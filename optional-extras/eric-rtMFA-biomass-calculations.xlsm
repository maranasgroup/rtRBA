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ejm6426/Documents/rtRBA-main/optional-extras/"/>
    </mc:Choice>
  </mc:AlternateContent>
  <xr:revisionPtr revIDLastSave="0" documentId="13_ncr:1_{A1BB1FB1-09BF-724C-A75F-6ABFA2A357DD}" xr6:coauthVersionLast="47" xr6:coauthVersionMax="47" xr10:uidLastSave="{00000000-0000-0000-0000-000000000000}"/>
  <bookViews>
    <workbookView xWindow="19400" yWindow="0" windowWidth="19000" windowHeight="21600" activeTab="1" xr2:uid="{C2613D7E-A189-477C-B7AD-9EF7F7E4A6ED}"/>
  </bookViews>
  <sheets>
    <sheet name="Sheet1" sheetId="1" r:id="rId1"/>
    <sheet name="pt2" sheetId="2" r:id="rId2"/>
  </sheets>
  <definedNames>
    <definedName name="_xlpm.all" hidden="1" xlm="1">#NAME?</definedName>
    <definedName name="_xlpm.d" hidden="1" xlm="1">#NAME?</definedName>
    <definedName name="_xlpm.data" hidden="1" xlm="1">#NAME?</definedName>
    <definedName name="_xlpm.new" hidden="1" xlm="1">#NAME?</definedName>
    <definedName name="_xlpm.prod" hidden="1" xlm="1">#NAME?</definedName>
    <definedName name="_xlpm.prodx" hidden="1" xlm="1">#NAME?</definedName>
    <definedName name="_xlpm.prox" hidden="1" xlm="1">#NAME?</definedName>
    <definedName name="_xlpm.prx" hidden="1" xlm="1">#NAME?</definedName>
    <definedName name="_xlpm.px" hidden="1" xlm="1">#NAME?</definedName>
    <definedName name="_xlpm.r" hidden="1" xlm="1">#NAME?</definedName>
    <definedName name="_xlpm.reac" hidden="1" xlm="1">#NAME?</definedName>
    <definedName name="_xlpm.reacx" hidden="1" xlm="1">#NAME?</definedName>
    <definedName name="_xlpm.reax" hidden="1" xlm="1">#NAME?</definedName>
    <definedName name="_xlpm.rex" hidden="1" xlm="1">#NAME?</definedName>
    <definedName name="_xlpm.rx" hidden="1" xlm="1">#NAME?</definedName>
    <definedName name="_xlpm.rxn" hidden="1" xlm="1">#NAME?</definedName>
    <definedName name="_xlpm.rxnWithTRNA" hidden="1" xlm="1">#NAME?</definedName>
    <definedName name="_xlpm.srxn" hidden="1" xlm="1">#NAME?</definedName>
    <definedName name="_xlpm.str" hidden="1" xlm="1">#NAME?</definedName>
    <definedName name="_xlpm.strrxn" hidden="1" xlm="1">#NAME?</definedName>
    <definedName name="_xlpm.strxn" hidden="1" xlm="1">#NAME?</definedName>
    <definedName name="_xlpm.x" hidden="1" xlm="1">#NAME?</definedName>
  </definedNames>
  <calcPr calcId="191029"/>
  <pivotCaches>
    <pivotCache cacheId="1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2" l="1" a="1"/>
  <c r="U3" i="2" s="1"/>
  <c r="T3" i="2" a="1"/>
  <c r="T3" i="2" s="1"/>
  <c r="R3" i="2" a="1"/>
  <c r="R3" i="2" s="1"/>
  <c r="A4" i="2" a="1"/>
  <c r="A4" i="2" s="1"/>
  <c r="M3" i="2" s="1" a="1"/>
  <c r="M3" i="2" s="1"/>
  <c r="C4" i="2" a="1"/>
  <c r="C4" i="2" s="1"/>
  <c r="E4" i="2" s="1" a="1"/>
  <c r="E4" i="2" s="1"/>
  <c r="J4" i="2" a="1"/>
  <c r="J4" i="2" s="1"/>
  <c r="J21" i="2" s="1" a="1"/>
  <c r="J21" i="2" s="1"/>
  <c r="G4" i="2" a="1"/>
  <c r="G4" i="2" s="1"/>
  <c r="G21" i="2" s="1" a="1"/>
  <c r="G21" i="2" s="1"/>
  <c r="X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G2" i="1" a="1"/>
  <c r="G2" i="1" s="1"/>
  <c r="I2" i="1" s="1" a="1"/>
  <c r="I2" i="1" s="1"/>
  <c r="Q2" i="1" a="1"/>
  <c r="Q2" i="1" s="1"/>
  <c r="N2" i="1" a="1"/>
  <c r="N2" i="1" s="1"/>
  <c r="O2" i="1" s="1" a="1"/>
  <c r="H2" i="1" l="1" a="1"/>
  <c r="H2" i="1" s="1"/>
  <c r="O2" i="1"/>
  <c r="P2" i="1" s="1"/>
  <c r="P94" i="1"/>
  <c r="P90" i="1"/>
  <c r="P86" i="1"/>
  <c r="P82" i="1"/>
  <c r="P78" i="1"/>
  <c r="P74" i="1"/>
  <c r="P70" i="1"/>
  <c r="P66" i="1"/>
  <c r="P62" i="1"/>
  <c r="P58" i="1"/>
  <c r="P54" i="1"/>
  <c r="P50" i="1"/>
  <c r="P46" i="1"/>
  <c r="P42" i="1"/>
  <c r="P37" i="1"/>
  <c r="P33" i="1"/>
  <c r="P28" i="1"/>
  <c r="P24" i="1"/>
  <c r="P20" i="1"/>
  <c r="P16" i="1"/>
  <c r="P12" i="1"/>
  <c r="P8" i="1"/>
  <c r="P4" i="1"/>
  <c r="P93" i="1"/>
  <c r="P89" i="1"/>
  <c r="P85" i="1"/>
  <c r="P81" i="1"/>
  <c r="P77" i="1"/>
  <c r="P73" i="1"/>
  <c r="P69" i="1"/>
  <c r="P65" i="1"/>
  <c r="P61" i="1"/>
  <c r="P57" i="1"/>
  <c r="P53" i="1"/>
  <c r="P49" i="1"/>
  <c r="P45" i="1"/>
  <c r="P41" i="1"/>
  <c r="P36" i="1"/>
  <c r="P32" i="1"/>
  <c r="P27" i="1"/>
  <c r="P23" i="1"/>
  <c r="P19" i="1"/>
  <c r="P15" i="1"/>
  <c r="P11" i="1"/>
  <c r="P7" i="1"/>
  <c r="P91" i="1"/>
  <c r="P87" i="1"/>
  <c r="P83" i="1"/>
  <c r="P79" i="1"/>
  <c r="P75" i="1"/>
  <c r="P71" i="1"/>
  <c r="P67" i="1"/>
  <c r="P63" i="1"/>
  <c r="P59" i="1"/>
  <c r="P55" i="1"/>
  <c r="P51" i="1"/>
  <c r="P47" i="1"/>
  <c r="P43" i="1"/>
  <c r="P39" i="1"/>
  <c r="P34" i="1"/>
  <c r="P30" i="1"/>
  <c r="P25" i="1"/>
  <c r="P21" i="1"/>
  <c r="P17" i="1"/>
  <c r="P13" i="1"/>
  <c r="P9" i="1"/>
  <c r="P5" i="1"/>
  <c r="P92" i="1"/>
  <c r="P88" i="1"/>
  <c r="P84" i="1"/>
  <c r="P80" i="1"/>
  <c r="P76" i="1"/>
  <c r="P72" i="1"/>
  <c r="P68" i="1"/>
  <c r="P64" i="1"/>
  <c r="P60" i="1"/>
  <c r="P56" i="1"/>
  <c r="P52" i="1"/>
  <c r="P48" i="1"/>
  <c r="P44" i="1"/>
  <c r="P40" i="1"/>
  <c r="P35" i="1"/>
  <c r="P31" i="1"/>
  <c r="P26" i="1"/>
  <c r="P22" i="1"/>
  <c r="P18" i="1"/>
  <c r="P14" i="1"/>
  <c r="P10" i="1"/>
  <c r="P6" i="1"/>
  <c r="B2" i="1" l="1" a="1"/>
  <c r="B2" i="1" s="1"/>
  <c r="D2" i="1" l="1" a="1"/>
  <c r="D2" i="1" s="1"/>
  <c r="E2" i="1" s="1" a="1"/>
  <c r="E2" i="1" s="1"/>
  <c r="K2" i="1" s="1" a="1"/>
  <c r="K2" i="1" s="1"/>
  <c r="R2" i="1" a="1"/>
  <c r="R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<sst xmlns="http://schemas.openxmlformats.org/spreadsheetml/2006/main" count="2179" uniqueCount="2140">
  <si>
    <t>'13BDglucan_c'</t>
  </si>
  <si>
    <t>'16BDglucan_c'</t>
  </si>
  <si>
    <t>'ala__L_c'</t>
  </si>
  <si>
    <t>'arg__L_c'</t>
  </si>
  <si>
    <t>'asn__L_c'</t>
  </si>
  <si>
    <t>'asp__L_c'</t>
  </si>
  <si>
    <t>'atp_c'</t>
  </si>
  <si>
    <t>'ca2_c'</t>
  </si>
  <si>
    <t>'chtn_c'</t>
  </si>
  <si>
    <t>'ctp_c'</t>
  </si>
  <si>
    <t>'cu2_c'</t>
  </si>
  <si>
    <t>'cys__L_c'</t>
  </si>
  <si>
    <t>'datp_c'</t>
  </si>
  <si>
    <t>'dctp_c'</t>
  </si>
  <si>
    <t>'dgtp_c'</t>
  </si>
  <si>
    <t>'dttp_c'</t>
  </si>
  <si>
    <t>'ergst_c'</t>
  </si>
  <si>
    <t>'ergstest_c'</t>
  </si>
  <si>
    <t>'fe2_c'</t>
  </si>
  <si>
    <t>'ffabiom_c'</t>
  </si>
  <si>
    <t>'gln__L_c'</t>
  </si>
  <si>
    <t>'glu__L_c'</t>
  </si>
  <si>
    <t>'gly_c'</t>
  </si>
  <si>
    <t>'glycogen_c'</t>
  </si>
  <si>
    <t>'gtp_c'</t>
  </si>
  <si>
    <t>'h2o_c'</t>
  </si>
  <si>
    <t>'his__L_c'</t>
  </si>
  <si>
    <t>'ile__L_c'</t>
  </si>
  <si>
    <t>'ipcbiom_c'</t>
  </si>
  <si>
    <t>'k_c'</t>
  </si>
  <si>
    <t>'leu__L_c'</t>
  </si>
  <si>
    <t>'lys__L_c'</t>
  </si>
  <si>
    <t>'mannan_c'</t>
  </si>
  <si>
    <t>'met__L_c'</t>
  </si>
  <si>
    <t>'mg2_c'</t>
  </si>
  <si>
    <t>'mn2_c'</t>
  </si>
  <si>
    <t>'pail_c'</t>
  </si>
  <si>
    <t>'pc_c'</t>
  </si>
  <si>
    <t>'pe_c'</t>
  </si>
  <si>
    <t>'phe__L_c'</t>
  </si>
  <si>
    <t>'pro__L_c'</t>
  </si>
  <si>
    <t>'ps_c'</t>
  </si>
  <si>
    <t>'ser__L_c'</t>
  </si>
  <si>
    <t>'so4_c'</t>
  </si>
  <si>
    <t>'tag_c'</t>
  </si>
  <si>
    <t>'thr__L_c'</t>
  </si>
  <si>
    <t>'tre_c'</t>
  </si>
  <si>
    <t>'trp__L_c'</t>
  </si>
  <si>
    <t>'tyr__L_c'</t>
  </si>
  <si>
    <t>'utp_c'</t>
  </si>
  <si>
    <t>'val__L_c'</t>
  </si>
  <si>
    <t>'zn2_c'</t>
  </si>
  <si>
    <t>MFA</t>
  </si>
  <si>
    <t>release2</t>
  </si>
  <si>
    <r>
      <t>"13BDglucan_c"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-1.001123</t>
    </r>
    <r>
      <rPr>
        <sz val="7"/>
        <color rgb="FF3B3B3B"/>
        <rFont val="Consolas"/>
        <family val="3"/>
      </rPr>
      <t>,</t>
    </r>
  </si>
  <si>
    <r>
      <t>"16BDglucan_en"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-0.263454</t>
    </r>
    <r>
      <rPr>
        <sz val="7"/>
        <color rgb="FF3B3B3B"/>
        <rFont val="Consolas"/>
        <family val="3"/>
      </rPr>
      <t>,</t>
    </r>
  </si>
  <si>
    <r>
      <t>"G00006_c"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-0.015503</t>
    </r>
    <r>
      <rPr>
        <sz val="7"/>
        <color rgb="FF3B3B3B"/>
        <rFont val="Consolas"/>
        <family val="3"/>
      </rPr>
      <t>,</t>
    </r>
  </si>
  <si>
    <r>
      <t>"adp_c"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167.408348</t>
    </r>
    <r>
      <rPr>
        <sz val="7"/>
        <color rgb="FF3B3B3B"/>
        <rFont val="Consolas"/>
        <family val="3"/>
      </rPr>
      <t>,</t>
    </r>
  </si>
  <si>
    <r>
      <t>"alatrna_c"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-0.386254</t>
    </r>
    <r>
      <rPr>
        <sz val="7"/>
        <color rgb="FF3B3B3B"/>
        <rFont val="Consolas"/>
        <family val="3"/>
      </rPr>
      <t>,</t>
    </r>
  </si>
  <si>
    <r>
      <t>"amet_c"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-0.0001</t>
    </r>
    <r>
      <rPr>
        <sz val="7"/>
        <color rgb="FF3B3B3B"/>
        <rFont val="Consolas"/>
        <family val="3"/>
      </rPr>
      <t>,</t>
    </r>
  </si>
  <si>
    <r>
      <t>"argtrna_c"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-0.152604</t>
    </r>
    <r>
      <rPr>
        <sz val="7"/>
        <color rgb="FF3B3B3B"/>
        <rFont val="Consolas"/>
        <family val="3"/>
      </rPr>
      <t>,</t>
    </r>
  </si>
  <si>
    <r>
      <t>"asntrna_c"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-0.183441</t>
    </r>
    <r>
      <rPr>
        <sz val="7"/>
        <color rgb="FF3B3B3B"/>
        <rFont val="Consolas"/>
        <family val="3"/>
      </rPr>
      <t>,</t>
    </r>
  </si>
  <si>
    <r>
      <t>"asptrna_c"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-0.183441</t>
    </r>
    <r>
      <rPr>
        <sz val="7"/>
        <color rgb="FF3B3B3B"/>
        <rFont val="Consolas"/>
        <family val="3"/>
      </rPr>
      <t>,</t>
    </r>
  </si>
  <si>
    <r>
      <t>"atp_c"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-167.448754</t>
    </r>
    <r>
      <rPr>
        <sz val="7"/>
        <color rgb="FF3B3B3B"/>
        <rFont val="Consolas"/>
        <family val="3"/>
      </rPr>
      <t>,</t>
    </r>
  </si>
  <si>
    <r>
      <t>"btn_c"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-0.0001</t>
    </r>
    <r>
      <rPr>
        <sz val="7"/>
        <color rgb="FF3B3B3B"/>
        <rFont val="Consolas"/>
        <family val="3"/>
      </rPr>
      <t>,</t>
    </r>
  </si>
  <si>
    <r>
      <t>"ca2_c"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-0.001286</t>
    </r>
    <r>
      <rPr>
        <sz val="7"/>
        <color rgb="FF3B3B3B"/>
        <rFont val="Consolas"/>
        <family val="3"/>
      </rPr>
      <t>,</t>
    </r>
  </si>
  <si>
    <r>
      <t>"chtn_c"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-0.023669</t>
    </r>
    <r>
      <rPr>
        <sz val="7"/>
        <color rgb="FF3B3B3B"/>
        <rFont val="Consolas"/>
        <family val="3"/>
      </rPr>
      <t>,</t>
    </r>
  </si>
  <si>
    <r>
      <t>"coa_c"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-0.0001</t>
    </r>
    <r>
      <rPr>
        <sz val="7"/>
        <color rgb="FF3B3B3B"/>
        <rFont val="Consolas"/>
        <family val="3"/>
      </rPr>
      <t>,</t>
    </r>
  </si>
  <si>
    <r>
      <t>"ctp_c"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-0.07053</t>
    </r>
    <r>
      <rPr>
        <sz val="7"/>
        <color rgb="FF3B3B3B"/>
        <rFont val="Consolas"/>
        <family val="3"/>
      </rPr>
      <t>,</t>
    </r>
  </si>
  <si>
    <r>
      <t>"cu2_c"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-0.000114</t>
    </r>
    <r>
      <rPr>
        <sz val="7"/>
        <color rgb="FF3B3B3B"/>
        <rFont val="Consolas"/>
        <family val="3"/>
      </rPr>
      <t>,</t>
    </r>
  </si>
  <si>
    <r>
      <t>"cystrna_c"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-0.005535</t>
    </r>
    <r>
      <rPr>
        <sz val="7"/>
        <color rgb="FF3B3B3B"/>
        <rFont val="Consolas"/>
        <family val="3"/>
      </rPr>
      <t>,</t>
    </r>
  </si>
  <si>
    <r>
      <t>"datp_c"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-0.007095</t>
    </r>
    <r>
      <rPr>
        <sz val="7"/>
        <color rgb="FF3B3B3B"/>
        <rFont val="Consolas"/>
        <family val="3"/>
      </rPr>
      <t>,</t>
    </r>
  </si>
  <si>
    <r>
      <t>"dctp_c"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-0.011074</t>
    </r>
    <r>
      <rPr>
        <sz val="7"/>
        <color rgb="FF3B3B3B"/>
        <rFont val="Consolas"/>
        <family val="3"/>
      </rPr>
      <t>,</t>
    </r>
  </si>
  <si>
    <r>
      <t>"dgtp_c"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-0.011074</t>
    </r>
    <r>
      <rPr>
        <sz val="7"/>
        <color rgb="FF3B3B3B"/>
        <rFont val="Consolas"/>
        <family val="3"/>
      </rPr>
      <t>,</t>
    </r>
  </si>
  <si>
    <r>
      <t>"docosa_c"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-4.1e-05</t>
    </r>
    <r>
      <rPr>
        <sz val="7"/>
        <color rgb="FF3B3B3B"/>
        <rFont val="Consolas"/>
        <family val="3"/>
      </rPr>
      <t>,</t>
    </r>
  </si>
  <si>
    <r>
      <t>"dttp_c"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-0.007095</t>
    </r>
    <r>
      <rPr>
        <sz val="7"/>
        <color rgb="FF3B3B3B"/>
        <rFont val="Consolas"/>
        <family val="3"/>
      </rPr>
      <t>,</t>
    </r>
  </si>
  <si>
    <r>
      <t>"epist_c"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-0.102571</t>
    </r>
    <r>
      <rPr>
        <sz val="7"/>
        <color rgb="FF3B3B3B"/>
        <rFont val="Consolas"/>
        <family val="3"/>
      </rPr>
      <t>,</t>
    </r>
  </si>
  <si>
    <r>
      <t>"fad_c"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-0.0001</t>
    </r>
    <r>
      <rPr>
        <sz val="7"/>
        <color rgb="FF3B3B3B"/>
        <rFont val="Consolas"/>
        <family val="3"/>
      </rPr>
      <t>,</t>
    </r>
  </si>
  <si>
    <r>
      <t>"fe2_c"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-0.000664</t>
    </r>
    <r>
      <rPr>
        <sz val="7"/>
        <color rgb="FF3B3B3B"/>
        <rFont val="Consolas"/>
        <family val="3"/>
      </rPr>
      <t>,</t>
    </r>
  </si>
  <si>
    <r>
      <t>"glntrna_c"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-0.305999</t>
    </r>
    <r>
      <rPr>
        <sz val="7"/>
        <color rgb="FF3B3B3B"/>
        <rFont val="Consolas"/>
        <family val="3"/>
      </rPr>
      <t>,</t>
    </r>
  </si>
  <si>
    <r>
      <t>"glutrna_c"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-0.305999</t>
    </r>
    <r>
      <rPr>
        <sz val="7"/>
        <color rgb="FF3B3B3B"/>
        <rFont val="Consolas"/>
        <family val="3"/>
      </rPr>
      <t>,</t>
    </r>
  </si>
  <si>
    <r>
      <t>"glytrna_c"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-0.351464</t>
    </r>
    <r>
      <rPr>
        <sz val="7"/>
        <color rgb="FF3B3B3B"/>
        <rFont val="Consolas"/>
        <family val="3"/>
      </rPr>
      <t>,</t>
    </r>
  </si>
  <si>
    <r>
      <t>"gpianchorSC_r"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-0.016989</t>
    </r>
    <r>
      <rPr>
        <sz val="7"/>
        <color rgb="FF3B3B3B"/>
        <rFont val="Consolas"/>
        <family val="3"/>
      </rPr>
      <t>,</t>
    </r>
  </si>
  <si>
    <r>
      <t>"gtp_c"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-0.0618</t>
    </r>
    <r>
      <rPr>
        <sz val="7"/>
        <color rgb="FF3B3B3B"/>
        <rFont val="Consolas"/>
        <family val="3"/>
      </rPr>
      <t>,</t>
    </r>
  </si>
  <si>
    <r>
      <t>"h2o_c"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-167.408348</t>
    </r>
    <r>
      <rPr>
        <sz val="7"/>
        <color rgb="FF3B3B3B"/>
        <rFont val="Consolas"/>
        <family val="3"/>
      </rPr>
      <t>,</t>
    </r>
  </si>
  <si>
    <r>
      <t>"h_c"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167.408348</t>
    </r>
    <r>
      <rPr>
        <sz val="7"/>
        <color rgb="FF3B3B3B"/>
        <rFont val="Consolas"/>
        <family val="3"/>
      </rPr>
      <t>,</t>
    </r>
  </si>
  <si>
    <r>
      <t>"hdca_c"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-0.000478</t>
    </r>
    <r>
      <rPr>
        <sz val="7"/>
        <color rgb="FF3B3B3B"/>
        <rFont val="Consolas"/>
        <family val="3"/>
      </rPr>
      <t>,</t>
    </r>
  </si>
  <si>
    <r>
      <t>"hemeA_c"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-0.0001</t>
    </r>
    <r>
      <rPr>
        <sz val="7"/>
        <color rgb="FF3B3B3B"/>
        <rFont val="Consolas"/>
        <family val="3"/>
      </rPr>
      <t>,</t>
    </r>
  </si>
  <si>
    <r>
      <t>"histrna_c"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-0.076302</t>
    </r>
    <r>
      <rPr>
        <sz val="7"/>
        <color rgb="FF3B3B3B"/>
        <rFont val="Consolas"/>
        <family val="3"/>
      </rPr>
      <t>,</t>
    </r>
  </si>
  <si>
    <r>
      <t>"iletrna_c"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-0.23286</t>
    </r>
    <r>
      <rPr>
        <sz val="7"/>
        <color rgb="FF3B3B3B"/>
        <rFont val="Consolas"/>
        <family val="3"/>
      </rPr>
      <t>,</t>
    </r>
  </si>
  <si>
    <r>
      <t>"ipc_g"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-0.008081</t>
    </r>
    <r>
      <rPr>
        <sz val="7"/>
        <color rgb="FF3B3B3B"/>
        <rFont val="Consolas"/>
        <family val="3"/>
      </rPr>
      <t>,</t>
    </r>
  </si>
  <si>
    <r>
      <t>"k_c"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-0.60365</t>
    </r>
    <r>
      <rPr>
        <sz val="7"/>
        <color rgb="FF3B3B3B"/>
        <rFont val="Consolas"/>
        <family val="3"/>
      </rPr>
      <t>,</t>
    </r>
  </si>
  <si>
    <r>
      <t>"leutrna_c"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-0.316673</t>
    </r>
    <r>
      <rPr>
        <sz val="7"/>
        <color rgb="FF3B3B3B"/>
        <rFont val="Consolas"/>
        <family val="3"/>
      </rPr>
      <t>,</t>
    </r>
  </si>
  <si>
    <r>
      <t>"linoea_c"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-0.001219</t>
    </r>
    <r>
      <rPr>
        <sz val="7"/>
        <color rgb="FF3B3B3B"/>
        <rFont val="Consolas"/>
        <family val="3"/>
      </rPr>
      <t>,</t>
    </r>
  </si>
  <si>
    <r>
      <t>"linolen_c"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-0.000327</t>
    </r>
    <r>
      <rPr>
        <sz val="7"/>
        <color rgb="FF3B3B3B"/>
        <rFont val="Consolas"/>
        <family val="3"/>
      </rPr>
      <t>,</t>
    </r>
  </si>
  <si>
    <r>
      <t>"lystrna_c"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-0.259743</t>
    </r>
    <r>
      <rPr>
        <sz val="7"/>
        <color rgb="FF3B3B3B"/>
        <rFont val="Consolas"/>
        <family val="3"/>
      </rPr>
      <t>,</t>
    </r>
  </si>
  <si>
    <r>
      <t>"mettrna_c"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-0.04507</t>
    </r>
    <r>
      <rPr>
        <sz val="7"/>
        <color rgb="FF3B3B3B"/>
        <rFont val="Consolas"/>
        <family val="3"/>
      </rPr>
      <t>,</t>
    </r>
  </si>
  <si>
    <r>
      <t>"mg2_c"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-0.063607</t>
    </r>
    <r>
      <rPr>
        <sz val="7"/>
        <color rgb="FF3B3B3B"/>
        <rFont val="Consolas"/>
        <family val="3"/>
      </rPr>
      <t>,</t>
    </r>
  </si>
  <si>
    <r>
      <t>"mn2_c"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-9.4e-05</t>
    </r>
    <r>
      <rPr>
        <sz val="7"/>
        <color rgb="FF3B3B3B"/>
        <rFont val="Consolas"/>
        <family val="3"/>
      </rPr>
      <t>,</t>
    </r>
  </si>
  <si>
    <r>
      <t>"nad_c"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-0.0001</t>
    </r>
    <r>
      <rPr>
        <sz val="7"/>
        <color rgb="FF3B3B3B"/>
        <rFont val="Consolas"/>
        <family val="3"/>
      </rPr>
      <t>,</t>
    </r>
  </si>
  <si>
    <r>
      <t>"nadp_c"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-0.0001</t>
    </r>
    <r>
      <rPr>
        <sz val="7"/>
        <color rgb="FF3B3B3B"/>
        <rFont val="Consolas"/>
        <family val="3"/>
      </rPr>
      <t>,</t>
    </r>
  </si>
  <si>
    <r>
      <t>"ocdca_c"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-0.000318</t>
    </r>
    <r>
      <rPr>
        <sz val="7"/>
        <color rgb="FF3B3B3B"/>
        <rFont val="Consolas"/>
        <family val="3"/>
      </rPr>
      <t>,</t>
    </r>
  </si>
  <si>
    <r>
      <t>"ocdcea_c"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-0.000584</t>
    </r>
    <r>
      <rPr>
        <sz val="7"/>
        <color rgb="FF3B3B3B"/>
        <rFont val="Consolas"/>
        <family val="3"/>
      </rPr>
      <t>,</t>
    </r>
  </si>
  <si>
    <r>
      <t>"oglycanSC_g"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-0.047788</t>
    </r>
    <r>
      <rPr>
        <sz val="7"/>
        <color rgb="FF3B3B3B"/>
        <rFont val="Consolas"/>
        <family val="3"/>
      </rPr>
      <t>,</t>
    </r>
  </si>
  <si>
    <r>
      <t>"pail_c"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-0.021936</t>
    </r>
    <r>
      <rPr>
        <sz val="7"/>
        <color rgb="FF3B3B3B"/>
        <rFont val="Consolas"/>
        <family val="3"/>
      </rPr>
      <t>,</t>
    </r>
  </si>
  <si>
    <r>
      <t>"pc_c"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-0.041166</t>
    </r>
    <r>
      <rPr>
        <sz val="7"/>
        <color rgb="FF3B3B3B"/>
        <rFont val="Consolas"/>
        <family val="3"/>
      </rPr>
      <t>,</t>
    </r>
  </si>
  <si>
    <r>
      <t>"pe_c"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-0.009943</t>
    </r>
    <r>
      <rPr>
        <sz val="7"/>
        <color rgb="FF3B3B3B"/>
        <rFont val="Consolas"/>
        <family val="3"/>
      </rPr>
      <t>,</t>
    </r>
  </si>
  <si>
    <r>
      <t>"phetrna_c"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-0.148651</t>
    </r>
    <r>
      <rPr>
        <sz val="7"/>
        <color rgb="FF3B3B3B"/>
        <rFont val="Consolas"/>
        <family val="3"/>
      </rPr>
      <t>,</t>
    </r>
  </si>
  <si>
    <r>
      <t>"pi_c"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167.302693</t>
    </r>
    <r>
      <rPr>
        <sz val="7"/>
        <color rgb="FF3B3B3B"/>
        <rFont val="Consolas"/>
        <family val="3"/>
      </rPr>
      <t>,</t>
    </r>
  </si>
  <si>
    <r>
      <t>"ppi_c"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0.246044</t>
    </r>
    <r>
      <rPr>
        <sz val="7"/>
        <color rgb="FF3B3B3B"/>
        <rFont val="Consolas"/>
        <family val="3"/>
      </rPr>
      <t>,</t>
    </r>
  </si>
  <si>
    <r>
      <t>"protrna_c"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-0.166837</t>
    </r>
    <r>
      <rPr>
        <sz val="7"/>
        <color rgb="FF3B3B3B"/>
        <rFont val="Consolas"/>
        <family val="3"/>
      </rPr>
      <t>,</t>
    </r>
  </si>
  <si>
    <r>
      <t>"ps_c"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-0.005332</t>
    </r>
    <r>
      <rPr>
        <sz val="7"/>
        <color rgb="FF3B3B3B"/>
        <rFont val="Consolas"/>
        <family val="3"/>
      </rPr>
      <t>,</t>
    </r>
  </si>
  <si>
    <r>
      <t>"pydx5p_c"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-0.0001</t>
    </r>
    <r>
      <rPr>
        <sz val="7"/>
        <color rgb="FF3B3B3B"/>
        <rFont val="Consolas"/>
        <family val="3"/>
      </rPr>
      <t>,</t>
    </r>
  </si>
  <si>
    <r>
      <t>"ribflv_c"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-0.0001</t>
    </r>
    <r>
      <rPr>
        <sz val="7"/>
        <color rgb="FF3B3B3B"/>
        <rFont val="Consolas"/>
        <family val="3"/>
      </rPr>
      <t>,</t>
    </r>
  </si>
  <si>
    <r>
      <t>"sertrna_c"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-0.21072</t>
    </r>
    <r>
      <rPr>
        <sz val="7"/>
        <color rgb="FF3B3B3B"/>
        <rFont val="Consolas"/>
        <family val="3"/>
      </rPr>
      <t>,</t>
    </r>
  </si>
  <si>
    <r>
      <t>"so4_c"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-0.031223</t>
    </r>
    <r>
      <rPr>
        <sz val="7"/>
        <color rgb="FF3B3B3B"/>
        <rFont val="Consolas"/>
        <family val="3"/>
      </rPr>
      <t>,</t>
    </r>
  </si>
  <si>
    <r>
      <t>"spmd_c"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-0.0001</t>
    </r>
    <r>
      <rPr>
        <sz val="7"/>
        <color rgb="FF3B3B3B"/>
        <rFont val="Consolas"/>
        <family val="3"/>
      </rPr>
      <t>,</t>
    </r>
  </si>
  <si>
    <r>
      <t>"tag_c"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-0.012646</t>
    </r>
    <r>
      <rPr>
        <sz val="7"/>
        <color rgb="FF3B3B3B"/>
        <rFont val="Consolas"/>
        <family val="3"/>
      </rPr>
      <t>,</t>
    </r>
  </si>
  <si>
    <r>
      <t>"thf_c"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-0.0001</t>
    </r>
    <r>
      <rPr>
        <sz val="7"/>
        <color rgb="FF3B3B3B"/>
        <rFont val="Consolas"/>
        <family val="3"/>
      </rPr>
      <t>,</t>
    </r>
  </si>
  <si>
    <r>
      <t>"thmpp_c"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-0.0001</t>
    </r>
    <r>
      <rPr>
        <sz val="7"/>
        <color rgb="FF3B3B3B"/>
        <rFont val="Consolas"/>
        <family val="3"/>
      </rPr>
      <t>,</t>
    </r>
  </si>
  <si>
    <r>
      <t>"thrtrna_c"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-0.220209</t>
    </r>
    <r>
      <rPr>
        <sz val="7"/>
        <color rgb="FF3B3B3B"/>
        <rFont val="Consolas"/>
        <family val="3"/>
      </rPr>
      <t>,</t>
    </r>
  </si>
  <si>
    <r>
      <t>"trnaala_c"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0.386254</t>
    </r>
    <r>
      <rPr>
        <sz val="7"/>
        <color rgb="FF3B3B3B"/>
        <rFont val="Consolas"/>
        <family val="3"/>
      </rPr>
      <t>,</t>
    </r>
  </si>
  <si>
    <r>
      <t>"trnaarg_c"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0.152604</t>
    </r>
    <r>
      <rPr>
        <sz val="7"/>
        <color rgb="FF3B3B3B"/>
        <rFont val="Consolas"/>
        <family val="3"/>
      </rPr>
      <t>,</t>
    </r>
  </si>
  <si>
    <r>
      <t>"trnaasn_c"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0.183441</t>
    </r>
    <r>
      <rPr>
        <sz val="7"/>
        <color rgb="FF3B3B3B"/>
        <rFont val="Consolas"/>
        <family val="3"/>
      </rPr>
      <t>,</t>
    </r>
  </si>
  <si>
    <r>
      <t>"trnaasp_c"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0.183441</t>
    </r>
    <r>
      <rPr>
        <sz val="7"/>
        <color rgb="FF3B3B3B"/>
        <rFont val="Consolas"/>
        <family val="3"/>
      </rPr>
      <t>,</t>
    </r>
  </si>
  <si>
    <r>
      <t>"trnacys_c"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0.005535</t>
    </r>
    <r>
      <rPr>
        <sz val="7"/>
        <color rgb="FF3B3B3B"/>
        <rFont val="Consolas"/>
        <family val="3"/>
      </rPr>
      <t>,</t>
    </r>
  </si>
  <si>
    <r>
      <t>"trnagln_c"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0.305999</t>
    </r>
    <r>
      <rPr>
        <sz val="7"/>
        <color rgb="FF3B3B3B"/>
        <rFont val="Consolas"/>
        <family val="3"/>
      </rPr>
      <t>,</t>
    </r>
  </si>
  <si>
    <r>
      <t>"trnaglu_c"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0.305999</t>
    </r>
    <r>
      <rPr>
        <sz val="7"/>
        <color rgb="FF3B3B3B"/>
        <rFont val="Consolas"/>
        <family val="3"/>
      </rPr>
      <t>,</t>
    </r>
  </si>
  <si>
    <r>
      <t>"trnagly_c"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0.351464</t>
    </r>
    <r>
      <rPr>
        <sz val="7"/>
        <color rgb="FF3B3B3B"/>
        <rFont val="Consolas"/>
        <family val="3"/>
      </rPr>
      <t>,</t>
    </r>
  </si>
  <si>
    <r>
      <t>"trnahis_c"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0.076302</t>
    </r>
    <r>
      <rPr>
        <sz val="7"/>
        <color rgb="FF3B3B3B"/>
        <rFont val="Consolas"/>
        <family val="3"/>
      </rPr>
      <t>,</t>
    </r>
  </si>
  <si>
    <r>
      <t>"trnaile_c"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0.23286</t>
    </r>
    <r>
      <rPr>
        <sz val="7"/>
        <color rgb="FF3B3B3B"/>
        <rFont val="Consolas"/>
        <family val="3"/>
      </rPr>
      <t>,</t>
    </r>
  </si>
  <si>
    <r>
      <t>"trnaleu_c"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0.316673</t>
    </r>
    <r>
      <rPr>
        <sz val="7"/>
        <color rgb="FF3B3B3B"/>
        <rFont val="Consolas"/>
        <family val="3"/>
      </rPr>
      <t>,</t>
    </r>
  </si>
  <si>
    <r>
      <t>"trnalys_c"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0.259743</t>
    </r>
    <r>
      <rPr>
        <sz val="7"/>
        <color rgb="FF3B3B3B"/>
        <rFont val="Consolas"/>
        <family val="3"/>
      </rPr>
      <t>,</t>
    </r>
  </si>
  <si>
    <r>
      <t>"trnamet_c"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0.04507</t>
    </r>
    <r>
      <rPr>
        <sz val="7"/>
        <color rgb="FF3B3B3B"/>
        <rFont val="Consolas"/>
        <family val="3"/>
      </rPr>
      <t>,</t>
    </r>
  </si>
  <si>
    <r>
      <t>"trnaphe_c"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0.148651</t>
    </r>
    <r>
      <rPr>
        <sz val="7"/>
        <color rgb="FF3B3B3B"/>
        <rFont val="Consolas"/>
        <family val="3"/>
      </rPr>
      <t>,</t>
    </r>
  </si>
  <si>
    <r>
      <t>"trnapro_c"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0.166837</t>
    </r>
    <r>
      <rPr>
        <sz val="7"/>
        <color rgb="FF3B3B3B"/>
        <rFont val="Consolas"/>
        <family val="3"/>
      </rPr>
      <t>,</t>
    </r>
  </si>
  <si>
    <r>
      <t>"trnaser_c"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0.21072</t>
    </r>
    <r>
      <rPr>
        <sz val="7"/>
        <color rgb="FF3B3B3B"/>
        <rFont val="Consolas"/>
        <family val="3"/>
      </rPr>
      <t>,</t>
    </r>
  </si>
  <si>
    <r>
      <t>"trnathr_c"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0.220209</t>
    </r>
    <r>
      <rPr>
        <sz val="7"/>
        <color rgb="FF3B3B3B"/>
        <rFont val="Consolas"/>
        <family val="3"/>
      </rPr>
      <t>,</t>
    </r>
  </si>
  <si>
    <r>
      <t>"trnatrp_c"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0.025698</t>
    </r>
    <r>
      <rPr>
        <sz val="7"/>
        <color rgb="FF3B3B3B"/>
        <rFont val="Consolas"/>
        <family val="3"/>
      </rPr>
      <t>,</t>
    </r>
  </si>
  <si>
    <r>
      <t>"trnatyr_c"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0.077488</t>
    </r>
    <r>
      <rPr>
        <sz val="7"/>
        <color rgb="FF3B3B3B"/>
        <rFont val="Consolas"/>
        <family val="3"/>
      </rPr>
      <t>,</t>
    </r>
  </si>
  <si>
    <r>
      <t>"trnaval_c"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0.28979</t>
    </r>
    <r>
      <rPr>
        <sz val="7"/>
        <color rgb="FF3B3B3B"/>
        <rFont val="Consolas"/>
        <family val="3"/>
      </rPr>
      <t>,</t>
    </r>
  </si>
  <si>
    <r>
      <t>"trptrna_c"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-0.025698</t>
    </r>
    <r>
      <rPr>
        <sz val="7"/>
        <color rgb="FF3B3B3B"/>
        <rFont val="Consolas"/>
        <family val="3"/>
      </rPr>
      <t>,</t>
    </r>
  </si>
  <si>
    <r>
      <t>"ttcosa_c"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-0.000252</t>
    </r>
    <r>
      <rPr>
        <sz val="7"/>
        <color rgb="FF3B3B3B"/>
        <rFont val="Consolas"/>
        <family val="3"/>
      </rPr>
      <t>,</t>
    </r>
  </si>
  <si>
    <r>
      <t>"tyrtrna_c"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-0.077488</t>
    </r>
    <r>
      <rPr>
        <sz val="7"/>
        <color rgb="FF3B3B3B"/>
        <rFont val="Consolas"/>
        <family val="3"/>
      </rPr>
      <t>,</t>
    </r>
  </si>
  <si>
    <r>
      <t>"utp_c"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-0.036971</t>
    </r>
    <r>
      <rPr>
        <sz val="7"/>
        <color rgb="FF3B3B3B"/>
        <rFont val="Consolas"/>
        <family val="3"/>
      </rPr>
      <t>,</t>
    </r>
  </si>
  <si>
    <r>
      <t>"valtrna_c"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-0.28979</t>
    </r>
    <r>
      <rPr>
        <sz val="7"/>
        <color rgb="FF3B3B3B"/>
        <rFont val="Consolas"/>
        <family val="3"/>
      </rPr>
      <t>,</t>
    </r>
  </si>
  <si>
    <r>
      <t>"zn2_c"</t>
    </r>
    <r>
      <rPr>
        <sz val="7"/>
        <color rgb="FF3B3B3B"/>
        <rFont val="Consolas"/>
        <family val="3"/>
      </rPr>
      <t>:</t>
    </r>
    <r>
      <rPr>
        <sz val="7"/>
        <color rgb="FF098658"/>
        <rFont val="Consolas"/>
        <family val="3"/>
      </rPr>
      <t>-0.001576</t>
    </r>
  </si>
  <si>
    <t>16BDglucan_c</t>
  </si>
  <si>
    <t>gly_c</t>
  </si>
  <si>
    <t>ipcbiom_c</t>
  </si>
  <si>
    <t>'udpg_c --&gt; 13BDglucan_c + h_c + udp_c'</t>
  </si>
  <si>
    <t>'udpg_c --&gt; 16BDglucan_c + h_c + udp_c'</t>
  </si>
  <si>
    <t>'2obut_c &lt;=&gt; 2obut_m'</t>
  </si>
  <si>
    <t>'2oxoadp_m + akg_c --&gt; 2oxoadp_c + akg_m'</t>
  </si>
  <si>
    <t>'L2aadp_c + atp_c + h_c + nadph_c --&gt; L2aadp6sa_c + amp_c + nadp_c + ppi_c'</t>
  </si>
  <si>
    <t>'2oxoadp_c + glu__L_c --&gt; L2aadp_c + akg_c'</t>
  </si>
  <si>
    <t>'4abut_c + akg_c --&gt; glu__L_c + sucsal_c'</t>
  </si>
  <si>
    <t>'2.0 accoa_c --&gt; aacoa_c + coa_c'</t>
  </si>
  <si>
    <t>'accoa_c + gam6p_c --&gt; acgam6p_c + coa_c + h_c'</t>
  </si>
  <si>
    <t>'acgam6p_c --&gt; acgam1p_c'</t>
  </si>
  <si>
    <t>'acglu_m + atp_m --&gt; acg5p_m + adp_m'</t>
  </si>
  <si>
    <t>'2obut_m + h_m + pyr_m --&gt; 2ahbut_m + co2_m'</t>
  </si>
  <si>
    <t>'atp_c + cit_c + coa_c --&gt; accoa_c + adp_c + oaa_c + pi_c'</t>
  </si>
  <si>
    <t>'actp_c + adp_c --&gt; ac_c + atp_c'</t>
  </si>
  <si>
    <t>'h_m + 2.0 pyr_m --&gt; alac_m + co2_m'</t>
  </si>
  <si>
    <t>'h_c + nadh_c + o2_c + stcoa_c --&gt; 2.0 h2o_c + nad_c + odecoa_c'</t>
  </si>
  <si>
    <t>'h_c + nadh_c + o2_c + odecoa_c --&gt; 2.0 h2o_c + linocoa_c + nad_c'</t>
  </si>
  <si>
    <t>'h_c + linocoa_c + nadh_c + o2_c --&gt; 2.0 h2o_c + linolncoa_c + nad_c'</t>
  </si>
  <si>
    <t>'cit_m --&gt; acon_C_m + h2o_m'</t>
  </si>
  <si>
    <t>'acon_C_m + h2o_m --&gt; icit_m'</t>
  </si>
  <si>
    <t>'acg5sa_m + glu__L_m --&gt; acorn_m + akg_m'</t>
  </si>
  <si>
    <t>'ac_c + atp_c + coa_c --&gt; accoa_c + amp_c + ppi_c'</t>
  </si>
  <si>
    <t>'amp_c + atp_c --&gt; 2.0 adp_c'</t>
  </si>
  <si>
    <t>'adn_c + atp_c --&gt; adp_c + amp_c + h_c'</t>
  </si>
  <si>
    <t>'adp_c + atp_m --&gt; adp_m + atp_c'</t>
  </si>
  <si>
    <t>'aps_c + atp_c --&gt; adp_c + h_c + paps_c'</t>
  </si>
  <si>
    <t>'dcamp_c --&gt; amp_c + fum_c'</t>
  </si>
  <si>
    <t>'25aics_c --&gt; aicar_c + fum_c'</t>
  </si>
  <si>
    <t>'asp__L_c + gtp_c + imp_c --&gt; dcamp_c + gdp_c + 2.0 h_c + pi_c'</t>
  </si>
  <si>
    <t>'1agp_c + acylcoa_c --&gt; coa_c + pa_c'</t>
  </si>
  <si>
    <t>'acg5p_m + h_m + nadph_m --&gt; acg5sa_m + nadp_m + pi_m'</t>
  </si>
  <si>
    <t>'ala__L_c + glx_c --&gt; gly_c + pyr_c'</t>
  </si>
  <si>
    <t>'ahcys_c + h2o_c --&gt; adn_c + hcys__L_c'</t>
  </si>
  <si>
    <t>'achms_c + h2s_c --&gt; ac_c + hcys__L_c'</t>
  </si>
  <si>
    <t>'10fthf_c + aicar_c --&gt; fprica_c + thf_c'</t>
  </si>
  <si>
    <t>'air_c + atp_c + co2_c + h2o_c --&gt; 5aizc_c + adp_c + 3.0 h_c + pi_c'</t>
  </si>
  <si>
    <t>'akg_c + cit_m --&gt; akg_m + cit_c'</t>
  </si>
  <si>
    <t>'akg_m + coa_m + nad_m --&gt; co2_m + nadh_m + succoa_m'</t>
  </si>
  <si>
    <t>'akg_m + mal__L_c --&gt; akg_c + mal__L_m'</t>
  </si>
  <si>
    <t>'akg_m + ala__L_m &lt;=&gt; glu__L_m + pyr_m'</t>
  </si>
  <si>
    <t>'ala__L_m &lt;=&gt; ala__L_c'</t>
  </si>
  <si>
    <t>'allphn_c + h2o_c + 3.0 h_c --&gt; 2.0 co2_c + 2.0 nh4_c'</t>
  </si>
  <si>
    <t>'anth_c + prpp_c --&gt; ppi_c + pran_c'</t>
  </si>
  <si>
    <t>'chor_c + gln__L_c --&gt; anth_c + glu__L_c + h_c + pyr_c'</t>
  </si>
  <si>
    <t>'arg__L_c + h2o_c --&gt; orn_c + urea_c'</t>
  </si>
  <si>
    <t>'argsuc_c &lt;=&gt; arg__L_c + fum_c'</t>
  </si>
  <si>
    <t>'asp__L_c + atp_c + citr__L_c &lt;=&gt; amp_c + argsuc_c + h_c + ppi_c'</t>
  </si>
  <si>
    <t>'4pasp_c + h_c + nadph_c --&gt; aspsa_c + nadp_c + pi_c'</t>
  </si>
  <si>
    <t>'asp__L_c + atp_c + gln__L_c + h2o_c --&gt; amp_c + asn__L_c + glu__L_c + h_c + ppi_c'</t>
  </si>
  <si>
    <t>'asp__L_c + cbp_c --&gt; cbasp_c + h_c + pi_c'</t>
  </si>
  <si>
    <t>'asp__L_m + glu__L_c --&gt; asp__L_c + glu__L_m'</t>
  </si>
  <si>
    <t>'asp__L_c + atp_c --&gt; 4pasp_c + adp_c'</t>
  </si>
  <si>
    <t>'akg_c + asp__L_c &lt;=&gt; glu__L_c + oaa_c'</t>
  </si>
  <si>
    <t>'glu__L_m + oaa_m --&gt; akg_m + asp__L_m'</t>
  </si>
  <si>
    <t>'atp_c + h2o_c --&gt; adp_c + h_c + pi_c'</t>
  </si>
  <si>
    <t>'atp_c + h_c + prpp_c --&gt; ppi_c + prbatp_c'</t>
  </si>
  <si>
    <t>'3.0 adp_m + 10.0 h_c + 3.0 pi_m --&gt; 3.0 atp_m + 3.0 h2o_m + 7.0 h_m'</t>
  </si>
  <si>
    <t>'h2o_c + pap_c --&gt; amp_c + pi_c'</t>
  </si>
  <si>
    <t>'0.684548 13BDglucan_c + 0.180144 16BDglucan_c + 0.405893 ala__L_c + 0.160363 arg__L_c + 0.192768 asn__L_c + 0.192768 asp__L_c + 190.647337 atp_c + 0.001286 ca2_c + 0.016184 chtn_c + 0.119302 ctp_c + 0.000114 cu2_c + 0.005816 cys__L_c + 0.006009 datp_c + 0.009379 dctp_c + 0.009379 dgtp_c + 0.006009 dttp_c + 0.042867 ergst_c + 0.010634 ergstest_c + 0.000664 fe2_c + 0.001922 ffabiom_c + 0.321557 gln__L_c + 0.321557 glu__L_c + 0.369334 gly_c + 0.234811 glycogen_c + 0.104534 gtp_c + 186.43364699999998 h2o_c + 0.080182 his__L_c + 0.244699 ile__L_c + 0.005176 ipcbiom_c + 0.60365 k_c + 0.332774 leu__L_c + 0.27295 lys__L_c + 0.49015 mannan_c + 0.047361 met__L_c + 0.063607 mg2_c + 9.4e-05 mn2_c + 0.007738 pail_c + 0.028783 pc_c + 0.00772 pe_c + 0.156209 phe__L_c + 0.175319 pro__L_c + 0.006643 ps_c + 0.221434 ser__L_c + 0.031223 so4_c + 0.010494 tag_c + 0.231405 thr__L_c + 0.137707 tre_c + 0.027004 trp__L_c + 0.081428 tyr__L_c + 0.062537 utp_c + 0.304524 val__L_c + 0.001576 zn2_c --&gt; 190.57899 adp_c + 190.57899 h_c + 190.473335 pi_c + 0.385495 ppi_c'</t>
  </si>
  <si>
    <t>'44mctr_c + h_c + nadph_c --&gt; 14dmlanost_c + nadp_c'</t>
  </si>
  <si>
    <t>'ergtrol_c + h_c + nadph_c + o2_c --&gt; ergtetrol_c + 2.0 h2o_c + nadp_c'</t>
  </si>
  <si>
    <t>'ergtetrol_c + h_c + nadph_c --&gt; ergst_c + nadp_c'</t>
  </si>
  <si>
    <t>'4mzym4c_c + nad_c --&gt; 3d4mzym_c + co2_c + nadh_c'</t>
  </si>
  <si>
    <t>'nadp_c + zym_int1C_c --&gt; co2_c + nadph_c + zym_int2_c'</t>
  </si>
  <si>
    <t>'3d4mzym_c + h_c + nadph_c --&gt; 4mzym_c + nadp_c'</t>
  </si>
  <si>
    <t>'h_c + nadph_c + zym_int2_c --&gt; nadp_c + zymst_c'</t>
  </si>
  <si>
    <t>'4mzym_c + h_c + nadph_c + o2_c --&gt; h2o_c + nadp_c + zym_int1A_c'</t>
  </si>
  <si>
    <t>'h_c + nadph_c + o2_c + zym_int1A_c --&gt; 2.0 h2o_c + nadp_c + zym_int1B_c'</t>
  </si>
  <si>
    <t>'nadph_c + o2_c + zym_int1B_c --&gt; h2o_c + nadp_c + zym_int1C_c'</t>
  </si>
  <si>
    <t>'14dmlanost_c + 2.0 h_c + 3.0 nadph_c + 3.0 o2_c --&gt; 4mzym4c_c + 4.0 h2o_c + 3.0 nadp_c'</t>
  </si>
  <si>
    <t>'epist_c + h_c + nadph_c + o2_c --&gt; ergtrol_c + 2.0 h2o_c + nadp_c'</t>
  </si>
  <si>
    <t>'fecost_c --&gt; epist_c'</t>
  </si>
  <si>
    <t>'ca2_e --&gt; ca2_c'</t>
  </si>
  <si>
    <t>'cyst__L_c + h2o_c --&gt; hcys__L_c + nh4_c + pyr_c'</t>
  </si>
  <si>
    <t>'2.0 atp_c + gln__L_c + h2o_c + hco3_c --&gt; 2.0 adp_c + cbp_c + glu__L_c + 2.0 h_c + pi_c'</t>
  </si>
  <si>
    <t>'ctp_c + h_c + pa_c --&gt; cdpdag_c + ppi_c'</t>
  </si>
  <si>
    <t>'chor_c --&gt; pphn_c'</t>
  </si>
  <si>
    <t>'3psme_c --&gt; chor_c + pi_c'</t>
  </si>
  <si>
    <t>'uacgam_c --&gt; chtn_c + h_c + udp_c'</t>
  </si>
  <si>
    <t>'cit_m + mal__L_c &lt;=&gt; cit_c + mal__L_m'</t>
  </si>
  <si>
    <t>'cit_c + icit_m &lt;=&gt; cit_m + icit_c'</t>
  </si>
  <si>
    <t>'co2_c &lt;=&gt; co2_e'</t>
  </si>
  <si>
    <t>'co2_c &lt;=&gt; co2_m'</t>
  </si>
  <si>
    <t>'accoa_m + h2o_m + oaa_m --&gt; cit_m + coa_m + h_m'</t>
  </si>
  <si>
    <t>'atp_c + gln__L_c + h2o_c + utp_c --&gt; adp_c + ctp_c + glu__L_c + 2.0 h_c + pi_c'</t>
  </si>
  <si>
    <t>'cu2_e --&gt; cu2_c'</t>
  </si>
  <si>
    <t>'acser_c + h2s_c --&gt; ac_c + cys__L_c'</t>
  </si>
  <si>
    <t>'cyst__L_c + h2o_c --&gt; 2obut_c + cys__L_c + nh4_c'</t>
  </si>
  <si>
    <t>'hcys__L_c + ser__L_c &lt;=&gt; cyst__L_c + h2o_c'</t>
  </si>
  <si>
    <t>'atp_c + cmp_c --&gt; adp_c + cdp_c'</t>
  </si>
  <si>
    <t>'e4p_c + h2o_c + pep_c --&gt; 2dda7p_c + pi_c'</t>
  </si>
  <si>
    <t>'acylcoa_c + dag_c --&gt; coa_c + tag_c'</t>
  </si>
  <si>
    <t>'23dhmb_m --&gt; 3mob_m + h2o_m'</t>
  </si>
  <si>
    <t>'23dhmp_m --&gt; 3mop_m + h2o_m'</t>
  </si>
  <si>
    <t>'dhf_c + h_c + nadph_c --&gt; nadp_c + thf_c'</t>
  </si>
  <si>
    <t>'dhor__S_c + fum_c --&gt; orot_c + succ_c'</t>
  </si>
  <si>
    <t>'cbasp_c + h_c --&gt; dhor__S_c + h2o_c'</t>
  </si>
  <si>
    <t>'2dda7p_c --&gt; 3dhq_c + pi_c'</t>
  </si>
  <si>
    <t>'3dhq_c --&gt; 3dhsk_c + h2o_c'</t>
  </si>
  <si>
    <t>'dmpp_c + ipdp_c --&gt; grdp_c + ppi_c'</t>
  </si>
  <si>
    <t>'dolmanp_c --&gt; dolp_c + h_c + mannan_c'</t>
  </si>
  <si>
    <t>'dolp_c + gdpmann_c --&gt; dolmanp_c + gdp_c'</t>
  </si>
  <si>
    <t>'5dpmev_c + atp_c --&gt; adp_c + co2_c + ipdp_c + pi_c'</t>
  </si>
  <si>
    <t>'atp_c + dtmp_c --&gt; adp_c + dtdp_c'</t>
  </si>
  <si>
    <t>'dutp_c + h2o_c --&gt; dump_c + h_c + ppi_c'</t>
  </si>
  <si>
    <t>'2pg_c &lt;=&gt; h2o_c + pep_c'</t>
  </si>
  <si>
    <t>'ca2_out --&gt; ca2_e'</t>
  </si>
  <si>
    <t>'co2_e &lt;=&gt; co2_out'</t>
  </si>
  <si>
    <t>'cu2_out --&gt; cu2_e'</t>
  </si>
  <si>
    <t>'fe2_out --&gt; fe2_e'</t>
  </si>
  <si>
    <t>'glc__D_out --&gt; glc__D_e'</t>
  </si>
  <si>
    <t>'h2o_e --&gt; h2o_out'</t>
  </si>
  <si>
    <t>'h_e --&gt; h_out'</t>
  </si>
  <si>
    <t>'k_out --&gt; k_e'</t>
  </si>
  <si>
    <t>'mg2_out --&gt; mg2_e'</t>
  </si>
  <si>
    <t>'mn2_out --&gt; mn2_e'</t>
  </si>
  <si>
    <t>'nh4_out --&gt; nh4_e'</t>
  </si>
  <si>
    <t>'o2_out --&gt; o2_e'</t>
  </si>
  <si>
    <t>'pi_out --&gt; pi_e'</t>
  </si>
  <si>
    <t>'so4_out --&gt; so4_e'</t>
  </si>
  <si>
    <t>'zn2_out --&gt; zn2_e'</t>
  </si>
  <si>
    <t>'s17bp_c &lt;=&gt; dhap_c + e4p_c'</t>
  </si>
  <si>
    <t>'fdp_c &lt;=&gt; dhap_c + g3p_c'</t>
  </si>
  <si>
    <t>'fdp_c + h2o_c --&gt; f6p_c + pi_c'</t>
  </si>
  <si>
    <t>'for_c + nad_c --&gt; co2_c + nadh_c'</t>
  </si>
  <si>
    <t>'fe2_e --&gt; fe2_c'</t>
  </si>
  <si>
    <t>'2.0 focytC_m + 4.0 h_m + 0.5 o2_m --&gt; 2.0 ficytC_m + h2o_m + 2.0 h_c'</t>
  </si>
  <si>
    <t>'2.0 ficytC_m + 2.0 h_m + q9h2_m --&gt; 2.0 focytC_m + 4.0 h_c + q9_m'</t>
  </si>
  <si>
    <t>'Lfmkynr_c + h2o_c --&gt; Lkynr_c + for_c + h_c'</t>
  </si>
  <si>
    <t>'fum_c + h2o_c &lt;=&gt; mal__L_c'</t>
  </si>
  <si>
    <t>'fum_m + h2o_m &lt;=&gt; mal__L_m'</t>
  </si>
  <si>
    <t>'acylcoa_c + glyc3p_c --&gt; 1agp_c + coa_c'</t>
  </si>
  <si>
    <t>'glu5p_c + h_c + nadph_c --&gt; glu5sa_c + nadp_c + pi_c'</t>
  </si>
  <si>
    <t>'g6p_c + nadp_c --&gt; 6pgl_c + h_c + nadph_c'</t>
  </si>
  <si>
    <t>'g1p_c + h_c + utp_c --&gt; ppi_c + udpg_c'</t>
  </si>
  <si>
    <t>'g3p_c + nad_c + pi_c &lt;=&gt; 13dpg_c + h_c + nadh_c'</t>
  </si>
  <si>
    <t>'10fthf_c + gar_c --&gt; fgam_c + h_c + thf_c'</t>
  </si>
  <si>
    <t>'f6p_c + gln__L_c --&gt; gam6p_c + glu__L_c'</t>
  </si>
  <si>
    <t>'atp_c + gmp_c --&gt; adp_c + gdp_c'</t>
  </si>
  <si>
    <t>'dadp_c + gdp_c --&gt; datp_c + gmp_c'</t>
  </si>
  <si>
    <t>'glc__D_e --&gt; glc__D_c'</t>
  </si>
  <si>
    <t>'atp_c + glu__L_c + nh4_c --&gt; adp_c + gln__L_c + h_c + pi_c'</t>
  </si>
  <si>
    <t>'atp_c + glu__L_c --&gt; adp_c + glu5p_c'</t>
  </si>
  <si>
    <t>'glu__L_c + h_c --&gt; 4abut_c + co2_c'</t>
  </si>
  <si>
    <t>'glu__L_c + h2o_c + nad_c --&gt; akg_c + h_c + nadh_c + nh4_c'</t>
  </si>
  <si>
    <t>'akg_c + h_c + nadph_c + nh4_c --&gt; glu__L_c + h2o_c + nadp_c'</t>
  </si>
  <si>
    <t>'gln__L_c + h2o_c + prpp_c --&gt; glu__L_c + ppi_c + pram_c'</t>
  </si>
  <si>
    <t>'akg_c + gln__L_c + h_c + nadh_c --&gt; 2.0 glu__L_c + nad_c'</t>
  </si>
  <si>
    <t>'glu__L_c --&gt; glu__L_m'</t>
  </si>
  <si>
    <t>'udpg_c --&gt; glycogen_c + h_c + udp_c'</t>
  </si>
  <si>
    <t>'h2o_c + lgt__S_c --&gt; gthrd_c + h_c + lac__D_c'</t>
  </si>
  <si>
    <t>'atp_c + gln__L_c + h2o_c + xmp_c --&gt; amp_c + glu__L_c + gmp_c + 2.0 h_c + ppi_c'</t>
  </si>
  <si>
    <t>'6pgc_c + nadp_c --&gt; co2_c + nadph_c + ru5p__D_c'</t>
  </si>
  <si>
    <t>'grdp_c + ipdp_c --&gt; frdp_c + ppi_c'</t>
  </si>
  <si>
    <t>'h2o_c --&gt; h2o_e'</t>
  </si>
  <si>
    <t>'h2o_m --&gt; h2o_c'</t>
  </si>
  <si>
    <t>'h2o_m + hacon_C_m --&gt; hicit_m'</t>
  </si>
  <si>
    <t>'hcit_m --&gt; h2o_m + hacon_C_m'</t>
  </si>
  <si>
    <t>'accoa_m + akg_m + h2o_m --&gt; coa_m + h_m + hcit_m'</t>
  </si>
  <si>
    <t>'co2_c + h2o_c --&gt; h_c + hco3_c'</t>
  </si>
  <si>
    <t>'amet_c + hcys__L_c --&gt; ahcys_c + h_c + met__L_c'</t>
  </si>
  <si>
    <t>'atp_c + glc__D_c --&gt; adp_c + g6p_c + h_c'</t>
  </si>
  <si>
    <t>'hicit_m + nad_m --&gt; 2oxoadp_m + co2_m + nadh_m'</t>
  </si>
  <si>
    <t>'h2o_c + histd_c + 2.0 nad_c --&gt; 3.0 h_c + his__L_c + 2.0 nadh_c'</t>
  </si>
  <si>
    <t>'h2o_c + hisp_c --&gt; histd_c + pi_c'</t>
  </si>
  <si>
    <t>'2.0 h_c + hmgcoa_c + 2.0 nadph_c --&gt; coa_c + mev__R_c + 2.0 nadp_c'</t>
  </si>
  <si>
    <t>'aacoa_c + accoa_c + h2o_c --&gt; coa_c + h_c + hmgcoa_c'</t>
  </si>
  <si>
    <t>'aspsa_c + h_c + nadh_c --&gt; hom__L_c + nad_c'</t>
  </si>
  <si>
    <t>'aspsa_c + h_c + nadph_c --&gt; hom__L_c + nadp_c'</t>
  </si>
  <si>
    <t>'accoa_c + hom__L_c --&gt; achms_c + coa_c'</t>
  </si>
  <si>
    <t>'atp_c + hom__L_c --&gt; adp_c + h_c + phom_c'</t>
  </si>
  <si>
    <t>'glu__L_c + imacp_c --&gt; akg_c + hisp_c'</t>
  </si>
  <si>
    <t>'h_c --&gt; h_e'</t>
  </si>
  <si>
    <t>'h_c --&gt; h_m'</t>
  </si>
  <si>
    <t>'icit_m + nad_m --&gt; akg_m + co2_m + nadh_m'</t>
  </si>
  <si>
    <t>'icit_m + nadp_m --&gt; akg_m + co2_m + nadph_m'</t>
  </si>
  <si>
    <t>'icit_c --&gt; glx_c + succ_c'</t>
  </si>
  <si>
    <t>'gln__L_c + prlp_c --&gt; aicar_c + eig3p_c + glu__L_c + h_c'</t>
  </si>
  <si>
    <t>'eig3p_c --&gt; h2o_c + imacp_c'</t>
  </si>
  <si>
    <t>'2cpr5p_c + h_c --&gt; 3ig3p_c + co2_c + h2o_c'</t>
  </si>
  <si>
    <t>'3mop_m + glu__L_m --&gt; akg_m + ile__L_m'</t>
  </si>
  <si>
    <t>'ile__L_m --&gt; ile__L_c'</t>
  </si>
  <si>
    <t>'fprica_c --&gt; h2o_c + imp_c'</t>
  </si>
  <si>
    <t>'h2o_c + imp_c + nad_c --&gt; h_c + nadh_c + xmp_c'</t>
  </si>
  <si>
    <t>'ipdp_c --&gt; dmpp_c'</t>
  </si>
  <si>
    <t>'3c2hmp_c + nad_c --&gt; 3c4mop_c + h_c + nadh_c'</t>
  </si>
  <si>
    <t>'2ippm_c + h2o_c --&gt; 3c2hmp_c'</t>
  </si>
  <si>
    <t>'3c3hmp_c --&gt; 2ippm_c + h2o_c'</t>
  </si>
  <si>
    <t>'3mob_c + accoa_c + h2o_c --&gt; 3c3hmp_c + coa_c + h_c'</t>
  </si>
  <si>
    <t>'alac_m + h_m + nadph_m --&gt; 23dhmb_m + nadp_m'</t>
  </si>
  <si>
    <t>'2ahbut_m + h_m + nadph_m --&gt; 23dhmp_m + nadp_m'</t>
  </si>
  <si>
    <t>'Lkynr_c + h2o_c --&gt; ala__L_c + anth_c + h_c'</t>
  </si>
  <si>
    <t>'k_e --&gt; k_c'</t>
  </si>
  <si>
    <t>'lac__D_c + pyr_m &lt;=&gt; lac__D_m + pyr_c'</t>
  </si>
  <si>
    <t>'h_c + lac__D_c --&gt; h_m + lac__D_m'</t>
  </si>
  <si>
    <t>'h_c + mthgxl_c + nadph_c --&gt; lald__L_c + nadp_c'</t>
  </si>
  <si>
    <t>'h2o_c + lald__L_c + nad_c --&gt; 2.0 h_c + lac__L_c + nadh_c'</t>
  </si>
  <si>
    <t>'4mop_c + glu__L_c --&gt; akg_c + leu__L_c'</t>
  </si>
  <si>
    <t>'gthrd_c + mthgxl_c --&gt; lgt__S_c'</t>
  </si>
  <si>
    <t>'2.0 ficytC_m + lac__L_c --&gt; 2.0 focytC_m + 2.0 h_c + pyr_c'</t>
  </si>
  <si>
    <t>'2.0 h_c + lanost_c + 3.0 nadph_c + 3.0 o2_c --&gt; 44mctr_c + for_c + 4.0 h2o_c + 3.0 nadp_c'</t>
  </si>
  <si>
    <t>'Ssq23epx_c --&gt; lanost_c'</t>
  </si>
  <si>
    <t>'g6p_c --&gt; mi1p__D_c'</t>
  </si>
  <si>
    <t>'accoa_c + glx_c + h2o_c --&gt; coa_c + h_c + mal__L_c'</t>
  </si>
  <si>
    <t>'mal__L_c + pi_m --&gt; mal__L_m + pi_c'</t>
  </si>
  <si>
    <t>'gtp_c + h_c + man1p_c --&gt; gdpmann_c + ppi_c'</t>
  </si>
  <si>
    <t>'f6p_c --&gt; man6p_c'</t>
  </si>
  <si>
    <t>'mal__L_c + nad_c &lt;=&gt; h_c + nadh_c + oaa_c'</t>
  </si>
  <si>
    <t>'mal__L_m + nad_m &lt;=&gt; h_m + nadh_m + oaa_m'</t>
  </si>
  <si>
    <t>'mal__L_m + nad_m --&gt; co2_m + nadh_m + pyr_m'</t>
  </si>
  <si>
    <t>'mal__L_c + nadp_c --&gt; co2_c + nadph_c + pyr_c'</t>
  </si>
  <si>
    <t>'mal__L_m + nadp_m --&gt; co2_m + nadph_m + pyr_m'</t>
  </si>
  <si>
    <t>'atp_c + h2o_c + met__L_c --&gt; amet_c + pi_c + ppi_c'</t>
  </si>
  <si>
    <t>'achms_c + cys__L_c --&gt; ac_c + cyst__L_c + h_c'</t>
  </si>
  <si>
    <t>'5mthf_c + hcys__L_c --&gt; met__L_c + thf_c'</t>
  </si>
  <si>
    <t>'atp_c + mev__R_c --&gt; 5pmev_c + adp_c + h_c'</t>
  </si>
  <si>
    <t>'mg2_e --&gt; mg2_c'</t>
  </si>
  <si>
    <t>'dhap_c --&gt; mthgxl_c + pi_c'</t>
  </si>
  <si>
    <t>'h2o_c + mi1p__D_c --&gt; inost_c + pi_c'</t>
  </si>
  <si>
    <t>'mn2_e --&gt; mn2_c'</t>
  </si>
  <si>
    <t>'h_c + mlthf_c + nadph_c --&gt; 5mthf_c + nadp_c'</t>
  </si>
  <si>
    <t>'5.0 h_m + nadh_m + q9_m --&gt; 4.0 h_c + nad_m + q9h2_m'</t>
  </si>
  <si>
    <t>'h_m + nadh_c + q9_m --&gt; nad_c + q9h2_m'</t>
  </si>
  <si>
    <t>'atp_c + gdp_c --&gt; adp_c + gtp_c'</t>
  </si>
  <si>
    <t>'atp_c + udp_c --&gt; adp_c + utp_c'</t>
  </si>
  <si>
    <t>'atp_c + cdp_c --&gt; adp_c + ctp_c'</t>
  </si>
  <si>
    <t>'atp_c + dtdp_c --&gt; adp_c + dttp_c'</t>
  </si>
  <si>
    <t>'atp_c + dgdp_c --&gt; adp_c + dgtp_c'</t>
  </si>
  <si>
    <t>'atp_c + dudp_c --&gt; adp_c + dutp_c'</t>
  </si>
  <si>
    <t>'atp_c + dcdp_c --&gt; adp_c + dctp_c'</t>
  </si>
  <si>
    <t>'atp_c + dadp_c --&gt; adp_c + datp_c'</t>
  </si>
  <si>
    <t>'nh4_e --&gt; nh4_c'</t>
  </si>
  <si>
    <t>'nh4_c &lt;=&gt; nh4_m'</t>
  </si>
  <si>
    <t>'ctp_c + h2o_c --&gt; cdp_c + h_c + pi_c'</t>
  </si>
  <si>
    <t>'o2_e --&gt; o2_c'</t>
  </si>
  <si>
    <t>'o2_c --&gt; o2_m'</t>
  </si>
  <si>
    <t>'h_c + oaa_c --&gt; h_m + oaa_m'</t>
  </si>
  <si>
    <t>'cbp_c + orn_c --&gt; citr__L_c + h_c + pi_c'</t>
  </si>
  <si>
    <t>'3c4mop_c + h_c --&gt; 4mop_c + co2_c'</t>
  </si>
  <si>
    <t>'h_c + orot5p_c --&gt; co2_c + ump_c'</t>
  </si>
  <si>
    <t>'orn_m --&gt; nh4_m + pro__L_m'</t>
  </si>
  <si>
    <t>'acorn_m + glu__L_m --&gt; acglu_m + orn_m'</t>
  </si>
  <si>
    <t>'akg_c + orn_c --&gt; glu5sa_c + glu__L_c'</t>
  </si>
  <si>
    <t>'h_c + orn_m --&gt; h_m + orn_c'</t>
  </si>
  <si>
    <t>'orot_c + prpp_c --&gt; orot5p_c + ppi_c'</t>
  </si>
  <si>
    <t>'cdpdag_c + inost_c --&gt; cmp_c + h_c + pail_c'</t>
  </si>
  <si>
    <t>'paps_c + trdrd_c --&gt; h_c + pap_c + so3_c + trdox_c'</t>
  </si>
  <si>
    <t>'h2o_c + pa_c --&gt; dag_c + pi_c'</t>
  </si>
  <si>
    <t>'atp_c + hco3_c + pyr_c --&gt; adp_c + h_c + oaa_c + pi_c'</t>
  </si>
  <si>
    <t>'coa_m + nad_m + pyr_m --&gt; accoa_m + co2_m + nadh_m'</t>
  </si>
  <si>
    <t>'amet_c + pdme_c --&gt; ahcys_c + h_c + pc_c'</t>
  </si>
  <si>
    <t>'amet_c + pe_c --&gt; ahcys_c + h_c + pme_c'</t>
  </si>
  <si>
    <t>'atp_c + f6p_c --&gt; adp_c + fdp_c + h_c'</t>
  </si>
  <si>
    <t>'3pg_c + nad_c --&gt; 3php_c + h_c + nadh_c'</t>
  </si>
  <si>
    <t>'g6p_c &lt;=&gt; f6p_c'</t>
  </si>
  <si>
    <t>'13dpg_c + adp_c &lt;=&gt; 3pg_c + atp_c'</t>
  </si>
  <si>
    <t>'6pgl_c + h2o_c --&gt; 6pgc_c + h_c'</t>
  </si>
  <si>
    <t>'g6p_c --&gt; g1p_c'</t>
  </si>
  <si>
    <t>'3pg_c &lt;=&gt; 2pg_c'</t>
  </si>
  <si>
    <t>'glu__L_c + phpyr_c --&gt; akg_c + phe__L_c'</t>
  </si>
  <si>
    <t>'h_e + pi_e --&gt; h_c + pi_c'</t>
  </si>
  <si>
    <t>'h_c + pi_c --&gt; h_m + pi_m'</t>
  </si>
  <si>
    <t>'f6p_c + pi_c --&gt; actp_c + e4p_c + h2o_c'</t>
  </si>
  <si>
    <t>'pi_c + xu5p__D_c --&gt; actp_c + g3p_c + h2o_c'</t>
  </si>
  <si>
    <t>'man6p_c --&gt; man1p_c'</t>
  </si>
  <si>
    <t>'amet_c + pme_c --&gt; ahcys_c + h_c + pdme_c'</t>
  </si>
  <si>
    <t>'5pmev_c + atp_c --&gt; 5dpmev_c + adp_c'</t>
  </si>
  <si>
    <t>'h2o_c + ppi_c --&gt; h_c + 2.0 pi_c'</t>
  </si>
  <si>
    <t>'atp_c + oaa_c --&gt; adp_c + co2_c + pep_c'</t>
  </si>
  <si>
    <t>'nadp_c + pphn_c --&gt; 34hpp_c + co2_c + nadph_c'</t>
  </si>
  <si>
    <t>'h_c + pphn_c --&gt; co2_c + h2o_c + phpyr_c'</t>
  </si>
  <si>
    <t>'atp_c + gly_c + pram_c --&gt; adp_c + gar_c + h_c + pi_c'</t>
  </si>
  <si>
    <t>'atp_c + fpram_c --&gt; adp_c + air_c + h_c + pi_c'</t>
  </si>
  <si>
    <t>'pran_c --&gt; 2cpr5p_c'</t>
  </si>
  <si>
    <t>'h2o_c + prbamp_c --&gt; prfp_c'</t>
  </si>
  <si>
    <t>'5aizc_c + asp__L_c + atp_c --&gt; 25aics_c + adp_c + h_c + pi_c'</t>
  </si>
  <si>
    <t>'h2o_c + prbatp_c --&gt; 2.0 h_c + ppi_c + prbamp_c'</t>
  </si>
  <si>
    <t>'atp_c + fgam_c + gln__L_c + h2o_c --&gt; adp_c + fpram_c + glu__L_c + h_c + pi_c'</t>
  </si>
  <si>
    <t>'prfp_c --&gt; prlp_c'</t>
  </si>
  <si>
    <t>'atp_c + r5p_c --&gt; amp_c + h_c + prpp_c'</t>
  </si>
  <si>
    <t>'pep_c + skm5p_c --&gt; 3psme_c + pi_c'</t>
  </si>
  <si>
    <t>'2.0 h_c + ps_c --&gt; co2_c + pe_c'</t>
  </si>
  <si>
    <t>'3php_c + glu__L_c --&gt; akg_c + pser__L_c'</t>
  </si>
  <si>
    <t>'h2o_c + pser__L_c --&gt; pi_c + ser__L_c'</t>
  </si>
  <si>
    <t>'cdpdag_c + ser__L_c --&gt; cmp_c + 2.0 h_c + ps_c'</t>
  </si>
  <si>
    <t>'adp_c + h_c + pep_c --&gt; atp_c + pyr_c'</t>
  </si>
  <si>
    <t>'h_c + pyr_c --&gt; acald_c + co2_c'</t>
  </si>
  <si>
    <t>'h_c + pyr_c --&gt; h_m + pyr_m'</t>
  </si>
  <si>
    <t>'adp_c + trdrd_c --&gt; dadp_c + h2o_c + trdox_c'</t>
  </si>
  <si>
    <t>'gdp_c + trdrd_c --&gt; dgdp_c + h2o_c + trdox_c'</t>
  </si>
  <si>
    <t>'cdp_c + trdrd_c --&gt; dcdp_c + h2o_c + trdox_c'</t>
  </si>
  <si>
    <t>'trdrd_c + udp_c --&gt; dudp_c + h2o_c + trdox_c'</t>
  </si>
  <si>
    <t>'ru5p__D_c &lt;=&gt; xu5p__D_c'</t>
  </si>
  <si>
    <t>'ru5p__D_c &lt;=&gt; r5p_c'</t>
  </si>
  <si>
    <t>'L2aadp6sa_c + glu__L_c + h_c + nadph_c --&gt; h2o_c + nadp_c + saccrp__L_c'</t>
  </si>
  <si>
    <t>'h2o_c + nad_c + saccrp__L_c --&gt; akg_c + h_c + lys__L_c + nadh_c'</t>
  </si>
  <si>
    <t>'atp_c + h_c + so4_c --&gt; aps_c + ppi_c'</t>
  </si>
  <si>
    <t>'amet_c + zymst_c --&gt; ahcys_c + fecost_c + h_c'</t>
  </si>
  <si>
    <t>'h2o_c + s17bp_c --&gt; pi_c + s7p_c'</t>
  </si>
  <si>
    <t>'accoa_c + ser__L_c --&gt; acser_c + coa_c'</t>
  </si>
  <si>
    <t>'ser__L_c --&gt; nh4_c + pyr_c'</t>
  </si>
  <si>
    <t>'3dhsk_c + h_c + nadph_c --&gt; nadp_c + skm_c'</t>
  </si>
  <si>
    <t>'atp_c + skm_c --&gt; adp_c + h_c + skm5p_c'</t>
  </si>
  <si>
    <t>'3.0 h_c + 3.0 nadph_c + so3_c --&gt; 3.0 h2o_c + h2s_c + 3.0 nadp_c'</t>
  </si>
  <si>
    <t>'so4_e --&gt; so4_c'</t>
  </si>
  <si>
    <t>'h_c + nadph_c + o2_c + sql_c --&gt; Ssq23epx_c + h2o_c + nadp_c'</t>
  </si>
  <si>
    <t>'2.0 frdp_c + h_c + nadph_c --&gt; nadp_c + 2.0 ppi_c + sql_c'</t>
  </si>
  <si>
    <t>'h2o_c + nadp_c + sucsal_c --&gt; 2.0 h_c + nadph_c + succ_c'</t>
  </si>
  <si>
    <t>'acylcoa_c + ergst_c --&gt; coa_c + ergstest_c'</t>
  </si>
  <si>
    <t>'pi_m + succ_c --&gt; pi_c + succ_m'</t>
  </si>
  <si>
    <t>'q9_m + succ_m &lt;=&gt; fum_m + q9h2_m'</t>
  </si>
  <si>
    <t>'adp_m + pi_m + succoa_m --&gt; atp_m + coa_m + succ_m'</t>
  </si>
  <si>
    <t>'g3p_c + s7p_c &lt;=&gt; e4p_c + f6p_c'</t>
  </si>
  <si>
    <t>'thr__L_c --&gt; acald_c + gly_c'</t>
  </si>
  <si>
    <t>'thr__L_m --&gt; 2obut_m + nh4_m'</t>
  </si>
  <si>
    <t>'h2o_c + phom_c --&gt; pi_c + thr__L_c'</t>
  </si>
  <si>
    <t>'thr__L_c &lt;=&gt; thr__L_m'</t>
  </si>
  <si>
    <t>'dump_c + mlthf_c --&gt; dhf_c + dtmp_c'</t>
  </si>
  <si>
    <t>'dhap_c &lt;=&gt; g3p_c'</t>
  </si>
  <si>
    <t>'h_c + nadph_c + trdox_c --&gt; nadp_c + trdrd_c'</t>
  </si>
  <si>
    <t>'h2o_c + tre6p_c --&gt; pi_c + tre_c'</t>
  </si>
  <si>
    <t>'g6p_c + udpg_c --&gt; h_c + tre6p_c + udp_c'</t>
  </si>
  <si>
    <t>'o2_c + trp__L_c --&gt; Lfmkynr_c'</t>
  </si>
  <si>
    <t>'3ig3p_c + ser__L_c --&gt; g3p_c + h2o_c + trp__L_c'</t>
  </si>
  <si>
    <t>'34hpp_c + glu__L_c --&gt; akg_c + tyr__L_c'</t>
  </si>
  <si>
    <t>'acgam1p_c + h_c + utp_c --&gt; ppi_c + uacgam_c'</t>
  </si>
  <si>
    <t>'atp_c + ump_c --&gt; adp_c + udp_c'</t>
  </si>
  <si>
    <t>'atp_c + hco3_c + urea_c --&gt; adp_c + allphn_c + h_c + pi_c'</t>
  </si>
  <si>
    <t>'h2o_c + 2.0 h_c + urea_c &lt;=&gt; co2_c + 2.0 nh4_c'</t>
  </si>
  <si>
    <t>'akg_c + val__L_c --&gt; 3mob_c + glu__L_c'</t>
  </si>
  <si>
    <t>'3mob_m + glu__L_m --&gt; akg_m + val__L_m'</t>
  </si>
  <si>
    <t>'val__L_m --&gt; val__L_c'</t>
  </si>
  <si>
    <t>'zn2_e --&gt; zn2_c'</t>
  </si>
  <si>
    <t>'0.01875 docoscoa_c + 0.355664 linocoa_c + 0.087612 linolncoa_c + 0.207129 odecoa_c + 0.1694 pmtcoa_c + 0.112806 stcoa_c + 0.048639 ttccoa_c --&gt; acylcoa_c'</t>
  </si>
  <si>
    <t>'8.0 accoa_c + 7.0 atp_c + 14.0 h_c + 7.0 hco3_c + 14.0 nadph_c --&gt; 7.0 adp_c + 7.0 co2_c + 7.0 coa_c + 7.0 h2o_c + 14.0 nadp_c + 7.0 pi_c + pmtcoa_c'</t>
  </si>
  <si>
    <t>'accoa_c + atp_c + 2.0 h_c + hco3_c + 2.0 nadph_c + pmtcoa_c --&gt; adp_c + co2_c + coa_c + h2o_c + 2.0 nadp_c + pi_c + stcoa_c'</t>
  </si>
  <si>
    <t>'accoa_c + atp_c + 2.0 h_c + hco3_c + 2.0 nadph_c + stcoa_c --&gt; adp_c + co2_c + coa_c + h2o_c + icoscoa_c + 2.0 nadp_c + pi_c'</t>
  </si>
  <si>
    <t>'accoa_c + atp_c + 2.0 h_c + hco3_c + icoscoa_c + 2.0 nadph_c --&gt; adp_c + co2_c + coa_c + docoscoa_c + h2o_c + 2.0 nadp_c + pi_c'</t>
  </si>
  <si>
    <t>'accoa_c + atp_c + docoscoa_c + 2.0 h_c + hco3_c + 2.0 nadph_c --&gt; adp_c + co2_c + coa_c + h2o_c + 2.0 nadp_c + pi_c + ttccoa_c'</t>
  </si>
  <si>
    <t>'accoa_c + atp_c + 6.0 h_c + hco3_c + 2.0 nadph_c + ttccoa_c --&gt; adp_c + co2_c + coa_c + h2o_c + hxccoa_c + 2.0 nadp_c + pi_c'</t>
  </si>
  <si>
    <t>'0.01875 docoscoa_c + h2o_c + 0.355664 linocoa_c + 0.087612 linolncoa_c + 0.207129 odecoa_c + 0.1694 pmtcoa_c + 0.112806 stcoa_c + 0.048639 ttccoa_c --&gt; coa_c + ffabiom_c + h_c'</t>
  </si>
  <si>
    <t>'2.0 hxccoa_c + 6.0 nadph_c + 2.0 o2_c + 4.0 pail_c + 4.0 pmtcoa_c + 4.0 ser__L_c + 2.0 ttccoa_c --&gt; 4.0 co2_c + 8.0 coa_c + 4.0 dag_c + 2.0 h2o_c + 2.0 h_c + 4.0 ipcbiom_c + 6.0 nadp_c'</t>
  </si>
  <si>
    <t>'xu5p__D_c &lt;=&gt; tktc2_c + g3p_c'</t>
  </si>
  <si>
    <t>'r5p_c + tktc2_c &lt;=&gt; s7p_c'</t>
  </si>
  <si>
    <t>'e4p_c + tktc2_c &lt;=&gt; f6p_c'</t>
  </si>
  <si>
    <t>'dhap_c + h_c + nadh_c --&gt; glyc3p_c + nad_c'</t>
  </si>
  <si>
    <t>'glu5sa_c --&gt; 1pyr5c_c + h2o_c + h_c'</t>
  </si>
  <si>
    <t>'1pyr5c_c + 2.0 h_c + nadph_c --&gt; nadp_c + pro__L_c'</t>
  </si>
  <si>
    <t>'pro__L_c --&gt; pro__L_m'</t>
  </si>
  <si>
    <t>'fad_m + pro__L_m --&gt; 1pyr5c_m + fadh2_m'</t>
  </si>
  <si>
    <t>'1pyr5c_m + h2o_m + h_m --&gt; glu5sa_m'</t>
  </si>
  <si>
    <t>'glu5sa_m + nad_m + h2o_m --&gt; glu__L_m + nadh_m + 2 h_m'</t>
  </si>
  <si>
    <t>'ser__L_c + thf_c &lt;=&gt; gly_c + h2o_c + mlthf_c'</t>
  </si>
  <si>
    <t>'mlthf_c + nad_c --&gt; methf_c + nadh_c'</t>
  </si>
  <si>
    <t>'mlthf_c + nadp_c &lt;=&gt; methf_c + nadph_c'</t>
  </si>
  <si>
    <t>'h2o_c + methf_c &lt;=&gt; 10fthf_c + h_c'</t>
  </si>
  <si>
    <t>'atp_c + for_c + thf_c &lt;=&gt; 10fthf_c + adp_c + pi_c'</t>
  </si>
  <si>
    <t>'ser__L_m + thf_m &lt;=&gt; gly_m + h2o_m + mlthf_m'</t>
  </si>
  <si>
    <t>'gly_m + nad_m + thf_m &lt;=&gt; co2_m + mlthf_m + nadh_m + nh4_m'</t>
  </si>
  <si>
    <t>'mlthf_m + nadp_m &lt;=&gt; methf_m + nadph_m'</t>
  </si>
  <si>
    <t>'h2o_m + methf_m &lt;=&gt; 10fthf_m + h_m'</t>
  </si>
  <si>
    <t>'atp_m + for_m + thf_m &lt;=&gt; 10fthf_m + adp_m + pi_m'</t>
  </si>
  <si>
    <t>'gly_c &lt;=&gt; gly_m'</t>
  </si>
  <si>
    <t>'for_m &lt;=&gt; for_c'</t>
  </si>
  <si>
    <t>'ser__L_c &lt;=&gt; ser__L_m'</t>
  </si>
  <si>
    <t>'0 2ippm_c --&gt; 2ippm_d1'</t>
  </si>
  <si>
    <t>'2ippm_i --&gt; 2ippm_d1'</t>
  </si>
  <si>
    <t>'2ippm_d1 --&gt; sink_2ippm'</t>
  </si>
  <si>
    <t>'0 akg_c --&gt; akg_d1'</t>
  </si>
  <si>
    <t>'0 akg_m --&gt; akg_d1'</t>
  </si>
  <si>
    <t>'akg_i --&gt; akg_d1'</t>
  </si>
  <si>
    <t>'akg_d1 --&gt; sink_akg'</t>
  </si>
  <si>
    <t>'0 arg__L_c --&gt; arg__L_d1'</t>
  </si>
  <si>
    <t>'arg__L_i --&gt; arg__L_d1'</t>
  </si>
  <si>
    <t>'arg__L_d1 --&gt; sink_arg__L'</t>
  </si>
  <si>
    <t>'0 asn__L_c --&gt; asn__L_d1'</t>
  </si>
  <si>
    <t>'asn__L_i --&gt; asn__L_d1'</t>
  </si>
  <si>
    <t>'asn__L_d1 --&gt; sink_asn__L'</t>
  </si>
  <si>
    <t>'0 asp__L_c --&gt; asp__L_d1'</t>
  </si>
  <si>
    <t>'0 asp__L_m --&gt; asp__L_d1'</t>
  </si>
  <si>
    <t>'asp__L_i --&gt; asp__L_d1'</t>
  </si>
  <si>
    <t>'asp__L_d1 --&gt; sink_asp__L'</t>
  </si>
  <si>
    <t>'0 cit_c --&gt; citicit_d1'</t>
  </si>
  <si>
    <t>'0 cit_m --&gt; citicit_d1'</t>
  </si>
  <si>
    <t>'0 icit_c --&gt; citicit_d1'</t>
  </si>
  <si>
    <t>'0 icit_m --&gt; citicit_d1'</t>
  </si>
  <si>
    <t>'citicit_i --&gt; citicit_d1'</t>
  </si>
  <si>
    <t>'citicit_d1 --&gt; sink_citicit'</t>
  </si>
  <si>
    <t>'0 citr__L_c --&gt; citr__L_d1'</t>
  </si>
  <si>
    <t>'citr__L_i --&gt; citr__L_d1'</t>
  </si>
  <si>
    <t>'citr__L_d1 --&gt; sink_citr__L'</t>
  </si>
  <si>
    <t>'0 dhap_c --&gt; dhap_d1'</t>
  </si>
  <si>
    <t>'dhap_i --&gt; dhap_d1'</t>
  </si>
  <si>
    <t>'dhap_d1 --&gt; sink_dhap'</t>
  </si>
  <si>
    <t>'0 f6p_c --&gt; f6p_d1'</t>
  </si>
  <si>
    <t>'f6p_i --&gt; f6p_d1'</t>
  </si>
  <si>
    <t>'f6p_d1 --&gt; sink_f6p'</t>
  </si>
  <si>
    <t>'0 fdp_c --&gt; fdp_d1'</t>
  </si>
  <si>
    <t>'fdp_i --&gt; fdp_d1'</t>
  </si>
  <si>
    <t>'fdp_d1 --&gt; sink_fdp'</t>
  </si>
  <si>
    <t>'0 g3p_c --&gt; g3p_d1'</t>
  </si>
  <si>
    <t>'g3p_i --&gt; g3p_d1'</t>
  </si>
  <si>
    <t>'g3p_d1 --&gt; sink_g3p'</t>
  </si>
  <si>
    <t>'0 g6p_c --&gt; g6p_d1'</t>
  </si>
  <si>
    <t>'g6p_i --&gt; g6p_d1'</t>
  </si>
  <si>
    <t>'g6p_d1 --&gt; sink_g6p'</t>
  </si>
  <si>
    <t>'0 gln__L_c --&gt; gln__L_d1'</t>
  </si>
  <si>
    <t>'gln__L_i --&gt; gln__L_d1'</t>
  </si>
  <si>
    <t>'gln__L_d1 --&gt; sink_gln__L'</t>
  </si>
  <si>
    <t>'0 glu__L_c --&gt; glu__L_d1'</t>
  </si>
  <si>
    <t>'0 glu__L_m --&gt; glu__L_d1'</t>
  </si>
  <si>
    <t>'glu__L_i --&gt; glu__L_d1'</t>
  </si>
  <si>
    <t>'glu__L_d1 --&gt; sink_glu__L'</t>
  </si>
  <si>
    <t>'0 glyc3p_c --&gt; glyc3p_d1'</t>
  </si>
  <si>
    <t>'glyc3p_i --&gt; glyc3p_d1'</t>
  </si>
  <si>
    <t>'glyc3p_d1 --&gt; sink_glyc3p'</t>
  </si>
  <si>
    <t>'0 his__L_c --&gt; his__L_d1'</t>
  </si>
  <si>
    <t>'his__L_i --&gt; his__L_d1'</t>
  </si>
  <si>
    <t>'his__L_d1 --&gt; sink_his__L'</t>
  </si>
  <si>
    <t>'0 ile__L_c --&gt; ile__L_d1'</t>
  </si>
  <si>
    <t>'0 ile__L_m --&gt; ile__L_d1'</t>
  </si>
  <si>
    <t>'ile__L_i --&gt; ile__L_d1'</t>
  </si>
  <si>
    <t>'ile__L_d1 --&gt; sink_ile__L'</t>
  </si>
  <si>
    <t>'0 leu__L_c --&gt; leu__L_d1'</t>
  </si>
  <si>
    <t>'leu__L_i --&gt; leu__L_d1'</t>
  </si>
  <si>
    <t>'leu__L_d1 --&gt; sink_leu__L'</t>
  </si>
  <si>
    <t>'0 lys__L_c --&gt; lys__L_d1'</t>
  </si>
  <si>
    <t>'lys__L_i --&gt; lys__L_d1'</t>
  </si>
  <si>
    <t>'lys__L_d1 --&gt; sink_lys__L'</t>
  </si>
  <si>
    <t>'0 mal__L_c --&gt; mal__L_d1'</t>
  </si>
  <si>
    <t>'0 mal__L_m --&gt; mal__L_d1'</t>
  </si>
  <si>
    <t>'mal__L_i --&gt; mal__L_d1'</t>
  </si>
  <si>
    <t>'mal__L_d1 --&gt; sink_mal__L'</t>
  </si>
  <si>
    <t>'0 met__L_c --&gt; met__L_d1'</t>
  </si>
  <si>
    <t>'met__L_i --&gt; met__L_d1'</t>
  </si>
  <si>
    <t>'met__L_d1 --&gt; sink_met__L'</t>
  </si>
  <si>
    <t>'0 orn_c --&gt; orn_d1'</t>
  </si>
  <si>
    <t>'0 orn_m --&gt; orn_d1'</t>
  </si>
  <si>
    <t>'orn_i --&gt; orn_d1'</t>
  </si>
  <si>
    <t>'orn_d1 --&gt; sink_orn'</t>
  </si>
  <si>
    <t>'0 orot_c --&gt; orot_d1'</t>
  </si>
  <si>
    <t>'orot_i --&gt; orot_d1'</t>
  </si>
  <si>
    <t>'orot_d1 --&gt; sink_orot'</t>
  </si>
  <si>
    <t>'0 pep_c --&gt; pep_d1'</t>
  </si>
  <si>
    <t>'pep_i --&gt; pep_d1'</t>
  </si>
  <si>
    <t>'pep_d1 --&gt; sink_pep'</t>
  </si>
  <si>
    <t>'0 phe__L_c --&gt; phe__L_d1'</t>
  </si>
  <si>
    <t>'phe__L_i --&gt; phe__L_d1'</t>
  </si>
  <si>
    <t>'phe__L_d1 --&gt; sink_phe__L'</t>
  </si>
  <si>
    <t>'0 pro__L_c --&gt; pro__L_d1'</t>
  </si>
  <si>
    <t>'0 pro__L_m --&gt; pro__L_d1'</t>
  </si>
  <si>
    <t>'pro__L_i --&gt; pro__L_d1'</t>
  </si>
  <si>
    <t>'pro__L_d1 --&gt; sink_pro__L'</t>
  </si>
  <si>
    <t>'0 r5p_c --&gt; r5p_d1'</t>
  </si>
  <si>
    <t>'r5p_i --&gt; r5p_d1'</t>
  </si>
  <si>
    <t>'r5p_d1 --&gt; sink_r5p'</t>
  </si>
  <si>
    <t>'0 s7p_c --&gt; s7p_d1'</t>
  </si>
  <si>
    <t>'s7p_i --&gt; s7p_d1'</t>
  </si>
  <si>
    <t>'s7p_d1 --&gt; sink_s7p'</t>
  </si>
  <si>
    <t>'0 ser__L_c --&gt; ser__L_d1'</t>
  </si>
  <si>
    <t>'0 ser__L_m --&gt; ser__L_d1'</t>
  </si>
  <si>
    <t>'ser__L_i --&gt; ser__L_d1'</t>
  </si>
  <si>
    <t>'ser__L_d1 --&gt; sink_ser__L'</t>
  </si>
  <si>
    <t>'0 succ_c --&gt; succ_d1'</t>
  </si>
  <si>
    <t>'0 succ_m --&gt; succ_d1'</t>
  </si>
  <si>
    <t>'succ_i --&gt; succ_d1'</t>
  </si>
  <si>
    <t>'succ_d1 --&gt; sink_succ'</t>
  </si>
  <si>
    <t>'0 thr__L_c --&gt; thr__L_d1'</t>
  </si>
  <si>
    <t>'0 thr__L_m --&gt; thr__L_d1'</t>
  </si>
  <si>
    <t>'thr__L_i --&gt; thr__L_d1'</t>
  </si>
  <si>
    <t>'thr__L_d1 --&gt; sink_thr__L'</t>
  </si>
  <si>
    <t>'0 trp__L_c --&gt; trp__L_d1'</t>
  </si>
  <si>
    <t>'trp__L_i --&gt; trp__L_d1'</t>
  </si>
  <si>
    <t>'trp__L_d1 --&gt; sink_trp__L'</t>
  </si>
  <si>
    <t>'0 tyr__L_c --&gt; tyr__L_d1'</t>
  </si>
  <si>
    <t>'tyr__L_i --&gt; tyr__L_d1'</t>
  </si>
  <si>
    <t>'tyr__L_d1 --&gt; sink_tyr__L'</t>
  </si>
  <si>
    <t>'0 val__L_c --&gt; val__L_d1'</t>
  </si>
  <si>
    <t>'0 val__L_m --&gt; val__L_d1'</t>
  </si>
  <si>
    <t>'val__L_i --&gt; val__L_d1'</t>
  </si>
  <si>
    <t>'val__L_d1 --&gt; sink_val__L'</t>
  </si>
  <si>
    <t>'0 2ippm_c --&gt; 2ippm_d2'</t>
  </si>
  <si>
    <t>'2ippm_i --&gt; 2ippm_d2'</t>
  </si>
  <si>
    <t>'2ippm_d2 --&gt; sink_2ippm'</t>
  </si>
  <si>
    <t>'0 3mob_c --&gt; 3mob_d2'</t>
  </si>
  <si>
    <t>'0 3mob_m --&gt; 3mob_d2'</t>
  </si>
  <si>
    <t>'3mob_i --&gt; 3mob_d2'</t>
  </si>
  <si>
    <t>'3mob_d2 --&gt; sink_3mob'</t>
  </si>
  <si>
    <t>'0 akg_c --&gt; akg_d2'</t>
  </si>
  <si>
    <t>'0 akg_m --&gt; akg_d2'</t>
  </si>
  <si>
    <t>'akg_i --&gt; akg_d2'</t>
  </si>
  <si>
    <t>'akg_d2 --&gt; sink_akg'</t>
  </si>
  <si>
    <t>'0 ala__L_c --&gt; ala__L_d2'</t>
  </si>
  <si>
    <t>'0 ala__L_m --&gt; ala__L_d2'</t>
  </si>
  <si>
    <t>'ala__L_i --&gt; ala__L_d2'</t>
  </si>
  <si>
    <t>'ala__L_d2 --&gt; sink_ala__L'</t>
  </si>
  <si>
    <t>'0 arg__L_c --&gt; arg__L_d2'</t>
  </si>
  <si>
    <t>'arg__L_i --&gt; arg__L_d2'</t>
  </si>
  <si>
    <t>'arg__L_d2 --&gt; sink_arg__L'</t>
  </si>
  <si>
    <t>'0 asn__L_c --&gt; asn__L_d2'</t>
  </si>
  <si>
    <t>'asn__L_i --&gt; asn__L_d2'</t>
  </si>
  <si>
    <t>'asn__L_d2 --&gt; sink_asn__L'</t>
  </si>
  <si>
    <t>'0 asp__L_c --&gt; asp__L_d2'</t>
  </si>
  <si>
    <t>'0 asp__L_m --&gt; asp__L_d2'</t>
  </si>
  <si>
    <t>'asp__L_i --&gt; asp__L_d2'</t>
  </si>
  <si>
    <t>'asp__L_d2 --&gt; sink_asp__L'</t>
  </si>
  <si>
    <t>'0 cit_c --&gt; citicit_d2'</t>
  </si>
  <si>
    <t>'0 cit_m --&gt; citicit_d2'</t>
  </si>
  <si>
    <t>'0 icit_c --&gt; citicit_d2'</t>
  </si>
  <si>
    <t>'0 icit_m --&gt; citicit_d2'</t>
  </si>
  <si>
    <t>'citicit_i --&gt; citicit_d2'</t>
  </si>
  <si>
    <t>'citicit_d2 --&gt; sink_citicit'</t>
  </si>
  <si>
    <t>'0 citr__L_c --&gt; citr__L_d2'</t>
  </si>
  <si>
    <t>'citr__L_i --&gt; citr__L_d2'</t>
  </si>
  <si>
    <t>'citr__L_d2 --&gt; sink_citr__L'</t>
  </si>
  <si>
    <t>'0 dhap_c --&gt; dhap_d2'</t>
  </si>
  <si>
    <t>'dhap_i --&gt; dhap_d2'</t>
  </si>
  <si>
    <t>'dhap_d2 --&gt; sink_dhap'</t>
  </si>
  <si>
    <t>'0 f6p_c --&gt; f6p_d2'</t>
  </si>
  <si>
    <t>'f6p_i --&gt; f6p_d2'</t>
  </si>
  <si>
    <t>'f6p_d2 --&gt; sink_f6p'</t>
  </si>
  <si>
    <t>'0 fdp_c --&gt; fdp_d2'</t>
  </si>
  <si>
    <t>'fdp_i --&gt; fdp_d2'</t>
  </si>
  <si>
    <t>'fdp_d2 --&gt; sink_fdp'</t>
  </si>
  <si>
    <t>'0 fum_c --&gt; fum_d2'</t>
  </si>
  <si>
    <t>'0 fum_m --&gt; fum_d2'</t>
  </si>
  <si>
    <t>'fum_i --&gt; fum_d2'</t>
  </si>
  <si>
    <t>'fum_d2 --&gt; sink_fum'</t>
  </si>
  <si>
    <t>'0 g3p_c --&gt; g3p_d2'</t>
  </si>
  <si>
    <t>'g3p_i --&gt; g3p_d2'</t>
  </si>
  <si>
    <t>'g3p_d2 --&gt; sink_g3p'</t>
  </si>
  <si>
    <t>'0 g6p_c --&gt; g6p_d2'</t>
  </si>
  <si>
    <t>'g6p_i --&gt; g6p_d2'</t>
  </si>
  <si>
    <t>'g6p_d2 --&gt; sink_g6p'</t>
  </si>
  <si>
    <t>'0 gln__L_c --&gt; gln__L_d2'</t>
  </si>
  <si>
    <t>'gln__L_i --&gt; gln__L_d2'</t>
  </si>
  <si>
    <t>'gln__L_d2 --&gt; sink_gln__L'</t>
  </si>
  <si>
    <t>'0 glu__L_c --&gt; glu__L_d2'</t>
  </si>
  <si>
    <t>'0 glu__L_m --&gt; glu__L_d2'</t>
  </si>
  <si>
    <t>'glu__L_i --&gt; glu__L_d2'</t>
  </si>
  <si>
    <t>'glu__L_d2 --&gt; sink_glu__L'</t>
  </si>
  <si>
    <t>'0 gly_c --&gt; gly_d2'</t>
  </si>
  <si>
    <t>'0 gly_m --&gt; gly_d2'</t>
  </si>
  <si>
    <t>'gly_i --&gt; gly_d2'</t>
  </si>
  <si>
    <t>'gly_d2 --&gt; sink_gly'</t>
  </si>
  <si>
    <t>'0 glyc3p_c --&gt; glyc3p_d2'</t>
  </si>
  <si>
    <t>'glyc3p_i --&gt; glyc3p_d2'</t>
  </si>
  <si>
    <t>'glyc3p_d2 --&gt; sink_glyc3p'</t>
  </si>
  <si>
    <t>'0 his__L_c --&gt; his__L_d2'</t>
  </si>
  <si>
    <t>'his__L_i --&gt; his__L_d2'</t>
  </si>
  <si>
    <t>'his__L_d2 --&gt; sink_his__L'</t>
  </si>
  <si>
    <t>'0 ile__L_c --&gt; ile__L_d2'</t>
  </si>
  <si>
    <t>'0 ile__L_m --&gt; ile__L_d2'</t>
  </si>
  <si>
    <t>'ile__L_i --&gt; ile__L_d2'</t>
  </si>
  <si>
    <t>'ile__L_d2 --&gt; sink_ile__L'</t>
  </si>
  <si>
    <t>'0 leu__L_c --&gt; leu__L_d2'</t>
  </si>
  <si>
    <t>'leu__L_i --&gt; leu__L_d2'</t>
  </si>
  <si>
    <t>'leu__L_d2 --&gt; sink_leu__L'</t>
  </si>
  <si>
    <t>'0 lys__L_c --&gt; lys__L_d2'</t>
  </si>
  <si>
    <t>'lys__L_i --&gt; lys__L_d2'</t>
  </si>
  <si>
    <t>'lys__L_d2 --&gt; sink_lys__L'</t>
  </si>
  <si>
    <t>'0 mal__L_c --&gt; mal__L_d2'</t>
  </si>
  <si>
    <t>'0 mal__L_m --&gt; mal__L_d2'</t>
  </si>
  <si>
    <t>'mal__L_i --&gt; mal__L_d2'</t>
  </si>
  <si>
    <t>'mal__L_d2 --&gt; sink_mal__L'</t>
  </si>
  <si>
    <t>'0 met__L_c --&gt; met__L_d2'</t>
  </si>
  <si>
    <t>'met__L_i --&gt; met__L_d2'</t>
  </si>
  <si>
    <t>'met__L_d2 --&gt; sink_met__L'</t>
  </si>
  <si>
    <t>'0 orn_c --&gt; orn_d2'</t>
  </si>
  <si>
    <t>'0 orn_m --&gt; orn_d2'</t>
  </si>
  <si>
    <t>'orn_i --&gt; orn_d2'</t>
  </si>
  <si>
    <t>'orn_d2 --&gt; sink_orn'</t>
  </si>
  <si>
    <t>'0 orot_c --&gt; orot_d2'</t>
  </si>
  <si>
    <t>'orot_i --&gt; orot_d2'</t>
  </si>
  <si>
    <t>'orot_d2 --&gt; sink_orot'</t>
  </si>
  <si>
    <t>'0 pep_c --&gt; pep_d2'</t>
  </si>
  <si>
    <t>'pep_i --&gt; pep_d2'</t>
  </si>
  <si>
    <t>'pep_d2 --&gt; sink_pep'</t>
  </si>
  <si>
    <t>'0 phe__L_c --&gt; phe__L_d2'</t>
  </si>
  <si>
    <t>'phe__L_i --&gt; phe__L_d2'</t>
  </si>
  <si>
    <t>'phe__L_d2 --&gt; sink_phe__L'</t>
  </si>
  <si>
    <t>'0 pro__L_c --&gt; pro__L_d2'</t>
  </si>
  <si>
    <t>'0 pro__L_m --&gt; pro__L_d2'</t>
  </si>
  <si>
    <t>'pro__L_i --&gt; pro__L_d2'</t>
  </si>
  <si>
    <t>'pro__L_d2 --&gt; sink_pro__L'</t>
  </si>
  <si>
    <t>'0 pyr_c --&gt; pyr_d2'</t>
  </si>
  <si>
    <t>'0 pyr_m --&gt; pyr_d2'</t>
  </si>
  <si>
    <t>'pyr_i --&gt; pyr_d2'</t>
  </si>
  <si>
    <t>'pyr_d2 --&gt; sink_pyr'</t>
  </si>
  <si>
    <t>'0 r5p_c --&gt; r5p_d2'</t>
  </si>
  <si>
    <t>'r5p_i --&gt; r5p_d2'</t>
  </si>
  <si>
    <t>'r5p_d2 --&gt; sink_r5p'</t>
  </si>
  <si>
    <t>'0 s7p_c --&gt; s7p_d2'</t>
  </si>
  <si>
    <t>'s7p_i --&gt; s7p_d2'</t>
  </si>
  <si>
    <t>'s7p_d2 --&gt; sink_s7p'</t>
  </si>
  <si>
    <t>'0 ser__L_c --&gt; ser__L_d2'</t>
  </si>
  <si>
    <t>'0 ser__L_m --&gt; ser__L_d2'</t>
  </si>
  <si>
    <t>'ser__L_i --&gt; ser__L_d2'</t>
  </si>
  <si>
    <t>'ser__L_d2 --&gt; sink_ser__L'</t>
  </si>
  <si>
    <t>'0 succ_c --&gt; succ_d2'</t>
  </si>
  <si>
    <t>'0 succ_m --&gt; succ_d2'</t>
  </si>
  <si>
    <t>'succ_i --&gt; succ_d2'</t>
  </si>
  <si>
    <t>'succ_d2 --&gt; sink_succ'</t>
  </si>
  <si>
    <t>'0 thr__L_c --&gt; thr__L_d2'</t>
  </si>
  <si>
    <t>'0 thr__L_m --&gt; thr__L_d2'</t>
  </si>
  <si>
    <t>'thr__L_i --&gt; thr__L_d2'</t>
  </si>
  <si>
    <t>'thr__L_d2 --&gt; sink_thr__L'</t>
  </si>
  <si>
    <t>'0 trp__L_c --&gt; trp__L_d2'</t>
  </si>
  <si>
    <t>'trp__L_i --&gt; trp__L_d2'</t>
  </si>
  <si>
    <t>'trp__L_d2 --&gt; sink_trp__L'</t>
  </si>
  <si>
    <t>'0 tyr__L_c --&gt; tyr__L_d2'</t>
  </si>
  <si>
    <t>'tyr__L_i --&gt; tyr__L_d2'</t>
  </si>
  <si>
    <t>'tyr__L_d2 --&gt; sink_tyr__L'</t>
  </si>
  <si>
    <t>'0 val__L_c --&gt; val__L_d2'</t>
  </si>
  <si>
    <t>'0 val__L_m --&gt; val__L_d2'</t>
  </si>
  <si>
    <t>'val__L_i --&gt; val__L_d2'</t>
  </si>
  <si>
    <t>'val__L_d2 --&gt; sink_val__L'</t>
  </si>
  <si>
    <t>'0 prpp_c --&gt; amp_prpp_d1'</t>
  </si>
  <si>
    <t>'0 gly_c --&gt; amp_gly_d1'</t>
  </si>
  <si>
    <t>'0 10fthf_c --&gt; amp_10fthf_d1 + amp_thf_d1'</t>
  </si>
  <si>
    <t>'0 co2_c --&gt; amp_co2_d1'</t>
  </si>
  <si>
    <t>'amp_thf_d1 --&gt; sink_amp_thf_d1'</t>
  </si>
  <si>
    <t>'amp_prpp_d1 + amp_gly_d1 + 2 amp_10fthf_d1 + amp_co2_d1 --&gt; amp_d1'</t>
  </si>
  <si>
    <t>'amp_i --&gt; amp_d1'</t>
  </si>
  <si>
    <t>'amp_d1 --&gt; sink_amp'</t>
  </si>
  <si>
    <t>'0 prpp_c --&gt; amp_prpp_d2'</t>
  </si>
  <si>
    <t>'0 gly_c --&gt; amp_gly_d2'</t>
  </si>
  <si>
    <t>'0 10fthf_c --&gt; amp_10fthf_d2 + amp_thf_d2'</t>
  </si>
  <si>
    <t>'0 co2_c --&gt; amp_co2_d2'</t>
  </si>
  <si>
    <t>'amp_thf_d2 --&gt; sink_amp_thf_d2'</t>
  </si>
  <si>
    <t>'amp_prpp_d2 + amp_gly_d2 + 2 amp_10fthf_d2 + amp_co2_d2 --&gt; amp_d2'</t>
  </si>
  <si>
    <t>'amp_i --&gt; amp_d2'</t>
  </si>
  <si>
    <t>'amp_d2 --&gt; sink_amp'</t>
  </si>
  <si>
    <t>'fadh2_c + fum_c --&gt; fad_c + h_c + succ_c'</t>
  </si>
  <si>
    <t>'fadh2_m + q9_m --&gt; fad_m + h_m + q9h2_m'</t>
  </si>
  <si>
    <t>'fadh2_m &lt;=&gt; fadh2_c'</t>
  </si>
  <si>
    <t>'fad_c &lt;=&gt; fad_m'</t>
  </si>
  <si>
    <t>'oaa_c + h_c --&gt; pyr_c + co2_c'</t>
  </si>
  <si>
    <t>'acald_c + h2o_c + nad_c --&gt; ac_c + 2.0 h_c + nadh_c'</t>
  </si>
  <si>
    <t>'acald_c + h2o_c + nadp_c --&gt; ac_c + 2.0 h_c + nadph_c'</t>
  </si>
  <si>
    <t>'fum_m + succ_c --&gt; fum_c + succ_m'</t>
  </si>
  <si>
    <t>'1,3-beta-glucan synthase'</t>
  </si>
  <si>
    <t>'1,6-beta-glucan synthase'</t>
  </si>
  <si>
    <t>'2-oxobutanoate transporter'</t>
  </si>
  <si>
    <t>'2-oxoadipate and 2-oxoglutarate transport'</t>
  </si>
  <si>
    <t>'L-aminoadipate-semialdehyde dehydrogenase (NADPH)'</t>
  </si>
  <si>
    <t>'2-aminoadipate transaminase'</t>
  </si>
  <si>
    <t>'4-aminobutyrate transaminase'</t>
  </si>
  <si>
    <t>'acetyl-CoA C-acetyltransferase'</t>
  </si>
  <si>
    <t>'N-acetylglucosamine-6-phosphate synthase'</t>
  </si>
  <si>
    <t>'phosphoacetylglucosamine mutase'</t>
  </si>
  <si>
    <t>'acetylglutamate kinase'</t>
  </si>
  <si>
    <t>'2-aceto-2-hydroxybutanoate synthase'</t>
  </si>
  <si>
    <t>'ATP citrate lyase'</t>
  </si>
  <si>
    <t>'acetate kinase'</t>
  </si>
  <si>
    <t>'acetolactate synthase'</t>
  </si>
  <si>
    <t>'stearoyl-CoA desaturase (n-C18:0CoA -&gt; n-C18:1CoA)'</t>
  </si>
  <si>
    <t>'stearoyl-CoA desaturase (n-C18:1CoA -&gt; n-C18:2CoA)'</t>
  </si>
  <si>
    <t>'linoleoyl-CoA desaturase (n-C18:2CoA -&gt; n-C18:3CoA)'</t>
  </si>
  <si>
    <t>'citrate to cis-aconitate(3-)'</t>
  </si>
  <si>
    <t>'cis-aconitate(3-) to isocitrate'</t>
  </si>
  <si>
    <t>'acteylornithine transaminase'</t>
  </si>
  <si>
    <t>'acetyl-CoA synthetase'</t>
  </si>
  <si>
    <t>'adenylate kinase'</t>
  </si>
  <si>
    <t>'adenosine kinase'</t>
  </si>
  <si>
    <t>'ADP/ATP transporter'</t>
  </si>
  <si>
    <t>'adenylyl-sulfate kinase'</t>
  </si>
  <si>
    <t>'adenylosuccinate lyase'</t>
  </si>
  <si>
    <t>'adenylosuccinate lyase (AICAR)'</t>
  </si>
  <si>
    <t>'adenylosuccinate synthase'</t>
  </si>
  <si>
    <t>'1-Acyl-sn-glycerol-3-phosphate acyltransferase'</t>
  </si>
  <si>
    <t>'N-acetyl-g-glutamyl-phosphate reductase'</t>
  </si>
  <si>
    <t>'alanine glyoxylate aminotransferase'</t>
  </si>
  <si>
    <t>'adenosylhomocysteinase'</t>
  </si>
  <si>
    <t>'O-acetylhomoserine (thiol)-lyase'</t>
  </si>
  <si>
    <t>'phosphoribosylaminoimidazolecarboxamide formyltransferase'</t>
  </si>
  <si>
    <t>'phosphoribosylaminoimidazole-carboxylase'</t>
  </si>
  <si>
    <t>'AKG transporter, mitochondrial'</t>
  </si>
  <si>
    <t>'2-oxoglutarate dehydrogenase'</t>
  </si>
  <si>
    <t>'oxoglutarate/malate exchange'</t>
  </si>
  <si>
    <t>'L-alanine transaminase'</t>
  </si>
  <si>
    <t>'L-alanine transport'</t>
  </si>
  <si>
    <t>'allophanate hydrolase'</t>
  </si>
  <si>
    <t>'anthranilate phosphoribosyltransferase'</t>
  </si>
  <si>
    <t>'anthranilate synthase'</t>
  </si>
  <si>
    <t>'arginase'</t>
  </si>
  <si>
    <t>'argininosuccinate lyase'</t>
  </si>
  <si>
    <t>'argininosuccinate synthase'</t>
  </si>
  <si>
    <t>'aspartate-semialdehyde dehydrogenase'</t>
  </si>
  <si>
    <t>'asparagine synthase (glutamine-hydrolysing)'</t>
  </si>
  <si>
    <t>'aspartate carbamoyltransferase'</t>
  </si>
  <si>
    <t>'aspartate-glutamate transporter'</t>
  </si>
  <si>
    <t>'aspartate kinase'</t>
  </si>
  <si>
    <t>'aspartate transaminase'</t>
  </si>
  <si>
    <t>'ATP maintenance requirement'</t>
  </si>
  <si>
    <t>'ATP phosphoribosyltransferase'</t>
  </si>
  <si>
    <t>'ATP synthase'</t>
  </si>
  <si>
    <t>'3'',5''-bisphosphate nucleotidase'</t>
  </si>
  <si>
    <t>'Biomass reaction'</t>
  </si>
  <si>
    <t>'C-14 sterol reductase'</t>
  </si>
  <si>
    <t>'C-22 sterol desaturase (NADP)'</t>
  </si>
  <si>
    <t>'C-s24 sterol reductase'</t>
  </si>
  <si>
    <t>'C-3 sterol dehydrogenase (4-methylzymosterol)'</t>
  </si>
  <si>
    <t>'C-3 sterol dehydrogenase'</t>
  </si>
  <si>
    <t>'C-3 sterol keto reductase (4-methylzymosterol)'</t>
  </si>
  <si>
    <t>'C-3 sterol keto reductase (zymosterol)'</t>
  </si>
  <si>
    <t>'C-4 methyl sterol oxidase'</t>
  </si>
  <si>
    <t>'C-4 sterol methyl oxidase (4,4-dimethylzymosterol)'</t>
  </si>
  <si>
    <t>'C-5 sterol desaturase'</t>
  </si>
  <si>
    <t>'C-8 sterol isomerase'</t>
  </si>
  <si>
    <t>'Ca2+ transport'</t>
  </si>
  <si>
    <t>'cystathionine b-lyase'</t>
  </si>
  <si>
    <t>'carbamoyl-phosphate synthase (glutamine-hydrolysing)'</t>
  </si>
  <si>
    <t>'CDP-diacylglycerol synthase'</t>
  </si>
  <si>
    <t>'chorismate mutase'</t>
  </si>
  <si>
    <t>'chorismate synthase'</t>
  </si>
  <si>
    <t>'chitin synthase'</t>
  </si>
  <si>
    <t>'citrate transport'</t>
  </si>
  <si>
    <t>'CO2 transport'</t>
  </si>
  <si>
    <t>'citrate synthase'</t>
  </si>
  <si>
    <t>'CTP synthase (glutamine)'</t>
  </si>
  <si>
    <t>'Cu2+ transport'</t>
  </si>
  <si>
    <t>'cysteine synthase'</t>
  </si>
  <si>
    <t>'cystathionine g-lyase'</t>
  </si>
  <si>
    <t>'cystathionine beta-synthase'</t>
  </si>
  <si>
    <t>'cytidylate kinase (CMP)'</t>
  </si>
  <si>
    <t>'3-deoxy-D-arabino-heptulosonate 7-phosphate synthetase'</t>
  </si>
  <si>
    <t>'Diacylglycerol acyltransferase'</t>
  </si>
  <si>
    <t>'dihydroxy-acid dehydratase (2,3-dihydroxy-3-methylbutanoate)'</t>
  </si>
  <si>
    <t>'dihydroxy-acid dehydratase (2,3-dihydroxy-3-methylpentanoate)'</t>
  </si>
  <si>
    <t>'dihydrofolate reductase'</t>
  </si>
  <si>
    <t>'dihydoorotic acid dehydrogenase'</t>
  </si>
  <si>
    <t>'dihydroorotase'</t>
  </si>
  <si>
    <t>'3-dehydroquinate synthase'</t>
  </si>
  <si>
    <t>'3-dehydroquinate dehydratase'</t>
  </si>
  <si>
    <t>'dimethylallyltranstransferase'</t>
  </si>
  <si>
    <t>'dolichyl-phosphate-mannose--protein mannosyltransferase'</t>
  </si>
  <si>
    <t>'dolichyl-phosphate D-mannosyltransferase'</t>
  </si>
  <si>
    <t>'mevalonate pyrophoshate decarboxylase'</t>
  </si>
  <si>
    <t>'dTMP kinase'</t>
  </si>
  <si>
    <t>'dUTP diphosphatase'</t>
  </si>
  <si>
    <t>'enolase'</t>
  </si>
  <si>
    <t>'Ca2+ exchange'</t>
  </si>
  <si>
    <t>'carbon dioxide exchange'</t>
  </si>
  <si>
    <t>'Cu2+ exchange'</t>
  </si>
  <si>
    <t>'iron(2+) exchange'</t>
  </si>
  <si>
    <t>'D-glucose exchange'</t>
  </si>
  <si>
    <t>'water exchange'</t>
  </si>
  <si>
    <t>'H+ exchange'</t>
  </si>
  <si>
    <t>'potassium exchange'</t>
  </si>
  <si>
    <t>'Mg2+ exchange'</t>
  </si>
  <si>
    <t>'Mn2+ exchange'</t>
  </si>
  <si>
    <t>'ammonium exchange'</t>
  </si>
  <si>
    <t>'oxygen exchange'</t>
  </si>
  <si>
    <t>'phosphate exchange'</t>
  </si>
  <si>
    <t>'sulphate exchange'</t>
  </si>
  <si>
    <t>'Zn2+ exchange'</t>
  </si>
  <si>
    <t>'sedoheptulose 1,7-bisphosphate D-glyceraldehyde-3-phosphate-lyase'</t>
  </si>
  <si>
    <t>'fructose-bisphosphate aldolase'</t>
  </si>
  <si>
    <t>'fructose-bisphosphatase'</t>
  </si>
  <si>
    <t>'formate dehydrogenase'</t>
  </si>
  <si>
    <t>'iron (II) transport'</t>
  </si>
  <si>
    <t>'ferrocytochrome-c:oxygen oxidoreductase'</t>
  </si>
  <si>
    <t>'ubiquinol:ferricytochrome c reductase'</t>
  </si>
  <si>
    <t>'N-formyl-L-kynurenine amidohydrolase'</t>
  </si>
  <si>
    <t>'fumarase'</t>
  </si>
  <si>
    <t>'Glycerol-3-phosphate acyltransferase'</t>
  </si>
  <si>
    <t>'glutamate-5-semialdehyde dehydrogenase'</t>
  </si>
  <si>
    <t>'glucose 6-phosphate dehydrogenase'</t>
  </si>
  <si>
    <t>'UTP-glucose-1-phosphate uridylyltransferase'</t>
  </si>
  <si>
    <t>'glyceraldehyde-3-phosphate dehydrogenase'</t>
  </si>
  <si>
    <t>'glycinamide ribotide transformylase'</t>
  </si>
  <si>
    <t>'glutamine-fructose-6-phosphate transaminase'</t>
  </si>
  <si>
    <t>'guanylate kinase'</t>
  </si>
  <si>
    <t>'guanylate kinase (GMP:dATP)'</t>
  </si>
  <si>
    <t>'glucose transport'</t>
  </si>
  <si>
    <t>'glutamine synthetase'</t>
  </si>
  <si>
    <t>'glutamate 5-kinase'</t>
  </si>
  <si>
    <t>'glutamate decarboxylase'</t>
  </si>
  <si>
    <t>'glutamate dehydrogenase (NAD)'</t>
  </si>
  <si>
    <t>'glutamate dehydrogenase (NADP)'</t>
  </si>
  <si>
    <t>'phosphoribosylpyrophosphate amidotransferase'</t>
  </si>
  <si>
    <t>'glutamate synthase (NADH2)'</t>
  </si>
  <si>
    <t>'L-glutamate transport'</t>
  </si>
  <si>
    <t>'glycogen (starch) synthase'</t>
  </si>
  <si>
    <t>'hydroxyacylglutathione hydrolase'</t>
  </si>
  <si>
    <t>'GMP synthase'</t>
  </si>
  <si>
    <t>'phosphogluconate dehydrogenase'</t>
  </si>
  <si>
    <t>'geranyltranstransferase'</t>
  </si>
  <si>
    <t>'water diffusion'</t>
  </si>
  <si>
    <t>'homoacontinate hydratase'</t>
  </si>
  <si>
    <t>'2-methylcitrate dehydratase'</t>
  </si>
  <si>
    <t>'homocitrate synthase'</t>
  </si>
  <si>
    <t>'bicarbonate formation'</t>
  </si>
  <si>
    <t>'homocysteine S-methyltransferase'</t>
  </si>
  <si>
    <t>'hexokinase (D-glucose:ATP)'</t>
  </si>
  <si>
    <t>'homoisocitrate dehydrogenase'</t>
  </si>
  <si>
    <t>'histidinol dehydrogenase'</t>
  </si>
  <si>
    <t>'histidinol-phosphatase'</t>
  </si>
  <si>
    <t>'hydroxymethylglutaryl CoA reductase'</t>
  </si>
  <si>
    <t>'hydroxymethylglutaryl CoA synthase'</t>
  </si>
  <si>
    <t>'homoserine dehydrogenase (NADH)'</t>
  </si>
  <si>
    <t>'homoserine dehydrogenase (NADP)'</t>
  </si>
  <si>
    <t>'homoserine O-trans-acetylase'</t>
  </si>
  <si>
    <t>'homoserine kinase'</t>
  </si>
  <si>
    <t>'histidinol-phosphate transaminase'</t>
  </si>
  <si>
    <t>'H+ diffusion'</t>
  </si>
  <si>
    <t>'proton leak'</t>
  </si>
  <si>
    <t>'isocitrate dehydrogenase (NAD+)'</t>
  </si>
  <si>
    <t>'isocitrate dehydrogenase'</t>
  </si>
  <si>
    <t>'isocitrate lyase'</t>
  </si>
  <si>
    <t>'Imidazole-glycerol-3-phosphate synthase'</t>
  </si>
  <si>
    <t>'imidazoleglycerol-phosphate dehydratase'</t>
  </si>
  <si>
    <t>'indole-3-glycerol-phosphate synthase'</t>
  </si>
  <si>
    <t>'isoleucine transaminase'</t>
  </si>
  <si>
    <t>'L-isoleucine transport'</t>
  </si>
  <si>
    <t>'inosine monophosphate cyclohydrolase'</t>
  </si>
  <si>
    <t>'IMP dehydrogenase'</t>
  </si>
  <si>
    <t>'isopentenyl-diphosphate D-isomerase'</t>
  </si>
  <si>
    <t>'3-isopropylmalate dehydrogenase'</t>
  </si>
  <si>
    <t>'3-isopropylmalate dehydratase'</t>
  </si>
  <si>
    <t>'2-isopropylmalate hydratase'</t>
  </si>
  <si>
    <t>'2-isopropylmalate synthase'</t>
  </si>
  <si>
    <t>'acetohydroxy acid isomeroreductase'</t>
  </si>
  <si>
    <t>'ketol-acid reductoisomerase (2-aceto-2-hydroxybutanoate)'</t>
  </si>
  <si>
    <t>'kynureninase'</t>
  </si>
  <si>
    <t>'K+ transport'</t>
  </si>
  <si>
    <t>'D-lactate/pyruvate antiport'</t>
  </si>
  <si>
    <t>'D-lactate transport'</t>
  </si>
  <si>
    <t>'L-lactaldehyde:NADP+ 1-oxidoreductase'</t>
  </si>
  <si>
    <t>'lactaldehyde dehydrogenase'</t>
  </si>
  <si>
    <t>'leucine transaminase'</t>
  </si>
  <si>
    <t>'lactoylglutathione lyase'</t>
  </si>
  <si>
    <t>'(S)-lactate:ferricytochrome-c 2-oxidoreductase'</t>
  </si>
  <si>
    <t>'cytochrome P450 lanosterol 14-alpha-demethylase (NADP)'</t>
  </si>
  <si>
    <t>'lanosterol synthase'</t>
  </si>
  <si>
    <t>'myo-inositol-1-phosphate synthase'</t>
  </si>
  <si>
    <t>'malate synthase'</t>
  </si>
  <si>
    <t>'malate transport'</t>
  </si>
  <si>
    <t>'mannose-1-phosphate guanylyltransferase'</t>
  </si>
  <si>
    <t>'mannose-6-phosphate isomerase'</t>
  </si>
  <si>
    <t>'malate dehydrogenase'</t>
  </si>
  <si>
    <t>'malic enzyme (NAD)'</t>
  </si>
  <si>
    <t>'malic enzyme (NADP)'</t>
  </si>
  <si>
    <t>'methionine adenosyltransferase'</t>
  </si>
  <si>
    <t>'cystathionine gamma-synthase'</t>
  </si>
  <si>
    <t>'methionine synthase'</t>
  </si>
  <si>
    <t>'mevalonate kinase (atp)'</t>
  </si>
  <si>
    <t>'Mg2+ transport'</t>
  </si>
  <si>
    <t>'methylglyoxal synthase'</t>
  </si>
  <si>
    <t>'myo-inositol 1-phosphatase'</t>
  </si>
  <si>
    <t>'Mn2+ transport'</t>
  </si>
  <si>
    <t>'5,10-methylenetetrahydrofolate reductase (NADPH)'</t>
  </si>
  <si>
    <t>'NADH:ubiquinone oxidoreductase (complex I)'</t>
  </si>
  <si>
    <t>'NADH dehydrogenase'</t>
  </si>
  <si>
    <t>'nucleoside diphosphate kinase'</t>
  </si>
  <si>
    <t>'nucleoside-diphosphate kinase (ATP:UDP)'</t>
  </si>
  <si>
    <t>'ammonia transport'</t>
  </si>
  <si>
    <t>'NH3 transport'</t>
  </si>
  <si>
    <t>'nucleoside triphosphatase'</t>
  </si>
  <si>
    <t>'O2 transport'</t>
  </si>
  <si>
    <t>'oxaloacetate transport'</t>
  </si>
  <si>
    <t>'ornithine carbamoyltransferase'</t>
  </si>
  <si>
    <t>'2-oxo-4-methyl-3-carboxypentanoate decarboxylation'</t>
  </si>
  <si>
    <t>'orotidine-5''-phosphate decarboxylase'</t>
  </si>
  <si>
    <t>'ornithine cyclodeaminase'</t>
  </si>
  <si>
    <t>'ornithine transacetylase'</t>
  </si>
  <si>
    <t>'ornithine transaminase'</t>
  </si>
  <si>
    <t>'ornithine transport'</t>
  </si>
  <si>
    <t>'orotate phosphoribosyltransferase'</t>
  </si>
  <si>
    <t>'PI synthase'</t>
  </si>
  <si>
    <t>'phosphoadenylyl-sulfate reductase (thioredoxin)'</t>
  </si>
  <si>
    <t>'PA phosphatase'</t>
  </si>
  <si>
    <t>'pyruvate carboxylase'</t>
  </si>
  <si>
    <t>'pyruvate dehydrogenase'</t>
  </si>
  <si>
    <t>'Phosphatidyl-N,N-dimethylethanolamine methyltransferase'</t>
  </si>
  <si>
    <t>'PE methyltransferase'</t>
  </si>
  <si>
    <t>'phosphofructokinase (f6p)'</t>
  </si>
  <si>
    <t>'phosphoglycerate dehydrogenase'</t>
  </si>
  <si>
    <t>'glucose-6-phosphate isomerase'</t>
  </si>
  <si>
    <t>'phosphoglycerate kinase'</t>
  </si>
  <si>
    <t>'6-phosphogluconolactonase'</t>
  </si>
  <si>
    <t>'phosphoglucomutase'</t>
  </si>
  <si>
    <t>'phosphoglycerate mutase'</t>
  </si>
  <si>
    <t>'phenylalanine transaminase'</t>
  </si>
  <si>
    <t>'phosphate transport'</t>
  </si>
  <si>
    <t>'phosphoketolase (fructose 6-phosphate)'</t>
  </si>
  <si>
    <t>'phosphoketolase (xylulose 5-phosphate)'</t>
  </si>
  <si>
    <t>'phosphomannomutase'</t>
  </si>
  <si>
    <t>'Phosphatidyl-N-methylethanolamine methyltransferase'</t>
  </si>
  <si>
    <t>'phosphomevalonate kinase'</t>
  </si>
  <si>
    <t>'inorganic diphosphatase'</t>
  </si>
  <si>
    <t>'phosphoenolpyruvate carboxykinase'</t>
  </si>
  <si>
    <t>'prephenate dehydrogenase (NADP)'</t>
  </si>
  <si>
    <t>'prephenate dehydratase'</t>
  </si>
  <si>
    <t>'phosphoribosylglycinamidine synthetase'</t>
  </si>
  <si>
    <t>'phopshoribosylaminoimidazole synthetase'</t>
  </si>
  <si>
    <t>'phosphoribosylanthranilate isomerase'</t>
  </si>
  <si>
    <t>'phosphoribosyl-AMP cyclohydrolase'</t>
  </si>
  <si>
    <t>'phosphoribosyl amino imidazolesuccinocarbozamide synthetase'</t>
  </si>
  <si>
    <t>'phosphoribosyl-ATP pyrophosphatase'</t>
  </si>
  <si>
    <t>'5''-phosphoribosylformyl glycinamidine synthetase'</t>
  </si>
  <si>
    <t>'1-(5-phosphoribosyl)-5-[(5-phosphoribosylamino)methylideneamino)imidazole-4-carboxamide isomerase'</t>
  </si>
  <si>
    <t>'phosphoribosylpyrophosphate synthetase'</t>
  </si>
  <si>
    <t>'3-phosphoshikimate 1-carboxyvinyltransferase'</t>
  </si>
  <si>
    <t>'PS decarboxylate'</t>
  </si>
  <si>
    <t>'phosphoserine transaminase'</t>
  </si>
  <si>
    <t>'phosphoserine phosphatase (L-serine)'</t>
  </si>
  <si>
    <t>'PS synthase'</t>
  </si>
  <si>
    <t>'pyruvate kinase'</t>
  </si>
  <si>
    <t>'pyruvate decarboxylase'</t>
  </si>
  <si>
    <t>'pyruvate transport'</t>
  </si>
  <si>
    <t>'ribonucleotide reductase (ADP)'</t>
  </si>
  <si>
    <t>'ribonucleotide reductase (GDP)'</t>
  </si>
  <si>
    <t>'ribonucleotide reductase (CDP)'</t>
  </si>
  <si>
    <t>'ribonucleotide reductase (UDP)'</t>
  </si>
  <si>
    <t>'ribulose 5-phosphate 3-epimerase'</t>
  </si>
  <si>
    <t>'ribose-5-phosphate isomerase'</t>
  </si>
  <si>
    <t>'saccharopine dehydrogenase (NADP, L-glutamate forming)'</t>
  </si>
  <si>
    <t>'saccharopine dehydrogenase (NAD, L-lysine forming)'</t>
  </si>
  <si>
    <t>'sulfate adenylyltransferase'</t>
  </si>
  <si>
    <t>'S-adenosyl-methionine delta-24-sterol-c-methyltransferase'</t>
  </si>
  <si>
    <t>'sedoheptulose bisphosphatase'</t>
  </si>
  <si>
    <t>'serine O-acetyltransferase'</t>
  </si>
  <si>
    <t>'L-serine deaminase'</t>
  </si>
  <si>
    <t>'shikimate dehydrogenase'</t>
  </si>
  <si>
    <t>'shikimate kinase'</t>
  </si>
  <si>
    <t>'sulfite reductase (NADPH2)'</t>
  </si>
  <si>
    <t>'sulfate uniport'</t>
  </si>
  <si>
    <t>'squalene epoxidase (NADP)'</t>
  </si>
  <si>
    <t>'squalene synthase'</t>
  </si>
  <si>
    <t>'succinate-semialdehyde dehydrogenase (NADP)'</t>
  </si>
  <si>
    <t>'Sterol acyltransferase'</t>
  </si>
  <si>
    <t>'succinate transport'</t>
  </si>
  <si>
    <t>'succinate dehydrogenase (ubiquinone-9)'</t>
  </si>
  <si>
    <t>'succinate-CoA ligase (ADP-forming)'</t>
  </si>
  <si>
    <t>'transaldolase'</t>
  </si>
  <si>
    <t>'threonine aldolase'</t>
  </si>
  <si>
    <t>'L-threonine deaminase'</t>
  </si>
  <si>
    <t>'threonine synthase'</t>
  </si>
  <si>
    <t>'threonine transport'</t>
  </si>
  <si>
    <t>'thymidylate synthase'</t>
  </si>
  <si>
    <t>'triose-phosphate isomerase'</t>
  </si>
  <si>
    <t>'thioredoxin reductase (NADPH)'</t>
  </si>
  <si>
    <t>'trehalose-phosphatase'</t>
  </si>
  <si>
    <t>'alpha,alpha-trehalose-phosphate synthase (UDP-forming)'</t>
  </si>
  <si>
    <t>'L-tryptophan:oxygen 2,3-oxidoreductase (decyclizing)'</t>
  </si>
  <si>
    <t>'tryptophan synthase (indoleglycerol phosphate)'</t>
  </si>
  <si>
    <t>'tyrosine transaminase'</t>
  </si>
  <si>
    <t>'UDP-N-acetylglucosamine diphosphorylase'</t>
  </si>
  <si>
    <t>'UMP kinase'</t>
  </si>
  <si>
    <t>'urea carboxylase'</t>
  </si>
  <si>
    <t>'urease'</t>
  </si>
  <si>
    <t>'valine transaminase'</t>
  </si>
  <si>
    <t>'valine transport'</t>
  </si>
  <si>
    <t>'Zn2+ transport'</t>
  </si>
  <si>
    <t>'Composition of acyl-CoA'</t>
  </si>
  <si>
    <t>'Lumped reaction for C16:0-CoA synthesis'</t>
  </si>
  <si>
    <t>'Lumped reaction for C18:0-CoA synthesis'</t>
  </si>
  <si>
    <t>'Lumped reaction for C20:0-CoA synthesis'</t>
  </si>
  <si>
    <t>'Lumped reaction for C22:0-CoA synthesis'</t>
  </si>
  <si>
    <t>'Lumped reaction for C24:0-CoA synthesis'</t>
  </si>
  <si>
    <t>'Lumped reaction for C26:0-CoA synthesis'</t>
  </si>
  <si>
    <t>'lumped free fatty acid synthesis (via acyl-CoA thioesterase)'</t>
  </si>
  <si>
    <t>'lumped inositol-P-ceramide synthesis'</t>
  </si>
  <si>
    <t>'First half reaction of transketolase'</t>
  </si>
  <si>
    <t>'Second half reaction of transketolase 1'</t>
  </si>
  <si>
    <t>'Second half reaction of transketolase 2'</t>
  </si>
  <si>
    <t>'glycerol-3-phosphate dehydrogenase (NAD)'</t>
  </si>
  <si>
    <t>'L-glutamate 5-semialdehyde dehydratase'</t>
  </si>
  <si>
    <t>'pyrroline-5-carboxylate reductase'</t>
  </si>
  <si>
    <t>'L-proline transport'</t>
  </si>
  <si>
    <t>'proline oxidase (NAD)'</t>
  </si>
  <si>
    <t>'delta-1-Pyrroline-5-carboxylate dehydrogenase'</t>
  </si>
  <si>
    <t>'glycine hydroxymethyltransferase'</t>
  </si>
  <si>
    <t>'methylenetetrahydrofolate dehydrogenase (NAD)'</t>
  </si>
  <si>
    <t>'methylenetetrahydrofolate dehydrogenase (NADP)'</t>
  </si>
  <si>
    <t>'methenyltetrahydrofolate cyclohydrolase'</t>
  </si>
  <si>
    <t>'formate-tetrahydrofolate ligase'</t>
  </si>
  <si>
    <t>'glycine cleavage system'</t>
  </si>
  <si>
    <t>'glycine transport'</t>
  </si>
  <si>
    <t>'formate transport'</t>
  </si>
  <si>
    <t>'serine transport'</t>
  </si>
  <si>
    <t>'dilution of 2ippm_c1'</t>
  </si>
  <si>
    <t>'dilution of 2ippm_i1'</t>
  </si>
  <si>
    <t>'dilution of 2ippm_d1'</t>
  </si>
  <si>
    <t>'dilution of akg_c1'</t>
  </si>
  <si>
    <t>'dilution of akg_m1'</t>
  </si>
  <si>
    <t>'dilution of akg_i1'</t>
  </si>
  <si>
    <t>'dilution of akg_d1'</t>
  </si>
  <si>
    <t>'dilution of arg__L_c1'</t>
  </si>
  <si>
    <t>'dilution of arg__L_i1'</t>
  </si>
  <si>
    <t>'dilution of arg__L_d1'</t>
  </si>
  <si>
    <t>'dilution of asn__L_c1'</t>
  </si>
  <si>
    <t>'dilution of asn__L_i1'</t>
  </si>
  <si>
    <t>'dilution of asn__L_d1'</t>
  </si>
  <si>
    <t>'dilution of asp__L_c1'</t>
  </si>
  <si>
    <t>'dilution of asp__L_m1'</t>
  </si>
  <si>
    <t>'dilution of asp__L_i1'</t>
  </si>
  <si>
    <t>'dilution of asp__L_d1'</t>
  </si>
  <si>
    <t>'dilution of cit_c1'</t>
  </si>
  <si>
    <t>'dilution of cit_m1'</t>
  </si>
  <si>
    <t>'dilution of icit_c1'</t>
  </si>
  <si>
    <t>'dilution of icit_m1'</t>
  </si>
  <si>
    <t>'dilution of citicit_i1'</t>
  </si>
  <si>
    <t>'dilution of citicit_d1'</t>
  </si>
  <si>
    <t>'dilution of citr__L_c1'</t>
  </si>
  <si>
    <t>'dilution of citr__L_i1'</t>
  </si>
  <si>
    <t>'dilution of citr__L_d1'</t>
  </si>
  <si>
    <t>'dilution of dhap_c1'</t>
  </si>
  <si>
    <t>'dilution of dhap_i1'</t>
  </si>
  <si>
    <t>'dilution of dhap_d1'</t>
  </si>
  <si>
    <t>'dilution of f6p_c1'</t>
  </si>
  <si>
    <t>'dilution of f6p_i1'</t>
  </si>
  <si>
    <t>'dilution of f6p_d1'</t>
  </si>
  <si>
    <t>'dilution of fdp_c1'</t>
  </si>
  <si>
    <t>'dilution of fdp_i1'</t>
  </si>
  <si>
    <t>'dilution of fdp_d1'</t>
  </si>
  <si>
    <t>'dilution of g3p_c1'</t>
  </si>
  <si>
    <t>'dilution of g3p_i1'</t>
  </si>
  <si>
    <t>'dilution of g3p_d1'</t>
  </si>
  <si>
    <t>'dilution of g6p_c1'</t>
  </si>
  <si>
    <t>'dilution of g6p_i1'</t>
  </si>
  <si>
    <t>'dilution of g6p_d1'</t>
  </si>
  <si>
    <t>'dilution of gln__L_c1'</t>
  </si>
  <si>
    <t>'dilution of gln__L_i1'</t>
  </si>
  <si>
    <t>'dilution of gln__L_d1'</t>
  </si>
  <si>
    <t>'dilution of glu__L_c1'</t>
  </si>
  <si>
    <t>'dilution of glu__L_m1'</t>
  </si>
  <si>
    <t>'dilution of glu__L_i1'</t>
  </si>
  <si>
    <t>'dilution of glu__L_d1'</t>
  </si>
  <si>
    <t>'dilution of glyc3p_c1'</t>
  </si>
  <si>
    <t>'dilution of glyc3p_i1'</t>
  </si>
  <si>
    <t>'dilution of glyc3p_d1'</t>
  </si>
  <si>
    <t>'dilution of his__L_c1'</t>
  </si>
  <si>
    <t>'dilution of his__L_i1'</t>
  </si>
  <si>
    <t>'dilution of his__L_d1'</t>
  </si>
  <si>
    <t>'dilution of ile__L_c1'</t>
  </si>
  <si>
    <t>'dilution of ile__L_m1'</t>
  </si>
  <si>
    <t>'dilution of ile__L_i1'</t>
  </si>
  <si>
    <t>'dilution of ile__L_d1'</t>
  </si>
  <si>
    <t>'dilution of leu__L_c1'</t>
  </si>
  <si>
    <t>'dilution of leu__L_i1'</t>
  </si>
  <si>
    <t>'dilution of leu__L_d1'</t>
  </si>
  <si>
    <t>'dilution of lys__L_c1'</t>
  </si>
  <si>
    <t>'dilution of lys__L_i1'</t>
  </si>
  <si>
    <t>'dilution of lys__L_d1'</t>
  </si>
  <si>
    <t>'dilution of mal__L_c1'</t>
  </si>
  <si>
    <t>'dilution of mal__L_m1'</t>
  </si>
  <si>
    <t>'dilution of mal__L_i1'</t>
  </si>
  <si>
    <t>'dilution of mal__L_d1'</t>
  </si>
  <si>
    <t>'dilution of met__L_c1'</t>
  </si>
  <si>
    <t>'dilution of met__L_i1'</t>
  </si>
  <si>
    <t>'dilution of met__L_d1'</t>
  </si>
  <si>
    <t>'dilution of orn_c1'</t>
  </si>
  <si>
    <t>'dilution of orn_m1'</t>
  </si>
  <si>
    <t>'dilution of orn_i1'</t>
  </si>
  <si>
    <t>'dilution of orn_d1'</t>
  </si>
  <si>
    <t>'dilution of orot_c1'</t>
  </si>
  <si>
    <t>'dilution of orot_i1'</t>
  </si>
  <si>
    <t>'dilution of orot_d1'</t>
  </si>
  <si>
    <t>'dilution of pep_c1'</t>
  </si>
  <si>
    <t>'dilution of pep_i1'</t>
  </si>
  <si>
    <t>'dilution of pep_d1'</t>
  </si>
  <si>
    <t>'dilution of phe__L_c1'</t>
  </si>
  <si>
    <t>'dilution of phe__L_i1'</t>
  </si>
  <si>
    <t>'dilution of phe__L_d1'</t>
  </si>
  <si>
    <t>'dilution of pro__L_c1'</t>
  </si>
  <si>
    <t>'dilution of pro__L_m1'</t>
  </si>
  <si>
    <t>'dilution of pro__L_i1'</t>
  </si>
  <si>
    <t>'dilution of pro__L_d1'</t>
  </si>
  <si>
    <t>'dilution of r5p_c1'</t>
  </si>
  <si>
    <t>'dilution of r5p_i1'</t>
  </si>
  <si>
    <t>'dilution of r5p_d1'</t>
  </si>
  <si>
    <t>'dilution of s7p_c1'</t>
  </si>
  <si>
    <t>'dilution of s7p_i1'</t>
  </si>
  <si>
    <t>'dilution of s7p_d1'</t>
  </si>
  <si>
    <t>'dilution of ser__L_c1'</t>
  </si>
  <si>
    <t>'dilution of ser__L_m1'</t>
  </si>
  <si>
    <t>'dilution of ser__L_i1'</t>
  </si>
  <si>
    <t>'dilution of ser__L_d1'</t>
  </si>
  <si>
    <t>'dilution of succ_c1'</t>
  </si>
  <si>
    <t>'dilution of succ_m1'</t>
  </si>
  <si>
    <t>'dilution of succ_i1'</t>
  </si>
  <si>
    <t>'dilution of succ_d1'</t>
  </si>
  <si>
    <t>'dilution of thr__L_c1'</t>
  </si>
  <si>
    <t>'dilution of thr__L_m1'</t>
  </si>
  <si>
    <t>'dilution of thr__L_i1'</t>
  </si>
  <si>
    <t>'dilution of thr__L_d1'</t>
  </si>
  <si>
    <t>'dilution of trp__L_c1'</t>
  </si>
  <si>
    <t>'dilution of trp__L_i1'</t>
  </si>
  <si>
    <t>'dilution of trp__L_d1'</t>
  </si>
  <si>
    <t>'dilution of tyr__L_c1'</t>
  </si>
  <si>
    <t>'dilution of tyr__L_i1'</t>
  </si>
  <si>
    <t>'dilution of tyr__L_d1'</t>
  </si>
  <si>
    <t>'dilution of val__L_c1'</t>
  </si>
  <si>
    <t>'dilution of val__L_m1'</t>
  </si>
  <si>
    <t>'dilution of val__L_i1'</t>
  </si>
  <si>
    <t>'dilution of val__L_d1'</t>
  </si>
  <si>
    <t>'dilution of 2ippm_c2'</t>
  </si>
  <si>
    <t>'dilution of 2ippm_i2'</t>
  </si>
  <si>
    <t>'dilution of 2ippm_d2'</t>
  </si>
  <si>
    <t>'dilution of 3mob_c2'</t>
  </si>
  <si>
    <t>'dilution of 3mob_m2'</t>
  </si>
  <si>
    <t>'dilution of 3mob_i2'</t>
  </si>
  <si>
    <t>'dilution of 3mob_d2'</t>
  </si>
  <si>
    <t>'dilution of akg_c2'</t>
  </si>
  <si>
    <t>'dilution of akg_m2'</t>
  </si>
  <si>
    <t>'dilution of akg_i2'</t>
  </si>
  <si>
    <t>'dilution of akg_d2'</t>
  </si>
  <si>
    <t>'dilution of ala__L_c2'</t>
  </si>
  <si>
    <t>'dilution of ala__L_m2'</t>
  </si>
  <si>
    <t>'dilution of ala__L_i2'</t>
  </si>
  <si>
    <t>'dilution of ala__L_d2'</t>
  </si>
  <si>
    <t>'dilution of arg__L_c2'</t>
  </si>
  <si>
    <t>'dilution of arg__L_i2'</t>
  </si>
  <si>
    <t>'dilution of arg__L_d2'</t>
  </si>
  <si>
    <t>'dilution of asn__L_c2'</t>
  </si>
  <si>
    <t>'dilution of asn__L_i2'</t>
  </si>
  <si>
    <t>'dilution of asn__L_d2'</t>
  </si>
  <si>
    <t>'dilution of asp__L_c2'</t>
  </si>
  <si>
    <t>'dilution of asp__L_m2'</t>
  </si>
  <si>
    <t>'dilution of asp__L_i2'</t>
  </si>
  <si>
    <t>'dilution of asp__L_d2'</t>
  </si>
  <si>
    <t>'dilution of cit_c2'</t>
  </si>
  <si>
    <t>'dilution of cit_m2'</t>
  </si>
  <si>
    <t>'dilution of icit_c2'</t>
  </si>
  <si>
    <t>'dilution of icit_m2'</t>
  </si>
  <si>
    <t>'dilution of citicit_i2'</t>
  </si>
  <si>
    <t>'dilution of citicit_d2'</t>
  </si>
  <si>
    <t>'dilution of citr__L_c2'</t>
  </si>
  <si>
    <t>'dilution of citr__L_i2'</t>
  </si>
  <si>
    <t>'dilution of citr__L_d2'</t>
  </si>
  <si>
    <t>'dilution of dhap_c2'</t>
  </si>
  <si>
    <t>'dilution of dhap_i2'</t>
  </si>
  <si>
    <t>'dilution of dhap_d2'</t>
  </si>
  <si>
    <t>'dilution of f6p_c2'</t>
  </si>
  <si>
    <t>'dilution of f6p_i2'</t>
  </si>
  <si>
    <t>'dilution of f6p_d2'</t>
  </si>
  <si>
    <t>'dilution of fdp_c2'</t>
  </si>
  <si>
    <t>'dilution of fdp_i2'</t>
  </si>
  <si>
    <t>'dilution of fdp_d2'</t>
  </si>
  <si>
    <t>'dilution of fum_c2'</t>
  </si>
  <si>
    <t>'dilution of fum_m2'</t>
  </si>
  <si>
    <t>'dilution of fum_i2'</t>
  </si>
  <si>
    <t>'dilution of fum_d2'</t>
  </si>
  <si>
    <t>'dilution of g3p_c2'</t>
  </si>
  <si>
    <t>'dilution of g3p_i2'</t>
  </si>
  <si>
    <t>'dilution of g3p_d2'</t>
  </si>
  <si>
    <t>'dilution of g6p_c2'</t>
  </si>
  <si>
    <t>'dilution of g6p_i2'</t>
  </si>
  <si>
    <t>'dilution of g6p_d2'</t>
  </si>
  <si>
    <t>'dilution of gln__L_c2'</t>
  </si>
  <si>
    <t>'dilution of gln__L_i2'</t>
  </si>
  <si>
    <t>'dilution of gln__L_d2'</t>
  </si>
  <si>
    <t>'dilution of glu__L_c2'</t>
  </si>
  <si>
    <t>'dilution of glu__L_m2'</t>
  </si>
  <si>
    <t>'dilution of glu__L_i2'</t>
  </si>
  <si>
    <t>'dilution of glu__L_d2'</t>
  </si>
  <si>
    <t>'dilution of gly_c2'</t>
  </si>
  <si>
    <t>'dilution of gly_m2'</t>
  </si>
  <si>
    <t>'dilution of gly_i2'</t>
  </si>
  <si>
    <t>'dilution of gly_d2'</t>
  </si>
  <si>
    <t>'dilution of glyc3p_c2'</t>
  </si>
  <si>
    <t>'dilution of glyc3p_i2'</t>
  </si>
  <si>
    <t>'dilution of glyc3p_d2'</t>
  </si>
  <si>
    <t>'dilution of his__L_c2'</t>
  </si>
  <si>
    <t>'dilution of his__L_i2'</t>
  </si>
  <si>
    <t>'dilution of his__L_d2'</t>
  </si>
  <si>
    <t>'dilution of ile__L_c2'</t>
  </si>
  <si>
    <t>'dilution of ile__L_m2'</t>
  </si>
  <si>
    <t>'dilution of ile__L_i2'</t>
  </si>
  <si>
    <t>'dilution of ile__L_d2'</t>
  </si>
  <si>
    <t>'dilution of leu__L_c2'</t>
  </si>
  <si>
    <t>'dilution of leu__L_i2'</t>
  </si>
  <si>
    <t>'dilution of leu__L_d2'</t>
  </si>
  <si>
    <t>'dilution of lys__L_c2'</t>
  </si>
  <si>
    <t>'dilution of lys__L_i2'</t>
  </si>
  <si>
    <t>'dilution of lys__L_d2'</t>
  </si>
  <si>
    <t>'dilution of mal__L_c2'</t>
  </si>
  <si>
    <t>'dilution of mal__L_m2'</t>
  </si>
  <si>
    <t>'dilution of mal__L_i2'</t>
  </si>
  <si>
    <t>'dilution of mal__L_d2'</t>
  </si>
  <si>
    <t>'dilution of met__L_c2'</t>
  </si>
  <si>
    <t>'dilution of met__L_i2'</t>
  </si>
  <si>
    <t>'dilution of met__L_d2'</t>
  </si>
  <si>
    <t>'dilution of orn_c2'</t>
  </si>
  <si>
    <t>'dilution of orn_m2'</t>
  </si>
  <si>
    <t>'dilution of orn_i2'</t>
  </si>
  <si>
    <t>'dilution of orn_d2'</t>
  </si>
  <si>
    <t>'dilution of orot_c2'</t>
  </si>
  <si>
    <t>'dilution of orot_i2'</t>
  </si>
  <si>
    <t>'dilution of orot_d2'</t>
  </si>
  <si>
    <t>'dilution of pep_c2'</t>
  </si>
  <si>
    <t>'dilution of pep_i2'</t>
  </si>
  <si>
    <t>'dilution of pep_d2'</t>
  </si>
  <si>
    <t>'dilution of phe__L_c2'</t>
  </si>
  <si>
    <t>'dilution of phe__L_i2'</t>
  </si>
  <si>
    <t>'dilution of phe__L_d2'</t>
  </si>
  <si>
    <t>'dilution of pro__L_c2'</t>
  </si>
  <si>
    <t>'dilution of pro__L_m2'</t>
  </si>
  <si>
    <t>'dilution of pro__L_i2'</t>
  </si>
  <si>
    <t>'dilution of pro__L_d2'</t>
  </si>
  <si>
    <t>'dilution of pyr_c2'</t>
  </si>
  <si>
    <t>'dilution of pyr_m2'</t>
  </si>
  <si>
    <t>'dilution of pyr_i2'</t>
  </si>
  <si>
    <t>'dilution of pyr_d2'</t>
  </si>
  <si>
    <t>'dilution of r5p_c2'</t>
  </si>
  <si>
    <t>'dilution of r5p_i2'</t>
  </si>
  <si>
    <t>'dilution of r5p_d2'</t>
  </si>
  <si>
    <t>'dilution of s7p_c2'</t>
  </si>
  <si>
    <t>'dilution of s7p_i2'</t>
  </si>
  <si>
    <t>'dilution of s7p_d2'</t>
  </si>
  <si>
    <t>'dilution of ser__L_c2'</t>
  </si>
  <si>
    <t>'dilution of ser__L_m2'</t>
  </si>
  <si>
    <t>'dilution of ser__L_i2'</t>
  </si>
  <si>
    <t>'dilution of ser__L_d2'</t>
  </si>
  <si>
    <t>'dilution of succ_c2'</t>
  </si>
  <si>
    <t>'dilution of succ_m2'</t>
  </si>
  <si>
    <t>'dilution of succ_i2'</t>
  </si>
  <si>
    <t>'dilution of succ_d2'</t>
  </si>
  <si>
    <t>'dilution of thr__L_c2'</t>
  </si>
  <si>
    <t>'dilution of thr__L_m2'</t>
  </si>
  <si>
    <t>'dilution of thr__L_i2'</t>
  </si>
  <si>
    <t>'dilution of thr__L_d2'</t>
  </si>
  <si>
    <t>'dilution of trp__L_c2'</t>
  </si>
  <si>
    <t>'dilution of trp__L_i2'</t>
  </si>
  <si>
    <t>'dilution of trp__L_d2'</t>
  </si>
  <si>
    <t>'dilution of tyr__L_c2'</t>
  </si>
  <si>
    <t>'dilution of tyr__L_i2'</t>
  </si>
  <si>
    <t>'dilution of tyr__L_d2'</t>
  </si>
  <si>
    <t>'dilution of val__L_c2'</t>
  </si>
  <si>
    <t>'dilution of val__L_m2'</t>
  </si>
  <si>
    <t>'dilution of val__L_i2'</t>
  </si>
  <si>
    <t>'dilution of val__L_d2'</t>
  </si>
  <si>
    <t>'synthesis of amp_d from precursors (ignore degradation), part 1'</t>
  </si>
  <si>
    <t>'synthesis of amp_d from precursors (ignore degradation), part 2'</t>
  </si>
  <si>
    <t>'synthesis of amp_d from precursors (ignore degradation), part 3'</t>
  </si>
  <si>
    <t>'synthesis of amp_d from precursors (ignore degradation), part 4'</t>
  </si>
  <si>
    <t>'synthesis of amp_d from precursors (ignore degradation), part 5'</t>
  </si>
  <si>
    <t>'synthesis of amp_d from precursors (ignore degradation), part 6'</t>
  </si>
  <si>
    <t>'dilution of amp_i'</t>
  </si>
  <si>
    <t>'dilution of amp_d'</t>
  </si>
  <si>
    <t>'soluble fumarate reductase'</t>
  </si>
  <si>
    <t>'electron transfer flavoprotein-ubiquinone oxidoreductase'</t>
  </si>
  <si>
    <t>'FADH2 transport'</t>
  </si>
  <si>
    <t>'FAD transport'</t>
  </si>
  <si>
    <t>'oxaloacetate decarboxylase'</t>
  </si>
  <si>
    <t>'acetaldehyde dehydrogenase'</t>
  </si>
  <si>
    <t>'succinate-fumarate transport'</t>
  </si>
  <si>
    <t>rxn</t>
  </si>
  <si>
    <t>formula</t>
  </si>
  <si>
    <t>not in MFA biomass</t>
  </si>
  <si>
    <t>unique ratios (rounded)</t>
  </si>
  <si>
    <t>GSM (release2)</t>
  </si>
  <si>
    <t>eqn</t>
  </si>
  <si>
    <t>unique mets from non-GSM entries</t>
  </si>
  <si>
    <t>all eqns</t>
  </si>
  <si>
    <t>all coeffs</t>
  </si>
  <si>
    <t>name</t>
  </si>
  <si>
    <t>'13GS_c.f'</t>
  </si>
  <si>
    <t>'16GS_c.f'</t>
  </si>
  <si>
    <t>'2OBUTt_c_m.f'</t>
  </si>
  <si>
    <t>'2OXOADPt_c_m.f'</t>
  </si>
  <si>
    <t>'AASADy_c.f'</t>
  </si>
  <si>
    <t>'AATA_c.f'</t>
  </si>
  <si>
    <t>'ABTA_c.f'</t>
  </si>
  <si>
    <t>'ACACT40ir_c.f'</t>
  </si>
  <si>
    <t>'ACGAM6PS_c.f'</t>
  </si>
  <si>
    <t>'ACGAMPM_c.f'</t>
  </si>
  <si>
    <t>'ACGK_m.f'</t>
  </si>
  <si>
    <t>'ACHBS_m.f'</t>
  </si>
  <si>
    <t>'ACITL_c.f'</t>
  </si>
  <si>
    <t>'ACKr_c.f'</t>
  </si>
  <si>
    <t>'ACLS_m.f'</t>
  </si>
  <si>
    <t>'ACOADS180_c.f'</t>
  </si>
  <si>
    <t>'ACOADS181_c.f'</t>
  </si>
  <si>
    <t>'ACOADS182_c.f'</t>
  </si>
  <si>
    <t>'ACONTa_m.f'</t>
  </si>
  <si>
    <t>'ACONTb_m.f'</t>
  </si>
  <si>
    <t>'ACOTAi_m.f'</t>
  </si>
  <si>
    <t>'ACS_c.f'</t>
  </si>
  <si>
    <t>'ADK1_c.f'</t>
  </si>
  <si>
    <t>'ADNK1_c.f'</t>
  </si>
  <si>
    <t>'ADPATPt_c_m.f'</t>
  </si>
  <si>
    <t>'ADSK_c.f'</t>
  </si>
  <si>
    <t>'ADSL1r_c.f'</t>
  </si>
  <si>
    <t>'ADSL2i_c.f'</t>
  </si>
  <si>
    <t>'ADSS_c.f'</t>
  </si>
  <si>
    <t>'AGPAT_c.f'</t>
  </si>
  <si>
    <t>'AGPRi_m.f'</t>
  </si>
  <si>
    <t>'AGTi_c.f'</t>
  </si>
  <si>
    <t>'AHCi_c.f'</t>
  </si>
  <si>
    <t>'AHSERL2_c.f'</t>
  </si>
  <si>
    <t>'AICART_c.f'</t>
  </si>
  <si>
    <t>'AIRC1_c.f'</t>
  </si>
  <si>
    <t>'AKGCITta_m.f'</t>
  </si>
  <si>
    <t>'AKGDH_m.f'</t>
  </si>
  <si>
    <t>'AKGMALta_m.f'</t>
  </si>
  <si>
    <t>'ALATA_L_m.f'</t>
  </si>
  <si>
    <t>'ALAt_c_m.f'</t>
  </si>
  <si>
    <t>'ALPHNH_c.f'</t>
  </si>
  <si>
    <t>'ANPRT_c.f'</t>
  </si>
  <si>
    <t>'ANS_c.f'</t>
  </si>
  <si>
    <t>'ARGN_c.f'</t>
  </si>
  <si>
    <t>'ARGSL_c.f'</t>
  </si>
  <si>
    <t>'ARGSS_c.f'</t>
  </si>
  <si>
    <t>'ASAD_c.f'</t>
  </si>
  <si>
    <t>'ASNS1_c.f'</t>
  </si>
  <si>
    <t>'ASPCT_c.f'</t>
  </si>
  <si>
    <t>'ASPGLUt_c_m.f'</t>
  </si>
  <si>
    <t>'ASPK_c.f'</t>
  </si>
  <si>
    <t>'ASPTA_c.f'</t>
  </si>
  <si>
    <t>'ASPTAi_m.f'</t>
  </si>
  <si>
    <t>'ATPM_c.f'</t>
  </si>
  <si>
    <t>'ATPPRT_c.f'</t>
  </si>
  <si>
    <t>'ATPS_m.f'</t>
  </si>
  <si>
    <t>'BPNT_c.f'</t>
  </si>
  <si>
    <t>'BIOMASS.f'</t>
  </si>
  <si>
    <t>'C14STR_c.f'</t>
  </si>
  <si>
    <t>'C22STDSy_c.f'</t>
  </si>
  <si>
    <t>'C24STR_c.f'</t>
  </si>
  <si>
    <t>'C3STDH1_c.f'</t>
  </si>
  <si>
    <t>'C3STDH2_c.f'</t>
  </si>
  <si>
    <t>'C3STKR1_c.f'</t>
  </si>
  <si>
    <t>'C3STKR2_c.f'</t>
  </si>
  <si>
    <t>'C4STMO1_c.f'</t>
  </si>
  <si>
    <t>'C4STMO2_c.f'</t>
  </si>
  <si>
    <t>'C4STMO3_c.f'</t>
  </si>
  <si>
    <t>'C4STMO4_c.f'</t>
  </si>
  <si>
    <t>'C5STDS_c.f'</t>
  </si>
  <si>
    <t>'C8STI_c.f'</t>
  </si>
  <si>
    <t>'CA2t_c_e.f'</t>
  </si>
  <si>
    <t>'CBL_c.f'</t>
  </si>
  <si>
    <t>'CBPS_c.f'</t>
  </si>
  <si>
    <t>'CDPDAGS_c.f'</t>
  </si>
  <si>
    <t>'CHORM_c.f'</t>
  </si>
  <si>
    <t>'CHORS_c.f'</t>
  </si>
  <si>
    <t>'CHTNS_c.f'</t>
  </si>
  <si>
    <t>'CITMALta_m.f'</t>
  </si>
  <si>
    <t>'CITICITta_m.f'</t>
  </si>
  <si>
    <t>'CO2t_c_e.f'</t>
  </si>
  <si>
    <t>'CO2t_c_m.f'</t>
  </si>
  <si>
    <t>'CS_m.f'</t>
  </si>
  <si>
    <t>'CTPS2_c.f'</t>
  </si>
  <si>
    <t>'CU2t_c_e.f'</t>
  </si>
  <si>
    <t>'CYSS_c.f'</t>
  </si>
  <si>
    <t>'CYSTGL_c.f'</t>
  </si>
  <si>
    <t>'CYSTS_c.f'</t>
  </si>
  <si>
    <t>'CYTK1_c.f'</t>
  </si>
  <si>
    <t>'DDPA_c.f'</t>
  </si>
  <si>
    <t>'DGAT_c.f'</t>
  </si>
  <si>
    <t>'DHAD1_m.f'</t>
  </si>
  <si>
    <t>'DHAD2_m.f'</t>
  </si>
  <si>
    <t>'DHFRi_c.f'</t>
  </si>
  <si>
    <t>'DHORDfum_c.f'</t>
  </si>
  <si>
    <t>'DHORTS_c.f'</t>
  </si>
  <si>
    <t>'DHQS_c.f'</t>
  </si>
  <si>
    <t>'DHQTi_c.f'</t>
  </si>
  <si>
    <t>'DMATT_c.f'</t>
  </si>
  <si>
    <t>'DOLPMMT_c.f'</t>
  </si>
  <si>
    <t>'DOLPMT_c.f'</t>
  </si>
  <si>
    <t>'DPMVD_c.f'</t>
  </si>
  <si>
    <t>'DTMPK_c.f'</t>
  </si>
  <si>
    <t>'DUTPDP_c.f'</t>
  </si>
  <si>
    <t>'ENO_c.f'</t>
  </si>
  <si>
    <t>'EX_ca2_e.f'</t>
  </si>
  <si>
    <t>'EX_co2_e.f'</t>
  </si>
  <si>
    <t>'EX_cu2_e.f'</t>
  </si>
  <si>
    <t>'EX_fe2_e.f'</t>
  </si>
  <si>
    <t>'EX_glc__D_e.f'</t>
  </si>
  <si>
    <t>'EX_h2o_e.f'</t>
  </si>
  <si>
    <t>'EX_h_e.f'</t>
  </si>
  <si>
    <t>'EX_k_e.f'</t>
  </si>
  <si>
    <t>'EX_mg2_e.f'</t>
  </si>
  <si>
    <t>'EX_mn2_e.f'</t>
  </si>
  <si>
    <t>'EX_nh4_e.f'</t>
  </si>
  <si>
    <t>'EX_o2_e.f'</t>
  </si>
  <si>
    <t>'EX_pi_e.f'</t>
  </si>
  <si>
    <t>'EX_so4_e.f'</t>
  </si>
  <si>
    <t>'EX_zn2_e.f'</t>
  </si>
  <si>
    <t>'FBA3_c.f'</t>
  </si>
  <si>
    <t>'FBA_c.f'</t>
  </si>
  <si>
    <t>'FBP_c.f'</t>
  </si>
  <si>
    <t>'FDH_c.f'</t>
  </si>
  <si>
    <t>'FE2t_c_e.f'</t>
  </si>
  <si>
    <t>'FECOOR_m.f'</t>
  </si>
  <si>
    <t>'FECRq9_m.f'</t>
  </si>
  <si>
    <t>'FKYNH_c.f'</t>
  </si>
  <si>
    <t>'FUM_c.f'</t>
  </si>
  <si>
    <t>'FUM_m.f'</t>
  </si>
  <si>
    <t>'G3PAT_c.f'</t>
  </si>
  <si>
    <t>'G5SDy_c.f'</t>
  </si>
  <si>
    <t>'G6PDH2i_c.f'</t>
  </si>
  <si>
    <t>'GALUi_c.f'</t>
  </si>
  <si>
    <t>'GAPD_c.f'</t>
  </si>
  <si>
    <t>'GARFT_c.f'</t>
  </si>
  <si>
    <t>'GF6PTA_c.f'</t>
  </si>
  <si>
    <t>'GK1_c.f'</t>
  </si>
  <si>
    <t>'GK2_c.f'</t>
  </si>
  <si>
    <t>'GLCt_c_e.f'</t>
  </si>
  <si>
    <t>'GLNS_c.f'</t>
  </si>
  <si>
    <t>'GLU5K_c.f'</t>
  </si>
  <si>
    <t>'GLUDC_c.f'</t>
  </si>
  <si>
    <t>'GLUDxi_c.f'</t>
  </si>
  <si>
    <t>'GLUDy_c.f'</t>
  </si>
  <si>
    <t>'GLUPRT_c.f'</t>
  </si>
  <si>
    <t>'GLUSx_c.f'</t>
  </si>
  <si>
    <t>'GLUt_c_m.f'</t>
  </si>
  <si>
    <t>'GLYGS_c.f'</t>
  </si>
  <si>
    <t>'GLYOX_c.f'</t>
  </si>
  <si>
    <t>'GMPS2_c.f'</t>
  </si>
  <si>
    <t>'GND_c.f'</t>
  </si>
  <si>
    <t>'GRTT_c.f'</t>
  </si>
  <si>
    <t>'H2Ot_c_e.f'</t>
  </si>
  <si>
    <t>'H2Ot_c_m.f'</t>
  </si>
  <si>
    <t>'HACNH_m.f'</t>
  </si>
  <si>
    <t>'HCITR_m.f'</t>
  </si>
  <si>
    <t>'HCITS_m.f'</t>
  </si>
  <si>
    <t>'HCO3E_c.f'</t>
  </si>
  <si>
    <t>'HCYSMT_c.f'</t>
  </si>
  <si>
    <t>'HEX1_c.f'</t>
  </si>
  <si>
    <t>'HICITD_m.f'</t>
  </si>
  <si>
    <t>'HISTD_c.f'</t>
  </si>
  <si>
    <t>'HISTP_c.f'</t>
  </si>
  <si>
    <t>'HMGCOAR_c.f'</t>
  </si>
  <si>
    <t>'HMGCOAS_c.f'</t>
  </si>
  <si>
    <t>'HSDx_c.f'</t>
  </si>
  <si>
    <t>'HSDy_c.f'</t>
  </si>
  <si>
    <t>'HSERTA_c.f'</t>
  </si>
  <si>
    <t>'HSK_c.f'</t>
  </si>
  <si>
    <t>'HSTPT_c.f'</t>
  </si>
  <si>
    <t>'Ht_c.f'</t>
  </si>
  <si>
    <t>'Ht_c_m.f'</t>
  </si>
  <si>
    <t>'ICDHx_m.f'</t>
  </si>
  <si>
    <t>'ICDHyi_m.f'</t>
  </si>
  <si>
    <t>'ICL_1_c.f'</t>
  </si>
  <si>
    <t>'IG3PS_c.f'</t>
  </si>
  <si>
    <t>'IGPDH_c.f'</t>
  </si>
  <si>
    <t>'IGPS_c.f'</t>
  </si>
  <si>
    <t>'ILETA_m.f'</t>
  </si>
  <si>
    <t>'ILEt_c_m.f'</t>
  </si>
  <si>
    <t>'IMPC_c.f'</t>
  </si>
  <si>
    <t>'IMPD_c.f'</t>
  </si>
  <si>
    <t>'IPDDI_c.f'</t>
  </si>
  <si>
    <t>'IPMD_c.f'</t>
  </si>
  <si>
    <t>'IPPMIa_c.f'</t>
  </si>
  <si>
    <t>'IPPMIb_c.f'</t>
  </si>
  <si>
    <t>'IPPS_c.f'</t>
  </si>
  <si>
    <t>'KARA1i_m.f'</t>
  </si>
  <si>
    <t>'KARA2i_m.f'</t>
  </si>
  <si>
    <t>'KYN_c.f'</t>
  </si>
  <si>
    <t>'Kt_c_e.f'</t>
  </si>
  <si>
    <t>'LACPYRt_c_m.f'</t>
  </si>
  <si>
    <t>'LACtps_m.f'</t>
  </si>
  <si>
    <t>'LALDO3_c.f'</t>
  </si>
  <si>
    <t>'LCADi_c.f'</t>
  </si>
  <si>
    <t>'LEUTA_c.f'</t>
  </si>
  <si>
    <t>'LGTHL_c.f'</t>
  </si>
  <si>
    <t>'LLFC2O_c.f'</t>
  </si>
  <si>
    <t>'LNS14DMy_c.f'</t>
  </si>
  <si>
    <t>'LNSTLS_c.f'</t>
  </si>
  <si>
    <t>'M1PS_c.f'</t>
  </si>
  <si>
    <t>'MALS_c.f'</t>
  </si>
  <si>
    <t>'MALt2_m.f'</t>
  </si>
  <si>
    <t>'MAN1PT_c.f'</t>
  </si>
  <si>
    <t>'MAN6PI_c.f'</t>
  </si>
  <si>
    <t>'MDH_c.f'</t>
  </si>
  <si>
    <t>'MDH_m.f'</t>
  </si>
  <si>
    <t>'ME1_m.f'</t>
  </si>
  <si>
    <t>'ME2_c.f'</t>
  </si>
  <si>
    <t>'ME2_m.f'</t>
  </si>
  <si>
    <t>'METAT_c.f'</t>
  </si>
  <si>
    <t>'METB1_c.f'</t>
  </si>
  <si>
    <t>'METS_c.f'</t>
  </si>
  <si>
    <t>'MEVK1_c.f'</t>
  </si>
  <si>
    <t>'MG2t_c_e.f'</t>
  </si>
  <si>
    <t>'MGSA_c.f'</t>
  </si>
  <si>
    <t>'MI1PP_c.f'</t>
  </si>
  <si>
    <t>'MN2t_c_e.f'</t>
  </si>
  <si>
    <t>'MTHFR3_c.f'</t>
  </si>
  <si>
    <t>'NADHcplxI_c_m.f'</t>
  </si>
  <si>
    <t>'NADHq9_c.f'</t>
  </si>
  <si>
    <t>'NDPK1_c.f'</t>
  </si>
  <si>
    <t>'NDPK2_c.f'</t>
  </si>
  <si>
    <t>'NDPK3_c.f'</t>
  </si>
  <si>
    <t>'NDPK4_c.f'</t>
  </si>
  <si>
    <t>'NDPK5_c.f'</t>
  </si>
  <si>
    <t>'NDPK6_c.f'</t>
  </si>
  <si>
    <t>'NDPK7_c.f'</t>
  </si>
  <si>
    <t>'NDPK8_c.f'</t>
  </si>
  <si>
    <t>'NH4t_c_e.f'</t>
  </si>
  <si>
    <t>'NH4t_c_m.f'</t>
  </si>
  <si>
    <t>'NTP5_c.f'</t>
  </si>
  <si>
    <t>'O2t_c_e.f'</t>
  </si>
  <si>
    <t>'O2t_c_m.f'</t>
  </si>
  <si>
    <t>'OAAtps_m.f'</t>
  </si>
  <si>
    <t>'OCBT_c.f'</t>
  </si>
  <si>
    <t>'OMCDC_c.f'</t>
  </si>
  <si>
    <t>'OMPDC_c.f'</t>
  </si>
  <si>
    <t>'ORNCD_m.f'</t>
  </si>
  <si>
    <t>'ORNTACi_m.f'</t>
  </si>
  <si>
    <t>'ORNTA_c.f'</t>
  </si>
  <si>
    <t>'ORNtpa_m.f'</t>
  </si>
  <si>
    <t>'ORPT_c.f'</t>
  </si>
  <si>
    <t>'PAILS_c.f'</t>
  </si>
  <si>
    <t>'PAPSR_c.f'</t>
  </si>
  <si>
    <t>'PAP_c.f'</t>
  </si>
  <si>
    <t>'PC_c.f'</t>
  </si>
  <si>
    <t>'PDH_m.f'</t>
  </si>
  <si>
    <t>'PDMEMT_c.f'</t>
  </si>
  <si>
    <t>'PEMT_c.f'</t>
  </si>
  <si>
    <t>'PFK_c.f'</t>
  </si>
  <si>
    <t>'PGCD_c.f'</t>
  </si>
  <si>
    <t>'PGI_c.f'</t>
  </si>
  <si>
    <t>'PGK_c.f'</t>
  </si>
  <si>
    <t>'PGL_c.f'</t>
  </si>
  <si>
    <t>'PGMT_c.f'</t>
  </si>
  <si>
    <t>'PGM_c.f'</t>
  </si>
  <si>
    <t>'PHETA1_c.f'</t>
  </si>
  <si>
    <t>'PItps_e.f'</t>
  </si>
  <si>
    <t>'PItps_m.f'</t>
  </si>
  <si>
    <t>'PKETF_c.f'</t>
  </si>
  <si>
    <t>'PKETX_c.f'</t>
  </si>
  <si>
    <t>'PMANM_c.f'</t>
  </si>
  <si>
    <t>'PMEMT_c.f'</t>
  </si>
  <si>
    <t>'PMEVK_c.f'</t>
  </si>
  <si>
    <t>'PPA_c.f'</t>
  </si>
  <si>
    <t>'PPCK_c.f'</t>
  </si>
  <si>
    <t>'PPND2_c.f'</t>
  </si>
  <si>
    <t>'PPNDH_c.f'</t>
  </si>
  <si>
    <t>'PRAGSi_c.f'</t>
  </si>
  <si>
    <t>'PRAIS_c.f'</t>
  </si>
  <si>
    <t>'PRAIi_c.f'</t>
  </si>
  <si>
    <t>'PRAMPC_c.f'</t>
  </si>
  <si>
    <t>'PRASCSi_c.f'</t>
  </si>
  <si>
    <t>'PRATPP_c.f'</t>
  </si>
  <si>
    <t>'PRFGS_c.f'</t>
  </si>
  <si>
    <t>'PRMICI_c.f'</t>
  </si>
  <si>
    <t>'PRPPS_c.f'</t>
  </si>
  <si>
    <t>'PSCIT_c.f'</t>
  </si>
  <si>
    <t>'PSD_c.f'</t>
  </si>
  <si>
    <t>'PSERT_c.f'</t>
  </si>
  <si>
    <t>'PSP_L_c.f'</t>
  </si>
  <si>
    <t>'PSSA_c.f'</t>
  </si>
  <si>
    <t>'PYK_c.f'</t>
  </si>
  <si>
    <t>'PYRDC_c.f'</t>
  </si>
  <si>
    <t>'PYRtps_m.f'</t>
  </si>
  <si>
    <t>'RNDR1_c.f'</t>
  </si>
  <si>
    <t>'RNDR2_c.f'</t>
  </si>
  <si>
    <t>'RNDR3_c.f'</t>
  </si>
  <si>
    <t>'RNDR4_c.f'</t>
  </si>
  <si>
    <t>'RPE_c.f'</t>
  </si>
  <si>
    <t>'RPI_c.f'</t>
  </si>
  <si>
    <t>'SACCD1_c.f'</t>
  </si>
  <si>
    <t>'SACCD2_c.f'</t>
  </si>
  <si>
    <t>'SADT_c.f'</t>
  </si>
  <si>
    <t>'SAM24MT_c.f'</t>
  </si>
  <si>
    <t>'SBP_c.f'</t>
  </si>
  <si>
    <t>'SERAT_c.f'</t>
  </si>
  <si>
    <t>'SERD_L_c.f'</t>
  </si>
  <si>
    <t>'SHK3Di_c.f'</t>
  </si>
  <si>
    <t>'SHKK_c.f'</t>
  </si>
  <si>
    <t>'SO3R_c.f'</t>
  </si>
  <si>
    <t>'SO4t_c_e.f'</t>
  </si>
  <si>
    <t>'SQLEy_c.f'</t>
  </si>
  <si>
    <t>'SQLS_c.f'</t>
  </si>
  <si>
    <t>'SSALy_c.f'</t>
  </si>
  <si>
    <t>'STATg_c.f'</t>
  </si>
  <si>
    <t>'SUCCt2_m.f'</t>
  </si>
  <si>
    <t>'SUCDq9_m.f'</t>
  </si>
  <si>
    <t>'SUCOAS_m.f'</t>
  </si>
  <si>
    <t>'TALA_c.f'</t>
  </si>
  <si>
    <t>'THRA_c.f'</t>
  </si>
  <si>
    <t>'THRD_L_m.f'</t>
  </si>
  <si>
    <t>'THRS_c.f'</t>
  </si>
  <si>
    <t>'THRt_c_m.f'</t>
  </si>
  <si>
    <t>'TMDS_c.f'</t>
  </si>
  <si>
    <t>'TPI_c.f'</t>
  </si>
  <si>
    <t>'TRDR_c.f'</t>
  </si>
  <si>
    <t>'TRE6PP_c.f'</t>
  </si>
  <si>
    <t>'TRE6PS_c.f'</t>
  </si>
  <si>
    <t>'TRPO2_c.f'</t>
  </si>
  <si>
    <t>'TRPS1_c.f'</t>
  </si>
  <si>
    <t>'TYRTA_c.f'</t>
  </si>
  <si>
    <t>'UAGDP_c.f'</t>
  </si>
  <si>
    <t>'UMPK_c.f'</t>
  </si>
  <si>
    <t>'UREASE_c.f'</t>
  </si>
  <si>
    <t>'UREA_c.f'</t>
  </si>
  <si>
    <t>'VALTA_c.f'</t>
  </si>
  <si>
    <t>'VALTA_m.f'</t>
  </si>
  <si>
    <t>'VALt_c_m.f'</t>
  </si>
  <si>
    <t>'ZN2t_c_e.f'</t>
  </si>
  <si>
    <t>'compACYLCOA_c.f'</t>
  </si>
  <si>
    <t>'lumpFACOA160_c.f'</t>
  </si>
  <si>
    <t>'lumpFACOA180_c.f'</t>
  </si>
  <si>
    <t>'lumpFACOA200_c.f'</t>
  </si>
  <si>
    <t>'lumpFACOA220_c.f'</t>
  </si>
  <si>
    <t>'lumpFACOA240_c.f'</t>
  </si>
  <si>
    <t>'lumpFACOA260_c.f'</t>
  </si>
  <si>
    <t>'lumpFREEFA_c.f'</t>
  </si>
  <si>
    <t>'lumpIPC_c.f'</t>
  </si>
  <si>
    <t>'TKThalf_c.f'</t>
  </si>
  <si>
    <t>'TKT1h_c.f'</t>
  </si>
  <si>
    <t>'TKT2h_c.f'</t>
  </si>
  <si>
    <t>'G3PD1i_c.f'</t>
  </si>
  <si>
    <t>'G5SADr_c.f'</t>
  </si>
  <si>
    <t>'P5CR_c.f'</t>
  </si>
  <si>
    <t>'PROt_c_m.f'</t>
  </si>
  <si>
    <t>'PROD2_m.f'</t>
  </si>
  <si>
    <t>'G5SADr_m.f'</t>
  </si>
  <si>
    <t>'P5CD2_m.f'</t>
  </si>
  <si>
    <t>'GHMT2r_c.f'</t>
  </si>
  <si>
    <t>'MTHFD2i_c.f'</t>
  </si>
  <si>
    <t>'MTHFD_c.f'</t>
  </si>
  <si>
    <t>'MTHFC_c.f'</t>
  </si>
  <si>
    <t>'FTHFL_c.f'</t>
  </si>
  <si>
    <t>'GHMT2r_m.f'</t>
  </si>
  <si>
    <t>'GLYCL_m.f'</t>
  </si>
  <si>
    <t>'MTHFD_m.f'</t>
  </si>
  <si>
    <t>'MTHFC_m.f'</t>
  </si>
  <si>
    <t>'FTHFL_m.f'</t>
  </si>
  <si>
    <t>'GLYt_c_m.f'</t>
  </si>
  <si>
    <t>'FORt_c_m.f'</t>
  </si>
  <si>
    <t>'SERt_c_m.f'</t>
  </si>
  <si>
    <t>'DIL_2ippm_c1.f'</t>
  </si>
  <si>
    <t>'DIL_2ippm_i1.f'</t>
  </si>
  <si>
    <t>'DIL_2ippm_d1.f'</t>
  </si>
  <si>
    <t>'DIL_akg_c1.f'</t>
  </si>
  <si>
    <t>'DIL_akg_m1.f'</t>
  </si>
  <si>
    <t>'DIL_akg_i1.f'</t>
  </si>
  <si>
    <t>'DIL_akg_d1.f'</t>
  </si>
  <si>
    <t>'DIL_arg__L_c1.f'</t>
  </si>
  <si>
    <t>'DIL_arg__L_i1.f'</t>
  </si>
  <si>
    <t>'DIL_arg__L_d1.f'</t>
  </si>
  <si>
    <t>'DIL_asn__L_c1.f'</t>
  </si>
  <si>
    <t>'DIL_asn__L_i1.f'</t>
  </si>
  <si>
    <t>'DIL_asn__L_d1.f'</t>
  </si>
  <si>
    <t>'DIL_asp__L_c1.f'</t>
  </si>
  <si>
    <t>'DIL_asp__L_m1.f'</t>
  </si>
  <si>
    <t>'DIL_asp__L_i1.f'</t>
  </si>
  <si>
    <t>'DIL_asp__L_d1.f'</t>
  </si>
  <si>
    <t>'DIL_cit_c1.f'</t>
  </si>
  <si>
    <t>'DIL_cit_m1.f'</t>
  </si>
  <si>
    <t>'DIL_icit_c1.f'</t>
  </si>
  <si>
    <t>'DIL_icit_m1.f'</t>
  </si>
  <si>
    <t>'DIL_citicit_i1.f'</t>
  </si>
  <si>
    <t>'DIL_citicit_d1.f'</t>
  </si>
  <si>
    <t>'DIL_citr__L_c1.f'</t>
  </si>
  <si>
    <t>'DIL_citr__L_i1.f'</t>
  </si>
  <si>
    <t>'DIL_citr__L_d1.f'</t>
  </si>
  <si>
    <t>'DIL_dhap_c1.f'</t>
  </si>
  <si>
    <t>'DIL_dhap_i1.f'</t>
  </si>
  <si>
    <t>'DIL_dhap_d1.f'</t>
  </si>
  <si>
    <t>'DIL_f6p_c1.f'</t>
  </si>
  <si>
    <t>'DIL_f6p_i1.f'</t>
  </si>
  <si>
    <t>'DIL_f6p_d1.f'</t>
  </si>
  <si>
    <t>'DIL_fdp_c1.f'</t>
  </si>
  <si>
    <t>'DIL_fdp_i1.f'</t>
  </si>
  <si>
    <t>'DIL_fdp_d1.f'</t>
  </si>
  <si>
    <t>'DIL_g3p_c1.f'</t>
  </si>
  <si>
    <t>'DIL_g3p_i1.f'</t>
  </si>
  <si>
    <t>'DIL_g3p_d1.f'</t>
  </si>
  <si>
    <t>'DIL_g6p_c1.f'</t>
  </si>
  <si>
    <t>'DIL_g6p_i1.f'</t>
  </si>
  <si>
    <t>'DIL_g6p_d1.f'</t>
  </si>
  <si>
    <t>'DIL_gln__L_c1.f'</t>
  </si>
  <si>
    <t>'DIL_gln__L_i1.f'</t>
  </si>
  <si>
    <t>'DIL_gln__L_d1.f'</t>
  </si>
  <si>
    <t>'DIL_glu__L_c1.f'</t>
  </si>
  <si>
    <t>'DIL_glu__L_m1.f'</t>
  </si>
  <si>
    <t>'DIL_glu__L_i1.f'</t>
  </si>
  <si>
    <t>'DIL_glu__L_d1.f'</t>
  </si>
  <si>
    <t>'DIL_glyc3p_c1.f'</t>
  </si>
  <si>
    <t>'DIL_glyc3p_i1.f'</t>
  </si>
  <si>
    <t>'DIL_glyc3p_d1.f'</t>
  </si>
  <si>
    <t>'DIL_his__L_c1.f'</t>
  </si>
  <si>
    <t>'DIL_his__L_i1.f'</t>
  </si>
  <si>
    <t>'DIL_his__L_d1.f'</t>
  </si>
  <si>
    <t>'DIL_ile__L_c1.f'</t>
  </si>
  <si>
    <t>'DIL_ile__L_m1.f'</t>
  </si>
  <si>
    <t>'DIL_ile__L_i1.f'</t>
  </si>
  <si>
    <t>'DIL_ile__L_d1.f'</t>
  </si>
  <si>
    <t>'DIL_leu__L_c1.f'</t>
  </si>
  <si>
    <t>'DIL_leu__L_i1.f'</t>
  </si>
  <si>
    <t>'DIL_leu__L_d1.f'</t>
  </si>
  <si>
    <t>'DIL_lys__L_c1.f'</t>
  </si>
  <si>
    <t>'DIL_lys__L_i1.f'</t>
  </si>
  <si>
    <t>'DIL_lys__L_d1.f'</t>
  </si>
  <si>
    <t>'DIL_mal__L_c1.f'</t>
  </si>
  <si>
    <t>'DIL_mal__L_m1.f'</t>
  </si>
  <si>
    <t>'DIL_mal__L_i1.f'</t>
  </si>
  <si>
    <t>'DIL_mal__L_d1.f'</t>
  </si>
  <si>
    <t>'DIL_met__L_c1.f'</t>
  </si>
  <si>
    <t>'DIL_met__L_i1.f'</t>
  </si>
  <si>
    <t>'DIL_met__L_d1.f'</t>
  </si>
  <si>
    <t>'DIL_orn_c1.f'</t>
  </si>
  <si>
    <t>'DIL_orn_m1.f'</t>
  </si>
  <si>
    <t>'DIL_orn_i1.f'</t>
  </si>
  <si>
    <t>'DIL_orn_d1.f'</t>
  </si>
  <si>
    <t>'DIL_orot_c1.f'</t>
  </si>
  <si>
    <t>'DIL_orot_i1.f'</t>
  </si>
  <si>
    <t>'DIL_orot_d1.f'</t>
  </si>
  <si>
    <t>'DIL_pep_c1.f'</t>
  </si>
  <si>
    <t>'DIL_pep_i1.f'</t>
  </si>
  <si>
    <t>'DIL_pep_d1.f'</t>
  </si>
  <si>
    <t>'DIL_phe__L_c1.f'</t>
  </si>
  <si>
    <t>'DIL_phe__L_i1.f'</t>
  </si>
  <si>
    <t>'DIL_phe__L_d1.f'</t>
  </si>
  <si>
    <t>'DIL_pro__L_c1.f'</t>
  </si>
  <si>
    <t>'DIL_pro__L_m1.f'</t>
  </si>
  <si>
    <t>'DIL_pro__L_i1.f'</t>
  </si>
  <si>
    <t>'DIL_pro__L_d1.f'</t>
  </si>
  <si>
    <t>'DIL_r5p_c1.f'</t>
  </si>
  <si>
    <t>'DIL_r5p_i1.f'</t>
  </si>
  <si>
    <t>'DIL_r5p_d1.f'</t>
  </si>
  <si>
    <t>'DIL_s7p_c1.f'</t>
  </si>
  <si>
    <t>'DIL_s7p_i1.f'</t>
  </si>
  <si>
    <t>'DIL_s7p_d1.f'</t>
  </si>
  <si>
    <t>'DIL_ser__L_c1.f'</t>
  </si>
  <si>
    <t>'DIL_ser__L_m1.f'</t>
  </si>
  <si>
    <t>'DIL_ser__L_i1.f'</t>
  </si>
  <si>
    <t>'DIL_ser__L_d1.f'</t>
  </si>
  <si>
    <t>'DIL_succ_c1.f'</t>
  </si>
  <si>
    <t>'DIL_succ_m1.f'</t>
  </si>
  <si>
    <t>'DIL_succ_i1.f'</t>
  </si>
  <si>
    <t>'DIL_succ_d1.f'</t>
  </si>
  <si>
    <t>'DIL_thr__L_c1.f'</t>
  </si>
  <si>
    <t>'DIL_thr__L_m1.f'</t>
  </si>
  <si>
    <t>'DIL_thr__L_i1.f'</t>
  </si>
  <si>
    <t>'DIL_thr__L_d1.f'</t>
  </si>
  <si>
    <t>'DIL_trp__L_c1.f'</t>
  </si>
  <si>
    <t>'DIL_trp__L_i1.f'</t>
  </si>
  <si>
    <t>'DIL_trp__L_d1.f'</t>
  </si>
  <si>
    <t>'DIL_tyr__L_c1.f'</t>
  </si>
  <si>
    <t>'DIL_tyr__L_i1.f'</t>
  </si>
  <si>
    <t>'DIL_tyr__L_d1.f'</t>
  </si>
  <si>
    <t>'DIL_val__L_c1.f'</t>
  </si>
  <si>
    <t>'DIL_val__L_m1.f'</t>
  </si>
  <si>
    <t>'DIL_val__L_i1.f'</t>
  </si>
  <si>
    <t>'DIL_val__L_d1.f'</t>
  </si>
  <si>
    <t>'DIL_2ippm_c2.f'</t>
  </si>
  <si>
    <t>'DIL_2ippm_i2.f'</t>
  </si>
  <si>
    <t>'DIL_2ippm_d2.f'</t>
  </si>
  <si>
    <t>'DIL_3mob_c2.f'</t>
  </si>
  <si>
    <t>'DIL_3mob_m2.f'</t>
  </si>
  <si>
    <t>'DIL_3mob_i2.f'</t>
  </si>
  <si>
    <t>'DIL_3mob_d2.f'</t>
  </si>
  <si>
    <t>'DIL_akg_c2.f'</t>
  </si>
  <si>
    <t>'DIL_akg_m2.f'</t>
  </si>
  <si>
    <t>'DIL_akg_i2.f'</t>
  </si>
  <si>
    <t>'DIL_akg_d2.f'</t>
  </si>
  <si>
    <t>'DIL_ala__L_c2.f'</t>
  </si>
  <si>
    <t>'DIL_ala__L_m2.f'</t>
  </si>
  <si>
    <t>'DIL_ala__L_i2.f'</t>
  </si>
  <si>
    <t>'DIL_ala__L_d2.f'</t>
  </si>
  <si>
    <t>'DIL_arg__L_c2.f'</t>
  </si>
  <si>
    <t>'DIL_arg__L_i2.f'</t>
  </si>
  <si>
    <t>'DIL_arg__L_d2.f'</t>
  </si>
  <si>
    <t>'DIL_asn__L_c2.f'</t>
  </si>
  <si>
    <t>'DIL_asn__L_i2.f'</t>
  </si>
  <si>
    <t>'DIL_asn__L_d2.f'</t>
  </si>
  <si>
    <t>'DIL_asp__L_c2.f'</t>
  </si>
  <si>
    <t>'DIL_asp__L_m2.f'</t>
  </si>
  <si>
    <t>'DIL_asp__L_i2.f'</t>
  </si>
  <si>
    <t>'DIL_asp__L_d2.f'</t>
  </si>
  <si>
    <t>'DIL_cit_c2.f'</t>
  </si>
  <si>
    <t>'DIL_cit_m2.f'</t>
  </si>
  <si>
    <t>'DIL_icit_c2.f'</t>
  </si>
  <si>
    <t>'DIL_icit_m2.f'</t>
  </si>
  <si>
    <t>'DIL_citicit_i2.f'</t>
  </si>
  <si>
    <t>'DIL_citicit_d2.f'</t>
  </si>
  <si>
    <t>'DIL_citr__L_c2.f'</t>
  </si>
  <si>
    <t>'DIL_citr__L_i2.f'</t>
  </si>
  <si>
    <t>'DIL_citr__L_d2.f'</t>
  </si>
  <si>
    <t>'DIL_dhap_c2.f'</t>
  </si>
  <si>
    <t>'DIL_dhap_i2.f'</t>
  </si>
  <si>
    <t>'DIL_dhap_d2.f'</t>
  </si>
  <si>
    <t>'DIL_f6p_c2.f'</t>
  </si>
  <si>
    <t>'DIL_f6p_i2.f'</t>
  </si>
  <si>
    <t>'DIL_f6p_d2.f'</t>
  </si>
  <si>
    <t>'DIL_fdp_c2.f'</t>
  </si>
  <si>
    <t>'DIL_fdp_i2.f'</t>
  </si>
  <si>
    <t>'DIL_fdp_d2.f'</t>
  </si>
  <si>
    <t>'DIL_fum_c2.f'</t>
  </si>
  <si>
    <t>'DIL_fum_m2.f'</t>
  </si>
  <si>
    <t>'DIL_fum_i2.f'</t>
  </si>
  <si>
    <t>'DIL_fum_d2.f'</t>
  </si>
  <si>
    <t>'DIL_g3p_c2.f'</t>
  </si>
  <si>
    <t>'DIL_g3p_i2.f'</t>
  </si>
  <si>
    <t>'DIL_g3p_d2.f'</t>
  </si>
  <si>
    <t>'DIL_g6p_c2.f'</t>
  </si>
  <si>
    <t>'DIL_g6p_i2.f'</t>
  </si>
  <si>
    <t>'DIL_g6p_d2.f'</t>
  </si>
  <si>
    <t>'DIL_gln__L_c2.f'</t>
  </si>
  <si>
    <t>'DIL_gln__L_i2.f'</t>
  </si>
  <si>
    <t>'DIL_gln__L_d2.f'</t>
  </si>
  <si>
    <t>'DIL_glu__L_c2.f'</t>
  </si>
  <si>
    <t>'DIL_glu__L_m2.f'</t>
  </si>
  <si>
    <t>'DIL_glu__L_i2.f'</t>
  </si>
  <si>
    <t>'DIL_glu__L_d2.f'</t>
  </si>
  <si>
    <t>'DIL_gly_c2.f'</t>
  </si>
  <si>
    <t>'DIL_gly_m2.f'</t>
  </si>
  <si>
    <t>'DIL_gly_i2.f'</t>
  </si>
  <si>
    <t>'DIL_gly_d2.f'</t>
  </si>
  <si>
    <t>'DIL_glyc3p_c2.f'</t>
  </si>
  <si>
    <t>'DIL_glyc3p_i2.f'</t>
  </si>
  <si>
    <t>'DIL_glyc3p_d2.f'</t>
  </si>
  <si>
    <t>'DIL_his__L_c2.f'</t>
  </si>
  <si>
    <t>'DIL_his__L_i2.f'</t>
  </si>
  <si>
    <t>'DIL_his__L_d2.f'</t>
  </si>
  <si>
    <t>'DIL_ile__L_c2.f'</t>
  </si>
  <si>
    <t>'DIL_ile__L_m2.f'</t>
  </si>
  <si>
    <t>'DIL_ile__L_i2.f'</t>
  </si>
  <si>
    <t>'DIL_ile__L_d2.f'</t>
  </si>
  <si>
    <t>'DIL_leu__L_c2.f'</t>
  </si>
  <si>
    <t>'DIL_leu__L_i2.f'</t>
  </si>
  <si>
    <t>'DIL_leu__L_d2.f'</t>
  </si>
  <si>
    <t>'DIL_lys__L_c2.f'</t>
  </si>
  <si>
    <t>'DIL_lys__L_i2.f'</t>
  </si>
  <si>
    <t>'DIL_lys__L_d2.f'</t>
  </si>
  <si>
    <t>'DIL_mal__L_c2.f'</t>
  </si>
  <si>
    <t>'DIL_mal__L_m2.f'</t>
  </si>
  <si>
    <t>'DIL_mal__L_i2.f'</t>
  </si>
  <si>
    <t>'DIL_mal__L_d2.f'</t>
  </si>
  <si>
    <t>'DIL_met__L_c2.f'</t>
  </si>
  <si>
    <t>'DIL_met__L_i2.f'</t>
  </si>
  <si>
    <t>'DIL_met__L_d2.f'</t>
  </si>
  <si>
    <t>'DIL_orn_c2.f'</t>
  </si>
  <si>
    <t>'DIL_orn_m2.f'</t>
  </si>
  <si>
    <t>'DIL_orn_i2.f'</t>
  </si>
  <si>
    <t>'DIL_orn_d2.f'</t>
  </si>
  <si>
    <t>'DIL_orot_c2.f'</t>
  </si>
  <si>
    <t>'DIL_orot_i2.f'</t>
  </si>
  <si>
    <t>'DIL_orot_d2.f'</t>
  </si>
  <si>
    <t>'DIL_pep_c2.f'</t>
  </si>
  <si>
    <t>'DIL_pep_i2.f'</t>
  </si>
  <si>
    <t>'DIL_pep_d2.f'</t>
  </si>
  <si>
    <t>'DIL_phe__L_c2.f'</t>
  </si>
  <si>
    <t>'DIL_phe__L_i2.f'</t>
  </si>
  <si>
    <t>'DIL_phe__L_d2.f'</t>
  </si>
  <si>
    <t>'DIL_pro__L_c2.f'</t>
  </si>
  <si>
    <t>'DIL_pro__L_m2.f'</t>
  </si>
  <si>
    <t>'DIL_pro__L_i2.f'</t>
  </si>
  <si>
    <t>'DIL_pro__L_d2.f'</t>
  </si>
  <si>
    <t>'DIL_pyr_c2.f'</t>
  </si>
  <si>
    <t>'DIL_pyr_m2.f'</t>
  </si>
  <si>
    <t>'DIL_pyr_i2.f'</t>
  </si>
  <si>
    <t>'DIL_pyr_d2.f'</t>
  </si>
  <si>
    <t>'DIL_r5p_c2.f'</t>
  </si>
  <si>
    <t>'DIL_r5p_i2.f'</t>
  </si>
  <si>
    <t>'DIL_r5p_d2.f'</t>
  </si>
  <si>
    <t>'DIL_s7p_c2.f'</t>
  </si>
  <si>
    <t>'DIL_s7p_i2.f'</t>
  </si>
  <si>
    <t>'DIL_s7p_d2.f'</t>
  </si>
  <si>
    <t>'DIL_ser__L_c2.f'</t>
  </si>
  <si>
    <t>'DIL_ser__L_m2.f'</t>
  </si>
  <si>
    <t>'DIL_ser__L_i2.f'</t>
  </si>
  <si>
    <t>'DIL_ser__L_d2.f'</t>
  </si>
  <si>
    <t>'DIL_succ_c2.f'</t>
  </si>
  <si>
    <t>'DIL_succ_m2.f'</t>
  </si>
  <si>
    <t>'DIL_succ_i2.f'</t>
  </si>
  <si>
    <t>'DIL_succ_d2.f'</t>
  </si>
  <si>
    <t>'DIL_thr__L_c2.f'</t>
  </si>
  <si>
    <t>'DIL_thr__L_m2.f'</t>
  </si>
  <si>
    <t>'DIL_thr__L_i2.f'</t>
  </si>
  <si>
    <t>'DIL_thr__L_d2.f'</t>
  </si>
  <si>
    <t>'DIL_trp__L_c2.f'</t>
  </si>
  <si>
    <t>'DIL_trp__L_i2.f'</t>
  </si>
  <si>
    <t>'DIL_trp__L_d2.f'</t>
  </si>
  <si>
    <t>'DIL_tyr__L_c2.f'</t>
  </si>
  <si>
    <t>'DIL_tyr__L_i2.f'</t>
  </si>
  <si>
    <t>'DIL_tyr__L_d2.f'</t>
  </si>
  <si>
    <t>'DIL_val__L_c2.f'</t>
  </si>
  <si>
    <t>'DIL_val__L_m2.f'</t>
  </si>
  <si>
    <t>'DIL_val__L_i2.f'</t>
  </si>
  <si>
    <t>'DIL_val__L_d2.f'</t>
  </si>
  <si>
    <t>'DIL_ampsyn1_d1.f'</t>
  </si>
  <si>
    <t>'DIL_ampsyn2_d1.f'</t>
  </si>
  <si>
    <t>'DIL_ampsyn3_d1.f'</t>
  </si>
  <si>
    <t>'DIL_ampsyn4_d1.f'</t>
  </si>
  <si>
    <t>'DIL_ampsyn5_d1.f'</t>
  </si>
  <si>
    <t>'DIL_ampsyn6_d1.f'</t>
  </si>
  <si>
    <t>'DIL_amp_i1.f'</t>
  </si>
  <si>
    <t>'DIL_amp_d1.f'</t>
  </si>
  <si>
    <t>'DIL_ampsyn1_d2.f'</t>
  </si>
  <si>
    <t>'DIL_ampsyn2_d2.f'</t>
  </si>
  <si>
    <t>'DIL_ampsyn3_d2.f'</t>
  </si>
  <si>
    <t>'DIL_ampsyn4_d2.f'</t>
  </si>
  <si>
    <t>'DIL_ampsyn5_d2.f'</t>
  </si>
  <si>
    <t>'DIL_ampsyn6_d2.f'</t>
  </si>
  <si>
    <t>'DIL_amp_i2.f'</t>
  </si>
  <si>
    <t>'DIL_amp_d2.f'</t>
  </si>
  <si>
    <t>'FRD_c.f'</t>
  </si>
  <si>
    <t>'ETFOXRq9_m.f'</t>
  </si>
  <si>
    <t>'FADH2t_c_m.f'</t>
  </si>
  <si>
    <t>'FADt_c_m.f'</t>
  </si>
  <si>
    <t>'OAADC_c.f'</t>
  </si>
  <si>
    <t>'ALDD2x_c.f'</t>
  </si>
  <si>
    <t>'ALDD2y_c.f'</t>
  </si>
  <si>
    <t>'SUCFUMt_c_m.f'</t>
  </si>
  <si>
    <t>sink for what met?</t>
  </si>
  <si>
    <t>Biomass rxn (batch, from MFA)</t>
  </si>
  <si>
    <t>Seems distinct from anything I've seen, so likely based on the data itself.</t>
  </si>
  <si>
    <t>lumpFREEFA_c (makes ffabiom_c)</t>
  </si>
  <si>
    <t>extracted from string</t>
  </si>
  <si>
    <t>rough draft</t>
  </si>
  <si>
    <t>docoscoa_c</t>
  </si>
  <si>
    <t>h2o_c</t>
  </si>
  <si>
    <t>linocoa_c</t>
  </si>
  <si>
    <t>linolncoa_c</t>
  </si>
  <si>
    <t>odecoa_c</t>
  </si>
  <si>
    <t>pmtcoa_c</t>
  </si>
  <si>
    <t>stcoa_c</t>
  </si>
  <si>
    <t>ttccoa_c</t>
  </si>
  <si>
    <t>coa_c</t>
  </si>
  <si>
    <t>ffabiom_c</t>
  </si>
  <si>
    <t>h_c</t>
  </si>
  <si>
    <t>lumpIPC_c</t>
  </si>
  <si>
    <t>2.0 hxccoa_c + 6.0 nadph_c + 2.0 o2_c + 4.0 pail_c + 4.0 pmtcoa_c + 4.0 ser__L_c + 2.0 ttccoa_c --&gt; -4.0 co2_c + -8.0 coa_c + -4.0 dag_c + -2.0 h2o_c + -2.0 h_c + -4.0 ipcbiom_c + -6.0 nadp_c</t>
  </si>
  <si>
    <t>0.01875 docoscoa_c + 1 h2o_c + 0.355664 linocoa_c + 0.087612 linolncoa_c + 0.207129 odecoa_c + 0.1694 pmtcoa_c + 0.112806 stcoa_c + 0.048639 ttccoa_c --&gt; -1 coa_c + -1 ffabiom_c + -1 h_c</t>
  </si>
  <si>
    <t>rxns accounting for this in model:</t>
  </si>
  <si>
    <t>compACYLCOA_c</t>
  </si>
  <si>
    <t>makes acylcoa_c</t>
  </si>
  <si>
    <t>ones making ipc_g?</t>
  </si>
  <si>
    <t>flux =</t>
  </si>
  <si>
    <t>0.684548 13BDglucan_c + 0.180144 16BDglucan_c + 0.405893 ala__L_c + 0.160363 arg__L_c + 0.192768 asn__L_c + 0.192768 asp__L_c + 190.647337 atp_c + 0.001286 ca2_c + 0.016184 chtn_c + 0.119302 ctp_c + 0.000114 cu2_c + 0.005816 cys__L_c + 0.006009 datp_c + 0.009379 dctp_c + 0.009379 dgtp_c + 0.006009 dttp_c + 0.042867 ergst_c + 0.010634 ergstest_c + 0.000664 fe2_c + 0.001922 ffabiom_c + 0.321557 gln__L_c + 0.321557 glu__L_c + 0.369334 gly_c + 0.234811 glycogen_c + 0.104534 gtp_c + 186.43364699999998 h2o_c + 0.080182 his__L_c + 0.244699 ile__L_c + 0.005176 ipcbiom_c + 0.60365 k_c + 0.332774 leu__L_c + 0.27295 lys__L_c + 0.49015 mannan_c + 0.047361 met__L_c + 0.063607 mg2_c + 9.4e-05 mn2_c + 0.007738 pail_c + 0.028783 pc_c + 0.00772 pe_c + 0.156209 phe__L_c + 0.175319 pro__L_c + 0.006643 ps_c + 0.221434 ser__L_c + 0.031223 so4_c + 0.010494 tag_c + 0.231405 thr__L_c + 0.137707 tre_c + 0.027004 trp__L_c + 0.081428 tyr__L_c + 0.062537 utp_c + 0.304524 val__L_c + 0.001576 zn2_c --&gt; -190.57899 adp_c + -190.57899 h_c + -190.473335 pi_c + -0.385495 ppi_c</t>
  </si>
  <si>
    <t>TOTAL</t>
  </si>
  <si>
    <t>coeff</t>
  </si>
  <si>
    <t>reactant</t>
  </si>
  <si>
    <t>Sum of coeff</t>
  </si>
  <si>
    <t>Row Labels</t>
  </si>
  <si>
    <t>13BDglucan_c</t>
  </si>
  <si>
    <t>adp_c</t>
  </si>
  <si>
    <t>ala__L_c</t>
  </si>
  <si>
    <t>arg__L_c</t>
  </si>
  <si>
    <t>asn__L_c</t>
  </si>
  <si>
    <t>asp__L_c</t>
  </si>
  <si>
    <t>atp_c</t>
  </si>
  <si>
    <t>ca2_c</t>
  </si>
  <si>
    <t>chtn_c</t>
  </si>
  <si>
    <t>co2_c</t>
  </si>
  <si>
    <t>ctp_c</t>
  </si>
  <si>
    <t>cu2_c</t>
  </si>
  <si>
    <t>cys__L_c</t>
  </si>
  <si>
    <t>dag_c</t>
  </si>
  <si>
    <t>datp_c</t>
  </si>
  <si>
    <t>dctp_c</t>
  </si>
  <si>
    <t>dgtp_c</t>
  </si>
  <si>
    <t>dttp_c</t>
  </si>
  <si>
    <t>ergst_c</t>
  </si>
  <si>
    <t>ergstest_c</t>
  </si>
  <si>
    <t>fe2_c</t>
  </si>
  <si>
    <t>gln__L_c</t>
  </si>
  <si>
    <t>glu__L_c</t>
  </si>
  <si>
    <t>glycogen_c</t>
  </si>
  <si>
    <t>gtp_c</t>
  </si>
  <si>
    <t>his__L_c</t>
  </si>
  <si>
    <t>hxccoa_c</t>
  </si>
  <si>
    <t>ile__L_c</t>
  </si>
  <si>
    <t>k_c</t>
  </si>
  <si>
    <t>leu__L_c</t>
  </si>
  <si>
    <t>lys__L_c</t>
  </si>
  <si>
    <t>mannan_c</t>
  </si>
  <si>
    <t>met__L_c</t>
  </si>
  <si>
    <t>mg2_c</t>
  </si>
  <si>
    <t>mn2_c</t>
  </si>
  <si>
    <t>nadp_c</t>
  </si>
  <si>
    <t>nadph_c</t>
  </si>
  <si>
    <t>o2_c</t>
  </si>
  <si>
    <t>pail_c</t>
  </si>
  <si>
    <t>pc_c</t>
  </si>
  <si>
    <t>pe_c</t>
  </si>
  <si>
    <t>phe__L_c</t>
  </si>
  <si>
    <t>pi_c</t>
  </si>
  <si>
    <t>ppi_c</t>
  </si>
  <si>
    <t>pro__L_c</t>
  </si>
  <si>
    <t>ps_c</t>
  </si>
  <si>
    <t>ser__L_c</t>
  </si>
  <si>
    <t>so4_c</t>
  </si>
  <si>
    <t>tag_c</t>
  </si>
  <si>
    <t>thr__L_c</t>
  </si>
  <si>
    <t>tre_c</t>
  </si>
  <si>
    <t>trp__L_c</t>
  </si>
  <si>
    <t>tyr__L_c</t>
  </si>
  <si>
    <t>utp_c</t>
  </si>
  <si>
    <t>val__L_c</t>
  </si>
  <si>
    <t>zn2_c</t>
  </si>
  <si>
    <t>compFALPD_c could also work, though with non-CoA versions</t>
  </si>
  <si>
    <t>ignore ipcbiom and ffabiom, as they're treated as direct biomass precursors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</si>
</sst>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7"/>
      <color rgb="FF3B3B3B"/>
      <name val="Consolas"/>
      <family val="3"/>
    </font>
    <font>
      <sz val="7"/>
      <color rgb="FF0451A5"/>
      <name val="Consolas"/>
      <family val="3"/>
    </font>
    <font>
      <sz val="7"/>
      <color rgb="FF098658"/>
      <name val="Consolas"/>
      <family val="3"/>
    </font>
    <font>
      <sz val="11"/>
      <color rgb="FF000000"/>
      <name val="Calibri"/>
      <family val="2"/>
    </font>
    <font>
      <sz val="10"/>
      <name val="Arial"/>
      <family val="2"/>
      <charset val="1"/>
    </font>
    <font>
      <sz val="10"/>
      <color rgb="FFFF0000"/>
      <name val="Arial"/>
      <family val="2"/>
      <charset val="1"/>
    </font>
    <font>
      <sz val="10"/>
      <color rgb="FFFF0000"/>
      <name val="Menlo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B8CCE4"/>
        <bgColor rgb="FFB8CCE4"/>
      </patternFill>
    </fill>
    <fill>
      <patternFill patternType="solid">
        <fgColor rgb="FFDCE6F1"/>
        <bgColor rgb="FFDCE6F1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21">
    <xf numFmtId="0" fontId="0" fillId="0" borderId="0" xfId="0"/>
    <xf numFmtId="11" fontId="0" fillId="0" borderId="0" xfId="0" applyNumberFormat="1"/>
    <xf numFmtId="0" fontId="2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wrapText="1"/>
    </xf>
    <xf numFmtId="0" fontId="0" fillId="3" borderId="1" xfId="0" applyFill="1" applyBorder="1"/>
    <xf numFmtId="0" fontId="0" fillId="0" borderId="1" xfId="0" applyBorder="1"/>
    <xf numFmtId="0" fontId="5" fillId="0" borderId="0" xfId="0" applyFont="1" applyAlignment="1">
      <alignment horizontal="right"/>
    </xf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NumberFormat="1" applyFont="1" applyAlignment="1">
      <alignment horizontal="right"/>
    </xf>
    <xf numFmtId="0" fontId="5" fillId="0" borderId="0" xfId="0" applyFont="1" applyAlignment="1">
      <alignment horizontal="left" wrapText="1"/>
    </xf>
    <xf numFmtId="0" fontId="0" fillId="4" borderId="2" xfId="0" applyFill="1" applyBorder="1"/>
    <xf numFmtId="0" fontId="0" fillId="4" borderId="3" xfId="0" applyFill="1" applyBorder="1"/>
    <xf numFmtId="0" fontId="6" fillId="0" borderId="0" xfId="0" applyFont="1" applyAlignment="1">
      <alignment horizontal="right"/>
    </xf>
    <xf numFmtId="0" fontId="7" fillId="0" borderId="0" xfId="0" applyFont="1"/>
    <xf numFmtId="0" fontId="4" fillId="5" borderId="4" xfId="0" applyFont="1" applyFill="1" applyBorder="1"/>
    <xf numFmtId="0" fontId="4" fillId="6" borderId="4" xfId="0" applyFont="1" applyFill="1" applyBorder="1"/>
    <xf numFmtId="0" fontId="0" fillId="0" borderId="0" xfId="0" applyNumberFormat="1"/>
    <xf numFmtId="0" fontId="0" fillId="0" borderId="0" xfId="0" pivotButton="1"/>
  </cellXfs>
  <cellStyles count="1">
    <cellStyle name="Normal" xfId="0" builtinId="0"/>
  </cellStyles>
  <dxfs count="3">
    <dxf>
      <numFmt numFmtId="0" formatCode="General"/>
    </dxf>
    <dxf>
      <alignment horizontal="general" vertical="bottom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oney, Eric James" refreshedDate="45541.515515277781" createdVersion="8" refreshedVersion="8" minRefreshableVersion="3" recordCount="81" xr:uid="{F18DF692-8F74-7C43-A201-BBACB1BA4006}">
  <cacheSource type="worksheet">
    <worksheetSource ref="M2:N83" sheet="pt2"/>
  </cacheSource>
  <cacheFields count="2">
    <cacheField name="coeff" numFmtId="0">
      <sharedItems containsSemiMixedTypes="0" containsString="0" containsNumber="1" minValue="-190.64733699999999" maxValue="190.57899"/>
    </cacheField>
    <cacheField name="reactant" numFmtId="0">
      <sharedItems count="70">
        <s v="13BDglucan_c"/>
        <s v="16BDglucan_c"/>
        <s v="ala__L_c"/>
        <s v="arg__L_c"/>
        <s v="asn__L_c"/>
        <s v="asp__L_c"/>
        <s v="atp_c"/>
        <s v="ca2_c"/>
        <s v="chtn_c"/>
        <s v="ctp_c"/>
        <s v="cu2_c"/>
        <s v="cys__L_c"/>
        <s v="datp_c"/>
        <s v="dctp_c"/>
        <s v="dgtp_c"/>
        <s v="dttp_c"/>
        <s v="ergst_c"/>
        <s v="ergstest_c"/>
        <s v="fe2_c"/>
        <s v="ffabiom_c"/>
        <s v="gln__L_c"/>
        <s v="glu__L_c"/>
        <s v="gly_c"/>
        <s v="glycogen_c"/>
        <s v="gtp_c"/>
        <s v="h2o_c"/>
        <s v="his__L_c"/>
        <s v="ile__L_c"/>
        <s v="ipcbiom_c"/>
        <s v="k_c"/>
        <s v="leu__L_c"/>
        <s v="lys__L_c"/>
        <s v="mannan_c"/>
        <s v="met__L_c"/>
        <s v="mg2_c"/>
        <s v="mn2_c"/>
        <s v="pail_c"/>
        <s v="pc_c"/>
        <s v="pe_c"/>
        <s v="phe__L_c"/>
        <s v="pro__L_c"/>
        <s v="ps_c"/>
        <s v="ser__L_c"/>
        <s v="so4_c"/>
        <s v="tag_c"/>
        <s v="thr__L_c"/>
        <s v="tre_c"/>
        <s v="trp__L_c"/>
        <s v="tyr__L_c"/>
        <s v="utp_c"/>
        <s v="val__L_c"/>
        <s v="zn2_c"/>
        <s v="adp_c"/>
        <s v="h_c"/>
        <s v="pi_c"/>
        <s v="ppi_c"/>
        <s v="docoscoa_c"/>
        <s v="linocoa_c"/>
        <s v="linolncoa_c"/>
        <s v="odecoa_c"/>
        <s v="pmtcoa_c"/>
        <s v="stcoa_c"/>
        <s v="ttccoa_c"/>
        <s v="coa_c"/>
        <s v="hxccoa_c"/>
        <s v="nadph_c"/>
        <s v="o2_c"/>
        <s v="co2_c"/>
        <s v="dag_c"/>
        <s v="nadp_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n v="-0.68454800000000005"/>
    <x v="0"/>
  </r>
  <r>
    <n v="-0.180144"/>
    <x v="1"/>
  </r>
  <r>
    <n v="-0.405893"/>
    <x v="2"/>
  </r>
  <r>
    <n v="-0.16036300000000001"/>
    <x v="3"/>
  </r>
  <r>
    <n v="-0.19276799999999999"/>
    <x v="4"/>
  </r>
  <r>
    <n v="-0.19276799999999999"/>
    <x v="5"/>
  </r>
  <r>
    <n v="-190.64733699999999"/>
    <x v="6"/>
  </r>
  <r>
    <n v="-1.286E-3"/>
    <x v="7"/>
  </r>
  <r>
    <n v="-1.6184E-2"/>
    <x v="8"/>
  </r>
  <r>
    <n v="-0.11930200000000001"/>
    <x v="9"/>
  </r>
  <r>
    <n v="-1.1400000000000001E-4"/>
    <x v="10"/>
  </r>
  <r>
    <n v="-5.816E-3"/>
    <x v="11"/>
  </r>
  <r>
    <n v="-6.0089999999999996E-3"/>
    <x v="12"/>
  </r>
  <r>
    <n v="-9.3790000000000002E-3"/>
    <x v="13"/>
  </r>
  <r>
    <n v="-9.3790000000000002E-3"/>
    <x v="14"/>
  </r>
  <r>
    <n v="-6.0089999999999996E-3"/>
    <x v="15"/>
  </r>
  <r>
    <n v="-4.2867000000000002E-2"/>
    <x v="16"/>
  </r>
  <r>
    <n v="-1.0633999999999999E-2"/>
    <x v="17"/>
  </r>
  <r>
    <n v="-6.6399999999999999E-4"/>
    <x v="18"/>
  </r>
  <r>
    <n v="-1.9220000000000001E-3"/>
    <x v="19"/>
  </r>
  <r>
    <n v="-0.32155699999999998"/>
    <x v="20"/>
  </r>
  <r>
    <n v="-0.32155699999999998"/>
    <x v="21"/>
  </r>
  <r>
    <n v="-0.369334"/>
    <x v="22"/>
  </r>
  <r>
    <n v="-0.23481099999999999"/>
    <x v="23"/>
  </r>
  <r>
    <n v="-0.104534"/>
    <x v="24"/>
  </r>
  <r>
    <n v="-186.43364699999901"/>
    <x v="25"/>
  </r>
  <r>
    <n v="-8.0182000000000003E-2"/>
    <x v="26"/>
  </r>
  <r>
    <n v="-0.244699"/>
    <x v="27"/>
  </r>
  <r>
    <n v="-5.176E-3"/>
    <x v="28"/>
  </r>
  <r>
    <n v="-0.60365000000000002"/>
    <x v="29"/>
  </r>
  <r>
    <n v="-0.33277400000000001"/>
    <x v="30"/>
  </r>
  <r>
    <n v="-0.27295000000000003"/>
    <x v="31"/>
  </r>
  <r>
    <n v="-0.49014999999999997"/>
    <x v="32"/>
  </r>
  <r>
    <n v="-4.7361E-2"/>
    <x v="33"/>
  </r>
  <r>
    <n v="-6.3606999999999997E-2"/>
    <x v="34"/>
  </r>
  <r>
    <n v="-9.3999999999999994E-5"/>
    <x v="35"/>
  </r>
  <r>
    <n v="-7.7380000000000001E-3"/>
    <x v="36"/>
  </r>
  <r>
    <n v="-2.8783E-2"/>
    <x v="37"/>
  </r>
  <r>
    <n v="-7.7200000000000003E-3"/>
    <x v="38"/>
  </r>
  <r>
    <n v="-0.15620899999999999"/>
    <x v="39"/>
  </r>
  <r>
    <n v="-0.175319"/>
    <x v="40"/>
  </r>
  <r>
    <n v="-6.6429999999999996E-3"/>
    <x v="41"/>
  </r>
  <r>
    <n v="-0.22143399999999999"/>
    <x v="42"/>
  </r>
  <r>
    <n v="-3.1223000000000001E-2"/>
    <x v="43"/>
  </r>
  <r>
    <n v="-1.0494E-2"/>
    <x v="44"/>
  </r>
  <r>
    <n v="-0.231405"/>
    <x v="45"/>
  </r>
  <r>
    <n v="-0.137707"/>
    <x v="46"/>
  </r>
  <r>
    <n v="-2.7004E-2"/>
    <x v="47"/>
  </r>
  <r>
    <n v="-8.1428E-2"/>
    <x v="48"/>
  </r>
  <r>
    <n v="-6.2536999999999995E-2"/>
    <x v="49"/>
  </r>
  <r>
    <n v="-0.30452400000000002"/>
    <x v="50"/>
  </r>
  <r>
    <n v="-1.5759999999999999E-3"/>
    <x v="51"/>
  </r>
  <r>
    <n v="190.57899"/>
    <x v="52"/>
  </r>
  <r>
    <n v="190.57899"/>
    <x v="53"/>
  </r>
  <r>
    <n v="190.47333499999999"/>
    <x v="54"/>
  </r>
  <r>
    <n v="0.38549499999999998"/>
    <x v="55"/>
  </r>
  <r>
    <n v="-1.3931249999999998E-5"/>
    <x v="56"/>
  </r>
  <r>
    <n v="-7.4299999999999995E-4"/>
    <x v="25"/>
  </r>
  <r>
    <n v="-2.6425835199999997E-4"/>
    <x v="57"/>
  </r>
  <r>
    <n v="-6.5095715999999998E-5"/>
    <x v="58"/>
  </r>
  <r>
    <n v="-1.53896847E-4"/>
    <x v="59"/>
  </r>
  <r>
    <n v="-1.2586419999999999E-4"/>
    <x v="60"/>
  </r>
  <r>
    <n v="-8.3814857999999994E-5"/>
    <x v="61"/>
  </r>
  <r>
    <n v="-3.6138776999999997E-5"/>
    <x v="62"/>
  </r>
  <r>
    <n v="7.4299999999999995E-4"/>
    <x v="63"/>
  </r>
  <r>
    <n v="7.4299999999999995E-4"/>
    <x v="19"/>
  </r>
  <r>
    <n v="7.4299999999999995E-4"/>
    <x v="53"/>
  </r>
  <r>
    <n v="-1E-3"/>
    <x v="64"/>
  </r>
  <r>
    <n v="-3.0000000000000001E-3"/>
    <x v="65"/>
  </r>
  <r>
    <n v="-1E-3"/>
    <x v="66"/>
  </r>
  <r>
    <n v="-2E-3"/>
    <x v="36"/>
  </r>
  <r>
    <n v="-2E-3"/>
    <x v="60"/>
  </r>
  <r>
    <n v="-2E-3"/>
    <x v="42"/>
  </r>
  <r>
    <n v="-1E-3"/>
    <x v="62"/>
  </r>
  <r>
    <n v="2E-3"/>
    <x v="67"/>
  </r>
  <r>
    <n v="4.0000000000000001E-3"/>
    <x v="63"/>
  </r>
  <r>
    <n v="2E-3"/>
    <x v="68"/>
  </r>
  <r>
    <n v="1E-3"/>
    <x v="25"/>
  </r>
  <r>
    <n v="1E-3"/>
    <x v="53"/>
  </r>
  <r>
    <n v="2E-3"/>
    <x v="28"/>
  </r>
  <r>
    <n v="3.0000000000000001E-3"/>
    <x v="6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D02482-FA34-ED45-B417-A084439FE661}" name="PivotTable2" cacheId="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P2:Q72" firstHeaderRow="1" firstDataRow="1" firstDataCol="1"/>
  <pivotFields count="2">
    <pivotField dataField="1" showAll="0"/>
    <pivotField axis="axisRow" showAll="0">
      <items count="71">
        <item x="0"/>
        <item x="1"/>
        <item x="52"/>
        <item x="2"/>
        <item x="3"/>
        <item x="4"/>
        <item x="5"/>
        <item x="6"/>
        <item x="7"/>
        <item x="8"/>
        <item x="67"/>
        <item x="63"/>
        <item x="9"/>
        <item x="10"/>
        <item x="11"/>
        <item x="68"/>
        <item x="12"/>
        <item x="13"/>
        <item x="14"/>
        <item x="56"/>
        <item x="15"/>
        <item x="16"/>
        <item x="17"/>
        <item x="18"/>
        <item x="19"/>
        <item x="20"/>
        <item x="21"/>
        <item x="22"/>
        <item x="23"/>
        <item x="24"/>
        <item x="53"/>
        <item x="25"/>
        <item x="26"/>
        <item x="64"/>
        <item x="27"/>
        <item x="28"/>
        <item x="29"/>
        <item x="30"/>
        <item x="57"/>
        <item x="58"/>
        <item x="31"/>
        <item x="32"/>
        <item x="33"/>
        <item x="34"/>
        <item x="35"/>
        <item x="69"/>
        <item x="65"/>
        <item x="66"/>
        <item x="59"/>
        <item x="36"/>
        <item x="37"/>
        <item x="38"/>
        <item x="39"/>
        <item x="54"/>
        <item x="60"/>
        <item x="55"/>
        <item x="40"/>
        <item x="41"/>
        <item x="42"/>
        <item x="43"/>
        <item x="61"/>
        <item x="44"/>
        <item x="45"/>
        <item x="46"/>
        <item x="47"/>
        <item x="62"/>
        <item x="48"/>
        <item x="49"/>
        <item x="50"/>
        <item x="51"/>
        <item t="default"/>
      </items>
    </pivotField>
  </pivotFields>
  <rowFields count="1">
    <field x="1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</rowItems>
  <colItems count="1">
    <i/>
  </colItems>
  <dataFields count="1">
    <dataField name="Sum of coeff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9C7B92-F487-7744-B421-6EF85C8B1C6B}" name="Table1" displayName="Table1" ref="U1:X642" totalsRowShown="0" headerRowDxfId="1">
  <autoFilter ref="U1:X642" xr:uid="{C69C7B92-F487-7744-B421-6EF85C8B1C6B}"/>
  <tableColumns count="4">
    <tableColumn id="1" xr3:uid="{284731C5-F334-C24E-8178-A4E145BCBAA4}" name="name" dataDxfId="2"/>
    <tableColumn id="2" xr3:uid="{9D400667-B371-9741-92D4-2CEBC37FD2A5}" name="rxn"/>
    <tableColumn id="3" xr3:uid="{6CA94B6C-692B-C044-960C-3F94CFAB4563}" name="formula"/>
    <tableColumn id="4" xr3:uid="{6B11DC71-50D0-AB42-9C4D-CF8322EDA34B}" name="sink for what met?" dataDxfId="0">
      <calculatedColumnFormula>_xlfn.LET(_xlpm.str,"'DIL_",IF(LEFT(Table1[[#This Row],[name]],LEN(_xlpm.str))=_xlpm.str,_xlfn.TEXTBEFORE(_xlfn.TEXTBEFORE(_xlfn.TEXTAFTER(Table1[[#This Row],[name]],_xlpm.str),".",-1),"_",-1),""))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222EA-D23E-4A0F-A24A-89CE1C825881}">
  <dimension ref="A1:X642"/>
  <sheetViews>
    <sheetView topLeftCell="A4" workbookViewId="0">
      <selection activeCell="F21" sqref="F21"/>
    </sheetView>
  </sheetViews>
  <sheetFormatPr baseColWidth="10" defaultColWidth="8.83203125" defaultRowHeight="15" x14ac:dyDescent="0.2"/>
  <cols>
    <col min="1" max="1" width="4.6640625" customWidth="1"/>
    <col min="2" max="2" width="12.83203125" bestFit="1" customWidth="1"/>
    <col min="10" max="10" width="15.83203125" bestFit="1" customWidth="1"/>
    <col min="11" max="11" width="10.6640625" customWidth="1"/>
    <col min="14" max="14" width="13.5" bestFit="1" customWidth="1"/>
    <col min="19" max="19" width="8.6640625"/>
    <col min="23" max="23" width="9.5" customWidth="1"/>
  </cols>
  <sheetData>
    <row r="1" spans="1:24" s="4" customFormat="1" ht="64" x14ac:dyDescent="0.2">
      <c r="A1" s="4" t="s">
        <v>52</v>
      </c>
      <c r="D1" s="4" t="s">
        <v>53</v>
      </c>
      <c r="F1" s="4" t="s">
        <v>1405</v>
      </c>
      <c r="G1" s="4" t="s">
        <v>1407</v>
      </c>
      <c r="H1" s="4" t="s">
        <v>1408</v>
      </c>
      <c r="I1" s="4" t="s">
        <v>1406</v>
      </c>
      <c r="K1" s="4" t="s">
        <v>1403</v>
      </c>
      <c r="M1" s="4" t="s">
        <v>1404</v>
      </c>
      <c r="R1" s="4" t="s">
        <v>1402</v>
      </c>
      <c r="U1" s="4" t="s">
        <v>1409</v>
      </c>
      <c r="V1" s="4" t="s">
        <v>1400</v>
      </c>
      <c r="W1" s="4" t="s">
        <v>1401</v>
      </c>
      <c r="X1" s="4" t="s">
        <v>2051</v>
      </c>
    </row>
    <row r="2" spans="1:24" x14ac:dyDescent="0.2">
      <c r="A2" t="s">
        <v>0</v>
      </c>
      <c r="B2" t="str" cm="1">
        <f t="array" ref="B2:B53">SUBSTITUTE(A2:A53,"'","")</f>
        <v>13BDglucan_c</v>
      </c>
      <c r="C2">
        <v>0.68454800000000005</v>
      </c>
      <c r="D2" t="str" cm="1">
        <f t="array" ref="D2:D53">_xlfn.XLOOKUP(_xlfn.ANCHORARRAY(B2),P2:P94,_xlfn.ANCHORARRAY(Q2))</f>
        <v>-1.001123</v>
      </c>
      <c r="E2" cm="1">
        <f t="array" ref="E2:E53">C2:C53/_xlfn.ANCHORARRAY(D2)</f>
        <v>-0.6837801149309326</v>
      </c>
      <c r="G2" t="str" cm="1">
        <f t="array" ref="G2">_xlfn.TOCOL(F2:F53,3)</f>
        <v>'0.01875 docoscoa_c + h2o_c + 0.355664 linocoa_c + 0.087612 linolncoa_c + 0.207129 odecoa_c + 0.1694 pmtcoa_c + 0.112806 stcoa_c + 0.048639 ttccoa_c --&gt; coa_c + ffabiom_c + h_c'</v>
      </c>
      <c r="H2" cm="1">
        <f t="array" ref="H2">_xlfn.XLOOKUP(_xlfn.ANCHORARRAY(G2),F:F,C:C,"")</f>
        <v>1.9220000000000001E-3</v>
      </c>
      <c r="I2" t="str" cm="1">
        <f t="array" ref="I2:J12">_xlfn.LET(_xlpm.x,SUBSTITUTE(SUBSTITUTE(_xlfn.ANCHORARRAY(G2),"&lt;=&gt;","--&gt;"),"'",""),_xlpm.reac,_xlfn.TEXTSPLIT(_xlfn.TEXTJOIN(" ",TRUE,_xlfn.TEXTBEFORE(_xlpm.x," --&gt; ")),," + "),_xlpm.prod,_xlfn.TEXTSPLIT(_xlfn.TEXTJOIN(" ",TRUE,_xlfn.TEXTAFTER(_xlpm.x," --&gt; ")),," + "),SUBSTITUTE(_xlfn.VSTACK(_xlfn.HSTACK(_xlfn.TEXTBEFORE(_xlpm.reac," ",,,,"1"),_xlfn.TEXTAFTER(_xlpm.reac," ",,,,_xlpm.reac)),_xlfn.HSTACK(-_xlfn.TEXTBEFORE(_xlpm.prod," ",,,,"1"),_xlfn.TEXTAFTER(_xlpm.prod," ",,,,_xlpm.prod))),"'",""))</f>
        <v>0.01875</v>
      </c>
      <c r="J2" t="str">
        <v>docoscoa_c</v>
      </c>
      <c r="K2" cm="1">
        <f t="array" ref="K2:K16">_xlfn._xlws.SORT(_xlfn.UNIQUE(ROUND(_xlfn.ANCHORARRAY(E2),3)))</f>
        <v>-1.6919999999999999</v>
      </c>
      <c r="M2" s="2" t="s">
        <v>54</v>
      </c>
      <c r="N2" t="str" cm="1">
        <f t="array" ref="N2:N94">SUBSTITUTE(_xlfn.TEXTBEFORE(M2:M94,":"),CHAR(34),"")</f>
        <v>13BDglucan_c</v>
      </c>
      <c r="O2" t="str" cm="1">
        <f t="array" ref="O2:O94">SUBSTITUTE(_xlfn.ANCHORARRAY(N2),"trna_","__L_")</f>
        <v>13BDglucan_c</v>
      </c>
      <c r="P2" t="str">
        <f>O2</f>
        <v>13BDglucan_c</v>
      </c>
      <c r="Q2" t="str" cm="1">
        <f t="array" ref="Q2:Q94">SUBSTITUTE(_xlfn.TEXTAFTER(M2:M94,":"),",","")</f>
        <v>-1.001123</v>
      </c>
      <c r="R2" t="str" cm="1">
        <f t="array" ref="R2:R49">_xlfn.UNIQUE(IF(_xlfn.XLOOKUP(P2:P94,_xlfn.ANCHORARRAY(B2),_xlfn.ANCHORARRAY(B2),"1")="1",P2:P94,""))</f>
        <v/>
      </c>
      <c r="U2" s="5" t="s">
        <v>1410</v>
      </c>
      <c r="V2" t="s">
        <v>791</v>
      </c>
      <c r="W2" t="s">
        <v>150</v>
      </c>
      <c r="X2" t="str">
        <f>_xlfn.LET(_xlpm.str,"'DIL_",IF(LEFT(Table1[[#This Row],[name]],LEN(_xlpm.str))=_xlpm.str,_xlfn.TEXTBEFORE(_xlfn.TEXTBEFORE(_xlfn.TEXTAFTER(Table1[[#This Row],[name]],_xlpm.str),".",-1),"_",-1),""))</f>
        <v/>
      </c>
    </row>
    <row r="3" spans="1:24" x14ac:dyDescent="0.2">
      <c r="A3" t="s">
        <v>1</v>
      </c>
      <c r="B3" t="str">
        <v>16BDglucan_c</v>
      </c>
      <c r="C3">
        <v>0.180144</v>
      </c>
      <c r="D3" t="str">
        <v>-0.263454</v>
      </c>
      <c r="E3">
        <v>-0.6837778132045822</v>
      </c>
      <c r="I3" t="str">
        <v>1</v>
      </c>
      <c r="J3" t="str">
        <v>h2o_c</v>
      </c>
      <c r="K3">
        <v>-1.6910000000000001</v>
      </c>
      <c r="M3" s="2" t="s">
        <v>55</v>
      </c>
      <c r="N3" t="str">
        <v>16BDglucan_en</v>
      </c>
      <c r="O3" t="str">
        <v>16BDglucan_en</v>
      </c>
      <c r="P3" t="s">
        <v>147</v>
      </c>
      <c r="Q3" t="str">
        <v>-0.263454</v>
      </c>
      <c r="R3" s="3" t="str">
        <v>G00006_c</v>
      </c>
      <c r="U3" s="6" t="s">
        <v>1411</v>
      </c>
      <c r="V3" t="s">
        <v>792</v>
      </c>
      <c r="W3" t="s">
        <v>151</v>
      </c>
      <c r="X3" t="str">
        <f>_xlfn.LET(_xlpm.str,"'DIL_",IF(LEFT(Table1[[#This Row],[name]],LEN(_xlpm.str))=_xlpm.str,_xlfn.TEXTBEFORE(_xlfn.TEXTBEFORE(_xlfn.TEXTAFTER(Table1[[#This Row],[name]],_xlpm.str),".",-1),"_",-1),""))</f>
        <v/>
      </c>
    </row>
    <row r="4" spans="1:24" x14ac:dyDescent="0.2">
      <c r="A4" t="s">
        <v>2</v>
      </c>
      <c r="B4" t="str">
        <v>ala__L_c</v>
      </c>
      <c r="C4">
        <v>0.405893</v>
      </c>
      <c r="D4" t="str">
        <v>-0.386254</v>
      </c>
      <c r="E4">
        <v>-1.0508447808954731</v>
      </c>
      <c r="I4" t="str">
        <v>0.355664</v>
      </c>
      <c r="J4" t="str">
        <v>linocoa_c</v>
      </c>
      <c r="K4">
        <v>-1.246</v>
      </c>
      <c r="M4" s="2" t="s">
        <v>56</v>
      </c>
      <c r="N4" t="str">
        <v>G00006_c</v>
      </c>
      <c r="O4" t="str">
        <v>G00006_c</v>
      </c>
      <c r="P4" t="str">
        <f t="shared" ref="P4:P66" si="0">O4</f>
        <v>G00006_c</v>
      </c>
      <c r="Q4" t="str">
        <v>-0.015503</v>
      </c>
      <c r="R4" s="3" t="str">
        <v>adp_c</v>
      </c>
      <c r="U4" s="5" t="s">
        <v>1412</v>
      </c>
      <c r="V4" t="s">
        <v>793</v>
      </c>
      <c r="W4" t="s">
        <v>152</v>
      </c>
      <c r="X4" t="str">
        <f>_xlfn.LET(_xlpm.str,"'DIL_",IF(LEFT(Table1[[#This Row],[name]],LEN(_xlpm.str))=_xlpm.str,_xlfn.TEXTBEFORE(_xlfn.TEXTBEFORE(_xlfn.TEXTAFTER(Table1[[#This Row],[name]],_xlpm.str),".",-1),"_",-1),""))</f>
        <v/>
      </c>
    </row>
    <row r="5" spans="1:24" x14ac:dyDescent="0.2">
      <c r="A5" t="s">
        <v>3</v>
      </c>
      <c r="B5" t="str">
        <v>arg__L_c</v>
      </c>
      <c r="C5">
        <v>0.16036300000000001</v>
      </c>
      <c r="D5" t="str">
        <v>-0.152604</v>
      </c>
      <c r="E5">
        <v>-1.0508440145736679</v>
      </c>
      <c r="I5" t="str">
        <v>0.087612</v>
      </c>
      <c r="J5" t="str">
        <v>linolncoa_c</v>
      </c>
      <c r="K5">
        <v>-1.139</v>
      </c>
      <c r="M5" s="2" t="s">
        <v>57</v>
      </c>
      <c r="N5" t="str">
        <v>adp_c</v>
      </c>
      <c r="O5" t="str">
        <v>adp_c</v>
      </c>
      <c r="P5" t="str">
        <f t="shared" si="0"/>
        <v>adp_c</v>
      </c>
      <c r="Q5" t="str">
        <v>167.408348</v>
      </c>
      <c r="R5" s="3" t="str">
        <v>amet_c</v>
      </c>
      <c r="U5" s="6" t="s">
        <v>1413</v>
      </c>
      <c r="V5" t="s">
        <v>794</v>
      </c>
      <c r="W5" t="s">
        <v>153</v>
      </c>
      <c r="X5" t="str">
        <f>_xlfn.LET(_xlpm.str,"'DIL_",IF(LEFT(Table1[[#This Row],[name]],LEN(_xlpm.str))=_xlpm.str,_xlfn.TEXTBEFORE(_xlfn.TEXTBEFORE(_xlfn.TEXTAFTER(Table1[[#This Row],[name]],_xlpm.str),".",-1),"_",-1),""))</f>
        <v/>
      </c>
    </row>
    <row r="6" spans="1:24" x14ac:dyDescent="0.2">
      <c r="A6" t="s">
        <v>4</v>
      </c>
      <c r="B6" t="str">
        <v>asn__L_c</v>
      </c>
      <c r="C6">
        <v>0.19276799999999999</v>
      </c>
      <c r="D6" t="str">
        <v>-0.183441</v>
      </c>
      <c r="E6">
        <v>-1.0508446857572735</v>
      </c>
      <c r="I6" t="str">
        <v>0.207129</v>
      </c>
      <c r="J6" t="str">
        <v>odecoa_c</v>
      </c>
      <c r="K6">
        <v>-1.1140000000000001</v>
      </c>
      <c r="M6" s="2" t="s">
        <v>58</v>
      </c>
      <c r="N6" t="str">
        <v>alatrna_c</v>
      </c>
      <c r="O6" t="str">
        <v>ala__L_c</v>
      </c>
      <c r="P6" t="str">
        <f t="shared" si="0"/>
        <v>ala__L_c</v>
      </c>
      <c r="Q6" t="str">
        <v>-0.386254</v>
      </c>
      <c r="R6" s="3" t="str">
        <v>btn_c</v>
      </c>
      <c r="U6" s="5" t="s">
        <v>1414</v>
      </c>
      <c r="V6" t="s">
        <v>795</v>
      </c>
      <c r="W6" t="s">
        <v>154</v>
      </c>
      <c r="X6" t="str">
        <f>_xlfn.LET(_xlpm.str,"'DIL_",IF(LEFT(Table1[[#This Row],[name]],LEN(_xlpm.str))=_xlpm.str,_xlfn.TEXTBEFORE(_xlfn.TEXTBEFORE(_xlfn.TEXTAFTER(Table1[[#This Row],[name]],_xlpm.str),".",-1),"_",-1),""))</f>
        <v/>
      </c>
    </row>
    <row r="7" spans="1:24" x14ac:dyDescent="0.2">
      <c r="A7" t="s">
        <v>5</v>
      </c>
      <c r="B7" t="str">
        <v>asp__L_c</v>
      </c>
      <c r="C7">
        <v>0.19276799999999999</v>
      </c>
      <c r="D7" t="str">
        <v>-0.183441</v>
      </c>
      <c r="E7">
        <v>-1.0508446857572735</v>
      </c>
      <c r="I7" t="str">
        <v>0.1694</v>
      </c>
      <c r="J7" t="str">
        <v>pmtcoa_c</v>
      </c>
      <c r="K7">
        <v>-1.0509999999999999</v>
      </c>
      <c r="M7" s="2" t="s">
        <v>59</v>
      </c>
      <c r="N7" t="str">
        <v>amet_c</v>
      </c>
      <c r="O7" t="str">
        <v>amet_c</v>
      </c>
      <c r="P7" t="str">
        <f t="shared" si="0"/>
        <v>amet_c</v>
      </c>
      <c r="Q7" t="str">
        <v>-0.0001</v>
      </c>
      <c r="R7" s="3" t="str">
        <v>coa_c</v>
      </c>
      <c r="U7" s="6" t="s">
        <v>1415</v>
      </c>
      <c r="V7" t="s">
        <v>796</v>
      </c>
      <c r="W7" t="s">
        <v>155</v>
      </c>
      <c r="X7" t="str">
        <f>_xlfn.LET(_xlpm.str,"'DIL_",IF(LEFT(Table1[[#This Row],[name]],LEN(_xlpm.str))=_xlpm.str,_xlfn.TEXTBEFORE(_xlfn.TEXTBEFORE(_xlfn.TEXTAFTER(Table1[[#This Row],[name]],_xlpm.str),".",-1),"_",-1),""))</f>
        <v/>
      </c>
    </row>
    <row r="8" spans="1:24" x14ac:dyDescent="0.2">
      <c r="A8" t="s">
        <v>6</v>
      </c>
      <c r="B8" t="str">
        <v>atp_c</v>
      </c>
      <c r="C8">
        <v>190.64733699999999</v>
      </c>
      <c r="D8" t="str">
        <v>-167.448754</v>
      </c>
      <c r="E8">
        <v>-1.1385413892061567</v>
      </c>
      <c r="I8" t="str">
        <v>0.112806</v>
      </c>
      <c r="J8" t="str">
        <v>stcoa_c</v>
      </c>
      <c r="K8">
        <v>-1</v>
      </c>
      <c r="M8" s="2" t="s">
        <v>60</v>
      </c>
      <c r="N8" t="str">
        <v>argtrna_c</v>
      </c>
      <c r="O8" t="str">
        <v>arg__L_c</v>
      </c>
      <c r="P8" t="str">
        <f t="shared" si="0"/>
        <v>arg__L_c</v>
      </c>
      <c r="Q8" t="str">
        <v>-0.152604</v>
      </c>
      <c r="R8" s="3" t="str">
        <v>docosa_c</v>
      </c>
      <c r="U8" s="5" t="s">
        <v>1416</v>
      </c>
      <c r="V8" t="s">
        <v>797</v>
      </c>
      <c r="W8" t="s">
        <v>156</v>
      </c>
      <c r="X8" t="str">
        <f>_xlfn.LET(_xlpm.str,"'DIL_",IF(LEFT(Table1[[#This Row],[name]],LEN(_xlpm.str))=_xlpm.str,_xlfn.TEXTBEFORE(_xlfn.TEXTBEFORE(_xlfn.TEXTAFTER(Table1[[#This Row],[name]],_xlpm.str),".",-1),"_",-1),""))</f>
        <v/>
      </c>
    </row>
    <row r="9" spans="1:24" x14ac:dyDescent="0.2">
      <c r="A9" t="s">
        <v>7</v>
      </c>
      <c r="B9" t="str">
        <v>ca2_c</v>
      </c>
      <c r="C9">
        <v>1.286E-3</v>
      </c>
      <c r="D9" t="str">
        <v>-0.001286</v>
      </c>
      <c r="E9">
        <v>-1</v>
      </c>
      <c r="I9" t="str">
        <v>0.048639</v>
      </c>
      <c r="J9" t="str">
        <v>ttccoa_c</v>
      </c>
      <c r="K9">
        <v>-0.84699999999999998</v>
      </c>
      <c r="M9" s="2" t="s">
        <v>61</v>
      </c>
      <c r="N9" t="str">
        <v>asntrna_c</v>
      </c>
      <c r="O9" t="str">
        <v>asn__L_c</v>
      </c>
      <c r="P9" t="str">
        <f t="shared" si="0"/>
        <v>asn__L_c</v>
      </c>
      <c r="Q9" t="str">
        <v>-0.183441</v>
      </c>
      <c r="R9" s="3" t="str">
        <v>epist_c</v>
      </c>
      <c r="U9" s="6" t="s">
        <v>1417</v>
      </c>
      <c r="V9" t="s">
        <v>798</v>
      </c>
      <c r="W9" t="s">
        <v>157</v>
      </c>
      <c r="X9" t="str">
        <f>_xlfn.LET(_xlpm.str,"'DIL_",IF(LEFT(Table1[[#This Row],[name]],LEN(_xlpm.str))=_xlpm.str,_xlfn.TEXTBEFORE(_xlfn.TEXTBEFORE(_xlfn.TEXTAFTER(Table1[[#This Row],[name]],_xlpm.str),".",-1),"_",-1),""))</f>
        <v/>
      </c>
    </row>
    <row r="10" spans="1:24" x14ac:dyDescent="0.2">
      <c r="A10" t="s">
        <v>8</v>
      </c>
      <c r="B10" t="str">
        <v>chtn_c</v>
      </c>
      <c r="C10">
        <v>1.6184E-2</v>
      </c>
      <c r="D10" t="str">
        <v>-0.023669</v>
      </c>
      <c r="E10">
        <v>-0.68376357260551779</v>
      </c>
      <c r="I10" t="str">
        <v>-1</v>
      </c>
      <c r="J10" t="str">
        <v>coa_c</v>
      </c>
      <c r="K10">
        <v>-0.83</v>
      </c>
      <c r="M10" s="2" t="s">
        <v>62</v>
      </c>
      <c r="N10" t="str">
        <v>asptrna_c</v>
      </c>
      <c r="O10" t="str">
        <v>asp__L_c</v>
      </c>
      <c r="P10" t="str">
        <f t="shared" si="0"/>
        <v>asp__L_c</v>
      </c>
      <c r="Q10" t="str">
        <v>-0.183441</v>
      </c>
      <c r="R10" s="3" t="str">
        <v>fad_c</v>
      </c>
      <c r="U10" s="5" t="s">
        <v>1418</v>
      </c>
      <c r="V10" t="s">
        <v>799</v>
      </c>
      <c r="W10" t="s">
        <v>158</v>
      </c>
      <c r="X10" t="str">
        <f>_xlfn.LET(_xlpm.str,"'DIL_",IF(LEFT(Table1[[#This Row],[name]],LEN(_xlpm.str))=_xlpm.str,_xlfn.TEXTBEFORE(_xlfn.TEXTBEFORE(_xlfn.TEXTAFTER(Table1[[#This Row],[name]],_xlpm.str),".",-1),"_",-1),""))</f>
        <v/>
      </c>
    </row>
    <row r="11" spans="1:24" x14ac:dyDescent="0.2">
      <c r="A11" t="s">
        <v>9</v>
      </c>
      <c r="B11" t="str">
        <v>ctp_c</v>
      </c>
      <c r="C11">
        <v>0.11930200000000001</v>
      </c>
      <c r="D11" t="str">
        <v>-0.07053</v>
      </c>
      <c r="E11">
        <v>-1.6915071600737277</v>
      </c>
      <c r="I11" t="str">
        <v>-1</v>
      </c>
      <c r="J11" t="str">
        <v>ffabiom_c</v>
      </c>
      <c r="K11">
        <v>-0.77600000000000002</v>
      </c>
      <c r="M11" s="2" t="s">
        <v>63</v>
      </c>
      <c r="N11" t="str">
        <v>atp_c</v>
      </c>
      <c r="O11" t="str">
        <v>atp_c</v>
      </c>
      <c r="P11" t="str">
        <f t="shared" si="0"/>
        <v>atp_c</v>
      </c>
      <c r="Q11" t="str">
        <v>-167.448754</v>
      </c>
      <c r="R11" s="3" t="str">
        <v>gpianchorSC_r</v>
      </c>
      <c r="U11" s="6" t="s">
        <v>1419</v>
      </c>
      <c r="V11" t="s">
        <v>800</v>
      </c>
      <c r="W11" t="s">
        <v>159</v>
      </c>
      <c r="X11" t="str">
        <f>_xlfn.LET(_xlpm.str,"'DIL_",IF(LEFT(Table1[[#This Row],[name]],LEN(_xlpm.str))=_xlpm.str,_xlfn.TEXTBEFORE(_xlfn.TEXTBEFORE(_xlfn.TEXTAFTER(Table1[[#This Row],[name]],_xlpm.str),".",-1),"_",-1),""))</f>
        <v/>
      </c>
    </row>
    <row r="12" spans="1:24" x14ac:dyDescent="0.2">
      <c r="A12" t="s">
        <v>10</v>
      </c>
      <c r="B12" t="str">
        <v>cu2_c</v>
      </c>
      <c r="C12">
        <v>1.1400000000000001E-4</v>
      </c>
      <c r="D12" t="str">
        <v>-0.000114</v>
      </c>
      <c r="E12">
        <v>-1</v>
      </c>
      <c r="I12" t="str">
        <v>-1</v>
      </c>
      <c r="J12" t="str">
        <v>h_c</v>
      </c>
      <c r="K12">
        <v>-0.69899999999999995</v>
      </c>
      <c r="M12" s="2" t="s">
        <v>64</v>
      </c>
      <c r="N12" t="str">
        <v>btn_c</v>
      </c>
      <c r="O12" t="str">
        <v>btn_c</v>
      </c>
      <c r="P12" t="str">
        <f t="shared" si="0"/>
        <v>btn_c</v>
      </c>
      <c r="Q12" t="str">
        <v>-0.0001</v>
      </c>
      <c r="R12" s="3" t="str">
        <v>h_c</v>
      </c>
      <c r="U12" s="5" t="s">
        <v>1420</v>
      </c>
      <c r="V12" t="s">
        <v>801</v>
      </c>
      <c r="W12" t="s">
        <v>160</v>
      </c>
      <c r="X12" t="str">
        <f>_xlfn.LET(_xlpm.str,"'DIL_",IF(LEFT(Table1[[#This Row],[name]],LEN(_xlpm.str))=_xlpm.str,_xlfn.TEXTBEFORE(_xlfn.TEXTBEFORE(_xlfn.TEXTAFTER(Table1[[#This Row],[name]],_xlpm.str),".",-1),"_",-1),""))</f>
        <v/>
      </c>
    </row>
    <row r="13" spans="1:24" x14ac:dyDescent="0.2">
      <c r="A13" t="s">
        <v>11</v>
      </c>
      <c r="B13" t="str">
        <v>cys__L_c</v>
      </c>
      <c r="C13">
        <v>5.816E-3</v>
      </c>
      <c r="D13" t="str">
        <v>-0.005535</v>
      </c>
      <c r="E13">
        <v>-1.0507678410117434</v>
      </c>
      <c r="K13">
        <v>-0.68400000000000005</v>
      </c>
      <c r="M13" s="2" t="s">
        <v>65</v>
      </c>
      <c r="N13" t="str">
        <v>ca2_c</v>
      </c>
      <c r="O13" t="str">
        <v>ca2_c</v>
      </c>
      <c r="P13" t="str">
        <f t="shared" si="0"/>
        <v>ca2_c</v>
      </c>
      <c r="Q13" t="str">
        <v>-0.001286</v>
      </c>
      <c r="R13" s="3" t="str">
        <v>hdca_c</v>
      </c>
      <c r="U13" s="6" t="s">
        <v>1421</v>
      </c>
      <c r="V13" t="s">
        <v>802</v>
      </c>
      <c r="W13" t="s">
        <v>161</v>
      </c>
      <c r="X13" t="str">
        <f>_xlfn.LET(_xlpm.str,"'DIL_",IF(LEFT(Table1[[#This Row],[name]],LEN(_xlpm.str))=_xlpm.str,_xlfn.TEXTBEFORE(_xlfn.TEXTBEFORE(_xlfn.TEXTAFTER(Table1[[#This Row],[name]],_xlpm.str),".",-1),"_",-1),""))</f>
        <v/>
      </c>
    </row>
    <row r="14" spans="1:24" x14ac:dyDescent="0.2">
      <c r="A14" t="s">
        <v>12</v>
      </c>
      <c r="B14" t="str">
        <v>datp_c</v>
      </c>
      <c r="C14">
        <v>6.0089999999999996E-3</v>
      </c>
      <c r="D14" t="str">
        <v>-0.007095</v>
      </c>
      <c r="E14">
        <v>-0.84693446088794921</v>
      </c>
      <c r="K14">
        <v>-0.64100000000000001</v>
      </c>
      <c r="M14" s="2" t="s">
        <v>66</v>
      </c>
      <c r="N14" t="str">
        <v>chtn_c</v>
      </c>
      <c r="O14" t="str">
        <v>chtn_c</v>
      </c>
      <c r="P14" t="str">
        <f t="shared" si="0"/>
        <v>chtn_c</v>
      </c>
      <c r="Q14" t="str">
        <v>-0.023669</v>
      </c>
      <c r="R14" s="3" t="str">
        <v>hemeA_c</v>
      </c>
      <c r="U14" s="5" t="s">
        <v>1422</v>
      </c>
      <c r="V14" t="s">
        <v>803</v>
      </c>
      <c r="W14" t="s">
        <v>162</v>
      </c>
      <c r="X14" t="str">
        <f>_xlfn.LET(_xlpm.str,"'DIL_",IF(LEFT(Table1[[#This Row],[name]],LEN(_xlpm.str))=_xlpm.str,_xlfn.TEXTBEFORE(_xlfn.TEXTBEFORE(_xlfn.TEXTAFTER(Table1[[#This Row],[name]],_xlpm.str),".",-1),"_",-1),""))</f>
        <v/>
      </c>
    </row>
    <row r="15" spans="1:24" x14ac:dyDescent="0.2">
      <c r="A15" t="s">
        <v>13</v>
      </c>
      <c r="B15" t="str">
        <v>dctp_c</v>
      </c>
      <c r="C15">
        <v>9.3790000000000002E-3</v>
      </c>
      <c r="D15" t="str">
        <v>-0.011074</v>
      </c>
      <c r="E15">
        <v>-0.84693877551020402</v>
      </c>
      <c r="K15">
        <v>-0.35299999999999998</v>
      </c>
      <c r="M15" s="2" t="s">
        <v>67</v>
      </c>
      <c r="N15" t="str">
        <v>coa_c</v>
      </c>
      <c r="O15" t="str">
        <v>coa_c</v>
      </c>
      <c r="P15" t="str">
        <f t="shared" si="0"/>
        <v>coa_c</v>
      </c>
      <c r="Q15" t="str">
        <v>-0.0001</v>
      </c>
      <c r="R15" s="3" t="str">
        <v>linoea_c</v>
      </c>
      <c r="U15" s="6" t="s">
        <v>1423</v>
      </c>
      <c r="V15" t="s">
        <v>804</v>
      </c>
      <c r="W15" t="s">
        <v>163</v>
      </c>
      <c r="X15" t="str">
        <f>_xlfn.LET(_xlpm.str,"'DIL_",IF(LEFT(Table1[[#This Row],[name]],LEN(_xlpm.str))=_xlpm.str,_xlfn.TEXTBEFORE(_xlfn.TEXTBEFORE(_xlfn.TEXTAFTER(Table1[[#This Row],[name]],_xlpm.str),".",-1),"_",-1),""))</f>
        <v/>
      </c>
    </row>
    <row r="16" spans="1:24" x14ac:dyDescent="0.2">
      <c r="A16" t="s">
        <v>14</v>
      </c>
      <c r="B16" t="str">
        <v>dgtp_c</v>
      </c>
      <c r="C16">
        <v>9.3790000000000002E-3</v>
      </c>
      <c r="D16" t="str">
        <v>-0.011074</v>
      </c>
      <c r="E16">
        <v>-0.84693877551020402</v>
      </c>
      <c r="K16" t="e">
        <v>#N/A</v>
      </c>
      <c r="M16" s="2" t="s">
        <v>68</v>
      </c>
      <c r="N16" t="str">
        <v>ctp_c</v>
      </c>
      <c r="O16" t="str">
        <v>ctp_c</v>
      </c>
      <c r="P16" t="str">
        <f t="shared" si="0"/>
        <v>ctp_c</v>
      </c>
      <c r="Q16" t="str">
        <v>-0.07053</v>
      </c>
      <c r="R16" s="3" t="str">
        <v>linolen_c</v>
      </c>
      <c r="U16" s="5" t="s">
        <v>1424</v>
      </c>
      <c r="V16" t="s">
        <v>805</v>
      </c>
      <c r="W16" t="s">
        <v>164</v>
      </c>
      <c r="X16" t="str">
        <f>_xlfn.LET(_xlpm.str,"'DIL_",IF(LEFT(Table1[[#This Row],[name]],LEN(_xlpm.str))=_xlpm.str,_xlfn.TEXTBEFORE(_xlfn.TEXTBEFORE(_xlfn.TEXTAFTER(Table1[[#This Row],[name]],_xlpm.str),".",-1),"_",-1),""))</f>
        <v/>
      </c>
    </row>
    <row r="17" spans="1:24" x14ac:dyDescent="0.2">
      <c r="A17" t="s">
        <v>15</v>
      </c>
      <c r="B17" t="str">
        <v>dttp_c</v>
      </c>
      <c r="C17">
        <v>6.0089999999999996E-3</v>
      </c>
      <c r="D17" t="str">
        <v>-0.007095</v>
      </c>
      <c r="E17">
        <v>-0.84693446088794921</v>
      </c>
      <c r="M17" s="2" t="s">
        <v>69</v>
      </c>
      <c r="N17" t="str">
        <v>cu2_c</v>
      </c>
      <c r="O17" t="str">
        <v>cu2_c</v>
      </c>
      <c r="P17" t="str">
        <f t="shared" si="0"/>
        <v>cu2_c</v>
      </c>
      <c r="Q17" t="str">
        <v>-0.000114</v>
      </c>
      <c r="R17" s="3" t="str">
        <v>nad_c</v>
      </c>
      <c r="U17" s="6" t="s">
        <v>1425</v>
      </c>
      <c r="V17" t="s">
        <v>806</v>
      </c>
      <c r="W17" t="s">
        <v>165</v>
      </c>
      <c r="X17" t="str">
        <f>_xlfn.LET(_xlpm.str,"'DIL_",IF(LEFT(Table1[[#This Row],[name]],LEN(_xlpm.str))=_xlpm.str,_xlfn.TEXTBEFORE(_xlfn.TEXTBEFORE(_xlfn.TEXTAFTER(Table1[[#This Row],[name]],_xlpm.str),".",-1),"_",-1),""))</f>
        <v/>
      </c>
    </row>
    <row r="18" spans="1:24" x14ac:dyDescent="0.2">
      <c r="A18" t="s">
        <v>16</v>
      </c>
      <c r="B18" s="3" t="str">
        <v>ergst_c</v>
      </c>
      <c r="C18">
        <v>4.2867000000000002E-2</v>
      </c>
      <c r="D18" t="e">
        <v>#N/A</v>
      </c>
      <c r="E18" t="e">
        <v>#N/A</v>
      </c>
      <c r="M18" s="2" t="s">
        <v>70</v>
      </c>
      <c r="N18" t="str">
        <v>cystrna_c</v>
      </c>
      <c r="O18" t="str">
        <v>cys__L_c</v>
      </c>
      <c r="P18" t="str">
        <f t="shared" si="0"/>
        <v>cys__L_c</v>
      </c>
      <c r="Q18" t="str">
        <v>-0.005535</v>
      </c>
      <c r="R18" s="3" t="str">
        <v>nadp_c</v>
      </c>
      <c r="U18" s="5" t="s">
        <v>1426</v>
      </c>
      <c r="V18" t="s">
        <v>807</v>
      </c>
      <c r="W18" t="s">
        <v>166</v>
      </c>
      <c r="X18" t="str">
        <f>_xlfn.LET(_xlpm.str,"'DIL_",IF(LEFT(Table1[[#This Row],[name]],LEN(_xlpm.str))=_xlpm.str,_xlfn.TEXTBEFORE(_xlfn.TEXTBEFORE(_xlfn.TEXTAFTER(Table1[[#This Row],[name]],_xlpm.str),".",-1),"_",-1),""))</f>
        <v/>
      </c>
    </row>
    <row r="19" spans="1:24" x14ac:dyDescent="0.2">
      <c r="A19" t="s">
        <v>17</v>
      </c>
      <c r="B19" s="3" t="str">
        <v>ergstest_c</v>
      </c>
      <c r="C19">
        <v>1.0633999999999999E-2</v>
      </c>
      <c r="D19" t="e">
        <v>#N/A</v>
      </c>
      <c r="E19" t="e">
        <v>#N/A</v>
      </c>
      <c r="M19" s="2" t="s">
        <v>71</v>
      </c>
      <c r="N19" t="str">
        <v>datp_c</v>
      </c>
      <c r="O19" t="str">
        <v>datp_c</v>
      </c>
      <c r="P19" t="str">
        <f t="shared" si="0"/>
        <v>datp_c</v>
      </c>
      <c r="Q19" t="str">
        <v>-0.007095</v>
      </c>
      <c r="R19" s="3" t="str">
        <v>ocdca_c</v>
      </c>
      <c r="U19" s="6" t="s">
        <v>1427</v>
      </c>
      <c r="V19" t="s">
        <v>808</v>
      </c>
      <c r="W19" t="s">
        <v>167</v>
      </c>
      <c r="X19" t="str">
        <f>_xlfn.LET(_xlpm.str,"'DIL_",IF(LEFT(Table1[[#This Row],[name]],LEN(_xlpm.str))=_xlpm.str,_xlfn.TEXTBEFORE(_xlfn.TEXTBEFORE(_xlfn.TEXTAFTER(Table1[[#This Row],[name]],_xlpm.str),".",-1),"_",-1),""))</f>
        <v/>
      </c>
    </row>
    <row r="20" spans="1:24" x14ac:dyDescent="0.2">
      <c r="A20" t="s">
        <v>18</v>
      </c>
      <c r="B20" t="str">
        <v>fe2_c</v>
      </c>
      <c r="C20">
        <v>6.6399999999999999E-4</v>
      </c>
      <c r="D20" t="str">
        <v>-0.000664</v>
      </c>
      <c r="E20">
        <v>-1</v>
      </c>
      <c r="M20" s="2" t="s">
        <v>72</v>
      </c>
      <c r="N20" t="str">
        <v>dctp_c</v>
      </c>
      <c r="O20" t="str">
        <v>dctp_c</v>
      </c>
      <c r="P20" t="str">
        <f t="shared" si="0"/>
        <v>dctp_c</v>
      </c>
      <c r="Q20" t="str">
        <v>-0.011074</v>
      </c>
      <c r="R20" s="3" t="str">
        <v>ocdcea_c</v>
      </c>
      <c r="U20" s="5" t="s">
        <v>1428</v>
      </c>
      <c r="V20" t="s">
        <v>809</v>
      </c>
      <c r="W20" t="s">
        <v>168</v>
      </c>
      <c r="X20" t="str">
        <f>_xlfn.LET(_xlpm.str,"'DIL_",IF(LEFT(Table1[[#This Row],[name]],LEN(_xlpm.str))=_xlpm.str,_xlfn.TEXTBEFORE(_xlfn.TEXTBEFORE(_xlfn.TEXTAFTER(Table1[[#This Row],[name]],_xlpm.str),".",-1),"_",-1),""))</f>
        <v/>
      </c>
    </row>
    <row r="21" spans="1:24" x14ac:dyDescent="0.2">
      <c r="A21" t="s">
        <v>19</v>
      </c>
      <c r="B21" s="3" t="str">
        <v>ffabiom_c</v>
      </c>
      <c r="C21">
        <v>1.9220000000000001E-3</v>
      </c>
      <c r="D21" t="e">
        <v>#N/A</v>
      </c>
      <c r="E21" t="e">
        <v>#N/A</v>
      </c>
      <c r="F21" t="s">
        <v>490</v>
      </c>
      <c r="M21" s="2" t="s">
        <v>73</v>
      </c>
      <c r="N21" t="str">
        <v>dgtp_c</v>
      </c>
      <c r="O21" t="str">
        <v>dgtp_c</v>
      </c>
      <c r="P21" t="str">
        <f t="shared" si="0"/>
        <v>dgtp_c</v>
      </c>
      <c r="Q21" t="str">
        <v>-0.011074</v>
      </c>
      <c r="R21" s="3" t="str">
        <v>oglycanSC_g</v>
      </c>
      <c r="U21" s="6" t="s">
        <v>1429</v>
      </c>
      <c r="V21" t="s">
        <v>810</v>
      </c>
      <c r="W21" t="s">
        <v>169</v>
      </c>
      <c r="X21" t="str">
        <f>_xlfn.LET(_xlpm.str,"'DIL_",IF(LEFT(Table1[[#This Row],[name]],LEN(_xlpm.str))=_xlpm.str,_xlfn.TEXTBEFORE(_xlfn.TEXTBEFORE(_xlfn.TEXTAFTER(Table1[[#This Row],[name]],_xlpm.str),".",-1),"_",-1),""))</f>
        <v/>
      </c>
    </row>
    <row r="22" spans="1:24" x14ac:dyDescent="0.2">
      <c r="A22" t="s">
        <v>20</v>
      </c>
      <c r="B22" t="str">
        <v>gln__L_c</v>
      </c>
      <c r="C22">
        <v>0.32155699999999998</v>
      </c>
      <c r="D22" t="str">
        <v>-0.305999</v>
      </c>
      <c r="E22">
        <v>-1.0508433034094882</v>
      </c>
      <c r="M22" s="2" t="s">
        <v>74</v>
      </c>
      <c r="N22" t="str">
        <v>docosa_c</v>
      </c>
      <c r="O22" t="str">
        <v>docosa_c</v>
      </c>
      <c r="P22" t="str">
        <f t="shared" si="0"/>
        <v>docosa_c</v>
      </c>
      <c r="Q22" t="str">
        <v>-4.1e-05</v>
      </c>
      <c r="R22" s="3" t="str">
        <v>pi_c</v>
      </c>
      <c r="U22" s="5" t="s">
        <v>1430</v>
      </c>
      <c r="V22" t="s">
        <v>811</v>
      </c>
      <c r="W22" t="s">
        <v>170</v>
      </c>
      <c r="X22" t="str">
        <f>_xlfn.LET(_xlpm.str,"'DIL_",IF(LEFT(Table1[[#This Row],[name]],LEN(_xlpm.str))=_xlpm.str,_xlfn.TEXTBEFORE(_xlfn.TEXTBEFORE(_xlfn.TEXTAFTER(Table1[[#This Row],[name]],_xlpm.str),".",-1),"_",-1),""))</f>
        <v/>
      </c>
    </row>
    <row r="23" spans="1:24" x14ac:dyDescent="0.2">
      <c r="A23" t="s">
        <v>21</v>
      </c>
      <c r="B23" t="str">
        <v>glu__L_c</v>
      </c>
      <c r="C23">
        <v>0.32155699999999998</v>
      </c>
      <c r="D23" t="str">
        <v>-0.305999</v>
      </c>
      <c r="E23">
        <v>-1.0508433034094882</v>
      </c>
      <c r="M23" s="2" t="s">
        <v>75</v>
      </c>
      <c r="N23" t="str">
        <v>dttp_c</v>
      </c>
      <c r="O23" t="str">
        <v>dttp_c</v>
      </c>
      <c r="P23" t="str">
        <f t="shared" si="0"/>
        <v>dttp_c</v>
      </c>
      <c r="Q23" t="str">
        <v>-0.007095</v>
      </c>
      <c r="R23" s="3" t="str">
        <v>ppi_c</v>
      </c>
      <c r="U23" s="6" t="s">
        <v>1431</v>
      </c>
      <c r="V23" t="s">
        <v>812</v>
      </c>
      <c r="W23" t="s">
        <v>171</v>
      </c>
      <c r="X23" t="str">
        <f>_xlfn.LET(_xlpm.str,"'DIL_",IF(LEFT(Table1[[#This Row],[name]],LEN(_xlpm.str))=_xlpm.str,_xlfn.TEXTBEFORE(_xlfn.TEXTBEFORE(_xlfn.TEXTAFTER(Table1[[#This Row],[name]],_xlpm.str),".",-1),"_",-1),""))</f>
        <v/>
      </c>
    </row>
    <row r="24" spans="1:24" x14ac:dyDescent="0.2">
      <c r="A24" t="s">
        <v>22</v>
      </c>
      <c r="B24" t="str">
        <v>gly_c</v>
      </c>
      <c r="C24">
        <v>0.369334</v>
      </c>
      <c r="D24" t="str">
        <v>-0.351464</v>
      </c>
      <c r="E24">
        <v>-1.0508444677121982</v>
      </c>
      <c r="M24" s="2" t="s">
        <v>76</v>
      </c>
      <c r="N24" t="str">
        <v>epist_c</v>
      </c>
      <c r="O24" t="str">
        <v>epist_c</v>
      </c>
      <c r="P24" t="str">
        <f t="shared" si="0"/>
        <v>epist_c</v>
      </c>
      <c r="Q24" t="str">
        <v>-0.102571</v>
      </c>
      <c r="R24" s="3" t="str">
        <v>pydx5p_c</v>
      </c>
      <c r="U24" s="5" t="s">
        <v>1432</v>
      </c>
      <c r="V24" t="s">
        <v>813</v>
      </c>
      <c r="W24" t="s">
        <v>172</v>
      </c>
      <c r="X24" t="str">
        <f>_xlfn.LET(_xlpm.str,"'DIL_",IF(LEFT(Table1[[#This Row],[name]],LEN(_xlpm.str))=_xlpm.str,_xlfn.TEXTBEFORE(_xlfn.TEXTBEFORE(_xlfn.TEXTAFTER(Table1[[#This Row],[name]],_xlpm.str),".",-1),"_",-1),""))</f>
        <v/>
      </c>
    </row>
    <row r="25" spans="1:24" x14ac:dyDescent="0.2">
      <c r="A25" t="s">
        <v>23</v>
      </c>
      <c r="B25" s="3" t="str">
        <v>glycogen_c</v>
      </c>
      <c r="C25">
        <v>0.23481099999999999</v>
      </c>
      <c r="D25" t="e">
        <v>#N/A</v>
      </c>
      <c r="E25" t="e">
        <v>#N/A</v>
      </c>
      <c r="M25" s="2" t="s">
        <v>77</v>
      </c>
      <c r="N25" t="str">
        <v>fad_c</v>
      </c>
      <c r="O25" t="str">
        <v>fad_c</v>
      </c>
      <c r="P25" t="str">
        <f t="shared" si="0"/>
        <v>fad_c</v>
      </c>
      <c r="Q25" t="str">
        <v>-0.0001</v>
      </c>
      <c r="R25" s="3" t="str">
        <v>ribflv_c</v>
      </c>
      <c r="U25" s="6" t="s">
        <v>1433</v>
      </c>
      <c r="V25" t="s">
        <v>814</v>
      </c>
      <c r="W25" t="s">
        <v>173</v>
      </c>
      <c r="X25" t="str">
        <f>_xlfn.LET(_xlpm.str,"'DIL_",IF(LEFT(Table1[[#This Row],[name]],LEN(_xlpm.str))=_xlpm.str,_xlfn.TEXTBEFORE(_xlfn.TEXTBEFORE(_xlfn.TEXTAFTER(Table1[[#This Row],[name]],_xlpm.str),".",-1),"_",-1),""))</f>
        <v/>
      </c>
    </row>
    <row r="26" spans="1:24" x14ac:dyDescent="0.2">
      <c r="A26" t="s">
        <v>24</v>
      </c>
      <c r="B26" t="str">
        <v>gtp_c</v>
      </c>
      <c r="C26">
        <v>0.104534</v>
      </c>
      <c r="D26" t="str">
        <v>-0.0618</v>
      </c>
      <c r="E26">
        <v>-1.6914886731391585</v>
      </c>
      <c r="M26" s="2" t="s">
        <v>78</v>
      </c>
      <c r="N26" t="str">
        <v>fe2_c</v>
      </c>
      <c r="O26" t="str">
        <v>fe2_c</v>
      </c>
      <c r="P26" t="str">
        <f t="shared" si="0"/>
        <v>fe2_c</v>
      </c>
      <c r="Q26" t="str">
        <v>-0.000664</v>
      </c>
      <c r="R26" s="3" t="str">
        <v>spmd_c</v>
      </c>
      <c r="U26" s="5" t="s">
        <v>1434</v>
      </c>
      <c r="V26" t="s">
        <v>815</v>
      </c>
      <c r="W26" t="s">
        <v>174</v>
      </c>
      <c r="X26" t="str">
        <f>_xlfn.LET(_xlpm.str,"'DIL_",IF(LEFT(Table1[[#This Row],[name]],LEN(_xlpm.str))=_xlpm.str,_xlfn.TEXTBEFORE(_xlfn.TEXTBEFORE(_xlfn.TEXTAFTER(Table1[[#This Row],[name]],_xlpm.str),".",-1),"_",-1),""))</f>
        <v/>
      </c>
    </row>
    <row r="27" spans="1:24" x14ac:dyDescent="0.2">
      <c r="A27" t="s">
        <v>25</v>
      </c>
      <c r="B27" t="str">
        <v>h2o_c</v>
      </c>
      <c r="C27">
        <v>186.43364700000001</v>
      </c>
      <c r="D27" t="str">
        <v>-167.408348</v>
      </c>
      <c r="E27">
        <v>-1.1136460590364348</v>
      </c>
      <c r="M27" s="2" t="s">
        <v>79</v>
      </c>
      <c r="N27" t="str">
        <v>glntrna_c</v>
      </c>
      <c r="O27" t="str">
        <v>gln__L_c</v>
      </c>
      <c r="P27" t="str">
        <f t="shared" si="0"/>
        <v>gln__L_c</v>
      </c>
      <c r="Q27" t="str">
        <v>-0.305999</v>
      </c>
      <c r="R27" s="3" t="str">
        <v>thf_c</v>
      </c>
      <c r="U27" s="6" t="s">
        <v>1435</v>
      </c>
      <c r="V27" t="s">
        <v>816</v>
      </c>
      <c r="W27" t="s">
        <v>175</v>
      </c>
      <c r="X27" t="str">
        <f>_xlfn.LET(_xlpm.str,"'DIL_",IF(LEFT(Table1[[#This Row],[name]],LEN(_xlpm.str))=_xlpm.str,_xlfn.TEXTBEFORE(_xlfn.TEXTBEFORE(_xlfn.TEXTAFTER(Table1[[#This Row],[name]],_xlpm.str),".",-1),"_",-1),""))</f>
        <v/>
      </c>
    </row>
    <row r="28" spans="1:24" x14ac:dyDescent="0.2">
      <c r="A28" t="s">
        <v>26</v>
      </c>
      <c r="B28" t="str">
        <v>his__L_c</v>
      </c>
      <c r="C28">
        <v>8.0182000000000003E-2</v>
      </c>
      <c r="D28" t="str">
        <v>-0.076302</v>
      </c>
      <c r="E28">
        <v>-1.0508505674818485</v>
      </c>
      <c r="M28" s="2" t="s">
        <v>80</v>
      </c>
      <c r="N28" t="str">
        <v>glutrna_c</v>
      </c>
      <c r="O28" t="str">
        <v>glu__L_c</v>
      </c>
      <c r="P28" t="str">
        <f t="shared" si="0"/>
        <v>glu__L_c</v>
      </c>
      <c r="Q28" t="str">
        <v>-0.305999</v>
      </c>
      <c r="R28" s="3" t="str">
        <v>thmpp_c</v>
      </c>
      <c r="U28" s="5" t="s">
        <v>1436</v>
      </c>
      <c r="V28" t="s">
        <v>817</v>
      </c>
      <c r="W28" t="s">
        <v>176</v>
      </c>
      <c r="X28" t="str">
        <f>_xlfn.LET(_xlpm.str,"'DIL_",IF(LEFT(Table1[[#This Row],[name]],LEN(_xlpm.str))=_xlpm.str,_xlfn.TEXTBEFORE(_xlfn.TEXTBEFORE(_xlfn.TEXTAFTER(Table1[[#This Row],[name]],_xlpm.str),".",-1),"_",-1),""))</f>
        <v/>
      </c>
    </row>
    <row r="29" spans="1:24" x14ac:dyDescent="0.2">
      <c r="A29" t="s">
        <v>27</v>
      </c>
      <c r="B29" t="str">
        <v>ile__L_c</v>
      </c>
      <c r="C29">
        <v>0.244699</v>
      </c>
      <c r="D29" t="str">
        <v>-0.23286</v>
      </c>
      <c r="E29">
        <v>-1.050841707463712</v>
      </c>
      <c r="M29" s="2" t="s">
        <v>81</v>
      </c>
      <c r="N29" t="str">
        <v>glytrna_c</v>
      </c>
      <c r="O29" t="str">
        <v>gly__L_c</v>
      </c>
      <c r="P29" t="s">
        <v>148</v>
      </c>
      <c r="Q29" t="str">
        <v>-0.351464</v>
      </c>
      <c r="R29" t="str">
        <v>trnaala_c</v>
      </c>
      <c r="U29" s="6" t="s">
        <v>1437</v>
      </c>
      <c r="V29" t="s">
        <v>818</v>
      </c>
      <c r="W29" t="s">
        <v>177</v>
      </c>
      <c r="X29" t="str">
        <f>_xlfn.LET(_xlpm.str,"'DIL_",IF(LEFT(Table1[[#This Row],[name]],LEN(_xlpm.str))=_xlpm.str,_xlfn.TEXTBEFORE(_xlfn.TEXTBEFORE(_xlfn.TEXTAFTER(Table1[[#This Row],[name]],_xlpm.str),".",-1),"_",-1),""))</f>
        <v/>
      </c>
    </row>
    <row r="30" spans="1:24" x14ac:dyDescent="0.2">
      <c r="A30" t="s">
        <v>28</v>
      </c>
      <c r="B30" t="str">
        <v>ipcbiom_c</v>
      </c>
      <c r="C30">
        <v>5.176E-3</v>
      </c>
      <c r="D30" t="str">
        <v>-0.008081</v>
      </c>
      <c r="E30">
        <v>-0.64051478777379045</v>
      </c>
      <c r="M30" s="2" t="s">
        <v>82</v>
      </c>
      <c r="N30" t="str">
        <v>gpianchorSC_r</v>
      </c>
      <c r="O30" t="str">
        <v>gpianchorSC_r</v>
      </c>
      <c r="P30" t="str">
        <f t="shared" si="0"/>
        <v>gpianchorSC_r</v>
      </c>
      <c r="Q30" t="str">
        <v>-0.016989</v>
      </c>
      <c r="R30" t="str">
        <v>trnaarg_c</v>
      </c>
      <c r="U30" s="5" t="s">
        <v>1438</v>
      </c>
      <c r="V30" t="s">
        <v>819</v>
      </c>
      <c r="W30" t="s">
        <v>178</v>
      </c>
      <c r="X30" t="str">
        <f>_xlfn.LET(_xlpm.str,"'DIL_",IF(LEFT(Table1[[#This Row],[name]],LEN(_xlpm.str))=_xlpm.str,_xlfn.TEXTBEFORE(_xlfn.TEXTBEFORE(_xlfn.TEXTAFTER(Table1[[#This Row],[name]],_xlpm.str),".",-1),"_",-1),""))</f>
        <v/>
      </c>
    </row>
    <row r="31" spans="1:24" x14ac:dyDescent="0.2">
      <c r="A31" t="s">
        <v>29</v>
      </c>
      <c r="B31" t="str">
        <v>k_c</v>
      </c>
      <c r="C31">
        <v>0.60365000000000002</v>
      </c>
      <c r="D31" t="str">
        <v>-0.60365</v>
      </c>
      <c r="E31">
        <v>-1</v>
      </c>
      <c r="M31" s="2" t="s">
        <v>83</v>
      </c>
      <c r="N31" t="str">
        <v>gtp_c</v>
      </c>
      <c r="O31" t="str">
        <v>gtp_c</v>
      </c>
      <c r="P31" t="str">
        <f t="shared" si="0"/>
        <v>gtp_c</v>
      </c>
      <c r="Q31" t="str">
        <v>-0.0618</v>
      </c>
      <c r="R31" t="str">
        <v>trnaasn_c</v>
      </c>
      <c r="U31" s="6" t="s">
        <v>1439</v>
      </c>
      <c r="V31" t="s">
        <v>820</v>
      </c>
      <c r="W31" t="s">
        <v>179</v>
      </c>
      <c r="X31" t="str">
        <f>_xlfn.LET(_xlpm.str,"'DIL_",IF(LEFT(Table1[[#This Row],[name]],LEN(_xlpm.str))=_xlpm.str,_xlfn.TEXTBEFORE(_xlfn.TEXTBEFORE(_xlfn.TEXTAFTER(Table1[[#This Row],[name]],_xlpm.str),".",-1),"_",-1),""))</f>
        <v/>
      </c>
    </row>
    <row r="32" spans="1:24" x14ac:dyDescent="0.2">
      <c r="A32" t="s">
        <v>30</v>
      </c>
      <c r="B32" t="str">
        <v>leu__L_c</v>
      </c>
      <c r="C32">
        <v>0.33277400000000001</v>
      </c>
      <c r="D32" t="str">
        <v>-0.316673</v>
      </c>
      <c r="E32">
        <v>-1.0508442462729695</v>
      </c>
      <c r="M32" s="2" t="s">
        <v>84</v>
      </c>
      <c r="N32" t="str">
        <v>h2o_c</v>
      </c>
      <c r="O32" t="str">
        <v>h2o_c</v>
      </c>
      <c r="P32" t="str">
        <f t="shared" si="0"/>
        <v>h2o_c</v>
      </c>
      <c r="Q32" t="str">
        <v>-167.408348</v>
      </c>
      <c r="R32" t="str">
        <v>trnaasp_c</v>
      </c>
      <c r="U32" s="5" t="s">
        <v>1440</v>
      </c>
      <c r="V32" t="s">
        <v>821</v>
      </c>
      <c r="W32" t="s">
        <v>180</v>
      </c>
      <c r="X32" t="str">
        <f>_xlfn.LET(_xlpm.str,"'DIL_",IF(LEFT(Table1[[#This Row],[name]],LEN(_xlpm.str))=_xlpm.str,_xlfn.TEXTBEFORE(_xlfn.TEXTBEFORE(_xlfn.TEXTAFTER(Table1[[#This Row],[name]],_xlpm.str),".",-1),"_",-1),""))</f>
        <v/>
      </c>
    </row>
    <row r="33" spans="1:24" x14ac:dyDescent="0.2">
      <c r="A33" t="s">
        <v>31</v>
      </c>
      <c r="B33" t="str">
        <v>lys__L_c</v>
      </c>
      <c r="C33">
        <v>0.27295000000000003</v>
      </c>
      <c r="D33" t="str">
        <v>-0.259743</v>
      </c>
      <c r="E33">
        <v>-1.050846413570337</v>
      </c>
      <c r="M33" s="2" t="s">
        <v>85</v>
      </c>
      <c r="N33" t="str">
        <v>h_c</v>
      </c>
      <c r="O33" t="str">
        <v>h_c</v>
      </c>
      <c r="P33" t="str">
        <f t="shared" si="0"/>
        <v>h_c</v>
      </c>
      <c r="Q33" t="str">
        <v>167.408348</v>
      </c>
      <c r="R33" t="str">
        <v>trnacys_c</v>
      </c>
      <c r="U33" s="6" t="s">
        <v>1441</v>
      </c>
      <c r="V33" t="s">
        <v>822</v>
      </c>
      <c r="W33" t="s">
        <v>181</v>
      </c>
      <c r="X33" t="str">
        <f>_xlfn.LET(_xlpm.str,"'DIL_",IF(LEFT(Table1[[#This Row],[name]],LEN(_xlpm.str))=_xlpm.str,_xlfn.TEXTBEFORE(_xlfn.TEXTBEFORE(_xlfn.TEXTAFTER(Table1[[#This Row],[name]],_xlpm.str),".",-1),"_",-1),""))</f>
        <v/>
      </c>
    </row>
    <row r="34" spans="1:24" x14ac:dyDescent="0.2">
      <c r="A34" t="s">
        <v>32</v>
      </c>
      <c r="B34" s="3" t="str">
        <v>mannan_c</v>
      </c>
      <c r="C34">
        <v>0.49014999999999997</v>
      </c>
      <c r="D34" t="e">
        <v>#N/A</v>
      </c>
      <c r="E34" t="e">
        <v>#N/A</v>
      </c>
      <c r="M34" s="2" t="s">
        <v>86</v>
      </c>
      <c r="N34" t="str">
        <v>hdca_c</v>
      </c>
      <c r="O34" t="str">
        <v>hdca_c</v>
      </c>
      <c r="P34" t="str">
        <f t="shared" si="0"/>
        <v>hdca_c</v>
      </c>
      <c r="Q34" t="str">
        <v>-0.000478</v>
      </c>
      <c r="R34" t="str">
        <v>trnagln_c</v>
      </c>
      <c r="U34" s="5" t="s">
        <v>1442</v>
      </c>
      <c r="V34" t="s">
        <v>823</v>
      </c>
      <c r="W34" t="s">
        <v>182</v>
      </c>
      <c r="X34" t="str">
        <f>_xlfn.LET(_xlpm.str,"'DIL_",IF(LEFT(Table1[[#This Row],[name]],LEN(_xlpm.str))=_xlpm.str,_xlfn.TEXTBEFORE(_xlfn.TEXTBEFORE(_xlfn.TEXTAFTER(Table1[[#This Row],[name]],_xlpm.str),".",-1),"_",-1),""))</f>
        <v/>
      </c>
    </row>
    <row r="35" spans="1:24" x14ac:dyDescent="0.2">
      <c r="A35" t="s">
        <v>33</v>
      </c>
      <c r="B35" t="str">
        <v>met__L_c</v>
      </c>
      <c r="C35">
        <v>4.7361E-2</v>
      </c>
      <c r="D35" t="str">
        <v>-0.04507</v>
      </c>
      <c r="E35">
        <v>-1.050832039050366</v>
      </c>
      <c r="M35" s="2" t="s">
        <v>87</v>
      </c>
      <c r="N35" t="str">
        <v>hemeA_c</v>
      </c>
      <c r="O35" t="str">
        <v>hemeA_c</v>
      </c>
      <c r="P35" t="str">
        <f t="shared" si="0"/>
        <v>hemeA_c</v>
      </c>
      <c r="Q35" t="str">
        <v>-0.0001</v>
      </c>
      <c r="R35" t="str">
        <v>trnaglu_c</v>
      </c>
      <c r="U35" s="6" t="s">
        <v>1443</v>
      </c>
      <c r="V35" t="s">
        <v>824</v>
      </c>
      <c r="W35" t="s">
        <v>183</v>
      </c>
      <c r="X35" t="str">
        <f>_xlfn.LET(_xlpm.str,"'DIL_",IF(LEFT(Table1[[#This Row],[name]],LEN(_xlpm.str))=_xlpm.str,_xlfn.TEXTBEFORE(_xlfn.TEXTBEFORE(_xlfn.TEXTAFTER(Table1[[#This Row],[name]],_xlpm.str),".",-1),"_",-1),""))</f>
        <v/>
      </c>
    </row>
    <row r="36" spans="1:24" x14ac:dyDescent="0.2">
      <c r="A36" t="s">
        <v>34</v>
      </c>
      <c r="B36" t="str">
        <v>mg2_c</v>
      </c>
      <c r="C36">
        <v>6.3606999999999997E-2</v>
      </c>
      <c r="D36" t="str">
        <v>-0.063607</v>
      </c>
      <c r="E36">
        <v>-1</v>
      </c>
      <c r="M36" s="2" t="s">
        <v>88</v>
      </c>
      <c r="N36" t="str">
        <v>histrna_c</v>
      </c>
      <c r="O36" t="str">
        <v>his__L_c</v>
      </c>
      <c r="P36" t="str">
        <f t="shared" si="0"/>
        <v>his__L_c</v>
      </c>
      <c r="Q36" t="str">
        <v>-0.076302</v>
      </c>
      <c r="R36" t="str">
        <v>trnagly_c</v>
      </c>
      <c r="U36" s="5" t="s">
        <v>1444</v>
      </c>
      <c r="V36" t="s">
        <v>825</v>
      </c>
      <c r="W36" t="s">
        <v>184</v>
      </c>
      <c r="X36" t="str">
        <f>_xlfn.LET(_xlpm.str,"'DIL_",IF(LEFT(Table1[[#This Row],[name]],LEN(_xlpm.str))=_xlpm.str,_xlfn.TEXTBEFORE(_xlfn.TEXTBEFORE(_xlfn.TEXTAFTER(Table1[[#This Row],[name]],_xlpm.str),".",-1),"_",-1),""))</f>
        <v/>
      </c>
    </row>
    <row r="37" spans="1:24" x14ac:dyDescent="0.2">
      <c r="A37" t="s">
        <v>35</v>
      </c>
      <c r="B37" t="str">
        <v>mn2_c</v>
      </c>
      <c r="C37" s="1">
        <v>9.3999999999999994E-5</v>
      </c>
      <c r="D37" t="str">
        <v>-9.4e-05</v>
      </c>
      <c r="E37">
        <v>-1</v>
      </c>
      <c r="M37" s="2" t="s">
        <v>89</v>
      </c>
      <c r="N37" t="str">
        <v>iletrna_c</v>
      </c>
      <c r="O37" t="str">
        <v>ile__L_c</v>
      </c>
      <c r="P37" t="str">
        <f t="shared" si="0"/>
        <v>ile__L_c</v>
      </c>
      <c r="Q37" t="str">
        <v>-0.23286</v>
      </c>
      <c r="R37" t="str">
        <v>trnahis_c</v>
      </c>
      <c r="U37" s="6" t="s">
        <v>1445</v>
      </c>
      <c r="V37" t="s">
        <v>826</v>
      </c>
      <c r="W37" t="s">
        <v>185</v>
      </c>
      <c r="X37" t="str">
        <f>_xlfn.LET(_xlpm.str,"'DIL_",IF(LEFT(Table1[[#This Row],[name]],LEN(_xlpm.str))=_xlpm.str,_xlfn.TEXTBEFORE(_xlfn.TEXTBEFORE(_xlfn.TEXTAFTER(Table1[[#This Row],[name]],_xlpm.str),".",-1),"_",-1),""))</f>
        <v/>
      </c>
    </row>
    <row r="38" spans="1:24" x14ac:dyDescent="0.2">
      <c r="A38" t="s">
        <v>36</v>
      </c>
      <c r="B38" t="str">
        <v>pail_c</v>
      </c>
      <c r="C38">
        <v>7.7380000000000001E-3</v>
      </c>
      <c r="D38" t="str">
        <v>-0.021936</v>
      </c>
      <c r="E38">
        <v>-0.3527534646243618</v>
      </c>
      <c r="M38" s="2" t="s">
        <v>90</v>
      </c>
      <c r="N38" t="str">
        <v>ipc_g</v>
      </c>
      <c r="O38" t="str">
        <v>ipc_g</v>
      </c>
      <c r="P38" t="s">
        <v>149</v>
      </c>
      <c r="Q38" t="str">
        <v>-0.008081</v>
      </c>
      <c r="R38" t="str">
        <v>trnaile_c</v>
      </c>
      <c r="U38" s="5" t="s">
        <v>1446</v>
      </c>
      <c r="V38" t="s">
        <v>827</v>
      </c>
      <c r="W38" t="s">
        <v>186</v>
      </c>
      <c r="X38" t="str">
        <f>_xlfn.LET(_xlpm.str,"'DIL_",IF(LEFT(Table1[[#This Row],[name]],LEN(_xlpm.str))=_xlpm.str,_xlfn.TEXTBEFORE(_xlfn.TEXTBEFORE(_xlfn.TEXTAFTER(Table1[[#This Row],[name]],_xlpm.str),".",-1),"_",-1),""))</f>
        <v/>
      </c>
    </row>
    <row r="39" spans="1:24" x14ac:dyDescent="0.2">
      <c r="A39" t="s">
        <v>37</v>
      </c>
      <c r="B39" t="str">
        <v>pc_c</v>
      </c>
      <c r="C39">
        <v>2.8783E-2</v>
      </c>
      <c r="D39" t="str">
        <v>-0.041166</v>
      </c>
      <c r="E39">
        <v>-0.69919350920662682</v>
      </c>
      <c r="M39" s="2" t="s">
        <v>91</v>
      </c>
      <c r="N39" t="str">
        <v>k_c</v>
      </c>
      <c r="O39" t="str">
        <v>k_c</v>
      </c>
      <c r="P39" t="str">
        <f t="shared" si="0"/>
        <v>k_c</v>
      </c>
      <c r="Q39" t="str">
        <v>-0.60365</v>
      </c>
      <c r="R39" t="str">
        <v>trnaleu_c</v>
      </c>
      <c r="U39" s="6" t="s">
        <v>1447</v>
      </c>
      <c r="V39" t="s">
        <v>828</v>
      </c>
      <c r="W39" t="s">
        <v>187</v>
      </c>
      <c r="X39" t="str">
        <f>_xlfn.LET(_xlpm.str,"'DIL_",IF(LEFT(Table1[[#This Row],[name]],LEN(_xlpm.str))=_xlpm.str,_xlfn.TEXTBEFORE(_xlfn.TEXTBEFORE(_xlfn.TEXTAFTER(Table1[[#This Row],[name]],_xlpm.str),".",-1),"_",-1),""))</f>
        <v/>
      </c>
    </row>
    <row r="40" spans="1:24" x14ac:dyDescent="0.2">
      <c r="A40" t="s">
        <v>38</v>
      </c>
      <c r="B40" t="str">
        <v>pe_c</v>
      </c>
      <c r="C40">
        <v>7.7200000000000003E-3</v>
      </c>
      <c r="D40" t="str">
        <v>-0.009943</v>
      </c>
      <c r="E40">
        <v>-0.776425626068591</v>
      </c>
      <c r="M40" s="2" t="s">
        <v>92</v>
      </c>
      <c r="N40" t="str">
        <v>leutrna_c</v>
      </c>
      <c r="O40" t="str">
        <v>leu__L_c</v>
      </c>
      <c r="P40" t="str">
        <f t="shared" si="0"/>
        <v>leu__L_c</v>
      </c>
      <c r="Q40" t="str">
        <v>-0.316673</v>
      </c>
      <c r="R40" t="str">
        <v>trnalys_c</v>
      </c>
      <c r="U40" s="5" t="s">
        <v>1448</v>
      </c>
      <c r="V40" t="s">
        <v>829</v>
      </c>
      <c r="W40" t="s">
        <v>188</v>
      </c>
      <c r="X40" t="str">
        <f>_xlfn.LET(_xlpm.str,"'DIL_",IF(LEFT(Table1[[#This Row],[name]],LEN(_xlpm.str))=_xlpm.str,_xlfn.TEXTBEFORE(_xlfn.TEXTBEFORE(_xlfn.TEXTAFTER(Table1[[#This Row],[name]],_xlpm.str),".",-1),"_",-1),""))</f>
        <v/>
      </c>
    </row>
    <row r="41" spans="1:24" x14ac:dyDescent="0.2">
      <c r="A41" t="s">
        <v>39</v>
      </c>
      <c r="B41" t="str">
        <v>phe__L_c</v>
      </c>
      <c r="C41">
        <v>0.15620899999999999</v>
      </c>
      <c r="D41" t="str">
        <v>-0.148651</v>
      </c>
      <c r="E41">
        <v>-1.0508439230143085</v>
      </c>
      <c r="M41" s="2" t="s">
        <v>93</v>
      </c>
      <c r="N41" t="str">
        <v>linoea_c</v>
      </c>
      <c r="O41" t="str">
        <v>linoea_c</v>
      </c>
      <c r="P41" t="str">
        <f t="shared" si="0"/>
        <v>linoea_c</v>
      </c>
      <c r="Q41" t="str">
        <v>-0.001219</v>
      </c>
      <c r="R41" t="str">
        <v>trnamet_c</v>
      </c>
      <c r="U41" s="6" t="s">
        <v>1449</v>
      </c>
      <c r="V41" t="s">
        <v>830</v>
      </c>
      <c r="W41" t="s">
        <v>189</v>
      </c>
      <c r="X41" t="str">
        <f>_xlfn.LET(_xlpm.str,"'DIL_",IF(LEFT(Table1[[#This Row],[name]],LEN(_xlpm.str))=_xlpm.str,_xlfn.TEXTBEFORE(_xlfn.TEXTBEFORE(_xlfn.TEXTAFTER(Table1[[#This Row],[name]],_xlpm.str),".",-1),"_",-1),""))</f>
        <v/>
      </c>
    </row>
    <row r="42" spans="1:24" x14ac:dyDescent="0.2">
      <c r="A42" t="s">
        <v>40</v>
      </c>
      <c r="B42" t="str">
        <v>pro__L_c</v>
      </c>
      <c r="C42">
        <v>0.175319</v>
      </c>
      <c r="D42" t="str">
        <v>-0.166837</v>
      </c>
      <c r="E42">
        <v>-1.0508400414776098</v>
      </c>
      <c r="M42" s="2" t="s">
        <v>94</v>
      </c>
      <c r="N42" t="str">
        <v>linolen_c</v>
      </c>
      <c r="O42" t="str">
        <v>linolen_c</v>
      </c>
      <c r="P42" t="str">
        <f t="shared" si="0"/>
        <v>linolen_c</v>
      </c>
      <c r="Q42" t="str">
        <v>-0.000327</v>
      </c>
      <c r="R42" t="str">
        <v>trnaphe_c</v>
      </c>
      <c r="U42" s="5" t="s">
        <v>1450</v>
      </c>
      <c r="V42" t="s">
        <v>831</v>
      </c>
      <c r="W42" t="s">
        <v>190</v>
      </c>
      <c r="X42" t="str">
        <f>_xlfn.LET(_xlpm.str,"'DIL_",IF(LEFT(Table1[[#This Row],[name]],LEN(_xlpm.str))=_xlpm.str,_xlfn.TEXTBEFORE(_xlfn.TEXTBEFORE(_xlfn.TEXTAFTER(Table1[[#This Row],[name]],_xlpm.str),".",-1),"_",-1),""))</f>
        <v/>
      </c>
    </row>
    <row r="43" spans="1:24" x14ac:dyDescent="0.2">
      <c r="A43" t="s">
        <v>41</v>
      </c>
      <c r="B43" t="str">
        <v>ps_c</v>
      </c>
      <c r="C43">
        <v>6.6429999999999996E-3</v>
      </c>
      <c r="D43" t="str">
        <v>-0.005332</v>
      </c>
      <c r="E43">
        <v>-1.245873968492123</v>
      </c>
      <c r="M43" s="2" t="s">
        <v>95</v>
      </c>
      <c r="N43" t="str">
        <v>lystrna_c</v>
      </c>
      <c r="O43" t="str">
        <v>lys__L_c</v>
      </c>
      <c r="P43" t="str">
        <f t="shared" si="0"/>
        <v>lys__L_c</v>
      </c>
      <c r="Q43" t="str">
        <v>-0.259743</v>
      </c>
      <c r="R43" t="str">
        <v>trnapro_c</v>
      </c>
      <c r="U43" s="6" t="s">
        <v>1451</v>
      </c>
      <c r="V43" t="s">
        <v>832</v>
      </c>
      <c r="W43" t="s">
        <v>191</v>
      </c>
      <c r="X43" t="str">
        <f>_xlfn.LET(_xlpm.str,"'DIL_",IF(LEFT(Table1[[#This Row],[name]],LEN(_xlpm.str))=_xlpm.str,_xlfn.TEXTBEFORE(_xlfn.TEXTBEFORE(_xlfn.TEXTAFTER(Table1[[#This Row],[name]],_xlpm.str),".",-1),"_",-1),""))</f>
        <v/>
      </c>
    </row>
    <row r="44" spans="1:24" x14ac:dyDescent="0.2">
      <c r="A44" t="s">
        <v>42</v>
      </c>
      <c r="B44" t="str">
        <v>ser__L_c</v>
      </c>
      <c r="C44">
        <v>0.22143399999999999</v>
      </c>
      <c r="D44" t="str">
        <v>-0.21072</v>
      </c>
      <c r="E44">
        <v>-1.0508447228549733</v>
      </c>
      <c r="M44" s="2" t="s">
        <v>96</v>
      </c>
      <c r="N44" t="str">
        <v>mettrna_c</v>
      </c>
      <c r="O44" t="str">
        <v>met__L_c</v>
      </c>
      <c r="P44" t="str">
        <f t="shared" si="0"/>
        <v>met__L_c</v>
      </c>
      <c r="Q44" t="str">
        <v>-0.04507</v>
      </c>
      <c r="R44" t="str">
        <v>trnaser_c</v>
      </c>
      <c r="U44" s="5" t="s">
        <v>1452</v>
      </c>
      <c r="V44" t="s">
        <v>833</v>
      </c>
      <c r="W44" t="s">
        <v>192</v>
      </c>
      <c r="X44" t="str">
        <f>_xlfn.LET(_xlpm.str,"'DIL_",IF(LEFT(Table1[[#This Row],[name]],LEN(_xlpm.str))=_xlpm.str,_xlfn.TEXTBEFORE(_xlfn.TEXTBEFORE(_xlfn.TEXTAFTER(Table1[[#This Row],[name]],_xlpm.str),".",-1),"_",-1),""))</f>
        <v/>
      </c>
    </row>
    <row r="45" spans="1:24" x14ac:dyDescent="0.2">
      <c r="A45" t="s">
        <v>43</v>
      </c>
      <c r="B45" t="str">
        <v>so4_c</v>
      </c>
      <c r="C45">
        <v>3.1223000000000001E-2</v>
      </c>
      <c r="D45" t="str">
        <v>-0.031223</v>
      </c>
      <c r="E45">
        <v>-1</v>
      </c>
      <c r="M45" s="2" t="s">
        <v>97</v>
      </c>
      <c r="N45" t="str">
        <v>mg2_c</v>
      </c>
      <c r="O45" t="str">
        <v>mg2_c</v>
      </c>
      <c r="P45" t="str">
        <f t="shared" si="0"/>
        <v>mg2_c</v>
      </c>
      <c r="Q45" t="str">
        <v>-0.063607</v>
      </c>
      <c r="R45" t="str">
        <v>trnathr_c</v>
      </c>
      <c r="U45" s="6" t="s">
        <v>1453</v>
      </c>
      <c r="V45" t="s">
        <v>834</v>
      </c>
      <c r="W45" t="s">
        <v>193</v>
      </c>
      <c r="X45" t="str">
        <f>_xlfn.LET(_xlpm.str,"'DIL_",IF(LEFT(Table1[[#This Row],[name]],LEN(_xlpm.str))=_xlpm.str,_xlfn.TEXTBEFORE(_xlfn.TEXTBEFORE(_xlfn.TEXTAFTER(Table1[[#This Row],[name]],_xlpm.str),".",-1),"_",-1),""))</f>
        <v/>
      </c>
    </row>
    <row r="46" spans="1:24" x14ac:dyDescent="0.2">
      <c r="A46" t="s">
        <v>44</v>
      </c>
      <c r="B46" t="str">
        <v>tag_c</v>
      </c>
      <c r="C46">
        <v>1.0494E-2</v>
      </c>
      <c r="D46" t="str">
        <v>-0.012646</v>
      </c>
      <c r="E46">
        <v>-0.82982761347461653</v>
      </c>
      <c r="M46" s="2" t="s">
        <v>98</v>
      </c>
      <c r="N46" t="str">
        <v>mn2_c</v>
      </c>
      <c r="O46" t="str">
        <v>mn2_c</v>
      </c>
      <c r="P46" t="str">
        <f t="shared" si="0"/>
        <v>mn2_c</v>
      </c>
      <c r="Q46" t="str">
        <v>-9.4e-05</v>
      </c>
      <c r="R46" t="str">
        <v>trnatrp_c</v>
      </c>
      <c r="U46" s="5" t="s">
        <v>1454</v>
      </c>
      <c r="V46" t="s">
        <v>835</v>
      </c>
      <c r="W46" t="s">
        <v>194</v>
      </c>
      <c r="X46" t="str">
        <f>_xlfn.LET(_xlpm.str,"'DIL_",IF(LEFT(Table1[[#This Row],[name]],LEN(_xlpm.str))=_xlpm.str,_xlfn.TEXTBEFORE(_xlfn.TEXTBEFORE(_xlfn.TEXTAFTER(Table1[[#This Row],[name]],_xlpm.str),".",-1),"_",-1),""))</f>
        <v/>
      </c>
    </row>
    <row r="47" spans="1:24" x14ac:dyDescent="0.2">
      <c r="A47" t="s">
        <v>45</v>
      </c>
      <c r="B47" t="str">
        <v>thr__L_c</v>
      </c>
      <c r="C47">
        <v>0.231405</v>
      </c>
      <c r="D47" t="str">
        <v>-0.220209</v>
      </c>
      <c r="E47">
        <v>-1.0508426086127272</v>
      </c>
      <c r="M47" s="2" t="s">
        <v>99</v>
      </c>
      <c r="N47" t="str">
        <v>nad_c</v>
      </c>
      <c r="O47" t="str">
        <v>nad_c</v>
      </c>
      <c r="P47" t="str">
        <f t="shared" si="0"/>
        <v>nad_c</v>
      </c>
      <c r="Q47" t="str">
        <v>-0.0001</v>
      </c>
      <c r="R47" t="str">
        <v>trnatyr_c</v>
      </c>
      <c r="U47" s="6" t="s">
        <v>1455</v>
      </c>
      <c r="V47" t="s">
        <v>836</v>
      </c>
      <c r="W47" t="s">
        <v>195</v>
      </c>
      <c r="X47" t="str">
        <f>_xlfn.LET(_xlpm.str,"'DIL_",IF(LEFT(Table1[[#This Row],[name]],LEN(_xlpm.str))=_xlpm.str,_xlfn.TEXTBEFORE(_xlfn.TEXTBEFORE(_xlfn.TEXTAFTER(Table1[[#This Row],[name]],_xlpm.str),".",-1),"_",-1),""))</f>
        <v/>
      </c>
    </row>
    <row r="48" spans="1:24" x14ac:dyDescent="0.2">
      <c r="A48" t="s">
        <v>46</v>
      </c>
      <c r="B48" s="3" t="str">
        <v>tre_c</v>
      </c>
      <c r="C48">
        <v>0.137707</v>
      </c>
      <c r="D48" t="e">
        <v>#N/A</v>
      </c>
      <c r="E48" t="e">
        <v>#N/A</v>
      </c>
      <c r="M48" s="2" t="s">
        <v>100</v>
      </c>
      <c r="N48" t="str">
        <v>nadp_c</v>
      </c>
      <c r="O48" t="str">
        <v>nadp_c</v>
      </c>
      <c r="P48" t="str">
        <f t="shared" si="0"/>
        <v>nadp_c</v>
      </c>
      <c r="Q48" t="str">
        <v>-0.0001</v>
      </c>
      <c r="R48" t="str">
        <v>trnaval_c</v>
      </c>
      <c r="U48" s="5" t="s">
        <v>1456</v>
      </c>
      <c r="V48" t="s">
        <v>837</v>
      </c>
      <c r="W48" t="s">
        <v>196</v>
      </c>
      <c r="X48" t="str">
        <f>_xlfn.LET(_xlpm.str,"'DIL_",IF(LEFT(Table1[[#This Row],[name]],LEN(_xlpm.str))=_xlpm.str,_xlfn.TEXTBEFORE(_xlfn.TEXTBEFORE(_xlfn.TEXTAFTER(Table1[[#This Row],[name]],_xlpm.str),".",-1),"_",-1),""))</f>
        <v/>
      </c>
    </row>
    <row r="49" spans="1:24" x14ac:dyDescent="0.2">
      <c r="A49" t="s">
        <v>47</v>
      </c>
      <c r="B49" t="str">
        <v>trp__L_c</v>
      </c>
      <c r="C49">
        <v>2.7004E-2</v>
      </c>
      <c r="D49" t="str">
        <v>-0.025698</v>
      </c>
      <c r="E49">
        <v>-1.0508210755700833</v>
      </c>
      <c r="M49" s="2" t="s">
        <v>101</v>
      </c>
      <c r="N49" t="str">
        <v>ocdca_c</v>
      </c>
      <c r="O49" t="str">
        <v>ocdca_c</v>
      </c>
      <c r="P49" t="str">
        <f t="shared" si="0"/>
        <v>ocdca_c</v>
      </c>
      <c r="Q49" t="str">
        <v>-0.000318</v>
      </c>
      <c r="R49" t="str">
        <v>ttcosa_c</v>
      </c>
      <c r="U49" s="6" t="s">
        <v>1457</v>
      </c>
      <c r="V49" t="s">
        <v>838</v>
      </c>
      <c r="W49" t="s">
        <v>197</v>
      </c>
      <c r="X49" t="str">
        <f>_xlfn.LET(_xlpm.str,"'DIL_",IF(LEFT(Table1[[#This Row],[name]],LEN(_xlpm.str))=_xlpm.str,_xlfn.TEXTBEFORE(_xlfn.TEXTBEFORE(_xlfn.TEXTAFTER(Table1[[#This Row],[name]],_xlpm.str),".",-1),"_",-1),""))</f>
        <v/>
      </c>
    </row>
    <row r="50" spans="1:24" x14ac:dyDescent="0.2">
      <c r="A50" t="s">
        <v>48</v>
      </c>
      <c r="B50" t="str">
        <v>tyr__L_c</v>
      </c>
      <c r="C50">
        <v>8.1428E-2</v>
      </c>
      <c r="D50" t="str">
        <v>-0.077488</v>
      </c>
      <c r="E50">
        <v>-1.0508465826966755</v>
      </c>
      <c r="M50" s="2" t="s">
        <v>102</v>
      </c>
      <c r="N50" t="str">
        <v>ocdcea_c</v>
      </c>
      <c r="O50" t="str">
        <v>ocdcea_c</v>
      </c>
      <c r="P50" t="str">
        <f t="shared" si="0"/>
        <v>ocdcea_c</v>
      </c>
      <c r="Q50" t="str">
        <v>-0.000584</v>
      </c>
      <c r="U50" s="5" t="s">
        <v>1458</v>
      </c>
      <c r="V50" t="s">
        <v>839</v>
      </c>
      <c r="W50" t="s">
        <v>198</v>
      </c>
      <c r="X50" t="str">
        <f>_xlfn.LET(_xlpm.str,"'DIL_",IF(LEFT(Table1[[#This Row],[name]],LEN(_xlpm.str))=_xlpm.str,_xlfn.TEXTBEFORE(_xlfn.TEXTBEFORE(_xlfn.TEXTAFTER(Table1[[#This Row],[name]],_xlpm.str),".",-1),"_",-1),""))</f>
        <v/>
      </c>
    </row>
    <row r="51" spans="1:24" x14ac:dyDescent="0.2">
      <c r="A51" t="s">
        <v>49</v>
      </c>
      <c r="B51" t="str">
        <v>utp_c</v>
      </c>
      <c r="C51">
        <v>6.2536999999999995E-2</v>
      </c>
      <c r="D51" t="str">
        <v>-0.036971</v>
      </c>
      <c r="E51">
        <v>-1.6915149711936384</v>
      </c>
      <c r="M51" s="2" t="s">
        <v>103</v>
      </c>
      <c r="N51" t="str">
        <v>oglycanSC_g</v>
      </c>
      <c r="O51" t="str">
        <v>oglycanSC_g</v>
      </c>
      <c r="P51" t="str">
        <f t="shared" si="0"/>
        <v>oglycanSC_g</v>
      </c>
      <c r="Q51" t="str">
        <v>-0.047788</v>
      </c>
      <c r="U51" s="6" t="s">
        <v>1459</v>
      </c>
      <c r="V51" t="s">
        <v>840</v>
      </c>
      <c r="W51" t="s">
        <v>199</v>
      </c>
      <c r="X51" t="str">
        <f>_xlfn.LET(_xlpm.str,"'DIL_",IF(LEFT(Table1[[#This Row],[name]],LEN(_xlpm.str))=_xlpm.str,_xlfn.TEXTBEFORE(_xlfn.TEXTBEFORE(_xlfn.TEXTAFTER(Table1[[#This Row],[name]],_xlpm.str),".",-1),"_",-1),""))</f>
        <v/>
      </c>
    </row>
    <row r="52" spans="1:24" x14ac:dyDescent="0.2">
      <c r="A52" t="s">
        <v>50</v>
      </c>
      <c r="B52" t="str">
        <v>val__L_c</v>
      </c>
      <c r="C52">
        <v>0.30452400000000002</v>
      </c>
      <c r="D52" t="str">
        <v>-0.28979</v>
      </c>
      <c r="E52">
        <v>-1.050843714413886</v>
      </c>
      <c r="M52" s="2" t="s">
        <v>104</v>
      </c>
      <c r="N52" t="str">
        <v>pail_c</v>
      </c>
      <c r="O52" t="str">
        <v>pail_c</v>
      </c>
      <c r="P52" t="str">
        <f t="shared" si="0"/>
        <v>pail_c</v>
      </c>
      <c r="Q52" t="str">
        <v>-0.021936</v>
      </c>
      <c r="U52" s="5" t="s">
        <v>1460</v>
      </c>
      <c r="V52" t="s">
        <v>841</v>
      </c>
      <c r="W52" t="s">
        <v>200</v>
      </c>
      <c r="X52" t="str">
        <f>_xlfn.LET(_xlpm.str,"'DIL_",IF(LEFT(Table1[[#This Row],[name]],LEN(_xlpm.str))=_xlpm.str,_xlfn.TEXTBEFORE(_xlfn.TEXTBEFORE(_xlfn.TEXTAFTER(Table1[[#This Row],[name]],_xlpm.str),".",-1),"_",-1),""))</f>
        <v/>
      </c>
    </row>
    <row r="53" spans="1:24" x14ac:dyDescent="0.2">
      <c r="A53" t="s">
        <v>51</v>
      </c>
      <c r="B53" t="str">
        <v>zn2_c</v>
      </c>
      <c r="C53">
        <v>1.5759999999999999E-3</v>
      </c>
      <c r="D53" t="str">
        <v>-0.001576</v>
      </c>
      <c r="E53">
        <v>-1</v>
      </c>
      <c r="M53" s="2" t="s">
        <v>105</v>
      </c>
      <c r="N53" t="str">
        <v>pc_c</v>
      </c>
      <c r="O53" t="str">
        <v>pc_c</v>
      </c>
      <c r="P53" t="str">
        <f t="shared" si="0"/>
        <v>pc_c</v>
      </c>
      <c r="Q53" t="str">
        <v>-0.041166</v>
      </c>
      <c r="U53" s="6" t="s">
        <v>1461</v>
      </c>
      <c r="V53" t="s">
        <v>842</v>
      </c>
      <c r="W53" t="s">
        <v>201</v>
      </c>
      <c r="X53" t="str">
        <f>_xlfn.LET(_xlpm.str,"'DIL_",IF(LEFT(Table1[[#This Row],[name]],LEN(_xlpm.str))=_xlpm.str,_xlfn.TEXTBEFORE(_xlfn.TEXTBEFORE(_xlfn.TEXTAFTER(Table1[[#This Row],[name]],_xlpm.str),".",-1),"_",-1),""))</f>
        <v/>
      </c>
    </row>
    <row r="54" spans="1:24" x14ac:dyDescent="0.2">
      <c r="M54" s="2" t="s">
        <v>106</v>
      </c>
      <c r="N54" t="str">
        <v>pe_c</v>
      </c>
      <c r="O54" t="str">
        <v>pe_c</v>
      </c>
      <c r="P54" t="str">
        <f t="shared" si="0"/>
        <v>pe_c</v>
      </c>
      <c r="Q54" t="str">
        <v>-0.009943</v>
      </c>
      <c r="U54" s="5" t="s">
        <v>1462</v>
      </c>
      <c r="V54" t="s">
        <v>843</v>
      </c>
      <c r="W54" t="s">
        <v>202</v>
      </c>
      <c r="X54" t="str">
        <f>_xlfn.LET(_xlpm.str,"'DIL_",IF(LEFT(Table1[[#This Row],[name]],LEN(_xlpm.str))=_xlpm.str,_xlfn.TEXTBEFORE(_xlfn.TEXTBEFORE(_xlfn.TEXTAFTER(Table1[[#This Row],[name]],_xlpm.str),".",-1),"_",-1),""))</f>
        <v/>
      </c>
    </row>
    <row r="55" spans="1:24" x14ac:dyDescent="0.2">
      <c r="M55" s="2" t="s">
        <v>107</v>
      </c>
      <c r="N55" t="str">
        <v>phetrna_c</v>
      </c>
      <c r="O55" t="str">
        <v>phe__L_c</v>
      </c>
      <c r="P55" t="str">
        <f t="shared" si="0"/>
        <v>phe__L_c</v>
      </c>
      <c r="Q55" t="str">
        <v>-0.148651</v>
      </c>
      <c r="U55" s="6" t="s">
        <v>1463</v>
      </c>
      <c r="V55" t="s">
        <v>843</v>
      </c>
      <c r="W55" t="s">
        <v>203</v>
      </c>
      <c r="X55" t="str">
        <f>_xlfn.LET(_xlpm.str,"'DIL_",IF(LEFT(Table1[[#This Row],[name]],LEN(_xlpm.str))=_xlpm.str,_xlfn.TEXTBEFORE(_xlfn.TEXTBEFORE(_xlfn.TEXTAFTER(Table1[[#This Row],[name]],_xlpm.str),".",-1),"_",-1),""))</f>
        <v/>
      </c>
    </row>
    <row r="56" spans="1:24" x14ac:dyDescent="0.2">
      <c r="M56" s="2" t="s">
        <v>108</v>
      </c>
      <c r="N56" t="str">
        <v>pi_c</v>
      </c>
      <c r="O56" t="str">
        <v>pi_c</v>
      </c>
      <c r="P56" t="str">
        <f t="shared" si="0"/>
        <v>pi_c</v>
      </c>
      <c r="Q56" t="str">
        <v>167.302693</v>
      </c>
      <c r="U56" s="5" t="s">
        <v>1464</v>
      </c>
      <c r="V56" t="s">
        <v>844</v>
      </c>
      <c r="W56" t="s">
        <v>204</v>
      </c>
      <c r="X56" t="str">
        <f>_xlfn.LET(_xlpm.str,"'DIL_",IF(LEFT(Table1[[#This Row],[name]],LEN(_xlpm.str))=_xlpm.str,_xlfn.TEXTBEFORE(_xlfn.TEXTBEFORE(_xlfn.TEXTAFTER(Table1[[#This Row],[name]],_xlpm.str),".",-1),"_",-1),""))</f>
        <v/>
      </c>
    </row>
    <row r="57" spans="1:24" x14ac:dyDescent="0.2">
      <c r="M57" s="2" t="s">
        <v>109</v>
      </c>
      <c r="N57" t="str">
        <v>ppi_c</v>
      </c>
      <c r="O57" t="str">
        <v>ppi_c</v>
      </c>
      <c r="P57" t="str">
        <f t="shared" si="0"/>
        <v>ppi_c</v>
      </c>
      <c r="Q57" t="str">
        <v>0.246044</v>
      </c>
      <c r="U57" s="6" t="s">
        <v>1465</v>
      </c>
      <c r="V57" t="s">
        <v>845</v>
      </c>
      <c r="W57" t="s">
        <v>205</v>
      </c>
      <c r="X57" t="str">
        <f>_xlfn.LET(_xlpm.str,"'DIL_",IF(LEFT(Table1[[#This Row],[name]],LEN(_xlpm.str))=_xlpm.str,_xlfn.TEXTBEFORE(_xlfn.TEXTBEFORE(_xlfn.TEXTAFTER(Table1[[#This Row],[name]],_xlpm.str),".",-1),"_",-1),""))</f>
        <v/>
      </c>
    </row>
    <row r="58" spans="1:24" x14ac:dyDescent="0.2">
      <c r="M58" s="2" t="s">
        <v>110</v>
      </c>
      <c r="N58" t="str">
        <v>protrna_c</v>
      </c>
      <c r="O58" t="str">
        <v>pro__L_c</v>
      </c>
      <c r="P58" t="str">
        <f t="shared" si="0"/>
        <v>pro__L_c</v>
      </c>
      <c r="Q58" t="str">
        <v>-0.166837</v>
      </c>
      <c r="U58" s="5" t="s">
        <v>1466</v>
      </c>
      <c r="V58" t="s">
        <v>846</v>
      </c>
      <c r="W58" t="s">
        <v>206</v>
      </c>
      <c r="X58" t="str">
        <f>_xlfn.LET(_xlpm.str,"'DIL_",IF(LEFT(Table1[[#This Row],[name]],LEN(_xlpm.str))=_xlpm.str,_xlfn.TEXTBEFORE(_xlfn.TEXTBEFORE(_xlfn.TEXTAFTER(Table1[[#This Row],[name]],_xlpm.str),".",-1),"_",-1),""))</f>
        <v/>
      </c>
    </row>
    <row r="59" spans="1:24" x14ac:dyDescent="0.2">
      <c r="M59" s="2" t="s">
        <v>111</v>
      </c>
      <c r="N59" t="str">
        <v>ps_c</v>
      </c>
      <c r="O59" t="str">
        <v>ps_c</v>
      </c>
      <c r="P59" t="str">
        <f t="shared" si="0"/>
        <v>ps_c</v>
      </c>
      <c r="Q59" t="str">
        <v>-0.005332</v>
      </c>
      <c r="U59" s="6" t="s">
        <v>1467</v>
      </c>
      <c r="V59" t="s">
        <v>847</v>
      </c>
      <c r="W59" t="s">
        <v>207</v>
      </c>
      <c r="X59" t="str">
        <f>_xlfn.LET(_xlpm.str,"'DIL_",IF(LEFT(Table1[[#This Row],[name]],LEN(_xlpm.str))=_xlpm.str,_xlfn.TEXTBEFORE(_xlfn.TEXTBEFORE(_xlfn.TEXTAFTER(Table1[[#This Row],[name]],_xlpm.str),".",-1),"_",-1),""))</f>
        <v/>
      </c>
    </row>
    <row r="60" spans="1:24" x14ac:dyDescent="0.2">
      <c r="M60" s="2" t="s">
        <v>112</v>
      </c>
      <c r="N60" t="str">
        <v>pydx5p_c</v>
      </c>
      <c r="O60" t="str">
        <v>pydx5p_c</v>
      </c>
      <c r="P60" t="str">
        <f t="shared" si="0"/>
        <v>pydx5p_c</v>
      </c>
      <c r="Q60" t="str">
        <v>-0.0001</v>
      </c>
      <c r="U60" s="5" t="s">
        <v>1468</v>
      </c>
      <c r="V60" t="s">
        <v>848</v>
      </c>
      <c r="W60" t="s">
        <v>208</v>
      </c>
      <c r="X60" t="str">
        <f>_xlfn.LET(_xlpm.str,"'DIL_",IF(LEFT(Table1[[#This Row],[name]],LEN(_xlpm.str))=_xlpm.str,_xlfn.TEXTBEFORE(_xlfn.TEXTBEFORE(_xlfn.TEXTAFTER(Table1[[#This Row],[name]],_xlpm.str),".",-1),"_",-1),""))</f>
        <v/>
      </c>
    </row>
    <row r="61" spans="1:24" x14ac:dyDescent="0.2">
      <c r="M61" s="2" t="s">
        <v>113</v>
      </c>
      <c r="N61" t="str">
        <v>ribflv_c</v>
      </c>
      <c r="O61" t="str">
        <v>ribflv_c</v>
      </c>
      <c r="P61" t="str">
        <f t="shared" si="0"/>
        <v>ribflv_c</v>
      </c>
      <c r="Q61" t="str">
        <v>-0.0001</v>
      </c>
      <c r="U61" s="6" t="s">
        <v>1469</v>
      </c>
      <c r="V61" t="s">
        <v>849</v>
      </c>
      <c r="W61" t="s">
        <v>209</v>
      </c>
      <c r="X61" t="str">
        <f>_xlfn.LET(_xlpm.str,"'DIL_",IF(LEFT(Table1[[#This Row],[name]],LEN(_xlpm.str))=_xlpm.str,_xlfn.TEXTBEFORE(_xlfn.TEXTBEFORE(_xlfn.TEXTAFTER(Table1[[#This Row],[name]],_xlpm.str),".",-1),"_",-1),""))</f>
        <v/>
      </c>
    </row>
    <row r="62" spans="1:24" x14ac:dyDescent="0.2">
      <c r="M62" s="2" t="s">
        <v>114</v>
      </c>
      <c r="N62" t="str">
        <v>sertrna_c</v>
      </c>
      <c r="O62" t="str">
        <v>ser__L_c</v>
      </c>
      <c r="P62" t="str">
        <f t="shared" si="0"/>
        <v>ser__L_c</v>
      </c>
      <c r="Q62" t="str">
        <v>-0.21072</v>
      </c>
      <c r="U62" s="5" t="s">
        <v>1470</v>
      </c>
      <c r="V62" t="s">
        <v>850</v>
      </c>
      <c r="W62" t="s">
        <v>210</v>
      </c>
      <c r="X62" t="str">
        <f>_xlfn.LET(_xlpm.str,"'DIL_",IF(LEFT(Table1[[#This Row],[name]],LEN(_xlpm.str))=_xlpm.str,_xlfn.TEXTBEFORE(_xlfn.TEXTBEFORE(_xlfn.TEXTAFTER(Table1[[#This Row],[name]],_xlpm.str),".",-1),"_",-1),""))</f>
        <v/>
      </c>
    </row>
    <row r="63" spans="1:24" x14ac:dyDescent="0.2">
      <c r="M63" s="2" t="s">
        <v>115</v>
      </c>
      <c r="N63" t="str">
        <v>so4_c</v>
      </c>
      <c r="O63" t="str">
        <v>so4_c</v>
      </c>
      <c r="P63" t="str">
        <f t="shared" si="0"/>
        <v>so4_c</v>
      </c>
      <c r="Q63" t="str">
        <v>-0.031223</v>
      </c>
      <c r="U63" s="6" t="s">
        <v>1471</v>
      </c>
      <c r="V63" t="s">
        <v>851</v>
      </c>
      <c r="W63" t="s">
        <v>211</v>
      </c>
      <c r="X63" t="str">
        <f>_xlfn.LET(_xlpm.str,"'DIL_",IF(LEFT(Table1[[#This Row],[name]],LEN(_xlpm.str))=_xlpm.str,_xlfn.TEXTBEFORE(_xlfn.TEXTBEFORE(_xlfn.TEXTAFTER(Table1[[#This Row],[name]],_xlpm.str),".",-1),"_",-1),""))</f>
        <v/>
      </c>
    </row>
    <row r="64" spans="1:24" x14ac:dyDescent="0.2">
      <c r="M64" s="2" t="s">
        <v>116</v>
      </c>
      <c r="N64" t="str">
        <v>spmd_c</v>
      </c>
      <c r="O64" t="str">
        <v>spmd_c</v>
      </c>
      <c r="P64" t="str">
        <f t="shared" si="0"/>
        <v>spmd_c</v>
      </c>
      <c r="Q64" t="str">
        <v>-0.0001</v>
      </c>
      <c r="U64" s="5" t="s">
        <v>1472</v>
      </c>
      <c r="V64" t="s">
        <v>852</v>
      </c>
      <c r="W64" t="s">
        <v>212</v>
      </c>
      <c r="X64" t="str">
        <f>_xlfn.LET(_xlpm.str,"'DIL_",IF(LEFT(Table1[[#This Row],[name]],LEN(_xlpm.str))=_xlpm.str,_xlfn.TEXTBEFORE(_xlfn.TEXTBEFORE(_xlfn.TEXTAFTER(Table1[[#This Row],[name]],_xlpm.str),".",-1),"_",-1),""))</f>
        <v/>
      </c>
    </row>
    <row r="65" spans="13:24" x14ac:dyDescent="0.2">
      <c r="M65" s="2" t="s">
        <v>117</v>
      </c>
      <c r="N65" t="str">
        <v>tag_c</v>
      </c>
      <c r="O65" t="str">
        <v>tag_c</v>
      </c>
      <c r="P65" t="str">
        <f t="shared" si="0"/>
        <v>tag_c</v>
      </c>
      <c r="Q65" t="str">
        <v>-0.012646</v>
      </c>
      <c r="U65" s="6" t="s">
        <v>1473</v>
      </c>
      <c r="V65" t="s">
        <v>853</v>
      </c>
      <c r="W65" t="s">
        <v>213</v>
      </c>
      <c r="X65" t="str">
        <f>_xlfn.LET(_xlpm.str,"'DIL_",IF(LEFT(Table1[[#This Row],[name]],LEN(_xlpm.str))=_xlpm.str,_xlfn.TEXTBEFORE(_xlfn.TEXTBEFORE(_xlfn.TEXTAFTER(Table1[[#This Row],[name]],_xlpm.str),".",-1),"_",-1),""))</f>
        <v/>
      </c>
    </row>
    <row r="66" spans="13:24" x14ac:dyDescent="0.2">
      <c r="M66" s="2" t="s">
        <v>118</v>
      </c>
      <c r="N66" t="str">
        <v>thf_c</v>
      </c>
      <c r="O66" t="str">
        <v>thf_c</v>
      </c>
      <c r="P66" t="str">
        <f t="shared" si="0"/>
        <v>thf_c</v>
      </c>
      <c r="Q66" t="str">
        <v>-0.0001</v>
      </c>
      <c r="U66" s="5" t="s">
        <v>1474</v>
      </c>
      <c r="V66" t="s">
        <v>854</v>
      </c>
      <c r="W66" t="s">
        <v>214</v>
      </c>
      <c r="X66" t="str">
        <f>_xlfn.LET(_xlpm.str,"'DIL_",IF(LEFT(Table1[[#This Row],[name]],LEN(_xlpm.str))=_xlpm.str,_xlfn.TEXTBEFORE(_xlfn.TEXTBEFORE(_xlfn.TEXTAFTER(Table1[[#This Row],[name]],_xlpm.str),".",-1),"_",-1),""))</f>
        <v/>
      </c>
    </row>
    <row r="67" spans="13:24" x14ac:dyDescent="0.2">
      <c r="M67" s="2" t="s">
        <v>119</v>
      </c>
      <c r="N67" t="str">
        <v>thmpp_c</v>
      </c>
      <c r="O67" t="str">
        <v>thmpp_c</v>
      </c>
      <c r="P67" t="str">
        <f t="shared" ref="P67:P94" si="1">O67</f>
        <v>thmpp_c</v>
      </c>
      <c r="Q67" t="str">
        <v>-0.0001</v>
      </c>
      <c r="U67" s="6" t="s">
        <v>1475</v>
      </c>
      <c r="V67" t="s">
        <v>855</v>
      </c>
      <c r="W67" t="s">
        <v>215</v>
      </c>
      <c r="X67" t="str">
        <f>_xlfn.LET(_xlpm.str,"'DIL_",IF(LEFT(Table1[[#This Row],[name]],LEN(_xlpm.str))=_xlpm.str,_xlfn.TEXTBEFORE(_xlfn.TEXTBEFORE(_xlfn.TEXTAFTER(Table1[[#This Row],[name]],_xlpm.str),".",-1),"_",-1),""))</f>
        <v/>
      </c>
    </row>
    <row r="68" spans="13:24" x14ac:dyDescent="0.2">
      <c r="M68" s="2" t="s">
        <v>120</v>
      </c>
      <c r="N68" t="str">
        <v>thrtrna_c</v>
      </c>
      <c r="O68" t="str">
        <v>thr__L_c</v>
      </c>
      <c r="P68" t="str">
        <f t="shared" si="1"/>
        <v>thr__L_c</v>
      </c>
      <c r="Q68" t="str">
        <v>-0.220209</v>
      </c>
      <c r="U68" s="5" t="s">
        <v>1476</v>
      </c>
      <c r="V68" t="s">
        <v>856</v>
      </c>
      <c r="W68" t="s">
        <v>216</v>
      </c>
      <c r="X68" t="str">
        <f>_xlfn.LET(_xlpm.str,"'DIL_",IF(LEFT(Table1[[#This Row],[name]],LEN(_xlpm.str))=_xlpm.str,_xlfn.TEXTBEFORE(_xlfn.TEXTBEFORE(_xlfn.TEXTAFTER(Table1[[#This Row],[name]],_xlpm.str),".",-1),"_",-1),""))</f>
        <v/>
      </c>
    </row>
    <row r="69" spans="13:24" x14ac:dyDescent="0.2">
      <c r="M69" s="2" t="s">
        <v>121</v>
      </c>
      <c r="N69" t="str">
        <v>trnaala_c</v>
      </c>
      <c r="O69" t="str">
        <v>trnaala_c</v>
      </c>
      <c r="P69" t="str">
        <f t="shared" si="1"/>
        <v>trnaala_c</v>
      </c>
      <c r="Q69" t="str">
        <v>0.386254</v>
      </c>
      <c r="U69" s="6" t="s">
        <v>1477</v>
      </c>
      <c r="V69" t="s">
        <v>856</v>
      </c>
      <c r="W69" t="s">
        <v>217</v>
      </c>
      <c r="X69" t="str">
        <f>_xlfn.LET(_xlpm.str,"'DIL_",IF(LEFT(Table1[[#This Row],[name]],LEN(_xlpm.str))=_xlpm.str,_xlfn.TEXTBEFORE(_xlfn.TEXTBEFORE(_xlfn.TEXTAFTER(Table1[[#This Row],[name]],_xlpm.str),".",-1),"_",-1),""))</f>
        <v/>
      </c>
    </row>
    <row r="70" spans="13:24" x14ac:dyDescent="0.2">
      <c r="M70" s="2" t="s">
        <v>122</v>
      </c>
      <c r="N70" t="str">
        <v>trnaarg_c</v>
      </c>
      <c r="O70" t="str">
        <v>trnaarg_c</v>
      </c>
      <c r="P70" t="str">
        <f t="shared" si="1"/>
        <v>trnaarg_c</v>
      </c>
      <c r="Q70" t="str">
        <v>0.152604</v>
      </c>
      <c r="U70" s="5" t="s">
        <v>1478</v>
      </c>
      <c r="V70" t="s">
        <v>856</v>
      </c>
      <c r="W70" t="s">
        <v>218</v>
      </c>
      <c r="X70" t="str">
        <f>_xlfn.LET(_xlpm.str,"'DIL_",IF(LEFT(Table1[[#This Row],[name]],LEN(_xlpm.str))=_xlpm.str,_xlfn.TEXTBEFORE(_xlfn.TEXTBEFORE(_xlfn.TEXTAFTER(Table1[[#This Row],[name]],_xlpm.str),".",-1),"_",-1),""))</f>
        <v/>
      </c>
    </row>
    <row r="71" spans="13:24" x14ac:dyDescent="0.2">
      <c r="M71" s="2" t="s">
        <v>123</v>
      </c>
      <c r="N71" t="str">
        <v>trnaasn_c</v>
      </c>
      <c r="O71" t="str">
        <v>trnaasn_c</v>
      </c>
      <c r="P71" t="str">
        <f t="shared" si="1"/>
        <v>trnaasn_c</v>
      </c>
      <c r="Q71" t="str">
        <v>0.183441</v>
      </c>
      <c r="U71" s="6" t="s">
        <v>1479</v>
      </c>
      <c r="V71" t="s">
        <v>857</v>
      </c>
      <c r="W71" t="s">
        <v>219</v>
      </c>
      <c r="X71" t="str">
        <f>_xlfn.LET(_xlpm.str,"'DIL_",IF(LEFT(Table1[[#This Row],[name]],LEN(_xlpm.str))=_xlpm.str,_xlfn.TEXTBEFORE(_xlfn.TEXTBEFORE(_xlfn.TEXTAFTER(Table1[[#This Row],[name]],_xlpm.str),".",-1),"_",-1),""))</f>
        <v/>
      </c>
    </row>
    <row r="72" spans="13:24" x14ac:dyDescent="0.2">
      <c r="M72" s="2" t="s">
        <v>124</v>
      </c>
      <c r="N72" t="str">
        <v>trnaasp_c</v>
      </c>
      <c r="O72" t="str">
        <v>trnaasp_c</v>
      </c>
      <c r="P72" t="str">
        <f t="shared" si="1"/>
        <v>trnaasp_c</v>
      </c>
      <c r="Q72" t="str">
        <v>0.183441</v>
      </c>
      <c r="U72" s="5" t="s">
        <v>1480</v>
      </c>
      <c r="V72" t="s">
        <v>858</v>
      </c>
      <c r="W72" t="s">
        <v>220</v>
      </c>
      <c r="X72" t="str">
        <f>_xlfn.LET(_xlpm.str,"'DIL_",IF(LEFT(Table1[[#This Row],[name]],LEN(_xlpm.str))=_xlpm.str,_xlfn.TEXTBEFORE(_xlfn.TEXTBEFORE(_xlfn.TEXTAFTER(Table1[[#This Row],[name]],_xlpm.str),".",-1),"_",-1),""))</f>
        <v/>
      </c>
    </row>
    <row r="73" spans="13:24" x14ac:dyDescent="0.2">
      <c r="M73" s="2" t="s">
        <v>125</v>
      </c>
      <c r="N73" t="str">
        <v>trnacys_c</v>
      </c>
      <c r="O73" t="str">
        <v>trnacys_c</v>
      </c>
      <c r="P73" t="str">
        <f t="shared" si="1"/>
        <v>trnacys_c</v>
      </c>
      <c r="Q73" t="str">
        <v>0.005535</v>
      </c>
      <c r="U73" s="6" t="s">
        <v>1481</v>
      </c>
      <c r="V73" t="s">
        <v>859</v>
      </c>
      <c r="W73" t="s">
        <v>221</v>
      </c>
      <c r="X73" t="str">
        <f>_xlfn.LET(_xlpm.str,"'DIL_",IF(LEFT(Table1[[#This Row],[name]],LEN(_xlpm.str))=_xlpm.str,_xlfn.TEXTBEFORE(_xlfn.TEXTBEFORE(_xlfn.TEXTAFTER(Table1[[#This Row],[name]],_xlpm.str),".",-1),"_",-1),""))</f>
        <v/>
      </c>
    </row>
    <row r="74" spans="13:24" x14ac:dyDescent="0.2">
      <c r="M74" s="2" t="s">
        <v>126</v>
      </c>
      <c r="N74" t="str">
        <v>trnagln_c</v>
      </c>
      <c r="O74" t="str">
        <v>trnagln_c</v>
      </c>
      <c r="P74" t="str">
        <f t="shared" si="1"/>
        <v>trnagln_c</v>
      </c>
      <c r="Q74" t="str">
        <v>0.305999</v>
      </c>
      <c r="U74" s="5" t="s">
        <v>1482</v>
      </c>
      <c r="V74" t="s">
        <v>860</v>
      </c>
      <c r="W74" t="s">
        <v>222</v>
      </c>
      <c r="X74" t="str">
        <f>_xlfn.LET(_xlpm.str,"'DIL_",IF(LEFT(Table1[[#This Row],[name]],LEN(_xlpm.str))=_xlpm.str,_xlfn.TEXTBEFORE(_xlfn.TEXTBEFORE(_xlfn.TEXTAFTER(Table1[[#This Row],[name]],_xlpm.str),".",-1),"_",-1),""))</f>
        <v/>
      </c>
    </row>
    <row r="75" spans="13:24" x14ac:dyDescent="0.2">
      <c r="M75" s="2" t="s">
        <v>127</v>
      </c>
      <c r="N75" t="str">
        <v>trnaglu_c</v>
      </c>
      <c r="O75" t="str">
        <v>trnaglu_c</v>
      </c>
      <c r="P75" t="str">
        <f t="shared" si="1"/>
        <v>trnaglu_c</v>
      </c>
      <c r="Q75" t="str">
        <v>0.305999</v>
      </c>
      <c r="U75" s="6" t="s">
        <v>1483</v>
      </c>
      <c r="V75" t="s">
        <v>861</v>
      </c>
      <c r="W75" t="s">
        <v>223</v>
      </c>
      <c r="X75" t="str">
        <f>_xlfn.LET(_xlpm.str,"'DIL_",IF(LEFT(Table1[[#This Row],[name]],LEN(_xlpm.str))=_xlpm.str,_xlfn.TEXTBEFORE(_xlfn.TEXTBEFORE(_xlfn.TEXTAFTER(Table1[[#This Row],[name]],_xlpm.str),".",-1),"_",-1),""))</f>
        <v/>
      </c>
    </row>
    <row r="76" spans="13:24" x14ac:dyDescent="0.2">
      <c r="M76" s="2" t="s">
        <v>128</v>
      </c>
      <c r="N76" t="str">
        <v>trnagly_c</v>
      </c>
      <c r="O76" t="str">
        <v>trnagly_c</v>
      </c>
      <c r="P76" t="str">
        <f t="shared" si="1"/>
        <v>trnagly_c</v>
      </c>
      <c r="Q76" t="str">
        <v>0.351464</v>
      </c>
      <c r="U76" s="5" t="s">
        <v>1484</v>
      </c>
      <c r="V76" t="s">
        <v>862</v>
      </c>
      <c r="W76" t="s">
        <v>224</v>
      </c>
      <c r="X76" t="str">
        <f>_xlfn.LET(_xlpm.str,"'DIL_",IF(LEFT(Table1[[#This Row],[name]],LEN(_xlpm.str))=_xlpm.str,_xlfn.TEXTBEFORE(_xlfn.TEXTBEFORE(_xlfn.TEXTAFTER(Table1[[#This Row],[name]],_xlpm.str),".",-1),"_",-1),""))</f>
        <v/>
      </c>
    </row>
    <row r="77" spans="13:24" x14ac:dyDescent="0.2">
      <c r="M77" s="2" t="s">
        <v>129</v>
      </c>
      <c r="N77" t="str">
        <v>trnahis_c</v>
      </c>
      <c r="O77" t="str">
        <v>trnahis_c</v>
      </c>
      <c r="P77" t="str">
        <f t="shared" si="1"/>
        <v>trnahis_c</v>
      </c>
      <c r="Q77" t="str">
        <v>0.076302</v>
      </c>
      <c r="U77" s="6" t="s">
        <v>1485</v>
      </c>
      <c r="V77" t="s">
        <v>863</v>
      </c>
      <c r="W77" t="s">
        <v>225</v>
      </c>
      <c r="X77" t="str">
        <f>_xlfn.LET(_xlpm.str,"'DIL_",IF(LEFT(Table1[[#This Row],[name]],LEN(_xlpm.str))=_xlpm.str,_xlfn.TEXTBEFORE(_xlfn.TEXTBEFORE(_xlfn.TEXTAFTER(Table1[[#This Row],[name]],_xlpm.str),".",-1),"_",-1),""))</f>
        <v/>
      </c>
    </row>
    <row r="78" spans="13:24" x14ac:dyDescent="0.2">
      <c r="M78" s="2" t="s">
        <v>130</v>
      </c>
      <c r="N78" t="str">
        <v>trnaile_c</v>
      </c>
      <c r="O78" t="str">
        <v>trnaile_c</v>
      </c>
      <c r="P78" t="str">
        <f t="shared" si="1"/>
        <v>trnaile_c</v>
      </c>
      <c r="Q78" t="str">
        <v>0.23286</v>
      </c>
      <c r="U78" s="5" t="s">
        <v>1486</v>
      </c>
      <c r="V78" t="s">
        <v>864</v>
      </c>
      <c r="W78" t="s">
        <v>226</v>
      </c>
      <c r="X78" t="str">
        <f>_xlfn.LET(_xlpm.str,"'DIL_",IF(LEFT(Table1[[#This Row],[name]],LEN(_xlpm.str))=_xlpm.str,_xlfn.TEXTBEFORE(_xlfn.TEXTBEFORE(_xlfn.TEXTAFTER(Table1[[#This Row],[name]],_xlpm.str),".",-1),"_",-1),""))</f>
        <v/>
      </c>
    </row>
    <row r="79" spans="13:24" x14ac:dyDescent="0.2">
      <c r="M79" s="2" t="s">
        <v>131</v>
      </c>
      <c r="N79" t="str">
        <v>trnaleu_c</v>
      </c>
      <c r="O79" t="str">
        <v>trnaleu_c</v>
      </c>
      <c r="P79" t="str">
        <f t="shared" si="1"/>
        <v>trnaleu_c</v>
      </c>
      <c r="Q79" t="str">
        <v>0.316673</v>
      </c>
      <c r="U79" s="6" t="s">
        <v>1487</v>
      </c>
      <c r="V79" t="s">
        <v>865</v>
      </c>
      <c r="W79" t="s">
        <v>227</v>
      </c>
      <c r="X79" t="str">
        <f>_xlfn.LET(_xlpm.str,"'DIL_",IF(LEFT(Table1[[#This Row],[name]],LEN(_xlpm.str))=_xlpm.str,_xlfn.TEXTBEFORE(_xlfn.TEXTBEFORE(_xlfn.TEXTAFTER(Table1[[#This Row],[name]],_xlpm.str),".",-1),"_",-1),""))</f>
        <v/>
      </c>
    </row>
    <row r="80" spans="13:24" x14ac:dyDescent="0.2">
      <c r="M80" s="2" t="s">
        <v>132</v>
      </c>
      <c r="N80" t="str">
        <v>trnalys_c</v>
      </c>
      <c r="O80" t="str">
        <v>trnalys_c</v>
      </c>
      <c r="P80" t="str">
        <f t="shared" si="1"/>
        <v>trnalys_c</v>
      </c>
      <c r="Q80" t="str">
        <v>0.259743</v>
      </c>
      <c r="U80" s="5" t="s">
        <v>1488</v>
      </c>
      <c r="V80" t="s">
        <v>866</v>
      </c>
      <c r="W80" t="s">
        <v>228</v>
      </c>
      <c r="X80" t="str">
        <f>_xlfn.LET(_xlpm.str,"'DIL_",IF(LEFT(Table1[[#This Row],[name]],LEN(_xlpm.str))=_xlpm.str,_xlfn.TEXTBEFORE(_xlfn.TEXTBEFORE(_xlfn.TEXTAFTER(Table1[[#This Row],[name]],_xlpm.str),".",-1),"_",-1),""))</f>
        <v/>
      </c>
    </row>
    <row r="81" spans="13:24" x14ac:dyDescent="0.2">
      <c r="M81" s="2" t="s">
        <v>133</v>
      </c>
      <c r="N81" t="str">
        <v>trnamet_c</v>
      </c>
      <c r="O81" t="str">
        <v>trnamet_c</v>
      </c>
      <c r="P81" t="str">
        <f t="shared" si="1"/>
        <v>trnamet_c</v>
      </c>
      <c r="Q81" t="str">
        <v>0.04507</v>
      </c>
      <c r="U81" s="6" t="s">
        <v>1489</v>
      </c>
      <c r="V81" t="s">
        <v>867</v>
      </c>
      <c r="W81" t="s">
        <v>229</v>
      </c>
      <c r="X81" t="str">
        <f>_xlfn.LET(_xlpm.str,"'DIL_",IF(LEFT(Table1[[#This Row],[name]],LEN(_xlpm.str))=_xlpm.str,_xlfn.TEXTBEFORE(_xlfn.TEXTBEFORE(_xlfn.TEXTAFTER(Table1[[#This Row],[name]],_xlpm.str),".",-1),"_",-1),""))</f>
        <v/>
      </c>
    </row>
    <row r="82" spans="13:24" x14ac:dyDescent="0.2">
      <c r="M82" s="2" t="s">
        <v>134</v>
      </c>
      <c r="N82" t="str">
        <v>trnaphe_c</v>
      </c>
      <c r="O82" t="str">
        <v>trnaphe_c</v>
      </c>
      <c r="P82" t="str">
        <f t="shared" si="1"/>
        <v>trnaphe_c</v>
      </c>
      <c r="Q82" t="str">
        <v>0.148651</v>
      </c>
      <c r="U82" s="5" t="s">
        <v>1490</v>
      </c>
      <c r="V82" t="s">
        <v>867</v>
      </c>
      <c r="W82" t="s">
        <v>230</v>
      </c>
      <c r="X82" t="str">
        <f>_xlfn.LET(_xlpm.str,"'DIL_",IF(LEFT(Table1[[#This Row],[name]],LEN(_xlpm.str))=_xlpm.str,_xlfn.TEXTBEFORE(_xlfn.TEXTBEFORE(_xlfn.TEXTAFTER(Table1[[#This Row],[name]],_xlpm.str),".",-1),"_",-1),""))</f>
        <v/>
      </c>
    </row>
    <row r="83" spans="13:24" x14ac:dyDescent="0.2">
      <c r="M83" s="2" t="s">
        <v>135</v>
      </c>
      <c r="N83" t="str">
        <v>trnapro_c</v>
      </c>
      <c r="O83" t="str">
        <v>trnapro_c</v>
      </c>
      <c r="P83" t="str">
        <f t="shared" si="1"/>
        <v>trnapro_c</v>
      </c>
      <c r="Q83" t="str">
        <v>0.166837</v>
      </c>
      <c r="U83" s="6" t="s">
        <v>1491</v>
      </c>
      <c r="V83" t="s">
        <v>868</v>
      </c>
      <c r="W83" t="s">
        <v>231</v>
      </c>
      <c r="X83" t="str">
        <f>_xlfn.LET(_xlpm.str,"'DIL_",IF(LEFT(Table1[[#This Row],[name]],LEN(_xlpm.str))=_xlpm.str,_xlfn.TEXTBEFORE(_xlfn.TEXTBEFORE(_xlfn.TEXTAFTER(Table1[[#This Row],[name]],_xlpm.str),".",-1),"_",-1),""))</f>
        <v/>
      </c>
    </row>
    <row r="84" spans="13:24" x14ac:dyDescent="0.2">
      <c r="M84" s="2" t="s">
        <v>136</v>
      </c>
      <c r="N84" t="str">
        <v>trnaser_c</v>
      </c>
      <c r="O84" t="str">
        <v>trnaser_c</v>
      </c>
      <c r="P84" t="str">
        <f t="shared" si="1"/>
        <v>trnaser_c</v>
      </c>
      <c r="Q84" t="str">
        <v>0.21072</v>
      </c>
      <c r="U84" s="5" t="s">
        <v>1492</v>
      </c>
      <c r="V84" t="s">
        <v>868</v>
      </c>
      <c r="W84" t="s">
        <v>232</v>
      </c>
      <c r="X84" t="str">
        <f>_xlfn.LET(_xlpm.str,"'DIL_",IF(LEFT(Table1[[#This Row],[name]],LEN(_xlpm.str))=_xlpm.str,_xlfn.TEXTBEFORE(_xlfn.TEXTBEFORE(_xlfn.TEXTAFTER(Table1[[#This Row],[name]],_xlpm.str),".",-1),"_",-1),""))</f>
        <v/>
      </c>
    </row>
    <row r="85" spans="13:24" x14ac:dyDescent="0.2">
      <c r="M85" s="2" t="s">
        <v>137</v>
      </c>
      <c r="N85" t="str">
        <v>trnathr_c</v>
      </c>
      <c r="O85" t="str">
        <v>trnathr_c</v>
      </c>
      <c r="P85" t="str">
        <f t="shared" si="1"/>
        <v>trnathr_c</v>
      </c>
      <c r="Q85" t="str">
        <v>0.220209</v>
      </c>
      <c r="U85" s="6" t="s">
        <v>1493</v>
      </c>
      <c r="V85" t="s">
        <v>869</v>
      </c>
      <c r="W85" t="s">
        <v>233</v>
      </c>
      <c r="X85" t="str">
        <f>_xlfn.LET(_xlpm.str,"'DIL_",IF(LEFT(Table1[[#This Row],[name]],LEN(_xlpm.str))=_xlpm.str,_xlfn.TEXTBEFORE(_xlfn.TEXTBEFORE(_xlfn.TEXTAFTER(Table1[[#This Row],[name]],_xlpm.str),".",-1),"_",-1),""))</f>
        <v/>
      </c>
    </row>
    <row r="86" spans="13:24" x14ac:dyDescent="0.2">
      <c r="M86" s="2" t="s">
        <v>138</v>
      </c>
      <c r="N86" t="str">
        <v>trnatrp_c</v>
      </c>
      <c r="O86" t="str">
        <v>trnatrp_c</v>
      </c>
      <c r="P86" t="str">
        <f t="shared" si="1"/>
        <v>trnatrp_c</v>
      </c>
      <c r="Q86" t="str">
        <v>0.025698</v>
      </c>
      <c r="U86" s="5" t="s">
        <v>1494</v>
      </c>
      <c r="V86" t="s">
        <v>870</v>
      </c>
      <c r="W86" t="s">
        <v>234</v>
      </c>
      <c r="X86" t="str">
        <f>_xlfn.LET(_xlpm.str,"'DIL_",IF(LEFT(Table1[[#This Row],[name]],LEN(_xlpm.str))=_xlpm.str,_xlfn.TEXTBEFORE(_xlfn.TEXTBEFORE(_xlfn.TEXTAFTER(Table1[[#This Row],[name]],_xlpm.str),".",-1),"_",-1),""))</f>
        <v/>
      </c>
    </row>
    <row r="87" spans="13:24" x14ac:dyDescent="0.2">
      <c r="M87" s="2" t="s">
        <v>139</v>
      </c>
      <c r="N87" t="str">
        <v>trnatyr_c</v>
      </c>
      <c r="O87" t="str">
        <v>trnatyr_c</v>
      </c>
      <c r="P87" t="str">
        <f t="shared" si="1"/>
        <v>trnatyr_c</v>
      </c>
      <c r="Q87" t="str">
        <v>0.077488</v>
      </c>
      <c r="U87" s="6" t="s">
        <v>1495</v>
      </c>
      <c r="V87" t="s">
        <v>871</v>
      </c>
      <c r="W87" t="s">
        <v>235</v>
      </c>
      <c r="X87" t="str">
        <f>_xlfn.LET(_xlpm.str,"'DIL_",IF(LEFT(Table1[[#This Row],[name]],LEN(_xlpm.str))=_xlpm.str,_xlfn.TEXTBEFORE(_xlfn.TEXTBEFORE(_xlfn.TEXTAFTER(Table1[[#This Row],[name]],_xlpm.str),".",-1),"_",-1),""))</f>
        <v/>
      </c>
    </row>
    <row r="88" spans="13:24" x14ac:dyDescent="0.2">
      <c r="M88" s="2" t="s">
        <v>140</v>
      </c>
      <c r="N88" t="str">
        <v>trnaval_c</v>
      </c>
      <c r="O88" t="str">
        <v>trnaval_c</v>
      </c>
      <c r="P88" t="str">
        <f t="shared" si="1"/>
        <v>trnaval_c</v>
      </c>
      <c r="Q88" t="str">
        <v>0.28979</v>
      </c>
      <c r="U88" s="5" t="s">
        <v>1496</v>
      </c>
      <c r="V88" t="s">
        <v>872</v>
      </c>
      <c r="W88" t="s">
        <v>236</v>
      </c>
      <c r="X88" t="str">
        <f>_xlfn.LET(_xlpm.str,"'DIL_",IF(LEFT(Table1[[#This Row],[name]],LEN(_xlpm.str))=_xlpm.str,_xlfn.TEXTBEFORE(_xlfn.TEXTBEFORE(_xlfn.TEXTAFTER(Table1[[#This Row],[name]],_xlpm.str),".",-1),"_",-1),""))</f>
        <v/>
      </c>
    </row>
    <row r="89" spans="13:24" x14ac:dyDescent="0.2">
      <c r="M89" s="2" t="s">
        <v>141</v>
      </c>
      <c r="N89" t="str">
        <v>trptrna_c</v>
      </c>
      <c r="O89" t="str">
        <v>trp__L_c</v>
      </c>
      <c r="P89" t="str">
        <f t="shared" si="1"/>
        <v>trp__L_c</v>
      </c>
      <c r="Q89" t="str">
        <v>-0.025698</v>
      </c>
      <c r="U89" s="6" t="s">
        <v>1497</v>
      </c>
      <c r="V89" t="s">
        <v>873</v>
      </c>
      <c r="W89" t="s">
        <v>237</v>
      </c>
      <c r="X89" t="str">
        <f>_xlfn.LET(_xlpm.str,"'DIL_",IF(LEFT(Table1[[#This Row],[name]],LEN(_xlpm.str))=_xlpm.str,_xlfn.TEXTBEFORE(_xlfn.TEXTBEFORE(_xlfn.TEXTAFTER(Table1[[#This Row],[name]],_xlpm.str),".",-1),"_",-1),""))</f>
        <v/>
      </c>
    </row>
    <row r="90" spans="13:24" x14ac:dyDescent="0.2">
      <c r="M90" s="2" t="s">
        <v>142</v>
      </c>
      <c r="N90" t="str">
        <v>ttcosa_c</v>
      </c>
      <c r="O90" t="str">
        <v>ttcosa_c</v>
      </c>
      <c r="P90" t="str">
        <f t="shared" si="1"/>
        <v>ttcosa_c</v>
      </c>
      <c r="Q90" t="str">
        <v>-0.000252</v>
      </c>
      <c r="U90" s="5" t="s">
        <v>1498</v>
      </c>
      <c r="V90" t="s">
        <v>874</v>
      </c>
      <c r="W90" t="s">
        <v>238</v>
      </c>
      <c r="X90" t="str">
        <f>_xlfn.LET(_xlpm.str,"'DIL_",IF(LEFT(Table1[[#This Row],[name]],LEN(_xlpm.str))=_xlpm.str,_xlfn.TEXTBEFORE(_xlfn.TEXTBEFORE(_xlfn.TEXTAFTER(Table1[[#This Row],[name]],_xlpm.str),".",-1),"_",-1),""))</f>
        <v/>
      </c>
    </row>
    <row r="91" spans="13:24" x14ac:dyDescent="0.2">
      <c r="M91" s="2" t="s">
        <v>143</v>
      </c>
      <c r="N91" t="str">
        <v>tyrtrna_c</v>
      </c>
      <c r="O91" t="str">
        <v>tyr__L_c</v>
      </c>
      <c r="P91" t="str">
        <f t="shared" si="1"/>
        <v>tyr__L_c</v>
      </c>
      <c r="Q91" t="str">
        <v>-0.077488</v>
      </c>
      <c r="U91" s="6" t="s">
        <v>1499</v>
      </c>
      <c r="V91" t="s">
        <v>875</v>
      </c>
      <c r="W91" t="s">
        <v>239</v>
      </c>
      <c r="X91" t="str">
        <f>_xlfn.LET(_xlpm.str,"'DIL_",IF(LEFT(Table1[[#This Row],[name]],LEN(_xlpm.str))=_xlpm.str,_xlfn.TEXTBEFORE(_xlfn.TEXTBEFORE(_xlfn.TEXTAFTER(Table1[[#This Row],[name]],_xlpm.str),".",-1),"_",-1),""))</f>
        <v/>
      </c>
    </row>
    <row r="92" spans="13:24" x14ac:dyDescent="0.2">
      <c r="M92" s="2" t="s">
        <v>144</v>
      </c>
      <c r="N92" t="str">
        <v>utp_c</v>
      </c>
      <c r="O92" t="str">
        <v>utp_c</v>
      </c>
      <c r="P92" t="str">
        <f t="shared" si="1"/>
        <v>utp_c</v>
      </c>
      <c r="Q92" t="str">
        <v>-0.036971</v>
      </c>
      <c r="U92" s="5" t="s">
        <v>1500</v>
      </c>
      <c r="V92" t="s">
        <v>876</v>
      </c>
      <c r="W92" t="s">
        <v>240</v>
      </c>
      <c r="X92" t="str">
        <f>_xlfn.LET(_xlpm.str,"'DIL_",IF(LEFT(Table1[[#This Row],[name]],LEN(_xlpm.str))=_xlpm.str,_xlfn.TEXTBEFORE(_xlfn.TEXTBEFORE(_xlfn.TEXTAFTER(Table1[[#This Row],[name]],_xlpm.str),".",-1),"_",-1),""))</f>
        <v/>
      </c>
    </row>
    <row r="93" spans="13:24" x14ac:dyDescent="0.2">
      <c r="M93" s="2" t="s">
        <v>145</v>
      </c>
      <c r="N93" t="str">
        <v>valtrna_c</v>
      </c>
      <c r="O93" t="str">
        <v>val__L_c</v>
      </c>
      <c r="P93" t="str">
        <f t="shared" si="1"/>
        <v>val__L_c</v>
      </c>
      <c r="Q93" t="str">
        <v>-0.28979</v>
      </c>
      <c r="U93" s="6" t="s">
        <v>1501</v>
      </c>
      <c r="V93" t="s">
        <v>877</v>
      </c>
      <c r="W93" t="s">
        <v>241</v>
      </c>
      <c r="X93" t="str">
        <f>_xlfn.LET(_xlpm.str,"'DIL_",IF(LEFT(Table1[[#This Row],[name]],LEN(_xlpm.str))=_xlpm.str,_xlfn.TEXTBEFORE(_xlfn.TEXTBEFORE(_xlfn.TEXTAFTER(Table1[[#This Row],[name]],_xlpm.str),".",-1),"_",-1),""))</f>
        <v/>
      </c>
    </row>
    <row r="94" spans="13:24" x14ac:dyDescent="0.2">
      <c r="M94" s="2" t="s">
        <v>146</v>
      </c>
      <c r="N94" t="str">
        <v>zn2_c</v>
      </c>
      <c r="O94" t="str">
        <v>zn2_c</v>
      </c>
      <c r="P94" t="str">
        <f t="shared" si="1"/>
        <v>zn2_c</v>
      </c>
      <c r="Q94" t="str">
        <v>-0.001576</v>
      </c>
      <c r="U94" s="5" t="s">
        <v>1502</v>
      </c>
      <c r="V94" t="s">
        <v>878</v>
      </c>
      <c r="W94" t="s">
        <v>242</v>
      </c>
      <c r="X94" t="str">
        <f>_xlfn.LET(_xlpm.str,"'DIL_",IF(LEFT(Table1[[#This Row],[name]],LEN(_xlpm.str))=_xlpm.str,_xlfn.TEXTBEFORE(_xlfn.TEXTBEFORE(_xlfn.TEXTAFTER(Table1[[#This Row],[name]],_xlpm.str),".",-1),"_",-1),""))</f>
        <v/>
      </c>
    </row>
    <row r="95" spans="13:24" x14ac:dyDescent="0.2">
      <c r="U95" s="6" t="s">
        <v>1503</v>
      </c>
      <c r="V95" t="s">
        <v>879</v>
      </c>
      <c r="W95" t="s">
        <v>243</v>
      </c>
      <c r="X95" t="str">
        <f>_xlfn.LET(_xlpm.str,"'DIL_",IF(LEFT(Table1[[#This Row],[name]],LEN(_xlpm.str))=_xlpm.str,_xlfn.TEXTBEFORE(_xlfn.TEXTBEFORE(_xlfn.TEXTAFTER(Table1[[#This Row],[name]],_xlpm.str),".",-1),"_",-1),""))</f>
        <v/>
      </c>
    </row>
    <row r="96" spans="13:24" x14ac:dyDescent="0.2">
      <c r="U96" s="5" t="s">
        <v>1504</v>
      </c>
      <c r="V96" t="s">
        <v>880</v>
      </c>
      <c r="W96" t="s">
        <v>244</v>
      </c>
      <c r="X96" t="str">
        <f>_xlfn.LET(_xlpm.str,"'DIL_",IF(LEFT(Table1[[#This Row],[name]],LEN(_xlpm.str))=_xlpm.str,_xlfn.TEXTBEFORE(_xlfn.TEXTBEFORE(_xlfn.TEXTAFTER(Table1[[#This Row],[name]],_xlpm.str),".",-1),"_",-1),""))</f>
        <v/>
      </c>
    </row>
    <row r="97" spans="21:24" x14ac:dyDescent="0.2">
      <c r="U97" s="6" t="s">
        <v>1505</v>
      </c>
      <c r="V97" t="s">
        <v>881</v>
      </c>
      <c r="W97" t="s">
        <v>245</v>
      </c>
      <c r="X97" t="str">
        <f>_xlfn.LET(_xlpm.str,"'DIL_",IF(LEFT(Table1[[#This Row],[name]],LEN(_xlpm.str))=_xlpm.str,_xlfn.TEXTBEFORE(_xlfn.TEXTBEFORE(_xlfn.TEXTAFTER(Table1[[#This Row],[name]],_xlpm.str),".",-1),"_",-1),""))</f>
        <v/>
      </c>
    </row>
    <row r="98" spans="21:24" x14ac:dyDescent="0.2">
      <c r="U98" s="5" t="s">
        <v>1506</v>
      </c>
      <c r="V98" t="s">
        <v>882</v>
      </c>
      <c r="W98" t="s">
        <v>246</v>
      </c>
      <c r="X98" t="str">
        <f>_xlfn.LET(_xlpm.str,"'DIL_",IF(LEFT(Table1[[#This Row],[name]],LEN(_xlpm.str))=_xlpm.str,_xlfn.TEXTBEFORE(_xlfn.TEXTBEFORE(_xlfn.TEXTAFTER(Table1[[#This Row],[name]],_xlpm.str),".",-1),"_",-1),""))</f>
        <v/>
      </c>
    </row>
    <row r="99" spans="21:24" x14ac:dyDescent="0.2">
      <c r="U99" s="6" t="s">
        <v>1507</v>
      </c>
      <c r="V99" t="s">
        <v>883</v>
      </c>
      <c r="W99" t="s">
        <v>247</v>
      </c>
      <c r="X99" t="str">
        <f>_xlfn.LET(_xlpm.str,"'DIL_",IF(LEFT(Table1[[#This Row],[name]],LEN(_xlpm.str))=_xlpm.str,_xlfn.TEXTBEFORE(_xlfn.TEXTBEFORE(_xlfn.TEXTAFTER(Table1[[#This Row],[name]],_xlpm.str),".",-1),"_",-1),""))</f>
        <v/>
      </c>
    </row>
    <row r="100" spans="21:24" x14ac:dyDescent="0.2">
      <c r="U100" s="5" t="s">
        <v>1508</v>
      </c>
      <c r="V100" t="s">
        <v>884</v>
      </c>
      <c r="W100" t="s">
        <v>248</v>
      </c>
      <c r="X100" t="str">
        <f>_xlfn.LET(_xlpm.str,"'DIL_",IF(LEFT(Table1[[#This Row],[name]],LEN(_xlpm.str))=_xlpm.str,_xlfn.TEXTBEFORE(_xlfn.TEXTBEFORE(_xlfn.TEXTAFTER(Table1[[#This Row],[name]],_xlpm.str),".",-1),"_",-1),""))</f>
        <v/>
      </c>
    </row>
    <row r="101" spans="21:24" x14ac:dyDescent="0.2">
      <c r="U101" s="6" t="s">
        <v>1509</v>
      </c>
      <c r="V101" t="s">
        <v>885</v>
      </c>
      <c r="W101" t="s">
        <v>249</v>
      </c>
      <c r="X101" t="str">
        <f>_xlfn.LET(_xlpm.str,"'DIL_",IF(LEFT(Table1[[#This Row],[name]],LEN(_xlpm.str))=_xlpm.str,_xlfn.TEXTBEFORE(_xlfn.TEXTBEFORE(_xlfn.TEXTAFTER(Table1[[#This Row],[name]],_xlpm.str),".",-1),"_",-1),""))</f>
        <v/>
      </c>
    </row>
    <row r="102" spans="21:24" x14ac:dyDescent="0.2">
      <c r="U102" s="5" t="s">
        <v>1510</v>
      </c>
      <c r="V102" t="s">
        <v>886</v>
      </c>
      <c r="W102" t="s">
        <v>250</v>
      </c>
      <c r="X102" t="str">
        <f>_xlfn.LET(_xlpm.str,"'DIL_",IF(LEFT(Table1[[#This Row],[name]],LEN(_xlpm.str))=_xlpm.str,_xlfn.TEXTBEFORE(_xlfn.TEXTBEFORE(_xlfn.TEXTAFTER(Table1[[#This Row],[name]],_xlpm.str),".",-1),"_",-1),""))</f>
        <v/>
      </c>
    </row>
    <row r="103" spans="21:24" x14ac:dyDescent="0.2">
      <c r="U103" s="6" t="s">
        <v>1511</v>
      </c>
      <c r="V103" t="s">
        <v>887</v>
      </c>
      <c r="W103" t="s">
        <v>251</v>
      </c>
      <c r="X103" t="str">
        <f>_xlfn.LET(_xlpm.str,"'DIL_",IF(LEFT(Table1[[#This Row],[name]],LEN(_xlpm.str))=_xlpm.str,_xlfn.TEXTBEFORE(_xlfn.TEXTBEFORE(_xlfn.TEXTAFTER(Table1[[#This Row],[name]],_xlpm.str),".",-1),"_",-1),""))</f>
        <v/>
      </c>
    </row>
    <row r="104" spans="21:24" x14ac:dyDescent="0.2">
      <c r="U104" s="5" t="s">
        <v>1512</v>
      </c>
      <c r="V104" t="s">
        <v>888</v>
      </c>
      <c r="W104" t="s">
        <v>252</v>
      </c>
      <c r="X104" t="str">
        <f>_xlfn.LET(_xlpm.str,"'DIL_",IF(LEFT(Table1[[#This Row],[name]],LEN(_xlpm.str))=_xlpm.str,_xlfn.TEXTBEFORE(_xlfn.TEXTBEFORE(_xlfn.TEXTAFTER(Table1[[#This Row],[name]],_xlpm.str),".",-1),"_",-1),""))</f>
        <v/>
      </c>
    </row>
    <row r="105" spans="21:24" x14ac:dyDescent="0.2">
      <c r="U105" s="6" t="s">
        <v>1513</v>
      </c>
      <c r="V105" t="s">
        <v>889</v>
      </c>
      <c r="W105" t="s">
        <v>253</v>
      </c>
      <c r="X105" t="str">
        <f>_xlfn.LET(_xlpm.str,"'DIL_",IF(LEFT(Table1[[#This Row],[name]],LEN(_xlpm.str))=_xlpm.str,_xlfn.TEXTBEFORE(_xlfn.TEXTBEFORE(_xlfn.TEXTAFTER(Table1[[#This Row],[name]],_xlpm.str),".",-1),"_",-1),""))</f>
        <v/>
      </c>
    </row>
    <row r="106" spans="21:24" x14ac:dyDescent="0.2">
      <c r="U106" s="5" t="s">
        <v>1514</v>
      </c>
      <c r="V106" t="s">
        <v>890</v>
      </c>
      <c r="W106" t="s">
        <v>254</v>
      </c>
      <c r="X106" t="str">
        <f>_xlfn.LET(_xlpm.str,"'DIL_",IF(LEFT(Table1[[#This Row],[name]],LEN(_xlpm.str))=_xlpm.str,_xlfn.TEXTBEFORE(_xlfn.TEXTBEFORE(_xlfn.TEXTAFTER(Table1[[#This Row],[name]],_xlpm.str),".",-1),"_",-1),""))</f>
        <v/>
      </c>
    </row>
    <row r="107" spans="21:24" x14ac:dyDescent="0.2">
      <c r="U107" s="6" t="s">
        <v>1515</v>
      </c>
      <c r="V107" t="s">
        <v>891</v>
      </c>
      <c r="W107" t="s">
        <v>255</v>
      </c>
      <c r="X107" t="str">
        <f>_xlfn.LET(_xlpm.str,"'DIL_",IF(LEFT(Table1[[#This Row],[name]],LEN(_xlpm.str))=_xlpm.str,_xlfn.TEXTBEFORE(_xlfn.TEXTBEFORE(_xlfn.TEXTAFTER(Table1[[#This Row],[name]],_xlpm.str),".",-1),"_",-1),""))</f>
        <v/>
      </c>
    </row>
    <row r="108" spans="21:24" x14ac:dyDescent="0.2">
      <c r="U108" s="5" t="s">
        <v>1516</v>
      </c>
      <c r="V108" t="s">
        <v>892</v>
      </c>
      <c r="W108" t="s">
        <v>256</v>
      </c>
      <c r="X108" t="str">
        <f>_xlfn.LET(_xlpm.str,"'DIL_",IF(LEFT(Table1[[#This Row],[name]],LEN(_xlpm.str))=_xlpm.str,_xlfn.TEXTBEFORE(_xlfn.TEXTBEFORE(_xlfn.TEXTAFTER(Table1[[#This Row],[name]],_xlpm.str),".",-1),"_",-1),""))</f>
        <v/>
      </c>
    </row>
    <row r="109" spans="21:24" x14ac:dyDescent="0.2">
      <c r="U109" s="6" t="s">
        <v>1517</v>
      </c>
      <c r="V109" t="s">
        <v>893</v>
      </c>
      <c r="W109" t="s">
        <v>257</v>
      </c>
      <c r="X109" t="str">
        <f>_xlfn.LET(_xlpm.str,"'DIL_",IF(LEFT(Table1[[#This Row],[name]],LEN(_xlpm.str))=_xlpm.str,_xlfn.TEXTBEFORE(_xlfn.TEXTBEFORE(_xlfn.TEXTAFTER(Table1[[#This Row],[name]],_xlpm.str),".",-1),"_",-1),""))</f>
        <v/>
      </c>
    </row>
    <row r="110" spans="21:24" x14ac:dyDescent="0.2">
      <c r="U110" s="5" t="s">
        <v>1518</v>
      </c>
      <c r="V110" t="s">
        <v>894</v>
      </c>
      <c r="W110" t="s">
        <v>258</v>
      </c>
      <c r="X110" t="str">
        <f>_xlfn.LET(_xlpm.str,"'DIL_",IF(LEFT(Table1[[#This Row],[name]],LEN(_xlpm.str))=_xlpm.str,_xlfn.TEXTBEFORE(_xlfn.TEXTBEFORE(_xlfn.TEXTAFTER(Table1[[#This Row],[name]],_xlpm.str),".",-1),"_",-1),""))</f>
        <v/>
      </c>
    </row>
    <row r="111" spans="21:24" x14ac:dyDescent="0.2">
      <c r="U111" s="6" t="s">
        <v>1519</v>
      </c>
      <c r="V111" t="s">
        <v>895</v>
      </c>
      <c r="W111" t="s">
        <v>259</v>
      </c>
      <c r="X111" t="str">
        <f>_xlfn.LET(_xlpm.str,"'DIL_",IF(LEFT(Table1[[#This Row],[name]],LEN(_xlpm.str))=_xlpm.str,_xlfn.TEXTBEFORE(_xlfn.TEXTBEFORE(_xlfn.TEXTAFTER(Table1[[#This Row],[name]],_xlpm.str),".",-1),"_",-1),""))</f>
        <v/>
      </c>
    </row>
    <row r="112" spans="21:24" x14ac:dyDescent="0.2">
      <c r="U112" s="5" t="s">
        <v>1520</v>
      </c>
      <c r="V112" t="s">
        <v>896</v>
      </c>
      <c r="W112" t="s">
        <v>260</v>
      </c>
      <c r="X112" t="str">
        <f>_xlfn.LET(_xlpm.str,"'DIL_",IF(LEFT(Table1[[#This Row],[name]],LEN(_xlpm.str))=_xlpm.str,_xlfn.TEXTBEFORE(_xlfn.TEXTBEFORE(_xlfn.TEXTAFTER(Table1[[#This Row],[name]],_xlpm.str),".",-1),"_",-1),""))</f>
        <v/>
      </c>
    </row>
    <row r="113" spans="21:24" x14ac:dyDescent="0.2">
      <c r="U113" s="6" t="s">
        <v>1521</v>
      </c>
      <c r="V113" t="s">
        <v>897</v>
      </c>
      <c r="W113" t="s">
        <v>261</v>
      </c>
      <c r="X113" t="str">
        <f>_xlfn.LET(_xlpm.str,"'DIL_",IF(LEFT(Table1[[#This Row],[name]],LEN(_xlpm.str))=_xlpm.str,_xlfn.TEXTBEFORE(_xlfn.TEXTBEFORE(_xlfn.TEXTAFTER(Table1[[#This Row],[name]],_xlpm.str),".",-1),"_",-1),""))</f>
        <v/>
      </c>
    </row>
    <row r="114" spans="21:24" x14ac:dyDescent="0.2">
      <c r="U114" s="5" t="s">
        <v>1522</v>
      </c>
      <c r="V114" t="s">
        <v>898</v>
      </c>
      <c r="W114" t="s">
        <v>262</v>
      </c>
      <c r="X114" t="str">
        <f>_xlfn.LET(_xlpm.str,"'DIL_",IF(LEFT(Table1[[#This Row],[name]],LEN(_xlpm.str))=_xlpm.str,_xlfn.TEXTBEFORE(_xlfn.TEXTBEFORE(_xlfn.TEXTAFTER(Table1[[#This Row],[name]],_xlpm.str),".",-1),"_",-1),""))</f>
        <v/>
      </c>
    </row>
    <row r="115" spans="21:24" x14ac:dyDescent="0.2">
      <c r="U115" s="6" t="s">
        <v>1523</v>
      </c>
      <c r="V115" t="s">
        <v>899</v>
      </c>
      <c r="W115" t="s">
        <v>263</v>
      </c>
      <c r="X115" t="str">
        <f>_xlfn.LET(_xlpm.str,"'DIL_",IF(LEFT(Table1[[#This Row],[name]],LEN(_xlpm.str))=_xlpm.str,_xlfn.TEXTBEFORE(_xlfn.TEXTBEFORE(_xlfn.TEXTAFTER(Table1[[#This Row],[name]],_xlpm.str),".",-1),"_",-1),""))</f>
        <v/>
      </c>
    </row>
    <row r="116" spans="21:24" x14ac:dyDescent="0.2">
      <c r="U116" s="5" t="s">
        <v>1524</v>
      </c>
      <c r="V116" t="s">
        <v>900</v>
      </c>
      <c r="W116" t="s">
        <v>264</v>
      </c>
      <c r="X116" t="str">
        <f>_xlfn.LET(_xlpm.str,"'DIL_",IF(LEFT(Table1[[#This Row],[name]],LEN(_xlpm.str))=_xlpm.str,_xlfn.TEXTBEFORE(_xlfn.TEXTBEFORE(_xlfn.TEXTAFTER(Table1[[#This Row],[name]],_xlpm.str),".",-1),"_",-1),""))</f>
        <v/>
      </c>
    </row>
    <row r="117" spans="21:24" x14ac:dyDescent="0.2">
      <c r="U117" s="6" t="s">
        <v>1525</v>
      </c>
      <c r="V117" t="s">
        <v>901</v>
      </c>
      <c r="W117" t="s">
        <v>265</v>
      </c>
      <c r="X117" t="str">
        <f>_xlfn.LET(_xlpm.str,"'DIL_",IF(LEFT(Table1[[#This Row],[name]],LEN(_xlpm.str))=_xlpm.str,_xlfn.TEXTBEFORE(_xlfn.TEXTBEFORE(_xlfn.TEXTAFTER(Table1[[#This Row],[name]],_xlpm.str),".",-1),"_",-1),""))</f>
        <v/>
      </c>
    </row>
    <row r="118" spans="21:24" x14ac:dyDescent="0.2">
      <c r="U118" s="5" t="s">
        <v>1526</v>
      </c>
      <c r="V118" t="s">
        <v>902</v>
      </c>
      <c r="W118" t="s">
        <v>266</v>
      </c>
      <c r="X118" t="str">
        <f>_xlfn.LET(_xlpm.str,"'DIL_",IF(LEFT(Table1[[#This Row],[name]],LEN(_xlpm.str))=_xlpm.str,_xlfn.TEXTBEFORE(_xlfn.TEXTBEFORE(_xlfn.TEXTAFTER(Table1[[#This Row],[name]],_xlpm.str),".",-1),"_",-1),""))</f>
        <v/>
      </c>
    </row>
    <row r="119" spans="21:24" x14ac:dyDescent="0.2">
      <c r="U119" s="6" t="s">
        <v>1527</v>
      </c>
      <c r="V119" t="s">
        <v>903</v>
      </c>
      <c r="W119" t="s">
        <v>267</v>
      </c>
      <c r="X119" t="str">
        <f>_xlfn.LET(_xlpm.str,"'DIL_",IF(LEFT(Table1[[#This Row],[name]],LEN(_xlpm.str))=_xlpm.str,_xlfn.TEXTBEFORE(_xlfn.TEXTBEFORE(_xlfn.TEXTAFTER(Table1[[#This Row],[name]],_xlpm.str),".",-1),"_",-1),""))</f>
        <v/>
      </c>
    </row>
    <row r="120" spans="21:24" x14ac:dyDescent="0.2">
      <c r="U120" s="5" t="s">
        <v>1528</v>
      </c>
      <c r="V120" t="s">
        <v>904</v>
      </c>
      <c r="W120" t="s">
        <v>268</v>
      </c>
      <c r="X120" t="str">
        <f>_xlfn.LET(_xlpm.str,"'DIL_",IF(LEFT(Table1[[#This Row],[name]],LEN(_xlpm.str))=_xlpm.str,_xlfn.TEXTBEFORE(_xlfn.TEXTBEFORE(_xlfn.TEXTAFTER(Table1[[#This Row],[name]],_xlpm.str),".",-1),"_",-1),""))</f>
        <v/>
      </c>
    </row>
    <row r="121" spans="21:24" x14ac:dyDescent="0.2">
      <c r="U121" s="6" t="s">
        <v>1529</v>
      </c>
      <c r="V121" t="s">
        <v>905</v>
      </c>
      <c r="W121" t="s">
        <v>269</v>
      </c>
      <c r="X121" t="str">
        <f>_xlfn.LET(_xlpm.str,"'DIL_",IF(LEFT(Table1[[#This Row],[name]],LEN(_xlpm.str))=_xlpm.str,_xlfn.TEXTBEFORE(_xlfn.TEXTBEFORE(_xlfn.TEXTAFTER(Table1[[#This Row],[name]],_xlpm.str),".",-1),"_",-1),""))</f>
        <v/>
      </c>
    </row>
    <row r="122" spans="21:24" x14ac:dyDescent="0.2">
      <c r="U122" s="5" t="s">
        <v>1530</v>
      </c>
      <c r="V122" t="s">
        <v>906</v>
      </c>
      <c r="W122" t="s">
        <v>270</v>
      </c>
      <c r="X122" t="str">
        <f>_xlfn.LET(_xlpm.str,"'DIL_",IF(LEFT(Table1[[#This Row],[name]],LEN(_xlpm.str))=_xlpm.str,_xlfn.TEXTBEFORE(_xlfn.TEXTBEFORE(_xlfn.TEXTAFTER(Table1[[#This Row],[name]],_xlpm.str),".",-1),"_",-1),""))</f>
        <v/>
      </c>
    </row>
    <row r="123" spans="21:24" x14ac:dyDescent="0.2">
      <c r="U123" s="6" t="s">
        <v>1531</v>
      </c>
      <c r="V123" t="s">
        <v>907</v>
      </c>
      <c r="W123" t="s">
        <v>271</v>
      </c>
      <c r="X123" t="str">
        <f>_xlfn.LET(_xlpm.str,"'DIL_",IF(LEFT(Table1[[#This Row],[name]],LEN(_xlpm.str))=_xlpm.str,_xlfn.TEXTBEFORE(_xlfn.TEXTBEFORE(_xlfn.TEXTAFTER(Table1[[#This Row],[name]],_xlpm.str),".",-1),"_",-1),""))</f>
        <v/>
      </c>
    </row>
    <row r="124" spans="21:24" x14ac:dyDescent="0.2">
      <c r="U124" s="5" t="s">
        <v>1532</v>
      </c>
      <c r="V124" t="s">
        <v>908</v>
      </c>
      <c r="W124" t="s">
        <v>272</v>
      </c>
      <c r="X124" t="str">
        <f>_xlfn.LET(_xlpm.str,"'DIL_",IF(LEFT(Table1[[#This Row],[name]],LEN(_xlpm.str))=_xlpm.str,_xlfn.TEXTBEFORE(_xlfn.TEXTBEFORE(_xlfn.TEXTAFTER(Table1[[#This Row],[name]],_xlpm.str),".",-1),"_",-1),""))</f>
        <v/>
      </c>
    </row>
    <row r="125" spans="21:24" x14ac:dyDescent="0.2">
      <c r="U125" s="6" t="s">
        <v>1533</v>
      </c>
      <c r="V125" t="s">
        <v>909</v>
      </c>
      <c r="W125" t="s">
        <v>273</v>
      </c>
      <c r="X125" t="str">
        <f>_xlfn.LET(_xlpm.str,"'DIL_",IF(LEFT(Table1[[#This Row],[name]],LEN(_xlpm.str))=_xlpm.str,_xlfn.TEXTBEFORE(_xlfn.TEXTBEFORE(_xlfn.TEXTAFTER(Table1[[#This Row],[name]],_xlpm.str),".",-1),"_",-1),""))</f>
        <v/>
      </c>
    </row>
    <row r="126" spans="21:24" x14ac:dyDescent="0.2">
      <c r="U126" s="5" t="s">
        <v>1534</v>
      </c>
      <c r="V126" t="s">
        <v>910</v>
      </c>
      <c r="W126" t="s">
        <v>274</v>
      </c>
      <c r="X126" t="str">
        <f>_xlfn.LET(_xlpm.str,"'DIL_",IF(LEFT(Table1[[#This Row],[name]],LEN(_xlpm.str))=_xlpm.str,_xlfn.TEXTBEFORE(_xlfn.TEXTBEFORE(_xlfn.TEXTAFTER(Table1[[#This Row],[name]],_xlpm.str),".",-1),"_",-1),""))</f>
        <v/>
      </c>
    </row>
    <row r="127" spans="21:24" x14ac:dyDescent="0.2">
      <c r="U127" s="6" t="s">
        <v>1535</v>
      </c>
      <c r="V127" t="s">
        <v>911</v>
      </c>
      <c r="W127" t="s">
        <v>275</v>
      </c>
      <c r="X127" t="str">
        <f>_xlfn.LET(_xlpm.str,"'DIL_",IF(LEFT(Table1[[#This Row],[name]],LEN(_xlpm.str))=_xlpm.str,_xlfn.TEXTBEFORE(_xlfn.TEXTBEFORE(_xlfn.TEXTAFTER(Table1[[#This Row],[name]],_xlpm.str),".",-1),"_",-1),""))</f>
        <v/>
      </c>
    </row>
    <row r="128" spans="21:24" x14ac:dyDescent="0.2">
      <c r="U128" s="5" t="s">
        <v>1536</v>
      </c>
      <c r="V128" t="s">
        <v>912</v>
      </c>
      <c r="W128" t="s">
        <v>276</v>
      </c>
      <c r="X128" t="str">
        <f>_xlfn.LET(_xlpm.str,"'DIL_",IF(LEFT(Table1[[#This Row],[name]],LEN(_xlpm.str))=_xlpm.str,_xlfn.TEXTBEFORE(_xlfn.TEXTBEFORE(_xlfn.TEXTAFTER(Table1[[#This Row],[name]],_xlpm.str),".",-1),"_",-1),""))</f>
        <v/>
      </c>
    </row>
    <row r="129" spans="21:24" x14ac:dyDescent="0.2">
      <c r="U129" s="6" t="s">
        <v>1537</v>
      </c>
      <c r="V129" t="s">
        <v>913</v>
      </c>
      <c r="W129" t="s">
        <v>277</v>
      </c>
      <c r="X129" t="str">
        <f>_xlfn.LET(_xlpm.str,"'DIL_",IF(LEFT(Table1[[#This Row],[name]],LEN(_xlpm.str))=_xlpm.str,_xlfn.TEXTBEFORE(_xlfn.TEXTBEFORE(_xlfn.TEXTAFTER(Table1[[#This Row],[name]],_xlpm.str),".",-1),"_",-1),""))</f>
        <v/>
      </c>
    </row>
    <row r="130" spans="21:24" x14ac:dyDescent="0.2">
      <c r="U130" s="5" t="s">
        <v>1538</v>
      </c>
      <c r="V130" t="s">
        <v>914</v>
      </c>
      <c r="W130" t="s">
        <v>278</v>
      </c>
      <c r="X130" t="str">
        <f>_xlfn.LET(_xlpm.str,"'DIL_",IF(LEFT(Table1[[#This Row],[name]],LEN(_xlpm.str))=_xlpm.str,_xlfn.TEXTBEFORE(_xlfn.TEXTBEFORE(_xlfn.TEXTAFTER(Table1[[#This Row],[name]],_xlpm.str),".",-1),"_",-1),""))</f>
        <v/>
      </c>
    </row>
    <row r="131" spans="21:24" x14ac:dyDescent="0.2">
      <c r="U131" s="6" t="s">
        <v>1539</v>
      </c>
      <c r="V131" t="s">
        <v>915</v>
      </c>
      <c r="W131" t="s">
        <v>279</v>
      </c>
      <c r="X131" t="str">
        <f>_xlfn.LET(_xlpm.str,"'DIL_",IF(LEFT(Table1[[#This Row],[name]],LEN(_xlpm.str))=_xlpm.str,_xlfn.TEXTBEFORE(_xlfn.TEXTBEFORE(_xlfn.TEXTAFTER(Table1[[#This Row],[name]],_xlpm.str),".",-1),"_",-1),""))</f>
        <v/>
      </c>
    </row>
    <row r="132" spans="21:24" x14ac:dyDescent="0.2">
      <c r="U132" s="5" t="s">
        <v>1540</v>
      </c>
      <c r="V132" t="s">
        <v>915</v>
      </c>
      <c r="W132" t="s">
        <v>280</v>
      </c>
      <c r="X132" t="str">
        <f>_xlfn.LET(_xlpm.str,"'DIL_",IF(LEFT(Table1[[#This Row],[name]],LEN(_xlpm.str))=_xlpm.str,_xlfn.TEXTBEFORE(_xlfn.TEXTBEFORE(_xlfn.TEXTAFTER(Table1[[#This Row],[name]],_xlpm.str),".",-1),"_",-1),""))</f>
        <v/>
      </c>
    </row>
    <row r="133" spans="21:24" x14ac:dyDescent="0.2">
      <c r="U133" s="6" t="s">
        <v>1541</v>
      </c>
      <c r="V133" t="s">
        <v>916</v>
      </c>
      <c r="W133" t="s">
        <v>281</v>
      </c>
      <c r="X133" t="str">
        <f>_xlfn.LET(_xlpm.str,"'DIL_",IF(LEFT(Table1[[#This Row],[name]],LEN(_xlpm.str))=_xlpm.str,_xlfn.TEXTBEFORE(_xlfn.TEXTBEFORE(_xlfn.TEXTAFTER(Table1[[#This Row],[name]],_xlpm.str),".",-1),"_",-1),""))</f>
        <v/>
      </c>
    </row>
    <row r="134" spans="21:24" x14ac:dyDescent="0.2">
      <c r="U134" s="5" t="s">
        <v>1542</v>
      </c>
      <c r="V134" t="s">
        <v>917</v>
      </c>
      <c r="W134" t="s">
        <v>282</v>
      </c>
      <c r="X134" t="str">
        <f>_xlfn.LET(_xlpm.str,"'DIL_",IF(LEFT(Table1[[#This Row],[name]],LEN(_xlpm.str))=_xlpm.str,_xlfn.TEXTBEFORE(_xlfn.TEXTBEFORE(_xlfn.TEXTAFTER(Table1[[#This Row],[name]],_xlpm.str),".",-1),"_",-1),""))</f>
        <v/>
      </c>
    </row>
    <row r="135" spans="21:24" x14ac:dyDescent="0.2">
      <c r="U135" s="6" t="s">
        <v>1543</v>
      </c>
      <c r="V135" t="s">
        <v>918</v>
      </c>
      <c r="W135" t="s">
        <v>283</v>
      </c>
      <c r="X135" t="str">
        <f>_xlfn.LET(_xlpm.str,"'DIL_",IF(LEFT(Table1[[#This Row],[name]],LEN(_xlpm.str))=_xlpm.str,_xlfn.TEXTBEFORE(_xlfn.TEXTBEFORE(_xlfn.TEXTAFTER(Table1[[#This Row],[name]],_xlpm.str),".",-1),"_",-1),""))</f>
        <v/>
      </c>
    </row>
    <row r="136" spans="21:24" x14ac:dyDescent="0.2">
      <c r="U136" s="5" t="s">
        <v>1544</v>
      </c>
      <c r="V136" t="s">
        <v>919</v>
      </c>
      <c r="W136" t="s">
        <v>284</v>
      </c>
      <c r="X136" t="str">
        <f>_xlfn.LET(_xlpm.str,"'DIL_",IF(LEFT(Table1[[#This Row],[name]],LEN(_xlpm.str))=_xlpm.str,_xlfn.TEXTBEFORE(_xlfn.TEXTBEFORE(_xlfn.TEXTAFTER(Table1[[#This Row],[name]],_xlpm.str),".",-1),"_",-1),""))</f>
        <v/>
      </c>
    </row>
    <row r="137" spans="21:24" x14ac:dyDescent="0.2">
      <c r="U137" s="6" t="s">
        <v>1545</v>
      </c>
      <c r="V137" t="s">
        <v>920</v>
      </c>
      <c r="W137" t="s">
        <v>285</v>
      </c>
      <c r="X137" t="str">
        <f>_xlfn.LET(_xlpm.str,"'DIL_",IF(LEFT(Table1[[#This Row],[name]],LEN(_xlpm.str))=_xlpm.str,_xlfn.TEXTBEFORE(_xlfn.TEXTBEFORE(_xlfn.TEXTAFTER(Table1[[#This Row],[name]],_xlpm.str),".",-1),"_",-1),""))</f>
        <v/>
      </c>
    </row>
    <row r="138" spans="21:24" x14ac:dyDescent="0.2">
      <c r="U138" s="5" t="s">
        <v>1546</v>
      </c>
      <c r="V138" t="s">
        <v>921</v>
      </c>
      <c r="W138" t="s">
        <v>286</v>
      </c>
      <c r="X138" t="str">
        <f>_xlfn.LET(_xlpm.str,"'DIL_",IF(LEFT(Table1[[#This Row],[name]],LEN(_xlpm.str))=_xlpm.str,_xlfn.TEXTBEFORE(_xlfn.TEXTBEFORE(_xlfn.TEXTAFTER(Table1[[#This Row],[name]],_xlpm.str),".",-1),"_",-1),""))</f>
        <v/>
      </c>
    </row>
    <row r="139" spans="21:24" x14ac:dyDescent="0.2">
      <c r="U139" s="6" t="s">
        <v>1547</v>
      </c>
      <c r="V139" t="s">
        <v>922</v>
      </c>
      <c r="W139" t="s">
        <v>287</v>
      </c>
      <c r="X139" t="str">
        <f>_xlfn.LET(_xlpm.str,"'DIL_",IF(LEFT(Table1[[#This Row],[name]],LEN(_xlpm.str))=_xlpm.str,_xlfn.TEXTBEFORE(_xlfn.TEXTBEFORE(_xlfn.TEXTAFTER(Table1[[#This Row],[name]],_xlpm.str),".",-1),"_",-1),""))</f>
        <v/>
      </c>
    </row>
    <row r="140" spans="21:24" x14ac:dyDescent="0.2">
      <c r="U140" s="5" t="s">
        <v>1548</v>
      </c>
      <c r="V140" t="s">
        <v>923</v>
      </c>
      <c r="W140" t="s">
        <v>288</v>
      </c>
      <c r="X140" t="str">
        <f>_xlfn.LET(_xlpm.str,"'DIL_",IF(LEFT(Table1[[#This Row],[name]],LEN(_xlpm.str))=_xlpm.str,_xlfn.TEXTBEFORE(_xlfn.TEXTBEFORE(_xlfn.TEXTAFTER(Table1[[#This Row],[name]],_xlpm.str),".",-1),"_",-1),""))</f>
        <v/>
      </c>
    </row>
    <row r="141" spans="21:24" x14ac:dyDescent="0.2">
      <c r="U141" s="6" t="s">
        <v>1549</v>
      </c>
      <c r="V141" t="s">
        <v>924</v>
      </c>
      <c r="W141" t="s">
        <v>289</v>
      </c>
      <c r="X141" t="str">
        <f>_xlfn.LET(_xlpm.str,"'DIL_",IF(LEFT(Table1[[#This Row],[name]],LEN(_xlpm.str))=_xlpm.str,_xlfn.TEXTBEFORE(_xlfn.TEXTBEFORE(_xlfn.TEXTAFTER(Table1[[#This Row],[name]],_xlpm.str),".",-1),"_",-1),""))</f>
        <v/>
      </c>
    </row>
    <row r="142" spans="21:24" x14ac:dyDescent="0.2">
      <c r="U142" s="5" t="s">
        <v>1550</v>
      </c>
      <c r="V142" t="s">
        <v>925</v>
      </c>
      <c r="W142" t="s">
        <v>290</v>
      </c>
      <c r="X142" t="str">
        <f>_xlfn.LET(_xlpm.str,"'DIL_",IF(LEFT(Table1[[#This Row],[name]],LEN(_xlpm.str))=_xlpm.str,_xlfn.TEXTBEFORE(_xlfn.TEXTBEFORE(_xlfn.TEXTAFTER(Table1[[#This Row],[name]],_xlpm.str),".",-1),"_",-1),""))</f>
        <v/>
      </c>
    </row>
    <row r="143" spans="21:24" x14ac:dyDescent="0.2">
      <c r="U143" s="6" t="s">
        <v>1551</v>
      </c>
      <c r="V143" t="s">
        <v>926</v>
      </c>
      <c r="W143" t="s">
        <v>291</v>
      </c>
      <c r="X143" t="str">
        <f>_xlfn.LET(_xlpm.str,"'DIL_",IF(LEFT(Table1[[#This Row],[name]],LEN(_xlpm.str))=_xlpm.str,_xlfn.TEXTBEFORE(_xlfn.TEXTBEFORE(_xlfn.TEXTAFTER(Table1[[#This Row],[name]],_xlpm.str),".",-1),"_",-1),""))</f>
        <v/>
      </c>
    </row>
    <row r="144" spans="21:24" x14ac:dyDescent="0.2">
      <c r="U144" s="5" t="s">
        <v>1552</v>
      </c>
      <c r="V144" t="s">
        <v>927</v>
      </c>
      <c r="W144" t="s">
        <v>292</v>
      </c>
      <c r="X144" t="str">
        <f>_xlfn.LET(_xlpm.str,"'DIL_",IF(LEFT(Table1[[#This Row],[name]],LEN(_xlpm.str))=_xlpm.str,_xlfn.TEXTBEFORE(_xlfn.TEXTBEFORE(_xlfn.TEXTAFTER(Table1[[#This Row],[name]],_xlpm.str),".",-1),"_",-1),""))</f>
        <v/>
      </c>
    </row>
    <row r="145" spans="21:24" x14ac:dyDescent="0.2">
      <c r="U145" s="6" t="s">
        <v>1553</v>
      </c>
      <c r="V145" t="s">
        <v>928</v>
      </c>
      <c r="W145" t="s">
        <v>293</v>
      </c>
      <c r="X145" t="str">
        <f>_xlfn.LET(_xlpm.str,"'DIL_",IF(LEFT(Table1[[#This Row],[name]],LEN(_xlpm.str))=_xlpm.str,_xlfn.TEXTBEFORE(_xlfn.TEXTBEFORE(_xlfn.TEXTAFTER(Table1[[#This Row],[name]],_xlpm.str),".",-1),"_",-1),""))</f>
        <v/>
      </c>
    </row>
    <row r="146" spans="21:24" x14ac:dyDescent="0.2">
      <c r="U146" s="5" t="s">
        <v>1554</v>
      </c>
      <c r="V146" t="s">
        <v>929</v>
      </c>
      <c r="W146" t="s">
        <v>294</v>
      </c>
      <c r="X146" t="str">
        <f>_xlfn.LET(_xlpm.str,"'DIL_",IF(LEFT(Table1[[#This Row],[name]],LEN(_xlpm.str))=_xlpm.str,_xlfn.TEXTBEFORE(_xlfn.TEXTBEFORE(_xlfn.TEXTAFTER(Table1[[#This Row],[name]],_xlpm.str),".",-1),"_",-1),""))</f>
        <v/>
      </c>
    </row>
    <row r="147" spans="21:24" x14ac:dyDescent="0.2">
      <c r="U147" s="6" t="s">
        <v>1555</v>
      </c>
      <c r="V147" t="s">
        <v>930</v>
      </c>
      <c r="W147" t="s">
        <v>295</v>
      </c>
      <c r="X147" t="str">
        <f>_xlfn.LET(_xlpm.str,"'DIL_",IF(LEFT(Table1[[#This Row],[name]],LEN(_xlpm.str))=_xlpm.str,_xlfn.TEXTBEFORE(_xlfn.TEXTBEFORE(_xlfn.TEXTAFTER(Table1[[#This Row],[name]],_xlpm.str),".",-1),"_",-1),""))</f>
        <v/>
      </c>
    </row>
    <row r="148" spans="21:24" x14ac:dyDescent="0.2">
      <c r="U148" s="5" t="s">
        <v>1556</v>
      </c>
      <c r="V148" t="s">
        <v>931</v>
      </c>
      <c r="W148" t="s">
        <v>296</v>
      </c>
      <c r="X148" t="str">
        <f>_xlfn.LET(_xlpm.str,"'DIL_",IF(LEFT(Table1[[#This Row],[name]],LEN(_xlpm.str))=_xlpm.str,_xlfn.TEXTBEFORE(_xlfn.TEXTBEFORE(_xlfn.TEXTAFTER(Table1[[#This Row],[name]],_xlpm.str),".",-1),"_",-1),""))</f>
        <v/>
      </c>
    </row>
    <row r="149" spans="21:24" x14ac:dyDescent="0.2">
      <c r="U149" s="6" t="s">
        <v>1557</v>
      </c>
      <c r="V149" t="s">
        <v>932</v>
      </c>
      <c r="W149" t="s">
        <v>297</v>
      </c>
      <c r="X149" t="str">
        <f>_xlfn.LET(_xlpm.str,"'DIL_",IF(LEFT(Table1[[#This Row],[name]],LEN(_xlpm.str))=_xlpm.str,_xlfn.TEXTBEFORE(_xlfn.TEXTBEFORE(_xlfn.TEXTAFTER(Table1[[#This Row],[name]],_xlpm.str),".",-1),"_",-1),""))</f>
        <v/>
      </c>
    </row>
    <row r="150" spans="21:24" x14ac:dyDescent="0.2">
      <c r="U150" s="5" t="s">
        <v>1558</v>
      </c>
      <c r="V150" t="s">
        <v>933</v>
      </c>
      <c r="W150" t="s">
        <v>298</v>
      </c>
      <c r="X150" t="str">
        <f>_xlfn.LET(_xlpm.str,"'DIL_",IF(LEFT(Table1[[#This Row],[name]],LEN(_xlpm.str))=_xlpm.str,_xlfn.TEXTBEFORE(_xlfn.TEXTBEFORE(_xlfn.TEXTAFTER(Table1[[#This Row],[name]],_xlpm.str),".",-1),"_",-1),""))</f>
        <v/>
      </c>
    </row>
    <row r="151" spans="21:24" x14ac:dyDescent="0.2">
      <c r="U151" s="6" t="s">
        <v>1559</v>
      </c>
      <c r="V151" t="s">
        <v>934</v>
      </c>
      <c r="W151" t="s">
        <v>299</v>
      </c>
      <c r="X151" t="str">
        <f>_xlfn.LET(_xlpm.str,"'DIL_",IF(LEFT(Table1[[#This Row],[name]],LEN(_xlpm.str))=_xlpm.str,_xlfn.TEXTBEFORE(_xlfn.TEXTBEFORE(_xlfn.TEXTAFTER(Table1[[#This Row],[name]],_xlpm.str),".",-1),"_",-1),""))</f>
        <v/>
      </c>
    </row>
    <row r="152" spans="21:24" x14ac:dyDescent="0.2">
      <c r="U152" s="5" t="s">
        <v>1560</v>
      </c>
      <c r="V152" t="s">
        <v>935</v>
      </c>
      <c r="W152" t="s">
        <v>300</v>
      </c>
      <c r="X152" t="str">
        <f>_xlfn.LET(_xlpm.str,"'DIL_",IF(LEFT(Table1[[#This Row],[name]],LEN(_xlpm.str))=_xlpm.str,_xlfn.TEXTBEFORE(_xlfn.TEXTBEFORE(_xlfn.TEXTAFTER(Table1[[#This Row],[name]],_xlpm.str),".",-1),"_",-1),""))</f>
        <v/>
      </c>
    </row>
    <row r="153" spans="21:24" x14ac:dyDescent="0.2">
      <c r="U153" s="6" t="s">
        <v>1561</v>
      </c>
      <c r="V153" t="s">
        <v>936</v>
      </c>
      <c r="W153" t="s">
        <v>301</v>
      </c>
      <c r="X153" t="str">
        <f>_xlfn.LET(_xlpm.str,"'DIL_",IF(LEFT(Table1[[#This Row],[name]],LEN(_xlpm.str))=_xlpm.str,_xlfn.TEXTBEFORE(_xlfn.TEXTBEFORE(_xlfn.TEXTAFTER(Table1[[#This Row],[name]],_xlpm.str),".",-1),"_",-1),""))</f>
        <v/>
      </c>
    </row>
    <row r="154" spans="21:24" x14ac:dyDescent="0.2">
      <c r="U154" s="5" t="s">
        <v>1562</v>
      </c>
      <c r="V154" t="s">
        <v>937</v>
      </c>
      <c r="W154" t="s">
        <v>302</v>
      </c>
      <c r="X154" t="str">
        <f>_xlfn.LET(_xlpm.str,"'DIL_",IF(LEFT(Table1[[#This Row],[name]],LEN(_xlpm.str))=_xlpm.str,_xlfn.TEXTBEFORE(_xlfn.TEXTBEFORE(_xlfn.TEXTAFTER(Table1[[#This Row],[name]],_xlpm.str),".",-1),"_",-1),""))</f>
        <v/>
      </c>
    </row>
    <row r="155" spans="21:24" x14ac:dyDescent="0.2">
      <c r="U155" s="6" t="s">
        <v>1563</v>
      </c>
      <c r="V155" t="s">
        <v>938</v>
      </c>
      <c r="W155" t="s">
        <v>303</v>
      </c>
      <c r="X155" t="str">
        <f>_xlfn.LET(_xlpm.str,"'DIL_",IF(LEFT(Table1[[#This Row],[name]],LEN(_xlpm.str))=_xlpm.str,_xlfn.TEXTBEFORE(_xlfn.TEXTBEFORE(_xlfn.TEXTAFTER(Table1[[#This Row],[name]],_xlpm.str),".",-1),"_",-1),""))</f>
        <v/>
      </c>
    </row>
    <row r="156" spans="21:24" x14ac:dyDescent="0.2">
      <c r="U156" s="5" t="s">
        <v>1564</v>
      </c>
      <c r="V156" t="s">
        <v>939</v>
      </c>
      <c r="W156" t="s">
        <v>304</v>
      </c>
      <c r="X156" t="str">
        <f>_xlfn.LET(_xlpm.str,"'DIL_",IF(LEFT(Table1[[#This Row],[name]],LEN(_xlpm.str))=_xlpm.str,_xlfn.TEXTBEFORE(_xlfn.TEXTBEFORE(_xlfn.TEXTAFTER(Table1[[#This Row],[name]],_xlpm.str),".",-1),"_",-1),""))</f>
        <v/>
      </c>
    </row>
    <row r="157" spans="21:24" x14ac:dyDescent="0.2">
      <c r="U157" s="6" t="s">
        <v>1565</v>
      </c>
      <c r="V157" t="s">
        <v>939</v>
      </c>
      <c r="W157" t="s">
        <v>305</v>
      </c>
      <c r="X157" t="str">
        <f>_xlfn.LET(_xlpm.str,"'DIL_",IF(LEFT(Table1[[#This Row],[name]],LEN(_xlpm.str))=_xlpm.str,_xlfn.TEXTBEFORE(_xlfn.TEXTBEFORE(_xlfn.TEXTAFTER(Table1[[#This Row],[name]],_xlpm.str),".",-1),"_",-1),""))</f>
        <v/>
      </c>
    </row>
    <row r="158" spans="21:24" x14ac:dyDescent="0.2">
      <c r="U158" s="5" t="s">
        <v>1566</v>
      </c>
      <c r="V158" t="s">
        <v>940</v>
      </c>
      <c r="W158" t="s">
        <v>306</v>
      </c>
      <c r="X158" t="str">
        <f>_xlfn.LET(_xlpm.str,"'DIL_",IF(LEFT(Table1[[#This Row],[name]],LEN(_xlpm.str))=_xlpm.str,_xlfn.TEXTBEFORE(_xlfn.TEXTBEFORE(_xlfn.TEXTAFTER(Table1[[#This Row],[name]],_xlpm.str),".",-1),"_",-1),""))</f>
        <v/>
      </c>
    </row>
    <row r="159" spans="21:24" x14ac:dyDescent="0.2">
      <c r="U159" s="6" t="s">
        <v>1567</v>
      </c>
      <c r="V159" t="s">
        <v>941</v>
      </c>
      <c r="W159" t="s">
        <v>307</v>
      </c>
      <c r="X159" t="str">
        <f>_xlfn.LET(_xlpm.str,"'DIL_",IF(LEFT(Table1[[#This Row],[name]],LEN(_xlpm.str))=_xlpm.str,_xlfn.TEXTBEFORE(_xlfn.TEXTBEFORE(_xlfn.TEXTAFTER(Table1[[#This Row],[name]],_xlpm.str),".",-1),"_",-1),""))</f>
        <v/>
      </c>
    </row>
    <row r="160" spans="21:24" x14ac:dyDescent="0.2">
      <c r="U160" s="5" t="s">
        <v>1568</v>
      </c>
      <c r="V160" t="s">
        <v>942</v>
      </c>
      <c r="W160" t="s">
        <v>308</v>
      </c>
      <c r="X160" t="str">
        <f>_xlfn.LET(_xlpm.str,"'DIL_",IF(LEFT(Table1[[#This Row],[name]],LEN(_xlpm.str))=_xlpm.str,_xlfn.TEXTBEFORE(_xlfn.TEXTBEFORE(_xlfn.TEXTAFTER(Table1[[#This Row],[name]],_xlpm.str),".",-1),"_",-1),""))</f>
        <v/>
      </c>
    </row>
    <row r="161" spans="21:24" x14ac:dyDescent="0.2">
      <c r="U161" s="6" t="s">
        <v>1569</v>
      </c>
      <c r="V161" t="s">
        <v>943</v>
      </c>
      <c r="W161" t="s">
        <v>309</v>
      </c>
      <c r="X161" t="str">
        <f>_xlfn.LET(_xlpm.str,"'DIL_",IF(LEFT(Table1[[#This Row],[name]],LEN(_xlpm.str))=_xlpm.str,_xlfn.TEXTBEFORE(_xlfn.TEXTBEFORE(_xlfn.TEXTAFTER(Table1[[#This Row],[name]],_xlpm.str),".",-1),"_",-1),""))</f>
        <v/>
      </c>
    </row>
    <row r="162" spans="21:24" x14ac:dyDescent="0.2">
      <c r="U162" s="5" t="s">
        <v>1570</v>
      </c>
      <c r="V162" t="s">
        <v>944</v>
      </c>
      <c r="W162" t="s">
        <v>310</v>
      </c>
      <c r="X162" t="str">
        <f>_xlfn.LET(_xlpm.str,"'DIL_",IF(LEFT(Table1[[#This Row],[name]],LEN(_xlpm.str))=_xlpm.str,_xlfn.TEXTBEFORE(_xlfn.TEXTBEFORE(_xlfn.TEXTAFTER(Table1[[#This Row],[name]],_xlpm.str),".",-1),"_",-1),""))</f>
        <v/>
      </c>
    </row>
    <row r="163" spans="21:24" x14ac:dyDescent="0.2">
      <c r="U163" s="6" t="s">
        <v>1571</v>
      </c>
      <c r="V163" t="s">
        <v>945</v>
      </c>
      <c r="W163" t="s">
        <v>311</v>
      </c>
      <c r="X163" t="str">
        <f>_xlfn.LET(_xlpm.str,"'DIL_",IF(LEFT(Table1[[#This Row],[name]],LEN(_xlpm.str))=_xlpm.str,_xlfn.TEXTBEFORE(_xlfn.TEXTBEFORE(_xlfn.TEXTAFTER(Table1[[#This Row],[name]],_xlpm.str),".",-1),"_",-1),""))</f>
        <v/>
      </c>
    </row>
    <row r="164" spans="21:24" x14ac:dyDescent="0.2">
      <c r="U164" s="5" t="s">
        <v>1572</v>
      </c>
      <c r="V164" t="s">
        <v>946</v>
      </c>
      <c r="W164" t="s">
        <v>312</v>
      </c>
      <c r="X164" t="str">
        <f>_xlfn.LET(_xlpm.str,"'DIL_",IF(LEFT(Table1[[#This Row],[name]],LEN(_xlpm.str))=_xlpm.str,_xlfn.TEXTBEFORE(_xlfn.TEXTBEFORE(_xlfn.TEXTAFTER(Table1[[#This Row],[name]],_xlpm.str),".",-1),"_",-1),""))</f>
        <v/>
      </c>
    </row>
    <row r="165" spans="21:24" x14ac:dyDescent="0.2">
      <c r="U165" s="6" t="s">
        <v>1573</v>
      </c>
      <c r="V165" t="s">
        <v>947</v>
      </c>
      <c r="W165" t="s">
        <v>313</v>
      </c>
      <c r="X165" t="str">
        <f>_xlfn.LET(_xlpm.str,"'DIL_",IF(LEFT(Table1[[#This Row],[name]],LEN(_xlpm.str))=_xlpm.str,_xlfn.TEXTBEFORE(_xlfn.TEXTBEFORE(_xlfn.TEXTAFTER(Table1[[#This Row],[name]],_xlpm.str),".",-1),"_",-1),""))</f>
        <v/>
      </c>
    </row>
    <row r="166" spans="21:24" x14ac:dyDescent="0.2">
      <c r="U166" s="5" t="s">
        <v>1574</v>
      </c>
      <c r="V166" t="s">
        <v>948</v>
      </c>
      <c r="W166" t="s">
        <v>314</v>
      </c>
      <c r="X166" t="str">
        <f>_xlfn.LET(_xlpm.str,"'DIL_",IF(LEFT(Table1[[#This Row],[name]],LEN(_xlpm.str))=_xlpm.str,_xlfn.TEXTBEFORE(_xlfn.TEXTBEFORE(_xlfn.TEXTAFTER(Table1[[#This Row],[name]],_xlpm.str),".",-1),"_",-1),""))</f>
        <v/>
      </c>
    </row>
    <row r="167" spans="21:24" x14ac:dyDescent="0.2">
      <c r="U167" s="6" t="s">
        <v>1575</v>
      </c>
      <c r="V167" t="s">
        <v>949</v>
      </c>
      <c r="W167" t="s">
        <v>315</v>
      </c>
      <c r="X167" t="str">
        <f>_xlfn.LET(_xlpm.str,"'DIL_",IF(LEFT(Table1[[#This Row],[name]],LEN(_xlpm.str))=_xlpm.str,_xlfn.TEXTBEFORE(_xlfn.TEXTBEFORE(_xlfn.TEXTAFTER(Table1[[#This Row],[name]],_xlpm.str),".",-1),"_",-1),""))</f>
        <v/>
      </c>
    </row>
    <row r="168" spans="21:24" x14ac:dyDescent="0.2">
      <c r="U168" s="5" t="s">
        <v>1576</v>
      </c>
      <c r="V168" t="s">
        <v>950</v>
      </c>
      <c r="W168" t="s">
        <v>316</v>
      </c>
      <c r="X168" t="str">
        <f>_xlfn.LET(_xlpm.str,"'DIL_",IF(LEFT(Table1[[#This Row],[name]],LEN(_xlpm.str))=_xlpm.str,_xlfn.TEXTBEFORE(_xlfn.TEXTBEFORE(_xlfn.TEXTAFTER(Table1[[#This Row],[name]],_xlpm.str),".",-1),"_",-1),""))</f>
        <v/>
      </c>
    </row>
    <row r="169" spans="21:24" x14ac:dyDescent="0.2">
      <c r="U169" s="6" t="s">
        <v>1577</v>
      </c>
      <c r="V169" t="s">
        <v>951</v>
      </c>
      <c r="W169" t="s">
        <v>317</v>
      </c>
      <c r="X169" t="str">
        <f>_xlfn.LET(_xlpm.str,"'DIL_",IF(LEFT(Table1[[#This Row],[name]],LEN(_xlpm.str))=_xlpm.str,_xlfn.TEXTBEFORE(_xlfn.TEXTBEFORE(_xlfn.TEXTAFTER(Table1[[#This Row],[name]],_xlpm.str),".",-1),"_",-1),""))</f>
        <v/>
      </c>
    </row>
    <row r="170" spans="21:24" x14ac:dyDescent="0.2">
      <c r="U170" s="5" t="s">
        <v>1578</v>
      </c>
      <c r="V170" t="s">
        <v>952</v>
      </c>
      <c r="W170" t="s">
        <v>318</v>
      </c>
      <c r="X170" t="str">
        <f>_xlfn.LET(_xlpm.str,"'DIL_",IF(LEFT(Table1[[#This Row],[name]],LEN(_xlpm.str))=_xlpm.str,_xlfn.TEXTBEFORE(_xlfn.TEXTBEFORE(_xlfn.TEXTAFTER(Table1[[#This Row],[name]],_xlpm.str),".",-1),"_",-1),""))</f>
        <v/>
      </c>
    </row>
    <row r="171" spans="21:24" x14ac:dyDescent="0.2">
      <c r="U171" s="6" t="s">
        <v>1579</v>
      </c>
      <c r="V171" t="s">
        <v>953</v>
      </c>
      <c r="W171" t="s">
        <v>319</v>
      </c>
      <c r="X171" t="str">
        <f>_xlfn.LET(_xlpm.str,"'DIL_",IF(LEFT(Table1[[#This Row],[name]],LEN(_xlpm.str))=_xlpm.str,_xlfn.TEXTBEFORE(_xlfn.TEXTBEFORE(_xlfn.TEXTAFTER(Table1[[#This Row],[name]],_xlpm.str),".",-1),"_",-1),""))</f>
        <v/>
      </c>
    </row>
    <row r="172" spans="21:24" x14ac:dyDescent="0.2">
      <c r="U172" s="5" t="s">
        <v>1580</v>
      </c>
      <c r="V172" t="s">
        <v>954</v>
      </c>
      <c r="W172" t="s">
        <v>320</v>
      </c>
      <c r="X172" t="str">
        <f>_xlfn.LET(_xlpm.str,"'DIL_",IF(LEFT(Table1[[#This Row],[name]],LEN(_xlpm.str))=_xlpm.str,_xlfn.TEXTBEFORE(_xlfn.TEXTBEFORE(_xlfn.TEXTAFTER(Table1[[#This Row],[name]],_xlpm.str),".",-1),"_",-1),""))</f>
        <v/>
      </c>
    </row>
    <row r="173" spans="21:24" x14ac:dyDescent="0.2">
      <c r="U173" s="6" t="s">
        <v>1581</v>
      </c>
      <c r="V173" t="s">
        <v>955</v>
      </c>
      <c r="W173" t="s">
        <v>321</v>
      </c>
      <c r="X173" t="str">
        <f>_xlfn.LET(_xlpm.str,"'DIL_",IF(LEFT(Table1[[#This Row],[name]],LEN(_xlpm.str))=_xlpm.str,_xlfn.TEXTBEFORE(_xlfn.TEXTBEFORE(_xlfn.TEXTAFTER(Table1[[#This Row],[name]],_xlpm.str),".",-1),"_",-1),""))</f>
        <v/>
      </c>
    </row>
    <row r="174" spans="21:24" x14ac:dyDescent="0.2">
      <c r="U174" s="5" t="s">
        <v>1582</v>
      </c>
      <c r="V174" t="s">
        <v>956</v>
      </c>
      <c r="W174" t="s">
        <v>322</v>
      </c>
      <c r="X174" t="str">
        <f>_xlfn.LET(_xlpm.str,"'DIL_",IF(LEFT(Table1[[#This Row],[name]],LEN(_xlpm.str))=_xlpm.str,_xlfn.TEXTBEFORE(_xlfn.TEXTBEFORE(_xlfn.TEXTAFTER(Table1[[#This Row],[name]],_xlpm.str),".",-1),"_",-1),""))</f>
        <v/>
      </c>
    </row>
    <row r="175" spans="21:24" x14ac:dyDescent="0.2">
      <c r="U175" s="6" t="s">
        <v>1583</v>
      </c>
      <c r="V175" t="s">
        <v>957</v>
      </c>
      <c r="W175" t="s">
        <v>323</v>
      </c>
      <c r="X175" t="str">
        <f>_xlfn.LET(_xlpm.str,"'DIL_",IF(LEFT(Table1[[#This Row],[name]],LEN(_xlpm.str))=_xlpm.str,_xlfn.TEXTBEFORE(_xlfn.TEXTBEFORE(_xlfn.TEXTAFTER(Table1[[#This Row],[name]],_xlpm.str),".",-1),"_",-1),""))</f>
        <v/>
      </c>
    </row>
    <row r="176" spans="21:24" x14ac:dyDescent="0.2">
      <c r="U176" s="5" t="s">
        <v>1584</v>
      </c>
      <c r="V176" t="s">
        <v>958</v>
      </c>
      <c r="W176" t="s">
        <v>324</v>
      </c>
      <c r="X176" t="str">
        <f>_xlfn.LET(_xlpm.str,"'DIL_",IF(LEFT(Table1[[#This Row],[name]],LEN(_xlpm.str))=_xlpm.str,_xlfn.TEXTBEFORE(_xlfn.TEXTBEFORE(_xlfn.TEXTAFTER(Table1[[#This Row],[name]],_xlpm.str),".",-1),"_",-1),""))</f>
        <v/>
      </c>
    </row>
    <row r="177" spans="21:24" x14ac:dyDescent="0.2">
      <c r="U177" s="6" t="s">
        <v>1585</v>
      </c>
      <c r="V177" t="s">
        <v>959</v>
      </c>
      <c r="W177" t="s">
        <v>325</v>
      </c>
      <c r="X177" t="str">
        <f>_xlfn.LET(_xlpm.str,"'DIL_",IF(LEFT(Table1[[#This Row],[name]],LEN(_xlpm.str))=_xlpm.str,_xlfn.TEXTBEFORE(_xlfn.TEXTBEFORE(_xlfn.TEXTAFTER(Table1[[#This Row],[name]],_xlpm.str),".",-1),"_",-1),""))</f>
        <v/>
      </c>
    </row>
    <row r="178" spans="21:24" x14ac:dyDescent="0.2">
      <c r="U178" s="5" t="s">
        <v>1586</v>
      </c>
      <c r="V178" t="s">
        <v>960</v>
      </c>
      <c r="W178" t="s">
        <v>326</v>
      </c>
      <c r="X178" t="str">
        <f>_xlfn.LET(_xlpm.str,"'DIL_",IF(LEFT(Table1[[#This Row],[name]],LEN(_xlpm.str))=_xlpm.str,_xlfn.TEXTBEFORE(_xlfn.TEXTBEFORE(_xlfn.TEXTAFTER(Table1[[#This Row],[name]],_xlpm.str),".",-1),"_",-1),""))</f>
        <v/>
      </c>
    </row>
    <row r="179" spans="21:24" x14ac:dyDescent="0.2">
      <c r="U179" s="6" t="s">
        <v>1587</v>
      </c>
      <c r="V179" t="s">
        <v>961</v>
      </c>
      <c r="W179" t="s">
        <v>327</v>
      </c>
      <c r="X179" t="str">
        <f>_xlfn.LET(_xlpm.str,"'DIL_",IF(LEFT(Table1[[#This Row],[name]],LEN(_xlpm.str))=_xlpm.str,_xlfn.TEXTBEFORE(_xlfn.TEXTBEFORE(_xlfn.TEXTAFTER(Table1[[#This Row],[name]],_xlpm.str),".",-1),"_",-1),""))</f>
        <v/>
      </c>
    </row>
    <row r="180" spans="21:24" x14ac:dyDescent="0.2">
      <c r="U180" s="5" t="s">
        <v>1588</v>
      </c>
      <c r="V180" t="s">
        <v>962</v>
      </c>
      <c r="W180" t="s">
        <v>328</v>
      </c>
      <c r="X180" t="str">
        <f>_xlfn.LET(_xlpm.str,"'DIL_",IF(LEFT(Table1[[#This Row],[name]],LEN(_xlpm.str))=_xlpm.str,_xlfn.TEXTBEFORE(_xlfn.TEXTBEFORE(_xlfn.TEXTAFTER(Table1[[#This Row],[name]],_xlpm.str),".",-1),"_",-1),""))</f>
        <v/>
      </c>
    </row>
    <row r="181" spans="21:24" x14ac:dyDescent="0.2">
      <c r="U181" s="6" t="s">
        <v>1589</v>
      </c>
      <c r="V181" t="s">
        <v>963</v>
      </c>
      <c r="W181" t="s">
        <v>329</v>
      </c>
      <c r="X181" t="str">
        <f>_xlfn.LET(_xlpm.str,"'DIL_",IF(LEFT(Table1[[#This Row],[name]],LEN(_xlpm.str))=_xlpm.str,_xlfn.TEXTBEFORE(_xlfn.TEXTBEFORE(_xlfn.TEXTAFTER(Table1[[#This Row],[name]],_xlpm.str),".",-1),"_",-1),""))</f>
        <v/>
      </c>
    </row>
    <row r="182" spans="21:24" x14ac:dyDescent="0.2">
      <c r="U182" s="5" t="s">
        <v>1590</v>
      </c>
      <c r="V182" t="s">
        <v>964</v>
      </c>
      <c r="W182" t="s">
        <v>330</v>
      </c>
      <c r="X182" t="str">
        <f>_xlfn.LET(_xlpm.str,"'DIL_",IF(LEFT(Table1[[#This Row],[name]],LEN(_xlpm.str))=_xlpm.str,_xlfn.TEXTBEFORE(_xlfn.TEXTBEFORE(_xlfn.TEXTAFTER(Table1[[#This Row],[name]],_xlpm.str),".",-1),"_",-1),""))</f>
        <v/>
      </c>
    </row>
    <row r="183" spans="21:24" x14ac:dyDescent="0.2">
      <c r="U183" s="6" t="s">
        <v>1591</v>
      </c>
      <c r="V183" t="s">
        <v>965</v>
      </c>
      <c r="W183" t="s">
        <v>331</v>
      </c>
      <c r="X183" t="str">
        <f>_xlfn.LET(_xlpm.str,"'DIL_",IF(LEFT(Table1[[#This Row],[name]],LEN(_xlpm.str))=_xlpm.str,_xlfn.TEXTBEFORE(_xlfn.TEXTBEFORE(_xlfn.TEXTAFTER(Table1[[#This Row],[name]],_xlpm.str),".",-1),"_",-1),""))</f>
        <v/>
      </c>
    </row>
    <row r="184" spans="21:24" x14ac:dyDescent="0.2">
      <c r="U184" s="5" t="s">
        <v>1592</v>
      </c>
      <c r="V184" t="s">
        <v>966</v>
      </c>
      <c r="W184" t="s">
        <v>332</v>
      </c>
      <c r="X184" t="str">
        <f>_xlfn.LET(_xlpm.str,"'DIL_",IF(LEFT(Table1[[#This Row],[name]],LEN(_xlpm.str))=_xlpm.str,_xlfn.TEXTBEFORE(_xlfn.TEXTBEFORE(_xlfn.TEXTAFTER(Table1[[#This Row],[name]],_xlpm.str),".",-1),"_",-1),""))</f>
        <v/>
      </c>
    </row>
    <row r="185" spans="21:24" x14ac:dyDescent="0.2">
      <c r="U185" s="6" t="s">
        <v>1593</v>
      </c>
      <c r="V185" t="s">
        <v>967</v>
      </c>
      <c r="W185" t="s">
        <v>333</v>
      </c>
      <c r="X185" t="str">
        <f>_xlfn.LET(_xlpm.str,"'DIL_",IF(LEFT(Table1[[#This Row],[name]],LEN(_xlpm.str))=_xlpm.str,_xlfn.TEXTBEFORE(_xlfn.TEXTBEFORE(_xlfn.TEXTAFTER(Table1[[#This Row],[name]],_xlpm.str),".",-1),"_",-1),""))</f>
        <v/>
      </c>
    </row>
    <row r="186" spans="21:24" x14ac:dyDescent="0.2">
      <c r="U186" s="5" t="s">
        <v>1594</v>
      </c>
      <c r="V186" t="s">
        <v>968</v>
      </c>
      <c r="W186" t="s">
        <v>334</v>
      </c>
      <c r="X186" t="str">
        <f>_xlfn.LET(_xlpm.str,"'DIL_",IF(LEFT(Table1[[#This Row],[name]],LEN(_xlpm.str))=_xlpm.str,_xlfn.TEXTBEFORE(_xlfn.TEXTBEFORE(_xlfn.TEXTAFTER(Table1[[#This Row],[name]],_xlpm.str),".",-1),"_",-1),""))</f>
        <v/>
      </c>
    </row>
    <row r="187" spans="21:24" x14ac:dyDescent="0.2">
      <c r="U187" s="6" t="s">
        <v>1595</v>
      </c>
      <c r="V187" t="s">
        <v>969</v>
      </c>
      <c r="W187" t="s">
        <v>335</v>
      </c>
      <c r="X187" t="str">
        <f>_xlfn.LET(_xlpm.str,"'DIL_",IF(LEFT(Table1[[#This Row],[name]],LEN(_xlpm.str))=_xlpm.str,_xlfn.TEXTBEFORE(_xlfn.TEXTBEFORE(_xlfn.TEXTAFTER(Table1[[#This Row],[name]],_xlpm.str),".",-1),"_",-1),""))</f>
        <v/>
      </c>
    </row>
    <row r="188" spans="21:24" x14ac:dyDescent="0.2">
      <c r="U188" s="5" t="s">
        <v>1596</v>
      </c>
      <c r="V188" t="s">
        <v>970</v>
      </c>
      <c r="W188" t="s">
        <v>336</v>
      </c>
      <c r="X188" t="str">
        <f>_xlfn.LET(_xlpm.str,"'DIL_",IF(LEFT(Table1[[#This Row],[name]],LEN(_xlpm.str))=_xlpm.str,_xlfn.TEXTBEFORE(_xlfn.TEXTBEFORE(_xlfn.TEXTAFTER(Table1[[#This Row],[name]],_xlpm.str),".",-1),"_",-1),""))</f>
        <v/>
      </c>
    </row>
    <row r="189" spans="21:24" x14ac:dyDescent="0.2">
      <c r="U189" s="6" t="s">
        <v>1597</v>
      </c>
      <c r="V189" t="s">
        <v>971</v>
      </c>
      <c r="W189" t="s">
        <v>337</v>
      </c>
      <c r="X189" t="str">
        <f>_xlfn.LET(_xlpm.str,"'DIL_",IF(LEFT(Table1[[#This Row],[name]],LEN(_xlpm.str))=_xlpm.str,_xlfn.TEXTBEFORE(_xlfn.TEXTBEFORE(_xlfn.TEXTAFTER(Table1[[#This Row],[name]],_xlpm.str),".",-1),"_",-1),""))</f>
        <v/>
      </c>
    </row>
    <row r="190" spans="21:24" x14ac:dyDescent="0.2">
      <c r="U190" s="5" t="s">
        <v>1598</v>
      </c>
      <c r="V190" t="s">
        <v>972</v>
      </c>
      <c r="W190" t="s">
        <v>338</v>
      </c>
      <c r="X190" t="str">
        <f>_xlfn.LET(_xlpm.str,"'DIL_",IF(LEFT(Table1[[#This Row],[name]],LEN(_xlpm.str))=_xlpm.str,_xlfn.TEXTBEFORE(_xlfn.TEXTBEFORE(_xlfn.TEXTAFTER(Table1[[#This Row],[name]],_xlpm.str),".",-1),"_",-1),""))</f>
        <v/>
      </c>
    </row>
    <row r="191" spans="21:24" x14ac:dyDescent="0.2">
      <c r="U191" s="6" t="s">
        <v>1599</v>
      </c>
      <c r="V191" t="s">
        <v>973</v>
      </c>
      <c r="W191" t="s">
        <v>339</v>
      </c>
      <c r="X191" t="str">
        <f>_xlfn.LET(_xlpm.str,"'DIL_",IF(LEFT(Table1[[#This Row],[name]],LEN(_xlpm.str))=_xlpm.str,_xlfn.TEXTBEFORE(_xlfn.TEXTBEFORE(_xlfn.TEXTAFTER(Table1[[#This Row],[name]],_xlpm.str),".",-1),"_",-1),""))</f>
        <v/>
      </c>
    </row>
    <row r="192" spans="21:24" x14ac:dyDescent="0.2">
      <c r="U192" s="5" t="s">
        <v>1600</v>
      </c>
      <c r="V192" t="s">
        <v>974</v>
      </c>
      <c r="W192" t="s">
        <v>340</v>
      </c>
      <c r="X192" t="str">
        <f>_xlfn.LET(_xlpm.str,"'DIL_",IF(LEFT(Table1[[#This Row],[name]],LEN(_xlpm.str))=_xlpm.str,_xlfn.TEXTBEFORE(_xlfn.TEXTBEFORE(_xlfn.TEXTAFTER(Table1[[#This Row],[name]],_xlpm.str),".",-1),"_",-1),""))</f>
        <v/>
      </c>
    </row>
    <row r="193" spans="21:24" x14ac:dyDescent="0.2">
      <c r="U193" s="6" t="s">
        <v>1601</v>
      </c>
      <c r="V193" t="s">
        <v>975</v>
      </c>
      <c r="W193" t="s">
        <v>341</v>
      </c>
      <c r="X193" t="str">
        <f>_xlfn.LET(_xlpm.str,"'DIL_",IF(LEFT(Table1[[#This Row],[name]],LEN(_xlpm.str))=_xlpm.str,_xlfn.TEXTBEFORE(_xlfn.TEXTBEFORE(_xlfn.TEXTAFTER(Table1[[#This Row],[name]],_xlpm.str),".",-1),"_",-1),""))</f>
        <v/>
      </c>
    </row>
    <row r="194" spans="21:24" x14ac:dyDescent="0.2">
      <c r="U194" s="5" t="s">
        <v>1602</v>
      </c>
      <c r="V194" t="s">
        <v>976</v>
      </c>
      <c r="W194" t="s">
        <v>342</v>
      </c>
      <c r="X194" t="str">
        <f>_xlfn.LET(_xlpm.str,"'DIL_",IF(LEFT(Table1[[#This Row],[name]],LEN(_xlpm.str))=_xlpm.str,_xlfn.TEXTBEFORE(_xlfn.TEXTBEFORE(_xlfn.TEXTAFTER(Table1[[#This Row],[name]],_xlpm.str),".",-1),"_",-1),""))</f>
        <v/>
      </c>
    </row>
    <row r="195" spans="21:24" x14ac:dyDescent="0.2">
      <c r="U195" s="6" t="s">
        <v>1603</v>
      </c>
      <c r="V195" t="s">
        <v>977</v>
      </c>
      <c r="W195" t="s">
        <v>343</v>
      </c>
      <c r="X195" t="str">
        <f>_xlfn.LET(_xlpm.str,"'DIL_",IF(LEFT(Table1[[#This Row],[name]],LEN(_xlpm.str))=_xlpm.str,_xlfn.TEXTBEFORE(_xlfn.TEXTBEFORE(_xlfn.TEXTAFTER(Table1[[#This Row],[name]],_xlpm.str),".",-1),"_",-1),""))</f>
        <v/>
      </c>
    </row>
    <row r="196" spans="21:24" x14ac:dyDescent="0.2">
      <c r="U196" s="5" t="s">
        <v>1604</v>
      </c>
      <c r="V196" t="s">
        <v>978</v>
      </c>
      <c r="W196" t="s">
        <v>344</v>
      </c>
      <c r="X196" t="str">
        <f>_xlfn.LET(_xlpm.str,"'DIL_",IF(LEFT(Table1[[#This Row],[name]],LEN(_xlpm.str))=_xlpm.str,_xlfn.TEXTBEFORE(_xlfn.TEXTBEFORE(_xlfn.TEXTAFTER(Table1[[#This Row],[name]],_xlpm.str),".",-1),"_",-1),""))</f>
        <v/>
      </c>
    </row>
    <row r="197" spans="21:24" x14ac:dyDescent="0.2">
      <c r="U197" s="6" t="s">
        <v>1605</v>
      </c>
      <c r="V197" t="s">
        <v>979</v>
      </c>
      <c r="W197" t="s">
        <v>345</v>
      </c>
      <c r="X197" t="str">
        <f>_xlfn.LET(_xlpm.str,"'DIL_",IF(LEFT(Table1[[#This Row],[name]],LEN(_xlpm.str))=_xlpm.str,_xlfn.TEXTBEFORE(_xlfn.TEXTBEFORE(_xlfn.TEXTAFTER(Table1[[#This Row],[name]],_xlpm.str),".",-1),"_",-1),""))</f>
        <v/>
      </c>
    </row>
    <row r="198" spans="21:24" x14ac:dyDescent="0.2">
      <c r="U198" s="5" t="s">
        <v>1606</v>
      </c>
      <c r="V198" t="s">
        <v>980</v>
      </c>
      <c r="W198" t="s">
        <v>346</v>
      </c>
      <c r="X198" t="str">
        <f>_xlfn.LET(_xlpm.str,"'DIL_",IF(LEFT(Table1[[#This Row],[name]],LEN(_xlpm.str))=_xlpm.str,_xlfn.TEXTBEFORE(_xlfn.TEXTBEFORE(_xlfn.TEXTAFTER(Table1[[#This Row],[name]],_xlpm.str),".",-1),"_",-1),""))</f>
        <v/>
      </c>
    </row>
    <row r="199" spans="21:24" x14ac:dyDescent="0.2">
      <c r="U199" s="6" t="s">
        <v>1607</v>
      </c>
      <c r="V199" t="s">
        <v>981</v>
      </c>
      <c r="W199" t="s">
        <v>347</v>
      </c>
      <c r="X199" t="str">
        <f>_xlfn.LET(_xlpm.str,"'DIL_",IF(LEFT(Table1[[#This Row],[name]],LEN(_xlpm.str))=_xlpm.str,_xlfn.TEXTBEFORE(_xlfn.TEXTBEFORE(_xlfn.TEXTAFTER(Table1[[#This Row],[name]],_xlpm.str),".",-1),"_",-1),""))</f>
        <v/>
      </c>
    </row>
    <row r="200" spans="21:24" x14ac:dyDescent="0.2">
      <c r="U200" s="5" t="s">
        <v>1608</v>
      </c>
      <c r="V200" t="s">
        <v>982</v>
      </c>
      <c r="W200" t="s">
        <v>348</v>
      </c>
      <c r="X200" t="str">
        <f>_xlfn.LET(_xlpm.str,"'DIL_",IF(LEFT(Table1[[#This Row],[name]],LEN(_xlpm.str))=_xlpm.str,_xlfn.TEXTBEFORE(_xlfn.TEXTBEFORE(_xlfn.TEXTAFTER(Table1[[#This Row],[name]],_xlpm.str),".",-1),"_",-1),""))</f>
        <v/>
      </c>
    </row>
    <row r="201" spans="21:24" x14ac:dyDescent="0.2">
      <c r="U201" s="6" t="s">
        <v>1609</v>
      </c>
      <c r="V201" t="s">
        <v>983</v>
      </c>
      <c r="W201" t="s">
        <v>349</v>
      </c>
      <c r="X201" t="str">
        <f>_xlfn.LET(_xlpm.str,"'DIL_",IF(LEFT(Table1[[#This Row],[name]],LEN(_xlpm.str))=_xlpm.str,_xlfn.TEXTBEFORE(_xlfn.TEXTBEFORE(_xlfn.TEXTAFTER(Table1[[#This Row],[name]],_xlpm.str),".",-1),"_",-1),""))</f>
        <v/>
      </c>
    </row>
    <row r="202" spans="21:24" x14ac:dyDescent="0.2">
      <c r="U202" s="5" t="s">
        <v>1610</v>
      </c>
      <c r="V202" t="s">
        <v>984</v>
      </c>
      <c r="W202" t="s">
        <v>350</v>
      </c>
      <c r="X202" t="str">
        <f>_xlfn.LET(_xlpm.str,"'DIL_",IF(LEFT(Table1[[#This Row],[name]],LEN(_xlpm.str))=_xlpm.str,_xlfn.TEXTBEFORE(_xlfn.TEXTBEFORE(_xlfn.TEXTAFTER(Table1[[#This Row],[name]],_xlpm.str),".",-1),"_",-1),""))</f>
        <v/>
      </c>
    </row>
    <row r="203" spans="21:24" x14ac:dyDescent="0.2">
      <c r="U203" s="6" t="s">
        <v>1611</v>
      </c>
      <c r="V203" t="s">
        <v>985</v>
      </c>
      <c r="W203" t="s">
        <v>351</v>
      </c>
      <c r="X203" t="str">
        <f>_xlfn.LET(_xlpm.str,"'DIL_",IF(LEFT(Table1[[#This Row],[name]],LEN(_xlpm.str))=_xlpm.str,_xlfn.TEXTBEFORE(_xlfn.TEXTBEFORE(_xlfn.TEXTAFTER(Table1[[#This Row],[name]],_xlpm.str),".",-1),"_",-1),""))</f>
        <v/>
      </c>
    </row>
    <row r="204" spans="21:24" x14ac:dyDescent="0.2">
      <c r="U204" s="5" t="s">
        <v>1612</v>
      </c>
      <c r="V204" t="s">
        <v>986</v>
      </c>
      <c r="W204" t="s">
        <v>352</v>
      </c>
      <c r="X204" t="str">
        <f>_xlfn.LET(_xlpm.str,"'DIL_",IF(LEFT(Table1[[#This Row],[name]],LEN(_xlpm.str))=_xlpm.str,_xlfn.TEXTBEFORE(_xlfn.TEXTBEFORE(_xlfn.TEXTAFTER(Table1[[#This Row],[name]],_xlpm.str),".",-1),"_",-1),""))</f>
        <v/>
      </c>
    </row>
    <row r="205" spans="21:24" x14ac:dyDescent="0.2">
      <c r="U205" s="6" t="s">
        <v>1613</v>
      </c>
      <c r="V205" t="s">
        <v>987</v>
      </c>
      <c r="W205" t="s">
        <v>353</v>
      </c>
      <c r="X205" t="str">
        <f>_xlfn.LET(_xlpm.str,"'DIL_",IF(LEFT(Table1[[#This Row],[name]],LEN(_xlpm.str))=_xlpm.str,_xlfn.TEXTBEFORE(_xlfn.TEXTBEFORE(_xlfn.TEXTAFTER(Table1[[#This Row],[name]],_xlpm.str),".",-1),"_",-1),""))</f>
        <v/>
      </c>
    </row>
    <row r="206" spans="21:24" x14ac:dyDescent="0.2">
      <c r="U206" s="5" t="s">
        <v>1614</v>
      </c>
      <c r="V206" t="s">
        <v>988</v>
      </c>
      <c r="W206" t="s">
        <v>354</v>
      </c>
      <c r="X206" t="str">
        <f>_xlfn.LET(_xlpm.str,"'DIL_",IF(LEFT(Table1[[#This Row],[name]],LEN(_xlpm.str))=_xlpm.str,_xlfn.TEXTBEFORE(_xlfn.TEXTBEFORE(_xlfn.TEXTAFTER(Table1[[#This Row],[name]],_xlpm.str),".",-1),"_",-1),""))</f>
        <v/>
      </c>
    </row>
    <row r="207" spans="21:24" x14ac:dyDescent="0.2">
      <c r="U207" s="6" t="s">
        <v>1615</v>
      </c>
      <c r="V207" t="s">
        <v>989</v>
      </c>
      <c r="W207" t="s">
        <v>355</v>
      </c>
      <c r="X207" t="str">
        <f>_xlfn.LET(_xlpm.str,"'DIL_",IF(LEFT(Table1[[#This Row],[name]],LEN(_xlpm.str))=_xlpm.str,_xlfn.TEXTBEFORE(_xlfn.TEXTBEFORE(_xlfn.TEXTAFTER(Table1[[#This Row],[name]],_xlpm.str),".",-1),"_",-1),""))</f>
        <v/>
      </c>
    </row>
    <row r="208" spans="21:24" x14ac:dyDescent="0.2">
      <c r="U208" s="5" t="s">
        <v>1616</v>
      </c>
      <c r="V208" t="s">
        <v>990</v>
      </c>
      <c r="W208" t="s">
        <v>356</v>
      </c>
      <c r="X208" t="str">
        <f>_xlfn.LET(_xlpm.str,"'DIL_",IF(LEFT(Table1[[#This Row],[name]],LEN(_xlpm.str))=_xlpm.str,_xlfn.TEXTBEFORE(_xlfn.TEXTBEFORE(_xlfn.TEXTAFTER(Table1[[#This Row],[name]],_xlpm.str),".",-1),"_",-1),""))</f>
        <v/>
      </c>
    </row>
    <row r="209" spans="21:24" x14ac:dyDescent="0.2">
      <c r="U209" s="6" t="s">
        <v>1617</v>
      </c>
      <c r="V209" t="s">
        <v>991</v>
      </c>
      <c r="W209" t="s">
        <v>357</v>
      </c>
      <c r="X209" t="str">
        <f>_xlfn.LET(_xlpm.str,"'DIL_",IF(LEFT(Table1[[#This Row],[name]],LEN(_xlpm.str))=_xlpm.str,_xlfn.TEXTBEFORE(_xlfn.TEXTBEFORE(_xlfn.TEXTAFTER(Table1[[#This Row],[name]],_xlpm.str),".",-1),"_",-1),""))</f>
        <v/>
      </c>
    </row>
    <row r="210" spans="21:24" x14ac:dyDescent="0.2">
      <c r="U210" s="5" t="s">
        <v>1618</v>
      </c>
      <c r="V210" t="s">
        <v>991</v>
      </c>
      <c r="W210" t="s">
        <v>358</v>
      </c>
      <c r="X210" t="str">
        <f>_xlfn.LET(_xlpm.str,"'DIL_",IF(LEFT(Table1[[#This Row],[name]],LEN(_xlpm.str))=_xlpm.str,_xlfn.TEXTBEFORE(_xlfn.TEXTBEFORE(_xlfn.TEXTAFTER(Table1[[#This Row],[name]],_xlpm.str),".",-1),"_",-1),""))</f>
        <v/>
      </c>
    </row>
    <row r="211" spans="21:24" x14ac:dyDescent="0.2">
      <c r="U211" s="6" t="s">
        <v>1619</v>
      </c>
      <c r="V211" t="s">
        <v>992</v>
      </c>
      <c r="W211" t="s">
        <v>359</v>
      </c>
      <c r="X211" t="str">
        <f>_xlfn.LET(_xlpm.str,"'DIL_",IF(LEFT(Table1[[#This Row],[name]],LEN(_xlpm.str))=_xlpm.str,_xlfn.TEXTBEFORE(_xlfn.TEXTBEFORE(_xlfn.TEXTAFTER(Table1[[#This Row],[name]],_xlpm.str),".",-1),"_",-1),""))</f>
        <v/>
      </c>
    </row>
    <row r="212" spans="21:24" x14ac:dyDescent="0.2">
      <c r="U212" s="5" t="s">
        <v>1620</v>
      </c>
      <c r="V212" t="s">
        <v>993</v>
      </c>
      <c r="W212" t="s">
        <v>360</v>
      </c>
      <c r="X212" t="str">
        <f>_xlfn.LET(_xlpm.str,"'DIL_",IF(LEFT(Table1[[#This Row],[name]],LEN(_xlpm.str))=_xlpm.str,_xlfn.TEXTBEFORE(_xlfn.TEXTBEFORE(_xlfn.TEXTAFTER(Table1[[#This Row],[name]],_xlpm.str),".",-1),"_",-1),""))</f>
        <v/>
      </c>
    </row>
    <row r="213" spans="21:24" x14ac:dyDescent="0.2">
      <c r="U213" s="6" t="s">
        <v>1621</v>
      </c>
      <c r="V213" t="s">
        <v>993</v>
      </c>
      <c r="W213" t="s">
        <v>361</v>
      </c>
      <c r="X213" t="str">
        <f>_xlfn.LET(_xlpm.str,"'DIL_",IF(LEFT(Table1[[#This Row],[name]],LEN(_xlpm.str))=_xlpm.str,_xlfn.TEXTBEFORE(_xlfn.TEXTBEFORE(_xlfn.TEXTAFTER(Table1[[#This Row],[name]],_xlpm.str),".",-1),"_",-1),""))</f>
        <v/>
      </c>
    </row>
    <row r="214" spans="21:24" x14ac:dyDescent="0.2">
      <c r="U214" s="5" t="s">
        <v>1622</v>
      </c>
      <c r="V214" t="s">
        <v>994</v>
      </c>
      <c r="W214" t="s">
        <v>362</v>
      </c>
      <c r="X214" t="str">
        <f>_xlfn.LET(_xlpm.str,"'DIL_",IF(LEFT(Table1[[#This Row],[name]],LEN(_xlpm.str))=_xlpm.str,_xlfn.TEXTBEFORE(_xlfn.TEXTBEFORE(_xlfn.TEXTAFTER(Table1[[#This Row],[name]],_xlpm.str),".",-1),"_",-1),""))</f>
        <v/>
      </c>
    </row>
    <row r="215" spans="21:24" x14ac:dyDescent="0.2">
      <c r="U215" s="6" t="s">
        <v>1623</v>
      </c>
      <c r="V215" t="s">
        <v>995</v>
      </c>
      <c r="W215" t="s">
        <v>363</v>
      </c>
      <c r="X215" t="str">
        <f>_xlfn.LET(_xlpm.str,"'DIL_",IF(LEFT(Table1[[#This Row],[name]],LEN(_xlpm.str))=_xlpm.str,_xlfn.TEXTBEFORE(_xlfn.TEXTBEFORE(_xlfn.TEXTAFTER(Table1[[#This Row],[name]],_xlpm.str),".",-1),"_",-1),""))</f>
        <v/>
      </c>
    </row>
    <row r="216" spans="21:24" x14ac:dyDescent="0.2">
      <c r="U216" s="5" t="s">
        <v>1624</v>
      </c>
      <c r="V216" t="s">
        <v>996</v>
      </c>
      <c r="W216" t="s">
        <v>364</v>
      </c>
      <c r="X216" t="str">
        <f>_xlfn.LET(_xlpm.str,"'DIL_",IF(LEFT(Table1[[#This Row],[name]],LEN(_xlpm.str))=_xlpm.str,_xlfn.TEXTBEFORE(_xlfn.TEXTBEFORE(_xlfn.TEXTAFTER(Table1[[#This Row],[name]],_xlpm.str),".",-1),"_",-1),""))</f>
        <v/>
      </c>
    </row>
    <row r="217" spans="21:24" x14ac:dyDescent="0.2">
      <c r="U217" s="6" t="s">
        <v>1625</v>
      </c>
      <c r="V217" t="s">
        <v>997</v>
      </c>
      <c r="W217" t="s">
        <v>365</v>
      </c>
      <c r="X217" t="str">
        <f>_xlfn.LET(_xlpm.str,"'DIL_",IF(LEFT(Table1[[#This Row],[name]],LEN(_xlpm.str))=_xlpm.str,_xlfn.TEXTBEFORE(_xlfn.TEXTBEFORE(_xlfn.TEXTAFTER(Table1[[#This Row],[name]],_xlpm.str),".",-1),"_",-1),""))</f>
        <v/>
      </c>
    </row>
    <row r="218" spans="21:24" x14ac:dyDescent="0.2">
      <c r="U218" s="5" t="s">
        <v>1626</v>
      </c>
      <c r="V218" t="s">
        <v>998</v>
      </c>
      <c r="W218" t="s">
        <v>366</v>
      </c>
      <c r="X218" t="str">
        <f>_xlfn.LET(_xlpm.str,"'DIL_",IF(LEFT(Table1[[#This Row],[name]],LEN(_xlpm.str))=_xlpm.str,_xlfn.TEXTBEFORE(_xlfn.TEXTBEFORE(_xlfn.TEXTAFTER(Table1[[#This Row],[name]],_xlpm.str),".",-1),"_",-1),""))</f>
        <v/>
      </c>
    </row>
    <row r="219" spans="21:24" x14ac:dyDescent="0.2">
      <c r="U219" s="6" t="s">
        <v>1627</v>
      </c>
      <c r="V219" t="s">
        <v>999</v>
      </c>
      <c r="W219" t="s">
        <v>367</v>
      </c>
      <c r="X219" t="str">
        <f>_xlfn.LET(_xlpm.str,"'DIL_",IF(LEFT(Table1[[#This Row],[name]],LEN(_xlpm.str))=_xlpm.str,_xlfn.TEXTBEFORE(_xlfn.TEXTBEFORE(_xlfn.TEXTAFTER(Table1[[#This Row],[name]],_xlpm.str),".",-1),"_",-1),""))</f>
        <v/>
      </c>
    </row>
    <row r="220" spans="21:24" x14ac:dyDescent="0.2">
      <c r="U220" s="5" t="s">
        <v>1628</v>
      </c>
      <c r="V220" t="s">
        <v>1000</v>
      </c>
      <c r="W220" t="s">
        <v>368</v>
      </c>
      <c r="X220" t="str">
        <f>_xlfn.LET(_xlpm.str,"'DIL_",IF(LEFT(Table1[[#This Row],[name]],LEN(_xlpm.str))=_xlpm.str,_xlfn.TEXTBEFORE(_xlfn.TEXTBEFORE(_xlfn.TEXTAFTER(Table1[[#This Row],[name]],_xlpm.str),".",-1),"_",-1),""))</f>
        <v/>
      </c>
    </row>
    <row r="221" spans="21:24" x14ac:dyDescent="0.2">
      <c r="U221" s="6" t="s">
        <v>1629</v>
      </c>
      <c r="V221" t="s">
        <v>1001</v>
      </c>
      <c r="W221" t="s">
        <v>369</v>
      </c>
      <c r="X221" t="str">
        <f>_xlfn.LET(_xlpm.str,"'DIL_",IF(LEFT(Table1[[#This Row],[name]],LEN(_xlpm.str))=_xlpm.str,_xlfn.TEXTBEFORE(_xlfn.TEXTBEFORE(_xlfn.TEXTAFTER(Table1[[#This Row],[name]],_xlpm.str),".",-1),"_",-1),""))</f>
        <v/>
      </c>
    </row>
    <row r="222" spans="21:24" x14ac:dyDescent="0.2">
      <c r="U222" s="5" t="s">
        <v>1630</v>
      </c>
      <c r="V222" t="s">
        <v>1002</v>
      </c>
      <c r="W222" t="s">
        <v>370</v>
      </c>
      <c r="X222" t="str">
        <f>_xlfn.LET(_xlpm.str,"'DIL_",IF(LEFT(Table1[[#This Row],[name]],LEN(_xlpm.str))=_xlpm.str,_xlfn.TEXTBEFORE(_xlfn.TEXTBEFORE(_xlfn.TEXTAFTER(Table1[[#This Row],[name]],_xlpm.str),".",-1),"_",-1),""))</f>
        <v/>
      </c>
    </row>
    <row r="223" spans="21:24" x14ac:dyDescent="0.2">
      <c r="U223" s="6" t="s">
        <v>1631</v>
      </c>
      <c r="V223" t="s">
        <v>1003</v>
      </c>
      <c r="W223" t="s">
        <v>371</v>
      </c>
      <c r="X223" t="str">
        <f>_xlfn.LET(_xlpm.str,"'DIL_",IF(LEFT(Table1[[#This Row],[name]],LEN(_xlpm.str))=_xlpm.str,_xlfn.TEXTBEFORE(_xlfn.TEXTBEFORE(_xlfn.TEXTAFTER(Table1[[#This Row],[name]],_xlpm.str),".",-1),"_",-1),""))</f>
        <v/>
      </c>
    </row>
    <row r="224" spans="21:24" x14ac:dyDescent="0.2">
      <c r="U224" s="5" t="s">
        <v>1632</v>
      </c>
      <c r="V224" t="s">
        <v>1004</v>
      </c>
      <c r="W224" t="s">
        <v>372</v>
      </c>
      <c r="X224" t="str">
        <f>_xlfn.LET(_xlpm.str,"'DIL_",IF(LEFT(Table1[[#This Row],[name]],LEN(_xlpm.str))=_xlpm.str,_xlfn.TEXTBEFORE(_xlfn.TEXTBEFORE(_xlfn.TEXTAFTER(Table1[[#This Row],[name]],_xlpm.str),".",-1),"_",-1),""))</f>
        <v/>
      </c>
    </row>
    <row r="225" spans="21:24" x14ac:dyDescent="0.2">
      <c r="U225" s="6" t="s">
        <v>1633</v>
      </c>
      <c r="V225" t="s">
        <v>1005</v>
      </c>
      <c r="W225" t="s">
        <v>373</v>
      </c>
      <c r="X225" t="str">
        <f>_xlfn.LET(_xlpm.str,"'DIL_",IF(LEFT(Table1[[#This Row],[name]],LEN(_xlpm.str))=_xlpm.str,_xlfn.TEXTBEFORE(_xlfn.TEXTBEFORE(_xlfn.TEXTAFTER(Table1[[#This Row],[name]],_xlpm.str),".",-1),"_",-1),""))</f>
        <v/>
      </c>
    </row>
    <row r="226" spans="21:24" x14ac:dyDescent="0.2">
      <c r="U226" s="5" t="s">
        <v>1634</v>
      </c>
      <c r="V226" t="s">
        <v>1006</v>
      </c>
      <c r="W226" t="s">
        <v>374</v>
      </c>
      <c r="X226" t="str">
        <f>_xlfn.LET(_xlpm.str,"'DIL_",IF(LEFT(Table1[[#This Row],[name]],LEN(_xlpm.str))=_xlpm.str,_xlfn.TEXTBEFORE(_xlfn.TEXTBEFORE(_xlfn.TEXTAFTER(Table1[[#This Row],[name]],_xlpm.str),".",-1),"_",-1),""))</f>
        <v/>
      </c>
    </row>
    <row r="227" spans="21:24" x14ac:dyDescent="0.2">
      <c r="U227" s="6" t="s">
        <v>1635</v>
      </c>
      <c r="V227" t="s">
        <v>1005</v>
      </c>
      <c r="W227" t="s">
        <v>375</v>
      </c>
      <c r="X227" t="str">
        <f>_xlfn.LET(_xlpm.str,"'DIL_",IF(LEFT(Table1[[#This Row],[name]],LEN(_xlpm.str))=_xlpm.str,_xlfn.TEXTBEFORE(_xlfn.TEXTBEFORE(_xlfn.TEXTAFTER(Table1[[#This Row],[name]],_xlpm.str),".",-1),"_",-1),""))</f>
        <v/>
      </c>
    </row>
    <row r="228" spans="21:24" x14ac:dyDescent="0.2">
      <c r="U228" s="5" t="s">
        <v>1636</v>
      </c>
      <c r="V228" t="s">
        <v>1005</v>
      </c>
      <c r="W228" t="s">
        <v>376</v>
      </c>
      <c r="X228" t="str">
        <f>_xlfn.LET(_xlpm.str,"'DIL_",IF(LEFT(Table1[[#This Row],[name]],LEN(_xlpm.str))=_xlpm.str,_xlfn.TEXTBEFORE(_xlfn.TEXTBEFORE(_xlfn.TEXTAFTER(Table1[[#This Row],[name]],_xlpm.str),".",-1),"_",-1),""))</f>
        <v/>
      </c>
    </row>
    <row r="229" spans="21:24" x14ac:dyDescent="0.2">
      <c r="U229" s="6" t="s">
        <v>1637</v>
      </c>
      <c r="V229" t="s">
        <v>1005</v>
      </c>
      <c r="W229" t="s">
        <v>377</v>
      </c>
      <c r="X229" t="str">
        <f>_xlfn.LET(_xlpm.str,"'DIL_",IF(LEFT(Table1[[#This Row],[name]],LEN(_xlpm.str))=_xlpm.str,_xlfn.TEXTBEFORE(_xlfn.TEXTBEFORE(_xlfn.TEXTAFTER(Table1[[#This Row],[name]],_xlpm.str),".",-1),"_",-1),""))</f>
        <v/>
      </c>
    </row>
    <row r="230" spans="21:24" x14ac:dyDescent="0.2">
      <c r="U230" s="5" t="s">
        <v>1638</v>
      </c>
      <c r="V230" t="s">
        <v>1005</v>
      </c>
      <c r="W230" t="s">
        <v>378</v>
      </c>
      <c r="X230" t="str">
        <f>_xlfn.LET(_xlpm.str,"'DIL_",IF(LEFT(Table1[[#This Row],[name]],LEN(_xlpm.str))=_xlpm.str,_xlfn.TEXTBEFORE(_xlfn.TEXTBEFORE(_xlfn.TEXTAFTER(Table1[[#This Row],[name]],_xlpm.str),".",-1),"_",-1),""))</f>
        <v/>
      </c>
    </row>
    <row r="231" spans="21:24" x14ac:dyDescent="0.2">
      <c r="U231" s="6" t="s">
        <v>1639</v>
      </c>
      <c r="V231" t="s">
        <v>1005</v>
      </c>
      <c r="W231" t="s">
        <v>379</v>
      </c>
      <c r="X231" t="str">
        <f>_xlfn.LET(_xlpm.str,"'DIL_",IF(LEFT(Table1[[#This Row],[name]],LEN(_xlpm.str))=_xlpm.str,_xlfn.TEXTBEFORE(_xlfn.TEXTBEFORE(_xlfn.TEXTAFTER(Table1[[#This Row],[name]],_xlpm.str),".",-1),"_",-1),""))</f>
        <v/>
      </c>
    </row>
    <row r="232" spans="21:24" x14ac:dyDescent="0.2">
      <c r="U232" s="5" t="s">
        <v>1640</v>
      </c>
      <c r="V232" t="s">
        <v>1005</v>
      </c>
      <c r="W232" t="s">
        <v>380</v>
      </c>
      <c r="X232" t="str">
        <f>_xlfn.LET(_xlpm.str,"'DIL_",IF(LEFT(Table1[[#This Row],[name]],LEN(_xlpm.str))=_xlpm.str,_xlfn.TEXTBEFORE(_xlfn.TEXTBEFORE(_xlfn.TEXTAFTER(Table1[[#This Row],[name]],_xlpm.str),".",-1),"_",-1),""))</f>
        <v/>
      </c>
    </row>
    <row r="233" spans="21:24" x14ac:dyDescent="0.2">
      <c r="U233" s="6" t="s">
        <v>1641</v>
      </c>
      <c r="V233" t="s">
        <v>1007</v>
      </c>
      <c r="W233" t="s">
        <v>381</v>
      </c>
      <c r="X233" t="str">
        <f>_xlfn.LET(_xlpm.str,"'DIL_",IF(LEFT(Table1[[#This Row],[name]],LEN(_xlpm.str))=_xlpm.str,_xlfn.TEXTBEFORE(_xlfn.TEXTBEFORE(_xlfn.TEXTAFTER(Table1[[#This Row],[name]],_xlpm.str),".",-1),"_",-1),""))</f>
        <v/>
      </c>
    </row>
    <row r="234" spans="21:24" x14ac:dyDescent="0.2">
      <c r="U234" s="5" t="s">
        <v>1642</v>
      </c>
      <c r="V234" t="s">
        <v>1008</v>
      </c>
      <c r="W234" t="s">
        <v>382</v>
      </c>
      <c r="X234" t="str">
        <f>_xlfn.LET(_xlpm.str,"'DIL_",IF(LEFT(Table1[[#This Row],[name]],LEN(_xlpm.str))=_xlpm.str,_xlfn.TEXTBEFORE(_xlfn.TEXTBEFORE(_xlfn.TEXTAFTER(Table1[[#This Row],[name]],_xlpm.str),".",-1),"_",-1),""))</f>
        <v/>
      </c>
    </row>
    <row r="235" spans="21:24" x14ac:dyDescent="0.2">
      <c r="U235" s="6" t="s">
        <v>1643</v>
      </c>
      <c r="V235" t="s">
        <v>1009</v>
      </c>
      <c r="W235" t="s">
        <v>383</v>
      </c>
      <c r="X235" t="str">
        <f>_xlfn.LET(_xlpm.str,"'DIL_",IF(LEFT(Table1[[#This Row],[name]],LEN(_xlpm.str))=_xlpm.str,_xlfn.TEXTBEFORE(_xlfn.TEXTBEFORE(_xlfn.TEXTAFTER(Table1[[#This Row],[name]],_xlpm.str),".",-1),"_",-1),""))</f>
        <v/>
      </c>
    </row>
    <row r="236" spans="21:24" x14ac:dyDescent="0.2">
      <c r="U236" s="5" t="s">
        <v>1644</v>
      </c>
      <c r="V236" t="s">
        <v>1010</v>
      </c>
      <c r="W236" t="s">
        <v>384</v>
      </c>
      <c r="X236" t="str">
        <f>_xlfn.LET(_xlpm.str,"'DIL_",IF(LEFT(Table1[[#This Row],[name]],LEN(_xlpm.str))=_xlpm.str,_xlfn.TEXTBEFORE(_xlfn.TEXTBEFORE(_xlfn.TEXTAFTER(Table1[[#This Row],[name]],_xlpm.str),".",-1),"_",-1),""))</f>
        <v/>
      </c>
    </row>
    <row r="237" spans="21:24" x14ac:dyDescent="0.2">
      <c r="U237" s="6" t="s">
        <v>1645</v>
      </c>
      <c r="V237" t="s">
        <v>1010</v>
      </c>
      <c r="W237" t="s">
        <v>385</v>
      </c>
      <c r="X237" t="str">
        <f>_xlfn.LET(_xlpm.str,"'DIL_",IF(LEFT(Table1[[#This Row],[name]],LEN(_xlpm.str))=_xlpm.str,_xlfn.TEXTBEFORE(_xlfn.TEXTBEFORE(_xlfn.TEXTAFTER(Table1[[#This Row],[name]],_xlpm.str),".",-1),"_",-1),""))</f>
        <v/>
      </c>
    </row>
    <row r="238" spans="21:24" x14ac:dyDescent="0.2">
      <c r="U238" s="5" t="s">
        <v>1646</v>
      </c>
      <c r="V238" t="s">
        <v>1011</v>
      </c>
      <c r="W238" t="s">
        <v>386</v>
      </c>
      <c r="X238" t="str">
        <f>_xlfn.LET(_xlpm.str,"'DIL_",IF(LEFT(Table1[[#This Row],[name]],LEN(_xlpm.str))=_xlpm.str,_xlfn.TEXTBEFORE(_xlfn.TEXTBEFORE(_xlfn.TEXTAFTER(Table1[[#This Row],[name]],_xlpm.str),".",-1),"_",-1),""))</f>
        <v/>
      </c>
    </row>
    <row r="239" spans="21:24" x14ac:dyDescent="0.2">
      <c r="U239" s="6" t="s">
        <v>1647</v>
      </c>
      <c r="V239" t="s">
        <v>1012</v>
      </c>
      <c r="W239" t="s">
        <v>387</v>
      </c>
      <c r="X239" t="str">
        <f>_xlfn.LET(_xlpm.str,"'DIL_",IF(LEFT(Table1[[#This Row],[name]],LEN(_xlpm.str))=_xlpm.str,_xlfn.TEXTBEFORE(_xlfn.TEXTBEFORE(_xlfn.TEXTAFTER(Table1[[#This Row],[name]],_xlpm.str),".",-1),"_",-1),""))</f>
        <v/>
      </c>
    </row>
    <row r="240" spans="21:24" x14ac:dyDescent="0.2">
      <c r="U240" s="5" t="s">
        <v>1648</v>
      </c>
      <c r="V240" t="s">
        <v>1013</v>
      </c>
      <c r="W240" t="s">
        <v>388</v>
      </c>
      <c r="X240" t="str">
        <f>_xlfn.LET(_xlpm.str,"'DIL_",IF(LEFT(Table1[[#This Row],[name]],LEN(_xlpm.str))=_xlpm.str,_xlfn.TEXTBEFORE(_xlfn.TEXTBEFORE(_xlfn.TEXTAFTER(Table1[[#This Row],[name]],_xlpm.str),".",-1),"_",-1),""))</f>
        <v/>
      </c>
    </row>
    <row r="241" spans="21:24" x14ac:dyDescent="0.2">
      <c r="U241" s="6" t="s">
        <v>1649</v>
      </c>
      <c r="V241" t="s">
        <v>1014</v>
      </c>
      <c r="W241" t="s">
        <v>389</v>
      </c>
      <c r="X241" t="str">
        <f>_xlfn.LET(_xlpm.str,"'DIL_",IF(LEFT(Table1[[#This Row],[name]],LEN(_xlpm.str))=_xlpm.str,_xlfn.TEXTBEFORE(_xlfn.TEXTBEFORE(_xlfn.TEXTAFTER(Table1[[#This Row],[name]],_xlpm.str),".",-1),"_",-1),""))</f>
        <v/>
      </c>
    </row>
    <row r="242" spans="21:24" x14ac:dyDescent="0.2">
      <c r="U242" s="5" t="s">
        <v>1650</v>
      </c>
      <c r="V242" t="s">
        <v>1015</v>
      </c>
      <c r="W242" t="s">
        <v>390</v>
      </c>
      <c r="X242" t="str">
        <f>_xlfn.LET(_xlpm.str,"'DIL_",IF(LEFT(Table1[[#This Row],[name]],LEN(_xlpm.str))=_xlpm.str,_xlfn.TEXTBEFORE(_xlfn.TEXTBEFORE(_xlfn.TEXTAFTER(Table1[[#This Row],[name]],_xlpm.str),".",-1),"_",-1),""))</f>
        <v/>
      </c>
    </row>
    <row r="243" spans="21:24" x14ac:dyDescent="0.2">
      <c r="U243" s="6" t="s">
        <v>1651</v>
      </c>
      <c r="V243" t="s">
        <v>1016</v>
      </c>
      <c r="W243" t="s">
        <v>391</v>
      </c>
      <c r="X243" t="str">
        <f>_xlfn.LET(_xlpm.str,"'DIL_",IF(LEFT(Table1[[#This Row],[name]],LEN(_xlpm.str))=_xlpm.str,_xlfn.TEXTBEFORE(_xlfn.TEXTBEFORE(_xlfn.TEXTAFTER(Table1[[#This Row],[name]],_xlpm.str),".",-1),"_",-1),""))</f>
        <v/>
      </c>
    </row>
    <row r="244" spans="21:24" x14ac:dyDescent="0.2">
      <c r="U244" s="5" t="s">
        <v>1652</v>
      </c>
      <c r="V244" t="s">
        <v>1017</v>
      </c>
      <c r="W244" t="s">
        <v>392</v>
      </c>
      <c r="X244" t="str">
        <f>_xlfn.LET(_xlpm.str,"'DIL_",IF(LEFT(Table1[[#This Row],[name]],LEN(_xlpm.str))=_xlpm.str,_xlfn.TEXTBEFORE(_xlfn.TEXTBEFORE(_xlfn.TEXTAFTER(Table1[[#This Row],[name]],_xlpm.str),".",-1),"_",-1),""))</f>
        <v/>
      </c>
    </row>
    <row r="245" spans="21:24" x14ac:dyDescent="0.2">
      <c r="U245" s="6" t="s">
        <v>1653</v>
      </c>
      <c r="V245" t="s">
        <v>1018</v>
      </c>
      <c r="W245" t="s">
        <v>393</v>
      </c>
      <c r="X245" t="str">
        <f>_xlfn.LET(_xlpm.str,"'DIL_",IF(LEFT(Table1[[#This Row],[name]],LEN(_xlpm.str))=_xlpm.str,_xlfn.TEXTBEFORE(_xlfn.TEXTBEFORE(_xlfn.TEXTAFTER(Table1[[#This Row],[name]],_xlpm.str),".",-1),"_",-1),""))</f>
        <v/>
      </c>
    </row>
    <row r="246" spans="21:24" x14ac:dyDescent="0.2">
      <c r="U246" s="5" t="s">
        <v>1654</v>
      </c>
      <c r="V246" t="s">
        <v>1019</v>
      </c>
      <c r="W246" t="s">
        <v>394</v>
      </c>
      <c r="X246" t="str">
        <f>_xlfn.LET(_xlpm.str,"'DIL_",IF(LEFT(Table1[[#This Row],[name]],LEN(_xlpm.str))=_xlpm.str,_xlfn.TEXTBEFORE(_xlfn.TEXTBEFORE(_xlfn.TEXTAFTER(Table1[[#This Row],[name]],_xlpm.str),".",-1),"_",-1),""))</f>
        <v/>
      </c>
    </row>
    <row r="247" spans="21:24" x14ac:dyDescent="0.2">
      <c r="U247" s="6" t="s">
        <v>1655</v>
      </c>
      <c r="V247" t="s">
        <v>1020</v>
      </c>
      <c r="W247" t="s">
        <v>395</v>
      </c>
      <c r="X247" t="str">
        <f>_xlfn.LET(_xlpm.str,"'DIL_",IF(LEFT(Table1[[#This Row],[name]],LEN(_xlpm.str))=_xlpm.str,_xlfn.TEXTBEFORE(_xlfn.TEXTBEFORE(_xlfn.TEXTAFTER(Table1[[#This Row],[name]],_xlpm.str),".",-1),"_",-1),""))</f>
        <v/>
      </c>
    </row>
    <row r="248" spans="21:24" x14ac:dyDescent="0.2">
      <c r="U248" s="5" t="s">
        <v>1656</v>
      </c>
      <c r="V248" t="s">
        <v>1021</v>
      </c>
      <c r="W248" t="s">
        <v>396</v>
      </c>
      <c r="X248" t="str">
        <f>_xlfn.LET(_xlpm.str,"'DIL_",IF(LEFT(Table1[[#This Row],[name]],LEN(_xlpm.str))=_xlpm.str,_xlfn.TEXTBEFORE(_xlfn.TEXTBEFORE(_xlfn.TEXTAFTER(Table1[[#This Row],[name]],_xlpm.str),".",-1),"_",-1),""))</f>
        <v/>
      </c>
    </row>
    <row r="249" spans="21:24" x14ac:dyDescent="0.2">
      <c r="U249" s="6" t="s">
        <v>1657</v>
      </c>
      <c r="V249" t="s">
        <v>1022</v>
      </c>
      <c r="W249" t="s">
        <v>397</v>
      </c>
      <c r="X249" t="str">
        <f>_xlfn.LET(_xlpm.str,"'DIL_",IF(LEFT(Table1[[#This Row],[name]],LEN(_xlpm.str))=_xlpm.str,_xlfn.TEXTBEFORE(_xlfn.TEXTBEFORE(_xlfn.TEXTAFTER(Table1[[#This Row],[name]],_xlpm.str),".",-1),"_",-1),""))</f>
        <v/>
      </c>
    </row>
    <row r="250" spans="21:24" x14ac:dyDescent="0.2">
      <c r="U250" s="5" t="s">
        <v>1658</v>
      </c>
      <c r="V250" t="s">
        <v>1023</v>
      </c>
      <c r="W250" t="s">
        <v>398</v>
      </c>
      <c r="X250" t="str">
        <f>_xlfn.LET(_xlpm.str,"'DIL_",IF(LEFT(Table1[[#This Row],[name]],LEN(_xlpm.str))=_xlpm.str,_xlfn.TEXTBEFORE(_xlfn.TEXTBEFORE(_xlfn.TEXTAFTER(Table1[[#This Row],[name]],_xlpm.str),".",-1),"_",-1),""))</f>
        <v/>
      </c>
    </row>
    <row r="251" spans="21:24" x14ac:dyDescent="0.2">
      <c r="U251" s="6" t="s">
        <v>1659</v>
      </c>
      <c r="V251" t="s">
        <v>1024</v>
      </c>
      <c r="W251" t="s">
        <v>399</v>
      </c>
      <c r="X251" t="str">
        <f>_xlfn.LET(_xlpm.str,"'DIL_",IF(LEFT(Table1[[#This Row],[name]],LEN(_xlpm.str))=_xlpm.str,_xlfn.TEXTBEFORE(_xlfn.TEXTBEFORE(_xlfn.TEXTAFTER(Table1[[#This Row],[name]],_xlpm.str),".",-1),"_",-1),""))</f>
        <v/>
      </c>
    </row>
    <row r="252" spans="21:24" x14ac:dyDescent="0.2">
      <c r="U252" s="5" t="s">
        <v>1660</v>
      </c>
      <c r="V252" t="s">
        <v>1025</v>
      </c>
      <c r="W252" t="s">
        <v>400</v>
      </c>
      <c r="X252" t="str">
        <f>_xlfn.LET(_xlpm.str,"'DIL_",IF(LEFT(Table1[[#This Row],[name]],LEN(_xlpm.str))=_xlpm.str,_xlfn.TEXTBEFORE(_xlfn.TEXTBEFORE(_xlfn.TEXTAFTER(Table1[[#This Row],[name]],_xlpm.str),".",-1),"_",-1),""))</f>
        <v/>
      </c>
    </row>
    <row r="253" spans="21:24" x14ac:dyDescent="0.2">
      <c r="U253" s="6" t="s">
        <v>1661</v>
      </c>
      <c r="V253" t="s">
        <v>1026</v>
      </c>
      <c r="W253" t="s">
        <v>401</v>
      </c>
      <c r="X253" t="str">
        <f>_xlfn.LET(_xlpm.str,"'DIL_",IF(LEFT(Table1[[#This Row],[name]],LEN(_xlpm.str))=_xlpm.str,_xlfn.TEXTBEFORE(_xlfn.TEXTBEFORE(_xlfn.TEXTAFTER(Table1[[#This Row],[name]],_xlpm.str),".",-1),"_",-1),""))</f>
        <v/>
      </c>
    </row>
    <row r="254" spans="21:24" x14ac:dyDescent="0.2">
      <c r="U254" s="5" t="s">
        <v>1662</v>
      </c>
      <c r="V254" t="s">
        <v>1027</v>
      </c>
      <c r="W254" t="s">
        <v>402</v>
      </c>
      <c r="X254" t="str">
        <f>_xlfn.LET(_xlpm.str,"'DIL_",IF(LEFT(Table1[[#This Row],[name]],LEN(_xlpm.str))=_xlpm.str,_xlfn.TEXTBEFORE(_xlfn.TEXTBEFORE(_xlfn.TEXTAFTER(Table1[[#This Row],[name]],_xlpm.str),".",-1),"_",-1),""))</f>
        <v/>
      </c>
    </row>
    <row r="255" spans="21:24" x14ac:dyDescent="0.2">
      <c r="U255" s="6" t="s">
        <v>1663</v>
      </c>
      <c r="V255" t="s">
        <v>1028</v>
      </c>
      <c r="W255" t="s">
        <v>403</v>
      </c>
      <c r="X255" t="str">
        <f>_xlfn.LET(_xlpm.str,"'DIL_",IF(LEFT(Table1[[#This Row],[name]],LEN(_xlpm.str))=_xlpm.str,_xlfn.TEXTBEFORE(_xlfn.TEXTBEFORE(_xlfn.TEXTAFTER(Table1[[#This Row],[name]],_xlpm.str),".",-1),"_",-1),""))</f>
        <v/>
      </c>
    </row>
    <row r="256" spans="21:24" x14ac:dyDescent="0.2">
      <c r="U256" s="5" t="s">
        <v>1664</v>
      </c>
      <c r="V256" t="s">
        <v>1029</v>
      </c>
      <c r="W256" t="s">
        <v>404</v>
      </c>
      <c r="X256" t="str">
        <f>_xlfn.LET(_xlpm.str,"'DIL_",IF(LEFT(Table1[[#This Row],[name]],LEN(_xlpm.str))=_xlpm.str,_xlfn.TEXTBEFORE(_xlfn.TEXTBEFORE(_xlfn.TEXTAFTER(Table1[[#This Row],[name]],_xlpm.str),".",-1),"_",-1),""))</f>
        <v/>
      </c>
    </row>
    <row r="257" spans="21:24" x14ac:dyDescent="0.2">
      <c r="U257" s="6" t="s">
        <v>1665</v>
      </c>
      <c r="V257" t="s">
        <v>1030</v>
      </c>
      <c r="W257" t="s">
        <v>405</v>
      </c>
      <c r="X257" t="str">
        <f>_xlfn.LET(_xlpm.str,"'DIL_",IF(LEFT(Table1[[#This Row],[name]],LEN(_xlpm.str))=_xlpm.str,_xlfn.TEXTBEFORE(_xlfn.TEXTBEFORE(_xlfn.TEXTAFTER(Table1[[#This Row],[name]],_xlpm.str),".",-1),"_",-1),""))</f>
        <v/>
      </c>
    </row>
    <row r="258" spans="21:24" x14ac:dyDescent="0.2">
      <c r="U258" s="5" t="s">
        <v>1666</v>
      </c>
      <c r="V258" t="s">
        <v>1031</v>
      </c>
      <c r="W258" t="s">
        <v>406</v>
      </c>
      <c r="X258" t="str">
        <f>_xlfn.LET(_xlpm.str,"'DIL_",IF(LEFT(Table1[[#This Row],[name]],LEN(_xlpm.str))=_xlpm.str,_xlfn.TEXTBEFORE(_xlfn.TEXTBEFORE(_xlfn.TEXTAFTER(Table1[[#This Row],[name]],_xlpm.str),".",-1),"_",-1),""))</f>
        <v/>
      </c>
    </row>
    <row r="259" spans="21:24" x14ac:dyDescent="0.2">
      <c r="U259" s="6" t="s">
        <v>1667</v>
      </c>
      <c r="V259" t="s">
        <v>1032</v>
      </c>
      <c r="W259" t="s">
        <v>407</v>
      </c>
      <c r="X259" t="str">
        <f>_xlfn.LET(_xlpm.str,"'DIL_",IF(LEFT(Table1[[#This Row],[name]],LEN(_xlpm.str))=_xlpm.str,_xlfn.TEXTBEFORE(_xlfn.TEXTBEFORE(_xlfn.TEXTAFTER(Table1[[#This Row],[name]],_xlpm.str),".",-1),"_",-1),""))</f>
        <v/>
      </c>
    </row>
    <row r="260" spans="21:24" x14ac:dyDescent="0.2">
      <c r="U260" s="5" t="s">
        <v>1668</v>
      </c>
      <c r="V260" t="s">
        <v>1033</v>
      </c>
      <c r="W260" t="s">
        <v>408</v>
      </c>
      <c r="X260" t="str">
        <f>_xlfn.LET(_xlpm.str,"'DIL_",IF(LEFT(Table1[[#This Row],[name]],LEN(_xlpm.str))=_xlpm.str,_xlfn.TEXTBEFORE(_xlfn.TEXTBEFORE(_xlfn.TEXTAFTER(Table1[[#This Row],[name]],_xlpm.str),".",-1),"_",-1),""))</f>
        <v/>
      </c>
    </row>
    <row r="261" spans="21:24" x14ac:dyDescent="0.2">
      <c r="U261" s="6" t="s">
        <v>1669</v>
      </c>
      <c r="V261" t="s">
        <v>1034</v>
      </c>
      <c r="W261" t="s">
        <v>409</v>
      </c>
      <c r="X261" t="str">
        <f>_xlfn.LET(_xlpm.str,"'DIL_",IF(LEFT(Table1[[#This Row],[name]],LEN(_xlpm.str))=_xlpm.str,_xlfn.TEXTBEFORE(_xlfn.TEXTBEFORE(_xlfn.TEXTAFTER(Table1[[#This Row],[name]],_xlpm.str),".",-1),"_",-1),""))</f>
        <v/>
      </c>
    </row>
    <row r="262" spans="21:24" x14ac:dyDescent="0.2">
      <c r="U262" s="5" t="s">
        <v>1670</v>
      </c>
      <c r="V262" t="s">
        <v>1035</v>
      </c>
      <c r="W262" t="s">
        <v>410</v>
      </c>
      <c r="X262" t="str">
        <f>_xlfn.LET(_xlpm.str,"'DIL_",IF(LEFT(Table1[[#This Row],[name]],LEN(_xlpm.str))=_xlpm.str,_xlfn.TEXTBEFORE(_xlfn.TEXTBEFORE(_xlfn.TEXTAFTER(Table1[[#This Row],[name]],_xlpm.str),".",-1),"_",-1),""))</f>
        <v/>
      </c>
    </row>
    <row r="263" spans="21:24" x14ac:dyDescent="0.2">
      <c r="U263" s="6" t="s">
        <v>1671</v>
      </c>
      <c r="V263" t="s">
        <v>1035</v>
      </c>
      <c r="W263" t="s">
        <v>411</v>
      </c>
      <c r="X263" t="str">
        <f>_xlfn.LET(_xlpm.str,"'DIL_",IF(LEFT(Table1[[#This Row],[name]],LEN(_xlpm.str))=_xlpm.str,_xlfn.TEXTBEFORE(_xlfn.TEXTBEFORE(_xlfn.TEXTAFTER(Table1[[#This Row],[name]],_xlpm.str),".",-1),"_",-1),""))</f>
        <v/>
      </c>
    </row>
    <row r="264" spans="21:24" x14ac:dyDescent="0.2">
      <c r="U264" s="5" t="s">
        <v>1672</v>
      </c>
      <c r="V264" t="s">
        <v>1036</v>
      </c>
      <c r="W264" t="s">
        <v>412</v>
      </c>
      <c r="X264" t="str">
        <f>_xlfn.LET(_xlpm.str,"'DIL_",IF(LEFT(Table1[[#This Row],[name]],LEN(_xlpm.str))=_xlpm.str,_xlfn.TEXTBEFORE(_xlfn.TEXTBEFORE(_xlfn.TEXTAFTER(Table1[[#This Row],[name]],_xlpm.str),".",-1),"_",-1),""))</f>
        <v/>
      </c>
    </row>
    <row r="265" spans="21:24" x14ac:dyDescent="0.2">
      <c r="U265" s="6" t="s">
        <v>1673</v>
      </c>
      <c r="V265" t="s">
        <v>1037</v>
      </c>
      <c r="W265" t="s">
        <v>413</v>
      </c>
      <c r="X265" t="str">
        <f>_xlfn.LET(_xlpm.str,"'DIL_",IF(LEFT(Table1[[#This Row],[name]],LEN(_xlpm.str))=_xlpm.str,_xlfn.TEXTBEFORE(_xlfn.TEXTBEFORE(_xlfn.TEXTAFTER(Table1[[#This Row],[name]],_xlpm.str),".",-1),"_",-1),""))</f>
        <v/>
      </c>
    </row>
    <row r="266" spans="21:24" x14ac:dyDescent="0.2">
      <c r="U266" s="5" t="s">
        <v>1674</v>
      </c>
      <c r="V266" t="s">
        <v>1038</v>
      </c>
      <c r="W266" t="s">
        <v>414</v>
      </c>
      <c r="X266" t="str">
        <f>_xlfn.LET(_xlpm.str,"'DIL_",IF(LEFT(Table1[[#This Row],[name]],LEN(_xlpm.str))=_xlpm.str,_xlfn.TEXTBEFORE(_xlfn.TEXTBEFORE(_xlfn.TEXTAFTER(Table1[[#This Row],[name]],_xlpm.str),".",-1),"_",-1),""))</f>
        <v/>
      </c>
    </row>
    <row r="267" spans="21:24" x14ac:dyDescent="0.2">
      <c r="U267" s="6" t="s">
        <v>1675</v>
      </c>
      <c r="V267" t="s">
        <v>1039</v>
      </c>
      <c r="W267" t="s">
        <v>415</v>
      </c>
      <c r="X267" t="str">
        <f>_xlfn.LET(_xlpm.str,"'DIL_",IF(LEFT(Table1[[#This Row],[name]],LEN(_xlpm.str))=_xlpm.str,_xlfn.TEXTBEFORE(_xlfn.TEXTBEFORE(_xlfn.TEXTAFTER(Table1[[#This Row],[name]],_xlpm.str),".",-1),"_",-1),""))</f>
        <v/>
      </c>
    </row>
    <row r="268" spans="21:24" x14ac:dyDescent="0.2">
      <c r="U268" s="5" t="s">
        <v>1676</v>
      </c>
      <c r="V268" t="s">
        <v>1040</v>
      </c>
      <c r="W268" t="s">
        <v>416</v>
      </c>
      <c r="X268" t="str">
        <f>_xlfn.LET(_xlpm.str,"'DIL_",IF(LEFT(Table1[[#This Row],[name]],LEN(_xlpm.str))=_xlpm.str,_xlfn.TEXTBEFORE(_xlfn.TEXTBEFORE(_xlfn.TEXTAFTER(Table1[[#This Row],[name]],_xlpm.str),".",-1),"_",-1),""))</f>
        <v/>
      </c>
    </row>
    <row r="269" spans="21:24" x14ac:dyDescent="0.2">
      <c r="U269" s="6" t="s">
        <v>1677</v>
      </c>
      <c r="V269" t="s">
        <v>1041</v>
      </c>
      <c r="W269" t="s">
        <v>417</v>
      </c>
      <c r="X269" t="str">
        <f>_xlfn.LET(_xlpm.str,"'DIL_",IF(LEFT(Table1[[#This Row],[name]],LEN(_xlpm.str))=_xlpm.str,_xlfn.TEXTBEFORE(_xlfn.TEXTBEFORE(_xlfn.TEXTAFTER(Table1[[#This Row],[name]],_xlpm.str),".",-1),"_",-1),""))</f>
        <v/>
      </c>
    </row>
    <row r="270" spans="21:24" x14ac:dyDescent="0.2">
      <c r="U270" s="5" t="s">
        <v>1678</v>
      </c>
      <c r="V270" t="s">
        <v>1042</v>
      </c>
      <c r="W270" t="s">
        <v>418</v>
      </c>
      <c r="X270" t="str">
        <f>_xlfn.LET(_xlpm.str,"'DIL_",IF(LEFT(Table1[[#This Row],[name]],LEN(_xlpm.str))=_xlpm.str,_xlfn.TEXTBEFORE(_xlfn.TEXTBEFORE(_xlfn.TEXTAFTER(Table1[[#This Row],[name]],_xlpm.str),".",-1),"_",-1),""))</f>
        <v/>
      </c>
    </row>
    <row r="271" spans="21:24" x14ac:dyDescent="0.2">
      <c r="U271" s="6" t="s">
        <v>1679</v>
      </c>
      <c r="V271" t="s">
        <v>1043</v>
      </c>
      <c r="W271" t="s">
        <v>419</v>
      </c>
      <c r="X271" t="str">
        <f>_xlfn.LET(_xlpm.str,"'DIL_",IF(LEFT(Table1[[#This Row],[name]],LEN(_xlpm.str))=_xlpm.str,_xlfn.TEXTBEFORE(_xlfn.TEXTBEFORE(_xlfn.TEXTAFTER(Table1[[#This Row],[name]],_xlpm.str),".",-1),"_",-1),""))</f>
        <v/>
      </c>
    </row>
    <row r="272" spans="21:24" x14ac:dyDescent="0.2">
      <c r="U272" s="5" t="s">
        <v>1680</v>
      </c>
      <c r="V272" t="s">
        <v>1044</v>
      </c>
      <c r="W272" t="s">
        <v>420</v>
      </c>
      <c r="X272" t="str">
        <f>_xlfn.LET(_xlpm.str,"'DIL_",IF(LEFT(Table1[[#This Row],[name]],LEN(_xlpm.str))=_xlpm.str,_xlfn.TEXTBEFORE(_xlfn.TEXTBEFORE(_xlfn.TEXTAFTER(Table1[[#This Row],[name]],_xlpm.str),".",-1),"_",-1),""))</f>
        <v/>
      </c>
    </row>
    <row r="273" spans="21:24" x14ac:dyDescent="0.2">
      <c r="U273" s="6" t="s">
        <v>1681</v>
      </c>
      <c r="V273" t="s">
        <v>1045</v>
      </c>
      <c r="W273" t="s">
        <v>421</v>
      </c>
      <c r="X273" t="str">
        <f>_xlfn.LET(_xlpm.str,"'DIL_",IF(LEFT(Table1[[#This Row],[name]],LEN(_xlpm.str))=_xlpm.str,_xlfn.TEXTBEFORE(_xlfn.TEXTBEFORE(_xlfn.TEXTAFTER(Table1[[#This Row],[name]],_xlpm.str),".",-1),"_",-1),""))</f>
        <v/>
      </c>
    </row>
    <row r="274" spans="21:24" x14ac:dyDescent="0.2">
      <c r="U274" s="5" t="s">
        <v>1682</v>
      </c>
      <c r="V274" t="s">
        <v>1046</v>
      </c>
      <c r="W274" t="s">
        <v>422</v>
      </c>
      <c r="X274" t="str">
        <f>_xlfn.LET(_xlpm.str,"'DIL_",IF(LEFT(Table1[[#This Row],[name]],LEN(_xlpm.str))=_xlpm.str,_xlfn.TEXTBEFORE(_xlfn.TEXTBEFORE(_xlfn.TEXTAFTER(Table1[[#This Row],[name]],_xlpm.str),".",-1),"_",-1),""))</f>
        <v/>
      </c>
    </row>
    <row r="275" spans="21:24" x14ac:dyDescent="0.2">
      <c r="U275" s="6" t="s">
        <v>1683</v>
      </c>
      <c r="V275" t="s">
        <v>1047</v>
      </c>
      <c r="W275" t="s">
        <v>423</v>
      </c>
      <c r="X275" t="str">
        <f>_xlfn.LET(_xlpm.str,"'DIL_",IF(LEFT(Table1[[#This Row],[name]],LEN(_xlpm.str))=_xlpm.str,_xlfn.TEXTBEFORE(_xlfn.TEXTBEFORE(_xlfn.TEXTAFTER(Table1[[#This Row],[name]],_xlpm.str),".",-1),"_",-1),""))</f>
        <v/>
      </c>
    </row>
    <row r="276" spans="21:24" x14ac:dyDescent="0.2">
      <c r="U276" s="5" t="s">
        <v>1684</v>
      </c>
      <c r="V276" t="s">
        <v>1048</v>
      </c>
      <c r="W276" t="s">
        <v>424</v>
      </c>
      <c r="X276" t="str">
        <f>_xlfn.LET(_xlpm.str,"'DIL_",IF(LEFT(Table1[[#This Row],[name]],LEN(_xlpm.str))=_xlpm.str,_xlfn.TEXTBEFORE(_xlfn.TEXTBEFORE(_xlfn.TEXTAFTER(Table1[[#This Row],[name]],_xlpm.str),".",-1),"_",-1),""))</f>
        <v/>
      </c>
    </row>
    <row r="277" spans="21:24" x14ac:dyDescent="0.2">
      <c r="U277" s="6" t="s">
        <v>1685</v>
      </c>
      <c r="V277" t="s">
        <v>1049</v>
      </c>
      <c r="W277" t="s">
        <v>425</v>
      </c>
      <c r="X277" t="str">
        <f>_xlfn.LET(_xlpm.str,"'DIL_",IF(LEFT(Table1[[#This Row],[name]],LEN(_xlpm.str))=_xlpm.str,_xlfn.TEXTBEFORE(_xlfn.TEXTBEFORE(_xlfn.TEXTAFTER(Table1[[#This Row],[name]],_xlpm.str),".",-1),"_",-1),""))</f>
        <v/>
      </c>
    </row>
    <row r="278" spans="21:24" x14ac:dyDescent="0.2">
      <c r="U278" s="5" t="s">
        <v>1686</v>
      </c>
      <c r="V278" t="s">
        <v>1050</v>
      </c>
      <c r="W278" t="s">
        <v>426</v>
      </c>
      <c r="X278" t="str">
        <f>_xlfn.LET(_xlpm.str,"'DIL_",IF(LEFT(Table1[[#This Row],[name]],LEN(_xlpm.str))=_xlpm.str,_xlfn.TEXTBEFORE(_xlfn.TEXTBEFORE(_xlfn.TEXTAFTER(Table1[[#This Row],[name]],_xlpm.str),".",-1),"_",-1),""))</f>
        <v/>
      </c>
    </row>
    <row r="279" spans="21:24" x14ac:dyDescent="0.2">
      <c r="U279" s="6" t="s">
        <v>1687</v>
      </c>
      <c r="V279" t="s">
        <v>1051</v>
      </c>
      <c r="W279" t="s">
        <v>427</v>
      </c>
      <c r="X279" t="str">
        <f>_xlfn.LET(_xlpm.str,"'DIL_",IF(LEFT(Table1[[#This Row],[name]],LEN(_xlpm.str))=_xlpm.str,_xlfn.TEXTBEFORE(_xlfn.TEXTBEFORE(_xlfn.TEXTAFTER(Table1[[#This Row],[name]],_xlpm.str),".",-1),"_",-1),""))</f>
        <v/>
      </c>
    </row>
    <row r="280" spans="21:24" x14ac:dyDescent="0.2">
      <c r="U280" s="5" t="s">
        <v>1688</v>
      </c>
      <c r="V280" t="s">
        <v>1052</v>
      </c>
      <c r="W280" t="s">
        <v>428</v>
      </c>
      <c r="X280" t="str">
        <f>_xlfn.LET(_xlpm.str,"'DIL_",IF(LEFT(Table1[[#This Row],[name]],LEN(_xlpm.str))=_xlpm.str,_xlfn.TEXTBEFORE(_xlfn.TEXTBEFORE(_xlfn.TEXTAFTER(Table1[[#This Row],[name]],_xlpm.str),".",-1),"_",-1),""))</f>
        <v/>
      </c>
    </row>
    <row r="281" spans="21:24" x14ac:dyDescent="0.2">
      <c r="U281" s="6" t="s">
        <v>1689</v>
      </c>
      <c r="V281" t="s">
        <v>1053</v>
      </c>
      <c r="W281" t="s">
        <v>429</v>
      </c>
      <c r="X281" t="str">
        <f>_xlfn.LET(_xlpm.str,"'DIL_",IF(LEFT(Table1[[#This Row],[name]],LEN(_xlpm.str))=_xlpm.str,_xlfn.TEXTBEFORE(_xlfn.TEXTBEFORE(_xlfn.TEXTAFTER(Table1[[#This Row],[name]],_xlpm.str),".",-1),"_",-1),""))</f>
        <v/>
      </c>
    </row>
    <row r="282" spans="21:24" x14ac:dyDescent="0.2">
      <c r="U282" s="5" t="s">
        <v>1690</v>
      </c>
      <c r="V282" t="s">
        <v>1054</v>
      </c>
      <c r="W282" t="s">
        <v>430</v>
      </c>
      <c r="X282" t="str">
        <f>_xlfn.LET(_xlpm.str,"'DIL_",IF(LEFT(Table1[[#This Row],[name]],LEN(_xlpm.str))=_xlpm.str,_xlfn.TEXTBEFORE(_xlfn.TEXTBEFORE(_xlfn.TEXTAFTER(Table1[[#This Row],[name]],_xlpm.str),".",-1),"_",-1),""))</f>
        <v/>
      </c>
    </row>
    <row r="283" spans="21:24" x14ac:dyDescent="0.2">
      <c r="U283" s="6" t="s">
        <v>1691</v>
      </c>
      <c r="V283" t="s">
        <v>1055</v>
      </c>
      <c r="W283" t="s">
        <v>431</v>
      </c>
      <c r="X283" t="str">
        <f>_xlfn.LET(_xlpm.str,"'DIL_",IF(LEFT(Table1[[#This Row],[name]],LEN(_xlpm.str))=_xlpm.str,_xlfn.TEXTBEFORE(_xlfn.TEXTBEFORE(_xlfn.TEXTAFTER(Table1[[#This Row],[name]],_xlpm.str),".",-1),"_",-1),""))</f>
        <v/>
      </c>
    </row>
    <row r="284" spans="21:24" x14ac:dyDescent="0.2">
      <c r="U284" s="5" t="s">
        <v>1692</v>
      </c>
      <c r="V284" t="s">
        <v>1056</v>
      </c>
      <c r="W284" t="s">
        <v>432</v>
      </c>
      <c r="X284" t="str">
        <f>_xlfn.LET(_xlpm.str,"'DIL_",IF(LEFT(Table1[[#This Row],[name]],LEN(_xlpm.str))=_xlpm.str,_xlfn.TEXTBEFORE(_xlfn.TEXTBEFORE(_xlfn.TEXTAFTER(Table1[[#This Row],[name]],_xlpm.str),".",-1),"_",-1),""))</f>
        <v/>
      </c>
    </row>
    <row r="285" spans="21:24" x14ac:dyDescent="0.2">
      <c r="U285" s="6" t="s">
        <v>1693</v>
      </c>
      <c r="V285" t="s">
        <v>1057</v>
      </c>
      <c r="W285" t="s">
        <v>433</v>
      </c>
      <c r="X285" t="str">
        <f>_xlfn.LET(_xlpm.str,"'DIL_",IF(LEFT(Table1[[#This Row],[name]],LEN(_xlpm.str))=_xlpm.str,_xlfn.TEXTBEFORE(_xlfn.TEXTBEFORE(_xlfn.TEXTAFTER(Table1[[#This Row],[name]],_xlpm.str),".",-1),"_",-1),""))</f>
        <v/>
      </c>
    </row>
    <row r="286" spans="21:24" x14ac:dyDescent="0.2">
      <c r="U286" s="5" t="s">
        <v>1694</v>
      </c>
      <c r="V286" t="s">
        <v>1058</v>
      </c>
      <c r="W286" t="s">
        <v>434</v>
      </c>
      <c r="X286" t="str">
        <f>_xlfn.LET(_xlpm.str,"'DIL_",IF(LEFT(Table1[[#This Row],[name]],LEN(_xlpm.str))=_xlpm.str,_xlfn.TEXTBEFORE(_xlfn.TEXTBEFORE(_xlfn.TEXTAFTER(Table1[[#This Row],[name]],_xlpm.str),".",-1),"_",-1),""))</f>
        <v/>
      </c>
    </row>
    <row r="287" spans="21:24" x14ac:dyDescent="0.2">
      <c r="U287" s="6" t="s">
        <v>1695</v>
      </c>
      <c r="V287" t="s">
        <v>1059</v>
      </c>
      <c r="W287" t="s">
        <v>435</v>
      </c>
      <c r="X287" t="str">
        <f>_xlfn.LET(_xlpm.str,"'DIL_",IF(LEFT(Table1[[#This Row],[name]],LEN(_xlpm.str))=_xlpm.str,_xlfn.TEXTBEFORE(_xlfn.TEXTBEFORE(_xlfn.TEXTAFTER(Table1[[#This Row],[name]],_xlpm.str),".",-1),"_",-1),""))</f>
        <v/>
      </c>
    </row>
    <row r="288" spans="21:24" x14ac:dyDescent="0.2">
      <c r="U288" s="5" t="s">
        <v>1696</v>
      </c>
      <c r="V288" t="s">
        <v>1060</v>
      </c>
      <c r="W288" t="s">
        <v>436</v>
      </c>
      <c r="X288" t="str">
        <f>_xlfn.LET(_xlpm.str,"'DIL_",IF(LEFT(Table1[[#This Row],[name]],LEN(_xlpm.str))=_xlpm.str,_xlfn.TEXTBEFORE(_xlfn.TEXTBEFORE(_xlfn.TEXTAFTER(Table1[[#This Row],[name]],_xlpm.str),".",-1),"_",-1),""))</f>
        <v/>
      </c>
    </row>
    <row r="289" spans="21:24" x14ac:dyDescent="0.2">
      <c r="U289" s="6" t="s">
        <v>1697</v>
      </c>
      <c r="V289" t="s">
        <v>1061</v>
      </c>
      <c r="W289" t="s">
        <v>437</v>
      </c>
      <c r="X289" t="str">
        <f>_xlfn.LET(_xlpm.str,"'DIL_",IF(LEFT(Table1[[#This Row],[name]],LEN(_xlpm.str))=_xlpm.str,_xlfn.TEXTBEFORE(_xlfn.TEXTBEFORE(_xlfn.TEXTAFTER(Table1[[#This Row],[name]],_xlpm.str),".",-1),"_",-1),""))</f>
        <v/>
      </c>
    </row>
    <row r="290" spans="21:24" x14ac:dyDescent="0.2">
      <c r="U290" s="5" t="s">
        <v>1698</v>
      </c>
      <c r="V290" t="s">
        <v>1062</v>
      </c>
      <c r="W290" t="s">
        <v>438</v>
      </c>
      <c r="X290" t="str">
        <f>_xlfn.LET(_xlpm.str,"'DIL_",IF(LEFT(Table1[[#This Row],[name]],LEN(_xlpm.str))=_xlpm.str,_xlfn.TEXTBEFORE(_xlfn.TEXTBEFORE(_xlfn.TEXTAFTER(Table1[[#This Row],[name]],_xlpm.str),".",-1),"_",-1),""))</f>
        <v/>
      </c>
    </row>
    <row r="291" spans="21:24" x14ac:dyDescent="0.2">
      <c r="U291" s="6" t="s">
        <v>1699</v>
      </c>
      <c r="V291" t="s">
        <v>1063</v>
      </c>
      <c r="W291" t="s">
        <v>439</v>
      </c>
      <c r="X291" t="str">
        <f>_xlfn.LET(_xlpm.str,"'DIL_",IF(LEFT(Table1[[#This Row],[name]],LEN(_xlpm.str))=_xlpm.str,_xlfn.TEXTBEFORE(_xlfn.TEXTBEFORE(_xlfn.TEXTAFTER(Table1[[#This Row],[name]],_xlpm.str),".",-1),"_",-1),""))</f>
        <v/>
      </c>
    </row>
    <row r="292" spans="21:24" x14ac:dyDescent="0.2">
      <c r="U292" s="5" t="s">
        <v>1700</v>
      </c>
      <c r="V292" t="s">
        <v>1064</v>
      </c>
      <c r="W292" t="s">
        <v>440</v>
      </c>
      <c r="X292" t="str">
        <f>_xlfn.LET(_xlpm.str,"'DIL_",IF(LEFT(Table1[[#This Row],[name]],LEN(_xlpm.str))=_xlpm.str,_xlfn.TEXTBEFORE(_xlfn.TEXTBEFORE(_xlfn.TEXTAFTER(Table1[[#This Row],[name]],_xlpm.str),".",-1),"_",-1),""))</f>
        <v/>
      </c>
    </row>
    <row r="293" spans="21:24" x14ac:dyDescent="0.2">
      <c r="U293" s="6" t="s">
        <v>1701</v>
      </c>
      <c r="V293" t="s">
        <v>1065</v>
      </c>
      <c r="W293" t="s">
        <v>441</v>
      </c>
      <c r="X293" t="str">
        <f>_xlfn.LET(_xlpm.str,"'DIL_",IF(LEFT(Table1[[#This Row],[name]],LEN(_xlpm.str))=_xlpm.str,_xlfn.TEXTBEFORE(_xlfn.TEXTBEFORE(_xlfn.TEXTAFTER(Table1[[#This Row],[name]],_xlpm.str),".",-1),"_",-1),""))</f>
        <v/>
      </c>
    </row>
    <row r="294" spans="21:24" x14ac:dyDescent="0.2">
      <c r="U294" s="5" t="s">
        <v>1702</v>
      </c>
      <c r="V294" t="s">
        <v>1066</v>
      </c>
      <c r="W294" t="s">
        <v>442</v>
      </c>
      <c r="X294" t="str">
        <f>_xlfn.LET(_xlpm.str,"'DIL_",IF(LEFT(Table1[[#This Row],[name]],LEN(_xlpm.str))=_xlpm.str,_xlfn.TEXTBEFORE(_xlfn.TEXTBEFORE(_xlfn.TEXTAFTER(Table1[[#This Row],[name]],_xlpm.str),".",-1),"_",-1),""))</f>
        <v/>
      </c>
    </row>
    <row r="295" spans="21:24" x14ac:dyDescent="0.2">
      <c r="U295" s="6" t="s">
        <v>1703</v>
      </c>
      <c r="V295" t="s">
        <v>1067</v>
      </c>
      <c r="W295" t="s">
        <v>443</v>
      </c>
      <c r="X295" t="str">
        <f>_xlfn.LET(_xlpm.str,"'DIL_",IF(LEFT(Table1[[#This Row],[name]],LEN(_xlpm.str))=_xlpm.str,_xlfn.TEXTBEFORE(_xlfn.TEXTBEFORE(_xlfn.TEXTAFTER(Table1[[#This Row],[name]],_xlpm.str),".",-1),"_",-1),""))</f>
        <v/>
      </c>
    </row>
    <row r="296" spans="21:24" x14ac:dyDescent="0.2">
      <c r="U296" s="5" t="s">
        <v>1704</v>
      </c>
      <c r="V296" t="s">
        <v>1068</v>
      </c>
      <c r="W296" t="s">
        <v>444</v>
      </c>
      <c r="X296" t="str">
        <f>_xlfn.LET(_xlpm.str,"'DIL_",IF(LEFT(Table1[[#This Row],[name]],LEN(_xlpm.str))=_xlpm.str,_xlfn.TEXTBEFORE(_xlfn.TEXTBEFORE(_xlfn.TEXTAFTER(Table1[[#This Row],[name]],_xlpm.str),".",-1),"_",-1),""))</f>
        <v/>
      </c>
    </row>
    <row r="297" spans="21:24" x14ac:dyDescent="0.2">
      <c r="U297" s="6" t="s">
        <v>1705</v>
      </c>
      <c r="V297" t="s">
        <v>1069</v>
      </c>
      <c r="W297" t="s">
        <v>445</v>
      </c>
      <c r="X297" t="str">
        <f>_xlfn.LET(_xlpm.str,"'DIL_",IF(LEFT(Table1[[#This Row],[name]],LEN(_xlpm.str))=_xlpm.str,_xlfn.TEXTBEFORE(_xlfn.TEXTBEFORE(_xlfn.TEXTAFTER(Table1[[#This Row],[name]],_xlpm.str),".",-1),"_",-1),""))</f>
        <v/>
      </c>
    </row>
    <row r="298" spans="21:24" x14ac:dyDescent="0.2">
      <c r="U298" s="5" t="s">
        <v>1706</v>
      </c>
      <c r="V298" t="s">
        <v>1070</v>
      </c>
      <c r="W298" t="s">
        <v>446</v>
      </c>
      <c r="X298" t="str">
        <f>_xlfn.LET(_xlpm.str,"'DIL_",IF(LEFT(Table1[[#This Row],[name]],LEN(_xlpm.str))=_xlpm.str,_xlfn.TEXTBEFORE(_xlfn.TEXTBEFORE(_xlfn.TEXTAFTER(Table1[[#This Row],[name]],_xlpm.str),".",-1),"_",-1),""))</f>
        <v/>
      </c>
    </row>
    <row r="299" spans="21:24" x14ac:dyDescent="0.2">
      <c r="U299" s="6" t="s">
        <v>1707</v>
      </c>
      <c r="V299" t="s">
        <v>1071</v>
      </c>
      <c r="W299" t="s">
        <v>447</v>
      </c>
      <c r="X299" t="str">
        <f>_xlfn.LET(_xlpm.str,"'DIL_",IF(LEFT(Table1[[#This Row],[name]],LEN(_xlpm.str))=_xlpm.str,_xlfn.TEXTBEFORE(_xlfn.TEXTBEFORE(_xlfn.TEXTAFTER(Table1[[#This Row],[name]],_xlpm.str),".",-1),"_",-1),""))</f>
        <v/>
      </c>
    </row>
    <row r="300" spans="21:24" x14ac:dyDescent="0.2">
      <c r="U300" s="5" t="s">
        <v>1708</v>
      </c>
      <c r="V300" t="s">
        <v>1072</v>
      </c>
      <c r="W300" t="s">
        <v>448</v>
      </c>
      <c r="X300" t="str">
        <f>_xlfn.LET(_xlpm.str,"'DIL_",IF(LEFT(Table1[[#This Row],[name]],LEN(_xlpm.str))=_xlpm.str,_xlfn.TEXTBEFORE(_xlfn.TEXTBEFORE(_xlfn.TEXTAFTER(Table1[[#This Row],[name]],_xlpm.str),".",-1),"_",-1),""))</f>
        <v/>
      </c>
    </row>
    <row r="301" spans="21:24" x14ac:dyDescent="0.2">
      <c r="U301" s="6" t="s">
        <v>1709</v>
      </c>
      <c r="V301" t="s">
        <v>1073</v>
      </c>
      <c r="W301" t="s">
        <v>449</v>
      </c>
      <c r="X301" t="str">
        <f>_xlfn.LET(_xlpm.str,"'DIL_",IF(LEFT(Table1[[#This Row],[name]],LEN(_xlpm.str))=_xlpm.str,_xlfn.TEXTBEFORE(_xlfn.TEXTBEFORE(_xlfn.TEXTAFTER(Table1[[#This Row],[name]],_xlpm.str),".",-1),"_",-1),""))</f>
        <v/>
      </c>
    </row>
    <row r="302" spans="21:24" x14ac:dyDescent="0.2">
      <c r="U302" s="5" t="s">
        <v>1710</v>
      </c>
      <c r="V302" t="s">
        <v>1074</v>
      </c>
      <c r="W302" t="s">
        <v>450</v>
      </c>
      <c r="X302" t="str">
        <f>_xlfn.LET(_xlpm.str,"'DIL_",IF(LEFT(Table1[[#This Row],[name]],LEN(_xlpm.str))=_xlpm.str,_xlfn.TEXTBEFORE(_xlfn.TEXTBEFORE(_xlfn.TEXTAFTER(Table1[[#This Row],[name]],_xlpm.str),".",-1),"_",-1),""))</f>
        <v/>
      </c>
    </row>
    <row r="303" spans="21:24" x14ac:dyDescent="0.2">
      <c r="U303" s="6" t="s">
        <v>1711</v>
      </c>
      <c r="V303" t="s">
        <v>1075</v>
      </c>
      <c r="W303" t="s">
        <v>451</v>
      </c>
      <c r="X303" t="str">
        <f>_xlfn.LET(_xlpm.str,"'DIL_",IF(LEFT(Table1[[#This Row],[name]],LEN(_xlpm.str))=_xlpm.str,_xlfn.TEXTBEFORE(_xlfn.TEXTBEFORE(_xlfn.TEXTAFTER(Table1[[#This Row],[name]],_xlpm.str),".",-1),"_",-1),""))</f>
        <v/>
      </c>
    </row>
    <row r="304" spans="21:24" x14ac:dyDescent="0.2">
      <c r="U304" s="5" t="s">
        <v>1712</v>
      </c>
      <c r="V304" t="s">
        <v>1076</v>
      </c>
      <c r="W304" t="s">
        <v>452</v>
      </c>
      <c r="X304" t="str">
        <f>_xlfn.LET(_xlpm.str,"'DIL_",IF(LEFT(Table1[[#This Row],[name]],LEN(_xlpm.str))=_xlpm.str,_xlfn.TEXTBEFORE(_xlfn.TEXTBEFORE(_xlfn.TEXTAFTER(Table1[[#This Row],[name]],_xlpm.str),".",-1),"_",-1),""))</f>
        <v/>
      </c>
    </row>
    <row r="305" spans="21:24" x14ac:dyDescent="0.2">
      <c r="U305" s="6" t="s">
        <v>1713</v>
      </c>
      <c r="V305" t="s">
        <v>1077</v>
      </c>
      <c r="W305" t="s">
        <v>453</v>
      </c>
      <c r="X305" t="str">
        <f>_xlfn.LET(_xlpm.str,"'DIL_",IF(LEFT(Table1[[#This Row],[name]],LEN(_xlpm.str))=_xlpm.str,_xlfn.TEXTBEFORE(_xlfn.TEXTBEFORE(_xlfn.TEXTAFTER(Table1[[#This Row],[name]],_xlpm.str),".",-1),"_",-1),""))</f>
        <v/>
      </c>
    </row>
    <row r="306" spans="21:24" x14ac:dyDescent="0.2">
      <c r="U306" s="5" t="s">
        <v>1714</v>
      </c>
      <c r="V306" t="s">
        <v>1078</v>
      </c>
      <c r="W306" t="s">
        <v>454</v>
      </c>
      <c r="X306" t="str">
        <f>_xlfn.LET(_xlpm.str,"'DIL_",IF(LEFT(Table1[[#This Row],[name]],LEN(_xlpm.str))=_xlpm.str,_xlfn.TEXTBEFORE(_xlfn.TEXTBEFORE(_xlfn.TEXTAFTER(Table1[[#This Row],[name]],_xlpm.str),".",-1),"_",-1),""))</f>
        <v/>
      </c>
    </row>
    <row r="307" spans="21:24" x14ac:dyDescent="0.2">
      <c r="U307" s="6" t="s">
        <v>1715</v>
      </c>
      <c r="V307" t="s">
        <v>1079</v>
      </c>
      <c r="W307" t="s">
        <v>455</v>
      </c>
      <c r="X307" t="str">
        <f>_xlfn.LET(_xlpm.str,"'DIL_",IF(LEFT(Table1[[#This Row],[name]],LEN(_xlpm.str))=_xlpm.str,_xlfn.TEXTBEFORE(_xlfn.TEXTBEFORE(_xlfn.TEXTAFTER(Table1[[#This Row],[name]],_xlpm.str),".",-1),"_",-1),""))</f>
        <v/>
      </c>
    </row>
    <row r="308" spans="21:24" x14ac:dyDescent="0.2">
      <c r="U308" s="5" t="s">
        <v>1716</v>
      </c>
      <c r="V308" t="s">
        <v>1080</v>
      </c>
      <c r="W308" t="s">
        <v>456</v>
      </c>
      <c r="X308" t="str">
        <f>_xlfn.LET(_xlpm.str,"'DIL_",IF(LEFT(Table1[[#This Row],[name]],LEN(_xlpm.str))=_xlpm.str,_xlfn.TEXTBEFORE(_xlfn.TEXTBEFORE(_xlfn.TEXTAFTER(Table1[[#This Row],[name]],_xlpm.str),".",-1),"_",-1),""))</f>
        <v/>
      </c>
    </row>
    <row r="309" spans="21:24" x14ac:dyDescent="0.2">
      <c r="U309" s="6" t="s">
        <v>1717</v>
      </c>
      <c r="V309" t="s">
        <v>1081</v>
      </c>
      <c r="W309" t="s">
        <v>457</v>
      </c>
      <c r="X309" t="str">
        <f>_xlfn.LET(_xlpm.str,"'DIL_",IF(LEFT(Table1[[#This Row],[name]],LEN(_xlpm.str))=_xlpm.str,_xlfn.TEXTBEFORE(_xlfn.TEXTBEFORE(_xlfn.TEXTAFTER(Table1[[#This Row],[name]],_xlpm.str),".",-1),"_",-1),""))</f>
        <v/>
      </c>
    </row>
    <row r="310" spans="21:24" x14ac:dyDescent="0.2">
      <c r="U310" s="5" t="s">
        <v>1718</v>
      </c>
      <c r="V310" t="s">
        <v>1082</v>
      </c>
      <c r="W310" t="s">
        <v>458</v>
      </c>
      <c r="X310" t="str">
        <f>_xlfn.LET(_xlpm.str,"'DIL_",IF(LEFT(Table1[[#This Row],[name]],LEN(_xlpm.str))=_xlpm.str,_xlfn.TEXTBEFORE(_xlfn.TEXTBEFORE(_xlfn.TEXTAFTER(Table1[[#This Row],[name]],_xlpm.str),".",-1),"_",-1),""))</f>
        <v/>
      </c>
    </row>
    <row r="311" spans="21:24" x14ac:dyDescent="0.2">
      <c r="U311" s="6" t="s">
        <v>1719</v>
      </c>
      <c r="V311" t="s">
        <v>1083</v>
      </c>
      <c r="W311" t="s">
        <v>459</v>
      </c>
      <c r="X311" t="str">
        <f>_xlfn.LET(_xlpm.str,"'DIL_",IF(LEFT(Table1[[#This Row],[name]],LEN(_xlpm.str))=_xlpm.str,_xlfn.TEXTBEFORE(_xlfn.TEXTBEFORE(_xlfn.TEXTAFTER(Table1[[#This Row],[name]],_xlpm.str),".",-1),"_",-1),""))</f>
        <v/>
      </c>
    </row>
    <row r="312" spans="21:24" x14ac:dyDescent="0.2">
      <c r="U312" s="5" t="s">
        <v>1720</v>
      </c>
      <c r="V312" t="s">
        <v>1084</v>
      </c>
      <c r="W312" t="s">
        <v>460</v>
      </c>
      <c r="X312" t="str">
        <f>_xlfn.LET(_xlpm.str,"'DIL_",IF(LEFT(Table1[[#This Row],[name]],LEN(_xlpm.str))=_xlpm.str,_xlfn.TEXTBEFORE(_xlfn.TEXTBEFORE(_xlfn.TEXTAFTER(Table1[[#This Row],[name]],_xlpm.str),".",-1),"_",-1),""))</f>
        <v/>
      </c>
    </row>
    <row r="313" spans="21:24" x14ac:dyDescent="0.2">
      <c r="U313" s="6" t="s">
        <v>1721</v>
      </c>
      <c r="V313" t="s">
        <v>1085</v>
      </c>
      <c r="W313" t="s">
        <v>461</v>
      </c>
      <c r="X313" t="str">
        <f>_xlfn.LET(_xlpm.str,"'DIL_",IF(LEFT(Table1[[#This Row],[name]],LEN(_xlpm.str))=_xlpm.str,_xlfn.TEXTBEFORE(_xlfn.TEXTBEFORE(_xlfn.TEXTAFTER(Table1[[#This Row],[name]],_xlpm.str),".",-1),"_",-1),""))</f>
        <v/>
      </c>
    </row>
    <row r="314" spans="21:24" x14ac:dyDescent="0.2">
      <c r="U314" s="5" t="s">
        <v>1722</v>
      </c>
      <c r="V314" t="s">
        <v>1086</v>
      </c>
      <c r="W314" t="s">
        <v>462</v>
      </c>
      <c r="X314" t="str">
        <f>_xlfn.LET(_xlpm.str,"'DIL_",IF(LEFT(Table1[[#This Row],[name]],LEN(_xlpm.str))=_xlpm.str,_xlfn.TEXTBEFORE(_xlfn.TEXTBEFORE(_xlfn.TEXTAFTER(Table1[[#This Row],[name]],_xlpm.str),".",-1),"_",-1),""))</f>
        <v/>
      </c>
    </row>
    <row r="315" spans="21:24" x14ac:dyDescent="0.2">
      <c r="U315" s="6" t="s">
        <v>1723</v>
      </c>
      <c r="V315" t="s">
        <v>1087</v>
      </c>
      <c r="W315" t="s">
        <v>463</v>
      </c>
      <c r="X315" t="str">
        <f>_xlfn.LET(_xlpm.str,"'DIL_",IF(LEFT(Table1[[#This Row],[name]],LEN(_xlpm.str))=_xlpm.str,_xlfn.TEXTBEFORE(_xlfn.TEXTBEFORE(_xlfn.TEXTAFTER(Table1[[#This Row],[name]],_xlpm.str),".",-1),"_",-1),""))</f>
        <v/>
      </c>
    </row>
    <row r="316" spans="21:24" x14ac:dyDescent="0.2">
      <c r="U316" s="5" t="s">
        <v>1724</v>
      </c>
      <c r="V316" t="s">
        <v>1088</v>
      </c>
      <c r="W316" t="s">
        <v>464</v>
      </c>
      <c r="X316" t="str">
        <f>_xlfn.LET(_xlpm.str,"'DIL_",IF(LEFT(Table1[[#This Row],[name]],LEN(_xlpm.str))=_xlpm.str,_xlfn.TEXTBEFORE(_xlfn.TEXTBEFORE(_xlfn.TEXTAFTER(Table1[[#This Row],[name]],_xlpm.str),".",-1),"_",-1),""))</f>
        <v/>
      </c>
    </row>
    <row r="317" spans="21:24" x14ac:dyDescent="0.2">
      <c r="U317" s="6" t="s">
        <v>1725</v>
      </c>
      <c r="V317" t="s">
        <v>1089</v>
      </c>
      <c r="W317" t="s">
        <v>465</v>
      </c>
      <c r="X317" t="str">
        <f>_xlfn.LET(_xlpm.str,"'DIL_",IF(LEFT(Table1[[#This Row],[name]],LEN(_xlpm.str))=_xlpm.str,_xlfn.TEXTBEFORE(_xlfn.TEXTBEFORE(_xlfn.TEXTAFTER(Table1[[#This Row],[name]],_xlpm.str),".",-1),"_",-1),""))</f>
        <v/>
      </c>
    </row>
    <row r="318" spans="21:24" x14ac:dyDescent="0.2">
      <c r="U318" s="5" t="s">
        <v>1726</v>
      </c>
      <c r="V318" t="s">
        <v>1090</v>
      </c>
      <c r="W318" t="s">
        <v>466</v>
      </c>
      <c r="X318" t="str">
        <f>_xlfn.LET(_xlpm.str,"'DIL_",IF(LEFT(Table1[[#This Row],[name]],LEN(_xlpm.str))=_xlpm.str,_xlfn.TEXTBEFORE(_xlfn.TEXTBEFORE(_xlfn.TEXTAFTER(Table1[[#This Row],[name]],_xlpm.str),".",-1),"_",-1),""))</f>
        <v/>
      </c>
    </row>
    <row r="319" spans="21:24" x14ac:dyDescent="0.2">
      <c r="U319" s="6" t="s">
        <v>1727</v>
      </c>
      <c r="V319" t="s">
        <v>1091</v>
      </c>
      <c r="W319" t="s">
        <v>467</v>
      </c>
      <c r="X319" t="str">
        <f>_xlfn.LET(_xlpm.str,"'DIL_",IF(LEFT(Table1[[#This Row],[name]],LEN(_xlpm.str))=_xlpm.str,_xlfn.TEXTBEFORE(_xlfn.TEXTBEFORE(_xlfn.TEXTAFTER(Table1[[#This Row],[name]],_xlpm.str),".",-1),"_",-1),""))</f>
        <v/>
      </c>
    </row>
    <row r="320" spans="21:24" x14ac:dyDescent="0.2">
      <c r="U320" s="5" t="s">
        <v>1728</v>
      </c>
      <c r="V320" t="s">
        <v>1092</v>
      </c>
      <c r="W320" t="s">
        <v>468</v>
      </c>
      <c r="X320" t="str">
        <f>_xlfn.LET(_xlpm.str,"'DIL_",IF(LEFT(Table1[[#This Row],[name]],LEN(_xlpm.str))=_xlpm.str,_xlfn.TEXTBEFORE(_xlfn.TEXTBEFORE(_xlfn.TEXTAFTER(Table1[[#This Row],[name]],_xlpm.str),".",-1),"_",-1),""))</f>
        <v/>
      </c>
    </row>
    <row r="321" spans="21:24" x14ac:dyDescent="0.2">
      <c r="U321" s="6" t="s">
        <v>1729</v>
      </c>
      <c r="V321" t="s">
        <v>1093</v>
      </c>
      <c r="W321" t="s">
        <v>469</v>
      </c>
      <c r="X321" t="str">
        <f>_xlfn.LET(_xlpm.str,"'DIL_",IF(LEFT(Table1[[#This Row],[name]],LEN(_xlpm.str))=_xlpm.str,_xlfn.TEXTBEFORE(_xlfn.TEXTBEFORE(_xlfn.TEXTAFTER(Table1[[#This Row],[name]],_xlpm.str),".",-1),"_",-1),""))</f>
        <v/>
      </c>
    </row>
    <row r="322" spans="21:24" x14ac:dyDescent="0.2">
      <c r="U322" s="5" t="s">
        <v>1730</v>
      </c>
      <c r="V322" t="s">
        <v>1094</v>
      </c>
      <c r="W322" t="s">
        <v>470</v>
      </c>
      <c r="X322" t="str">
        <f>_xlfn.LET(_xlpm.str,"'DIL_",IF(LEFT(Table1[[#This Row],[name]],LEN(_xlpm.str))=_xlpm.str,_xlfn.TEXTBEFORE(_xlfn.TEXTBEFORE(_xlfn.TEXTAFTER(Table1[[#This Row],[name]],_xlpm.str),".",-1),"_",-1),""))</f>
        <v/>
      </c>
    </row>
    <row r="323" spans="21:24" x14ac:dyDescent="0.2">
      <c r="U323" s="6" t="s">
        <v>1731</v>
      </c>
      <c r="V323" t="s">
        <v>1095</v>
      </c>
      <c r="W323" t="s">
        <v>471</v>
      </c>
      <c r="X323" t="str">
        <f>_xlfn.LET(_xlpm.str,"'DIL_",IF(LEFT(Table1[[#This Row],[name]],LEN(_xlpm.str))=_xlpm.str,_xlfn.TEXTBEFORE(_xlfn.TEXTBEFORE(_xlfn.TEXTAFTER(Table1[[#This Row],[name]],_xlpm.str),".",-1),"_",-1),""))</f>
        <v/>
      </c>
    </row>
    <row r="324" spans="21:24" x14ac:dyDescent="0.2">
      <c r="U324" s="5" t="s">
        <v>1732</v>
      </c>
      <c r="V324" t="s">
        <v>1096</v>
      </c>
      <c r="W324" t="s">
        <v>472</v>
      </c>
      <c r="X324" t="str">
        <f>_xlfn.LET(_xlpm.str,"'DIL_",IF(LEFT(Table1[[#This Row],[name]],LEN(_xlpm.str))=_xlpm.str,_xlfn.TEXTBEFORE(_xlfn.TEXTBEFORE(_xlfn.TEXTAFTER(Table1[[#This Row],[name]],_xlpm.str),".",-1),"_",-1),""))</f>
        <v/>
      </c>
    </row>
    <row r="325" spans="21:24" x14ac:dyDescent="0.2">
      <c r="U325" s="6" t="s">
        <v>1733</v>
      </c>
      <c r="V325" t="s">
        <v>1097</v>
      </c>
      <c r="W325" t="s">
        <v>473</v>
      </c>
      <c r="X325" t="str">
        <f>_xlfn.LET(_xlpm.str,"'DIL_",IF(LEFT(Table1[[#This Row],[name]],LEN(_xlpm.str))=_xlpm.str,_xlfn.TEXTBEFORE(_xlfn.TEXTBEFORE(_xlfn.TEXTAFTER(Table1[[#This Row],[name]],_xlpm.str),".",-1),"_",-1),""))</f>
        <v/>
      </c>
    </row>
    <row r="326" spans="21:24" x14ac:dyDescent="0.2">
      <c r="U326" s="5" t="s">
        <v>1734</v>
      </c>
      <c r="V326" t="s">
        <v>1098</v>
      </c>
      <c r="W326" t="s">
        <v>474</v>
      </c>
      <c r="X326" t="str">
        <f>_xlfn.LET(_xlpm.str,"'DIL_",IF(LEFT(Table1[[#This Row],[name]],LEN(_xlpm.str))=_xlpm.str,_xlfn.TEXTBEFORE(_xlfn.TEXTBEFORE(_xlfn.TEXTAFTER(Table1[[#This Row],[name]],_xlpm.str),".",-1),"_",-1),""))</f>
        <v/>
      </c>
    </row>
    <row r="327" spans="21:24" x14ac:dyDescent="0.2">
      <c r="U327" s="6" t="s">
        <v>1735</v>
      </c>
      <c r="V327" t="s">
        <v>1099</v>
      </c>
      <c r="W327" t="s">
        <v>475</v>
      </c>
      <c r="X327" t="str">
        <f>_xlfn.LET(_xlpm.str,"'DIL_",IF(LEFT(Table1[[#This Row],[name]],LEN(_xlpm.str))=_xlpm.str,_xlfn.TEXTBEFORE(_xlfn.TEXTBEFORE(_xlfn.TEXTAFTER(Table1[[#This Row],[name]],_xlpm.str),".",-1),"_",-1),""))</f>
        <v/>
      </c>
    </row>
    <row r="328" spans="21:24" x14ac:dyDescent="0.2">
      <c r="U328" s="5" t="s">
        <v>1736</v>
      </c>
      <c r="V328" t="s">
        <v>1100</v>
      </c>
      <c r="W328" t="s">
        <v>476</v>
      </c>
      <c r="X328" t="str">
        <f>_xlfn.LET(_xlpm.str,"'DIL_",IF(LEFT(Table1[[#This Row],[name]],LEN(_xlpm.str))=_xlpm.str,_xlfn.TEXTBEFORE(_xlfn.TEXTBEFORE(_xlfn.TEXTAFTER(Table1[[#This Row],[name]],_xlpm.str),".",-1),"_",-1),""))</f>
        <v/>
      </c>
    </row>
    <row r="329" spans="21:24" x14ac:dyDescent="0.2">
      <c r="U329" s="6" t="s">
        <v>1737</v>
      </c>
      <c r="V329" t="s">
        <v>1101</v>
      </c>
      <c r="W329" t="s">
        <v>477</v>
      </c>
      <c r="X329" t="str">
        <f>_xlfn.LET(_xlpm.str,"'DIL_",IF(LEFT(Table1[[#This Row],[name]],LEN(_xlpm.str))=_xlpm.str,_xlfn.TEXTBEFORE(_xlfn.TEXTBEFORE(_xlfn.TEXTAFTER(Table1[[#This Row],[name]],_xlpm.str),".",-1),"_",-1),""))</f>
        <v/>
      </c>
    </row>
    <row r="330" spans="21:24" x14ac:dyDescent="0.2">
      <c r="U330" s="5" t="s">
        <v>1738</v>
      </c>
      <c r="V330" t="s">
        <v>1102</v>
      </c>
      <c r="W330" t="s">
        <v>478</v>
      </c>
      <c r="X330" t="str">
        <f>_xlfn.LET(_xlpm.str,"'DIL_",IF(LEFT(Table1[[#This Row],[name]],LEN(_xlpm.str))=_xlpm.str,_xlfn.TEXTBEFORE(_xlfn.TEXTBEFORE(_xlfn.TEXTAFTER(Table1[[#This Row],[name]],_xlpm.str),".",-1),"_",-1),""))</f>
        <v/>
      </c>
    </row>
    <row r="331" spans="21:24" x14ac:dyDescent="0.2">
      <c r="U331" s="6" t="s">
        <v>1739</v>
      </c>
      <c r="V331" t="s">
        <v>1103</v>
      </c>
      <c r="W331" t="s">
        <v>479</v>
      </c>
      <c r="X331" t="str">
        <f>_xlfn.LET(_xlpm.str,"'DIL_",IF(LEFT(Table1[[#This Row],[name]],LEN(_xlpm.str))=_xlpm.str,_xlfn.TEXTBEFORE(_xlfn.TEXTBEFORE(_xlfn.TEXTAFTER(Table1[[#This Row],[name]],_xlpm.str),".",-1),"_",-1),""))</f>
        <v/>
      </c>
    </row>
    <row r="332" spans="21:24" x14ac:dyDescent="0.2">
      <c r="U332" s="5" t="s">
        <v>1740</v>
      </c>
      <c r="V332" t="s">
        <v>1103</v>
      </c>
      <c r="W332" t="s">
        <v>480</v>
      </c>
      <c r="X332" t="str">
        <f>_xlfn.LET(_xlpm.str,"'DIL_",IF(LEFT(Table1[[#This Row],[name]],LEN(_xlpm.str))=_xlpm.str,_xlfn.TEXTBEFORE(_xlfn.TEXTBEFORE(_xlfn.TEXTAFTER(Table1[[#This Row],[name]],_xlpm.str),".",-1),"_",-1),""))</f>
        <v/>
      </c>
    </row>
    <row r="333" spans="21:24" x14ac:dyDescent="0.2">
      <c r="U333" s="6" t="s">
        <v>1741</v>
      </c>
      <c r="V333" t="s">
        <v>1104</v>
      </c>
      <c r="W333" t="s">
        <v>481</v>
      </c>
      <c r="X333" t="str">
        <f>_xlfn.LET(_xlpm.str,"'DIL_",IF(LEFT(Table1[[#This Row],[name]],LEN(_xlpm.str))=_xlpm.str,_xlfn.TEXTBEFORE(_xlfn.TEXTBEFORE(_xlfn.TEXTAFTER(Table1[[#This Row],[name]],_xlpm.str),".",-1),"_",-1),""))</f>
        <v/>
      </c>
    </row>
    <row r="334" spans="21:24" x14ac:dyDescent="0.2">
      <c r="U334" s="5" t="s">
        <v>1742</v>
      </c>
      <c r="V334" t="s">
        <v>1105</v>
      </c>
      <c r="W334" t="s">
        <v>482</v>
      </c>
      <c r="X334" t="str">
        <f>_xlfn.LET(_xlpm.str,"'DIL_",IF(LEFT(Table1[[#This Row],[name]],LEN(_xlpm.str))=_xlpm.str,_xlfn.TEXTBEFORE(_xlfn.TEXTBEFORE(_xlfn.TEXTAFTER(Table1[[#This Row],[name]],_xlpm.str),".",-1),"_",-1),""))</f>
        <v/>
      </c>
    </row>
    <row r="335" spans="21:24" x14ac:dyDescent="0.2">
      <c r="U335" s="6" t="s">
        <v>1743</v>
      </c>
      <c r="V335" t="s">
        <v>1106</v>
      </c>
      <c r="W335" t="s">
        <v>483</v>
      </c>
      <c r="X335" t="str">
        <f>_xlfn.LET(_xlpm.str,"'DIL_",IF(LEFT(Table1[[#This Row],[name]],LEN(_xlpm.str))=_xlpm.str,_xlfn.TEXTBEFORE(_xlfn.TEXTBEFORE(_xlfn.TEXTAFTER(Table1[[#This Row],[name]],_xlpm.str),".",-1),"_",-1),""))</f>
        <v/>
      </c>
    </row>
    <row r="336" spans="21:24" x14ac:dyDescent="0.2">
      <c r="U336" s="5" t="s">
        <v>1744</v>
      </c>
      <c r="V336" t="s">
        <v>1107</v>
      </c>
      <c r="W336" t="s">
        <v>484</v>
      </c>
      <c r="X336" t="str">
        <f>_xlfn.LET(_xlpm.str,"'DIL_",IF(LEFT(Table1[[#This Row],[name]],LEN(_xlpm.str))=_xlpm.str,_xlfn.TEXTBEFORE(_xlfn.TEXTBEFORE(_xlfn.TEXTAFTER(Table1[[#This Row],[name]],_xlpm.str),".",-1),"_",-1),""))</f>
        <v/>
      </c>
    </row>
    <row r="337" spans="21:24" x14ac:dyDescent="0.2">
      <c r="U337" s="6" t="s">
        <v>1745</v>
      </c>
      <c r="V337" t="s">
        <v>1108</v>
      </c>
      <c r="W337" t="s">
        <v>485</v>
      </c>
      <c r="X337" t="str">
        <f>_xlfn.LET(_xlpm.str,"'DIL_",IF(LEFT(Table1[[#This Row],[name]],LEN(_xlpm.str))=_xlpm.str,_xlfn.TEXTBEFORE(_xlfn.TEXTBEFORE(_xlfn.TEXTAFTER(Table1[[#This Row],[name]],_xlpm.str),".",-1),"_",-1),""))</f>
        <v/>
      </c>
    </row>
    <row r="338" spans="21:24" x14ac:dyDescent="0.2">
      <c r="U338" s="5" t="s">
        <v>1746</v>
      </c>
      <c r="V338" t="s">
        <v>1109</v>
      </c>
      <c r="W338" t="s">
        <v>486</v>
      </c>
      <c r="X338" t="str">
        <f>_xlfn.LET(_xlpm.str,"'DIL_",IF(LEFT(Table1[[#This Row],[name]],LEN(_xlpm.str))=_xlpm.str,_xlfn.TEXTBEFORE(_xlfn.TEXTBEFORE(_xlfn.TEXTAFTER(Table1[[#This Row],[name]],_xlpm.str),".",-1),"_",-1),""))</f>
        <v/>
      </c>
    </row>
    <row r="339" spans="21:24" x14ac:dyDescent="0.2">
      <c r="U339" s="6" t="s">
        <v>1747</v>
      </c>
      <c r="V339" t="s">
        <v>1110</v>
      </c>
      <c r="W339" t="s">
        <v>487</v>
      </c>
      <c r="X339" t="str">
        <f>_xlfn.LET(_xlpm.str,"'DIL_",IF(LEFT(Table1[[#This Row],[name]],LEN(_xlpm.str))=_xlpm.str,_xlfn.TEXTBEFORE(_xlfn.TEXTBEFORE(_xlfn.TEXTAFTER(Table1[[#This Row],[name]],_xlpm.str),".",-1),"_",-1),""))</f>
        <v/>
      </c>
    </row>
    <row r="340" spans="21:24" x14ac:dyDescent="0.2">
      <c r="U340" s="5" t="s">
        <v>1748</v>
      </c>
      <c r="V340" t="s">
        <v>1111</v>
      </c>
      <c r="W340" t="s">
        <v>488</v>
      </c>
      <c r="X340" t="str">
        <f>_xlfn.LET(_xlpm.str,"'DIL_",IF(LEFT(Table1[[#This Row],[name]],LEN(_xlpm.str))=_xlpm.str,_xlfn.TEXTBEFORE(_xlfn.TEXTBEFORE(_xlfn.TEXTAFTER(Table1[[#This Row],[name]],_xlpm.str),".",-1),"_",-1),""))</f>
        <v/>
      </c>
    </row>
    <row r="341" spans="21:24" x14ac:dyDescent="0.2">
      <c r="U341" s="6" t="s">
        <v>1749</v>
      </c>
      <c r="V341" t="s">
        <v>1112</v>
      </c>
      <c r="W341" t="s">
        <v>489</v>
      </c>
      <c r="X341" t="str">
        <f>_xlfn.LET(_xlpm.str,"'DIL_",IF(LEFT(Table1[[#This Row],[name]],LEN(_xlpm.str))=_xlpm.str,_xlfn.TEXTBEFORE(_xlfn.TEXTBEFORE(_xlfn.TEXTAFTER(Table1[[#This Row],[name]],_xlpm.str),".",-1),"_",-1),""))</f>
        <v/>
      </c>
    </row>
    <row r="342" spans="21:24" x14ac:dyDescent="0.2">
      <c r="U342" s="5" t="s">
        <v>1750</v>
      </c>
      <c r="V342" t="s">
        <v>1113</v>
      </c>
      <c r="W342" t="s">
        <v>490</v>
      </c>
      <c r="X342" t="str">
        <f>_xlfn.LET(_xlpm.str,"'DIL_",IF(LEFT(Table1[[#This Row],[name]],LEN(_xlpm.str))=_xlpm.str,_xlfn.TEXTBEFORE(_xlfn.TEXTBEFORE(_xlfn.TEXTAFTER(Table1[[#This Row],[name]],_xlpm.str),".",-1),"_",-1),""))</f>
        <v/>
      </c>
    </row>
    <row r="343" spans="21:24" x14ac:dyDescent="0.2">
      <c r="U343" s="6" t="s">
        <v>1751</v>
      </c>
      <c r="V343" t="s">
        <v>1114</v>
      </c>
      <c r="W343" t="s">
        <v>491</v>
      </c>
      <c r="X343" t="str">
        <f>_xlfn.LET(_xlpm.str,"'DIL_",IF(LEFT(Table1[[#This Row],[name]],LEN(_xlpm.str))=_xlpm.str,_xlfn.TEXTBEFORE(_xlfn.TEXTBEFORE(_xlfn.TEXTAFTER(Table1[[#This Row],[name]],_xlpm.str),".",-1),"_",-1),""))</f>
        <v/>
      </c>
    </row>
    <row r="344" spans="21:24" x14ac:dyDescent="0.2">
      <c r="U344" s="5" t="s">
        <v>1752</v>
      </c>
      <c r="V344" t="s">
        <v>1115</v>
      </c>
      <c r="W344" t="s">
        <v>492</v>
      </c>
      <c r="X344" t="str">
        <f>_xlfn.LET(_xlpm.str,"'DIL_",IF(LEFT(Table1[[#This Row],[name]],LEN(_xlpm.str))=_xlpm.str,_xlfn.TEXTBEFORE(_xlfn.TEXTBEFORE(_xlfn.TEXTAFTER(Table1[[#This Row],[name]],_xlpm.str),".",-1),"_",-1),""))</f>
        <v/>
      </c>
    </row>
    <row r="345" spans="21:24" x14ac:dyDescent="0.2">
      <c r="U345" s="6" t="s">
        <v>1753</v>
      </c>
      <c r="V345" t="s">
        <v>1116</v>
      </c>
      <c r="W345" t="s">
        <v>493</v>
      </c>
      <c r="X345" t="str">
        <f>_xlfn.LET(_xlpm.str,"'DIL_",IF(LEFT(Table1[[#This Row],[name]],LEN(_xlpm.str))=_xlpm.str,_xlfn.TEXTBEFORE(_xlfn.TEXTBEFORE(_xlfn.TEXTAFTER(Table1[[#This Row],[name]],_xlpm.str),".",-1),"_",-1),""))</f>
        <v/>
      </c>
    </row>
    <row r="346" spans="21:24" x14ac:dyDescent="0.2">
      <c r="U346" s="5" t="s">
        <v>1754</v>
      </c>
      <c r="V346" t="s">
        <v>1117</v>
      </c>
      <c r="W346" t="s">
        <v>494</v>
      </c>
      <c r="X346" t="str">
        <f>_xlfn.LET(_xlpm.str,"'DIL_",IF(LEFT(Table1[[#This Row],[name]],LEN(_xlpm.str))=_xlpm.str,_xlfn.TEXTBEFORE(_xlfn.TEXTBEFORE(_xlfn.TEXTAFTER(Table1[[#This Row],[name]],_xlpm.str),".",-1),"_",-1),""))</f>
        <v/>
      </c>
    </row>
    <row r="347" spans="21:24" x14ac:dyDescent="0.2">
      <c r="U347" s="6" t="s">
        <v>1755</v>
      </c>
      <c r="V347" t="s">
        <v>1118</v>
      </c>
      <c r="W347" t="s">
        <v>495</v>
      </c>
      <c r="X347" t="str">
        <f>_xlfn.LET(_xlpm.str,"'DIL_",IF(LEFT(Table1[[#This Row],[name]],LEN(_xlpm.str))=_xlpm.str,_xlfn.TEXTBEFORE(_xlfn.TEXTBEFORE(_xlfn.TEXTAFTER(Table1[[#This Row],[name]],_xlpm.str),".",-1),"_",-1),""))</f>
        <v/>
      </c>
    </row>
    <row r="348" spans="21:24" x14ac:dyDescent="0.2">
      <c r="U348" s="5" t="s">
        <v>1756</v>
      </c>
      <c r="V348" t="s">
        <v>1119</v>
      </c>
      <c r="W348" t="s">
        <v>496</v>
      </c>
      <c r="X348" t="str">
        <f>_xlfn.LET(_xlpm.str,"'DIL_",IF(LEFT(Table1[[#This Row],[name]],LEN(_xlpm.str))=_xlpm.str,_xlfn.TEXTBEFORE(_xlfn.TEXTBEFORE(_xlfn.TEXTAFTER(Table1[[#This Row],[name]],_xlpm.str),".",-1),"_",-1),""))</f>
        <v/>
      </c>
    </row>
    <row r="349" spans="21:24" x14ac:dyDescent="0.2">
      <c r="U349" s="6" t="s">
        <v>1757</v>
      </c>
      <c r="V349" t="s">
        <v>1120</v>
      </c>
      <c r="W349" t="s">
        <v>497</v>
      </c>
      <c r="X349" t="str">
        <f>_xlfn.LET(_xlpm.str,"'DIL_",IF(LEFT(Table1[[#This Row],[name]],LEN(_xlpm.str))=_xlpm.str,_xlfn.TEXTBEFORE(_xlfn.TEXTBEFORE(_xlfn.TEXTAFTER(Table1[[#This Row],[name]],_xlpm.str),".",-1),"_",-1),""))</f>
        <v/>
      </c>
    </row>
    <row r="350" spans="21:24" x14ac:dyDescent="0.2">
      <c r="U350" s="5" t="s">
        <v>1758</v>
      </c>
      <c r="V350" t="s">
        <v>1121</v>
      </c>
      <c r="W350" t="s">
        <v>498</v>
      </c>
      <c r="X350" t="str">
        <f>_xlfn.LET(_xlpm.str,"'DIL_",IF(LEFT(Table1[[#This Row],[name]],LEN(_xlpm.str))=_xlpm.str,_xlfn.TEXTBEFORE(_xlfn.TEXTBEFORE(_xlfn.TEXTAFTER(Table1[[#This Row],[name]],_xlpm.str),".",-1),"_",-1),""))</f>
        <v/>
      </c>
    </row>
    <row r="351" spans="21:24" x14ac:dyDescent="0.2">
      <c r="U351" s="6" t="s">
        <v>1759</v>
      </c>
      <c r="V351" t="s">
        <v>1122</v>
      </c>
      <c r="W351" t="s">
        <v>499</v>
      </c>
      <c r="X351" t="str">
        <f>_xlfn.LET(_xlpm.str,"'DIL_",IF(LEFT(Table1[[#This Row],[name]],LEN(_xlpm.str))=_xlpm.str,_xlfn.TEXTBEFORE(_xlfn.TEXTBEFORE(_xlfn.TEXTAFTER(Table1[[#This Row],[name]],_xlpm.str),".",-1),"_",-1),""))</f>
        <v/>
      </c>
    </row>
    <row r="352" spans="21:24" x14ac:dyDescent="0.2">
      <c r="U352" s="5" t="s">
        <v>1760</v>
      </c>
      <c r="V352" t="s">
        <v>1119</v>
      </c>
      <c r="W352" t="s">
        <v>500</v>
      </c>
      <c r="X352" t="str">
        <f>_xlfn.LET(_xlpm.str,"'DIL_",IF(LEFT(Table1[[#This Row],[name]],LEN(_xlpm.str))=_xlpm.str,_xlfn.TEXTBEFORE(_xlfn.TEXTBEFORE(_xlfn.TEXTAFTER(Table1[[#This Row],[name]],_xlpm.str),".",-1),"_",-1),""))</f>
        <v/>
      </c>
    </row>
    <row r="353" spans="21:24" x14ac:dyDescent="0.2">
      <c r="U353" s="6" t="s">
        <v>1761</v>
      </c>
      <c r="V353" t="s">
        <v>1123</v>
      </c>
      <c r="W353" t="s">
        <v>501</v>
      </c>
      <c r="X353" t="str">
        <f>_xlfn.LET(_xlpm.str,"'DIL_",IF(LEFT(Table1[[#This Row],[name]],LEN(_xlpm.str))=_xlpm.str,_xlfn.TEXTBEFORE(_xlfn.TEXTBEFORE(_xlfn.TEXTAFTER(Table1[[#This Row],[name]],_xlpm.str),".",-1),"_",-1),""))</f>
        <v/>
      </c>
    </row>
    <row r="354" spans="21:24" x14ac:dyDescent="0.2">
      <c r="U354" s="5" t="s">
        <v>1762</v>
      </c>
      <c r="V354" t="s">
        <v>1124</v>
      </c>
      <c r="W354" t="s">
        <v>502</v>
      </c>
      <c r="X354" t="str">
        <f>_xlfn.LET(_xlpm.str,"'DIL_",IF(LEFT(Table1[[#This Row],[name]],LEN(_xlpm.str))=_xlpm.str,_xlfn.TEXTBEFORE(_xlfn.TEXTBEFORE(_xlfn.TEXTAFTER(Table1[[#This Row],[name]],_xlpm.str),".",-1),"_",-1),""))</f>
        <v/>
      </c>
    </row>
    <row r="355" spans="21:24" x14ac:dyDescent="0.2">
      <c r="U355" s="6" t="s">
        <v>1763</v>
      </c>
      <c r="V355" t="s">
        <v>1125</v>
      </c>
      <c r="W355" t="s">
        <v>503</v>
      </c>
      <c r="X355" t="str">
        <f>_xlfn.LET(_xlpm.str,"'DIL_",IF(LEFT(Table1[[#This Row],[name]],LEN(_xlpm.str))=_xlpm.str,_xlfn.TEXTBEFORE(_xlfn.TEXTBEFORE(_xlfn.TEXTAFTER(Table1[[#This Row],[name]],_xlpm.str),".",-1),"_",-1),""))</f>
        <v/>
      </c>
    </row>
    <row r="356" spans="21:24" x14ac:dyDescent="0.2">
      <c r="U356" s="5" t="s">
        <v>1764</v>
      </c>
      <c r="V356" t="s">
        <v>1126</v>
      </c>
      <c r="W356" t="s">
        <v>504</v>
      </c>
      <c r="X356" t="str">
        <f>_xlfn.LET(_xlpm.str,"'DIL_",IF(LEFT(Table1[[#This Row],[name]],LEN(_xlpm.str))=_xlpm.str,_xlfn.TEXTBEFORE(_xlfn.TEXTBEFORE(_xlfn.TEXTAFTER(Table1[[#This Row],[name]],_xlpm.str),".",-1),"_",-1),""))</f>
        <v/>
      </c>
    </row>
    <row r="357" spans="21:24" x14ac:dyDescent="0.2">
      <c r="U357" s="6" t="s">
        <v>1765</v>
      </c>
      <c r="V357" t="s">
        <v>1127</v>
      </c>
      <c r="W357" t="s">
        <v>505</v>
      </c>
      <c r="X357" t="str">
        <f>_xlfn.LET(_xlpm.str,"'DIL_",IF(LEFT(Table1[[#This Row],[name]],LEN(_xlpm.str))=_xlpm.str,_xlfn.TEXTBEFORE(_xlfn.TEXTBEFORE(_xlfn.TEXTAFTER(Table1[[#This Row],[name]],_xlpm.str),".",-1),"_",-1),""))</f>
        <v/>
      </c>
    </row>
    <row r="358" spans="21:24" x14ac:dyDescent="0.2">
      <c r="U358" s="5" t="s">
        <v>1766</v>
      </c>
      <c r="V358" t="s">
        <v>1128</v>
      </c>
      <c r="W358" t="s">
        <v>506</v>
      </c>
      <c r="X358" t="str">
        <f>_xlfn.LET(_xlpm.str,"'DIL_",IF(LEFT(Table1[[#This Row],[name]],LEN(_xlpm.str))=_xlpm.str,_xlfn.TEXTBEFORE(_xlfn.TEXTBEFORE(_xlfn.TEXTAFTER(Table1[[#This Row],[name]],_xlpm.str),".",-1),"_",-1),""))</f>
        <v/>
      </c>
    </row>
    <row r="359" spans="21:24" x14ac:dyDescent="0.2">
      <c r="U359" s="6" t="s">
        <v>1767</v>
      </c>
      <c r="V359" t="s">
        <v>1124</v>
      </c>
      <c r="W359" t="s">
        <v>507</v>
      </c>
      <c r="X359" t="str">
        <f>_xlfn.LET(_xlpm.str,"'DIL_",IF(LEFT(Table1[[#This Row],[name]],LEN(_xlpm.str))=_xlpm.str,_xlfn.TEXTBEFORE(_xlfn.TEXTBEFORE(_xlfn.TEXTAFTER(Table1[[#This Row],[name]],_xlpm.str),".",-1),"_",-1),""))</f>
        <v/>
      </c>
    </row>
    <row r="360" spans="21:24" x14ac:dyDescent="0.2">
      <c r="U360" s="5" t="s">
        <v>1768</v>
      </c>
      <c r="V360" t="s">
        <v>1129</v>
      </c>
      <c r="W360" t="s">
        <v>508</v>
      </c>
      <c r="X360" t="str">
        <f>_xlfn.LET(_xlpm.str,"'DIL_",IF(LEFT(Table1[[#This Row],[name]],LEN(_xlpm.str))=_xlpm.str,_xlfn.TEXTBEFORE(_xlfn.TEXTBEFORE(_xlfn.TEXTAFTER(Table1[[#This Row],[name]],_xlpm.str),".",-1),"_",-1),""))</f>
        <v/>
      </c>
    </row>
    <row r="361" spans="21:24" x14ac:dyDescent="0.2">
      <c r="U361" s="6" t="s">
        <v>1769</v>
      </c>
      <c r="V361" t="s">
        <v>1126</v>
      </c>
      <c r="W361" t="s">
        <v>509</v>
      </c>
      <c r="X361" t="str">
        <f>_xlfn.LET(_xlpm.str,"'DIL_",IF(LEFT(Table1[[#This Row],[name]],LEN(_xlpm.str))=_xlpm.str,_xlfn.TEXTBEFORE(_xlfn.TEXTBEFORE(_xlfn.TEXTAFTER(Table1[[#This Row],[name]],_xlpm.str),".",-1),"_",-1),""))</f>
        <v/>
      </c>
    </row>
    <row r="362" spans="21:24" x14ac:dyDescent="0.2">
      <c r="U362" s="5" t="s">
        <v>1770</v>
      </c>
      <c r="V362" t="s">
        <v>1127</v>
      </c>
      <c r="W362" t="s">
        <v>510</v>
      </c>
      <c r="X362" t="str">
        <f>_xlfn.LET(_xlpm.str,"'DIL_",IF(LEFT(Table1[[#This Row],[name]],LEN(_xlpm.str))=_xlpm.str,_xlfn.TEXTBEFORE(_xlfn.TEXTBEFORE(_xlfn.TEXTAFTER(Table1[[#This Row],[name]],_xlpm.str),".",-1),"_",-1),""))</f>
        <v/>
      </c>
    </row>
    <row r="363" spans="21:24" x14ac:dyDescent="0.2">
      <c r="U363" s="6" t="s">
        <v>1771</v>
      </c>
      <c r="V363" t="s">
        <v>1128</v>
      </c>
      <c r="W363" t="s">
        <v>511</v>
      </c>
      <c r="X363" t="str">
        <f>_xlfn.LET(_xlpm.str,"'DIL_",IF(LEFT(Table1[[#This Row],[name]],LEN(_xlpm.str))=_xlpm.str,_xlfn.TEXTBEFORE(_xlfn.TEXTBEFORE(_xlfn.TEXTAFTER(Table1[[#This Row],[name]],_xlpm.str),".",-1),"_",-1),""))</f>
        <v/>
      </c>
    </row>
    <row r="364" spans="21:24" x14ac:dyDescent="0.2">
      <c r="U364" s="5" t="s">
        <v>1772</v>
      </c>
      <c r="V364" t="s">
        <v>1130</v>
      </c>
      <c r="W364" t="s">
        <v>512</v>
      </c>
      <c r="X364" t="str">
        <f>_xlfn.LET(_xlpm.str,"'DIL_",IF(LEFT(Table1[[#This Row],[name]],LEN(_xlpm.str))=_xlpm.str,_xlfn.TEXTBEFORE(_xlfn.TEXTBEFORE(_xlfn.TEXTAFTER(Table1[[#This Row],[name]],_xlpm.str),".",-1),"_",-1),""))</f>
        <v/>
      </c>
    </row>
    <row r="365" spans="21:24" x14ac:dyDescent="0.2">
      <c r="U365" s="6" t="s">
        <v>1773</v>
      </c>
      <c r="V365" t="s">
        <v>1131</v>
      </c>
      <c r="W365" t="s">
        <v>513</v>
      </c>
      <c r="X365" t="str">
        <f>_xlfn.LET(_xlpm.str,"'DIL_",IF(LEFT(Table1[[#This Row],[name]],LEN(_xlpm.str))=_xlpm.str,_xlfn.TEXTBEFORE(_xlfn.TEXTBEFORE(_xlfn.TEXTAFTER(Table1[[#This Row],[name]],_xlpm.str),".",-1),"_",-1),""))</f>
        <v/>
      </c>
    </row>
    <row r="366" spans="21:24" x14ac:dyDescent="0.2">
      <c r="U366" s="5" t="s">
        <v>1774</v>
      </c>
      <c r="V366" t="s">
        <v>1132</v>
      </c>
      <c r="W366" t="s">
        <v>514</v>
      </c>
      <c r="X366" t="str">
        <f>_xlfn.LET(_xlpm.str,"'DIL_",IF(LEFT(Table1[[#This Row],[name]],LEN(_xlpm.str))=_xlpm.str,_xlfn.TEXTBEFORE(_xlfn.TEXTBEFORE(_xlfn.TEXTAFTER(Table1[[#This Row],[name]],_xlpm.str),".",-1),"_",-1),""))</f>
        <v/>
      </c>
    </row>
    <row r="367" spans="21:24" x14ac:dyDescent="0.2">
      <c r="U367" s="6" t="s">
        <v>1775</v>
      </c>
      <c r="V367" t="s">
        <v>1133</v>
      </c>
      <c r="W367" t="s">
        <v>515</v>
      </c>
      <c r="X367" t="str">
        <f>_xlfn.LET(_xlpm.str,"'DIL_",IF(LEFT(Table1[[#This Row],[name]],LEN(_xlpm.str))=_xlpm.str,_xlfn.TEXTBEFORE(_xlfn.TEXTBEFORE(_xlfn.TEXTAFTER(Table1[[#This Row],[name]],_xlpm.str),".",-1),"_",-1),""))</f>
        <v>2ippm</v>
      </c>
    </row>
    <row r="368" spans="21:24" x14ac:dyDescent="0.2">
      <c r="U368" s="5" t="s">
        <v>1776</v>
      </c>
      <c r="V368" t="s">
        <v>1134</v>
      </c>
      <c r="W368" t="s">
        <v>516</v>
      </c>
      <c r="X368" t="str">
        <f>_xlfn.LET(_xlpm.str,"'DIL_",IF(LEFT(Table1[[#This Row],[name]],LEN(_xlpm.str))=_xlpm.str,_xlfn.TEXTBEFORE(_xlfn.TEXTBEFORE(_xlfn.TEXTAFTER(Table1[[#This Row],[name]],_xlpm.str),".",-1),"_",-1),""))</f>
        <v>2ippm</v>
      </c>
    </row>
    <row r="369" spans="21:24" x14ac:dyDescent="0.2">
      <c r="U369" s="6" t="s">
        <v>1777</v>
      </c>
      <c r="V369" t="s">
        <v>1135</v>
      </c>
      <c r="W369" t="s">
        <v>517</v>
      </c>
      <c r="X369" t="str">
        <f>_xlfn.LET(_xlpm.str,"'DIL_",IF(LEFT(Table1[[#This Row],[name]],LEN(_xlpm.str))=_xlpm.str,_xlfn.TEXTBEFORE(_xlfn.TEXTBEFORE(_xlfn.TEXTAFTER(Table1[[#This Row],[name]],_xlpm.str),".",-1),"_",-1),""))</f>
        <v>2ippm</v>
      </c>
    </row>
    <row r="370" spans="21:24" x14ac:dyDescent="0.2">
      <c r="U370" s="5" t="s">
        <v>1778</v>
      </c>
      <c r="V370" t="s">
        <v>1136</v>
      </c>
      <c r="W370" t="s">
        <v>518</v>
      </c>
      <c r="X370" t="str">
        <f>_xlfn.LET(_xlpm.str,"'DIL_",IF(LEFT(Table1[[#This Row],[name]],LEN(_xlpm.str))=_xlpm.str,_xlfn.TEXTBEFORE(_xlfn.TEXTBEFORE(_xlfn.TEXTAFTER(Table1[[#This Row],[name]],_xlpm.str),".",-1),"_",-1),""))</f>
        <v>akg</v>
      </c>
    </row>
    <row r="371" spans="21:24" x14ac:dyDescent="0.2">
      <c r="U371" s="6" t="s">
        <v>1779</v>
      </c>
      <c r="V371" t="s">
        <v>1137</v>
      </c>
      <c r="W371" t="s">
        <v>519</v>
      </c>
      <c r="X371" t="str">
        <f>_xlfn.LET(_xlpm.str,"'DIL_",IF(LEFT(Table1[[#This Row],[name]],LEN(_xlpm.str))=_xlpm.str,_xlfn.TEXTBEFORE(_xlfn.TEXTBEFORE(_xlfn.TEXTAFTER(Table1[[#This Row],[name]],_xlpm.str),".",-1),"_",-1),""))</f>
        <v>akg</v>
      </c>
    </row>
    <row r="372" spans="21:24" x14ac:dyDescent="0.2">
      <c r="U372" s="5" t="s">
        <v>1780</v>
      </c>
      <c r="V372" t="s">
        <v>1138</v>
      </c>
      <c r="W372" t="s">
        <v>520</v>
      </c>
      <c r="X372" t="str">
        <f>_xlfn.LET(_xlpm.str,"'DIL_",IF(LEFT(Table1[[#This Row],[name]],LEN(_xlpm.str))=_xlpm.str,_xlfn.TEXTBEFORE(_xlfn.TEXTBEFORE(_xlfn.TEXTAFTER(Table1[[#This Row],[name]],_xlpm.str),".",-1),"_",-1),""))</f>
        <v>akg</v>
      </c>
    </row>
    <row r="373" spans="21:24" x14ac:dyDescent="0.2">
      <c r="U373" s="6" t="s">
        <v>1781</v>
      </c>
      <c r="V373" t="s">
        <v>1139</v>
      </c>
      <c r="W373" t="s">
        <v>521</v>
      </c>
      <c r="X373" t="str">
        <f>_xlfn.LET(_xlpm.str,"'DIL_",IF(LEFT(Table1[[#This Row],[name]],LEN(_xlpm.str))=_xlpm.str,_xlfn.TEXTBEFORE(_xlfn.TEXTBEFORE(_xlfn.TEXTAFTER(Table1[[#This Row],[name]],_xlpm.str),".",-1),"_",-1),""))</f>
        <v>akg</v>
      </c>
    </row>
    <row r="374" spans="21:24" x14ac:dyDescent="0.2">
      <c r="U374" s="5" t="s">
        <v>1782</v>
      </c>
      <c r="V374" t="s">
        <v>1140</v>
      </c>
      <c r="W374" t="s">
        <v>522</v>
      </c>
      <c r="X374" t="str">
        <f>_xlfn.LET(_xlpm.str,"'DIL_",IF(LEFT(Table1[[#This Row],[name]],LEN(_xlpm.str))=_xlpm.str,_xlfn.TEXTBEFORE(_xlfn.TEXTBEFORE(_xlfn.TEXTAFTER(Table1[[#This Row],[name]],_xlpm.str),".",-1),"_",-1),""))</f>
        <v>arg__L</v>
      </c>
    </row>
    <row r="375" spans="21:24" x14ac:dyDescent="0.2">
      <c r="U375" s="6" t="s">
        <v>1783</v>
      </c>
      <c r="V375" t="s">
        <v>1141</v>
      </c>
      <c r="W375" t="s">
        <v>523</v>
      </c>
      <c r="X375" t="str">
        <f>_xlfn.LET(_xlpm.str,"'DIL_",IF(LEFT(Table1[[#This Row],[name]],LEN(_xlpm.str))=_xlpm.str,_xlfn.TEXTBEFORE(_xlfn.TEXTBEFORE(_xlfn.TEXTAFTER(Table1[[#This Row],[name]],_xlpm.str),".",-1),"_",-1),""))</f>
        <v>arg__L</v>
      </c>
    </row>
    <row r="376" spans="21:24" x14ac:dyDescent="0.2">
      <c r="U376" s="5" t="s">
        <v>1784</v>
      </c>
      <c r="V376" t="s">
        <v>1142</v>
      </c>
      <c r="W376" t="s">
        <v>524</v>
      </c>
      <c r="X376" t="str">
        <f>_xlfn.LET(_xlpm.str,"'DIL_",IF(LEFT(Table1[[#This Row],[name]],LEN(_xlpm.str))=_xlpm.str,_xlfn.TEXTBEFORE(_xlfn.TEXTBEFORE(_xlfn.TEXTAFTER(Table1[[#This Row],[name]],_xlpm.str),".",-1),"_",-1),""))</f>
        <v>arg__L</v>
      </c>
    </row>
    <row r="377" spans="21:24" x14ac:dyDescent="0.2">
      <c r="U377" s="6" t="s">
        <v>1785</v>
      </c>
      <c r="V377" t="s">
        <v>1143</v>
      </c>
      <c r="W377" t="s">
        <v>525</v>
      </c>
      <c r="X377" t="str">
        <f>_xlfn.LET(_xlpm.str,"'DIL_",IF(LEFT(Table1[[#This Row],[name]],LEN(_xlpm.str))=_xlpm.str,_xlfn.TEXTBEFORE(_xlfn.TEXTBEFORE(_xlfn.TEXTAFTER(Table1[[#This Row],[name]],_xlpm.str),".",-1),"_",-1),""))</f>
        <v>asn__L</v>
      </c>
    </row>
    <row r="378" spans="21:24" x14ac:dyDescent="0.2">
      <c r="U378" s="5" t="s">
        <v>1786</v>
      </c>
      <c r="V378" t="s">
        <v>1144</v>
      </c>
      <c r="W378" t="s">
        <v>526</v>
      </c>
      <c r="X378" t="str">
        <f>_xlfn.LET(_xlpm.str,"'DIL_",IF(LEFT(Table1[[#This Row],[name]],LEN(_xlpm.str))=_xlpm.str,_xlfn.TEXTBEFORE(_xlfn.TEXTBEFORE(_xlfn.TEXTAFTER(Table1[[#This Row],[name]],_xlpm.str),".",-1),"_",-1),""))</f>
        <v>asn__L</v>
      </c>
    </row>
    <row r="379" spans="21:24" x14ac:dyDescent="0.2">
      <c r="U379" s="6" t="s">
        <v>1787</v>
      </c>
      <c r="V379" t="s">
        <v>1145</v>
      </c>
      <c r="W379" t="s">
        <v>527</v>
      </c>
      <c r="X379" t="str">
        <f>_xlfn.LET(_xlpm.str,"'DIL_",IF(LEFT(Table1[[#This Row],[name]],LEN(_xlpm.str))=_xlpm.str,_xlfn.TEXTBEFORE(_xlfn.TEXTBEFORE(_xlfn.TEXTAFTER(Table1[[#This Row],[name]],_xlpm.str),".",-1),"_",-1),""))</f>
        <v>asn__L</v>
      </c>
    </row>
    <row r="380" spans="21:24" x14ac:dyDescent="0.2">
      <c r="U380" s="5" t="s">
        <v>1788</v>
      </c>
      <c r="V380" t="s">
        <v>1146</v>
      </c>
      <c r="W380" t="s">
        <v>528</v>
      </c>
      <c r="X380" t="str">
        <f>_xlfn.LET(_xlpm.str,"'DIL_",IF(LEFT(Table1[[#This Row],[name]],LEN(_xlpm.str))=_xlpm.str,_xlfn.TEXTBEFORE(_xlfn.TEXTBEFORE(_xlfn.TEXTAFTER(Table1[[#This Row],[name]],_xlpm.str),".",-1),"_",-1),""))</f>
        <v>asp__L</v>
      </c>
    </row>
    <row r="381" spans="21:24" x14ac:dyDescent="0.2">
      <c r="U381" s="6" t="s">
        <v>1789</v>
      </c>
      <c r="V381" t="s">
        <v>1147</v>
      </c>
      <c r="W381" t="s">
        <v>529</v>
      </c>
      <c r="X381" t="str">
        <f>_xlfn.LET(_xlpm.str,"'DIL_",IF(LEFT(Table1[[#This Row],[name]],LEN(_xlpm.str))=_xlpm.str,_xlfn.TEXTBEFORE(_xlfn.TEXTBEFORE(_xlfn.TEXTAFTER(Table1[[#This Row],[name]],_xlpm.str),".",-1),"_",-1),""))</f>
        <v>asp__L</v>
      </c>
    </row>
    <row r="382" spans="21:24" x14ac:dyDescent="0.2">
      <c r="U382" s="5" t="s">
        <v>1790</v>
      </c>
      <c r="V382" t="s">
        <v>1148</v>
      </c>
      <c r="W382" t="s">
        <v>530</v>
      </c>
      <c r="X382" t="str">
        <f>_xlfn.LET(_xlpm.str,"'DIL_",IF(LEFT(Table1[[#This Row],[name]],LEN(_xlpm.str))=_xlpm.str,_xlfn.TEXTBEFORE(_xlfn.TEXTBEFORE(_xlfn.TEXTAFTER(Table1[[#This Row],[name]],_xlpm.str),".",-1),"_",-1),""))</f>
        <v>asp__L</v>
      </c>
    </row>
    <row r="383" spans="21:24" x14ac:dyDescent="0.2">
      <c r="U383" s="6" t="s">
        <v>1791</v>
      </c>
      <c r="V383" t="s">
        <v>1149</v>
      </c>
      <c r="W383" t="s">
        <v>531</v>
      </c>
      <c r="X383" t="str">
        <f>_xlfn.LET(_xlpm.str,"'DIL_",IF(LEFT(Table1[[#This Row],[name]],LEN(_xlpm.str))=_xlpm.str,_xlfn.TEXTBEFORE(_xlfn.TEXTBEFORE(_xlfn.TEXTAFTER(Table1[[#This Row],[name]],_xlpm.str),".",-1),"_",-1),""))</f>
        <v>asp__L</v>
      </c>
    </row>
    <row r="384" spans="21:24" x14ac:dyDescent="0.2">
      <c r="U384" s="5" t="s">
        <v>1792</v>
      </c>
      <c r="V384" t="s">
        <v>1150</v>
      </c>
      <c r="W384" t="s">
        <v>532</v>
      </c>
      <c r="X384" t="str">
        <f>_xlfn.LET(_xlpm.str,"'DIL_",IF(LEFT(Table1[[#This Row],[name]],LEN(_xlpm.str))=_xlpm.str,_xlfn.TEXTBEFORE(_xlfn.TEXTBEFORE(_xlfn.TEXTAFTER(Table1[[#This Row],[name]],_xlpm.str),".",-1),"_",-1),""))</f>
        <v>cit</v>
      </c>
    </row>
    <row r="385" spans="21:24" x14ac:dyDescent="0.2">
      <c r="U385" s="6" t="s">
        <v>1793</v>
      </c>
      <c r="V385" t="s">
        <v>1151</v>
      </c>
      <c r="W385" t="s">
        <v>533</v>
      </c>
      <c r="X385" t="str">
        <f>_xlfn.LET(_xlpm.str,"'DIL_",IF(LEFT(Table1[[#This Row],[name]],LEN(_xlpm.str))=_xlpm.str,_xlfn.TEXTBEFORE(_xlfn.TEXTBEFORE(_xlfn.TEXTAFTER(Table1[[#This Row],[name]],_xlpm.str),".",-1),"_",-1),""))</f>
        <v>cit</v>
      </c>
    </row>
    <row r="386" spans="21:24" x14ac:dyDescent="0.2">
      <c r="U386" s="5" t="s">
        <v>1794</v>
      </c>
      <c r="V386" t="s">
        <v>1152</v>
      </c>
      <c r="W386" t="s">
        <v>534</v>
      </c>
      <c r="X386" t="str">
        <f>_xlfn.LET(_xlpm.str,"'DIL_",IF(LEFT(Table1[[#This Row],[name]],LEN(_xlpm.str))=_xlpm.str,_xlfn.TEXTBEFORE(_xlfn.TEXTBEFORE(_xlfn.TEXTAFTER(Table1[[#This Row],[name]],_xlpm.str),".",-1),"_",-1),""))</f>
        <v>icit</v>
      </c>
    </row>
    <row r="387" spans="21:24" x14ac:dyDescent="0.2">
      <c r="U387" s="6" t="s">
        <v>1795</v>
      </c>
      <c r="V387" t="s">
        <v>1153</v>
      </c>
      <c r="W387" t="s">
        <v>535</v>
      </c>
      <c r="X387" t="str">
        <f>_xlfn.LET(_xlpm.str,"'DIL_",IF(LEFT(Table1[[#This Row],[name]],LEN(_xlpm.str))=_xlpm.str,_xlfn.TEXTBEFORE(_xlfn.TEXTBEFORE(_xlfn.TEXTAFTER(Table1[[#This Row],[name]],_xlpm.str),".",-1),"_",-1),""))</f>
        <v>icit</v>
      </c>
    </row>
    <row r="388" spans="21:24" x14ac:dyDescent="0.2">
      <c r="U388" s="5" t="s">
        <v>1796</v>
      </c>
      <c r="V388" t="s">
        <v>1154</v>
      </c>
      <c r="W388" t="s">
        <v>536</v>
      </c>
      <c r="X388" t="str">
        <f>_xlfn.LET(_xlpm.str,"'DIL_",IF(LEFT(Table1[[#This Row],[name]],LEN(_xlpm.str))=_xlpm.str,_xlfn.TEXTBEFORE(_xlfn.TEXTBEFORE(_xlfn.TEXTAFTER(Table1[[#This Row],[name]],_xlpm.str),".",-1),"_",-1),""))</f>
        <v>citicit</v>
      </c>
    </row>
    <row r="389" spans="21:24" x14ac:dyDescent="0.2">
      <c r="U389" s="6" t="s">
        <v>1797</v>
      </c>
      <c r="V389" t="s">
        <v>1155</v>
      </c>
      <c r="W389" t="s">
        <v>537</v>
      </c>
      <c r="X389" t="str">
        <f>_xlfn.LET(_xlpm.str,"'DIL_",IF(LEFT(Table1[[#This Row],[name]],LEN(_xlpm.str))=_xlpm.str,_xlfn.TEXTBEFORE(_xlfn.TEXTBEFORE(_xlfn.TEXTAFTER(Table1[[#This Row],[name]],_xlpm.str),".",-1),"_",-1),""))</f>
        <v>citicit</v>
      </c>
    </row>
    <row r="390" spans="21:24" x14ac:dyDescent="0.2">
      <c r="U390" s="5" t="s">
        <v>1798</v>
      </c>
      <c r="V390" t="s">
        <v>1156</v>
      </c>
      <c r="W390" t="s">
        <v>538</v>
      </c>
      <c r="X390" t="str">
        <f>_xlfn.LET(_xlpm.str,"'DIL_",IF(LEFT(Table1[[#This Row],[name]],LEN(_xlpm.str))=_xlpm.str,_xlfn.TEXTBEFORE(_xlfn.TEXTBEFORE(_xlfn.TEXTAFTER(Table1[[#This Row],[name]],_xlpm.str),".",-1),"_",-1),""))</f>
        <v>citr__L</v>
      </c>
    </row>
    <row r="391" spans="21:24" x14ac:dyDescent="0.2">
      <c r="U391" s="6" t="s">
        <v>1799</v>
      </c>
      <c r="V391" t="s">
        <v>1157</v>
      </c>
      <c r="W391" t="s">
        <v>539</v>
      </c>
      <c r="X391" t="str">
        <f>_xlfn.LET(_xlpm.str,"'DIL_",IF(LEFT(Table1[[#This Row],[name]],LEN(_xlpm.str))=_xlpm.str,_xlfn.TEXTBEFORE(_xlfn.TEXTBEFORE(_xlfn.TEXTAFTER(Table1[[#This Row],[name]],_xlpm.str),".",-1),"_",-1),""))</f>
        <v>citr__L</v>
      </c>
    </row>
    <row r="392" spans="21:24" x14ac:dyDescent="0.2">
      <c r="U392" s="5" t="s">
        <v>1800</v>
      </c>
      <c r="V392" t="s">
        <v>1158</v>
      </c>
      <c r="W392" t="s">
        <v>540</v>
      </c>
      <c r="X392" t="str">
        <f>_xlfn.LET(_xlpm.str,"'DIL_",IF(LEFT(Table1[[#This Row],[name]],LEN(_xlpm.str))=_xlpm.str,_xlfn.TEXTBEFORE(_xlfn.TEXTBEFORE(_xlfn.TEXTAFTER(Table1[[#This Row],[name]],_xlpm.str),".",-1),"_",-1),""))</f>
        <v>citr__L</v>
      </c>
    </row>
    <row r="393" spans="21:24" x14ac:dyDescent="0.2">
      <c r="U393" s="6" t="s">
        <v>1801</v>
      </c>
      <c r="V393" t="s">
        <v>1159</v>
      </c>
      <c r="W393" t="s">
        <v>541</v>
      </c>
      <c r="X393" t="str">
        <f>_xlfn.LET(_xlpm.str,"'DIL_",IF(LEFT(Table1[[#This Row],[name]],LEN(_xlpm.str))=_xlpm.str,_xlfn.TEXTBEFORE(_xlfn.TEXTBEFORE(_xlfn.TEXTAFTER(Table1[[#This Row],[name]],_xlpm.str),".",-1),"_",-1),""))</f>
        <v>dhap</v>
      </c>
    </row>
    <row r="394" spans="21:24" x14ac:dyDescent="0.2">
      <c r="U394" s="5" t="s">
        <v>1802</v>
      </c>
      <c r="V394" t="s">
        <v>1160</v>
      </c>
      <c r="W394" t="s">
        <v>542</v>
      </c>
      <c r="X394" t="str">
        <f>_xlfn.LET(_xlpm.str,"'DIL_",IF(LEFT(Table1[[#This Row],[name]],LEN(_xlpm.str))=_xlpm.str,_xlfn.TEXTBEFORE(_xlfn.TEXTBEFORE(_xlfn.TEXTAFTER(Table1[[#This Row],[name]],_xlpm.str),".",-1),"_",-1),""))</f>
        <v>dhap</v>
      </c>
    </row>
    <row r="395" spans="21:24" x14ac:dyDescent="0.2">
      <c r="U395" s="6" t="s">
        <v>1803</v>
      </c>
      <c r="V395" t="s">
        <v>1161</v>
      </c>
      <c r="W395" t="s">
        <v>543</v>
      </c>
      <c r="X395" t="str">
        <f>_xlfn.LET(_xlpm.str,"'DIL_",IF(LEFT(Table1[[#This Row],[name]],LEN(_xlpm.str))=_xlpm.str,_xlfn.TEXTBEFORE(_xlfn.TEXTBEFORE(_xlfn.TEXTAFTER(Table1[[#This Row],[name]],_xlpm.str),".",-1),"_",-1),""))</f>
        <v>dhap</v>
      </c>
    </row>
    <row r="396" spans="21:24" x14ac:dyDescent="0.2">
      <c r="U396" s="5" t="s">
        <v>1804</v>
      </c>
      <c r="V396" t="s">
        <v>1162</v>
      </c>
      <c r="W396" t="s">
        <v>544</v>
      </c>
      <c r="X396" t="str">
        <f>_xlfn.LET(_xlpm.str,"'DIL_",IF(LEFT(Table1[[#This Row],[name]],LEN(_xlpm.str))=_xlpm.str,_xlfn.TEXTBEFORE(_xlfn.TEXTBEFORE(_xlfn.TEXTAFTER(Table1[[#This Row],[name]],_xlpm.str),".",-1),"_",-1),""))</f>
        <v>f6p</v>
      </c>
    </row>
    <row r="397" spans="21:24" x14ac:dyDescent="0.2">
      <c r="U397" s="6" t="s">
        <v>1805</v>
      </c>
      <c r="V397" t="s">
        <v>1163</v>
      </c>
      <c r="W397" t="s">
        <v>545</v>
      </c>
      <c r="X397" t="str">
        <f>_xlfn.LET(_xlpm.str,"'DIL_",IF(LEFT(Table1[[#This Row],[name]],LEN(_xlpm.str))=_xlpm.str,_xlfn.TEXTBEFORE(_xlfn.TEXTBEFORE(_xlfn.TEXTAFTER(Table1[[#This Row],[name]],_xlpm.str),".",-1),"_",-1),""))</f>
        <v>f6p</v>
      </c>
    </row>
    <row r="398" spans="21:24" x14ac:dyDescent="0.2">
      <c r="U398" s="5" t="s">
        <v>1806</v>
      </c>
      <c r="V398" t="s">
        <v>1164</v>
      </c>
      <c r="W398" t="s">
        <v>546</v>
      </c>
      <c r="X398" t="str">
        <f>_xlfn.LET(_xlpm.str,"'DIL_",IF(LEFT(Table1[[#This Row],[name]],LEN(_xlpm.str))=_xlpm.str,_xlfn.TEXTBEFORE(_xlfn.TEXTBEFORE(_xlfn.TEXTAFTER(Table1[[#This Row],[name]],_xlpm.str),".",-1),"_",-1),""))</f>
        <v>f6p</v>
      </c>
    </row>
    <row r="399" spans="21:24" x14ac:dyDescent="0.2">
      <c r="U399" s="6" t="s">
        <v>1807</v>
      </c>
      <c r="V399" t="s">
        <v>1165</v>
      </c>
      <c r="W399" t="s">
        <v>547</v>
      </c>
      <c r="X399" t="str">
        <f>_xlfn.LET(_xlpm.str,"'DIL_",IF(LEFT(Table1[[#This Row],[name]],LEN(_xlpm.str))=_xlpm.str,_xlfn.TEXTBEFORE(_xlfn.TEXTBEFORE(_xlfn.TEXTAFTER(Table1[[#This Row],[name]],_xlpm.str),".",-1),"_",-1),""))</f>
        <v>fdp</v>
      </c>
    </row>
    <row r="400" spans="21:24" x14ac:dyDescent="0.2">
      <c r="U400" s="5" t="s">
        <v>1808</v>
      </c>
      <c r="V400" t="s">
        <v>1166</v>
      </c>
      <c r="W400" t="s">
        <v>548</v>
      </c>
      <c r="X400" t="str">
        <f>_xlfn.LET(_xlpm.str,"'DIL_",IF(LEFT(Table1[[#This Row],[name]],LEN(_xlpm.str))=_xlpm.str,_xlfn.TEXTBEFORE(_xlfn.TEXTBEFORE(_xlfn.TEXTAFTER(Table1[[#This Row],[name]],_xlpm.str),".",-1),"_",-1),""))</f>
        <v>fdp</v>
      </c>
    </row>
    <row r="401" spans="21:24" x14ac:dyDescent="0.2">
      <c r="U401" s="6" t="s">
        <v>1809</v>
      </c>
      <c r="V401" t="s">
        <v>1167</v>
      </c>
      <c r="W401" t="s">
        <v>549</v>
      </c>
      <c r="X401" t="str">
        <f>_xlfn.LET(_xlpm.str,"'DIL_",IF(LEFT(Table1[[#This Row],[name]],LEN(_xlpm.str))=_xlpm.str,_xlfn.TEXTBEFORE(_xlfn.TEXTBEFORE(_xlfn.TEXTAFTER(Table1[[#This Row],[name]],_xlpm.str),".",-1),"_",-1),""))</f>
        <v>fdp</v>
      </c>
    </row>
    <row r="402" spans="21:24" x14ac:dyDescent="0.2">
      <c r="U402" s="5" t="s">
        <v>1810</v>
      </c>
      <c r="V402" t="s">
        <v>1168</v>
      </c>
      <c r="W402" t="s">
        <v>550</v>
      </c>
      <c r="X402" t="str">
        <f>_xlfn.LET(_xlpm.str,"'DIL_",IF(LEFT(Table1[[#This Row],[name]],LEN(_xlpm.str))=_xlpm.str,_xlfn.TEXTBEFORE(_xlfn.TEXTBEFORE(_xlfn.TEXTAFTER(Table1[[#This Row],[name]],_xlpm.str),".",-1),"_",-1),""))</f>
        <v>g3p</v>
      </c>
    </row>
    <row r="403" spans="21:24" x14ac:dyDescent="0.2">
      <c r="U403" s="6" t="s">
        <v>1811</v>
      </c>
      <c r="V403" t="s">
        <v>1169</v>
      </c>
      <c r="W403" t="s">
        <v>551</v>
      </c>
      <c r="X403" t="str">
        <f>_xlfn.LET(_xlpm.str,"'DIL_",IF(LEFT(Table1[[#This Row],[name]],LEN(_xlpm.str))=_xlpm.str,_xlfn.TEXTBEFORE(_xlfn.TEXTBEFORE(_xlfn.TEXTAFTER(Table1[[#This Row],[name]],_xlpm.str),".",-1),"_",-1),""))</f>
        <v>g3p</v>
      </c>
    </row>
    <row r="404" spans="21:24" x14ac:dyDescent="0.2">
      <c r="U404" s="5" t="s">
        <v>1812</v>
      </c>
      <c r="V404" t="s">
        <v>1170</v>
      </c>
      <c r="W404" t="s">
        <v>552</v>
      </c>
      <c r="X404" t="str">
        <f>_xlfn.LET(_xlpm.str,"'DIL_",IF(LEFT(Table1[[#This Row],[name]],LEN(_xlpm.str))=_xlpm.str,_xlfn.TEXTBEFORE(_xlfn.TEXTBEFORE(_xlfn.TEXTAFTER(Table1[[#This Row],[name]],_xlpm.str),".",-1),"_",-1),""))</f>
        <v>g3p</v>
      </c>
    </row>
    <row r="405" spans="21:24" x14ac:dyDescent="0.2">
      <c r="U405" s="6" t="s">
        <v>1813</v>
      </c>
      <c r="V405" t="s">
        <v>1171</v>
      </c>
      <c r="W405" t="s">
        <v>553</v>
      </c>
      <c r="X405" t="str">
        <f>_xlfn.LET(_xlpm.str,"'DIL_",IF(LEFT(Table1[[#This Row],[name]],LEN(_xlpm.str))=_xlpm.str,_xlfn.TEXTBEFORE(_xlfn.TEXTBEFORE(_xlfn.TEXTAFTER(Table1[[#This Row],[name]],_xlpm.str),".",-1),"_",-1),""))</f>
        <v>g6p</v>
      </c>
    </row>
    <row r="406" spans="21:24" x14ac:dyDescent="0.2">
      <c r="U406" s="5" t="s">
        <v>1814</v>
      </c>
      <c r="V406" t="s">
        <v>1172</v>
      </c>
      <c r="W406" t="s">
        <v>554</v>
      </c>
      <c r="X406" t="str">
        <f>_xlfn.LET(_xlpm.str,"'DIL_",IF(LEFT(Table1[[#This Row],[name]],LEN(_xlpm.str))=_xlpm.str,_xlfn.TEXTBEFORE(_xlfn.TEXTBEFORE(_xlfn.TEXTAFTER(Table1[[#This Row],[name]],_xlpm.str),".",-1),"_",-1),""))</f>
        <v>g6p</v>
      </c>
    </row>
    <row r="407" spans="21:24" x14ac:dyDescent="0.2">
      <c r="U407" s="6" t="s">
        <v>1815</v>
      </c>
      <c r="V407" t="s">
        <v>1173</v>
      </c>
      <c r="W407" t="s">
        <v>555</v>
      </c>
      <c r="X407" t="str">
        <f>_xlfn.LET(_xlpm.str,"'DIL_",IF(LEFT(Table1[[#This Row],[name]],LEN(_xlpm.str))=_xlpm.str,_xlfn.TEXTBEFORE(_xlfn.TEXTBEFORE(_xlfn.TEXTAFTER(Table1[[#This Row],[name]],_xlpm.str),".",-1),"_",-1),""))</f>
        <v>g6p</v>
      </c>
    </row>
    <row r="408" spans="21:24" x14ac:dyDescent="0.2">
      <c r="U408" s="5" t="s">
        <v>1816</v>
      </c>
      <c r="V408" t="s">
        <v>1174</v>
      </c>
      <c r="W408" t="s">
        <v>556</v>
      </c>
      <c r="X408" t="str">
        <f>_xlfn.LET(_xlpm.str,"'DIL_",IF(LEFT(Table1[[#This Row],[name]],LEN(_xlpm.str))=_xlpm.str,_xlfn.TEXTBEFORE(_xlfn.TEXTBEFORE(_xlfn.TEXTAFTER(Table1[[#This Row],[name]],_xlpm.str),".",-1),"_",-1),""))</f>
        <v>gln__L</v>
      </c>
    </row>
    <row r="409" spans="21:24" x14ac:dyDescent="0.2">
      <c r="U409" s="6" t="s">
        <v>1817</v>
      </c>
      <c r="V409" t="s">
        <v>1175</v>
      </c>
      <c r="W409" t="s">
        <v>557</v>
      </c>
      <c r="X409" t="str">
        <f>_xlfn.LET(_xlpm.str,"'DIL_",IF(LEFT(Table1[[#This Row],[name]],LEN(_xlpm.str))=_xlpm.str,_xlfn.TEXTBEFORE(_xlfn.TEXTBEFORE(_xlfn.TEXTAFTER(Table1[[#This Row],[name]],_xlpm.str),".",-1),"_",-1),""))</f>
        <v>gln__L</v>
      </c>
    </row>
    <row r="410" spans="21:24" x14ac:dyDescent="0.2">
      <c r="U410" s="5" t="s">
        <v>1818</v>
      </c>
      <c r="V410" t="s">
        <v>1176</v>
      </c>
      <c r="W410" t="s">
        <v>558</v>
      </c>
      <c r="X410" t="str">
        <f>_xlfn.LET(_xlpm.str,"'DIL_",IF(LEFT(Table1[[#This Row],[name]],LEN(_xlpm.str))=_xlpm.str,_xlfn.TEXTBEFORE(_xlfn.TEXTBEFORE(_xlfn.TEXTAFTER(Table1[[#This Row],[name]],_xlpm.str),".",-1),"_",-1),""))</f>
        <v>gln__L</v>
      </c>
    </row>
    <row r="411" spans="21:24" x14ac:dyDescent="0.2">
      <c r="U411" s="6" t="s">
        <v>1819</v>
      </c>
      <c r="V411" t="s">
        <v>1177</v>
      </c>
      <c r="W411" t="s">
        <v>559</v>
      </c>
      <c r="X411" t="str">
        <f>_xlfn.LET(_xlpm.str,"'DIL_",IF(LEFT(Table1[[#This Row],[name]],LEN(_xlpm.str))=_xlpm.str,_xlfn.TEXTBEFORE(_xlfn.TEXTBEFORE(_xlfn.TEXTAFTER(Table1[[#This Row],[name]],_xlpm.str),".",-1),"_",-1),""))</f>
        <v>glu__L</v>
      </c>
    </row>
    <row r="412" spans="21:24" x14ac:dyDescent="0.2">
      <c r="U412" s="5" t="s">
        <v>1820</v>
      </c>
      <c r="V412" t="s">
        <v>1178</v>
      </c>
      <c r="W412" t="s">
        <v>560</v>
      </c>
      <c r="X412" t="str">
        <f>_xlfn.LET(_xlpm.str,"'DIL_",IF(LEFT(Table1[[#This Row],[name]],LEN(_xlpm.str))=_xlpm.str,_xlfn.TEXTBEFORE(_xlfn.TEXTBEFORE(_xlfn.TEXTAFTER(Table1[[#This Row],[name]],_xlpm.str),".",-1),"_",-1),""))</f>
        <v>glu__L</v>
      </c>
    </row>
    <row r="413" spans="21:24" x14ac:dyDescent="0.2">
      <c r="U413" s="6" t="s">
        <v>1821</v>
      </c>
      <c r="V413" t="s">
        <v>1179</v>
      </c>
      <c r="W413" t="s">
        <v>561</v>
      </c>
      <c r="X413" t="str">
        <f>_xlfn.LET(_xlpm.str,"'DIL_",IF(LEFT(Table1[[#This Row],[name]],LEN(_xlpm.str))=_xlpm.str,_xlfn.TEXTBEFORE(_xlfn.TEXTBEFORE(_xlfn.TEXTAFTER(Table1[[#This Row],[name]],_xlpm.str),".",-1),"_",-1),""))</f>
        <v>glu__L</v>
      </c>
    </row>
    <row r="414" spans="21:24" x14ac:dyDescent="0.2">
      <c r="U414" s="5" t="s">
        <v>1822</v>
      </c>
      <c r="V414" t="s">
        <v>1180</v>
      </c>
      <c r="W414" t="s">
        <v>562</v>
      </c>
      <c r="X414" t="str">
        <f>_xlfn.LET(_xlpm.str,"'DIL_",IF(LEFT(Table1[[#This Row],[name]],LEN(_xlpm.str))=_xlpm.str,_xlfn.TEXTBEFORE(_xlfn.TEXTBEFORE(_xlfn.TEXTAFTER(Table1[[#This Row],[name]],_xlpm.str),".",-1),"_",-1),""))</f>
        <v>glu__L</v>
      </c>
    </row>
    <row r="415" spans="21:24" x14ac:dyDescent="0.2">
      <c r="U415" s="6" t="s">
        <v>1823</v>
      </c>
      <c r="V415" t="s">
        <v>1181</v>
      </c>
      <c r="W415" t="s">
        <v>563</v>
      </c>
      <c r="X415" t="str">
        <f>_xlfn.LET(_xlpm.str,"'DIL_",IF(LEFT(Table1[[#This Row],[name]],LEN(_xlpm.str))=_xlpm.str,_xlfn.TEXTBEFORE(_xlfn.TEXTBEFORE(_xlfn.TEXTAFTER(Table1[[#This Row],[name]],_xlpm.str),".",-1),"_",-1),""))</f>
        <v>glyc3p</v>
      </c>
    </row>
    <row r="416" spans="21:24" x14ac:dyDescent="0.2">
      <c r="U416" s="5" t="s">
        <v>1824</v>
      </c>
      <c r="V416" t="s">
        <v>1182</v>
      </c>
      <c r="W416" t="s">
        <v>564</v>
      </c>
      <c r="X416" t="str">
        <f>_xlfn.LET(_xlpm.str,"'DIL_",IF(LEFT(Table1[[#This Row],[name]],LEN(_xlpm.str))=_xlpm.str,_xlfn.TEXTBEFORE(_xlfn.TEXTBEFORE(_xlfn.TEXTAFTER(Table1[[#This Row],[name]],_xlpm.str),".",-1),"_",-1),""))</f>
        <v>glyc3p</v>
      </c>
    </row>
    <row r="417" spans="21:24" x14ac:dyDescent="0.2">
      <c r="U417" s="6" t="s">
        <v>1825</v>
      </c>
      <c r="V417" t="s">
        <v>1183</v>
      </c>
      <c r="W417" t="s">
        <v>565</v>
      </c>
      <c r="X417" t="str">
        <f>_xlfn.LET(_xlpm.str,"'DIL_",IF(LEFT(Table1[[#This Row],[name]],LEN(_xlpm.str))=_xlpm.str,_xlfn.TEXTBEFORE(_xlfn.TEXTBEFORE(_xlfn.TEXTAFTER(Table1[[#This Row],[name]],_xlpm.str),".",-1),"_",-1),""))</f>
        <v>glyc3p</v>
      </c>
    </row>
    <row r="418" spans="21:24" x14ac:dyDescent="0.2">
      <c r="U418" s="5" t="s">
        <v>1826</v>
      </c>
      <c r="V418" t="s">
        <v>1184</v>
      </c>
      <c r="W418" t="s">
        <v>566</v>
      </c>
      <c r="X418" t="str">
        <f>_xlfn.LET(_xlpm.str,"'DIL_",IF(LEFT(Table1[[#This Row],[name]],LEN(_xlpm.str))=_xlpm.str,_xlfn.TEXTBEFORE(_xlfn.TEXTBEFORE(_xlfn.TEXTAFTER(Table1[[#This Row],[name]],_xlpm.str),".",-1),"_",-1),""))</f>
        <v>his__L</v>
      </c>
    </row>
    <row r="419" spans="21:24" x14ac:dyDescent="0.2">
      <c r="U419" s="6" t="s">
        <v>1827</v>
      </c>
      <c r="V419" t="s">
        <v>1185</v>
      </c>
      <c r="W419" t="s">
        <v>567</v>
      </c>
      <c r="X419" t="str">
        <f>_xlfn.LET(_xlpm.str,"'DIL_",IF(LEFT(Table1[[#This Row],[name]],LEN(_xlpm.str))=_xlpm.str,_xlfn.TEXTBEFORE(_xlfn.TEXTBEFORE(_xlfn.TEXTAFTER(Table1[[#This Row],[name]],_xlpm.str),".",-1),"_",-1),""))</f>
        <v>his__L</v>
      </c>
    </row>
    <row r="420" spans="21:24" x14ac:dyDescent="0.2">
      <c r="U420" s="5" t="s">
        <v>1828</v>
      </c>
      <c r="V420" t="s">
        <v>1186</v>
      </c>
      <c r="W420" t="s">
        <v>568</v>
      </c>
      <c r="X420" t="str">
        <f>_xlfn.LET(_xlpm.str,"'DIL_",IF(LEFT(Table1[[#This Row],[name]],LEN(_xlpm.str))=_xlpm.str,_xlfn.TEXTBEFORE(_xlfn.TEXTBEFORE(_xlfn.TEXTAFTER(Table1[[#This Row],[name]],_xlpm.str),".",-1),"_",-1),""))</f>
        <v>his__L</v>
      </c>
    </row>
    <row r="421" spans="21:24" x14ac:dyDescent="0.2">
      <c r="U421" s="6" t="s">
        <v>1829</v>
      </c>
      <c r="V421" t="s">
        <v>1187</v>
      </c>
      <c r="W421" t="s">
        <v>569</v>
      </c>
      <c r="X421" t="str">
        <f>_xlfn.LET(_xlpm.str,"'DIL_",IF(LEFT(Table1[[#This Row],[name]],LEN(_xlpm.str))=_xlpm.str,_xlfn.TEXTBEFORE(_xlfn.TEXTBEFORE(_xlfn.TEXTAFTER(Table1[[#This Row],[name]],_xlpm.str),".",-1),"_",-1),""))</f>
        <v>ile__L</v>
      </c>
    </row>
    <row r="422" spans="21:24" x14ac:dyDescent="0.2">
      <c r="U422" s="5" t="s">
        <v>1830</v>
      </c>
      <c r="V422" t="s">
        <v>1188</v>
      </c>
      <c r="W422" t="s">
        <v>570</v>
      </c>
      <c r="X422" t="str">
        <f>_xlfn.LET(_xlpm.str,"'DIL_",IF(LEFT(Table1[[#This Row],[name]],LEN(_xlpm.str))=_xlpm.str,_xlfn.TEXTBEFORE(_xlfn.TEXTBEFORE(_xlfn.TEXTAFTER(Table1[[#This Row],[name]],_xlpm.str),".",-1),"_",-1),""))</f>
        <v>ile__L</v>
      </c>
    </row>
    <row r="423" spans="21:24" x14ac:dyDescent="0.2">
      <c r="U423" s="6" t="s">
        <v>1831</v>
      </c>
      <c r="V423" t="s">
        <v>1189</v>
      </c>
      <c r="W423" t="s">
        <v>571</v>
      </c>
      <c r="X423" t="str">
        <f>_xlfn.LET(_xlpm.str,"'DIL_",IF(LEFT(Table1[[#This Row],[name]],LEN(_xlpm.str))=_xlpm.str,_xlfn.TEXTBEFORE(_xlfn.TEXTBEFORE(_xlfn.TEXTAFTER(Table1[[#This Row],[name]],_xlpm.str),".",-1),"_",-1),""))</f>
        <v>ile__L</v>
      </c>
    </row>
    <row r="424" spans="21:24" x14ac:dyDescent="0.2">
      <c r="U424" s="5" t="s">
        <v>1832</v>
      </c>
      <c r="V424" t="s">
        <v>1190</v>
      </c>
      <c r="W424" t="s">
        <v>572</v>
      </c>
      <c r="X424" t="str">
        <f>_xlfn.LET(_xlpm.str,"'DIL_",IF(LEFT(Table1[[#This Row],[name]],LEN(_xlpm.str))=_xlpm.str,_xlfn.TEXTBEFORE(_xlfn.TEXTBEFORE(_xlfn.TEXTAFTER(Table1[[#This Row],[name]],_xlpm.str),".",-1),"_",-1),""))</f>
        <v>ile__L</v>
      </c>
    </row>
    <row r="425" spans="21:24" x14ac:dyDescent="0.2">
      <c r="U425" s="6" t="s">
        <v>1833</v>
      </c>
      <c r="V425" t="s">
        <v>1191</v>
      </c>
      <c r="W425" t="s">
        <v>573</v>
      </c>
      <c r="X425" t="str">
        <f>_xlfn.LET(_xlpm.str,"'DIL_",IF(LEFT(Table1[[#This Row],[name]],LEN(_xlpm.str))=_xlpm.str,_xlfn.TEXTBEFORE(_xlfn.TEXTBEFORE(_xlfn.TEXTAFTER(Table1[[#This Row],[name]],_xlpm.str),".",-1),"_",-1),""))</f>
        <v>leu__L</v>
      </c>
    </row>
    <row r="426" spans="21:24" x14ac:dyDescent="0.2">
      <c r="U426" s="5" t="s">
        <v>1834</v>
      </c>
      <c r="V426" t="s">
        <v>1192</v>
      </c>
      <c r="W426" t="s">
        <v>574</v>
      </c>
      <c r="X426" t="str">
        <f>_xlfn.LET(_xlpm.str,"'DIL_",IF(LEFT(Table1[[#This Row],[name]],LEN(_xlpm.str))=_xlpm.str,_xlfn.TEXTBEFORE(_xlfn.TEXTBEFORE(_xlfn.TEXTAFTER(Table1[[#This Row],[name]],_xlpm.str),".",-1),"_",-1),""))</f>
        <v>leu__L</v>
      </c>
    </row>
    <row r="427" spans="21:24" x14ac:dyDescent="0.2">
      <c r="U427" s="6" t="s">
        <v>1835</v>
      </c>
      <c r="V427" t="s">
        <v>1193</v>
      </c>
      <c r="W427" t="s">
        <v>575</v>
      </c>
      <c r="X427" t="str">
        <f>_xlfn.LET(_xlpm.str,"'DIL_",IF(LEFT(Table1[[#This Row],[name]],LEN(_xlpm.str))=_xlpm.str,_xlfn.TEXTBEFORE(_xlfn.TEXTBEFORE(_xlfn.TEXTAFTER(Table1[[#This Row],[name]],_xlpm.str),".",-1),"_",-1),""))</f>
        <v>leu__L</v>
      </c>
    </row>
    <row r="428" spans="21:24" x14ac:dyDescent="0.2">
      <c r="U428" s="5" t="s">
        <v>1836</v>
      </c>
      <c r="V428" t="s">
        <v>1194</v>
      </c>
      <c r="W428" t="s">
        <v>576</v>
      </c>
      <c r="X428" t="str">
        <f>_xlfn.LET(_xlpm.str,"'DIL_",IF(LEFT(Table1[[#This Row],[name]],LEN(_xlpm.str))=_xlpm.str,_xlfn.TEXTBEFORE(_xlfn.TEXTBEFORE(_xlfn.TEXTAFTER(Table1[[#This Row],[name]],_xlpm.str),".",-1),"_",-1),""))</f>
        <v>lys__L</v>
      </c>
    </row>
    <row r="429" spans="21:24" x14ac:dyDescent="0.2">
      <c r="U429" s="6" t="s">
        <v>1837</v>
      </c>
      <c r="V429" t="s">
        <v>1195</v>
      </c>
      <c r="W429" t="s">
        <v>577</v>
      </c>
      <c r="X429" t="str">
        <f>_xlfn.LET(_xlpm.str,"'DIL_",IF(LEFT(Table1[[#This Row],[name]],LEN(_xlpm.str))=_xlpm.str,_xlfn.TEXTBEFORE(_xlfn.TEXTBEFORE(_xlfn.TEXTAFTER(Table1[[#This Row],[name]],_xlpm.str),".",-1),"_",-1),""))</f>
        <v>lys__L</v>
      </c>
    </row>
    <row r="430" spans="21:24" x14ac:dyDescent="0.2">
      <c r="U430" s="5" t="s">
        <v>1838</v>
      </c>
      <c r="V430" t="s">
        <v>1196</v>
      </c>
      <c r="W430" t="s">
        <v>578</v>
      </c>
      <c r="X430" t="str">
        <f>_xlfn.LET(_xlpm.str,"'DIL_",IF(LEFT(Table1[[#This Row],[name]],LEN(_xlpm.str))=_xlpm.str,_xlfn.TEXTBEFORE(_xlfn.TEXTBEFORE(_xlfn.TEXTAFTER(Table1[[#This Row],[name]],_xlpm.str),".",-1),"_",-1),""))</f>
        <v>lys__L</v>
      </c>
    </row>
    <row r="431" spans="21:24" x14ac:dyDescent="0.2">
      <c r="U431" s="6" t="s">
        <v>1839</v>
      </c>
      <c r="V431" t="s">
        <v>1197</v>
      </c>
      <c r="W431" t="s">
        <v>579</v>
      </c>
      <c r="X431" t="str">
        <f>_xlfn.LET(_xlpm.str,"'DIL_",IF(LEFT(Table1[[#This Row],[name]],LEN(_xlpm.str))=_xlpm.str,_xlfn.TEXTBEFORE(_xlfn.TEXTBEFORE(_xlfn.TEXTAFTER(Table1[[#This Row],[name]],_xlpm.str),".",-1),"_",-1),""))</f>
        <v>mal__L</v>
      </c>
    </row>
    <row r="432" spans="21:24" x14ac:dyDescent="0.2">
      <c r="U432" s="5" t="s">
        <v>1840</v>
      </c>
      <c r="V432" t="s">
        <v>1198</v>
      </c>
      <c r="W432" t="s">
        <v>580</v>
      </c>
      <c r="X432" t="str">
        <f>_xlfn.LET(_xlpm.str,"'DIL_",IF(LEFT(Table1[[#This Row],[name]],LEN(_xlpm.str))=_xlpm.str,_xlfn.TEXTBEFORE(_xlfn.TEXTBEFORE(_xlfn.TEXTAFTER(Table1[[#This Row],[name]],_xlpm.str),".",-1),"_",-1),""))</f>
        <v>mal__L</v>
      </c>
    </row>
    <row r="433" spans="21:24" x14ac:dyDescent="0.2">
      <c r="U433" s="6" t="s">
        <v>1841</v>
      </c>
      <c r="V433" t="s">
        <v>1199</v>
      </c>
      <c r="W433" t="s">
        <v>581</v>
      </c>
      <c r="X433" t="str">
        <f>_xlfn.LET(_xlpm.str,"'DIL_",IF(LEFT(Table1[[#This Row],[name]],LEN(_xlpm.str))=_xlpm.str,_xlfn.TEXTBEFORE(_xlfn.TEXTBEFORE(_xlfn.TEXTAFTER(Table1[[#This Row],[name]],_xlpm.str),".",-1),"_",-1),""))</f>
        <v>mal__L</v>
      </c>
    </row>
    <row r="434" spans="21:24" x14ac:dyDescent="0.2">
      <c r="U434" s="5" t="s">
        <v>1842</v>
      </c>
      <c r="V434" t="s">
        <v>1200</v>
      </c>
      <c r="W434" t="s">
        <v>582</v>
      </c>
      <c r="X434" t="str">
        <f>_xlfn.LET(_xlpm.str,"'DIL_",IF(LEFT(Table1[[#This Row],[name]],LEN(_xlpm.str))=_xlpm.str,_xlfn.TEXTBEFORE(_xlfn.TEXTBEFORE(_xlfn.TEXTAFTER(Table1[[#This Row],[name]],_xlpm.str),".",-1),"_",-1),""))</f>
        <v>mal__L</v>
      </c>
    </row>
    <row r="435" spans="21:24" x14ac:dyDescent="0.2">
      <c r="U435" s="6" t="s">
        <v>1843</v>
      </c>
      <c r="V435" t="s">
        <v>1201</v>
      </c>
      <c r="W435" t="s">
        <v>583</v>
      </c>
      <c r="X435" t="str">
        <f>_xlfn.LET(_xlpm.str,"'DIL_",IF(LEFT(Table1[[#This Row],[name]],LEN(_xlpm.str))=_xlpm.str,_xlfn.TEXTBEFORE(_xlfn.TEXTBEFORE(_xlfn.TEXTAFTER(Table1[[#This Row],[name]],_xlpm.str),".",-1),"_",-1),""))</f>
        <v>met__L</v>
      </c>
    </row>
    <row r="436" spans="21:24" x14ac:dyDescent="0.2">
      <c r="U436" s="5" t="s">
        <v>1844</v>
      </c>
      <c r="V436" t="s">
        <v>1202</v>
      </c>
      <c r="W436" t="s">
        <v>584</v>
      </c>
      <c r="X436" t="str">
        <f>_xlfn.LET(_xlpm.str,"'DIL_",IF(LEFT(Table1[[#This Row],[name]],LEN(_xlpm.str))=_xlpm.str,_xlfn.TEXTBEFORE(_xlfn.TEXTBEFORE(_xlfn.TEXTAFTER(Table1[[#This Row],[name]],_xlpm.str),".",-1),"_",-1),""))</f>
        <v>met__L</v>
      </c>
    </row>
    <row r="437" spans="21:24" x14ac:dyDescent="0.2">
      <c r="U437" s="6" t="s">
        <v>1845</v>
      </c>
      <c r="V437" t="s">
        <v>1203</v>
      </c>
      <c r="W437" t="s">
        <v>585</v>
      </c>
      <c r="X437" t="str">
        <f>_xlfn.LET(_xlpm.str,"'DIL_",IF(LEFT(Table1[[#This Row],[name]],LEN(_xlpm.str))=_xlpm.str,_xlfn.TEXTBEFORE(_xlfn.TEXTBEFORE(_xlfn.TEXTAFTER(Table1[[#This Row],[name]],_xlpm.str),".",-1),"_",-1),""))</f>
        <v>met__L</v>
      </c>
    </row>
    <row r="438" spans="21:24" x14ac:dyDescent="0.2">
      <c r="U438" s="5" t="s">
        <v>1846</v>
      </c>
      <c r="V438" t="s">
        <v>1204</v>
      </c>
      <c r="W438" t="s">
        <v>586</v>
      </c>
      <c r="X438" t="str">
        <f>_xlfn.LET(_xlpm.str,"'DIL_",IF(LEFT(Table1[[#This Row],[name]],LEN(_xlpm.str))=_xlpm.str,_xlfn.TEXTBEFORE(_xlfn.TEXTBEFORE(_xlfn.TEXTAFTER(Table1[[#This Row],[name]],_xlpm.str),".",-1),"_",-1),""))</f>
        <v>orn</v>
      </c>
    </row>
    <row r="439" spans="21:24" x14ac:dyDescent="0.2">
      <c r="U439" s="6" t="s">
        <v>1847</v>
      </c>
      <c r="V439" t="s">
        <v>1205</v>
      </c>
      <c r="W439" t="s">
        <v>587</v>
      </c>
      <c r="X439" t="str">
        <f>_xlfn.LET(_xlpm.str,"'DIL_",IF(LEFT(Table1[[#This Row],[name]],LEN(_xlpm.str))=_xlpm.str,_xlfn.TEXTBEFORE(_xlfn.TEXTBEFORE(_xlfn.TEXTAFTER(Table1[[#This Row],[name]],_xlpm.str),".",-1),"_",-1),""))</f>
        <v>orn</v>
      </c>
    </row>
    <row r="440" spans="21:24" x14ac:dyDescent="0.2">
      <c r="U440" s="5" t="s">
        <v>1848</v>
      </c>
      <c r="V440" t="s">
        <v>1206</v>
      </c>
      <c r="W440" t="s">
        <v>588</v>
      </c>
      <c r="X440" t="str">
        <f>_xlfn.LET(_xlpm.str,"'DIL_",IF(LEFT(Table1[[#This Row],[name]],LEN(_xlpm.str))=_xlpm.str,_xlfn.TEXTBEFORE(_xlfn.TEXTBEFORE(_xlfn.TEXTAFTER(Table1[[#This Row],[name]],_xlpm.str),".",-1),"_",-1),""))</f>
        <v>orn</v>
      </c>
    </row>
    <row r="441" spans="21:24" x14ac:dyDescent="0.2">
      <c r="U441" s="6" t="s">
        <v>1849</v>
      </c>
      <c r="V441" t="s">
        <v>1207</v>
      </c>
      <c r="W441" t="s">
        <v>589</v>
      </c>
      <c r="X441" t="str">
        <f>_xlfn.LET(_xlpm.str,"'DIL_",IF(LEFT(Table1[[#This Row],[name]],LEN(_xlpm.str))=_xlpm.str,_xlfn.TEXTBEFORE(_xlfn.TEXTBEFORE(_xlfn.TEXTAFTER(Table1[[#This Row],[name]],_xlpm.str),".",-1),"_",-1),""))</f>
        <v>orn</v>
      </c>
    </row>
    <row r="442" spans="21:24" x14ac:dyDescent="0.2">
      <c r="U442" s="5" t="s">
        <v>1850</v>
      </c>
      <c r="V442" t="s">
        <v>1208</v>
      </c>
      <c r="W442" t="s">
        <v>590</v>
      </c>
      <c r="X442" t="str">
        <f>_xlfn.LET(_xlpm.str,"'DIL_",IF(LEFT(Table1[[#This Row],[name]],LEN(_xlpm.str))=_xlpm.str,_xlfn.TEXTBEFORE(_xlfn.TEXTBEFORE(_xlfn.TEXTAFTER(Table1[[#This Row],[name]],_xlpm.str),".",-1),"_",-1),""))</f>
        <v>orot</v>
      </c>
    </row>
    <row r="443" spans="21:24" x14ac:dyDescent="0.2">
      <c r="U443" s="6" t="s">
        <v>1851</v>
      </c>
      <c r="V443" t="s">
        <v>1209</v>
      </c>
      <c r="W443" t="s">
        <v>591</v>
      </c>
      <c r="X443" t="str">
        <f>_xlfn.LET(_xlpm.str,"'DIL_",IF(LEFT(Table1[[#This Row],[name]],LEN(_xlpm.str))=_xlpm.str,_xlfn.TEXTBEFORE(_xlfn.TEXTBEFORE(_xlfn.TEXTAFTER(Table1[[#This Row],[name]],_xlpm.str),".",-1),"_",-1),""))</f>
        <v>orot</v>
      </c>
    </row>
    <row r="444" spans="21:24" x14ac:dyDescent="0.2">
      <c r="U444" s="5" t="s">
        <v>1852</v>
      </c>
      <c r="V444" t="s">
        <v>1210</v>
      </c>
      <c r="W444" t="s">
        <v>592</v>
      </c>
      <c r="X444" t="str">
        <f>_xlfn.LET(_xlpm.str,"'DIL_",IF(LEFT(Table1[[#This Row],[name]],LEN(_xlpm.str))=_xlpm.str,_xlfn.TEXTBEFORE(_xlfn.TEXTBEFORE(_xlfn.TEXTAFTER(Table1[[#This Row],[name]],_xlpm.str),".",-1),"_",-1),""))</f>
        <v>orot</v>
      </c>
    </row>
    <row r="445" spans="21:24" x14ac:dyDescent="0.2">
      <c r="U445" s="6" t="s">
        <v>1853</v>
      </c>
      <c r="V445" t="s">
        <v>1211</v>
      </c>
      <c r="W445" t="s">
        <v>593</v>
      </c>
      <c r="X445" t="str">
        <f>_xlfn.LET(_xlpm.str,"'DIL_",IF(LEFT(Table1[[#This Row],[name]],LEN(_xlpm.str))=_xlpm.str,_xlfn.TEXTBEFORE(_xlfn.TEXTBEFORE(_xlfn.TEXTAFTER(Table1[[#This Row],[name]],_xlpm.str),".",-1),"_",-1),""))</f>
        <v>pep</v>
      </c>
    </row>
    <row r="446" spans="21:24" x14ac:dyDescent="0.2">
      <c r="U446" s="5" t="s">
        <v>1854</v>
      </c>
      <c r="V446" t="s">
        <v>1212</v>
      </c>
      <c r="W446" t="s">
        <v>594</v>
      </c>
      <c r="X446" t="str">
        <f>_xlfn.LET(_xlpm.str,"'DIL_",IF(LEFT(Table1[[#This Row],[name]],LEN(_xlpm.str))=_xlpm.str,_xlfn.TEXTBEFORE(_xlfn.TEXTBEFORE(_xlfn.TEXTAFTER(Table1[[#This Row],[name]],_xlpm.str),".",-1),"_",-1),""))</f>
        <v>pep</v>
      </c>
    </row>
    <row r="447" spans="21:24" x14ac:dyDescent="0.2">
      <c r="U447" s="6" t="s">
        <v>1855</v>
      </c>
      <c r="V447" t="s">
        <v>1213</v>
      </c>
      <c r="W447" t="s">
        <v>595</v>
      </c>
      <c r="X447" t="str">
        <f>_xlfn.LET(_xlpm.str,"'DIL_",IF(LEFT(Table1[[#This Row],[name]],LEN(_xlpm.str))=_xlpm.str,_xlfn.TEXTBEFORE(_xlfn.TEXTBEFORE(_xlfn.TEXTAFTER(Table1[[#This Row],[name]],_xlpm.str),".",-1),"_",-1),""))</f>
        <v>pep</v>
      </c>
    </row>
    <row r="448" spans="21:24" x14ac:dyDescent="0.2">
      <c r="U448" s="5" t="s">
        <v>1856</v>
      </c>
      <c r="V448" t="s">
        <v>1214</v>
      </c>
      <c r="W448" t="s">
        <v>596</v>
      </c>
      <c r="X448" t="str">
        <f>_xlfn.LET(_xlpm.str,"'DIL_",IF(LEFT(Table1[[#This Row],[name]],LEN(_xlpm.str))=_xlpm.str,_xlfn.TEXTBEFORE(_xlfn.TEXTBEFORE(_xlfn.TEXTAFTER(Table1[[#This Row],[name]],_xlpm.str),".",-1),"_",-1),""))</f>
        <v>phe__L</v>
      </c>
    </row>
    <row r="449" spans="21:24" x14ac:dyDescent="0.2">
      <c r="U449" s="6" t="s">
        <v>1857</v>
      </c>
      <c r="V449" t="s">
        <v>1215</v>
      </c>
      <c r="W449" t="s">
        <v>597</v>
      </c>
      <c r="X449" t="str">
        <f>_xlfn.LET(_xlpm.str,"'DIL_",IF(LEFT(Table1[[#This Row],[name]],LEN(_xlpm.str))=_xlpm.str,_xlfn.TEXTBEFORE(_xlfn.TEXTBEFORE(_xlfn.TEXTAFTER(Table1[[#This Row],[name]],_xlpm.str),".",-1),"_",-1),""))</f>
        <v>phe__L</v>
      </c>
    </row>
    <row r="450" spans="21:24" x14ac:dyDescent="0.2">
      <c r="U450" s="5" t="s">
        <v>1858</v>
      </c>
      <c r="V450" t="s">
        <v>1216</v>
      </c>
      <c r="W450" t="s">
        <v>598</v>
      </c>
      <c r="X450" t="str">
        <f>_xlfn.LET(_xlpm.str,"'DIL_",IF(LEFT(Table1[[#This Row],[name]],LEN(_xlpm.str))=_xlpm.str,_xlfn.TEXTBEFORE(_xlfn.TEXTBEFORE(_xlfn.TEXTAFTER(Table1[[#This Row],[name]],_xlpm.str),".",-1),"_",-1),""))</f>
        <v>phe__L</v>
      </c>
    </row>
    <row r="451" spans="21:24" x14ac:dyDescent="0.2">
      <c r="U451" s="6" t="s">
        <v>1859</v>
      </c>
      <c r="V451" t="s">
        <v>1217</v>
      </c>
      <c r="W451" t="s">
        <v>599</v>
      </c>
      <c r="X451" t="str">
        <f>_xlfn.LET(_xlpm.str,"'DIL_",IF(LEFT(Table1[[#This Row],[name]],LEN(_xlpm.str))=_xlpm.str,_xlfn.TEXTBEFORE(_xlfn.TEXTBEFORE(_xlfn.TEXTAFTER(Table1[[#This Row],[name]],_xlpm.str),".",-1),"_",-1),""))</f>
        <v>pro__L</v>
      </c>
    </row>
    <row r="452" spans="21:24" x14ac:dyDescent="0.2">
      <c r="U452" s="5" t="s">
        <v>1860</v>
      </c>
      <c r="V452" t="s">
        <v>1218</v>
      </c>
      <c r="W452" t="s">
        <v>600</v>
      </c>
      <c r="X452" t="str">
        <f>_xlfn.LET(_xlpm.str,"'DIL_",IF(LEFT(Table1[[#This Row],[name]],LEN(_xlpm.str))=_xlpm.str,_xlfn.TEXTBEFORE(_xlfn.TEXTBEFORE(_xlfn.TEXTAFTER(Table1[[#This Row],[name]],_xlpm.str),".",-1),"_",-1),""))</f>
        <v>pro__L</v>
      </c>
    </row>
    <row r="453" spans="21:24" x14ac:dyDescent="0.2">
      <c r="U453" s="6" t="s">
        <v>1861</v>
      </c>
      <c r="V453" t="s">
        <v>1219</v>
      </c>
      <c r="W453" t="s">
        <v>601</v>
      </c>
      <c r="X453" t="str">
        <f>_xlfn.LET(_xlpm.str,"'DIL_",IF(LEFT(Table1[[#This Row],[name]],LEN(_xlpm.str))=_xlpm.str,_xlfn.TEXTBEFORE(_xlfn.TEXTBEFORE(_xlfn.TEXTAFTER(Table1[[#This Row],[name]],_xlpm.str),".",-1),"_",-1),""))</f>
        <v>pro__L</v>
      </c>
    </row>
    <row r="454" spans="21:24" x14ac:dyDescent="0.2">
      <c r="U454" s="5" t="s">
        <v>1862</v>
      </c>
      <c r="V454" t="s">
        <v>1220</v>
      </c>
      <c r="W454" t="s">
        <v>602</v>
      </c>
      <c r="X454" t="str">
        <f>_xlfn.LET(_xlpm.str,"'DIL_",IF(LEFT(Table1[[#This Row],[name]],LEN(_xlpm.str))=_xlpm.str,_xlfn.TEXTBEFORE(_xlfn.TEXTBEFORE(_xlfn.TEXTAFTER(Table1[[#This Row],[name]],_xlpm.str),".",-1),"_",-1),""))</f>
        <v>pro__L</v>
      </c>
    </row>
    <row r="455" spans="21:24" x14ac:dyDescent="0.2">
      <c r="U455" s="6" t="s">
        <v>1863</v>
      </c>
      <c r="V455" t="s">
        <v>1221</v>
      </c>
      <c r="W455" t="s">
        <v>603</v>
      </c>
      <c r="X455" t="str">
        <f>_xlfn.LET(_xlpm.str,"'DIL_",IF(LEFT(Table1[[#This Row],[name]],LEN(_xlpm.str))=_xlpm.str,_xlfn.TEXTBEFORE(_xlfn.TEXTBEFORE(_xlfn.TEXTAFTER(Table1[[#This Row],[name]],_xlpm.str),".",-1),"_",-1),""))</f>
        <v>r5p</v>
      </c>
    </row>
    <row r="456" spans="21:24" x14ac:dyDescent="0.2">
      <c r="U456" s="5" t="s">
        <v>1864</v>
      </c>
      <c r="V456" t="s">
        <v>1222</v>
      </c>
      <c r="W456" t="s">
        <v>604</v>
      </c>
      <c r="X456" t="str">
        <f>_xlfn.LET(_xlpm.str,"'DIL_",IF(LEFT(Table1[[#This Row],[name]],LEN(_xlpm.str))=_xlpm.str,_xlfn.TEXTBEFORE(_xlfn.TEXTBEFORE(_xlfn.TEXTAFTER(Table1[[#This Row],[name]],_xlpm.str),".",-1),"_",-1),""))</f>
        <v>r5p</v>
      </c>
    </row>
    <row r="457" spans="21:24" x14ac:dyDescent="0.2">
      <c r="U457" s="6" t="s">
        <v>1865</v>
      </c>
      <c r="V457" t="s">
        <v>1223</v>
      </c>
      <c r="W457" t="s">
        <v>605</v>
      </c>
      <c r="X457" t="str">
        <f>_xlfn.LET(_xlpm.str,"'DIL_",IF(LEFT(Table1[[#This Row],[name]],LEN(_xlpm.str))=_xlpm.str,_xlfn.TEXTBEFORE(_xlfn.TEXTBEFORE(_xlfn.TEXTAFTER(Table1[[#This Row],[name]],_xlpm.str),".",-1),"_",-1),""))</f>
        <v>r5p</v>
      </c>
    </row>
    <row r="458" spans="21:24" x14ac:dyDescent="0.2">
      <c r="U458" s="5" t="s">
        <v>1866</v>
      </c>
      <c r="V458" t="s">
        <v>1224</v>
      </c>
      <c r="W458" t="s">
        <v>606</v>
      </c>
      <c r="X458" t="str">
        <f>_xlfn.LET(_xlpm.str,"'DIL_",IF(LEFT(Table1[[#This Row],[name]],LEN(_xlpm.str))=_xlpm.str,_xlfn.TEXTBEFORE(_xlfn.TEXTBEFORE(_xlfn.TEXTAFTER(Table1[[#This Row],[name]],_xlpm.str),".",-1),"_",-1),""))</f>
        <v>s7p</v>
      </c>
    </row>
    <row r="459" spans="21:24" x14ac:dyDescent="0.2">
      <c r="U459" s="6" t="s">
        <v>1867</v>
      </c>
      <c r="V459" t="s">
        <v>1225</v>
      </c>
      <c r="W459" t="s">
        <v>607</v>
      </c>
      <c r="X459" t="str">
        <f>_xlfn.LET(_xlpm.str,"'DIL_",IF(LEFT(Table1[[#This Row],[name]],LEN(_xlpm.str))=_xlpm.str,_xlfn.TEXTBEFORE(_xlfn.TEXTBEFORE(_xlfn.TEXTAFTER(Table1[[#This Row],[name]],_xlpm.str),".",-1),"_",-1),""))</f>
        <v>s7p</v>
      </c>
    </row>
    <row r="460" spans="21:24" x14ac:dyDescent="0.2">
      <c r="U460" s="5" t="s">
        <v>1868</v>
      </c>
      <c r="V460" t="s">
        <v>1226</v>
      </c>
      <c r="W460" t="s">
        <v>608</v>
      </c>
      <c r="X460" t="str">
        <f>_xlfn.LET(_xlpm.str,"'DIL_",IF(LEFT(Table1[[#This Row],[name]],LEN(_xlpm.str))=_xlpm.str,_xlfn.TEXTBEFORE(_xlfn.TEXTBEFORE(_xlfn.TEXTAFTER(Table1[[#This Row],[name]],_xlpm.str),".",-1),"_",-1),""))</f>
        <v>s7p</v>
      </c>
    </row>
    <row r="461" spans="21:24" x14ac:dyDescent="0.2">
      <c r="U461" s="6" t="s">
        <v>1869</v>
      </c>
      <c r="V461" t="s">
        <v>1227</v>
      </c>
      <c r="W461" t="s">
        <v>609</v>
      </c>
      <c r="X461" t="str">
        <f>_xlfn.LET(_xlpm.str,"'DIL_",IF(LEFT(Table1[[#This Row],[name]],LEN(_xlpm.str))=_xlpm.str,_xlfn.TEXTBEFORE(_xlfn.TEXTBEFORE(_xlfn.TEXTAFTER(Table1[[#This Row],[name]],_xlpm.str),".",-1),"_",-1),""))</f>
        <v>ser__L</v>
      </c>
    </row>
    <row r="462" spans="21:24" x14ac:dyDescent="0.2">
      <c r="U462" s="5" t="s">
        <v>1870</v>
      </c>
      <c r="V462" t="s">
        <v>1228</v>
      </c>
      <c r="W462" t="s">
        <v>610</v>
      </c>
      <c r="X462" t="str">
        <f>_xlfn.LET(_xlpm.str,"'DIL_",IF(LEFT(Table1[[#This Row],[name]],LEN(_xlpm.str))=_xlpm.str,_xlfn.TEXTBEFORE(_xlfn.TEXTBEFORE(_xlfn.TEXTAFTER(Table1[[#This Row],[name]],_xlpm.str),".",-1),"_",-1),""))</f>
        <v>ser__L</v>
      </c>
    </row>
    <row r="463" spans="21:24" x14ac:dyDescent="0.2">
      <c r="U463" s="6" t="s">
        <v>1871</v>
      </c>
      <c r="V463" t="s">
        <v>1229</v>
      </c>
      <c r="W463" t="s">
        <v>611</v>
      </c>
      <c r="X463" t="str">
        <f>_xlfn.LET(_xlpm.str,"'DIL_",IF(LEFT(Table1[[#This Row],[name]],LEN(_xlpm.str))=_xlpm.str,_xlfn.TEXTBEFORE(_xlfn.TEXTBEFORE(_xlfn.TEXTAFTER(Table1[[#This Row],[name]],_xlpm.str),".",-1),"_",-1),""))</f>
        <v>ser__L</v>
      </c>
    </row>
    <row r="464" spans="21:24" x14ac:dyDescent="0.2">
      <c r="U464" s="5" t="s">
        <v>1872</v>
      </c>
      <c r="V464" t="s">
        <v>1230</v>
      </c>
      <c r="W464" t="s">
        <v>612</v>
      </c>
      <c r="X464" t="str">
        <f>_xlfn.LET(_xlpm.str,"'DIL_",IF(LEFT(Table1[[#This Row],[name]],LEN(_xlpm.str))=_xlpm.str,_xlfn.TEXTBEFORE(_xlfn.TEXTBEFORE(_xlfn.TEXTAFTER(Table1[[#This Row],[name]],_xlpm.str),".",-1),"_",-1),""))</f>
        <v>ser__L</v>
      </c>
    </row>
    <row r="465" spans="21:24" x14ac:dyDescent="0.2">
      <c r="U465" s="6" t="s">
        <v>1873</v>
      </c>
      <c r="V465" t="s">
        <v>1231</v>
      </c>
      <c r="W465" t="s">
        <v>613</v>
      </c>
      <c r="X465" t="str">
        <f>_xlfn.LET(_xlpm.str,"'DIL_",IF(LEFT(Table1[[#This Row],[name]],LEN(_xlpm.str))=_xlpm.str,_xlfn.TEXTBEFORE(_xlfn.TEXTBEFORE(_xlfn.TEXTAFTER(Table1[[#This Row],[name]],_xlpm.str),".",-1),"_",-1),""))</f>
        <v>succ</v>
      </c>
    </row>
    <row r="466" spans="21:24" x14ac:dyDescent="0.2">
      <c r="U466" s="5" t="s">
        <v>1874</v>
      </c>
      <c r="V466" t="s">
        <v>1232</v>
      </c>
      <c r="W466" t="s">
        <v>614</v>
      </c>
      <c r="X466" t="str">
        <f>_xlfn.LET(_xlpm.str,"'DIL_",IF(LEFT(Table1[[#This Row],[name]],LEN(_xlpm.str))=_xlpm.str,_xlfn.TEXTBEFORE(_xlfn.TEXTBEFORE(_xlfn.TEXTAFTER(Table1[[#This Row],[name]],_xlpm.str),".",-1),"_",-1),""))</f>
        <v>succ</v>
      </c>
    </row>
    <row r="467" spans="21:24" x14ac:dyDescent="0.2">
      <c r="U467" s="6" t="s">
        <v>1875</v>
      </c>
      <c r="V467" t="s">
        <v>1233</v>
      </c>
      <c r="W467" t="s">
        <v>615</v>
      </c>
      <c r="X467" t="str">
        <f>_xlfn.LET(_xlpm.str,"'DIL_",IF(LEFT(Table1[[#This Row],[name]],LEN(_xlpm.str))=_xlpm.str,_xlfn.TEXTBEFORE(_xlfn.TEXTBEFORE(_xlfn.TEXTAFTER(Table1[[#This Row],[name]],_xlpm.str),".",-1),"_",-1),""))</f>
        <v>succ</v>
      </c>
    </row>
    <row r="468" spans="21:24" x14ac:dyDescent="0.2">
      <c r="U468" s="5" t="s">
        <v>1876</v>
      </c>
      <c r="V468" t="s">
        <v>1234</v>
      </c>
      <c r="W468" t="s">
        <v>616</v>
      </c>
      <c r="X468" t="str">
        <f>_xlfn.LET(_xlpm.str,"'DIL_",IF(LEFT(Table1[[#This Row],[name]],LEN(_xlpm.str))=_xlpm.str,_xlfn.TEXTBEFORE(_xlfn.TEXTBEFORE(_xlfn.TEXTAFTER(Table1[[#This Row],[name]],_xlpm.str),".",-1),"_",-1),""))</f>
        <v>succ</v>
      </c>
    </row>
    <row r="469" spans="21:24" x14ac:dyDescent="0.2">
      <c r="U469" s="6" t="s">
        <v>1877</v>
      </c>
      <c r="V469" t="s">
        <v>1235</v>
      </c>
      <c r="W469" t="s">
        <v>617</v>
      </c>
      <c r="X469" t="str">
        <f>_xlfn.LET(_xlpm.str,"'DIL_",IF(LEFT(Table1[[#This Row],[name]],LEN(_xlpm.str))=_xlpm.str,_xlfn.TEXTBEFORE(_xlfn.TEXTBEFORE(_xlfn.TEXTAFTER(Table1[[#This Row],[name]],_xlpm.str),".",-1),"_",-1),""))</f>
        <v>thr__L</v>
      </c>
    </row>
    <row r="470" spans="21:24" x14ac:dyDescent="0.2">
      <c r="U470" s="5" t="s">
        <v>1878</v>
      </c>
      <c r="V470" t="s">
        <v>1236</v>
      </c>
      <c r="W470" t="s">
        <v>618</v>
      </c>
      <c r="X470" t="str">
        <f>_xlfn.LET(_xlpm.str,"'DIL_",IF(LEFT(Table1[[#This Row],[name]],LEN(_xlpm.str))=_xlpm.str,_xlfn.TEXTBEFORE(_xlfn.TEXTBEFORE(_xlfn.TEXTAFTER(Table1[[#This Row],[name]],_xlpm.str),".",-1),"_",-1),""))</f>
        <v>thr__L</v>
      </c>
    </row>
    <row r="471" spans="21:24" x14ac:dyDescent="0.2">
      <c r="U471" s="6" t="s">
        <v>1879</v>
      </c>
      <c r="V471" t="s">
        <v>1237</v>
      </c>
      <c r="W471" t="s">
        <v>619</v>
      </c>
      <c r="X471" t="str">
        <f>_xlfn.LET(_xlpm.str,"'DIL_",IF(LEFT(Table1[[#This Row],[name]],LEN(_xlpm.str))=_xlpm.str,_xlfn.TEXTBEFORE(_xlfn.TEXTBEFORE(_xlfn.TEXTAFTER(Table1[[#This Row],[name]],_xlpm.str),".",-1),"_",-1),""))</f>
        <v>thr__L</v>
      </c>
    </row>
    <row r="472" spans="21:24" x14ac:dyDescent="0.2">
      <c r="U472" s="5" t="s">
        <v>1880</v>
      </c>
      <c r="V472" t="s">
        <v>1238</v>
      </c>
      <c r="W472" t="s">
        <v>620</v>
      </c>
      <c r="X472" t="str">
        <f>_xlfn.LET(_xlpm.str,"'DIL_",IF(LEFT(Table1[[#This Row],[name]],LEN(_xlpm.str))=_xlpm.str,_xlfn.TEXTBEFORE(_xlfn.TEXTBEFORE(_xlfn.TEXTAFTER(Table1[[#This Row],[name]],_xlpm.str),".",-1),"_",-1),""))</f>
        <v>thr__L</v>
      </c>
    </row>
    <row r="473" spans="21:24" x14ac:dyDescent="0.2">
      <c r="U473" s="6" t="s">
        <v>1881</v>
      </c>
      <c r="V473" t="s">
        <v>1239</v>
      </c>
      <c r="W473" t="s">
        <v>621</v>
      </c>
      <c r="X473" t="str">
        <f>_xlfn.LET(_xlpm.str,"'DIL_",IF(LEFT(Table1[[#This Row],[name]],LEN(_xlpm.str))=_xlpm.str,_xlfn.TEXTBEFORE(_xlfn.TEXTBEFORE(_xlfn.TEXTAFTER(Table1[[#This Row],[name]],_xlpm.str),".",-1),"_",-1),""))</f>
        <v>trp__L</v>
      </c>
    </row>
    <row r="474" spans="21:24" x14ac:dyDescent="0.2">
      <c r="U474" s="5" t="s">
        <v>1882</v>
      </c>
      <c r="V474" t="s">
        <v>1240</v>
      </c>
      <c r="W474" t="s">
        <v>622</v>
      </c>
      <c r="X474" t="str">
        <f>_xlfn.LET(_xlpm.str,"'DIL_",IF(LEFT(Table1[[#This Row],[name]],LEN(_xlpm.str))=_xlpm.str,_xlfn.TEXTBEFORE(_xlfn.TEXTBEFORE(_xlfn.TEXTAFTER(Table1[[#This Row],[name]],_xlpm.str),".",-1),"_",-1),""))</f>
        <v>trp__L</v>
      </c>
    </row>
    <row r="475" spans="21:24" x14ac:dyDescent="0.2">
      <c r="U475" s="6" t="s">
        <v>1883</v>
      </c>
      <c r="V475" t="s">
        <v>1241</v>
      </c>
      <c r="W475" t="s">
        <v>623</v>
      </c>
      <c r="X475" t="str">
        <f>_xlfn.LET(_xlpm.str,"'DIL_",IF(LEFT(Table1[[#This Row],[name]],LEN(_xlpm.str))=_xlpm.str,_xlfn.TEXTBEFORE(_xlfn.TEXTBEFORE(_xlfn.TEXTAFTER(Table1[[#This Row],[name]],_xlpm.str),".",-1),"_",-1),""))</f>
        <v>trp__L</v>
      </c>
    </row>
    <row r="476" spans="21:24" x14ac:dyDescent="0.2">
      <c r="U476" s="5" t="s">
        <v>1884</v>
      </c>
      <c r="V476" t="s">
        <v>1242</v>
      </c>
      <c r="W476" t="s">
        <v>624</v>
      </c>
      <c r="X476" t="str">
        <f>_xlfn.LET(_xlpm.str,"'DIL_",IF(LEFT(Table1[[#This Row],[name]],LEN(_xlpm.str))=_xlpm.str,_xlfn.TEXTBEFORE(_xlfn.TEXTBEFORE(_xlfn.TEXTAFTER(Table1[[#This Row],[name]],_xlpm.str),".",-1),"_",-1),""))</f>
        <v>tyr__L</v>
      </c>
    </row>
    <row r="477" spans="21:24" x14ac:dyDescent="0.2">
      <c r="U477" s="6" t="s">
        <v>1885</v>
      </c>
      <c r="V477" t="s">
        <v>1243</v>
      </c>
      <c r="W477" t="s">
        <v>625</v>
      </c>
      <c r="X477" t="str">
        <f>_xlfn.LET(_xlpm.str,"'DIL_",IF(LEFT(Table1[[#This Row],[name]],LEN(_xlpm.str))=_xlpm.str,_xlfn.TEXTBEFORE(_xlfn.TEXTBEFORE(_xlfn.TEXTAFTER(Table1[[#This Row],[name]],_xlpm.str),".",-1),"_",-1),""))</f>
        <v>tyr__L</v>
      </c>
    </row>
    <row r="478" spans="21:24" x14ac:dyDescent="0.2">
      <c r="U478" s="5" t="s">
        <v>1886</v>
      </c>
      <c r="V478" t="s">
        <v>1244</v>
      </c>
      <c r="W478" t="s">
        <v>626</v>
      </c>
      <c r="X478" t="str">
        <f>_xlfn.LET(_xlpm.str,"'DIL_",IF(LEFT(Table1[[#This Row],[name]],LEN(_xlpm.str))=_xlpm.str,_xlfn.TEXTBEFORE(_xlfn.TEXTBEFORE(_xlfn.TEXTAFTER(Table1[[#This Row],[name]],_xlpm.str),".",-1),"_",-1),""))</f>
        <v>tyr__L</v>
      </c>
    </row>
    <row r="479" spans="21:24" x14ac:dyDescent="0.2">
      <c r="U479" s="6" t="s">
        <v>1887</v>
      </c>
      <c r="V479" t="s">
        <v>1245</v>
      </c>
      <c r="W479" t="s">
        <v>627</v>
      </c>
      <c r="X479" t="str">
        <f>_xlfn.LET(_xlpm.str,"'DIL_",IF(LEFT(Table1[[#This Row],[name]],LEN(_xlpm.str))=_xlpm.str,_xlfn.TEXTBEFORE(_xlfn.TEXTBEFORE(_xlfn.TEXTAFTER(Table1[[#This Row],[name]],_xlpm.str),".",-1),"_",-1),""))</f>
        <v>val__L</v>
      </c>
    </row>
    <row r="480" spans="21:24" x14ac:dyDescent="0.2">
      <c r="U480" s="5" t="s">
        <v>1888</v>
      </c>
      <c r="V480" t="s">
        <v>1246</v>
      </c>
      <c r="W480" t="s">
        <v>628</v>
      </c>
      <c r="X480" t="str">
        <f>_xlfn.LET(_xlpm.str,"'DIL_",IF(LEFT(Table1[[#This Row],[name]],LEN(_xlpm.str))=_xlpm.str,_xlfn.TEXTBEFORE(_xlfn.TEXTBEFORE(_xlfn.TEXTAFTER(Table1[[#This Row],[name]],_xlpm.str),".",-1),"_",-1),""))</f>
        <v>val__L</v>
      </c>
    </row>
    <row r="481" spans="21:24" x14ac:dyDescent="0.2">
      <c r="U481" s="6" t="s">
        <v>1889</v>
      </c>
      <c r="V481" t="s">
        <v>1247</v>
      </c>
      <c r="W481" t="s">
        <v>629</v>
      </c>
      <c r="X481" t="str">
        <f>_xlfn.LET(_xlpm.str,"'DIL_",IF(LEFT(Table1[[#This Row],[name]],LEN(_xlpm.str))=_xlpm.str,_xlfn.TEXTBEFORE(_xlfn.TEXTBEFORE(_xlfn.TEXTAFTER(Table1[[#This Row],[name]],_xlpm.str),".",-1),"_",-1),""))</f>
        <v>val__L</v>
      </c>
    </row>
    <row r="482" spans="21:24" x14ac:dyDescent="0.2">
      <c r="U482" s="5" t="s">
        <v>1890</v>
      </c>
      <c r="V482" t="s">
        <v>1248</v>
      </c>
      <c r="W482" t="s">
        <v>630</v>
      </c>
      <c r="X482" t="str">
        <f>_xlfn.LET(_xlpm.str,"'DIL_",IF(LEFT(Table1[[#This Row],[name]],LEN(_xlpm.str))=_xlpm.str,_xlfn.TEXTBEFORE(_xlfn.TEXTBEFORE(_xlfn.TEXTAFTER(Table1[[#This Row],[name]],_xlpm.str),".",-1),"_",-1),""))</f>
        <v>val__L</v>
      </c>
    </row>
    <row r="483" spans="21:24" x14ac:dyDescent="0.2">
      <c r="U483" s="6" t="s">
        <v>1891</v>
      </c>
      <c r="V483" t="s">
        <v>1249</v>
      </c>
      <c r="W483" t="s">
        <v>631</v>
      </c>
      <c r="X483" t="str">
        <f>_xlfn.LET(_xlpm.str,"'DIL_",IF(LEFT(Table1[[#This Row],[name]],LEN(_xlpm.str))=_xlpm.str,_xlfn.TEXTBEFORE(_xlfn.TEXTBEFORE(_xlfn.TEXTAFTER(Table1[[#This Row],[name]],_xlpm.str),".",-1),"_",-1),""))</f>
        <v>2ippm</v>
      </c>
    </row>
    <row r="484" spans="21:24" x14ac:dyDescent="0.2">
      <c r="U484" s="5" t="s">
        <v>1892</v>
      </c>
      <c r="V484" t="s">
        <v>1250</v>
      </c>
      <c r="W484" t="s">
        <v>632</v>
      </c>
      <c r="X484" t="str">
        <f>_xlfn.LET(_xlpm.str,"'DIL_",IF(LEFT(Table1[[#This Row],[name]],LEN(_xlpm.str))=_xlpm.str,_xlfn.TEXTBEFORE(_xlfn.TEXTBEFORE(_xlfn.TEXTAFTER(Table1[[#This Row],[name]],_xlpm.str),".",-1),"_",-1),""))</f>
        <v>2ippm</v>
      </c>
    </row>
    <row r="485" spans="21:24" x14ac:dyDescent="0.2">
      <c r="U485" s="6" t="s">
        <v>1893</v>
      </c>
      <c r="V485" t="s">
        <v>1251</v>
      </c>
      <c r="W485" t="s">
        <v>633</v>
      </c>
      <c r="X485" t="str">
        <f>_xlfn.LET(_xlpm.str,"'DIL_",IF(LEFT(Table1[[#This Row],[name]],LEN(_xlpm.str))=_xlpm.str,_xlfn.TEXTBEFORE(_xlfn.TEXTBEFORE(_xlfn.TEXTAFTER(Table1[[#This Row],[name]],_xlpm.str),".",-1),"_",-1),""))</f>
        <v>2ippm</v>
      </c>
    </row>
    <row r="486" spans="21:24" x14ac:dyDescent="0.2">
      <c r="U486" s="5" t="s">
        <v>1894</v>
      </c>
      <c r="V486" t="s">
        <v>1252</v>
      </c>
      <c r="W486" t="s">
        <v>634</v>
      </c>
      <c r="X486" t="str">
        <f>_xlfn.LET(_xlpm.str,"'DIL_",IF(LEFT(Table1[[#This Row],[name]],LEN(_xlpm.str))=_xlpm.str,_xlfn.TEXTBEFORE(_xlfn.TEXTBEFORE(_xlfn.TEXTAFTER(Table1[[#This Row],[name]],_xlpm.str),".",-1),"_",-1),""))</f>
        <v>3mob</v>
      </c>
    </row>
    <row r="487" spans="21:24" x14ac:dyDescent="0.2">
      <c r="U487" s="6" t="s">
        <v>1895</v>
      </c>
      <c r="V487" t="s">
        <v>1253</v>
      </c>
      <c r="W487" t="s">
        <v>635</v>
      </c>
      <c r="X487" t="str">
        <f>_xlfn.LET(_xlpm.str,"'DIL_",IF(LEFT(Table1[[#This Row],[name]],LEN(_xlpm.str))=_xlpm.str,_xlfn.TEXTBEFORE(_xlfn.TEXTBEFORE(_xlfn.TEXTAFTER(Table1[[#This Row],[name]],_xlpm.str),".",-1),"_",-1),""))</f>
        <v>3mob</v>
      </c>
    </row>
    <row r="488" spans="21:24" x14ac:dyDescent="0.2">
      <c r="U488" s="5" t="s">
        <v>1896</v>
      </c>
      <c r="V488" t="s">
        <v>1254</v>
      </c>
      <c r="W488" t="s">
        <v>636</v>
      </c>
      <c r="X488" t="str">
        <f>_xlfn.LET(_xlpm.str,"'DIL_",IF(LEFT(Table1[[#This Row],[name]],LEN(_xlpm.str))=_xlpm.str,_xlfn.TEXTBEFORE(_xlfn.TEXTBEFORE(_xlfn.TEXTAFTER(Table1[[#This Row],[name]],_xlpm.str),".",-1),"_",-1),""))</f>
        <v>3mob</v>
      </c>
    </row>
    <row r="489" spans="21:24" x14ac:dyDescent="0.2">
      <c r="U489" s="6" t="s">
        <v>1897</v>
      </c>
      <c r="V489" t="s">
        <v>1255</v>
      </c>
      <c r="W489" t="s">
        <v>637</v>
      </c>
      <c r="X489" t="str">
        <f>_xlfn.LET(_xlpm.str,"'DIL_",IF(LEFT(Table1[[#This Row],[name]],LEN(_xlpm.str))=_xlpm.str,_xlfn.TEXTBEFORE(_xlfn.TEXTBEFORE(_xlfn.TEXTAFTER(Table1[[#This Row],[name]],_xlpm.str),".",-1),"_",-1),""))</f>
        <v>3mob</v>
      </c>
    </row>
    <row r="490" spans="21:24" x14ac:dyDescent="0.2">
      <c r="U490" s="5" t="s">
        <v>1898</v>
      </c>
      <c r="V490" t="s">
        <v>1256</v>
      </c>
      <c r="W490" t="s">
        <v>638</v>
      </c>
      <c r="X490" t="str">
        <f>_xlfn.LET(_xlpm.str,"'DIL_",IF(LEFT(Table1[[#This Row],[name]],LEN(_xlpm.str))=_xlpm.str,_xlfn.TEXTBEFORE(_xlfn.TEXTBEFORE(_xlfn.TEXTAFTER(Table1[[#This Row],[name]],_xlpm.str),".",-1),"_",-1),""))</f>
        <v>akg</v>
      </c>
    </row>
    <row r="491" spans="21:24" x14ac:dyDescent="0.2">
      <c r="U491" s="6" t="s">
        <v>1899</v>
      </c>
      <c r="V491" t="s">
        <v>1257</v>
      </c>
      <c r="W491" t="s">
        <v>639</v>
      </c>
      <c r="X491" t="str">
        <f>_xlfn.LET(_xlpm.str,"'DIL_",IF(LEFT(Table1[[#This Row],[name]],LEN(_xlpm.str))=_xlpm.str,_xlfn.TEXTBEFORE(_xlfn.TEXTBEFORE(_xlfn.TEXTAFTER(Table1[[#This Row],[name]],_xlpm.str),".",-1),"_",-1),""))</f>
        <v>akg</v>
      </c>
    </row>
    <row r="492" spans="21:24" x14ac:dyDescent="0.2">
      <c r="U492" s="5" t="s">
        <v>1900</v>
      </c>
      <c r="V492" t="s">
        <v>1258</v>
      </c>
      <c r="W492" t="s">
        <v>640</v>
      </c>
      <c r="X492" t="str">
        <f>_xlfn.LET(_xlpm.str,"'DIL_",IF(LEFT(Table1[[#This Row],[name]],LEN(_xlpm.str))=_xlpm.str,_xlfn.TEXTBEFORE(_xlfn.TEXTBEFORE(_xlfn.TEXTAFTER(Table1[[#This Row],[name]],_xlpm.str),".",-1),"_",-1),""))</f>
        <v>akg</v>
      </c>
    </row>
    <row r="493" spans="21:24" x14ac:dyDescent="0.2">
      <c r="U493" s="6" t="s">
        <v>1901</v>
      </c>
      <c r="V493" t="s">
        <v>1259</v>
      </c>
      <c r="W493" t="s">
        <v>641</v>
      </c>
      <c r="X493" t="str">
        <f>_xlfn.LET(_xlpm.str,"'DIL_",IF(LEFT(Table1[[#This Row],[name]],LEN(_xlpm.str))=_xlpm.str,_xlfn.TEXTBEFORE(_xlfn.TEXTBEFORE(_xlfn.TEXTAFTER(Table1[[#This Row],[name]],_xlpm.str),".",-1),"_",-1),""))</f>
        <v>akg</v>
      </c>
    </row>
    <row r="494" spans="21:24" x14ac:dyDescent="0.2">
      <c r="U494" s="5" t="s">
        <v>1902</v>
      </c>
      <c r="V494" t="s">
        <v>1260</v>
      </c>
      <c r="W494" t="s">
        <v>642</v>
      </c>
      <c r="X494" t="str">
        <f>_xlfn.LET(_xlpm.str,"'DIL_",IF(LEFT(Table1[[#This Row],[name]],LEN(_xlpm.str))=_xlpm.str,_xlfn.TEXTBEFORE(_xlfn.TEXTBEFORE(_xlfn.TEXTAFTER(Table1[[#This Row],[name]],_xlpm.str),".",-1),"_",-1),""))</f>
        <v>ala__L</v>
      </c>
    </row>
    <row r="495" spans="21:24" x14ac:dyDescent="0.2">
      <c r="U495" s="6" t="s">
        <v>1903</v>
      </c>
      <c r="V495" t="s">
        <v>1261</v>
      </c>
      <c r="W495" t="s">
        <v>643</v>
      </c>
      <c r="X495" t="str">
        <f>_xlfn.LET(_xlpm.str,"'DIL_",IF(LEFT(Table1[[#This Row],[name]],LEN(_xlpm.str))=_xlpm.str,_xlfn.TEXTBEFORE(_xlfn.TEXTBEFORE(_xlfn.TEXTAFTER(Table1[[#This Row],[name]],_xlpm.str),".",-1),"_",-1),""))</f>
        <v>ala__L</v>
      </c>
    </row>
    <row r="496" spans="21:24" x14ac:dyDescent="0.2">
      <c r="U496" s="5" t="s">
        <v>1904</v>
      </c>
      <c r="V496" t="s">
        <v>1262</v>
      </c>
      <c r="W496" t="s">
        <v>644</v>
      </c>
      <c r="X496" t="str">
        <f>_xlfn.LET(_xlpm.str,"'DIL_",IF(LEFT(Table1[[#This Row],[name]],LEN(_xlpm.str))=_xlpm.str,_xlfn.TEXTBEFORE(_xlfn.TEXTBEFORE(_xlfn.TEXTAFTER(Table1[[#This Row],[name]],_xlpm.str),".",-1),"_",-1),""))</f>
        <v>ala__L</v>
      </c>
    </row>
    <row r="497" spans="21:24" x14ac:dyDescent="0.2">
      <c r="U497" s="6" t="s">
        <v>1905</v>
      </c>
      <c r="V497" t="s">
        <v>1263</v>
      </c>
      <c r="W497" t="s">
        <v>645</v>
      </c>
      <c r="X497" t="str">
        <f>_xlfn.LET(_xlpm.str,"'DIL_",IF(LEFT(Table1[[#This Row],[name]],LEN(_xlpm.str))=_xlpm.str,_xlfn.TEXTBEFORE(_xlfn.TEXTBEFORE(_xlfn.TEXTAFTER(Table1[[#This Row],[name]],_xlpm.str),".",-1),"_",-1),""))</f>
        <v>ala__L</v>
      </c>
    </row>
    <row r="498" spans="21:24" x14ac:dyDescent="0.2">
      <c r="U498" s="5" t="s">
        <v>1906</v>
      </c>
      <c r="V498" t="s">
        <v>1264</v>
      </c>
      <c r="W498" t="s">
        <v>646</v>
      </c>
      <c r="X498" t="str">
        <f>_xlfn.LET(_xlpm.str,"'DIL_",IF(LEFT(Table1[[#This Row],[name]],LEN(_xlpm.str))=_xlpm.str,_xlfn.TEXTBEFORE(_xlfn.TEXTBEFORE(_xlfn.TEXTAFTER(Table1[[#This Row],[name]],_xlpm.str),".",-1),"_",-1),""))</f>
        <v>arg__L</v>
      </c>
    </row>
    <row r="499" spans="21:24" x14ac:dyDescent="0.2">
      <c r="U499" s="6" t="s">
        <v>1907</v>
      </c>
      <c r="V499" t="s">
        <v>1265</v>
      </c>
      <c r="W499" t="s">
        <v>647</v>
      </c>
      <c r="X499" t="str">
        <f>_xlfn.LET(_xlpm.str,"'DIL_",IF(LEFT(Table1[[#This Row],[name]],LEN(_xlpm.str))=_xlpm.str,_xlfn.TEXTBEFORE(_xlfn.TEXTBEFORE(_xlfn.TEXTAFTER(Table1[[#This Row],[name]],_xlpm.str),".",-1),"_",-1),""))</f>
        <v>arg__L</v>
      </c>
    </row>
    <row r="500" spans="21:24" x14ac:dyDescent="0.2">
      <c r="U500" s="5" t="s">
        <v>1908</v>
      </c>
      <c r="V500" t="s">
        <v>1266</v>
      </c>
      <c r="W500" t="s">
        <v>648</v>
      </c>
      <c r="X500" t="str">
        <f>_xlfn.LET(_xlpm.str,"'DIL_",IF(LEFT(Table1[[#This Row],[name]],LEN(_xlpm.str))=_xlpm.str,_xlfn.TEXTBEFORE(_xlfn.TEXTBEFORE(_xlfn.TEXTAFTER(Table1[[#This Row],[name]],_xlpm.str),".",-1),"_",-1),""))</f>
        <v>arg__L</v>
      </c>
    </row>
    <row r="501" spans="21:24" x14ac:dyDescent="0.2">
      <c r="U501" s="6" t="s">
        <v>1909</v>
      </c>
      <c r="V501" t="s">
        <v>1267</v>
      </c>
      <c r="W501" t="s">
        <v>649</v>
      </c>
      <c r="X501" t="str">
        <f>_xlfn.LET(_xlpm.str,"'DIL_",IF(LEFT(Table1[[#This Row],[name]],LEN(_xlpm.str))=_xlpm.str,_xlfn.TEXTBEFORE(_xlfn.TEXTBEFORE(_xlfn.TEXTAFTER(Table1[[#This Row],[name]],_xlpm.str),".",-1),"_",-1),""))</f>
        <v>asn__L</v>
      </c>
    </row>
    <row r="502" spans="21:24" x14ac:dyDescent="0.2">
      <c r="U502" s="5" t="s">
        <v>1910</v>
      </c>
      <c r="V502" t="s">
        <v>1268</v>
      </c>
      <c r="W502" t="s">
        <v>650</v>
      </c>
      <c r="X502" t="str">
        <f>_xlfn.LET(_xlpm.str,"'DIL_",IF(LEFT(Table1[[#This Row],[name]],LEN(_xlpm.str))=_xlpm.str,_xlfn.TEXTBEFORE(_xlfn.TEXTBEFORE(_xlfn.TEXTAFTER(Table1[[#This Row],[name]],_xlpm.str),".",-1),"_",-1),""))</f>
        <v>asn__L</v>
      </c>
    </row>
    <row r="503" spans="21:24" x14ac:dyDescent="0.2">
      <c r="U503" s="6" t="s">
        <v>1911</v>
      </c>
      <c r="V503" t="s">
        <v>1269</v>
      </c>
      <c r="W503" t="s">
        <v>651</v>
      </c>
      <c r="X503" t="str">
        <f>_xlfn.LET(_xlpm.str,"'DIL_",IF(LEFT(Table1[[#This Row],[name]],LEN(_xlpm.str))=_xlpm.str,_xlfn.TEXTBEFORE(_xlfn.TEXTBEFORE(_xlfn.TEXTAFTER(Table1[[#This Row],[name]],_xlpm.str),".",-1),"_",-1),""))</f>
        <v>asn__L</v>
      </c>
    </row>
    <row r="504" spans="21:24" x14ac:dyDescent="0.2">
      <c r="U504" s="5" t="s">
        <v>1912</v>
      </c>
      <c r="V504" t="s">
        <v>1270</v>
      </c>
      <c r="W504" t="s">
        <v>652</v>
      </c>
      <c r="X504" t="str">
        <f>_xlfn.LET(_xlpm.str,"'DIL_",IF(LEFT(Table1[[#This Row],[name]],LEN(_xlpm.str))=_xlpm.str,_xlfn.TEXTBEFORE(_xlfn.TEXTBEFORE(_xlfn.TEXTAFTER(Table1[[#This Row],[name]],_xlpm.str),".",-1),"_",-1),""))</f>
        <v>asp__L</v>
      </c>
    </row>
    <row r="505" spans="21:24" x14ac:dyDescent="0.2">
      <c r="U505" s="6" t="s">
        <v>1913</v>
      </c>
      <c r="V505" t="s">
        <v>1271</v>
      </c>
      <c r="W505" t="s">
        <v>653</v>
      </c>
      <c r="X505" t="str">
        <f>_xlfn.LET(_xlpm.str,"'DIL_",IF(LEFT(Table1[[#This Row],[name]],LEN(_xlpm.str))=_xlpm.str,_xlfn.TEXTBEFORE(_xlfn.TEXTBEFORE(_xlfn.TEXTAFTER(Table1[[#This Row],[name]],_xlpm.str),".",-1),"_",-1),""))</f>
        <v>asp__L</v>
      </c>
    </row>
    <row r="506" spans="21:24" x14ac:dyDescent="0.2">
      <c r="U506" s="5" t="s">
        <v>1914</v>
      </c>
      <c r="V506" t="s">
        <v>1272</v>
      </c>
      <c r="W506" t="s">
        <v>654</v>
      </c>
      <c r="X506" t="str">
        <f>_xlfn.LET(_xlpm.str,"'DIL_",IF(LEFT(Table1[[#This Row],[name]],LEN(_xlpm.str))=_xlpm.str,_xlfn.TEXTBEFORE(_xlfn.TEXTBEFORE(_xlfn.TEXTAFTER(Table1[[#This Row],[name]],_xlpm.str),".",-1),"_",-1),""))</f>
        <v>asp__L</v>
      </c>
    </row>
    <row r="507" spans="21:24" x14ac:dyDescent="0.2">
      <c r="U507" s="6" t="s">
        <v>1915</v>
      </c>
      <c r="V507" t="s">
        <v>1273</v>
      </c>
      <c r="W507" t="s">
        <v>655</v>
      </c>
      <c r="X507" t="str">
        <f>_xlfn.LET(_xlpm.str,"'DIL_",IF(LEFT(Table1[[#This Row],[name]],LEN(_xlpm.str))=_xlpm.str,_xlfn.TEXTBEFORE(_xlfn.TEXTBEFORE(_xlfn.TEXTAFTER(Table1[[#This Row],[name]],_xlpm.str),".",-1),"_",-1),""))</f>
        <v>asp__L</v>
      </c>
    </row>
    <row r="508" spans="21:24" x14ac:dyDescent="0.2">
      <c r="U508" s="5" t="s">
        <v>1916</v>
      </c>
      <c r="V508" t="s">
        <v>1274</v>
      </c>
      <c r="W508" t="s">
        <v>656</v>
      </c>
      <c r="X508" t="str">
        <f>_xlfn.LET(_xlpm.str,"'DIL_",IF(LEFT(Table1[[#This Row],[name]],LEN(_xlpm.str))=_xlpm.str,_xlfn.TEXTBEFORE(_xlfn.TEXTBEFORE(_xlfn.TEXTAFTER(Table1[[#This Row],[name]],_xlpm.str),".",-1),"_",-1),""))</f>
        <v>cit</v>
      </c>
    </row>
    <row r="509" spans="21:24" x14ac:dyDescent="0.2">
      <c r="U509" s="6" t="s">
        <v>1917</v>
      </c>
      <c r="V509" t="s">
        <v>1275</v>
      </c>
      <c r="W509" t="s">
        <v>657</v>
      </c>
      <c r="X509" t="str">
        <f>_xlfn.LET(_xlpm.str,"'DIL_",IF(LEFT(Table1[[#This Row],[name]],LEN(_xlpm.str))=_xlpm.str,_xlfn.TEXTBEFORE(_xlfn.TEXTBEFORE(_xlfn.TEXTAFTER(Table1[[#This Row],[name]],_xlpm.str),".",-1),"_",-1),""))</f>
        <v>cit</v>
      </c>
    </row>
    <row r="510" spans="21:24" x14ac:dyDescent="0.2">
      <c r="U510" s="5" t="s">
        <v>1918</v>
      </c>
      <c r="V510" t="s">
        <v>1276</v>
      </c>
      <c r="W510" t="s">
        <v>658</v>
      </c>
      <c r="X510" t="str">
        <f>_xlfn.LET(_xlpm.str,"'DIL_",IF(LEFT(Table1[[#This Row],[name]],LEN(_xlpm.str))=_xlpm.str,_xlfn.TEXTBEFORE(_xlfn.TEXTBEFORE(_xlfn.TEXTAFTER(Table1[[#This Row],[name]],_xlpm.str),".",-1),"_",-1),""))</f>
        <v>icit</v>
      </c>
    </row>
    <row r="511" spans="21:24" x14ac:dyDescent="0.2">
      <c r="U511" s="6" t="s">
        <v>1919</v>
      </c>
      <c r="V511" t="s">
        <v>1277</v>
      </c>
      <c r="W511" t="s">
        <v>659</v>
      </c>
      <c r="X511" t="str">
        <f>_xlfn.LET(_xlpm.str,"'DIL_",IF(LEFT(Table1[[#This Row],[name]],LEN(_xlpm.str))=_xlpm.str,_xlfn.TEXTBEFORE(_xlfn.TEXTBEFORE(_xlfn.TEXTAFTER(Table1[[#This Row],[name]],_xlpm.str),".",-1),"_",-1),""))</f>
        <v>icit</v>
      </c>
    </row>
    <row r="512" spans="21:24" x14ac:dyDescent="0.2">
      <c r="U512" s="5" t="s">
        <v>1920</v>
      </c>
      <c r="V512" t="s">
        <v>1278</v>
      </c>
      <c r="W512" t="s">
        <v>660</v>
      </c>
      <c r="X512" t="str">
        <f>_xlfn.LET(_xlpm.str,"'DIL_",IF(LEFT(Table1[[#This Row],[name]],LEN(_xlpm.str))=_xlpm.str,_xlfn.TEXTBEFORE(_xlfn.TEXTBEFORE(_xlfn.TEXTAFTER(Table1[[#This Row],[name]],_xlpm.str),".",-1),"_",-1),""))</f>
        <v>citicit</v>
      </c>
    </row>
    <row r="513" spans="21:24" x14ac:dyDescent="0.2">
      <c r="U513" s="6" t="s">
        <v>1921</v>
      </c>
      <c r="V513" t="s">
        <v>1279</v>
      </c>
      <c r="W513" t="s">
        <v>661</v>
      </c>
      <c r="X513" t="str">
        <f>_xlfn.LET(_xlpm.str,"'DIL_",IF(LEFT(Table1[[#This Row],[name]],LEN(_xlpm.str))=_xlpm.str,_xlfn.TEXTBEFORE(_xlfn.TEXTBEFORE(_xlfn.TEXTAFTER(Table1[[#This Row],[name]],_xlpm.str),".",-1),"_",-1),""))</f>
        <v>citicit</v>
      </c>
    </row>
    <row r="514" spans="21:24" x14ac:dyDescent="0.2">
      <c r="U514" s="5" t="s">
        <v>1922</v>
      </c>
      <c r="V514" t="s">
        <v>1280</v>
      </c>
      <c r="W514" t="s">
        <v>662</v>
      </c>
      <c r="X514" t="str">
        <f>_xlfn.LET(_xlpm.str,"'DIL_",IF(LEFT(Table1[[#This Row],[name]],LEN(_xlpm.str))=_xlpm.str,_xlfn.TEXTBEFORE(_xlfn.TEXTBEFORE(_xlfn.TEXTAFTER(Table1[[#This Row],[name]],_xlpm.str),".",-1),"_",-1),""))</f>
        <v>citr__L</v>
      </c>
    </row>
    <row r="515" spans="21:24" x14ac:dyDescent="0.2">
      <c r="U515" s="6" t="s">
        <v>1923</v>
      </c>
      <c r="V515" t="s">
        <v>1281</v>
      </c>
      <c r="W515" t="s">
        <v>663</v>
      </c>
      <c r="X515" t="str">
        <f>_xlfn.LET(_xlpm.str,"'DIL_",IF(LEFT(Table1[[#This Row],[name]],LEN(_xlpm.str))=_xlpm.str,_xlfn.TEXTBEFORE(_xlfn.TEXTBEFORE(_xlfn.TEXTAFTER(Table1[[#This Row],[name]],_xlpm.str),".",-1),"_",-1),""))</f>
        <v>citr__L</v>
      </c>
    </row>
    <row r="516" spans="21:24" x14ac:dyDescent="0.2">
      <c r="U516" s="5" t="s">
        <v>1924</v>
      </c>
      <c r="V516" t="s">
        <v>1282</v>
      </c>
      <c r="W516" t="s">
        <v>664</v>
      </c>
      <c r="X516" t="str">
        <f>_xlfn.LET(_xlpm.str,"'DIL_",IF(LEFT(Table1[[#This Row],[name]],LEN(_xlpm.str))=_xlpm.str,_xlfn.TEXTBEFORE(_xlfn.TEXTBEFORE(_xlfn.TEXTAFTER(Table1[[#This Row],[name]],_xlpm.str),".",-1),"_",-1),""))</f>
        <v>citr__L</v>
      </c>
    </row>
    <row r="517" spans="21:24" x14ac:dyDescent="0.2">
      <c r="U517" s="6" t="s">
        <v>1925</v>
      </c>
      <c r="V517" t="s">
        <v>1283</v>
      </c>
      <c r="W517" t="s">
        <v>665</v>
      </c>
      <c r="X517" t="str">
        <f>_xlfn.LET(_xlpm.str,"'DIL_",IF(LEFT(Table1[[#This Row],[name]],LEN(_xlpm.str))=_xlpm.str,_xlfn.TEXTBEFORE(_xlfn.TEXTBEFORE(_xlfn.TEXTAFTER(Table1[[#This Row],[name]],_xlpm.str),".",-1),"_",-1),""))</f>
        <v>dhap</v>
      </c>
    </row>
    <row r="518" spans="21:24" x14ac:dyDescent="0.2">
      <c r="U518" s="5" t="s">
        <v>1926</v>
      </c>
      <c r="V518" t="s">
        <v>1284</v>
      </c>
      <c r="W518" t="s">
        <v>666</v>
      </c>
      <c r="X518" t="str">
        <f>_xlfn.LET(_xlpm.str,"'DIL_",IF(LEFT(Table1[[#This Row],[name]],LEN(_xlpm.str))=_xlpm.str,_xlfn.TEXTBEFORE(_xlfn.TEXTBEFORE(_xlfn.TEXTAFTER(Table1[[#This Row],[name]],_xlpm.str),".",-1),"_",-1),""))</f>
        <v>dhap</v>
      </c>
    </row>
    <row r="519" spans="21:24" x14ac:dyDescent="0.2">
      <c r="U519" s="6" t="s">
        <v>1927</v>
      </c>
      <c r="V519" t="s">
        <v>1285</v>
      </c>
      <c r="W519" t="s">
        <v>667</v>
      </c>
      <c r="X519" t="str">
        <f>_xlfn.LET(_xlpm.str,"'DIL_",IF(LEFT(Table1[[#This Row],[name]],LEN(_xlpm.str))=_xlpm.str,_xlfn.TEXTBEFORE(_xlfn.TEXTBEFORE(_xlfn.TEXTAFTER(Table1[[#This Row],[name]],_xlpm.str),".",-1),"_",-1),""))</f>
        <v>dhap</v>
      </c>
    </row>
    <row r="520" spans="21:24" x14ac:dyDescent="0.2">
      <c r="U520" s="5" t="s">
        <v>1928</v>
      </c>
      <c r="V520" t="s">
        <v>1286</v>
      </c>
      <c r="W520" t="s">
        <v>668</v>
      </c>
      <c r="X520" t="str">
        <f>_xlfn.LET(_xlpm.str,"'DIL_",IF(LEFT(Table1[[#This Row],[name]],LEN(_xlpm.str))=_xlpm.str,_xlfn.TEXTBEFORE(_xlfn.TEXTBEFORE(_xlfn.TEXTAFTER(Table1[[#This Row],[name]],_xlpm.str),".",-1),"_",-1),""))</f>
        <v>f6p</v>
      </c>
    </row>
    <row r="521" spans="21:24" x14ac:dyDescent="0.2">
      <c r="U521" s="6" t="s">
        <v>1929</v>
      </c>
      <c r="V521" t="s">
        <v>1287</v>
      </c>
      <c r="W521" t="s">
        <v>669</v>
      </c>
      <c r="X521" t="str">
        <f>_xlfn.LET(_xlpm.str,"'DIL_",IF(LEFT(Table1[[#This Row],[name]],LEN(_xlpm.str))=_xlpm.str,_xlfn.TEXTBEFORE(_xlfn.TEXTBEFORE(_xlfn.TEXTAFTER(Table1[[#This Row],[name]],_xlpm.str),".",-1),"_",-1),""))</f>
        <v>f6p</v>
      </c>
    </row>
    <row r="522" spans="21:24" x14ac:dyDescent="0.2">
      <c r="U522" s="5" t="s">
        <v>1930</v>
      </c>
      <c r="V522" t="s">
        <v>1288</v>
      </c>
      <c r="W522" t="s">
        <v>670</v>
      </c>
      <c r="X522" t="str">
        <f>_xlfn.LET(_xlpm.str,"'DIL_",IF(LEFT(Table1[[#This Row],[name]],LEN(_xlpm.str))=_xlpm.str,_xlfn.TEXTBEFORE(_xlfn.TEXTBEFORE(_xlfn.TEXTAFTER(Table1[[#This Row],[name]],_xlpm.str),".",-1),"_",-1),""))</f>
        <v>f6p</v>
      </c>
    </row>
    <row r="523" spans="21:24" x14ac:dyDescent="0.2">
      <c r="U523" s="6" t="s">
        <v>1931</v>
      </c>
      <c r="V523" t="s">
        <v>1289</v>
      </c>
      <c r="W523" t="s">
        <v>671</v>
      </c>
      <c r="X523" t="str">
        <f>_xlfn.LET(_xlpm.str,"'DIL_",IF(LEFT(Table1[[#This Row],[name]],LEN(_xlpm.str))=_xlpm.str,_xlfn.TEXTBEFORE(_xlfn.TEXTBEFORE(_xlfn.TEXTAFTER(Table1[[#This Row],[name]],_xlpm.str),".",-1),"_",-1),""))</f>
        <v>fdp</v>
      </c>
    </row>
    <row r="524" spans="21:24" x14ac:dyDescent="0.2">
      <c r="U524" s="5" t="s">
        <v>1932</v>
      </c>
      <c r="V524" t="s">
        <v>1290</v>
      </c>
      <c r="W524" t="s">
        <v>672</v>
      </c>
      <c r="X524" t="str">
        <f>_xlfn.LET(_xlpm.str,"'DIL_",IF(LEFT(Table1[[#This Row],[name]],LEN(_xlpm.str))=_xlpm.str,_xlfn.TEXTBEFORE(_xlfn.TEXTBEFORE(_xlfn.TEXTAFTER(Table1[[#This Row],[name]],_xlpm.str),".",-1),"_",-1),""))</f>
        <v>fdp</v>
      </c>
    </row>
    <row r="525" spans="21:24" x14ac:dyDescent="0.2">
      <c r="U525" s="6" t="s">
        <v>1933</v>
      </c>
      <c r="V525" t="s">
        <v>1291</v>
      </c>
      <c r="W525" t="s">
        <v>673</v>
      </c>
      <c r="X525" t="str">
        <f>_xlfn.LET(_xlpm.str,"'DIL_",IF(LEFT(Table1[[#This Row],[name]],LEN(_xlpm.str))=_xlpm.str,_xlfn.TEXTBEFORE(_xlfn.TEXTBEFORE(_xlfn.TEXTAFTER(Table1[[#This Row],[name]],_xlpm.str),".",-1),"_",-1),""))</f>
        <v>fdp</v>
      </c>
    </row>
    <row r="526" spans="21:24" x14ac:dyDescent="0.2">
      <c r="U526" s="5" t="s">
        <v>1934</v>
      </c>
      <c r="V526" t="s">
        <v>1292</v>
      </c>
      <c r="W526" t="s">
        <v>674</v>
      </c>
      <c r="X526" t="str">
        <f>_xlfn.LET(_xlpm.str,"'DIL_",IF(LEFT(Table1[[#This Row],[name]],LEN(_xlpm.str))=_xlpm.str,_xlfn.TEXTBEFORE(_xlfn.TEXTBEFORE(_xlfn.TEXTAFTER(Table1[[#This Row],[name]],_xlpm.str),".",-1),"_",-1),""))</f>
        <v>fum</v>
      </c>
    </row>
    <row r="527" spans="21:24" x14ac:dyDescent="0.2">
      <c r="U527" s="6" t="s">
        <v>1935</v>
      </c>
      <c r="V527" t="s">
        <v>1293</v>
      </c>
      <c r="W527" t="s">
        <v>675</v>
      </c>
      <c r="X527" t="str">
        <f>_xlfn.LET(_xlpm.str,"'DIL_",IF(LEFT(Table1[[#This Row],[name]],LEN(_xlpm.str))=_xlpm.str,_xlfn.TEXTBEFORE(_xlfn.TEXTBEFORE(_xlfn.TEXTAFTER(Table1[[#This Row],[name]],_xlpm.str),".",-1),"_",-1),""))</f>
        <v>fum</v>
      </c>
    </row>
    <row r="528" spans="21:24" x14ac:dyDescent="0.2">
      <c r="U528" s="5" t="s">
        <v>1936</v>
      </c>
      <c r="V528" t="s">
        <v>1294</v>
      </c>
      <c r="W528" t="s">
        <v>676</v>
      </c>
      <c r="X528" t="str">
        <f>_xlfn.LET(_xlpm.str,"'DIL_",IF(LEFT(Table1[[#This Row],[name]],LEN(_xlpm.str))=_xlpm.str,_xlfn.TEXTBEFORE(_xlfn.TEXTBEFORE(_xlfn.TEXTAFTER(Table1[[#This Row],[name]],_xlpm.str),".",-1),"_",-1),""))</f>
        <v>fum</v>
      </c>
    </row>
    <row r="529" spans="21:24" x14ac:dyDescent="0.2">
      <c r="U529" s="6" t="s">
        <v>1937</v>
      </c>
      <c r="V529" t="s">
        <v>1295</v>
      </c>
      <c r="W529" t="s">
        <v>677</v>
      </c>
      <c r="X529" t="str">
        <f>_xlfn.LET(_xlpm.str,"'DIL_",IF(LEFT(Table1[[#This Row],[name]],LEN(_xlpm.str))=_xlpm.str,_xlfn.TEXTBEFORE(_xlfn.TEXTBEFORE(_xlfn.TEXTAFTER(Table1[[#This Row],[name]],_xlpm.str),".",-1),"_",-1),""))</f>
        <v>fum</v>
      </c>
    </row>
    <row r="530" spans="21:24" x14ac:dyDescent="0.2">
      <c r="U530" s="5" t="s">
        <v>1938</v>
      </c>
      <c r="V530" t="s">
        <v>1296</v>
      </c>
      <c r="W530" t="s">
        <v>678</v>
      </c>
      <c r="X530" t="str">
        <f>_xlfn.LET(_xlpm.str,"'DIL_",IF(LEFT(Table1[[#This Row],[name]],LEN(_xlpm.str))=_xlpm.str,_xlfn.TEXTBEFORE(_xlfn.TEXTBEFORE(_xlfn.TEXTAFTER(Table1[[#This Row],[name]],_xlpm.str),".",-1),"_",-1),""))</f>
        <v>g3p</v>
      </c>
    </row>
    <row r="531" spans="21:24" x14ac:dyDescent="0.2">
      <c r="U531" s="6" t="s">
        <v>1939</v>
      </c>
      <c r="V531" t="s">
        <v>1297</v>
      </c>
      <c r="W531" t="s">
        <v>679</v>
      </c>
      <c r="X531" t="str">
        <f>_xlfn.LET(_xlpm.str,"'DIL_",IF(LEFT(Table1[[#This Row],[name]],LEN(_xlpm.str))=_xlpm.str,_xlfn.TEXTBEFORE(_xlfn.TEXTBEFORE(_xlfn.TEXTAFTER(Table1[[#This Row],[name]],_xlpm.str),".",-1),"_",-1),""))</f>
        <v>g3p</v>
      </c>
    </row>
    <row r="532" spans="21:24" x14ac:dyDescent="0.2">
      <c r="U532" s="5" t="s">
        <v>1940</v>
      </c>
      <c r="V532" t="s">
        <v>1298</v>
      </c>
      <c r="W532" t="s">
        <v>680</v>
      </c>
      <c r="X532" t="str">
        <f>_xlfn.LET(_xlpm.str,"'DIL_",IF(LEFT(Table1[[#This Row],[name]],LEN(_xlpm.str))=_xlpm.str,_xlfn.TEXTBEFORE(_xlfn.TEXTBEFORE(_xlfn.TEXTAFTER(Table1[[#This Row],[name]],_xlpm.str),".",-1),"_",-1),""))</f>
        <v>g3p</v>
      </c>
    </row>
    <row r="533" spans="21:24" x14ac:dyDescent="0.2">
      <c r="U533" s="6" t="s">
        <v>1941</v>
      </c>
      <c r="V533" t="s">
        <v>1299</v>
      </c>
      <c r="W533" t="s">
        <v>681</v>
      </c>
      <c r="X533" t="str">
        <f>_xlfn.LET(_xlpm.str,"'DIL_",IF(LEFT(Table1[[#This Row],[name]],LEN(_xlpm.str))=_xlpm.str,_xlfn.TEXTBEFORE(_xlfn.TEXTBEFORE(_xlfn.TEXTAFTER(Table1[[#This Row],[name]],_xlpm.str),".",-1),"_",-1),""))</f>
        <v>g6p</v>
      </c>
    </row>
    <row r="534" spans="21:24" x14ac:dyDescent="0.2">
      <c r="U534" s="5" t="s">
        <v>1942</v>
      </c>
      <c r="V534" t="s">
        <v>1300</v>
      </c>
      <c r="W534" t="s">
        <v>682</v>
      </c>
      <c r="X534" t="str">
        <f>_xlfn.LET(_xlpm.str,"'DIL_",IF(LEFT(Table1[[#This Row],[name]],LEN(_xlpm.str))=_xlpm.str,_xlfn.TEXTBEFORE(_xlfn.TEXTBEFORE(_xlfn.TEXTAFTER(Table1[[#This Row],[name]],_xlpm.str),".",-1),"_",-1),""))</f>
        <v>g6p</v>
      </c>
    </row>
    <row r="535" spans="21:24" x14ac:dyDescent="0.2">
      <c r="U535" s="6" t="s">
        <v>1943</v>
      </c>
      <c r="V535" t="s">
        <v>1301</v>
      </c>
      <c r="W535" t="s">
        <v>683</v>
      </c>
      <c r="X535" t="str">
        <f>_xlfn.LET(_xlpm.str,"'DIL_",IF(LEFT(Table1[[#This Row],[name]],LEN(_xlpm.str))=_xlpm.str,_xlfn.TEXTBEFORE(_xlfn.TEXTBEFORE(_xlfn.TEXTAFTER(Table1[[#This Row],[name]],_xlpm.str),".",-1),"_",-1),""))</f>
        <v>g6p</v>
      </c>
    </row>
    <row r="536" spans="21:24" x14ac:dyDescent="0.2">
      <c r="U536" s="5" t="s">
        <v>1944</v>
      </c>
      <c r="V536" t="s">
        <v>1302</v>
      </c>
      <c r="W536" t="s">
        <v>684</v>
      </c>
      <c r="X536" t="str">
        <f>_xlfn.LET(_xlpm.str,"'DIL_",IF(LEFT(Table1[[#This Row],[name]],LEN(_xlpm.str))=_xlpm.str,_xlfn.TEXTBEFORE(_xlfn.TEXTBEFORE(_xlfn.TEXTAFTER(Table1[[#This Row],[name]],_xlpm.str),".",-1),"_",-1),""))</f>
        <v>gln__L</v>
      </c>
    </row>
    <row r="537" spans="21:24" x14ac:dyDescent="0.2">
      <c r="U537" s="6" t="s">
        <v>1945</v>
      </c>
      <c r="V537" t="s">
        <v>1303</v>
      </c>
      <c r="W537" t="s">
        <v>685</v>
      </c>
      <c r="X537" t="str">
        <f>_xlfn.LET(_xlpm.str,"'DIL_",IF(LEFT(Table1[[#This Row],[name]],LEN(_xlpm.str))=_xlpm.str,_xlfn.TEXTBEFORE(_xlfn.TEXTBEFORE(_xlfn.TEXTAFTER(Table1[[#This Row],[name]],_xlpm.str),".",-1),"_",-1),""))</f>
        <v>gln__L</v>
      </c>
    </row>
    <row r="538" spans="21:24" x14ac:dyDescent="0.2">
      <c r="U538" s="5" t="s">
        <v>1946</v>
      </c>
      <c r="V538" t="s">
        <v>1304</v>
      </c>
      <c r="W538" t="s">
        <v>686</v>
      </c>
      <c r="X538" t="str">
        <f>_xlfn.LET(_xlpm.str,"'DIL_",IF(LEFT(Table1[[#This Row],[name]],LEN(_xlpm.str))=_xlpm.str,_xlfn.TEXTBEFORE(_xlfn.TEXTBEFORE(_xlfn.TEXTAFTER(Table1[[#This Row],[name]],_xlpm.str),".",-1),"_",-1),""))</f>
        <v>gln__L</v>
      </c>
    </row>
    <row r="539" spans="21:24" x14ac:dyDescent="0.2">
      <c r="U539" s="6" t="s">
        <v>1947</v>
      </c>
      <c r="V539" t="s">
        <v>1305</v>
      </c>
      <c r="W539" t="s">
        <v>687</v>
      </c>
      <c r="X539" t="str">
        <f>_xlfn.LET(_xlpm.str,"'DIL_",IF(LEFT(Table1[[#This Row],[name]],LEN(_xlpm.str))=_xlpm.str,_xlfn.TEXTBEFORE(_xlfn.TEXTBEFORE(_xlfn.TEXTAFTER(Table1[[#This Row],[name]],_xlpm.str),".",-1),"_",-1),""))</f>
        <v>glu__L</v>
      </c>
    </row>
    <row r="540" spans="21:24" x14ac:dyDescent="0.2">
      <c r="U540" s="5" t="s">
        <v>1948</v>
      </c>
      <c r="V540" t="s">
        <v>1306</v>
      </c>
      <c r="W540" t="s">
        <v>688</v>
      </c>
      <c r="X540" t="str">
        <f>_xlfn.LET(_xlpm.str,"'DIL_",IF(LEFT(Table1[[#This Row],[name]],LEN(_xlpm.str))=_xlpm.str,_xlfn.TEXTBEFORE(_xlfn.TEXTBEFORE(_xlfn.TEXTAFTER(Table1[[#This Row],[name]],_xlpm.str),".",-1),"_",-1),""))</f>
        <v>glu__L</v>
      </c>
    </row>
    <row r="541" spans="21:24" x14ac:dyDescent="0.2">
      <c r="U541" s="6" t="s">
        <v>1949</v>
      </c>
      <c r="V541" t="s">
        <v>1307</v>
      </c>
      <c r="W541" t="s">
        <v>689</v>
      </c>
      <c r="X541" t="str">
        <f>_xlfn.LET(_xlpm.str,"'DIL_",IF(LEFT(Table1[[#This Row],[name]],LEN(_xlpm.str))=_xlpm.str,_xlfn.TEXTBEFORE(_xlfn.TEXTBEFORE(_xlfn.TEXTAFTER(Table1[[#This Row],[name]],_xlpm.str),".",-1),"_",-1),""))</f>
        <v>glu__L</v>
      </c>
    </row>
    <row r="542" spans="21:24" x14ac:dyDescent="0.2">
      <c r="U542" s="5" t="s">
        <v>1950</v>
      </c>
      <c r="V542" t="s">
        <v>1308</v>
      </c>
      <c r="W542" t="s">
        <v>690</v>
      </c>
      <c r="X542" t="str">
        <f>_xlfn.LET(_xlpm.str,"'DIL_",IF(LEFT(Table1[[#This Row],[name]],LEN(_xlpm.str))=_xlpm.str,_xlfn.TEXTBEFORE(_xlfn.TEXTBEFORE(_xlfn.TEXTAFTER(Table1[[#This Row],[name]],_xlpm.str),".",-1),"_",-1),""))</f>
        <v>glu__L</v>
      </c>
    </row>
    <row r="543" spans="21:24" x14ac:dyDescent="0.2">
      <c r="U543" s="6" t="s">
        <v>1951</v>
      </c>
      <c r="V543" t="s">
        <v>1309</v>
      </c>
      <c r="W543" t="s">
        <v>691</v>
      </c>
      <c r="X543" t="str">
        <f>_xlfn.LET(_xlpm.str,"'DIL_",IF(LEFT(Table1[[#This Row],[name]],LEN(_xlpm.str))=_xlpm.str,_xlfn.TEXTBEFORE(_xlfn.TEXTBEFORE(_xlfn.TEXTAFTER(Table1[[#This Row],[name]],_xlpm.str),".",-1),"_",-1),""))</f>
        <v>gly</v>
      </c>
    </row>
    <row r="544" spans="21:24" x14ac:dyDescent="0.2">
      <c r="U544" s="5" t="s">
        <v>1952</v>
      </c>
      <c r="V544" t="s">
        <v>1310</v>
      </c>
      <c r="W544" t="s">
        <v>692</v>
      </c>
      <c r="X544" t="str">
        <f>_xlfn.LET(_xlpm.str,"'DIL_",IF(LEFT(Table1[[#This Row],[name]],LEN(_xlpm.str))=_xlpm.str,_xlfn.TEXTBEFORE(_xlfn.TEXTBEFORE(_xlfn.TEXTAFTER(Table1[[#This Row],[name]],_xlpm.str),".",-1),"_",-1),""))</f>
        <v>gly</v>
      </c>
    </row>
    <row r="545" spans="21:24" x14ac:dyDescent="0.2">
      <c r="U545" s="6" t="s">
        <v>1953</v>
      </c>
      <c r="V545" t="s">
        <v>1311</v>
      </c>
      <c r="W545" t="s">
        <v>693</v>
      </c>
      <c r="X545" t="str">
        <f>_xlfn.LET(_xlpm.str,"'DIL_",IF(LEFT(Table1[[#This Row],[name]],LEN(_xlpm.str))=_xlpm.str,_xlfn.TEXTBEFORE(_xlfn.TEXTBEFORE(_xlfn.TEXTAFTER(Table1[[#This Row],[name]],_xlpm.str),".",-1),"_",-1),""))</f>
        <v>gly</v>
      </c>
    </row>
    <row r="546" spans="21:24" x14ac:dyDescent="0.2">
      <c r="U546" s="5" t="s">
        <v>1954</v>
      </c>
      <c r="V546" t="s">
        <v>1312</v>
      </c>
      <c r="W546" t="s">
        <v>694</v>
      </c>
      <c r="X546" t="str">
        <f>_xlfn.LET(_xlpm.str,"'DIL_",IF(LEFT(Table1[[#This Row],[name]],LEN(_xlpm.str))=_xlpm.str,_xlfn.TEXTBEFORE(_xlfn.TEXTBEFORE(_xlfn.TEXTAFTER(Table1[[#This Row],[name]],_xlpm.str),".",-1),"_",-1),""))</f>
        <v>gly</v>
      </c>
    </row>
    <row r="547" spans="21:24" x14ac:dyDescent="0.2">
      <c r="U547" s="6" t="s">
        <v>1955</v>
      </c>
      <c r="V547" t="s">
        <v>1313</v>
      </c>
      <c r="W547" t="s">
        <v>695</v>
      </c>
      <c r="X547" t="str">
        <f>_xlfn.LET(_xlpm.str,"'DIL_",IF(LEFT(Table1[[#This Row],[name]],LEN(_xlpm.str))=_xlpm.str,_xlfn.TEXTBEFORE(_xlfn.TEXTBEFORE(_xlfn.TEXTAFTER(Table1[[#This Row],[name]],_xlpm.str),".",-1),"_",-1),""))</f>
        <v>glyc3p</v>
      </c>
    </row>
    <row r="548" spans="21:24" x14ac:dyDescent="0.2">
      <c r="U548" s="5" t="s">
        <v>1956</v>
      </c>
      <c r="V548" t="s">
        <v>1314</v>
      </c>
      <c r="W548" t="s">
        <v>696</v>
      </c>
      <c r="X548" t="str">
        <f>_xlfn.LET(_xlpm.str,"'DIL_",IF(LEFT(Table1[[#This Row],[name]],LEN(_xlpm.str))=_xlpm.str,_xlfn.TEXTBEFORE(_xlfn.TEXTBEFORE(_xlfn.TEXTAFTER(Table1[[#This Row],[name]],_xlpm.str),".",-1),"_",-1),""))</f>
        <v>glyc3p</v>
      </c>
    </row>
    <row r="549" spans="21:24" x14ac:dyDescent="0.2">
      <c r="U549" s="6" t="s">
        <v>1957</v>
      </c>
      <c r="V549" t="s">
        <v>1315</v>
      </c>
      <c r="W549" t="s">
        <v>697</v>
      </c>
      <c r="X549" t="str">
        <f>_xlfn.LET(_xlpm.str,"'DIL_",IF(LEFT(Table1[[#This Row],[name]],LEN(_xlpm.str))=_xlpm.str,_xlfn.TEXTBEFORE(_xlfn.TEXTBEFORE(_xlfn.TEXTAFTER(Table1[[#This Row],[name]],_xlpm.str),".",-1),"_",-1),""))</f>
        <v>glyc3p</v>
      </c>
    </row>
    <row r="550" spans="21:24" x14ac:dyDescent="0.2">
      <c r="U550" s="5" t="s">
        <v>1958</v>
      </c>
      <c r="V550" t="s">
        <v>1316</v>
      </c>
      <c r="W550" t="s">
        <v>698</v>
      </c>
      <c r="X550" t="str">
        <f>_xlfn.LET(_xlpm.str,"'DIL_",IF(LEFT(Table1[[#This Row],[name]],LEN(_xlpm.str))=_xlpm.str,_xlfn.TEXTBEFORE(_xlfn.TEXTBEFORE(_xlfn.TEXTAFTER(Table1[[#This Row],[name]],_xlpm.str),".",-1),"_",-1),""))</f>
        <v>his__L</v>
      </c>
    </row>
    <row r="551" spans="21:24" x14ac:dyDescent="0.2">
      <c r="U551" s="6" t="s">
        <v>1959</v>
      </c>
      <c r="V551" t="s">
        <v>1317</v>
      </c>
      <c r="W551" t="s">
        <v>699</v>
      </c>
      <c r="X551" t="str">
        <f>_xlfn.LET(_xlpm.str,"'DIL_",IF(LEFT(Table1[[#This Row],[name]],LEN(_xlpm.str))=_xlpm.str,_xlfn.TEXTBEFORE(_xlfn.TEXTBEFORE(_xlfn.TEXTAFTER(Table1[[#This Row],[name]],_xlpm.str),".",-1),"_",-1),""))</f>
        <v>his__L</v>
      </c>
    </row>
    <row r="552" spans="21:24" x14ac:dyDescent="0.2">
      <c r="U552" s="5" t="s">
        <v>1960</v>
      </c>
      <c r="V552" t="s">
        <v>1318</v>
      </c>
      <c r="W552" t="s">
        <v>700</v>
      </c>
      <c r="X552" t="str">
        <f>_xlfn.LET(_xlpm.str,"'DIL_",IF(LEFT(Table1[[#This Row],[name]],LEN(_xlpm.str))=_xlpm.str,_xlfn.TEXTBEFORE(_xlfn.TEXTBEFORE(_xlfn.TEXTAFTER(Table1[[#This Row],[name]],_xlpm.str),".",-1),"_",-1),""))</f>
        <v>his__L</v>
      </c>
    </row>
    <row r="553" spans="21:24" x14ac:dyDescent="0.2">
      <c r="U553" s="6" t="s">
        <v>1961</v>
      </c>
      <c r="V553" t="s">
        <v>1319</v>
      </c>
      <c r="W553" t="s">
        <v>701</v>
      </c>
      <c r="X553" t="str">
        <f>_xlfn.LET(_xlpm.str,"'DIL_",IF(LEFT(Table1[[#This Row],[name]],LEN(_xlpm.str))=_xlpm.str,_xlfn.TEXTBEFORE(_xlfn.TEXTBEFORE(_xlfn.TEXTAFTER(Table1[[#This Row],[name]],_xlpm.str),".",-1),"_",-1),""))</f>
        <v>ile__L</v>
      </c>
    </row>
    <row r="554" spans="21:24" x14ac:dyDescent="0.2">
      <c r="U554" s="5" t="s">
        <v>1962</v>
      </c>
      <c r="V554" t="s">
        <v>1320</v>
      </c>
      <c r="W554" t="s">
        <v>702</v>
      </c>
      <c r="X554" t="str">
        <f>_xlfn.LET(_xlpm.str,"'DIL_",IF(LEFT(Table1[[#This Row],[name]],LEN(_xlpm.str))=_xlpm.str,_xlfn.TEXTBEFORE(_xlfn.TEXTBEFORE(_xlfn.TEXTAFTER(Table1[[#This Row],[name]],_xlpm.str),".",-1),"_",-1),""))</f>
        <v>ile__L</v>
      </c>
    </row>
    <row r="555" spans="21:24" x14ac:dyDescent="0.2">
      <c r="U555" s="6" t="s">
        <v>1963</v>
      </c>
      <c r="V555" t="s">
        <v>1321</v>
      </c>
      <c r="W555" t="s">
        <v>703</v>
      </c>
      <c r="X555" t="str">
        <f>_xlfn.LET(_xlpm.str,"'DIL_",IF(LEFT(Table1[[#This Row],[name]],LEN(_xlpm.str))=_xlpm.str,_xlfn.TEXTBEFORE(_xlfn.TEXTBEFORE(_xlfn.TEXTAFTER(Table1[[#This Row],[name]],_xlpm.str),".",-1),"_",-1),""))</f>
        <v>ile__L</v>
      </c>
    </row>
    <row r="556" spans="21:24" x14ac:dyDescent="0.2">
      <c r="U556" s="5" t="s">
        <v>1964</v>
      </c>
      <c r="V556" t="s">
        <v>1322</v>
      </c>
      <c r="W556" t="s">
        <v>704</v>
      </c>
      <c r="X556" t="str">
        <f>_xlfn.LET(_xlpm.str,"'DIL_",IF(LEFT(Table1[[#This Row],[name]],LEN(_xlpm.str))=_xlpm.str,_xlfn.TEXTBEFORE(_xlfn.TEXTBEFORE(_xlfn.TEXTAFTER(Table1[[#This Row],[name]],_xlpm.str),".",-1),"_",-1),""))</f>
        <v>ile__L</v>
      </c>
    </row>
    <row r="557" spans="21:24" x14ac:dyDescent="0.2">
      <c r="U557" s="6" t="s">
        <v>1965</v>
      </c>
      <c r="V557" t="s">
        <v>1323</v>
      </c>
      <c r="W557" t="s">
        <v>705</v>
      </c>
      <c r="X557" t="str">
        <f>_xlfn.LET(_xlpm.str,"'DIL_",IF(LEFT(Table1[[#This Row],[name]],LEN(_xlpm.str))=_xlpm.str,_xlfn.TEXTBEFORE(_xlfn.TEXTBEFORE(_xlfn.TEXTAFTER(Table1[[#This Row],[name]],_xlpm.str),".",-1),"_",-1),""))</f>
        <v>leu__L</v>
      </c>
    </row>
    <row r="558" spans="21:24" x14ac:dyDescent="0.2">
      <c r="U558" s="5" t="s">
        <v>1966</v>
      </c>
      <c r="V558" t="s">
        <v>1324</v>
      </c>
      <c r="W558" t="s">
        <v>706</v>
      </c>
      <c r="X558" t="str">
        <f>_xlfn.LET(_xlpm.str,"'DIL_",IF(LEFT(Table1[[#This Row],[name]],LEN(_xlpm.str))=_xlpm.str,_xlfn.TEXTBEFORE(_xlfn.TEXTBEFORE(_xlfn.TEXTAFTER(Table1[[#This Row],[name]],_xlpm.str),".",-1),"_",-1),""))</f>
        <v>leu__L</v>
      </c>
    </row>
    <row r="559" spans="21:24" x14ac:dyDescent="0.2">
      <c r="U559" s="6" t="s">
        <v>1967</v>
      </c>
      <c r="V559" t="s">
        <v>1325</v>
      </c>
      <c r="W559" t="s">
        <v>707</v>
      </c>
      <c r="X559" t="str">
        <f>_xlfn.LET(_xlpm.str,"'DIL_",IF(LEFT(Table1[[#This Row],[name]],LEN(_xlpm.str))=_xlpm.str,_xlfn.TEXTBEFORE(_xlfn.TEXTBEFORE(_xlfn.TEXTAFTER(Table1[[#This Row],[name]],_xlpm.str),".",-1),"_",-1),""))</f>
        <v>leu__L</v>
      </c>
    </row>
    <row r="560" spans="21:24" x14ac:dyDescent="0.2">
      <c r="U560" s="5" t="s">
        <v>1968</v>
      </c>
      <c r="V560" t="s">
        <v>1326</v>
      </c>
      <c r="W560" t="s">
        <v>708</v>
      </c>
      <c r="X560" t="str">
        <f>_xlfn.LET(_xlpm.str,"'DIL_",IF(LEFT(Table1[[#This Row],[name]],LEN(_xlpm.str))=_xlpm.str,_xlfn.TEXTBEFORE(_xlfn.TEXTBEFORE(_xlfn.TEXTAFTER(Table1[[#This Row],[name]],_xlpm.str),".",-1),"_",-1),""))</f>
        <v>lys__L</v>
      </c>
    </row>
    <row r="561" spans="21:24" x14ac:dyDescent="0.2">
      <c r="U561" s="6" t="s">
        <v>1969</v>
      </c>
      <c r="V561" t="s">
        <v>1327</v>
      </c>
      <c r="W561" t="s">
        <v>709</v>
      </c>
      <c r="X561" t="str">
        <f>_xlfn.LET(_xlpm.str,"'DIL_",IF(LEFT(Table1[[#This Row],[name]],LEN(_xlpm.str))=_xlpm.str,_xlfn.TEXTBEFORE(_xlfn.TEXTBEFORE(_xlfn.TEXTAFTER(Table1[[#This Row],[name]],_xlpm.str),".",-1),"_",-1),""))</f>
        <v>lys__L</v>
      </c>
    </row>
    <row r="562" spans="21:24" x14ac:dyDescent="0.2">
      <c r="U562" s="5" t="s">
        <v>1970</v>
      </c>
      <c r="V562" t="s">
        <v>1328</v>
      </c>
      <c r="W562" t="s">
        <v>710</v>
      </c>
      <c r="X562" t="str">
        <f>_xlfn.LET(_xlpm.str,"'DIL_",IF(LEFT(Table1[[#This Row],[name]],LEN(_xlpm.str))=_xlpm.str,_xlfn.TEXTBEFORE(_xlfn.TEXTBEFORE(_xlfn.TEXTAFTER(Table1[[#This Row],[name]],_xlpm.str),".",-1),"_",-1),""))</f>
        <v>lys__L</v>
      </c>
    </row>
    <row r="563" spans="21:24" x14ac:dyDescent="0.2">
      <c r="U563" s="6" t="s">
        <v>1971</v>
      </c>
      <c r="V563" t="s">
        <v>1329</v>
      </c>
      <c r="W563" t="s">
        <v>711</v>
      </c>
      <c r="X563" t="str">
        <f>_xlfn.LET(_xlpm.str,"'DIL_",IF(LEFT(Table1[[#This Row],[name]],LEN(_xlpm.str))=_xlpm.str,_xlfn.TEXTBEFORE(_xlfn.TEXTBEFORE(_xlfn.TEXTAFTER(Table1[[#This Row],[name]],_xlpm.str),".",-1),"_",-1),""))</f>
        <v>mal__L</v>
      </c>
    </row>
    <row r="564" spans="21:24" x14ac:dyDescent="0.2">
      <c r="U564" s="5" t="s">
        <v>1972</v>
      </c>
      <c r="V564" t="s">
        <v>1330</v>
      </c>
      <c r="W564" t="s">
        <v>712</v>
      </c>
      <c r="X564" t="str">
        <f>_xlfn.LET(_xlpm.str,"'DIL_",IF(LEFT(Table1[[#This Row],[name]],LEN(_xlpm.str))=_xlpm.str,_xlfn.TEXTBEFORE(_xlfn.TEXTBEFORE(_xlfn.TEXTAFTER(Table1[[#This Row],[name]],_xlpm.str),".",-1),"_",-1),""))</f>
        <v>mal__L</v>
      </c>
    </row>
    <row r="565" spans="21:24" x14ac:dyDescent="0.2">
      <c r="U565" s="6" t="s">
        <v>1973</v>
      </c>
      <c r="V565" t="s">
        <v>1331</v>
      </c>
      <c r="W565" t="s">
        <v>713</v>
      </c>
      <c r="X565" t="str">
        <f>_xlfn.LET(_xlpm.str,"'DIL_",IF(LEFT(Table1[[#This Row],[name]],LEN(_xlpm.str))=_xlpm.str,_xlfn.TEXTBEFORE(_xlfn.TEXTBEFORE(_xlfn.TEXTAFTER(Table1[[#This Row],[name]],_xlpm.str),".",-1),"_",-1),""))</f>
        <v>mal__L</v>
      </c>
    </row>
    <row r="566" spans="21:24" x14ac:dyDescent="0.2">
      <c r="U566" s="5" t="s">
        <v>1974</v>
      </c>
      <c r="V566" t="s">
        <v>1332</v>
      </c>
      <c r="W566" t="s">
        <v>714</v>
      </c>
      <c r="X566" t="str">
        <f>_xlfn.LET(_xlpm.str,"'DIL_",IF(LEFT(Table1[[#This Row],[name]],LEN(_xlpm.str))=_xlpm.str,_xlfn.TEXTBEFORE(_xlfn.TEXTBEFORE(_xlfn.TEXTAFTER(Table1[[#This Row],[name]],_xlpm.str),".",-1),"_",-1),""))</f>
        <v>mal__L</v>
      </c>
    </row>
    <row r="567" spans="21:24" x14ac:dyDescent="0.2">
      <c r="U567" s="6" t="s">
        <v>1975</v>
      </c>
      <c r="V567" t="s">
        <v>1333</v>
      </c>
      <c r="W567" t="s">
        <v>715</v>
      </c>
      <c r="X567" t="str">
        <f>_xlfn.LET(_xlpm.str,"'DIL_",IF(LEFT(Table1[[#This Row],[name]],LEN(_xlpm.str))=_xlpm.str,_xlfn.TEXTBEFORE(_xlfn.TEXTBEFORE(_xlfn.TEXTAFTER(Table1[[#This Row],[name]],_xlpm.str),".",-1),"_",-1),""))</f>
        <v>met__L</v>
      </c>
    </row>
    <row r="568" spans="21:24" x14ac:dyDescent="0.2">
      <c r="U568" s="5" t="s">
        <v>1976</v>
      </c>
      <c r="V568" t="s">
        <v>1334</v>
      </c>
      <c r="W568" t="s">
        <v>716</v>
      </c>
      <c r="X568" t="str">
        <f>_xlfn.LET(_xlpm.str,"'DIL_",IF(LEFT(Table1[[#This Row],[name]],LEN(_xlpm.str))=_xlpm.str,_xlfn.TEXTBEFORE(_xlfn.TEXTBEFORE(_xlfn.TEXTAFTER(Table1[[#This Row],[name]],_xlpm.str),".",-1),"_",-1),""))</f>
        <v>met__L</v>
      </c>
    </row>
    <row r="569" spans="21:24" x14ac:dyDescent="0.2">
      <c r="U569" s="6" t="s">
        <v>1977</v>
      </c>
      <c r="V569" t="s">
        <v>1335</v>
      </c>
      <c r="W569" t="s">
        <v>717</v>
      </c>
      <c r="X569" t="str">
        <f>_xlfn.LET(_xlpm.str,"'DIL_",IF(LEFT(Table1[[#This Row],[name]],LEN(_xlpm.str))=_xlpm.str,_xlfn.TEXTBEFORE(_xlfn.TEXTBEFORE(_xlfn.TEXTAFTER(Table1[[#This Row],[name]],_xlpm.str),".",-1),"_",-1),""))</f>
        <v>met__L</v>
      </c>
    </row>
    <row r="570" spans="21:24" x14ac:dyDescent="0.2">
      <c r="U570" s="5" t="s">
        <v>1978</v>
      </c>
      <c r="V570" t="s">
        <v>1336</v>
      </c>
      <c r="W570" t="s">
        <v>718</v>
      </c>
      <c r="X570" t="str">
        <f>_xlfn.LET(_xlpm.str,"'DIL_",IF(LEFT(Table1[[#This Row],[name]],LEN(_xlpm.str))=_xlpm.str,_xlfn.TEXTBEFORE(_xlfn.TEXTBEFORE(_xlfn.TEXTAFTER(Table1[[#This Row],[name]],_xlpm.str),".",-1),"_",-1),""))</f>
        <v>orn</v>
      </c>
    </row>
    <row r="571" spans="21:24" x14ac:dyDescent="0.2">
      <c r="U571" s="6" t="s">
        <v>1979</v>
      </c>
      <c r="V571" t="s">
        <v>1337</v>
      </c>
      <c r="W571" t="s">
        <v>719</v>
      </c>
      <c r="X571" t="str">
        <f>_xlfn.LET(_xlpm.str,"'DIL_",IF(LEFT(Table1[[#This Row],[name]],LEN(_xlpm.str))=_xlpm.str,_xlfn.TEXTBEFORE(_xlfn.TEXTBEFORE(_xlfn.TEXTAFTER(Table1[[#This Row],[name]],_xlpm.str),".",-1),"_",-1),""))</f>
        <v>orn</v>
      </c>
    </row>
    <row r="572" spans="21:24" x14ac:dyDescent="0.2">
      <c r="U572" s="5" t="s">
        <v>1980</v>
      </c>
      <c r="V572" t="s">
        <v>1338</v>
      </c>
      <c r="W572" t="s">
        <v>720</v>
      </c>
      <c r="X572" t="str">
        <f>_xlfn.LET(_xlpm.str,"'DIL_",IF(LEFT(Table1[[#This Row],[name]],LEN(_xlpm.str))=_xlpm.str,_xlfn.TEXTBEFORE(_xlfn.TEXTBEFORE(_xlfn.TEXTAFTER(Table1[[#This Row],[name]],_xlpm.str),".",-1),"_",-1),""))</f>
        <v>orn</v>
      </c>
    </row>
    <row r="573" spans="21:24" x14ac:dyDescent="0.2">
      <c r="U573" s="6" t="s">
        <v>1981</v>
      </c>
      <c r="V573" t="s">
        <v>1339</v>
      </c>
      <c r="W573" t="s">
        <v>721</v>
      </c>
      <c r="X573" t="str">
        <f>_xlfn.LET(_xlpm.str,"'DIL_",IF(LEFT(Table1[[#This Row],[name]],LEN(_xlpm.str))=_xlpm.str,_xlfn.TEXTBEFORE(_xlfn.TEXTBEFORE(_xlfn.TEXTAFTER(Table1[[#This Row],[name]],_xlpm.str),".",-1),"_",-1),""))</f>
        <v>orn</v>
      </c>
    </row>
    <row r="574" spans="21:24" x14ac:dyDescent="0.2">
      <c r="U574" s="5" t="s">
        <v>1982</v>
      </c>
      <c r="V574" t="s">
        <v>1340</v>
      </c>
      <c r="W574" t="s">
        <v>722</v>
      </c>
      <c r="X574" t="str">
        <f>_xlfn.LET(_xlpm.str,"'DIL_",IF(LEFT(Table1[[#This Row],[name]],LEN(_xlpm.str))=_xlpm.str,_xlfn.TEXTBEFORE(_xlfn.TEXTBEFORE(_xlfn.TEXTAFTER(Table1[[#This Row],[name]],_xlpm.str),".",-1),"_",-1),""))</f>
        <v>orot</v>
      </c>
    </row>
    <row r="575" spans="21:24" x14ac:dyDescent="0.2">
      <c r="U575" s="6" t="s">
        <v>1983</v>
      </c>
      <c r="V575" t="s">
        <v>1341</v>
      </c>
      <c r="W575" t="s">
        <v>723</v>
      </c>
      <c r="X575" t="str">
        <f>_xlfn.LET(_xlpm.str,"'DIL_",IF(LEFT(Table1[[#This Row],[name]],LEN(_xlpm.str))=_xlpm.str,_xlfn.TEXTBEFORE(_xlfn.TEXTBEFORE(_xlfn.TEXTAFTER(Table1[[#This Row],[name]],_xlpm.str),".",-1),"_",-1),""))</f>
        <v>orot</v>
      </c>
    </row>
    <row r="576" spans="21:24" x14ac:dyDescent="0.2">
      <c r="U576" s="5" t="s">
        <v>1984</v>
      </c>
      <c r="V576" t="s">
        <v>1342</v>
      </c>
      <c r="W576" t="s">
        <v>724</v>
      </c>
      <c r="X576" t="str">
        <f>_xlfn.LET(_xlpm.str,"'DIL_",IF(LEFT(Table1[[#This Row],[name]],LEN(_xlpm.str))=_xlpm.str,_xlfn.TEXTBEFORE(_xlfn.TEXTBEFORE(_xlfn.TEXTAFTER(Table1[[#This Row],[name]],_xlpm.str),".",-1),"_",-1),""))</f>
        <v>orot</v>
      </c>
    </row>
    <row r="577" spans="21:24" x14ac:dyDescent="0.2">
      <c r="U577" s="6" t="s">
        <v>1985</v>
      </c>
      <c r="V577" t="s">
        <v>1343</v>
      </c>
      <c r="W577" t="s">
        <v>725</v>
      </c>
      <c r="X577" t="str">
        <f>_xlfn.LET(_xlpm.str,"'DIL_",IF(LEFT(Table1[[#This Row],[name]],LEN(_xlpm.str))=_xlpm.str,_xlfn.TEXTBEFORE(_xlfn.TEXTBEFORE(_xlfn.TEXTAFTER(Table1[[#This Row],[name]],_xlpm.str),".",-1),"_",-1),""))</f>
        <v>pep</v>
      </c>
    </row>
    <row r="578" spans="21:24" x14ac:dyDescent="0.2">
      <c r="U578" s="5" t="s">
        <v>1986</v>
      </c>
      <c r="V578" t="s">
        <v>1344</v>
      </c>
      <c r="W578" t="s">
        <v>726</v>
      </c>
      <c r="X578" t="str">
        <f>_xlfn.LET(_xlpm.str,"'DIL_",IF(LEFT(Table1[[#This Row],[name]],LEN(_xlpm.str))=_xlpm.str,_xlfn.TEXTBEFORE(_xlfn.TEXTBEFORE(_xlfn.TEXTAFTER(Table1[[#This Row],[name]],_xlpm.str),".",-1),"_",-1),""))</f>
        <v>pep</v>
      </c>
    </row>
    <row r="579" spans="21:24" x14ac:dyDescent="0.2">
      <c r="U579" s="6" t="s">
        <v>1987</v>
      </c>
      <c r="V579" t="s">
        <v>1345</v>
      </c>
      <c r="W579" t="s">
        <v>727</v>
      </c>
      <c r="X579" t="str">
        <f>_xlfn.LET(_xlpm.str,"'DIL_",IF(LEFT(Table1[[#This Row],[name]],LEN(_xlpm.str))=_xlpm.str,_xlfn.TEXTBEFORE(_xlfn.TEXTBEFORE(_xlfn.TEXTAFTER(Table1[[#This Row],[name]],_xlpm.str),".",-1),"_",-1),""))</f>
        <v>pep</v>
      </c>
    </row>
    <row r="580" spans="21:24" x14ac:dyDescent="0.2">
      <c r="U580" s="5" t="s">
        <v>1988</v>
      </c>
      <c r="V580" t="s">
        <v>1346</v>
      </c>
      <c r="W580" t="s">
        <v>728</v>
      </c>
      <c r="X580" t="str">
        <f>_xlfn.LET(_xlpm.str,"'DIL_",IF(LEFT(Table1[[#This Row],[name]],LEN(_xlpm.str))=_xlpm.str,_xlfn.TEXTBEFORE(_xlfn.TEXTBEFORE(_xlfn.TEXTAFTER(Table1[[#This Row],[name]],_xlpm.str),".",-1),"_",-1),""))</f>
        <v>phe__L</v>
      </c>
    </row>
    <row r="581" spans="21:24" x14ac:dyDescent="0.2">
      <c r="U581" s="6" t="s">
        <v>1989</v>
      </c>
      <c r="V581" t="s">
        <v>1347</v>
      </c>
      <c r="W581" t="s">
        <v>729</v>
      </c>
      <c r="X581" t="str">
        <f>_xlfn.LET(_xlpm.str,"'DIL_",IF(LEFT(Table1[[#This Row],[name]],LEN(_xlpm.str))=_xlpm.str,_xlfn.TEXTBEFORE(_xlfn.TEXTBEFORE(_xlfn.TEXTAFTER(Table1[[#This Row],[name]],_xlpm.str),".",-1),"_",-1),""))</f>
        <v>phe__L</v>
      </c>
    </row>
    <row r="582" spans="21:24" x14ac:dyDescent="0.2">
      <c r="U582" s="5" t="s">
        <v>1990</v>
      </c>
      <c r="V582" t="s">
        <v>1348</v>
      </c>
      <c r="W582" t="s">
        <v>730</v>
      </c>
      <c r="X582" t="str">
        <f>_xlfn.LET(_xlpm.str,"'DIL_",IF(LEFT(Table1[[#This Row],[name]],LEN(_xlpm.str))=_xlpm.str,_xlfn.TEXTBEFORE(_xlfn.TEXTBEFORE(_xlfn.TEXTAFTER(Table1[[#This Row],[name]],_xlpm.str),".",-1),"_",-1),""))</f>
        <v>phe__L</v>
      </c>
    </row>
    <row r="583" spans="21:24" x14ac:dyDescent="0.2">
      <c r="U583" s="6" t="s">
        <v>1991</v>
      </c>
      <c r="V583" t="s">
        <v>1349</v>
      </c>
      <c r="W583" t="s">
        <v>731</v>
      </c>
      <c r="X583" t="str">
        <f>_xlfn.LET(_xlpm.str,"'DIL_",IF(LEFT(Table1[[#This Row],[name]],LEN(_xlpm.str))=_xlpm.str,_xlfn.TEXTBEFORE(_xlfn.TEXTBEFORE(_xlfn.TEXTAFTER(Table1[[#This Row],[name]],_xlpm.str),".",-1),"_",-1),""))</f>
        <v>pro__L</v>
      </c>
    </row>
    <row r="584" spans="21:24" x14ac:dyDescent="0.2">
      <c r="U584" s="5" t="s">
        <v>1992</v>
      </c>
      <c r="V584" t="s">
        <v>1350</v>
      </c>
      <c r="W584" t="s">
        <v>732</v>
      </c>
      <c r="X584" t="str">
        <f>_xlfn.LET(_xlpm.str,"'DIL_",IF(LEFT(Table1[[#This Row],[name]],LEN(_xlpm.str))=_xlpm.str,_xlfn.TEXTBEFORE(_xlfn.TEXTBEFORE(_xlfn.TEXTAFTER(Table1[[#This Row],[name]],_xlpm.str),".",-1),"_",-1),""))</f>
        <v>pro__L</v>
      </c>
    </row>
    <row r="585" spans="21:24" x14ac:dyDescent="0.2">
      <c r="U585" s="6" t="s">
        <v>1993</v>
      </c>
      <c r="V585" t="s">
        <v>1351</v>
      </c>
      <c r="W585" t="s">
        <v>733</v>
      </c>
      <c r="X585" t="str">
        <f>_xlfn.LET(_xlpm.str,"'DIL_",IF(LEFT(Table1[[#This Row],[name]],LEN(_xlpm.str))=_xlpm.str,_xlfn.TEXTBEFORE(_xlfn.TEXTBEFORE(_xlfn.TEXTAFTER(Table1[[#This Row],[name]],_xlpm.str),".",-1),"_",-1),""))</f>
        <v>pro__L</v>
      </c>
    </row>
    <row r="586" spans="21:24" x14ac:dyDescent="0.2">
      <c r="U586" s="5" t="s">
        <v>1994</v>
      </c>
      <c r="V586" t="s">
        <v>1352</v>
      </c>
      <c r="W586" t="s">
        <v>734</v>
      </c>
      <c r="X586" t="str">
        <f>_xlfn.LET(_xlpm.str,"'DIL_",IF(LEFT(Table1[[#This Row],[name]],LEN(_xlpm.str))=_xlpm.str,_xlfn.TEXTBEFORE(_xlfn.TEXTBEFORE(_xlfn.TEXTAFTER(Table1[[#This Row],[name]],_xlpm.str),".",-1),"_",-1),""))</f>
        <v>pro__L</v>
      </c>
    </row>
    <row r="587" spans="21:24" x14ac:dyDescent="0.2">
      <c r="U587" s="6" t="s">
        <v>1995</v>
      </c>
      <c r="V587" t="s">
        <v>1353</v>
      </c>
      <c r="W587" t="s">
        <v>735</v>
      </c>
      <c r="X587" t="str">
        <f>_xlfn.LET(_xlpm.str,"'DIL_",IF(LEFT(Table1[[#This Row],[name]],LEN(_xlpm.str))=_xlpm.str,_xlfn.TEXTBEFORE(_xlfn.TEXTBEFORE(_xlfn.TEXTAFTER(Table1[[#This Row],[name]],_xlpm.str),".",-1),"_",-1),""))</f>
        <v>pyr</v>
      </c>
    </row>
    <row r="588" spans="21:24" x14ac:dyDescent="0.2">
      <c r="U588" s="5" t="s">
        <v>1996</v>
      </c>
      <c r="V588" t="s">
        <v>1354</v>
      </c>
      <c r="W588" t="s">
        <v>736</v>
      </c>
      <c r="X588" t="str">
        <f>_xlfn.LET(_xlpm.str,"'DIL_",IF(LEFT(Table1[[#This Row],[name]],LEN(_xlpm.str))=_xlpm.str,_xlfn.TEXTBEFORE(_xlfn.TEXTBEFORE(_xlfn.TEXTAFTER(Table1[[#This Row],[name]],_xlpm.str),".",-1),"_",-1),""))</f>
        <v>pyr</v>
      </c>
    </row>
    <row r="589" spans="21:24" x14ac:dyDescent="0.2">
      <c r="U589" s="6" t="s">
        <v>1997</v>
      </c>
      <c r="V589" t="s">
        <v>1355</v>
      </c>
      <c r="W589" t="s">
        <v>737</v>
      </c>
      <c r="X589" t="str">
        <f>_xlfn.LET(_xlpm.str,"'DIL_",IF(LEFT(Table1[[#This Row],[name]],LEN(_xlpm.str))=_xlpm.str,_xlfn.TEXTBEFORE(_xlfn.TEXTBEFORE(_xlfn.TEXTAFTER(Table1[[#This Row],[name]],_xlpm.str),".",-1),"_",-1),""))</f>
        <v>pyr</v>
      </c>
    </row>
    <row r="590" spans="21:24" x14ac:dyDescent="0.2">
      <c r="U590" s="5" t="s">
        <v>1998</v>
      </c>
      <c r="V590" t="s">
        <v>1356</v>
      </c>
      <c r="W590" t="s">
        <v>738</v>
      </c>
      <c r="X590" t="str">
        <f>_xlfn.LET(_xlpm.str,"'DIL_",IF(LEFT(Table1[[#This Row],[name]],LEN(_xlpm.str))=_xlpm.str,_xlfn.TEXTBEFORE(_xlfn.TEXTBEFORE(_xlfn.TEXTAFTER(Table1[[#This Row],[name]],_xlpm.str),".",-1),"_",-1),""))</f>
        <v>pyr</v>
      </c>
    </row>
    <row r="591" spans="21:24" x14ac:dyDescent="0.2">
      <c r="U591" s="6" t="s">
        <v>1999</v>
      </c>
      <c r="V591" t="s">
        <v>1357</v>
      </c>
      <c r="W591" t="s">
        <v>739</v>
      </c>
      <c r="X591" t="str">
        <f>_xlfn.LET(_xlpm.str,"'DIL_",IF(LEFT(Table1[[#This Row],[name]],LEN(_xlpm.str))=_xlpm.str,_xlfn.TEXTBEFORE(_xlfn.TEXTBEFORE(_xlfn.TEXTAFTER(Table1[[#This Row],[name]],_xlpm.str),".",-1),"_",-1),""))</f>
        <v>r5p</v>
      </c>
    </row>
    <row r="592" spans="21:24" x14ac:dyDescent="0.2">
      <c r="U592" s="5" t="s">
        <v>2000</v>
      </c>
      <c r="V592" t="s">
        <v>1358</v>
      </c>
      <c r="W592" t="s">
        <v>740</v>
      </c>
      <c r="X592" t="str">
        <f>_xlfn.LET(_xlpm.str,"'DIL_",IF(LEFT(Table1[[#This Row],[name]],LEN(_xlpm.str))=_xlpm.str,_xlfn.TEXTBEFORE(_xlfn.TEXTBEFORE(_xlfn.TEXTAFTER(Table1[[#This Row],[name]],_xlpm.str),".",-1),"_",-1),""))</f>
        <v>r5p</v>
      </c>
    </row>
    <row r="593" spans="21:24" x14ac:dyDescent="0.2">
      <c r="U593" s="6" t="s">
        <v>2001</v>
      </c>
      <c r="V593" t="s">
        <v>1359</v>
      </c>
      <c r="W593" t="s">
        <v>741</v>
      </c>
      <c r="X593" t="str">
        <f>_xlfn.LET(_xlpm.str,"'DIL_",IF(LEFT(Table1[[#This Row],[name]],LEN(_xlpm.str))=_xlpm.str,_xlfn.TEXTBEFORE(_xlfn.TEXTBEFORE(_xlfn.TEXTAFTER(Table1[[#This Row],[name]],_xlpm.str),".",-1),"_",-1),""))</f>
        <v>r5p</v>
      </c>
    </row>
    <row r="594" spans="21:24" x14ac:dyDescent="0.2">
      <c r="U594" s="5" t="s">
        <v>2002</v>
      </c>
      <c r="V594" t="s">
        <v>1360</v>
      </c>
      <c r="W594" t="s">
        <v>742</v>
      </c>
      <c r="X594" t="str">
        <f>_xlfn.LET(_xlpm.str,"'DIL_",IF(LEFT(Table1[[#This Row],[name]],LEN(_xlpm.str))=_xlpm.str,_xlfn.TEXTBEFORE(_xlfn.TEXTBEFORE(_xlfn.TEXTAFTER(Table1[[#This Row],[name]],_xlpm.str),".",-1),"_",-1),""))</f>
        <v>s7p</v>
      </c>
    </row>
    <row r="595" spans="21:24" x14ac:dyDescent="0.2">
      <c r="U595" s="6" t="s">
        <v>2003</v>
      </c>
      <c r="V595" t="s">
        <v>1361</v>
      </c>
      <c r="W595" t="s">
        <v>743</v>
      </c>
      <c r="X595" t="str">
        <f>_xlfn.LET(_xlpm.str,"'DIL_",IF(LEFT(Table1[[#This Row],[name]],LEN(_xlpm.str))=_xlpm.str,_xlfn.TEXTBEFORE(_xlfn.TEXTBEFORE(_xlfn.TEXTAFTER(Table1[[#This Row],[name]],_xlpm.str),".",-1),"_",-1),""))</f>
        <v>s7p</v>
      </c>
    </row>
    <row r="596" spans="21:24" x14ac:dyDescent="0.2">
      <c r="U596" s="5" t="s">
        <v>2004</v>
      </c>
      <c r="V596" t="s">
        <v>1362</v>
      </c>
      <c r="W596" t="s">
        <v>744</v>
      </c>
      <c r="X596" t="str">
        <f>_xlfn.LET(_xlpm.str,"'DIL_",IF(LEFT(Table1[[#This Row],[name]],LEN(_xlpm.str))=_xlpm.str,_xlfn.TEXTBEFORE(_xlfn.TEXTBEFORE(_xlfn.TEXTAFTER(Table1[[#This Row],[name]],_xlpm.str),".",-1),"_",-1),""))</f>
        <v>s7p</v>
      </c>
    </row>
    <row r="597" spans="21:24" x14ac:dyDescent="0.2">
      <c r="U597" s="6" t="s">
        <v>2005</v>
      </c>
      <c r="V597" t="s">
        <v>1363</v>
      </c>
      <c r="W597" t="s">
        <v>745</v>
      </c>
      <c r="X597" t="str">
        <f>_xlfn.LET(_xlpm.str,"'DIL_",IF(LEFT(Table1[[#This Row],[name]],LEN(_xlpm.str))=_xlpm.str,_xlfn.TEXTBEFORE(_xlfn.TEXTBEFORE(_xlfn.TEXTAFTER(Table1[[#This Row],[name]],_xlpm.str),".",-1),"_",-1),""))</f>
        <v>ser__L</v>
      </c>
    </row>
    <row r="598" spans="21:24" x14ac:dyDescent="0.2">
      <c r="U598" s="5" t="s">
        <v>2006</v>
      </c>
      <c r="V598" t="s">
        <v>1364</v>
      </c>
      <c r="W598" t="s">
        <v>746</v>
      </c>
      <c r="X598" t="str">
        <f>_xlfn.LET(_xlpm.str,"'DIL_",IF(LEFT(Table1[[#This Row],[name]],LEN(_xlpm.str))=_xlpm.str,_xlfn.TEXTBEFORE(_xlfn.TEXTBEFORE(_xlfn.TEXTAFTER(Table1[[#This Row],[name]],_xlpm.str),".",-1),"_",-1),""))</f>
        <v>ser__L</v>
      </c>
    </row>
    <row r="599" spans="21:24" x14ac:dyDescent="0.2">
      <c r="U599" s="6" t="s">
        <v>2007</v>
      </c>
      <c r="V599" t="s">
        <v>1365</v>
      </c>
      <c r="W599" t="s">
        <v>747</v>
      </c>
      <c r="X599" t="str">
        <f>_xlfn.LET(_xlpm.str,"'DIL_",IF(LEFT(Table1[[#This Row],[name]],LEN(_xlpm.str))=_xlpm.str,_xlfn.TEXTBEFORE(_xlfn.TEXTBEFORE(_xlfn.TEXTAFTER(Table1[[#This Row],[name]],_xlpm.str),".",-1),"_",-1),""))</f>
        <v>ser__L</v>
      </c>
    </row>
    <row r="600" spans="21:24" x14ac:dyDescent="0.2">
      <c r="U600" s="5" t="s">
        <v>2008</v>
      </c>
      <c r="V600" t="s">
        <v>1366</v>
      </c>
      <c r="W600" t="s">
        <v>748</v>
      </c>
      <c r="X600" t="str">
        <f>_xlfn.LET(_xlpm.str,"'DIL_",IF(LEFT(Table1[[#This Row],[name]],LEN(_xlpm.str))=_xlpm.str,_xlfn.TEXTBEFORE(_xlfn.TEXTBEFORE(_xlfn.TEXTAFTER(Table1[[#This Row],[name]],_xlpm.str),".",-1),"_",-1),""))</f>
        <v>ser__L</v>
      </c>
    </row>
    <row r="601" spans="21:24" x14ac:dyDescent="0.2">
      <c r="U601" s="6" t="s">
        <v>2009</v>
      </c>
      <c r="V601" t="s">
        <v>1367</v>
      </c>
      <c r="W601" t="s">
        <v>749</v>
      </c>
      <c r="X601" t="str">
        <f>_xlfn.LET(_xlpm.str,"'DIL_",IF(LEFT(Table1[[#This Row],[name]],LEN(_xlpm.str))=_xlpm.str,_xlfn.TEXTBEFORE(_xlfn.TEXTBEFORE(_xlfn.TEXTAFTER(Table1[[#This Row],[name]],_xlpm.str),".",-1),"_",-1),""))</f>
        <v>succ</v>
      </c>
    </row>
    <row r="602" spans="21:24" x14ac:dyDescent="0.2">
      <c r="U602" s="5" t="s">
        <v>2010</v>
      </c>
      <c r="V602" t="s">
        <v>1368</v>
      </c>
      <c r="W602" t="s">
        <v>750</v>
      </c>
      <c r="X602" t="str">
        <f>_xlfn.LET(_xlpm.str,"'DIL_",IF(LEFT(Table1[[#This Row],[name]],LEN(_xlpm.str))=_xlpm.str,_xlfn.TEXTBEFORE(_xlfn.TEXTBEFORE(_xlfn.TEXTAFTER(Table1[[#This Row],[name]],_xlpm.str),".",-1),"_",-1),""))</f>
        <v>succ</v>
      </c>
    </row>
    <row r="603" spans="21:24" x14ac:dyDescent="0.2">
      <c r="U603" s="6" t="s">
        <v>2011</v>
      </c>
      <c r="V603" t="s">
        <v>1369</v>
      </c>
      <c r="W603" t="s">
        <v>751</v>
      </c>
      <c r="X603" t="str">
        <f>_xlfn.LET(_xlpm.str,"'DIL_",IF(LEFT(Table1[[#This Row],[name]],LEN(_xlpm.str))=_xlpm.str,_xlfn.TEXTBEFORE(_xlfn.TEXTBEFORE(_xlfn.TEXTAFTER(Table1[[#This Row],[name]],_xlpm.str),".",-1),"_",-1),""))</f>
        <v>succ</v>
      </c>
    </row>
    <row r="604" spans="21:24" x14ac:dyDescent="0.2">
      <c r="U604" s="5" t="s">
        <v>2012</v>
      </c>
      <c r="V604" t="s">
        <v>1370</v>
      </c>
      <c r="W604" t="s">
        <v>752</v>
      </c>
      <c r="X604" t="str">
        <f>_xlfn.LET(_xlpm.str,"'DIL_",IF(LEFT(Table1[[#This Row],[name]],LEN(_xlpm.str))=_xlpm.str,_xlfn.TEXTBEFORE(_xlfn.TEXTBEFORE(_xlfn.TEXTAFTER(Table1[[#This Row],[name]],_xlpm.str),".",-1),"_",-1),""))</f>
        <v>succ</v>
      </c>
    </row>
    <row r="605" spans="21:24" x14ac:dyDescent="0.2">
      <c r="U605" s="6" t="s">
        <v>2013</v>
      </c>
      <c r="V605" t="s">
        <v>1371</v>
      </c>
      <c r="W605" t="s">
        <v>753</v>
      </c>
      <c r="X605" t="str">
        <f>_xlfn.LET(_xlpm.str,"'DIL_",IF(LEFT(Table1[[#This Row],[name]],LEN(_xlpm.str))=_xlpm.str,_xlfn.TEXTBEFORE(_xlfn.TEXTBEFORE(_xlfn.TEXTAFTER(Table1[[#This Row],[name]],_xlpm.str),".",-1),"_",-1),""))</f>
        <v>thr__L</v>
      </c>
    </row>
    <row r="606" spans="21:24" x14ac:dyDescent="0.2">
      <c r="U606" s="5" t="s">
        <v>2014</v>
      </c>
      <c r="V606" t="s">
        <v>1372</v>
      </c>
      <c r="W606" t="s">
        <v>754</v>
      </c>
      <c r="X606" t="str">
        <f>_xlfn.LET(_xlpm.str,"'DIL_",IF(LEFT(Table1[[#This Row],[name]],LEN(_xlpm.str))=_xlpm.str,_xlfn.TEXTBEFORE(_xlfn.TEXTBEFORE(_xlfn.TEXTAFTER(Table1[[#This Row],[name]],_xlpm.str),".",-1),"_",-1),""))</f>
        <v>thr__L</v>
      </c>
    </row>
    <row r="607" spans="21:24" x14ac:dyDescent="0.2">
      <c r="U607" s="6" t="s">
        <v>2015</v>
      </c>
      <c r="V607" t="s">
        <v>1373</v>
      </c>
      <c r="W607" t="s">
        <v>755</v>
      </c>
      <c r="X607" t="str">
        <f>_xlfn.LET(_xlpm.str,"'DIL_",IF(LEFT(Table1[[#This Row],[name]],LEN(_xlpm.str))=_xlpm.str,_xlfn.TEXTBEFORE(_xlfn.TEXTBEFORE(_xlfn.TEXTAFTER(Table1[[#This Row],[name]],_xlpm.str),".",-1),"_",-1),""))</f>
        <v>thr__L</v>
      </c>
    </row>
    <row r="608" spans="21:24" x14ac:dyDescent="0.2">
      <c r="U608" s="5" t="s">
        <v>2016</v>
      </c>
      <c r="V608" t="s">
        <v>1374</v>
      </c>
      <c r="W608" t="s">
        <v>756</v>
      </c>
      <c r="X608" t="str">
        <f>_xlfn.LET(_xlpm.str,"'DIL_",IF(LEFT(Table1[[#This Row],[name]],LEN(_xlpm.str))=_xlpm.str,_xlfn.TEXTBEFORE(_xlfn.TEXTBEFORE(_xlfn.TEXTAFTER(Table1[[#This Row],[name]],_xlpm.str),".",-1),"_",-1),""))</f>
        <v>thr__L</v>
      </c>
    </row>
    <row r="609" spans="21:24" x14ac:dyDescent="0.2">
      <c r="U609" s="6" t="s">
        <v>2017</v>
      </c>
      <c r="V609" t="s">
        <v>1375</v>
      </c>
      <c r="W609" t="s">
        <v>757</v>
      </c>
      <c r="X609" t="str">
        <f>_xlfn.LET(_xlpm.str,"'DIL_",IF(LEFT(Table1[[#This Row],[name]],LEN(_xlpm.str))=_xlpm.str,_xlfn.TEXTBEFORE(_xlfn.TEXTBEFORE(_xlfn.TEXTAFTER(Table1[[#This Row],[name]],_xlpm.str),".",-1),"_",-1),""))</f>
        <v>trp__L</v>
      </c>
    </row>
    <row r="610" spans="21:24" x14ac:dyDescent="0.2">
      <c r="U610" s="5" t="s">
        <v>2018</v>
      </c>
      <c r="V610" t="s">
        <v>1376</v>
      </c>
      <c r="W610" t="s">
        <v>758</v>
      </c>
      <c r="X610" t="str">
        <f>_xlfn.LET(_xlpm.str,"'DIL_",IF(LEFT(Table1[[#This Row],[name]],LEN(_xlpm.str))=_xlpm.str,_xlfn.TEXTBEFORE(_xlfn.TEXTBEFORE(_xlfn.TEXTAFTER(Table1[[#This Row],[name]],_xlpm.str),".",-1),"_",-1),""))</f>
        <v>trp__L</v>
      </c>
    </row>
    <row r="611" spans="21:24" x14ac:dyDescent="0.2">
      <c r="U611" s="6" t="s">
        <v>2019</v>
      </c>
      <c r="V611" t="s">
        <v>1377</v>
      </c>
      <c r="W611" t="s">
        <v>759</v>
      </c>
      <c r="X611" t="str">
        <f>_xlfn.LET(_xlpm.str,"'DIL_",IF(LEFT(Table1[[#This Row],[name]],LEN(_xlpm.str))=_xlpm.str,_xlfn.TEXTBEFORE(_xlfn.TEXTBEFORE(_xlfn.TEXTAFTER(Table1[[#This Row],[name]],_xlpm.str),".",-1),"_",-1),""))</f>
        <v>trp__L</v>
      </c>
    </row>
    <row r="612" spans="21:24" x14ac:dyDescent="0.2">
      <c r="U612" s="5" t="s">
        <v>2020</v>
      </c>
      <c r="V612" t="s">
        <v>1378</v>
      </c>
      <c r="W612" t="s">
        <v>760</v>
      </c>
      <c r="X612" t="str">
        <f>_xlfn.LET(_xlpm.str,"'DIL_",IF(LEFT(Table1[[#This Row],[name]],LEN(_xlpm.str))=_xlpm.str,_xlfn.TEXTBEFORE(_xlfn.TEXTBEFORE(_xlfn.TEXTAFTER(Table1[[#This Row],[name]],_xlpm.str),".",-1),"_",-1),""))</f>
        <v>tyr__L</v>
      </c>
    </row>
    <row r="613" spans="21:24" x14ac:dyDescent="0.2">
      <c r="U613" s="6" t="s">
        <v>2021</v>
      </c>
      <c r="V613" t="s">
        <v>1379</v>
      </c>
      <c r="W613" t="s">
        <v>761</v>
      </c>
      <c r="X613" t="str">
        <f>_xlfn.LET(_xlpm.str,"'DIL_",IF(LEFT(Table1[[#This Row],[name]],LEN(_xlpm.str))=_xlpm.str,_xlfn.TEXTBEFORE(_xlfn.TEXTBEFORE(_xlfn.TEXTAFTER(Table1[[#This Row],[name]],_xlpm.str),".",-1),"_",-1),""))</f>
        <v>tyr__L</v>
      </c>
    </row>
    <row r="614" spans="21:24" x14ac:dyDescent="0.2">
      <c r="U614" s="5" t="s">
        <v>2022</v>
      </c>
      <c r="V614" t="s">
        <v>1380</v>
      </c>
      <c r="W614" t="s">
        <v>762</v>
      </c>
      <c r="X614" t="str">
        <f>_xlfn.LET(_xlpm.str,"'DIL_",IF(LEFT(Table1[[#This Row],[name]],LEN(_xlpm.str))=_xlpm.str,_xlfn.TEXTBEFORE(_xlfn.TEXTBEFORE(_xlfn.TEXTAFTER(Table1[[#This Row],[name]],_xlpm.str),".",-1),"_",-1),""))</f>
        <v>tyr__L</v>
      </c>
    </row>
    <row r="615" spans="21:24" x14ac:dyDescent="0.2">
      <c r="U615" s="6" t="s">
        <v>2023</v>
      </c>
      <c r="V615" t="s">
        <v>1381</v>
      </c>
      <c r="W615" t="s">
        <v>763</v>
      </c>
      <c r="X615" t="str">
        <f>_xlfn.LET(_xlpm.str,"'DIL_",IF(LEFT(Table1[[#This Row],[name]],LEN(_xlpm.str))=_xlpm.str,_xlfn.TEXTBEFORE(_xlfn.TEXTBEFORE(_xlfn.TEXTAFTER(Table1[[#This Row],[name]],_xlpm.str),".",-1),"_",-1),""))</f>
        <v>val__L</v>
      </c>
    </row>
    <row r="616" spans="21:24" x14ac:dyDescent="0.2">
      <c r="U616" s="5" t="s">
        <v>2024</v>
      </c>
      <c r="V616" t="s">
        <v>1382</v>
      </c>
      <c r="W616" t="s">
        <v>764</v>
      </c>
      <c r="X616" t="str">
        <f>_xlfn.LET(_xlpm.str,"'DIL_",IF(LEFT(Table1[[#This Row],[name]],LEN(_xlpm.str))=_xlpm.str,_xlfn.TEXTBEFORE(_xlfn.TEXTBEFORE(_xlfn.TEXTAFTER(Table1[[#This Row],[name]],_xlpm.str),".",-1),"_",-1),""))</f>
        <v>val__L</v>
      </c>
    </row>
    <row r="617" spans="21:24" x14ac:dyDescent="0.2">
      <c r="U617" s="6" t="s">
        <v>2025</v>
      </c>
      <c r="V617" t="s">
        <v>1383</v>
      </c>
      <c r="W617" t="s">
        <v>765</v>
      </c>
      <c r="X617" t="str">
        <f>_xlfn.LET(_xlpm.str,"'DIL_",IF(LEFT(Table1[[#This Row],[name]],LEN(_xlpm.str))=_xlpm.str,_xlfn.TEXTBEFORE(_xlfn.TEXTBEFORE(_xlfn.TEXTAFTER(Table1[[#This Row],[name]],_xlpm.str),".",-1),"_",-1),""))</f>
        <v>val__L</v>
      </c>
    </row>
    <row r="618" spans="21:24" x14ac:dyDescent="0.2">
      <c r="U618" s="5" t="s">
        <v>2026</v>
      </c>
      <c r="V618" t="s">
        <v>1384</v>
      </c>
      <c r="W618" t="s">
        <v>766</v>
      </c>
      <c r="X618" t="str">
        <f>_xlfn.LET(_xlpm.str,"'DIL_",IF(LEFT(Table1[[#This Row],[name]],LEN(_xlpm.str))=_xlpm.str,_xlfn.TEXTBEFORE(_xlfn.TEXTBEFORE(_xlfn.TEXTAFTER(Table1[[#This Row],[name]],_xlpm.str),".",-1),"_",-1),""))</f>
        <v>val__L</v>
      </c>
    </row>
    <row r="619" spans="21:24" x14ac:dyDescent="0.2">
      <c r="U619" s="6" t="s">
        <v>2027</v>
      </c>
      <c r="V619" t="s">
        <v>1385</v>
      </c>
      <c r="W619" t="s">
        <v>767</v>
      </c>
      <c r="X619" t="str">
        <f>_xlfn.LET(_xlpm.str,"'DIL_",IF(LEFT(Table1[[#This Row],[name]],LEN(_xlpm.str))=_xlpm.str,_xlfn.TEXTBEFORE(_xlfn.TEXTBEFORE(_xlfn.TEXTAFTER(Table1[[#This Row],[name]],_xlpm.str),".",-1),"_",-1),""))</f>
        <v>ampsyn1</v>
      </c>
    </row>
    <row r="620" spans="21:24" x14ac:dyDescent="0.2">
      <c r="U620" s="5" t="s">
        <v>2028</v>
      </c>
      <c r="V620" t="s">
        <v>1386</v>
      </c>
      <c r="W620" t="s">
        <v>768</v>
      </c>
      <c r="X620" t="str">
        <f>_xlfn.LET(_xlpm.str,"'DIL_",IF(LEFT(Table1[[#This Row],[name]],LEN(_xlpm.str))=_xlpm.str,_xlfn.TEXTBEFORE(_xlfn.TEXTBEFORE(_xlfn.TEXTAFTER(Table1[[#This Row],[name]],_xlpm.str),".",-1),"_",-1),""))</f>
        <v>ampsyn2</v>
      </c>
    </row>
    <row r="621" spans="21:24" x14ac:dyDescent="0.2">
      <c r="U621" s="6" t="s">
        <v>2029</v>
      </c>
      <c r="V621" t="s">
        <v>1387</v>
      </c>
      <c r="W621" t="s">
        <v>769</v>
      </c>
      <c r="X621" t="str">
        <f>_xlfn.LET(_xlpm.str,"'DIL_",IF(LEFT(Table1[[#This Row],[name]],LEN(_xlpm.str))=_xlpm.str,_xlfn.TEXTBEFORE(_xlfn.TEXTBEFORE(_xlfn.TEXTAFTER(Table1[[#This Row],[name]],_xlpm.str),".",-1),"_",-1),""))</f>
        <v>ampsyn3</v>
      </c>
    </row>
    <row r="622" spans="21:24" x14ac:dyDescent="0.2">
      <c r="U622" s="5" t="s">
        <v>2030</v>
      </c>
      <c r="V622" t="s">
        <v>1388</v>
      </c>
      <c r="W622" t="s">
        <v>770</v>
      </c>
      <c r="X622" t="str">
        <f>_xlfn.LET(_xlpm.str,"'DIL_",IF(LEFT(Table1[[#This Row],[name]],LEN(_xlpm.str))=_xlpm.str,_xlfn.TEXTBEFORE(_xlfn.TEXTBEFORE(_xlfn.TEXTAFTER(Table1[[#This Row],[name]],_xlpm.str),".",-1),"_",-1),""))</f>
        <v>ampsyn4</v>
      </c>
    </row>
    <row r="623" spans="21:24" x14ac:dyDescent="0.2">
      <c r="U623" s="6" t="s">
        <v>2031</v>
      </c>
      <c r="V623" t="s">
        <v>1389</v>
      </c>
      <c r="W623" t="s">
        <v>771</v>
      </c>
      <c r="X623" t="str">
        <f>_xlfn.LET(_xlpm.str,"'DIL_",IF(LEFT(Table1[[#This Row],[name]],LEN(_xlpm.str))=_xlpm.str,_xlfn.TEXTBEFORE(_xlfn.TEXTBEFORE(_xlfn.TEXTAFTER(Table1[[#This Row],[name]],_xlpm.str),".",-1),"_",-1),""))</f>
        <v>ampsyn5</v>
      </c>
    </row>
    <row r="624" spans="21:24" x14ac:dyDescent="0.2">
      <c r="U624" s="5" t="s">
        <v>2032</v>
      </c>
      <c r="V624" t="s">
        <v>1390</v>
      </c>
      <c r="W624" t="s">
        <v>772</v>
      </c>
      <c r="X624" t="str">
        <f>_xlfn.LET(_xlpm.str,"'DIL_",IF(LEFT(Table1[[#This Row],[name]],LEN(_xlpm.str))=_xlpm.str,_xlfn.TEXTBEFORE(_xlfn.TEXTBEFORE(_xlfn.TEXTAFTER(Table1[[#This Row],[name]],_xlpm.str),".",-1),"_",-1),""))</f>
        <v>ampsyn6</v>
      </c>
    </row>
    <row r="625" spans="21:24" x14ac:dyDescent="0.2">
      <c r="U625" s="6" t="s">
        <v>2033</v>
      </c>
      <c r="V625" t="s">
        <v>1391</v>
      </c>
      <c r="W625" t="s">
        <v>773</v>
      </c>
      <c r="X625" t="str">
        <f>_xlfn.LET(_xlpm.str,"'DIL_",IF(LEFT(Table1[[#This Row],[name]],LEN(_xlpm.str))=_xlpm.str,_xlfn.TEXTBEFORE(_xlfn.TEXTBEFORE(_xlfn.TEXTAFTER(Table1[[#This Row],[name]],_xlpm.str),".",-1),"_",-1),""))</f>
        <v>amp</v>
      </c>
    </row>
    <row r="626" spans="21:24" x14ac:dyDescent="0.2">
      <c r="U626" s="5" t="s">
        <v>2034</v>
      </c>
      <c r="V626" t="s">
        <v>1392</v>
      </c>
      <c r="W626" t="s">
        <v>774</v>
      </c>
      <c r="X626" t="str">
        <f>_xlfn.LET(_xlpm.str,"'DIL_",IF(LEFT(Table1[[#This Row],[name]],LEN(_xlpm.str))=_xlpm.str,_xlfn.TEXTBEFORE(_xlfn.TEXTBEFORE(_xlfn.TEXTAFTER(Table1[[#This Row],[name]],_xlpm.str),".",-1),"_",-1),""))</f>
        <v>amp</v>
      </c>
    </row>
    <row r="627" spans="21:24" x14ac:dyDescent="0.2">
      <c r="U627" s="6" t="s">
        <v>2035</v>
      </c>
      <c r="V627" t="s">
        <v>1385</v>
      </c>
      <c r="W627" t="s">
        <v>775</v>
      </c>
      <c r="X627" t="str">
        <f>_xlfn.LET(_xlpm.str,"'DIL_",IF(LEFT(Table1[[#This Row],[name]],LEN(_xlpm.str))=_xlpm.str,_xlfn.TEXTBEFORE(_xlfn.TEXTBEFORE(_xlfn.TEXTAFTER(Table1[[#This Row],[name]],_xlpm.str),".",-1),"_",-1),""))</f>
        <v>ampsyn1</v>
      </c>
    </row>
    <row r="628" spans="21:24" x14ac:dyDescent="0.2">
      <c r="U628" s="5" t="s">
        <v>2036</v>
      </c>
      <c r="V628" t="s">
        <v>1386</v>
      </c>
      <c r="W628" t="s">
        <v>776</v>
      </c>
      <c r="X628" t="str">
        <f>_xlfn.LET(_xlpm.str,"'DIL_",IF(LEFT(Table1[[#This Row],[name]],LEN(_xlpm.str))=_xlpm.str,_xlfn.TEXTBEFORE(_xlfn.TEXTBEFORE(_xlfn.TEXTAFTER(Table1[[#This Row],[name]],_xlpm.str),".",-1),"_",-1),""))</f>
        <v>ampsyn2</v>
      </c>
    </row>
    <row r="629" spans="21:24" x14ac:dyDescent="0.2">
      <c r="U629" s="6" t="s">
        <v>2037</v>
      </c>
      <c r="V629" t="s">
        <v>1387</v>
      </c>
      <c r="W629" t="s">
        <v>777</v>
      </c>
      <c r="X629" t="str">
        <f>_xlfn.LET(_xlpm.str,"'DIL_",IF(LEFT(Table1[[#This Row],[name]],LEN(_xlpm.str))=_xlpm.str,_xlfn.TEXTBEFORE(_xlfn.TEXTBEFORE(_xlfn.TEXTAFTER(Table1[[#This Row],[name]],_xlpm.str),".",-1),"_",-1),""))</f>
        <v>ampsyn3</v>
      </c>
    </row>
    <row r="630" spans="21:24" x14ac:dyDescent="0.2">
      <c r="U630" s="5" t="s">
        <v>2038</v>
      </c>
      <c r="V630" t="s">
        <v>1388</v>
      </c>
      <c r="W630" t="s">
        <v>778</v>
      </c>
      <c r="X630" t="str">
        <f>_xlfn.LET(_xlpm.str,"'DIL_",IF(LEFT(Table1[[#This Row],[name]],LEN(_xlpm.str))=_xlpm.str,_xlfn.TEXTBEFORE(_xlfn.TEXTBEFORE(_xlfn.TEXTAFTER(Table1[[#This Row],[name]],_xlpm.str),".",-1),"_",-1),""))</f>
        <v>ampsyn4</v>
      </c>
    </row>
    <row r="631" spans="21:24" x14ac:dyDescent="0.2">
      <c r="U631" s="6" t="s">
        <v>2039</v>
      </c>
      <c r="V631" t="s">
        <v>1389</v>
      </c>
      <c r="W631" t="s">
        <v>779</v>
      </c>
      <c r="X631" t="str">
        <f>_xlfn.LET(_xlpm.str,"'DIL_",IF(LEFT(Table1[[#This Row],[name]],LEN(_xlpm.str))=_xlpm.str,_xlfn.TEXTBEFORE(_xlfn.TEXTBEFORE(_xlfn.TEXTAFTER(Table1[[#This Row],[name]],_xlpm.str),".",-1),"_",-1),""))</f>
        <v>ampsyn5</v>
      </c>
    </row>
    <row r="632" spans="21:24" x14ac:dyDescent="0.2">
      <c r="U632" s="5" t="s">
        <v>2040</v>
      </c>
      <c r="V632" t="s">
        <v>1390</v>
      </c>
      <c r="W632" t="s">
        <v>780</v>
      </c>
      <c r="X632" t="str">
        <f>_xlfn.LET(_xlpm.str,"'DIL_",IF(LEFT(Table1[[#This Row],[name]],LEN(_xlpm.str))=_xlpm.str,_xlfn.TEXTBEFORE(_xlfn.TEXTBEFORE(_xlfn.TEXTAFTER(Table1[[#This Row],[name]],_xlpm.str),".",-1),"_",-1),""))</f>
        <v>ampsyn6</v>
      </c>
    </row>
    <row r="633" spans="21:24" x14ac:dyDescent="0.2">
      <c r="U633" s="6" t="s">
        <v>2041</v>
      </c>
      <c r="V633" t="s">
        <v>1391</v>
      </c>
      <c r="W633" t="s">
        <v>781</v>
      </c>
      <c r="X633" t="str">
        <f>_xlfn.LET(_xlpm.str,"'DIL_",IF(LEFT(Table1[[#This Row],[name]],LEN(_xlpm.str))=_xlpm.str,_xlfn.TEXTBEFORE(_xlfn.TEXTBEFORE(_xlfn.TEXTAFTER(Table1[[#This Row],[name]],_xlpm.str),".",-1),"_",-1),""))</f>
        <v>amp</v>
      </c>
    </row>
    <row r="634" spans="21:24" x14ac:dyDescent="0.2">
      <c r="U634" s="5" t="s">
        <v>2042</v>
      </c>
      <c r="V634" t="s">
        <v>1392</v>
      </c>
      <c r="W634" t="s">
        <v>782</v>
      </c>
      <c r="X634" t="str">
        <f>_xlfn.LET(_xlpm.str,"'DIL_",IF(LEFT(Table1[[#This Row],[name]],LEN(_xlpm.str))=_xlpm.str,_xlfn.TEXTBEFORE(_xlfn.TEXTBEFORE(_xlfn.TEXTAFTER(Table1[[#This Row],[name]],_xlpm.str),".",-1),"_",-1),""))</f>
        <v>amp</v>
      </c>
    </row>
    <row r="635" spans="21:24" x14ac:dyDescent="0.2">
      <c r="U635" s="6" t="s">
        <v>2043</v>
      </c>
      <c r="V635" t="s">
        <v>1393</v>
      </c>
      <c r="W635" t="s">
        <v>783</v>
      </c>
      <c r="X635" t="str">
        <f>_xlfn.LET(_xlpm.str,"'DIL_",IF(LEFT(Table1[[#This Row],[name]],LEN(_xlpm.str))=_xlpm.str,_xlfn.TEXTBEFORE(_xlfn.TEXTBEFORE(_xlfn.TEXTAFTER(Table1[[#This Row],[name]],_xlpm.str),".",-1),"_",-1),""))</f>
        <v/>
      </c>
    </row>
    <row r="636" spans="21:24" x14ac:dyDescent="0.2">
      <c r="U636" s="5" t="s">
        <v>2044</v>
      </c>
      <c r="V636" t="s">
        <v>1394</v>
      </c>
      <c r="W636" t="s">
        <v>784</v>
      </c>
      <c r="X636" t="str">
        <f>_xlfn.LET(_xlpm.str,"'DIL_",IF(LEFT(Table1[[#This Row],[name]],LEN(_xlpm.str))=_xlpm.str,_xlfn.TEXTBEFORE(_xlfn.TEXTBEFORE(_xlfn.TEXTAFTER(Table1[[#This Row],[name]],_xlpm.str),".",-1),"_",-1),""))</f>
        <v/>
      </c>
    </row>
    <row r="637" spans="21:24" x14ac:dyDescent="0.2">
      <c r="U637" s="6" t="s">
        <v>2045</v>
      </c>
      <c r="V637" t="s">
        <v>1395</v>
      </c>
      <c r="W637" t="s">
        <v>785</v>
      </c>
      <c r="X637" t="str">
        <f>_xlfn.LET(_xlpm.str,"'DIL_",IF(LEFT(Table1[[#This Row],[name]],LEN(_xlpm.str))=_xlpm.str,_xlfn.TEXTBEFORE(_xlfn.TEXTBEFORE(_xlfn.TEXTAFTER(Table1[[#This Row],[name]],_xlpm.str),".",-1),"_",-1),""))</f>
        <v/>
      </c>
    </row>
    <row r="638" spans="21:24" x14ac:dyDescent="0.2">
      <c r="U638" s="5" t="s">
        <v>2046</v>
      </c>
      <c r="V638" t="s">
        <v>1396</v>
      </c>
      <c r="W638" t="s">
        <v>786</v>
      </c>
      <c r="X638" t="str">
        <f>_xlfn.LET(_xlpm.str,"'DIL_",IF(LEFT(Table1[[#This Row],[name]],LEN(_xlpm.str))=_xlpm.str,_xlfn.TEXTBEFORE(_xlfn.TEXTBEFORE(_xlfn.TEXTAFTER(Table1[[#This Row],[name]],_xlpm.str),".",-1),"_",-1),""))</f>
        <v/>
      </c>
    </row>
    <row r="639" spans="21:24" x14ac:dyDescent="0.2">
      <c r="U639" s="6" t="s">
        <v>2047</v>
      </c>
      <c r="V639" t="s">
        <v>1397</v>
      </c>
      <c r="W639" t="s">
        <v>787</v>
      </c>
      <c r="X639" t="str">
        <f>_xlfn.LET(_xlpm.str,"'DIL_",IF(LEFT(Table1[[#This Row],[name]],LEN(_xlpm.str))=_xlpm.str,_xlfn.TEXTBEFORE(_xlfn.TEXTBEFORE(_xlfn.TEXTAFTER(Table1[[#This Row],[name]],_xlpm.str),".",-1),"_",-1),""))</f>
        <v/>
      </c>
    </row>
    <row r="640" spans="21:24" x14ac:dyDescent="0.2">
      <c r="U640" s="5" t="s">
        <v>2048</v>
      </c>
      <c r="V640" t="s">
        <v>1398</v>
      </c>
      <c r="W640" t="s">
        <v>788</v>
      </c>
      <c r="X640" t="str">
        <f>_xlfn.LET(_xlpm.str,"'DIL_",IF(LEFT(Table1[[#This Row],[name]],LEN(_xlpm.str))=_xlpm.str,_xlfn.TEXTBEFORE(_xlfn.TEXTBEFORE(_xlfn.TEXTAFTER(Table1[[#This Row],[name]],_xlpm.str),".",-1),"_",-1),""))</f>
        <v/>
      </c>
    </row>
    <row r="641" spans="21:24" x14ac:dyDescent="0.2">
      <c r="U641" s="6" t="s">
        <v>2049</v>
      </c>
      <c r="V641" t="s">
        <v>1398</v>
      </c>
      <c r="W641" t="s">
        <v>789</v>
      </c>
      <c r="X641" t="str">
        <f>_xlfn.LET(_xlpm.str,"'DIL_",IF(LEFT(Table1[[#This Row],[name]],LEN(_xlpm.str))=_xlpm.str,_xlfn.TEXTBEFORE(_xlfn.TEXTBEFORE(_xlfn.TEXTAFTER(Table1[[#This Row],[name]],_xlpm.str),".",-1),"_",-1),""))</f>
        <v/>
      </c>
    </row>
    <row r="642" spans="21:24" x14ac:dyDescent="0.2">
      <c r="U642" s="5" t="s">
        <v>2050</v>
      </c>
      <c r="V642" t="s">
        <v>1399</v>
      </c>
      <c r="W642" t="s">
        <v>790</v>
      </c>
      <c r="X642" t="str">
        <f>_xlfn.LET(_xlpm.str,"'DIL_",IF(LEFT(Table1[[#This Row],[name]],LEN(_xlpm.str))=_xlpm.str,_xlfn.TEXTBEFORE(_xlfn.TEXTBEFORE(_xlfn.TEXTAFTER(Table1[[#This Row],[name]],_xlpm.str),".",-1),"_",-1),""))</f>
        <v/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36961-786A-E340-9D55-0F963AAB10AB}">
  <dimension ref="A1:U89"/>
  <sheetViews>
    <sheetView tabSelected="1" workbookViewId="0">
      <selection activeCell="G37" sqref="G37"/>
    </sheetView>
  </sheetViews>
  <sheetFormatPr baseColWidth="10" defaultRowHeight="15" x14ac:dyDescent="0.2"/>
  <cols>
    <col min="7" max="7" width="12.83203125" bestFit="1" customWidth="1"/>
    <col min="16" max="16" width="12.1640625" bestFit="1" customWidth="1"/>
    <col min="17" max="17" width="12.6640625" bestFit="1" customWidth="1"/>
  </cols>
  <sheetData>
    <row r="1" spans="1:21" ht="43" x14ac:dyDescent="0.2">
      <c r="C1" s="7" t="s">
        <v>2052</v>
      </c>
      <c r="D1" s="9" t="s">
        <v>2053</v>
      </c>
      <c r="E1" s="9"/>
      <c r="F1" s="9"/>
      <c r="G1" s="12" t="s">
        <v>2054</v>
      </c>
      <c r="H1" s="9"/>
      <c r="I1" s="13" t="s">
        <v>2068</v>
      </c>
      <c r="J1" t="s">
        <v>149</v>
      </c>
      <c r="M1" t="s">
        <v>2077</v>
      </c>
      <c r="P1" t="s">
        <v>2139</v>
      </c>
    </row>
    <row r="2" spans="1:21" x14ac:dyDescent="0.2">
      <c r="C2" s="9" t="s">
        <v>2076</v>
      </c>
      <c r="D2" s="9"/>
      <c r="E2" s="9"/>
      <c r="F2" s="9"/>
      <c r="G2" s="10" t="s">
        <v>2070</v>
      </c>
      <c r="H2" s="10"/>
      <c r="I2" s="10"/>
      <c r="J2" s="14" t="s">
        <v>2069</v>
      </c>
      <c r="M2" t="s">
        <v>2078</v>
      </c>
      <c r="N2" t="s">
        <v>2079</v>
      </c>
      <c r="P2" s="20" t="s">
        <v>2081</v>
      </c>
      <c r="Q2" t="s">
        <v>2080</v>
      </c>
    </row>
    <row r="3" spans="1:21" x14ac:dyDescent="0.2">
      <c r="C3" s="10" t="s">
        <v>2055</v>
      </c>
      <c r="D3" s="10"/>
      <c r="E3" s="10" t="s">
        <v>2056</v>
      </c>
      <c r="F3" s="7"/>
      <c r="G3" s="10" t="s">
        <v>2075</v>
      </c>
      <c r="H3" s="18">
        <v>7.4299999999999995E-4</v>
      </c>
      <c r="J3" s="7" t="s">
        <v>2075</v>
      </c>
      <c r="K3" s="17">
        <v>5.0000000000000001E-4</v>
      </c>
      <c r="M3" cm="1">
        <f t="array" ref="M3:N83">_xlfn.VSTACK(_xlfn.ANCHORARRAY(A4),_xlfn.ANCHORARRAY(G21),_xlfn.ANCHORARRAY(J21))</f>
        <v>-0.68454800000000005</v>
      </c>
      <c r="N3" t="str">
        <v>13BDglucan_c</v>
      </c>
      <c r="P3" s="8" t="s">
        <v>2082</v>
      </c>
      <c r="Q3" s="19">
        <v>-0.68454800000000005</v>
      </c>
      <c r="R3" t="str" cm="1">
        <f t="array" ref="R3:S70">_xlfn.DROP(_xlfn._xlws.FILTER(P:Q,(P:P&lt;&gt;"")*(P:P&lt;&gt;"ipcbiom_c")*(P:P&lt;&gt;"ffabiom_c")),2)</f>
        <v>13BDglucan_c</v>
      </c>
      <c r="S3">
        <v>-0.68454800000000005</v>
      </c>
      <c r="T3" t="str" cm="1">
        <f t="array" ref="T3:T70">_xlfn.LET(_xlpm.rxn,_xlfn.ANCHORARRAY(R3),CHAR(34)&amp;_xlfn.CHOOSECOLS(_xlpm.rxn,1)&amp;CHAR(34)&amp;":"&amp;_xlfn.CHOOSECOLS(_xlpm.rxn,2))</f>
        <v>"13BDglucan_c":-0.684548</v>
      </c>
      <c r="U3" t="str" cm="1">
        <f t="array" ref="U3:U89">_xlfn.UNIQUE(_xlfn.VSTACK(SUBSTITUTE(SUBSTITUTE(_xlfn.ANCHORARRAY(T3),"__L_c","trna_c"),":",":"),SUBSTITUTE(SUBSTITUTE("trna"&amp;_xlfn._xlws.FILTER(_xlfn.ANCHORARRAY(T3),ISNUMBER(FIND("__L_c",_xlfn.ANCHORARRAY(T3))),""),"trna"&amp;CHAR(34),CHAR(34)&amp;"trna"),"__L","")))</f>
        <v>"13BDglucan_c":-0.684548</v>
      </c>
    </row>
    <row r="4" spans="1:21" x14ac:dyDescent="0.2">
      <c r="A4" cm="1">
        <f t="array" ref="A4:B59">_xlfn.LET(_xlpm.rxn,_xlfn.TEXTSPLIT(SUBSTITUTE(SUBSTITUTE(C2," --&gt; ","+")," + ","+")," ","+"),_xlpm.rxnWithTRNA,_xlfn.VSTACK(_xlpm.rxn,_xlfn._xlws.FILTER(_xlpm.rxn,ISNUMBER(FIND("__L_c",_xlfn.CHOOSECOLS(_xlpm.rxn,2))))),_xlfn.HSTACK(-_xlfn.CHOOSECOLS(_xlpm.rxn,1),_xlfn.CHOOSECOLS(_xlpm.rxn,2)))</f>
        <v>-0.68454800000000005</v>
      </c>
      <c r="B4" t="str">
        <v>13BDglucan_c</v>
      </c>
      <c r="C4" s="7" t="str" cm="1">
        <f t="array" ref="C4:C59">_xlfn.LET(_xlpm.rxn,_xlfn.TEXTSPLIT(SUBSTITUTE(SUBSTITUTE(C2," --&gt; ","+")," + ","+")," ","+"),_xlpm.rxnWithTRNA,_xlfn.VSTACK(_xlpm.rxn,_xlfn._xlws.FILTER(_xlpm.rxn,ISNUMBER(FIND("__L_c",_xlfn.CHOOSECOLS(_xlpm.rxn,2))))),CHAR(34)&amp;_xlfn.CHOOSECOLS(_xlpm.rxn,2)&amp;CHAR(34)&amp;":"&amp;_xlfn.CHOOSECOLS(_xlpm.rxn,1))</f>
        <v>"13BDglucan_c":0.684548</v>
      </c>
      <c r="D4" s="10"/>
      <c r="E4" s="7" t="str" cm="1">
        <f t="array" ref="E4:E78">_xlfn.UNIQUE(_xlfn.VSTACK(SUBSTITUTE(SUBSTITUTE(_xlfn.ANCHORARRAY(C4),"__L_c","trna_c"),":",":-"),SUBSTITUTE(SUBSTITUTE("trna"&amp;_xlfn._xlws.FILTER(_xlfn.ANCHORARRAY(C4),ISNUMBER(FIND("__L_c",_xlfn.ANCHORARRAY(C4))),""),"trna"&amp;CHAR(34),CHAR(34)&amp;"trna"),"__L","")))</f>
        <v>"13BDglucan_c":-0.684548</v>
      </c>
      <c r="F4" s="7"/>
      <c r="G4" s="7" t="str" cm="1">
        <f t="array" ref="G4:H14">_xlfn.LET(_xlpm.rxn,_xlfn.TEXTSPLIT(SUBSTITUTE(SUBSTITUTE(G2," --&gt; ","+")," + ","+")," ","+"),_xlpm.rxnWithTRNA,_xlfn.VSTACK(_xlpm.rxn,_xlfn._xlws.FILTER(_xlpm.rxn,ISNUMBER(FIND("__L_c",_xlfn.CHOOSECOLS(_xlpm.rxn,2))))),_xlpm.new,CHAR(34)&amp;_xlfn.CHOOSECOLS(_xlpm.rxn,2)&amp;CHAR(34)&amp;":"&amp;_xlfn.CHOOSECOLS(_xlpm.rxn,1),_xlpm.rxn)</f>
        <v>0.01875</v>
      </c>
      <c r="H4" s="15" t="str">
        <v>docoscoa_c</v>
      </c>
      <c r="I4" s="7"/>
      <c r="J4" s="7" t="str" cm="1">
        <f t="array" ref="J4:K17">_xlfn.LET(_xlpm.rxn,_xlfn.TEXTSPLIT(SUBSTITUTE(SUBSTITUTE(J2," --&gt; ","+")," + ","+")," ","+"),_xlpm.rxnWithTRNA,_xlfn.VSTACK(_xlpm.rxn,_xlfn._xlws.FILTER(_xlpm.rxn,ISNUMBER(FIND("__L_c",_xlfn.CHOOSECOLS(_xlpm.rxn,2))))),_xlpm.new,CHAR(34)&amp;_xlfn.CHOOSECOLS(_xlpm.rxn,2)&amp;CHAR(34)&amp;":"&amp;_xlfn.CHOOSECOLS(_xlpm.rxn,1),_xlpm.rxn)</f>
        <v>2.0</v>
      </c>
      <c r="K4" t="str">
        <v>hxccoa_c</v>
      </c>
      <c r="M4">
        <v>-0.180144</v>
      </c>
      <c r="N4" t="str">
        <v>16BDglucan_c</v>
      </c>
      <c r="P4" s="8" t="s">
        <v>147</v>
      </c>
      <c r="Q4" s="19">
        <v>-0.180144</v>
      </c>
      <c r="R4" t="str">
        <v>16BDglucan_c</v>
      </c>
      <c r="S4">
        <v>-0.180144</v>
      </c>
      <c r="T4" t="str">
        <v>"16BDglucan_c":-0.180144</v>
      </c>
      <c r="U4" t="str">
        <v>"16BDglucan_c":-0.180144</v>
      </c>
    </row>
    <row r="5" spans="1:21" x14ac:dyDescent="0.2">
      <c r="A5">
        <v>-0.180144</v>
      </c>
      <c r="B5" t="str">
        <v>16BDglucan_c</v>
      </c>
      <c r="C5" s="7" t="str">
        <v>"16BDglucan_c":0.180144</v>
      </c>
      <c r="D5" s="10"/>
      <c r="E5" s="7" t="str">
        <v>"16BDglucan_c":-0.180144</v>
      </c>
      <c r="F5" s="7"/>
      <c r="G5" s="7" t="str">
        <v>1</v>
      </c>
      <c r="H5" s="7" t="str">
        <v>h2o_c</v>
      </c>
      <c r="I5" s="7"/>
      <c r="J5" t="str">
        <v>6.0</v>
      </c>
      <c r="K5" t="str">
        <v>nadph_c</v>
      </c>
      <c r="M5">
        <v>-0.405893</v>
      </c>
      <c r="N5" t="str">
        <v>ala__L_c</v>
      </c>
      <c r="P5" s="8" t="s">
        <v>2083</v>
      </c>
      <c r="Q5" s="19">
        <v>190.57899</v>
      </c>
      <c r="R5" t="str">
        <v>adp_c</v>
      </c>
      <c r="S5">
        <v>190.57899</v>
      </c>
      <c r="T5" t="str">
        <v>"adp_c":190.57899</v>
      </c>
      <c r="U5" t="str">
        <v>"adp_c":190.57899</v>
      </c>
    </row>
    <row r="6" spans="1:21" x14ac:dyDescent="0.2">
      <c r="A6">
        <v>-0.405893</v>
      </c>
      <c r="B6" t="str">
        <v>ala__L_c</v>
      </c>
      <c r="C6" s="7" t="str">
        <v>"ala__L_c":0.405893</v>
      </c>
      <c r="D6" s="10"/>
      <c r="E6" s="7" t="str">
        <v>"alatrna_c":-0.405893</v>
      </c>
      <c r="F6" s="7"/>
      <c r="G6" s="7" t="str">
        <v>0.355664</v>
      </c>
      <c r="H6" s="15" t="str">
        <v>linocoa_c</v>
      </c>
      <c r="I6" s="7"/>
      <c r="J6" t="str">
        <v>2.0</v>
      </c>
      <c r="K6" t="str">
        <v>o2_c</v>
      </c>
      <c r="M6">
        <v>-0.16036300000000001</v>
      </c>
      <c r="N6" t="str">
        <v>arg__L_c</v>
      </c>
      <c r="P6" s="8" t="s">
        <v>2084</v>
      </c>
      <c r="Q6" s="19">
        <v>-0.405893</v>
      </c>
      <c r="R6" t="str">
        <v>ala__L_c</v>
      </c>
      <c r="S6">
        <v>-0.405893</v>
      </c>
      <c r="T6" t="str">
        <v>"ala__L_c":-0.405893</v>
      </c>
      <c r="U6" t="str">
        <v>"alatrna_c":-0.405893</v>
      </c>
    </row>
    <row r="7" spans="1:21" x14ac:dyDescent="0.2">
      <c r="A7">
        <v>-0.16036300000000001</v>
      </c>
      <c r="B7" t="str">
        <v>arg__L_c</v>
      </c>
      <c r="C7" s="7" t="str">
        <v>"arg__L_c":0.160363</v>
      </c>
      <c r="D7" s="10"/>
      <c r="E7" s="7" t="str">
        <v>"argtrna_c":-0.160363</v>
      </c>
      <c r="F7" s="7"/>
      <c r="G7" s="7" t="str">
        <v>0.087612</v>
      </c>
      <c r="H7" s="15" t="str">
        <v>linolncoa_c</v>
      </c>
      <c r="I7" s="7"/>
      <c r="J7" t="str">
        <v>4.0</v>
      </c>
      <c r="K7" t="str">
        <v>pail_c</v>
      </c>
      <c r="M7">
        <v>-0.19276799999999999</v>
      </c>
      <c r="N7" t="str">
        <v>asn__L_c</v>
      </c>
      <c r="P7" s="8" t="s">
        <v>2085</v>
      </c>
      <c r="Q7" s="19">
        <v>-0.16036300000000001</v>
      </c>
      <c r="R7" t="str">
        <v>arg__L_c</v>
      </c>
      <c r="S7">
        <v>-0.16036300000000001</v>
      </c>
      <c r="T7" t="str">
        <v>"arg__L_c":-0.160363</v>
      </c>
      <c r="U7" t="str">
        <v>"argtrna_c":-0.160363</v>
      </c>
    </row>
    <row r="8" spans="1:21" x14ac:dyDescent="0.2">
      <c r="A8">
        <v>-0.19276799999999999</v>
      </c>
      <c r="B8" t="str">
        <v>asn__L_c</v>
      </c>
      <c r="C8" s="7" t="str">
        <v>"asn__L_c":0.192768</v>
      </c>
      <c r="D8" s="10"/>
      <c r="E8" s="7" t="str">
        <v>"asntrna_c":-0.192768</v>
      </c>
      <c r="F8" s="7"/>
      <c r="G8" s="7" t="str">
        <v>0.207129</v>
      </c>
      <c r="H8" s="15" t="str">
        <v>odecoa_c</v>
      </c>
      <c r="I8" s="7"/>
      <c r="J8" t="str">
        <v>4.0</v>
      </c>
      <c r="K8" t="str">
        <v>pmtcoa_c</v>
      </c>
      <c r="M8">
        <v>-0.19276799999999999</v>
      </c>
      <c r="N8" t="str">
        <v>asp__L_c</v>
      </c>
      <c r="P8" s="8" t="s">
        <v>2086</v>
      </c>
      <c r="Q8" s="19">
        <v>-0.19276799999999999</v>
      </c>
      <c r="R8" t="str">
        <v>asn__L_c</v>
      </c>
      <c r="S8">
        <v>-0.19276799999999999</v>
      </c>
      <c r="T8" t="str">
        <v>"asn__L_c":-0.192768</v>
      </c>
      <c r="U8" t="str">
        <v>"asntrna_c":-0.192768</v>
      </c>
    </row>
    <row r="9" spans="1:21" x14ac:dyDescent="0.2">
      <c r="A9">
        <v>-0.19276799999999999</v>
      </c>
      <c r="B9" t="str">
        <v>asp__L_c</v>
      </c>
      <c r="C9" s="7" t="str">
        <v>"asp__L_c":0.192768</v>
      </c>
      <c r="D9" s="10"/>
      <c r="E9" s="7" t="str">
        <v>"asptrna_c":-0.192768</v>
      </c>
      <c r="F9" s="7"/>
      <c r="G9" s="7" t="str">
        <v>0.1694</v>
      </c>
      <c r="H9" s="15" t="str">
        <v>pmtcoa_c</v>
      </c>
      <c r="I9" s="7"/>
      <c r="J9" t="str">
        <v>4.0</v>
      </c>
      <c r="K9" t="str">
        <v>ser__L_c</v>
      </c>
      <c r="M9">
        <v>-190.64733699999999</v>
      </c>
      <c r="N9" t="str">
        <v>atp_c</v>
      </c>
      <c r="P9" s="8" t="s">
        <v>2087</v>
      </c>
      <c r="Q9" s="19">
        <v>-0.19276799999999999</v>
      </c>
      <c r="R9" t="str">
        <v>asp__L_c</v>
      </c>
      <c r="S9">
        <v>-0.19276799999999999</v>
      </c>
      <c r="T9" t="str">
        <v>"asp__L_c":-0.192768</v>
      </c>
      <c r="U9" t="str">
        <v>"asptrna_c":-0.192768</v>
      </c>
    </row>
    <row r="10" spans="1:21" x14ac:dyDescent="0.2">
      <c r="A10">
        <v>-190.64733699999999</v>
      </c>
      <c r="B10" t="str">
        <v>atp_c</v>
      </c>
      <c r="C10" s="7" t="str">
        <v>"atp_c":190.647337</v>
      </c>
      <c r="D10" s="10"/>
      <c r="E10" s="7" t="str">
        <v>"atp_c":-190.647337</v>
      </c>
      <c r="F10" s="7"/>
      <c r="G10" s="7" t="str">
        <v>0.112806</v>
      </c>
      <c r="H10" s="15" t="str">
        <v>stcoa_c</v>
      </c>
      <c r="I10" s="7"/>
      <c r="J10" t="str">
        <v>2.0</v>
      </c>
      <c r="K10" t="str">
        <v>ttccoa_c</v>
      </c>
      <c r="M10">
        <v>-1.286E-3</v>
      </c>
      <c r="N10" t="str">
        <v>ca2_c</v>
      </c>
      <c r="P10" s="8" t="s">
        <v>2088</v>
      </c>
      <c r="Q10" s="19">
        <v>-190.64733699999999</v>
      </c>
      <c r="R10" t="str">
        <v>atp_c</v>
      </c>
      <c r="S10">
        <v>-190.64733699999999</v>
      </c>
      <c r="T10" t="str">
        <v>"atp_c":-190.647337</v>
      </c>
      <c r="U10" t="str">
        <v>"atp_c":-190.647337</v>
      </c>
    </row>
    <row r="11" spans="1:21" x14ac:dyDescent="0.2">
      <c r="A11">
        <v>-1.286E-3</v>
      </c>
      <c r="B11" t="str">
        <v>ca2_c</v>
      </c>
      <c r="C11" s="7" t="str">
        <v>"ca2_c":0.001286</v>
      </c>
      <c r="D11" s="10"/>
      <c r="E11" s="7" t="str">
        <v>"ca2_c":-0.001286</v>
      </c>
      <c r="F11" s="7"/>
      <c r="G11" s="7" t="str">
        <v>0.048639</v>
      </c>
      <c r="H11" s="15" t="str">
        <v>ttccoa_c</v>
      </c>
      <c r="I11" s="7"/>
      <c r="J11" t="str">
        <v>-4.0</v>
      </c>
      <c r="K11" t="str">
        <v>co2_c</v>
      </c>
      <c r="M11">
        <v>-1.6184E-2</v>
      </c>
      <c r="N11" t="str">
        <v>chtn_c</v>
      </c>
      <c r="P11" s="8" t="s">
        <v>2089</v>
      </c>
      <c r="Q11" s="19">
        <v>-1.286E-3</v>
      </c>
      <c r="R11" t="str">
        <v>ca2_c</v>
      </c>
      <c r="S11">
        <v>-1.286E-3</v>
      </c>
      <c r="T11" t="str">
        <v>"ca2_c":-0.001286</v>
      </c>
      <c r="U11" t="str">
        <v>"ca2_c":-0.001286</v>
      </c>
    </row>
    <row r="12" spans="1:21" x14ac:dyDescent="0.2">
      <c r="A12">
        <v>-1.6184E-2</v>
      </c>
      <c r="B12" t="str">
        <v>chtn_c</v>
      </c>
      <c r="C12" s="7" t="str">
        <v>"chtn_c":0.016184</v>
      </c>
      <c r="D12" s="10"/>
      <c r="E12" s="7" t="str">
        <v>"chtn_c":-0.016184</v>
      </c>
      <c r="F12" s="7"/>
      <c r="G12" s="7" t="str">
        <v>-1</v>
      </c>
      <c r="H12" s="7" t="str">
        <v>coa_c</v>
      </c>
      <c r="I12" s="7"/>
      <c r="J12" t="str">
        <v>-8.0</v>
      </c>
      <c r="K12" t="str">
        <v>coa_c</v>
      </c>
      <c r="M12">
        <v>-0.11930200000000001</v>
      </c>
      <c r="N12" t="str">
        <v>ctp_c</v>
      </c>
      <c r="P12" s="8" t="s">
        <v>2090</v>
      </c>
      <c r="Q12" s="19">
        <v>-1.6184E-2</v>
      </c>
      <c r="R12" t="str">
        <v>chtn_c</v>
      </c>
      <c r="S12">
        <v>-1.6184E-2</v>
      </c>
      <c r="T12" t="str">
        <v>"chtn_c":-0.016184</v>
      </c>
      <c r="U12" t="str">
        <v>"chtn_c":-0.016184</v>
      </c>
    </row>
    <row r="13" spans="1:21" x14ac:dyDescent="0.2">
      <c r="A13">
        <v>-0.11930200000000001</v>
      </c>
      <c r="B13" t="str">
        <v>ctp_c</v>
      </c>
      <c r="C13" s="7" t="str">
        <v>"ctp_c":0.119302</v>
      </c>
      <c r="D13" s="10"/>
      <c r="E13" s="7" t="str">
        <v>"ctp_c":-0.119302</v>
      </c>
      <c r="F13" s="7"/>
      <c r="G13" s="7" t="str">
        <v>-1</v>
      </c>
      <c r="H13" s="7" t="str">
        <v>ffabiom_c</v>
      </c>
      <c r="I13" s="7"/>
      <c r="J13" t="str">
        <v>-4.0</v>
      </c>
      <c r="K13" t="str">
        <v>dag_c</v>
      </c>
      <c r="M13">
        <v>-1.1400000000000001E-4</v>
      </c>
      <c r="N13" t="str">
        <v>cu2_c</v>
      </c>
      <c r="P13" s="8" t="s">
        <v>2091</v>
      </c>
      <c r="Q13" s="19">
        <v>2E-3</v>
      </c>
      <c r="R13" t="str">
        <v>co2_c</v>
      </c>
      <c r="S13">
        <v>2E-3</v>
      </c>
      <c r="T13" t="str">
        <v>"co2_c":0.002</v>
      </c>
      <c r="U13" t="str">
        <v>"co2_c":0.002</v>
      </c>
    </row>
    <row r="14" spans="1:21" x14ac:dyDescent="0.2">
      <c r="A14">
        <v>-1.1400000000000001E-4</v>
      </c>
      <c r="B14" t="str">
        <v>cu2_c</v>
      </c>
      <c r="C14" s="7" t="str">
        <v>"cu2_c":0.000114</v>
      </c>
      <c r="D14" s="10"/>
      <c r="E14" s="7" t="str">
        <v>"cu2_c":-0.000114</v>
      </c>
      <c r="F14" s="7"/>
      <c r="G14" s="7" t="str">
        <v>-1</v>
      </c>
      <c r="H14" s="7" t="str">
        <v>h_c</v>
      </c>
      <c r="I14" s="7"/>
      <c r="J14" t="str">
        <v>-2.0</v>
      </c>
      <c r="K14" t="str">
        <v>h2o_c</v>
      </c>
      <c r="M14">
        <v>-5.816E-3</v>
      </c>
      <c r="N14" t="str">
        <v>cys__L_c</v>
      </c>
      <c r="P14" s="8" t="s">
        <v>2065</v>
      </c>
      <c r="Q14" s="19">
        <v>4.7429999999999998E-3</v>
      </c>
      <c r="R14" t="str">
        <v>coa_c</v>
      </c>
      <c r="S14">
        <v>4.7429999999999998E-3</v>
      </c>
      <c r="T14" t="str">
        <v>"coa_c":0.004743</v>
      </c>
      <c r="U14" t="str">
        <v>"coa_c":0.004743</v>
      </c>
    </row>
    <row r="15" spans="1:21" x14ac:dyDescent="0.2">
      <c r="A15">
        <v>-5.816E-3</v>
      </c>
      <c r="B15" t="str">
        <v>cys__L_c</v>
      </c>
      <c r="C15" s="7" t="str">
        <v>"cys__L_c":0.005816</v>
      </c>
      <c r="D15" s="10"/>
      <c r="E15" s="7" t="str">
        <v>"cystrna_c":-0.005816</v>
      </c>
      <c r="F15" s="7"/>
      <c r="G15" s="7"/>
      <c r="H15" s="7"/>
      <c r="I15" s="7"/>
      <c r="J15" t="str">
        <v>-2.0</v>
      </c>
      <c r="K15" t="str">
        <v>h_c</v>
      </c>
      <c r="M15">
        <v>-6.0089999999999996E-3</v>
      </c>
      <c r="N15" t="str">
        <v>datp_c</v>
      </c>
      <c r="P15" s="8" t="s">
        <v>2092</v>
      </c>
      <c r="Q15" s="19">
        <v>-0.11930200000000001</v>
      </c>
      <c r="R15" t="str">
        <v>ctp_c</v>
      </c>
      <c r="S15">
        <v>-0.11930200000000001</v>
      </c>
      <c r="T15" t="str">
        <v>"ctp_c":-0.119302</v>
      </c>
      <c r="U15" t="str">
        <v>"ctp_c":-0.119302</v>
      </c>
    </row>
    <row r="16" spans="1:21" x14ac:dyDescent="0.2">
      <c r="A16">
        <v>-6.0089999999999996E-3</v>
      </c>
      <c r="B16" t="str">
        <v>datp_c</v>
      </c>
      <c r="C16" s="7" t="str">
        <v>"datp_c":0.006009</v>
      </c>
      <c r="D16" s="10"/>
      <c r="E16" s="7" t="str">
        <v>"datp_c":-0.006009</v>
      </c>
      <c r="F16" s="7"/>
      <c r="G16" t="s">
        <v>2071</v>
      </c>
      <c r="H16" s="7"/>
      <c r="I16" s="7"/>
      <c r="J16" t="str">
        <v>-4.0</v>
      </c>
      <c r="K16" t="str">
        <v>ipcbiom_c</v>
      </c>
      <c r="M16">
        <v>-9.3790000000000002E-3</v>
      </c>
      <c r="N16" t="str">
        <v>dctp_c</v>
      </c>
      <c r="P16" s="8" t="s">
        <v>2093</v>
      </c>
      <c r="Q16" s="19">
        <v>-1.1400000000000001E-4</v>
      </c>
      <c r="R16" t="str">
        <v>cu2_c</v>
      </c>
      <c r="S16">
        <v>-1.1400000000000001E-4</v>
      </c>
      <c r="T16" t="str">
        <v>"cu2_c":-0.000114</v>
      </c>
      <c r="U16" t="str">
        <v>"cu2_c":-0.000114</v>
      </c>
    </row>
    <row r="17" spans="1:21" x14ac:dyDescent="0.2">
      <c r="A17">
        <v>-9.3790000000000002E-3</v>
      </c>
      <c r="B17" t="str">
        <v>dctp_c</v>
      </c>
      <c r="C17" s="7" t="str">
        <v>"dctp_c":0.009379</v>
      </c>
      <c r="D17" s="10"/>
      <c r="E17" s="7" t="str">
        <v>"dctp_c":-0.009379</v>
      </c>
      <c r="F17" s="7"/>
      <c r="G17" s="16" t="s">
        <v>2072</v>
      </c>
      <c r="H17" s="7" t="s">
        <v>2073</v>
      </c>
      <c r="I17" s="7"/>
      <c r="J17" t="str">
        <v>-6.0</v>
      </c>
      <c r="K17" t="str">
        <v>nadp_c</v>
      </c>
      <c r="M17">
        <v>-9.3790000000000002E-3</v>
      </c>
      <c r="N17" t="str">
        <v>dgtp_c</v>
      </c>
      <c r="P17" s="8" t="s">
        <v>2094</v>
      </c>
      <c r="Q17" s="19">
        <v>-5.816E-3</v>
      </c>
      <c r="R17" t="str">
        <v>cys__L_c</v>
      </c>
      <c r="S17">
        <v>-5.816E-3</v>
      </c>
      <c r="T17" t="str">
        <v>"cys__L_c":-0.005816</v>
      </c>
      <c r="U17" t="str">
        <v>"cystrna_c":-0.005816</v>
      </c>
    </row>
    <row r="18" spans="1:21" x14ac:dyDescent="0.2">
      <c r="A18">
        <v>-9.3790000000000002E-3</v>
      </c>
      <c r="B18" t="str">
        <v>dgtp_c</v>
      </c>
      <c r="C18" t="str">
        <v>"dgtp_c":0.009379</v>
      </c>
      <c r="E18" t="str">
        <v>"dgtp_c":-0.009379</v>
      </c>
      <c r="G18" t="s">
        <v>2138</v>
      </c>
      <c r="M18">
        <v>-6.0089999999999996E-3</v>
      </c>
      <c r="N18" t="str">
        <v>dttp_c</v>
      </c>
      <c r="P18" s="8" t="s">
        <v>2095</v>
      </c>
      <c r="Q18" s="19">
        <v>2E-3</v>
      </c>
      <c r="R18" t="str">
        <v>dag_c</v>
      </c>
      <c r="S18">
        <v>2E-3</v>
      </c>
      <c r="T18" t="str">
        <v>"dag_c":0.002</v>
      </c>
      <c r="U18" t="str">
        <v>"dag_c":0.002</v>
      </c>
    </row>
    <row r="19" spans="1:21" x14ac:dyDescent="0.2">
      <c r="A19">
        <v>-6.0089999999999996E-3</v>
      </c>
      <c r="B19" t="str">
        <v>dttp_c</v>
      </c>
      <c r="C19" t="str">
        <v>"dttp_c":0.006009</v>
      </c>
      <c r="E19" t="str">
        <v>"dttp_c":-0.006009</v>
      </c>
      <c r="J19" t="s">
        <v>2071</v>
      </c>
      <c r="M19">
        <v>-4.2867000000000002E-2</v>
      </c>
      <c r="N19" t="str">
        <v>ergst_c</v>
      </c>
      <c r="P19" s="8" t="s">
        <v>2096</v>
      </c>
      <c r="Q19" s="19">
        <v>-6.0089999999999996E-3</v>
      </c>
      <c r="R19" t="str">
        <v>datp_c</v>
      </c>
      <c r="S19">
        <v>-6.0089999999999996E-3</v>
      </c>
      <c r="T19" t="str">
        <v>"datp_c":-0.006009</v>
      </c>
      <c r="U19" t="str">
        <v>"datp_c":-0.006009</v>
      </c>
    </row>
    <row r="20" spans="1:21" x14ac:dyDescent="0.2">
      <c r="A20">
        <v>-4.2867000000000002E-2</v>
      </c>
      <c r="B20" t="str">
        <v>ergst_c</v>
      </c>
      <c r="C20" t="str">
        <v>"ergst_c":0.042867</v>
      </c>
      <c r="E20" t="str">
        <v>"ergst_c":-0.042867</v>
      </c>
      <c r="J20" t="s">
        <v>2074</v>
      </c>
      <c r="M20">
        <v>-1.0633999999999999E-2</v>
      </c>
      <c r="N20" t="str">
        <v>ergstest_c</v>
      </c>
      <c r="P20" s="8" t="s">
        <v>2097</v>
      </c>
      <c r="Q20" s="19">
        <v>-9.3790000000000002E-3</v>
      </c>
      <c r="R20" t="str">
        <v>dctp_c</v>
      </c>
      <c r="S20">
        <v>-9.3790000000000002E-3</v>
      </c>
      <c r="T20" t="str">
        <v>"dctp_c":-0.009379</v>
      </c>
      <c r="U20" t="str">
        <v>"dctp_c":-0.009379</v>
      </c>
    </row>
    <row r="21" spans="1:21" x14ac:dyDescent="0.2">
      <c r="A21">
        <v>-1.0633999999999999E-2</v>
      </c>
      <c r="B21" t="str">
        <v>ergstest_c</v>
      </c>
      <c r="C21" t="str">
        <v>"ergstest_c":0.010634</v>
      </c>
      <c r="E21" t="str">
        <v>"ergstest_c":-0.010634</v>
      </c>
      <c r="G21" s="11" cm="1">
        <f t="array" ref="G21:H31">_xlfn.HSTACK(_xlfn.CHOOSECOLS(_xlfn.ANCHORARRAY(G4),1)*-H3,_xlfn.CHOOSECOLS(_xlfn.ANCHORARRAY(G4),2))</f>
        <v>-1.3931249999999998E-5</v>
      </c>
      <c r="H21" t="str">
        <v>docoscoa_c</v>
      </c>
      <c r="J21" s="11" cm="1">
        <f t="array" ref="J21:K34">_xlfn.HSTACK(_xlfn.CHOOSECOLS(_xlfn.ANCHORARRAY(J4),1)*-K3,_xlfn.CHOOSECOLS(_xlfn.ANCHORARRAY(J4),2))</f>
        <v>-1E-3</v>
      </c>
      <c r="K21" t="str">
        <v>hxccoa_c</v>
      </c>
      <c r="M21">
        <v>-6.6399999999999999E-4</v>
      </c>
      <c r="N21" t="str">
        <v>fe2_c</v>
      </c>
      <c r="P21" s="8" t="s">
        <v>2098</v>
      </c>
      <c r="Q21" s="19">
        <v>-9.3790000000000002E-3</v>
      </c>
      <c r="R21" t="str">
        <v>dgtp_c</v>
      </c>
      <c r="S21">
        <v>-9.3790000000000002E-3</v>
      </c>
      <c r="T21" t="str">
        <v>"dgtp_c":-0.009379</v>
      </c>
      <c r="U21" t="str">
        <v>"dgtp_c":-0.009379</v>
      </c>
    </row>
    <row r="22" spans="1:21" x14ac:dyDescent="0.2">
      <c r="A22">
        <v>-6.6399999999999999E-4</v>
      </c>
      <c r="B22" t="str">
        <v>fe2_c</v>
      </c>
      <c r="C22" t="str">
        <v>"fe2_c":0.000664</v>
      </c>
      <c r="E22" t="str">
        <v>"fe2_c":-0.000664</v>
      </c>
      <c r="G22">
        <v>-7.4299999999999995E-4</v>
      </c>
      <c r="H22" t="str">
        <v>h2o_c</v>
      </c>
      <c r="J22">
        <v>-3.0000000000000001E-3</v>
      </c>
      <c r="K22" t="str">
        <v>nadph_c</v>
      </c>
      <c r="M22">
        <v>-1.9220000000000001E-3</v>
      </c>
      <c r="N22" t="str">
        <v>ffabiom_c</v>
      </c>
      <c r="P22" s="8" t="s">
        <v>2057</v>
      </c>
      <c r="Q22" s="19">
        <v>-1.3931249999999998E-5</v>
      </c>
      <c r="R22" t="str">
        <v>docoscoa_c</v>
      </c>
      <c r="S22">
        <v>-1.3931249999999998E-5</v>
      </c>
      <c r="T22" t="str">
        <v>"docoscoa_c":-0.00001393125</v>
      </c>
      <c r="U22" t="str">
        <v>"docoscoa_c":-0.00001393125</v>
      </c>
    </row>
    <row r="23" spans="1:21" x14ac:dyDescent="0.2">
      <c r="A23">
        <v>-1.9220000000000001E-3</v>
      </c>
      <c r="B23" t="str">
        <v>ffabiom_c</v>
      </c>
      <c r="C23" t="str">
        <v>"ffabiom_c":0.001922</v>
      </c>
      <c r="E23" t="str">
        <v>"ffabiom_c":-0.001922</v>
      </c>
      <c r="G23">
        <v>-2.6425835199999997E-4</v>
      </c>
      <c r="H23" t="str">
        <v>linocoa_c</v>
      </c>
      <c r="J23">
        <v>-1E-3</v>
      </c>
      <c r="K23" t="str">
        <v>o2_c</v>
      </c>
      <c r="M23">
        <v>-0.32155699999999998</v>
      </c>
      <c r="N23" t="str">
        <v>gln__L_c</v>
      </c>
      <c r="P23" s="8" t="s">
        <v>2099</v>
      </c>
      <c r="Q23" s="19">
        <v>-6.0089999999999996E-3</v>
      </c>
      <c r="R23" t="str">
        <v>dttp_c</v>
      </c>
      <c r="S23">
        <v>-6.0089999999999996E-3</v>
      </c>
      <c r="T23" t="str">
        <v>"dttp_c":-0.006009</v>
      </c>
      <c r="U23" t="str">
        <v>"dttp_c":-0.006009</v>
      </c>
    </row>
    <row r="24" spans="1:21" x14ac:dyDescent="0.2">
      <c r="A24">
        <v>-0.32155699999999998</v>
      </c>
      <c r="B24" t="str">
        <v>gln__L_c</v>
      </c>
      <c r="C24" t="str">
        <v>"gln__L_c":0.321557</v>
      </c>
      <c r="E24" t="str">
        <v>"glntrna_c":-0.321557</v>
      </c>
      <c r="G24">
        <v>-6.5095715999999998E-5</v>
      </c>
      <c r="H24" t="str">
        <v>linolncoa_c</v>
      </c>
      <c r="J24">
        <v>-2E-3</v>
      </c>
      <c r="K24" t="str">
        <v>pail_c</v>
      </c>
      <c r="M24">
        <v>-0.32155699999999998</v>
      </c>
      <c r="N24" t="str">
        <v>glu__L_c</v>
      </c>
      <c r="P24" s="8" t="s">
        <v>2100</v>
      </c>
      <c r="Q24" s="19">
        <v>-4.2867000000000002E-2</v>
      </c>
      <c r="R24" t="str">
        <v>ergst_c</v>
      </c>
      <c r="S24">
        <v>-4.2867000000000002E-2</v>
      </c>
      <c r="T24" t="str">
        <v>"ergst_c":-0.042867</v>
      </c>
      <c r="U24" t="str">
        <v>"ergst_c":-0.042867</v>
      </c>
    </row>
    <row r="25" spans="1:21" x14ac:dyDescent="0.2">
      <c r="A25">
        <v>-0.32155699999999998</v>
      </c>
      <c r="B25" t="str">
        <v>glu__L_c</v>
      </c>
      <c r="C25" t="str">
        <v>"glu__L_c":0.321557</v>
      </c>
      <c r="E25" t="str">
        <v>"glutrna_c":-0.321557</v>
      </c>
      <c r="G25">
        <v>-1.53896847E-4</v>
      </c>
      <c r="H25" t="str">
        <v>odecoa_c</v>
      </c>
      <c r="J25">
        <v>-2E-3</v>
      </c>
      <c r="K25" t="str">
        <v>pmtcoa_c</v>
      </c>
      <c r="M25">
        <v>-0.369334</v>
      </c>
      <c r="N25" t="str">
        <v>gly_c</v>
      </c>
      <c r="P25" s="8" t="s">
        <v>2101</v>
      </c>
      <c r="Q25" s="19">
        <v>-1.0633999999999999E-2</v>
      </c>
      <c r="R25" t="str">
        <v>ergstest_c</v>
      </c>
      <c r="S25">
        <v>-1.0633999999999999E-2</v>
      </c>
      <c r="T25" t="str">
        <v>"ergstest_c":-0.010634</v>
      </c>
      <c r="U25" t="str">
        <v>"ergstest_c":-0.010634</v>
      </c>
    </row>
    <row r="26" spans="1:21" x14ac:dyDescent="0.2">
      <c r="A26">
        <v>-0.369334</v>
      </c>
      <c r="B26" t="str">
        <v>gly_c</v>
      </c>
      <c r="C26" t="str">
        <v>"gly_c":0.369334</v>
      </c>
      <c r="E26" t="str">
        <v>"gly_c":-0.369334</v>
      </c>
      <c r="G26">
        <v>-1.2586419999999999E-4</v>
      </c>
      <c r="H26" t="str">
        <v>pmtcoa_c</v>
      </c>
      <c r="J26">
        <v>-2E-3</v>
      </c>
      <c r="K26" t="str">
        <v>ser__L_c</v>
      </c>
      <c r="M26">
        <v>-0.23481099999999999</v>
      </c>
      <c r="N26" t="str">
        <v>glycogen_c</v>
      </c>
      <c r="P26" s="8" t="s">
        <v>2102</v>
      </c>
      <c r="Q26" s="19">
        <v>-6.6399999999999999E-4</v>
      </c>
      <c r="R26" t="str">
        <v>fe2_c</v>
      </c>
      <c r="S26">
        <v>-6.6399999999999999E-4</v>
      </c>
      <c r="T26" t="str">
        <v>"fe2_c":-0.000664</v>
      </c>
      <c r="U26" t="str">
        <v>"fe2_c":-0.000664</v>
      </c>
    </row>
    <row r="27" spans="1:21" x14ac:dyDescent="0.2">
      <c r="A27">
        <v>-0.23481099999999999</v>
      </c>
      <c r="B27" t="str">
        <v>glycogen_c</v>
      </c>
      <c r="C27" t="str">
        <v>"glycogen_c":0.234811</v>
      </c>
      <c r="E27" t="str">
        <v>"glycogen_c":-0.234811</v>
      </c>
      <c r="G27">
        <v>-8.3814857999999994E-5</v>
      </c>
      <c r="H27" t="str">
        <v>stcoa_c</v>
      </c>
      <c r="J27">
        <v>-1E-3</v>
      </c>
      <c r="K27" t="str">
        <v>ttccoa_c</v>
      </c>
      <c r="M27">
        <v>-0.104534</v>
      </c>
      <c r="N27" t="str">
        <v>gtp_c</v>
      </c>
      <c r="P27" s="8" t="s">
        <v>2066</v>
      </c>
      <c r="Q27" s="19">
        <v>-1.1790000000000001E-3</v>
      </c>
      <c r="R27" t="str">
        <v>gln__L_c</v>
      </c>
      <c r="S27">
        <v>-0.32155699999999998</v>
      </c>
      <c r="T27" t="str">
        <v>"gln__L_c":-0.321557</v>
      </c>
      <c r="U27" t="str">
        <v>"glntrna_c":-0.321557</v>
      </c>
    </row>
    <row r="28" spans="1:21" x14ac:dyDescent="0.2">
      <c r="A28">
        <v>-0.104534</v>
      </c>
      <c r="B28" t="str">
        <v>gtp_c</v>
      </c>
      <c r="C28" t="str">
        <v>"gtp_c":0.104534</v>
      </c>
      <c r="E28" t="str">
        <v>"gtp_c":-0.104534</v>
      </c>
      <c r="G28">
        <v>-3.6138776999999997E-5</v>
      </c>
      <c r="H28" t="str">
        <v>ttccoa_c</v>
      </c>
      <c r="J28">
        <v>2E-3</v>
      </c>
      <c r="K28" t="str">
        <v>co2_c</v>
      </c>
      <c r="M28">
        <v>-186.43364699999901</v>
      </c>
      <c r="N28" t="str">
        <v>h2o_c</v>
      </c>
      <c r="P28" s="8" t="s">
        <v>2103</v>
      </c>
      <c r="Q28" s="19">
        <v>-0.32155699999999998</v>
      </c>
      <c r="R28" t="str">
        <v>glu__L_c</v>
      </c>
      <c r="S28">
        <v>-0.32155699999999998</v>
      </c>
      <c r="T28" t="str">
        <v>"glu__L_c":-0.321557</v>
      </c>
      <c r="U28" t="str">
        <v>"glutrna_c":-0.321557</v>
      </c>
    </row>
    <row r="29" spans="1:21" x14ac:dyDescent="0.2">
      <c r="A29">
        <v>-186.43364699999901</v>
      </c>
      <c r="B29" t="str">
        <v>h2o_c</v>
      </c>
      <c r="C29" t="str">
        <v>"h2o_c":186.43364699999998</v>
      </c>
      <c r="E29" t="str">
        <v>"h2o_c":-186.43364699999998</v>
      </c>
      <c r="G29">
        <v>7.4299999999999995E-4</v>
      </c>
      <c r="H29" t="str">
        <v>coa_c</v>
      </c>
      <c r="J29">
        <v>4.0000000000000001E-3</v>
      </c>
      <c r="K29" t="str">
        <v>coa_c</v>
      </c>
      <c r="M29">
        <v>-8.0182000000000003E-2</v>
      </c>
      <c r="N29" t="str">
        <v>his__L_c</v>
      </c>
      <c r="P29" s="8" t="s">
        <v>2104</v>
      </c>
      <c r="Q29" s="19">
        <v>-0.32155699999999998</v>
      </c>
      <c r="R29" t="str">
        <v>gly_c</v>
      </c>
      <c r="S29">
        <v>-0.369334</v>
      </c>
      <c r="T29" t="str">
        <v>"gly_c":-0.369334</v>
      </c>
      <c r="U29" t="str">
        <v>"gly_c":-0.369334</v>
      </c>
    </row>
    <row r="30" spans="1:21" x14ac:dyDescent="0.2">
      <c r="A30">
        <v>-8.0182000000000003E-2</v>
      </c>
      <c r="B30" t="str">
        <v>his__L_c</v>
      </c>
      <c r="C30" t="str">
        <v>"his__L_c":0.080182</v>
      </c>
      <c r="E30" t="str">
        <v>"histrna_c":-0.080182</v>
      </c>
      <c r="G30">
        <v>7.4299999999999995E-4</v>
      </c>
      <c r="H30" t="str">
        <v>ffabiom_c</v>
      </c>
      <c r="J30">
        <v>2E-3</v>
      </c>
      <c r="K30" t="str">
        <v>dag_c</v>
      </c>
      <c r="M30">
        <v>-0.244699</v>
      </c>
      <c r="N30" t="str">
        <v>ile__L_c</v>
      </c>
      <c r="P30" s="8" t="s">
        <v>148</v>
      </c>
      <c r="Q30" s="19">
        <v>-0.369334</v>
      </c>
      <c r="R30" t="str">
        <v>glycogen_c</v>
      </c>
      <c r="S30">
        <v>-0.23481099999999999</v>
      </c>
      <c r="T30" t="str">
        <v>"glycogen_c":-0.234811</v>
      </c>
      <c r="U30" t="str">
        <v>"glycogen_c":-0.234811</v>
      </c>
    </row>
    <row r="31" spans="1:21" x14ac:dyDescent="0.2">
      <c r="A31">
        <v>-0.244699</v>
      </c>
      <c r="B31" t="str">
        <v>ile__L_c</v>
      </c>
      <c r="C31" t="str">
        <v>"ile__L_c":0.244699</v>
      </c>
      <c r="E31" t="str">
        <v>"iletrna_c":-0.244699</v>
      </c>
      <c r="G31">
        <v>7.4299999999999995E-4</v>
      </c>
      <c r="H31" t="str">
        <v>h_c</v>
      </c>
      <c r="J31">
        <v>1E-3</v>
      </c>
      <c r="K31" t="str">
        <v>h2o_c</v>
      </c>
      <c r="M31">
        <v>-5.176E-3</v>
      </c>
      <c r="N31" t="str">
        <v>ipcbiom_c</v>
      </c>
      <c r="P31" s="8" t="s">
        <v>2105</v>
      </c>
      <c r="Q31" s="19">
        <v>-0.23481099999999999</v>
      </c>
      <c r="R31" t="str">
        <v>gtp_c</v>
      </c>
      <c r="S31">
        <v>-0.104534</v>
      </c>
      <c r="T31" t="str">
        <v>"gtp_c":-0.104534</v>
      </c>
      <c r="U31" t="str">
        <v>"gtp_c":-0.104534</v>
      </c>
    </row>
    <row r="32" spans="1:21" x14ac:dyDescent="0.2">
      <c r="A32">
        <v>-5.176E-3</v>
      </c>
      <c r="B32" t="str">
        <v>ipcbiom_c</v>
      </c>
      <c r="C32" t="str">
        <v>"ipcbiom_c":0.005176</v>
      </c>
      <c r="E32" t="str">
        <v>"ipcbiom_c":-0.005176</v>
      </c>
      <c r="J32">
        <v>1E-3</v>
      </c>
      <c r="K32" t="str">
        <v>h_c</v>
      </c>
      <c r="M32">
        <v>-0.60365000000000002</v>
      </c>
      <c r="N32" t="str">
        <v>k_c</v>
      </c>
      <c r="P32" s="8" t="s">
        <v>2106</v>
      </c>
      <c r="Q32" s="19">
        <v>-0.104534</v>
      </c>
      <c r="R32" t="str">
        <v>h_c</v>
      </c>
      <c r="S32">
        <v>190.58073300000001</v>
      </c>
      <c r="T32" t="str">
        <v>"h_c":190.580733</v>
      </c>
      <c r="U32" t="str">
        <v>"h_c":190.580733</v>
      </c>
    </row>
    <row r="33" spans="1:21" x14ac:dyDescent="0.2">
      <c r="A33">
        <v>-0.60365000000000002</v>
      </c>
      <c r="B33" t="str">
        <v>k_c</v>
      </c>
      <c r="C33" t="str">
        <v>"k_c":0.60365</v>
      </c>
      <c r="E33" t="str">
        <v>"k_c":-0.60365</v>
      </c>
      <c r="J33">
        <v>2E-3</v>
      </c>
      <c r="K33" t="str">
        <v>ipcbiom_c</v>
      </c>
      <c r="M33">
        <v>-0.33277400000000001</v>
      </c>
      <c r="N33" t="str">
        <v>leu__L_c</v>
      </c>
      <c r="P33" s="8" t="s">
        <v>2067</v>
      </c>
      <c r="Q33" s="19">
        <v>190.58073300000001</v>
      </c>
      <c r="R33" t="str">
        <v>h2o_c</v>
      </c>
      <c r="S33">
        <v>-186.43338999999901</v>
      </c>
      <c r="T33" t="str">
        <v>"h2o_c":-186.433389999999</v>
      </c>
      <c r="U33" t="str">
        <v>"h2o_c":-186.433389999999</v>
      </c>
    </row>
    <row r="34" spans="1:21" x14ac:dyDescent="0.2">
      <c r="A34">
        <v>-0.33277400000000001</v>
      </c>
      <c r="B34" t="str">
        <v>leu__L_c</v>
      </c>
      <c r="C34" t="str">
        <v>"leu__L_c":0.332774</v>
      </c>
      <c r="E34" t="str">
        <v>"leutrna_c":-0.332774</v>
      </c>
      <c r="J34">
        <v>3.0000000000000001E-3</v>
      </c>
      <c r="K34" t="str">
        <v>nadp_c</v>
      </c>
      <c r="M34">
        <v>-0.27295000000000003</v>
      </c>
      <c r="N34" t="str">
        <v>lys__L_c</v>
      </c>
      <c r="P34" s="8" t="s">
        <v>2058</v>
      </c>
      <c r="Q34" s="19">
        <v>-186.43338999999901</v>
      </c>
      <c r="R34" t="str">
        <v>his__L_c</v>
      </c>
      <c r="S34">
        <v>-8.0182000000000003E-2</v>
      </c>
      <c r="T34" t="str">
        <v>"his__L_c":-0.080182</v>
      </c>
      <c r="U34" t="str">
        <v>"histrna_c":-0.080182</v>
      </c>
    </row>
    <row r="35" spans="1:21" x14ac:dyDescent="0.2">
      <c r="A35">
        <v>-0.27295000000000003</v>
      </c>
      <c r="B35" t="str">
        <v>lys__L_c</v>
      </c>
      <c r="C35" t="str">
        <v>"lys__L_c":0.27295</v>
      </c>
      <c r="E35" t="str">
        <v>"lystrna_c":-0.27295</v>
      </c>
      <c r="M35">
        <v>-0.49014999999999997</v>
      </c>
      <c r="N35" t="str">
        <v>mannan_c</v>
      </c>
      <c r="P35" s="8" t="s">
        <v>2107</v>
      </c>
      <c r="Q35" s="19">
        <v>-8.0182000000000003E-2</v>
      </c>
      <c r="R35" t="str">
        <v>hxccoa_c</v>
      </c>
      <c r="S35">
        <v>-1E-3</v>
      </c>
      <c r="T35" t="str">
        <v>"hxccoa_c":-0.001</v>
      </c>
      <c r="U35" t="str">
        <v>"hxccoa_c":-0.001</v>
      </c>
    </row>
    <row r="36" spans="1:21" x14ac:dyDescent="0.2">
      <c r="A36">
        <v>-0.49014999999999997</v>
      </c>
      <c r="B36" t="str">
        <v>mannan_c</v>
      </c>
      <c r="C36" t="str">
        <v>"mannan_c":0.49015</v>
      </c>
      <c r="E36" t="str">
        <v>"mannan_c":-0.49015</v>
      </c>
      <c r="M36">
        <v>-4.7361E-2</v>
      </c>
      <c r="N36" t="str">
        <v>met__L_c</v>
      </c>
      <c r="P36" s="8" t="s">
        <v>2108</v>
      </c>
      <c r="Q36" s="19">
        <v>-1E-3</v>
      </c>
      <c r="R36" t="str">
        <v>ile__L_c</v>
      </c>
      <c r="S36">
        <v>-0.244699</v>
      </c>
      <c r="T36" t="str">
        <v>"ile__L_c":-0.244699</v>
      </c>
      <c r="U36" t="str">
        <v>"iletrna_c":-0.244699</v>
      </c>
    </row>
    <row r="37" spans="1:21" x14ac:dyDescent="0.2">
      <c r="A37">
        <v>-4.7361E-2</v>
      </c>
      <c r="B37" t="str">
        <v>met__L_c</v>
      </c>
      <c r="C37" t="str">
        <v>"met__L_c":0.047361</v>
      </c>
      <c r="E37" t="str">
        <v>"mettrna_c":-0.047361</v>
      </c>
      <c r="M37">
        <v>-6.3606999999999997E-2</v>
      </c>
      <c r="N37" t="str">
        <v>mg2_c</v>
      </c>
      <c r="P37" s="8" t="s">
        <v>2109</v>
      </c>
      <c r="Q37" s="19">
        <v>-0.244699</v>
      </c>
      <c r="R37" t="str">
        <v>k_c</v>
      </c>
      <c r="S37">
        <v>-0.60365000000000002</v>
      </c>
      <c r="T37" t="str">
        <v>"k_c":-0.60365</v>
      </c>
      <c r="U37" t="str">
        <v>"k_c":-0.60365</v>
      </c>
    </row>
    <row r="38" spans="1:21" x14ac:dyDescent="0.2">
      <c r="A38">
        <v>-6.3606999999999997E-2</v>
      </c>
      <c r="B38" t="str">
        <v>mg2_c</v>
      </c>
      <c r="C38" t="str">
        <v>"mg2_c":0.063607</v>
      </c>
      <c r="E38" t="str">
        <v>"mg2_c":-0.063607</v>
      </c>
      <c r="M38">
        <v>-9.3999999999999994E-5</v>
      </c>
      <c r="N38" t="str">
        <v>mn2_c</v>
      </c>
      <c r="P38" s="8" t="s">
        <v>149</v>
      </c>
      <c r="Q38" s="19">
        <v>-3.176E-3</v>
      </c>
      <c r="R38" t="str">
        <v>leu__L_c</v>
      </c>
      <c r="S38">
        <v>-0.33277400000000001</v>
      </c>
      <c r="T38" t="str">
        <v>"leu__L_c":-0.332774</v>
      </c>
      <c r="U38" t="str">
        <v>"leutrna_c":-0.332774</v>
      </c>
    </row>
    <row r="39" spans="1:21" x14ac:dyDescent="0.2">
      <c r="A39">
        <v>-9.3999999999999994E-5</v>
      </c>
      <c r="B39" t="str">
        <v>mn2_c</v>
      </c>
      <c r="C39" t="str">
        <v>"mn2_c":9.4e-05</v>
      </c>
      <c r="E39" t="str">
        <v>"mn2_c":-9.4e-05</v>
      </c>
      <c r="M39">
        <v>-7.7380000000000001E-3</v>
      </c>
      <c r="N39" t="str">
        <v>pail_c</v>
      </c>
      <c r="P39" s="8" t="s">
        <v>2110</v>
      </c>
      <c r="Q39" s="19">
        <v>-0.60365000000000002</v>
      </c>
      <c r="R39" t="str">
        <v>linocoa_c</v>
      </c>
      <c r="S39">
        <v>-2.6425835199999997E-4</v>
      </c>
      <c r="T39" t="str">
        <v>"linocoa_c":-0.000264258352</v>
      </c>
      <c r="U39" t="str">
        <v>"linocoa_c":-0.000264258352</v>
      </c>
    </row>
    <row r="40" spans="1:21" x14ac:dyDescent="0.2">
      <c r="A40">
        <v>-7.7380000000000001E-3</v>
      </c>
      <c r="B40" t="str">
        <v>pail_c</v>
      </c>
      <c r="C40" t="str">
        <v>"pail_c":0.007738</v>
      </c>
      <c r="E40" t="str">
        <v>"pail_c":-0.007738</v>
      </c>
      <c r="M40">
        <v>-2.8783E-2</v>
      </c>
      <c r="N40" t="str">
        <v>pc_c</v>
      </c>
      <c r="P40" s="8" t="s">
        <v>2111</v>
      </c>
      <c r="Q40" s="19">
        <v>-0.33277400000000001</v>
      </c>
      <c r="R40" t="str">
        <v>linolncoa_c</v>
      </c>
      <c r="S40">
        <v>-6.5095715999999998E-5</v>
      </c>
      <c r="T40" t="str">
        <v>"linolncoa_c":-0.000065095716</v>
      </c>
      <c r="U40" t="str">
        <v>"linolncoa_c":-0.000065095716</v>
      </c>
    </row>
    <row r="41" spans="1:21" x14ac:dyDescent="0.2">
      <c r="A41">
        <v>-2.8783E-2</v>
      </c>
      <c r="B41" t="str">
        <v>pc_c</v>
      </c>
      <c r="C41" t="str">
        <v>"pc_c":0.028783</v>
      </c>
      <c r="E41" t="str">
        <v>"pc_c":-0.028783</v>
      </c>
      <c r="M41">
        <v>-7.7200000000000003E-3</v>
      </c>
      <c r="N41" t="str">
        <v>pe_c</v>
      </c>
      <c r="P41" s="8" t="s">
        <v>2059</v>
      </c>
      <c r="Q41" s="19">
        <v>-2.6425835199999997E-4</v>
      </c>
      <c r="R41" t="str">
        <v>lys__L_c</v>
      </c>
      <c r="S41">
        <v>-0.27295000000000003</v>
      </c>
      <c r="T41" t="str">
        <v>"lys__L_c":-0.27295</v>
      </c>
      <c r="U41" t="str">
        <v>"lystrna_c":-0.27295</v>
      </c>
    </row>
    <row r="42" spans="1:21" x14ac:dyDescent="0.2">
      <c r="A42">
        <v>-7.7200000000000003E-3</v>
      </c>
      <c r="B42" t="str">
        <v>pe_c</v>
      </c>
      <c r="C42" t="str">
        <v>"pe_c":0.00772</v>
      </c>
      <c r="E42" t="str">
        <v>"pe_c":-0.00772</v>
      </c>
      <c r="M42">
        <v>-0.15620899999999999</v>
      </c>
      <c r="N42" t="str">
        <v>phe__L_c</v>
      </c>
      <c r="P42" s="8" t="s">
        <v>2060</v>
      </c>
      <c r="Q42" s="19">
        <v>-6.5095715999999998E-5</v>
      </c>
      <c r="R42" t="str">
        <v>mannan_c</v>
      </c>
      <c r="S42">
        <v>-0.49014999999999997</v>
      </c>
      <c r="T42" t="str">
        <v>"mannan_c":-0.49015</v>
      </c>
      <c r="U42" t="str">
        <v>"mannan_c":-0.49015</v>
      </c>
    </row>
    <row r="43" spans="1:21" x14ac:dyDescent="0.2">
      <c r="A43">
        <v>-0.15620899999999999</v>
      </c>
      <c r="B43" t="str">
        <v>phe__L_c</v>
      </c>
      <c r="C43" t="str">
        <v>"phe__L_c":0.156209</v>
      </c>
      <c r="E43" t="str">
        <v>"phetrna_c":-0.156209</v>
      </c>
      <c r="M43">
        <v>-0.175319</v>
      </c>
      <c r="N43" t="str">
        <v>pro__L_c</v>
      </c>
      <c r="P43" s="8" t="s">
        <v>2112</v>
      </c>
      <c r="Q43" s="19">
        <v>-0.27295000000000003</v>
      </c>
      <c r="R43" t="str">
        <v>met__L_c</v>
      </c>
      <c r="S43">
        <v>-4.7361E-2</v>
      </c>
      <c r="T43" t="str">
        <v>"met__L_c":-0.047361</v>
      </c>
      <c r="U43" t="str">
        <v>"mettrna_c":-0.047361</v>
      </c>
    </row>
    <row r="44" spans="1:21" x14ac:dyDescent="0.2">
      <c r="A44">
        <v>-0.175319</v>
      </c>
      <c r="B44" t="str">
        <v>pro__L_c</v>
      </c>
      <c r="C44" t="str">
        <v>"pro__L_c":0.175319</v>
      </c>
      <c r="E44" t="str">
        <v>"protrna_c":-0.175319</v>
      </c>
      <c r="M44">
        <v>-6.6429999999999996E-3</v>
      </c>
      <c r="N44" t="str">
        <v>ps_c</v>
      </c>
      <c r="P44" s="8" t="s">
        <v>2113</v>
      </c>
      <c r="Q44" s="19">
        <v>-0.49014999999999997</v>
      </c>
      <c r="R44" t="str">
        <v>mg2_c</v>
      </c>
      <c r="S44">
        <v>-6.3606999999999997E-2</v>
      </c>
      <c r="T44" t="str">
        <v>"mg2_c":-0.063607</v>
      </c>
      <c r="U44" t="str">
        <v>"mg2_c":-0.063607</v>
      </c>
    </row>
    <row r="45" spans="1:21" x14ac:dyDescent="0.2">
      <c r="A45">
        <v>-6.6429999999999996E-3</v>
      </c>
      <c r="B45" t="str">
        <v>ps_c</v>
      </c>
      <c r="C45" t="str">
        <v>"ps_c":0.006643</v>
      </c>
      <c r="E45" t="str">
        <v>"ps_c":-0.006643</v>
      </c>
      <c r="M45">
        <v>-0.22143399999999999</v>
      </c>
      <c r="N45" t="str">
        <v>ser__L_c</v>
      </c>
      <c r="P45" s="8" t="s">
        <v>2114</v>
      </c>
      <c r="Q45" s="19">
        <v>-4.7361E-2</v>
      </c>
      <c r="R45" t="str">
        <v>mn2_c</v>
      </c>
      <c r="S45">
        <v>-9.3999999999999994E-5</v>
      </c>
      <c r="T45" t="str">
        <v>"mn2_c":-0.000094</v>
      </c>
      <c r="U45" t="str">
        <v>"mn2_c":-0.000094</v>
      </c>
    </row>
    <row r="46" spans="1:21" x14ac:dyDescent="0.2">
      <c r="A46">
        <v>-0.22143399999999999</v>
      </c>
      <c r="B46" t="str">
        <v>ser__L_c</v>
      </c>
      <c r="C46" t="str">
        <v>"ser__L_c":0.221434</v>
      </c>
      <c r="E46" t="str">
        <v>"sertrna_c":-0.221434</v>
      </c>
      <c r="M46">
        <v>-3.1223000000000001E-2</v>
      </c>
      <c r="N46" t="str">
        <v>so4_c</v>
      </c>
      <c r="P46" s="8" t="s">
        <v>2115</v>
      </c>
      <c r="Q46" s="19">
        <v>-6.3606999999999997E-2</v>
      </c>
      <c r="R46" t="str">
        <v>nadp_c</v>
      </c>
      <c r="S46">
        <v>3.0000000000000001E-3</v>
      </c>
      <c r="T46" t="str">
        <v>"nadp_c":0.003</v>
      </c>
      <c r="U46" t="str">
        <v>"nadp_c":0.003</v>
      </c>
    </row>
    <row r="47" spans="1:21" x14ac:dyDescent="0.2">
      <c r="A47">
        <v>-3.1223000000000001E-2</v>
      </c>
      <c r="B47" t="str">
        <v>so4_c</v>
      </c>
      <c r="C47" t="str">
        <v>"so4_c":0.031223</v>
      </c>
      <c r="E47" t="str">
        <v>"so4_c":-0.031223</v>
      </c>
      <c r="M47">
        <v>-1.0494E-2</v>
      </c>
      <c r="N47" t="str">
        <v>tag_c</v>
      </c>
      <c r="P47" s="8" t="s">
        <v>2116</v>
      </c>
      <c r="Q47" s="19">
        <v>-9.3999999999999994E-5</v>
      </c>
      <c r="R47" t="str">
        <v>nadph_c</v>
      </c>
      <c r="S47">
        <v>-3.0000000000000001E-3</v>
      </c>
      <c r="T47" t="str">
        <v>"nadph_c":-0.003</v>
      </c>
      <c r="U47" t="str">
        <v>"nadph_c":-0.003</v>
      </c>
    </row>
    <row r="48" spans="1:21" x14ac:dyDescent="0.2">
      <c r="A48">
        <v>-1.0494E-2</v>
      </c>
      <c r="B48" t="str">
        <v>tag_c</v>
      </c>
      <c r="C48" t="str">
        <v>"tag_c":0.010494</v>
      </c>
      <c r="E48" t="str">
        <v>"tag_c":-0.010494</v>
      </c>
      <c r="M48">
        <v>-0.231405</v>
      </c>
      <c r="N48" t="str">
        <v>thr__L_c</v>
      </c>
      <c r="P48" s="8" t="s">
        <v>2117</v>
      </c>
      <c r="Q48" s="19">
        <v>3.0000000000000001E-3</v>
      </c>
      <c r="R48" t="str">
        <v>o2_c</v>
      </c>
      <c r="S48">
        <v>-1E-3</v>
      </c>
      <c r="T48" t="str">
        <v>"o2_c":-0.001</v>
      </c>
      <c r="U48" t="str">
        <v>"o2_c":-0.001</v>
      </c>
    </row>
    <row r="49" spans="1:21" x14ac:dyDescent="0.2">
      <c r="A49">
        <v>-0.231405</v>
      </c>
      <c r="B49" t="str">
        <v>thr__L_c</v>
      </c>
      <c r="C49" t="str">
        <v>"thr__L_c":0.231405</v>
      </c>
      <c r="E49" t="str">
        <v>"thrtrna_c":-0.231405</v>
      </c>
      <c r="M49">
        <v>-0.137707</v>
      </c>
      <c r="N49" t="str">
        <v>tre_c</v>
      </c>
      <c r="P49" s="8" t="s">
        <v>2118</v>
      </c>
      <c r="Q49" s="19">
        <v>-3.0000000000000001E-3</v>
      </c>
      <c r="R49" t="str">
        <v>odecoa_c</v>
      </c>
      <c r="S49">
        <v>-1.53896847E-4</v>
      </c>
      <c r="T49" t="str">
        <v>"odecoa_c":-0.000153896847</v>
      </c>
      <c r="U49" t="str">
        <v>"odecoa_c":-0.000153896847</v>
      </c>
    </row>
    <row r="50" spans="1:21" x14ac:dyDescent="0.2">
      <c r="A50">
        <v>-0.137707</v>
      </c>
      <c r="B50" t="str">
        <v>tre_c</v>
      </c>
      <c r="C50" t="str">
        <v>"tre_c":0.137707</v>
      </c>
      <c r="E50" t="str">
        <v>"tre_c":-0.137707</v>
      </c>
      <c r="M50">
        <v>-2.7004E-2</v>
      </c>
      <c r="N50" t="str">
        <v>trp__L_c</v>
      </c>
      <c r="P50" s="8" t="s">
        <v>2119</v>
      </c>
      <c r="Q50" s="19">
        <v>-1E-3</v>
      </c>
      <c r="R50" t="str">
        <v>pail_c</v>
      </c>
      <c r="S50">
        <v>-9.7380000000000001E-3</v>
      </c>
      <c r="T50" t="str">
        <v>"pail_c":-0.009738</v>
      </c>
      <c r="U50" t="str">
        <v>"pail_c":-0.009738</v>
      </c>
    </row>
    <row r="51" spans="1:21" x14ac:dyDescent="0.2">
      <c r="A51">
        <v>-2.7004E-2</v>
      </c>
      <c r="B51" t="str">
        <v>trp__L_c</v>
      </c>
      <c r="C51" t="str">
        <v>"trp__L_c":0.027004</v>
      </c>
      <c r="E51" t="str">
        <v>"trptrna_c":-0.027004</v>
      </c>
      <c r="M51">
        <v>-8.1428E-2</v>
      </c>
      <c r="N51" t="str">
        <v>tyr__L_c</v>
      </c>
      <c r="P51" s="8" t="s">
        <v>2061</v>
      </c>
      <c r="Q51" s="19">
        <v>-1.53896847E-4</v>
      </c>
      <c r="R51" t="str">
        <v>pc_c</v>
      </c>
      <c r="S51">
        <v>-2.8783E-2</v>
      </c>
      <c r="T51" t="str">
        <v>"pc_c":-0.028783</v>
      </c>
      <c r="U51" t="str">
        <v>"pc_c":-0.028783</v>
      </c>
    </row>
    <row r="52" spans="1:21" x14ac:dyDescent="0.2">
      <c r="A52">
        <v>-8.1428E-2</v>
      </c>
      <c r="B52" t="str">
        <v>tyr__L_c</v>
      </c>
      <c r="C52" t="str">
        <v>"tyr__L_c":0.081428</v>
      </c>
      <c r="E52" t="str">
        <v>"tyrtrna_c":-0.081428</v>
      </c>
      <c r="M52">
        <v>-6.2536999999999995E-2</v>
      </c>
      <c r="N52" t="str">
        <v>utp_c</v>
      </c>
      <c r="P52" s="8" t="s">
        <v>2120</v>
      </c>
      <c r="Q52" s="19">
        <v>-9.7380000000000001E-3</v>
      </c>
      <c r="R52" t="str">
        <v>pe_c</v>
      </c>
      <c r="S52">
        <v>-7.7200000000000003E-3</v>
      </c>
      <c r="T52" t="str">
        <v>"pe_c":-0.00772</v>
      </c>
      <c r="U52" t="str">
        <v>"pe_c":-0.00772</v>
      </c>
    </row>
    <row r="53" spans="1:21" x14ac:dyDescent="0.2">
      <c r="A53">
        <v>-6.2536999999999995E-2</v>
      </c>
      <c r="B53" t="str">
        <v>utp_c</v>
      </c>
      <c r="C53" t="str">
        <v>"utp_c":0.062537</v>
      </c>
      <c r="E53" t="str">
        <v>"utp_c":-0.062537</v>
      </c>
      <c r="M53">
        <v>-0.30452400000000002</v>
      </c>
      <c r="N53" t="str">
        <v>val__L_c</v>
      </c>
      <c r="P53" s="8" t="s">
        <v>2121</v>
      </c>
      <c r="Q53" s="19">
        <v>-2.8783E-2</v>
      </c>
      <c r="R53" t="str">
        <v>phe__L_c</v>
      </c>
      <c r="S53">
        <v>-0.15620899999999999</v>
      </c>
      <c r="T53" t="str">
        <v>"phe__L_c":-0.156209</v>
      </c>
      <c r="U53" t="str">
        <v>"phetrna_c":-0.156209</v>
      </c>
    </row>
    <row r="54" spans="1:21" x14ac:dyDescent="0.2">
      <c r="A54">
        <v>-0.30452400000000002</v>
      </c>
      <c r="B54" t="str">
        <v>val__L_c</v>
      </c>
      <c r="C54" t="str">
        <v>"val__L_c":0.304524</v>
      </c>
      <c r="E54" t="str">
        <v>"valtrna_c":-0.304524</v>
      </c>
      <c r="M54">
        <v>-1.5759999999999999E-3</v>
      </c>
      <c r="N54" t="str">
        <v>zn2_c</v>
      </c>
      <c r="P54" s="8" t="s">
        <v>2122</v>
      </c>
      <c r="Q54" s="19">
        <v>-7.7200000000000003E-3</v>
      </c>
      <c r="R54" t="str">
        <v>pi_c</v>
      </c>
      <c r="S54">
        <v>190.47333499999999</v>
      </c>
      <c r="T54" t="str">
        <v>"pi_c":190.473335</v>
      </c>
      <c r="U54" t="str">
        <v>"pi_c":190.473335</v>
      </c>
    </row>
    <row r="55" spans="1:21" x14ac:dyDescent="0.2">
      <c r="A55">
        <v>-1.5759999999999999E-3</v>
      </c>
      <c r="B55" t="str">
        <v>zn2_c</v>
      </c>
      <c r="C55" t="str">
        <v>"zn2_c":0.001576</v>
      </c>
      <c r="E55" t="str">
        <v>"zn2_c":-0.001576</v>
      </c>
      <c r="M55">
        <v>190.57899</v>
      </c>
      <c r="N55" t="str">
        <v>adp_c</v>
      </c>
      <c r="P55" s="8" t="s">
        <v>2123</v>
      </c>
      <c r="Q55" s="19">
        <v>-0.15620899999999999</v>
      </c>
      <c r="R55" t="str">
        <v>pmtcoa_c</v>
      </c>
      <c r="S55">
        <v>-2.1258641999999999E-3</v>
      </c>
      <c r="T55" t="str">
        <v>"pmtcoa_c":-0.0021258642</v>
      </c>
      <c r="U55" t="str">
        <v>"pmtcoa_c":-0.0021258642</v>
      </c>
    </row>
    <row r="56" spans="1:21" x14ac:dyDescent="0.2">
      <c r="A56">
        <v>190.57899</v>
      </c>
      <c r="B56" t="str">
        <v>adp_c</v>
      </c>
      <c r="C56" t="str">
        <v>"adp_c":-190.57899</v>
      </c>
      <c r="E56" t="str">
        <v>"adp_c":--190.57899</v>
      </c>
      <c r="M56">
        <v>190.57899</v>
      </c>
      <c r="N56" t="str">
        <v>h_c</v>
      </c>
      <c r="P56" s="8" t="s">
        <v>2124</v>
      </c>
      <c r="Q56" s="19">
        <v>190.47333499999999</v>
      </c>
      <c r="R56" t="str">
        <v>ppi_c</v>
      </c>
      <c r="S56">
        <v>0.38549499999999998</v>
      </c>
      <c r="T56" t="str">
        <v>"ppi_c":0.385495</v>
      </c>
      <c r="U56" t="str">
        <v>"ppi_c":0.385495</v>
      </c>
    </row>
    <row r="57" spans="1:21" x14ac:dyDescent="0.2">
      <c r="A57">
        <v>190.57899</v>
      </c>
      <c r="B57" t="str">
        <v>h_c</v>
      </c>
      <c r="C57" t="str">
        <v>"h_c":-190.57899</v>
      </c>
      <c r="E57" t="str">
        <v>"h_c":--190.57899</v>
      </c>
      <c r="M57">
        <v>190.47333499999999</v>
      </c>
      <c r="N57" t="str">
        <v>pi_c</v>
      </c>
      <c r="P57" s="8" t="s">
        <v>2062</v>
      </c>
      <c r="Q57" s="19">
        <v>-2.1258641999999999E-3</v>
      </c>
      <c r="R57" t="str">
        <v>pro__L_c</v>
      </c>
      <c r="S57">
        <v>-0.175319</v>
      </c>
      <c r="T57" t="str">
        <v>"pro__L_c":-0.175319</v>
      </c>
      <c r="U57" t="str">
        <v>"protrna_c":-0.175319</v>
      </c>
    </row>
    <row r="58" spans="1:21" x14ac:dyDescent="0.2">
      <c r="A58">
        <v>190.47333499999999</v>
      </c>
      <c r="B58" t="str">
        <v>pi_c</v>
      </c>
      <c r="C58" t="str">
        <v>"pi_c":-190.473335</v>
      </c>
      <c r="E58" t="str">
        <v>"pi_c":--190.473335</v>
      </c>
      <c r="M58">
        <v>0.38549499999999998</v>
      </c>
      <c r="N58" t="str">
        <v>ppi_c</v>
      </c>
      <c r="P58" s="8" t="s">
        <v>2125</v>
      </c>
      <c r="Q58" s="19">
        <v>0.38549499999999998</v>
      </c>
      <c r="R58" t="str">
        <v>ps_c</v>
      </c>
      <c r="S58">
        <v>-6.6429999999999996E-3</v>
      </c>
      <c r="T58" t="str">
        <v>"ps_c":-0.006643</v>
      </c>
      <c r="U58" t="str">
        <v>"ps_c":-0.006643</v>
      </c>
    </row>
    <row r="59" spans="1:21" x14ac:dyDescent="0.2">
      <c r="A59">
        <v>0.38549499999999998</v>
      </c>
      <c r="B59" t="str">
        <v>ppi_c</v>
      </c>
      <c r="C59" t="str">
        <v>"ppi_c":-0.385495</v>
      </c>
      <c r="E59" t="str">
        <v>"ppi_c":--0.385495</v>
      </c>
      <c r="M59">
        <v>-1.3931249999999998E-5</v>
      </c>
      <c r="N59" t="str">
        <v>docoscoa_c</v>
      </c>
      <c r="P59" s="8" t="s">
        <v>2126</v>
      </c>
      <c r="Q59" s="19">
        <v>-0.175319</v>
      </c>
      <c r="R59" t="str">
        <v>ser__L_c</v>
      </c>
      <c r="S59">
        <v>-0.22343399999999999</v>
      </c>
      <c r="T59" t="str">
        <v>"ser__L_c":-0.223434</v>
      </c>
      <c r="U59" t="str">
        <v>"sertrna_c":-0.223434</v>
      </c>
    </row>
    <row r="60" spans="1:21" x14ac:dyDescent="0.2">
      <c r="E60" t="str">
        <v>"trnaala_c":0.405893</v>
      </c>
      <c r="M60">
        <v>-7.4299999999999995E-4</v>
      </c>
      <c r="N60" t="str">
        <v>h2o_c</v>
      </c>
      <c r="P60" s="8" t="s">
        <v>2127</v>
      </c>
      <c r="Q60" s="19">
        <v>-6.6429999999999996E-3</v>
      </c>
      <c r="R60" t="str">
        <v>so4_c</v>
      </c>
      <c r="S60">
        <v>-3.1223000000000001E-2</v>
      </c>
      <c r="T60" t="str">
        <v>"so4_c":-0.031223</v>
      </c>
      <c r="U60" t="str">
        <v>"so4_c":-0.031223</v>
      </c>
    </row>
    <row r="61" spans="1:21" x14ac:dyDescent="0.2">
      <c r="E61" t="str">
        <v>"trnaarg_c":0.160363</v>
      </c>
      <c r="M61">
        <v>-2.6425835199999997E-4</v>
      </c>
      <c r="N61" t="str">
        <v>linocoa_c</v>
      </c>
      <c r="P61" s="8" t="s">
        <v>2128</v>
      </c>
      <c r="Q61" s="19">
        <v>-0.22343399999999999</v>
      </c>
      <c r="R61" t="str">
        <v>stcoa_c</v>
      </c>
      <c r="S61">
        <v>-8.3814857999999994E-5</v>
      </c>
      <c r="T61" t="str">
        <v>"stcoa_c":-0.000083814858</v>
      </c>
      <c r="U61" t="str">
        <v>"stcoa_c":-0.000083814858</v>
      </c>
    </row>
    <row r="62" spans="1:21" x14ac:dyDescent="0.2">
      <c r="E62" t="str">
        <v>"trnaasn_c":0.192768</v>
      </c>
      <c r="M62">
        <v>-6.5095715999999998E-5</v>
      </c>
      <c r="N62" t="str">
        <v>linolncoa_c</v>
      </c>
      <c r="P62" s="8" t="s">
        <v>2129</v>
      </c>
      <c r="Q62" s="19">
        <v>-3.1223000000000001E-2</v>
      </c>
      <c r="R62" t="str">
        <v>tag_c</v>
      </c>
      <c r="S62">
        <v>-1.0494E-2</v>
      </c>
      <c r="T62" t="str">
        <v>"tag_c":-0.010494</v>
      </c>
      <c r="U62" t="str">
        <v>"tag_c":-0.010494</v>
      </c>
    </row>
    <row r="63" spans="1:21" x14ac:dyDescent="0.2">
      <c r="E63" t="str">
        <v>"trnaasp_c":0.192768</v>
      </c>
      <c r="M63">
        <v>-1.53896847E-4</v>
      </c>
      <c r="N63" t="str">
        <v>odecoa_c</v>
      </c>
      <c r="P63" s="8" t="s">
        <v>2063</v>
      </c>
      <c r="Q63" s="19">
        <v>-8.3814857999999994E-5</v>
      </c>
      <c r="R63" t="str">
        <v>thr__L_c</v>
      </c>
      <c r="S63">
        <v>-0.231405</v>
      </c>
      <c r="T63" t="str">
        <v>"thr__L_c":-0.231405</v>
      </c>
      <c r="U63" t="str">
        <v>"thrtrna_c":-0.231405</v>
      </c>
    </row>
    <row r="64" spans="1:21" x14ac:dyDescent="0.2">
      <c r="E64" t="str">
        <v>"trnacys_c":0.005816</v>
      </c>
      <c r="M64">
        <v>-1.2586419999999999E-4</v>
      </c>
      <c r="N64" t="str">
        <v>pmtcoa_c</v>
      </c>
      <c r="P64" s="8" t="s">
        <v>2130</v>
      </c>
      <c r="Q64" s="19">
        <v>-1.0494E-2</v>
      </c>
      <c r="R64" t="str">
        <v>tre_c</v>
      </c>
      <c r="S64">
        <v>-0.137707</v>
      </c>
      <c r="T64" t="str">
        <v>"tre_c":-0.137707</v>
      </c>
      <c r="U64" t="str">
        <v>"tre_c":-0.137707</v>
      </c>
    </row>
    <row r="65" spans="5:21" x14ac:dyDescent="0.2">
      <c r="E65" t="str">
        <v>"trnagln_c":0.321557</v>
      </c>
      <c r="M65">
        <v>-8.3814857999999994E-5</v>
      </c>
      <c r="N65" t="str">
        <v>stcoa_c</v>
      </c>
      <c r="P65" s="8" t="s">
        <v>2131</v>
      </c>
      <c r="Q65" s="19">
        <v>-0.231405</v>
      </c>
      <c r="R65" t="str">
        <v>trp__L_c</v>
      </c>
      <c r="S65">
        <v>-2.7004E-2</v>
      </c>
      <c r="T65" t="str">
        <v>"trp__L_c":-0.027004</v>
      </c>
      <c r="U65" t="str">
        <v>"trptrna_c":-0.027004</v>
      </c>
    </row>
    <row r="66" spans="5:21" x14ac:dyDescent="0.2">
      <c r="E66" t="str">
        <v>"trnaglu_c":0.321557</v>
      </c>
      <c r="M66">
        <v>-3.6138776999999997E-5</v>
      </c>
      <c r="N66" t="str">
        <v>ttccoa_c</v>
      </c>
      <c r="P66" s="8" t="s">
        <v>2132</v>
      </c>
      <c r="Q66" s="19">
        <v>-0.137707</v>
      </c>
      <c r="R66" t="str">
        <v>ttccoa_c</v>
      </c>
      <c r="S66">
        <v>-1.036138777E-3</v>
      </c>
      <c r="T66" t="str">
        <v>"ttccoa_c":-0.001036138777</v>
      </c>
      <c r="U66" t="str">
        <v>"ttccoa_c":-0.001036138777</v>
      </c>
    </row>
    <row r="67" spans="5:21" x14ac:dyDescent="0.2">
      <c r="E67" t="str">
        <v>"trnahis_c":0.080182</v>
      </c>
      <c r="M67">
        <v>7.4299999999999995E-4</v>
      </c>
      <c r="N67" t="str">
        <v>coa_c</v>
      </c>
      <c r="P67" s="8" t="s">
        <v>2133</v>
      </c>
      <c r="Q67" s="19">
        <v>-2.7004E-2</v>
      </c>
      <c r="R67" t="str">
        <v>tyr__L_c</v>
      </c>
      <c r="S67">
        <v>-8.1428E-2</v>
      </c>
      <c r="T67" t="str">
        <v>"tyr__L_c":-0.081428</v>
      </c>
      <c r="U67" t="str">
        <v>"tyrtrna_c":-0.081428</v>
      </c>
    </row>
    <row r="68" spans="5:21" x14ac:dyDescent="0.2">
      <c r="E68" t="str">
        <v>"trnaile_c":0.244699</v>
      </c>
      <c r="M68">
        <v>7.4299999999999995E-4</v>
      </c>
      <c r="N68" t="str">
        <v>ffabiom_c</v>
      </c>
      <c r="P68" s="8" t="s">
        <v>2064</v>
      </c>
      <c r="Q68" s="19">
        <v>-1.036138777E-3</v>
      </c>
      <c r="R68" t="str">
        <v>utp_c</v>
      </c>
      <c r="S68">
        <v>-6.2536999999999995E-2</v>
      </c>
      <c r="T68" t="str">
        <v>"utp_c":-0.062537</v>
      </c>
      <c r="U68" t="str">
        <v>"utp_c":-0.062537</v>
      </c>
    </row>
    <row r="69" spans="5:21" x14ac:dyDescent="0.2">
      <c r="E69" t="str">
        <v>"trnaleu_c":0.332774</v>
      </c>
      <c r="M69">
        <v>7.4299999999999995E-4</v>
      </c>
      <c r="N69" t="str">
        <v>h_c</v>
      </c>
      <c r="P69" s="8" t="s">
        <v>2134</v>
      </c>
      <c r="Q69" s="19">
        <v>-8.1428E-2</v>
      </c>
      <c r="R69" t="str">
        <v>val__L_c</v>
      </c>
      <c r="S69">
        <v>-0.30452400000000002</v>
      </c>
      <c r="T69" t="str">
        <v>"val__L_c":-0.304524</v>
      </c>
      <c r="U69" t="str">
        <v>"valtrna_c":-0.304524</v>
      </c>
    </row>
    <row r="70" spans="5:21" x14ac:dyDescent="0.2">
      <c r="E70" t="str">
        <v>"trnalys_c":0.27295</v>
      </c>
      <c r="M70">
        <v>-1E-3</v>
      </c>
      <c r="N70" t="str">
        <v>hxccoa_c</v>
      </c>
      <c r="P70" s="8" t="s">
        <v>2135</v>
      </c>
      <c r="Q70" s="19">
        <v>-6.2536999999999995E-2</v>
      </c>
      <c r="R70" t="str">
        <v>zn2_c</v>
      </c>
      <c r="S70">
        <v>-1.5759999999999999E-3</v>
      </c>
      <c r="T70" t="str">
        <v>"zn2_c":-0.001576</v>
      </c>
      <c r="U70" t="str">
        <v>"zn2_c":-0.001576</v>
      </c>
    </row>
    <row r="71" spans="5:21" x14ac:dyDescent="0.2">
      <c r="E71" t="str">
        <v>"trnamet_c":0.047361</v>
      </c>
      <c r="M71">
        <v>-3.0000000000000001E-3</v>
      </c>
      <c r="N71" t="str">
        <v>nadph_c</v>
      </c>
      <c r="P71" s="8" t="s">
        <v>2136</v>
      </c>
      <c r="Q71" s="19">
        <v>-0.30452400000000002</v>
      </c>
      <c r="U71" t="str">
        <v>"trnaala_c":-0.405893</v>
      </c>
    </row>
    <row r="72" spans="5:21" x14ac:dyDescent="0.2">
      <c r="E72" t="str">
        <v>"trnaphe_c":0.156209</v>
      </c>
      <c r="M72">
        <v>-1E-3</v>
      </c>
      <c r="N72" t="str">
        <v>o2_c</v>
      </c>
      <c r="P72" s="8" t="s">
        <v>2137</v>
      </c>
      <c r="Q72" s="19">
        <v>-1.5759999999999999E-3</v>
      </c>
      <c r="U72" t="str">
        <v>"trnaarg_c":-0.160363</v>
      </c>
    </row>
    <row r="73" spans="5:21" x14ac:dyDescent="0.2">
      <c r="E73" t="str">
        <v>"trnapro_c":0.175319</v>
      </c>
      <c r="M73">
        <v>-2E-3</v>
      </c>
      <c r="N73" t="str">
        <v>pail_c</v>
      </c>
      <c r="U73" t="str">
        <v>"trnaasn_c":-0.192768</v>
      </c>
    </row>
    <row r="74" spans="5:21" x14ac:dyDescent="0.2">
      <c r="E74" t="str">
        <v>"trnaser_c":0.221434</v>
      </c>
      <c r="M74">
        <v>-2E-3</v>
      </c>
      <c r="N74" t="str">
        <v>pmtcoa_c</v>
      </c>
      <c r="U74" t="str">
        <v>"trnaasp_c":-0.192768</v>
      </c>
    </row>
    <row r="75" spans="5:21" x14ac:dyDescent="0.2">
      <c r="E75" t="str">
        <v>"trnathr_c":0.231405</v>
      </c>
      <c r="M75">
        <v>-2E-3</v>
      </c>
      <c r="N75" t="str">
        <v>ser__L_c</v>
      </c>
      <c r="U75" t="str">
        <v>"trnacys_c":-0.005816</v>
      </c>
    </row>
    <row r="76" spans="5:21" x14ac:dyDescent="0.2">
      <c r="E76" t="str">
        <v>"trnatrp_c":0.027004</v>
      </c>
      <c r="M76">
        <v>-1E-3</v>
      </c>
      <c r="N76" t="str">
        <v>ttccoa_c</v>
      </c>
      <c r="U76" t="str">
        <v>"trnagln_c":-0.321557</v>
      </c>
    </row>
    <row r="77" spans="5:21" x14ac:dyDescent="0.2">
      <c r="E77" t="str">
        <v>"trnatyr_c":0.081428</v>
      </c>
      <c r="M77">
        <v>2E-3</v>
      </c>
      <c r="N77" t="str">
        <v>co2_c</v>
      </c>
      <c r="U77" t="str">
        <v>"trnaglu_c":-0.321557</v>
      </c>
    </row>
    <row r="78" spans="5:21" x14ac:dyDescent="0.2">
      <c r="E78" t="str">
        <v>"trnaval_c":0.304524</v>
      </c>
      <c r="M78">
        <v>4.0000000000000001E-3</v>
      </c>
      <c r="N78" t="str">
        <v>coa_c</v>
      </c>
      <c r="U78" t="str">
        <v>"trnahis_c":-0.080182</v>
      </c>
    </row>
    <row r="79" spans="5:21" x14ac:dyDescent="0.2">
      <c r="M79">
        <v>2E-3</v>
      </c>
      <c r="N79" t="str">
        <v>dag_c</v>
      </c>
      <c r="U79" t="str">
        <v>"trnaile_c":-0.244699</v>
      </c>
    </row>
    <row r="80" spans="5:21" x14ac:dyDescent="0.2">
      <c r="M80">
        <v>1E-3</v>
      </c>
      <c r="N80" t="str">
        <v>h2o_c</v>
      </c>
      <c r="U80" t="str">
        <v>"trnaleu_c":-0.332774</v>
      </c>
    </row>
    <row r="81" spans="13:21" x14ac:dyDescent="0.2">
      <c r="M81">
        <v>1E-3</v>
      </c>
      <c r="N81" t="str">
        <v>h_c</v>
      </c>
      <c r="U81" t="str">
        <v>"trnalys_c":-0.27295</v>
      </c>
    </row>
    <row r="82" spans="13:21" x14ac:dyDescent="0.2">
      <c r="M82">
        <v>2E-3</v>
      </c>
      <c r="N82" t="str">
        <v>ipcbiom_c</v>
      </c>
      <c r="U82" t="str">
        <v>"trnamet_c":-0.047361</v>
      </c>
    </row>
    <row r="83" spans="13:21" x14ac:dyDescent="0.2">
      <c r="M83">
        <v>3.0000000000000001E-3</v>
      </c>
      <c r="N83" t="str">
        <v>nadp_c</v>
      </c>
      <c r="U83" t="str">
        <v>"trnaphe_c":-0.156209</v>
      </c>
    </row>
    <row r="84" spans="13:21" x14ac:dyDescent="0.2">
      <c r="U84" t="str">
        <v>"trnapro_c":-0.175319</v>
      </c>
    </row>
    <row r="85" spans="13:21" x14ac:dyDescent="0.2">
      <c r="U85" t="str">
        <v>"trnaser_c":-0.223434</v>
      </c>
    </row>
    <row r="86" spans="13:21" x14ac:dyDescent="0.2">
      <c r="U86" t="str">
        <v>"trnathr_c":-0.231405</v>
      </c>
    </row>
    <row r="87" spans="13:21" x14ac:dyDescent="0.2">
      <c r="U87" t="str">
        <v>"trnatrp_c":-0.027004</v>
      </c>
    </row>
    <row r="88" spans="13:21" x14ac:dyDescent="0.2">
      <c r="U88" t="str">
        <v>"trnatyr_c":-0.081428</v>
      </c>
    </row>
    <row r="89" spans="13:21" x14ac:dyDescent="0.2">
      <c r="U89" t="str">
        <v>"trnaval_c":-0.304524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Mooney</dc:creator>
  <cp:lastModifiedBy>Mooney, Eric James</cp:lastModifiedBy>
  <dcterms:created xsi:type="dcterms:W3CDTF">2024-03-25T19:39:28Z</dcterms:created>
  <dcterms:modified xsi:type="dcterms:W3CDTF">2024-09-06T16:33:55Z</dcterms:modified>
</cp:coreProperties>
</file>