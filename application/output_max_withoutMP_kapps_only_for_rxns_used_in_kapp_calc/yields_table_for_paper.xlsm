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jm6426/Documents/rtRBA-main/application/output_max_withoutMP_kapps_only_for_rxns_used_in_kapp_calc/"/>
    </mc:Choice>
  </mc:AlternateContent>
  <xr:revisionPtr revIDLastSave="0" documentId="13_ncr:1_{564EE222-10A5-FC49-A402-CE0B5189C6F2}" xr6:coauthVersionLast="47" xr6:coauthVersionMax="47" xr10:uidLastSave="{00000000-0000-0000-0000-000000000000}"/>
  <bookViews>
    <workbookView xWindow="15200" yWindow="920" windowWidth="14880" windowHeight="17100" activeTab="3" xr2:uid="{6C52A7FF-F534-437B-8841-5CF279F3B083}"/>
  </bookViews>
  <sheets>
    <sheet name="Sheet1" sheetId="1" r:id="rId1"/>
    <sheet name="format_example" sheetId="6" r:id="rId2"/>
    <sheet name="RT" sheetId="3" r:id="rId3"/>
    <sheet name="SC" sheetId="5" r:id="rId4"/>
    <sheet name="Sheet2" sheetId="2" r:id="rId5"/>
  </sheets>
  <definedNames>
    <definedName name="_xlop.adj" hidden="1" xlm="1">#NAME?</definedName>
    <definedName name="_xlop.delimiter" hidden="1" xlm="1">#NAME?</definedName>
    <definedName name="_xlop.match_case" hidden="1" xlm="1">#NAME?</definedName>
    <definedName name="_xlop.min_digits" hidden="1" xlm="1">#NAME?</definedName>
    <definedName name="_xlop.num_cols_dropped" hidden="1" xlm="1">#NAME?</definedName>
    <definedName name="_xlop.num_rows_dropped" hidden="1" xlm="1">#NAME?</definedName>
    <definedName name="_xlpm.adj" hidden="1" xlm="1">#NAME?</definedName>
    <definedName name="_xlpm.adjust" hidden="1" xlm="1">#NAME?</definedName>
    <definedName name="_xlpm.array" hidden="1" xlm="1">#NAME?</definedName>
    <definedName name="_xlpm.cells" hidden="1" xlm="1">#NAME?</definedName>
    <definedName name="_xlpm.col" hidden="1" xlm="1">#NAME?</definedName>
    <definedName name="_xlpm.d" hidden="1" xlm="1">#NAME?</definedName>
    <definedName name="_xlpm.default" hidden="1" xlm="1">#NAME?</definedName>
    <definedName name="_xlpm.delim" hidden="1" xlm="1">#NAME?</definedName>
    <definedName name="_xlpm.delimiter" hidden="1" xlm="1">#NAME?</definedName>
    <definedName name="_xlpm.element" hidden="1" xlm="1">#NAME?</definedName>
    <definedName name="_xlpm.match_case" hidden="1" xlm="1">#NAME?</definedName>
    <definedName name="_xlpm.min_digits" hidden="1" xlm="1">#NAME?</definedName>
    <definedName name="_xlpm.n" hidden="1" xlm="1">#NAME?</definedName>
    <definedName name="_xlpm.nmax" hidden="1" xlm="1">#NAME?</definedName>
    <definedName name="_xlpm.num_cols_dropped" hidden="1" xlm="1">#NAME?</definedName>
    <definedName name="_xlpm.num_rows_dropped" hidden="1" xlm="1">#NAME?</definedName>
    <definedName name="_xlpm.r" hidden="1" xlm="1">#NAME?</definedName>
    <definedName name="_xlpm.sortcol" hidden="1" xlm="1">#NAME?</definedName>
    <definedName name="_xlpm.str" hidden="1" xlm="1">#NAME?</definedName>
    <definedName name="_xlpm.t" hidden="1" xlm="1">#NAME?</definedName>
    <definedName name="_xlpm.value" hidden="1" xlm="1">#NAME?</definedName>
    <definedName name="_xlpm.x" hidden="1" xlm="1">#NAME?</definedName>
    <definedName name="_xlpm.y" hidden="1" xlm="1">#NAME?</definedName>
    <definedName name="Duplicates_DIY" comment="Returns all values in an array with duplicates (including duplicates) as a column. Case-sensitive by default, but set 2nd argument to false to make it case-insensitive.">_xlfn.LAMBDA(_xlpm.array,_xlop.match_case,_xlfn.LET(_xlpm.col,_xlfn.TOCOL(_xlpm.array),IF(IfBlank_DIY(_xlpm.match_case,TRUE),_xlfn._xlws.FILTER(_xlpm.col,_xlfn.BYROW(--EXACT(_xlpm.col,TRANSPOSE(_xlpm.col)),_xlfn.LAMBDA(_xlpm.r,_xlfn.XMATCH(1,_xlpm.r,0,1)&lt;&gt;_xlfn.XMATCH(1,_xlpm.r,0,-1)))),_xlfn.LET(_xlpm.x,_xlfn.UNIQUE(_xlfn.VSTACK(_xlfn.UNIQUE(_xlpm.col),_xlfn.UNIQUE(_xlpm.col,,TRUE)),,TRUE),_xlfn._xlws.FILTER(_xlpm.col,ISNUMBER(MATCH(_xlpm.col,_xlpm.x,0)),_xlpm.col)))))</definedName>
    <definedName name="ExternalData_1" localSheetId="2" hidden="1">RT!$A$1:$AA$30</definedName>
    <definedName name="ExternalData_1" localSheetId="3" hidden="1">SC!$A$1:$AG$30</definedName>
    <definedName name="IfBlank_DIY" comment="Return a default value if the input is blank.">_xlfn.LAMBDA(_xlpm.value,_xlpm.default,IF(_xlpm.value="",_xlpm.default,_xlpm.value))</definedName>
    <definedName name="IsElementOfSet_CaseInsensitive_DIY" comment="Checks if a value is an element of a set. Case-insensitive version.">_xlfn.LAMBDA(_xlpm.element,_xlpm.array,OR(_xlpm.element=_xlpm.array))</definedName>
    <definedName name="IsElementOfSet_DIY" comment="Checks if a value is an element of a set (case-sensitive).">_xlfn.LAMBDA(_xlpm.element,_xlpm.array,OR(EXACT(_xlpm.element,_xlpm.array)))</definedName>
    <definedName name="IsSubset_DIY">_xlfn.LAMBDA(_xlpm.x,_xlpm.y,AND(COUNTIF(_xlpm.y,_xlpm.x)&gt;=COUNTIF(_xlpm.x,_xlpm.x)))</definedName>
    <definedName name="LongestNumAtEnd_DIY" comment="Checks the end of a string for the longest number, including extra zeros (e.g., &quot;04&quot; in t04) unless the optional 2nd argument is set to 1 or TRUE.">_xlfn.LAMBDA(_xlpm.t,_xlop.min_digits,_xlfn.LET(_xlpm.n,RIGHT(_xlpm.t,_xlfn.SEQUENCE(LEN(_xlpm.t))),_xlpm.sortcol,IF(NOT(ISERROR(_xlfn.NUMBERVALUE(_xlpm.n)+TEXT(LEF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LongestNumAtStart_DIY" comment="Checks the start of a string for the longest number, including extra zeros (e.g., &quot;04&quot; in 04t) unless the optional 2nd argument is set to 1 or TRUE.">_xlfn.LAMBDA(_xlpm.t,_xlop.min_digits,_xlfn.LET(_xlpm.n,LEFT(_xlpm.t,_xlfn.SEQUENCE(LEN(_xlpm.t))),_xlpm.sortcol,IF(NOT(ISERROR(_xlfn.NUMBERVALUE(_xlpm.n)+TEXT(RIGH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nonblanks_DIY" comment="Returns all non-blank rows of an array.">_xlfn.LAMBDA(_xlpm.array,_xlop.num_rows_dropped,_xlop.num_cols_dropped,_xlfn.DROP(_xlfn._xlws.FILTER(_xlpm.array,NOT(ISBLANK(_xlpm.array))),IFERROR(_xlfn.NUMBERVALUE(_xlpm.num_rows_dropped),0),IFERROR(_xlfn.NUMBERVALUE(_xlpm.num_cols_dropped),0)))</definedName>
    <definedName name="TEXTBETWEEN_DIY">_xlfn.LAMBDA(_xlpm.cells,_xlpm.delim,_xlop.adj,_xlfn.LET(_xlpm.adjust,IF(_xlfn.ISOMITTED(_xlpm.adj),COLUMN()-COLUMN(_xlpm.cells),_xlpm.adj),_xlfn.IFS(_xlpm.adjust=1,_xlfn.TEXTBEFORE(_xlpm.cells,_xlpm.delim,_xlpm.adjust,,,_xlpm.cells),1=1,_xlfn.TEXTAFTER(_xlfn.TEXTBEFORE(_xlpm.cells,_xlpm.delim,_xlpm.adjust,,,_xlpm.cells),_xlpm.delim,_xlpm.adjust-1,,,_xlfn.TEXTBEFORE(_xlpm.cells,_xlpm.delim,_xlpm.adjust,,,_xlpm.cells)))))</definedName>
    <definedName name="TextSplitArray_DIY" comment="Like TEXTSPLIT but for an array; input cells and then a string to split them by. If the input array is a row, it's split vertically; otherwise, it's split horizontally.">_xlfn.LAMBDA(_xlpm.cells,_xlop.delimiter,_xlfn.LET(_xlpm.str,IfBlank_DIY(_xlpm.delimiter," "),_xlpm.n,MAX((LEN(_xlpm.cells)-LEN(SUBSTITUTE(_xlpm.cells,_xlpm.str,""))+1)/LEN(_xlpm.str)),_xlfn.TEXTBEFORE(IFERROR(_xlfn.TEXTAFTER(_xlpm.cells,_xlpm.str,IF(COLUMNS(_xlpm.cells)&gt;1,_xlfn.SEQUENCE(_xlpm.n,1,0),_xlfn.SEQUENCE(1,_xlpm.n,0)),,,""),_xlpm.cells),_xlpm.str,,,1,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6" l="1" a="1"/>
  <c r="I2" i="6" s="1"/>
  <c r="N2" i="6" a="1"/>
  <c r="N2" i="6" s="1"/>
  <c r="K2" i="6" a="1"/>
  <c r="K2" i="6" s="1"/>
  <c r="H2" i="6" a="1"/>
  <c r="H2" i="6" s="1"/>
  <c r="J2" i="6"/>
  <c r="D2" i="6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D21" i="6"/>
  <c r="D20" i="6"/>
  <c r="D19" i="6"/>
  <c r="D18" i="6"/>
  <c r="D17" i="6"/>
  <c r="D16" i="6"/>
  <c r="D15" i="6"/>
  <c r="D14" i="6"/>
  <c r="D13" i="6"/>
  <c r="D12" i="6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V3" i="1" a="1"/>
  <c r="V3" i="1" s="1"/>
  <c r="T3" i="1" a="1"/>
  <c r="T3" i="1" s="1"/>
  <c r="U3" i="1" a="1"/>
  <c r="U3" i="1" s="1"/>
  <c r="S3" i="1" a="1"/>
  <c r="S3" i="1" s="1"/>
  <c r="D29" i="1" a="1"/>
  <c r="D29" i="1" s="1"/>
  <c r="C29" i="1" a="1"/>
  <c r="C29" i="1" s="1"/>
  <c r="F5" i="1" a="1"/>
  <c r="F5" i="1" s="1"/>
  <c r="E5" i="1" a="1"/>
  <c r="E5" i="1" s="1"/>
  <c r="D10" i="6" l="1"/>
  <c r="D3" i="6"/>
  <c r="D8" i="6"/>
  <c r="D11" i="6"/>
  <c r="D4" i="6"/>
  <c r="D5" i="6"/>
  <c r="D6" i="6"/>
  <c r="D7" i="6"/>
  <c r="D9" i="6"/>
  <c r="K29" i="1" a="1"/>
  <c r="K29" i="1" s="1"/>
  <c r="D5" i="1" a="1"/>
  <c r="D5" i="1" s="1"/>
  <c r="C5" i="1" a="1"/>
  <c r="C5" i="1" s="1"/>
  <c r="H5" i="1" s="1" a="1"/>
  <c r="H5" i="1" s="1"/>
  <c r="I5" i="1" l="1" a="1"/>
  <c r="I5" i="1" s="1"/>
  <c r="J5" i="1" s="1" a="1"/>
  <c r="J5" i="1" s="1"/>
  <c r="M5" i="1" a="1"/>
  <c r="M5" i="1" s="1"/>
  <c r="K5" i="1" a="1"/>
  <c r="K5" i="1" s="1"/>
  <c r="L5" i="1" a="1"/>
  <c r="L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90EE83-3C75-A44F-9692-8A5FF7457A98}" keepAlive="1" name="Query - compiled_results (2)" description="Connection to the 'compiled_results (2)' query in the workbook." type="5" refreshedVersion="8" background="1" saveData="1">
    <dbPr connection="Provider=Microsoft.Mashup.OleDb.1;Data Source=$Workbook$;Location=&quot;compiled_results (2)&quot;;Extended Properties=&quot;&quot;" command="SELECT * FROM [compiled_results (2)]"/>
  </connection>
  <connection id="2" xr16:uid="{0481F7C7-757F-AD45-8299-F2E06693FED9}" keepAlive="1" name="Query - compiled_results (3)" description="Connection to the 'compiled_results (3)' query in the workbook." type="5" refreshedVersion="8" background="1" saveData="1">
    <dbPr connection="Provider=Microsoft.Mashup.OleDb.1;Data Source=$Workbook$;Location=&quot;compiled_results (3)&quot;;Extended Properties=&quot;&quot;" command="SELECT * FROM [compiled_results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<sst xmlns="http://schemas.openxmlformats.org/spreadsheetml/2006/main" count="928" uniqueCount="153">
  <si>
    <t>RT</t>
  </si>
  <si>
    <r>
      <t>SC</t>
    </r>
    <r>
      <rPr>
        <b/>
        <vertAlign val="superscript"/>
        <sz val="12"/>
        <color rgb="FFFF0000"/>
        <rFont val="Times New Roman"/>
        <family val="1"/>
      </rPr>
      <t>a</t>
    </r>
  </si>
  <si>
    <t>Name</t>
  </si>
  <si>
    <t>FBA</t>
  </si>
  <si>
    <t>RBA</t>
  </si>
  <si>
    <t>1,3-Propanediol</t>
  </si>
  <si>
    <t>2-Phenylethanol</t>
  </si>
  <si>
    <t>3-Hydroxypropionic acid</t>
  </si>
  <si>
    <t>p-Hydroxybenzoate</t>
  </si>
  <si>
    <t>Artermisinic acid</t>
  </si>
  <si>
    <t>(2R,3R)-Butanediol</t>
  </si>
  <si>
    <t>n-Butanol</t>
  </si>
  <si>
    <t>Citramalate</t>
  </si>
  <si>
    <t>p-Coumaric acid</t>
  </si>
  <si>
    <t>Hexadecanoic acid</t>
  </si>
  <si>
    <t>Hexadecanol</t>
  </si>
  <si>
    <t>Isobutanol</t>
  </si>
  <si>
    <t>L-Lactate</t>
  </si>
  <si>
    <t>cis,cis-Muconate</t>
  </si>
  <si>
    <t>(2S)-Naringenin</t>
  </si>
  <si>
    <t>Polyhydroxybutyrate</t>
  </si>
  <si>
    <t>Reticuline</t>
  </si>
  <si>
    <t>Resveratrol</t>
  </si>
  <si>
    <t>Sesquiterpenes</t>
  </si>
  <si>
    <r>
      <t>Shikimate</t>
    </r>
    <r>
      <rPr>
        <b/>
        <vertAlign val="superscript"/>
        <sz val="12"/>
        <color rgb="FFFF0000"/>
        <rFont val="Times New Roman"/>
        <family val="1"/>
      </rPr>
      <t>b</t>
    </r>
  </si>
  <si>
    <t>Styrene</t>
  </si>
  <si>
    <r>
      <t> </t>
    </r>
    <r>
      <rPr>
        <sz val="10"/>
        <color theme="1"/>
        <rFont val="Times New Roman"/>
        <family val="1"/>
      </rPr>
      <t>Maintain same number of significant figures</t>
    </r>
  </si>
  <si>
    <t>product</t>
  </si>
  <si>
    <t>name</t>
  </si>
  <si>
    <t>precursor</t>
  </si>
  <si>
    <t>MW (g/mol)</t>
  </si>
  <si>
    <t>rateFBA</t>
  </si>
  <si>
    <t>yieldFBA</t>
  </si>
  <si>
    <t>vCarbonSourcesFBA</t>
  </si>
  <si>
    <t>rateRBA</t>
  </si>
  <si>
    <t>yieldRBA</t>
  </si>
  <si>
    <t>vCarbonSourcesRBA</t>
  </si>
  <si>
    <t>yRBA/yFBA</t>
  </si>
  <si>
    <t>yieldExp_LB_(g/g_substrate)</t>
  </si>
  <si>
    <t>yieldExp_UB_(g/g_substrate)</t>
  </si>
  <si>
    <t>SimulationSettings</t>
  </si>
  <si>
    <t>yieldEXP_conditions</t>
  </si>
  <si>
    <t>yieldExp_ref</t>
  </si>
  <si>
    <t>fluxExp_LB_(mmol product/(gDW*h))</t>
  </si>
  <si>
    <t>fluxExp_UB_(mmol product/(gDW*h))</t>
  </si>
  <si>
    <t>Column1</t>
  </si>
  <si>
    <t>vCarbonSources</t>
  </si>
  <si>
    <t>RBA: vCarbonSources</t>
  </si>
  <si>
    <t>carbonSlack</t>
  </si>
  <si>
    <t>RBA: carbonSlack</t>
  </si>
  <si>
    <t>vprod</t>
  </si>
  <si>
    <t>RBA: vprod</t>
  </si>
  <si>
    <t>yield</t>
  </si>
  <si>
    <t>RBA: yield</t>
  </si>
  <si>
    <t>13ppd</t>
  </si>
  <si>
    <t>Glycerol</t>
  </si>
  <si>
    <t/>
  </si>
  <si>
    <t>2phetoh</t>
  </si>
  <si>
    <t>L-Phenylalanine</t>
  </si>
  <si>
    <t>3hppa</t>
  </si>
  <si>
    <t>Malonyl-CoA</t>
  </si>
  <si>
    <t>3hppb</t>
  </si>
  <si>
    <t>L-Alanine</t>
  </si>
  <si>
    <t>4hbz</t>
  </si>
  <si>
    <t>Chorismate</t>
  </si>
  <si>
    <t>arte</t>
  </si>
  <si>
    <t>Farnesyl diphosphate</t>
  </si>
  <si>
    <t>btd</t>
  </si>
  <si>
    <t>Pyruvate</t>
  </si>
  <si>
    <t>btoh</t>
  </si>
  <si>
    <t>Threonine or (acetyl-CoA and pyruvate)</t>
  </si>
  <si>
    <t>citm</t>
  </si>
  <si>
    <t>Acetyl-CoA and pyruvate</t>
  </si>
  <si>
    <t>cou</t>
  </si>
  <si>
    <t>L-Tyrosine</t>
  </si>
  <si>
    <t>hdca</t>
  </si>
  <si>
    <t>Fatty acyl-CoA</t>
  </si>
  <si>
    <t>hxdcol</t>
  </si>
  <si>
    <t>ibutoh</t>
  </si>
  <si>
    <t>lac__L</t>
  </si>
  <si>
    <t>muco</t>
  </si>
  <si>
    <t>3-Dehydroshikimate</t>
  </si>
  <si>
    <t>nrgn</t>
  </si>
  <si>
    <t>Tyrosine and malonyl-CoA</t>
  </si>
  <si>
    <t>odealc</t>
  </si>
  <si>
    <t>oleyl alcohol</t>
  </si>
  <si>
    <t>oleoyl-CoA</t>
  </si>
  <si>
    <t>media:reset;c_sources:EX_sucr_e;media:reset;c_sources:EX_sucr_e;EX_sucr_e:(-0.332925,1000);EX_k_e:(-0.1,1000);EX_nh4_e:(-0.09,1000);EX_ca2_e:(-0.002844,1000);EX_mg2_e:(-0.004689,1000);EX_pi_e:(-0.01,1000);EX_no3_e:(-0.003217,1000);EX_cl_e:(-0.00643,1000);EX_so4_e:(-0.002,1000);EX_h_e:(-1000,1000);EX_h2o_e:(-1000,1000);EX_btn_c:(-0.01,1000);EX_o2_e:(-26.25403530509562,1000);EX_co2_e:(0,1000);EX_thm_e:(-1000,1000);EX_ribflv_e:(-1000,1000);EX_nac_e:(-1000,1000);EX_pydxn_e:(-1000,1000);EX_fol_e:(-1000,1000);EX_pnto__R_e:(-1000,1000);EX_4abz_e:(-1000,1000);EX_cu2_e:(-1000,1000);EX_fe2_e:(-1000,1000);EX_fe3_e:(-1000,1000);EX_mn2_e:(-1000,1000);EX_na1_e:(-1000,1000);EX_ni2_e:(-1000,1000);EX_zn2_e:(-1000,1000);EX_cobalt2_e:(-1000,1000);EX_inost_e:(-1000,1000);EX_asp__L_e:(-0.00046,1000);EX_thr__L_e:(-0.000276,1000);EX_ser__L_e:(-0.000334,1000);EX_glu__L_e:(-0.001013,1000);EX_gly_e:(-0.000747,1000);EX_tyr__L_e:(-0.000094,1000);EX_lys__L_e:(-0.000216,1000);EX_arg__L_e:(-0.000236,1000);EX_trp__L_e:(-0.000023,1000);EX_chol_e:(-0.090319,1000);EX_ala__L_e:(-0.001179,1000);EX_val__L_e:(-0.000463,1000);EX_met__L_e:(-0.000132,1000);EX_ile__L_e:(-0.000253,1000);EX_leu__L_e:(-0.000709,1000);EX_phe__L_e:(-0.000229,1000);EX_his__L_e:(-0.000205,1000);EX_pro__L_e:(-0.000761,1000);BIOMASS:(0.0133333333333333,1000)</t>
  </si>
  <si>
    <t>Fed-batch; 2L; 40 g/L after 24 h; pH 5.0; sucrose as substrate</t>
  </si>
  <si>
    <t>https://www.ncbi.nlm.nih.gov/pmc/articles/PMC4607723/</t>
  </si>
  <si>
    <t>Rounded up trace element uptakes to account for contributions from seed cultures, until yields could be replicated</t>
  </si>
  <si>
    <t>pmtalc</t>
  </si>
  <si>
    <t>palmityl alcohol</t>
  </si>
  <si>
    <t>palmitoyl-CoA</t>
  </si>
  <si>
    <t>polyhb</t>
  </si>
  <si>
    <t>Acetoacetyl-CoA</t>
  </si>
  <si>
    <t>retcln</t>
  </si>
  <si>
    <t>L-Tyrosine and L-phenylalanine</t>
  </si>
  <si>
    <t>rsvtol</t>
  </si>
  <si>
    <t>L-Tyrosine and malonyl-CoA</t>
  </si>
  <si>
    <t>sesqt</t>
  </si>
  <si>
    <t>skm</t>
  </si>
  <si>
    <t>Shikimate</t>
  </si>
  <si>
    <t>stalc</t>
  </si>
  <si>
    <t>stearyl alcohol</t>
  </si>
  <si>
    <t>stearoyl-CoA</t>
  </si>
  <si>
    <t>styr</t>
  </si>
  <si>
    <t>tag</t>
  </si>
  <si>
    <t>Triacylglycerol</t>
  </si>
  <si>
    <t>c_sources:EX_glc__D_e;BIOMASS:(0.009615384615,0.14);EX_glc__D_e:(-2.20113372715757,1000);EX_nh4_e:(-0.181824845165991,1000);EX_o2_e:(-26.25403530509562,1000)</t>
  </si>
  <si>
    <t>Strain CBS 14; minimal media; N limitation; max growth of 0.14/h; sugar went from 40.8 ± 0.3 to 3.19 ± 0.81 g/l (cultivated in 0.5 l)</t>
  </si>
  <si>
    <t>https://link.springer.com/article/10.1186/s13068-019-1478-8</t>
  </si>
  <si>
    <t>tal</t>
  </si>
  <si>
    <t>triacetic acid lactone</t>
  </si>
  <si>
    <t>Acetyl-CoA and Malonyl-CoA</t>
  </si>
  <si>
    <t>c_sources:EX_xyl__D_e,EX_glc__D_e;EX_xyl__D_e:(-0.0266525306904169,-0.0266525306904169);EX_glc__D_e:(-0.0518243652313661,-0.0518243652313661);BIOMASS:(0,0.0138888888888889);BiomassKim_e:(0,0);EX_btn_c:(0,0.02);ATPM_c:(0,1000);EX_4abz_e:(-1000,1000);EX_fe3_e:(-1000,1000);EX_fol_e:(-1000,1000);EX_inost_e:(-1000,1000);EX_nac_e:(-1000,1000);EX_pnto__R_e:(-1000,1000);EX_pydxn_e:(-1000,1000);EX_ribflv_e:(-1000,1000);EX_thm_e:(-1000,1000);EX_o2_e:(-26.25403530509562,1000)</t>
  </si>
  <si>
    <t>Strain IFO0880 with genetic modifications made to allow TAL production; grown using glucose. UB is theoretical maximum yield, while LB is observed yield at 95 h. Use biomass from RT_IFO0880 model (Kim et al. (2020)), to provide data based on similar conditions.</t>
  </si>
  <si>
    <t>https://analyticalsciencejournals.onlinelibrary.wiley.com/doi/full/10.1002/bit.28159</t>
  </si>
  <si>
    <t>etoh</t>
  </si>
  <si>
    <t>Ethanol</t>
  </si>
  <si>
    <t>succ</t>
  </si>
  <si>
    <t>Succinate</t>
  </si>
  <si>
    <t>mal__L</t>
  </si>
  <si>
    <t>Malate</t>
  </si>
  <si>
    <t>4abz</t>
  </si>
  <si>
    <t>p-Aminobenzoate</t>
  </si>
  <si>
    <t>glyc</t>
  </si>
  <si>
    <t>Exp.</t>
  </si>
  <si>
    <t>0.027 [8]</t>
  </si>
  <si>
    <t>-</t>
  </si>
  <si>
    <t>0.004 [8]</t>
  </si>
  <si>
    <t>0.006 [8]</t>
  </si>
  <si>
    <r>
      <t>Triacylglycerols</t>
    </r>
    <r>
      <rPr>
        <b/>
        <vertAlign val="superscript"/>
        <sz val="12"/>
        <color rgb="FF000000"/>
        <rFont val="Times New Roman"/>
        <family val="1"/>
      </rPr>
      <t>b</t>
    </r>
    <r>
      <rPr>
        <b/>
        <sz val="12"/>
        <color rgb="FF000000"/>
        <rFont val="Times New Roman"/>
        <family val="1"/>
      </rPr>
      <t xml:space="preserve"> (TAGs)</t>
    </r>
  </si>
  <si>
    <r>
      <t>0.129</t>
    </r>
    <r>
      <rPr>
        <vertAlign val="superscript"/>
        <sz val="12"/>
        <color rgb="FF000000"/>
        <rFont val="Times New Roman"/>
        <family val="1"/>
      </rPr>
      <t>c</t>
    </r>
  </si>
  <si>
    <t>RT/SC</t>
  </si>
  <si>
    <t>RBA/FBA</t>
  </si>
  <si>
    <t>mention most noteworthy cases in paper</t>
  </si>
  <si>
    <t>differences below may just be rounding errors.</t>
  </si>
  <si>
    <t>SC yields</t>
  </si>
  <si>
    <t>yield on minimal media at 1.0% exp. growth</t>
  </si>
  <si>
    <t>FBA: yield on minimal media at 1.0% exp. growth</t>
  </si>
  <si>
    <t>yield on minimal media at 0.0% exp. growth</t>
  </si>
  <si>
    <t>FBA: yield on minimal media at 0.0% exp. growth</t>
  </si>
  <si>
    <t>RBA: yield on minimal media at 1.0% exp. growth</t>
  </si>
  <si>
    <t>RBA: yield on minimal media at 0.0% exp. growth</t>
  </si>
  <si>
    <t>media:reset;c_sources:EX_sucr_e;media:reset;c_sources:EX_sucr_e;EX_sucr_e:(-0.332925,1000);EX_k_e:(-0.1,1000);EX_nh4_e:(-0.09,1000);EX_ca2_e:(-0.002844,1000);EX_mg2_e:(-0.004689,1000);EX_pi_e:(-0.01,1000);EX_no3_e:(-0.003217,1000);EX_cl_e:(-0.00643,1000);EX_so4_e:(-0.002,1000);EX_h_e:(-1000,1000);EX_h2o_e:(-1000,1000);EX_btn_c:(-0.01,1000);EX_o2_e:(-26.25403530509562,1000);EX_co2_e:(0,1000);EX_thm_e:(-1000,1000);EX_ribflv_e:(-1000,1000);EX_nac_e:(-1000,1000);EX_pydxn_e:(-1000,1000);EX_fol_e:(-1000,1000);EX_pnto__R_e:(-1000,1000);EX_4abz_e:(-1000,1000);EX_cu2_e:(-1000,1000);EX_fe2_e:(-1000,1000);EX_fe3_e:(-1000,1000);EX_mn2_e:(-1000,1000);EX_na1_e:(-1000,1000);EX_ni2_e:(-1000,1000);EX_zn2_e:(-1000,1000);EX_cobalt2_e:(-1000,1000);EX_inost_e:(-1000,1000);EX_asp__L_e:(-0.00046,1000);EX_thr__L_e:(-0.000276,1000);EX_ser__L_e:(-0.000334,1000);EX_glu__L_e:(-0.001013,1000);EX_gly_e:(-0.000747,1000);EX_tyr__L_e:(-0.000094,1000);EX_lys__L_e:(-0.000216,1000);EX_arg__L_e:(-0.000236,1000);EX_trp__L_e:(-0.000023,1000);EX_chol_e:(-0.090319,1000);EX_ala__L_e:(-0.001179,1000);EX_val__L_e:(-0.000463,1000);EX_met__L_e:(-0.000132,1000);EX_ile__L_e:(-0.000253,1000);EX_leu__L_e:(-0.000709,1000);EX_phe__L_e:(-0.000229,1000);EX_his__L_e:(-0.000205,1000);EX_pro__L_e:(-0.000761,1000);BIOMASS_AERO_SC_hvd:(0.0133333333333333,1000)</t>
  </si>
  <si>
    <t>c_sources:EX_glc__D_e;BIOMASS_AERO_SC_hvd:(0.009615384615,0.14);EX_glc__D_e:(-2.20113372715757,1000);EX_nh4_e:(-0.181824845165991,1000);EX_o2_e:(-26.25403530509562,1000)</t>
  </si>
  <si>
    <t>c_sources:EX_xyl__D_e,EX_glc__D_e;EX_xyl__D_e:(-0.0266525306904169,-0.0266525306904169);EX_glc__D_e:(-0.0518243652313661,-0.0518243652313661);BIOMASS_AERO_SC_hvd:(0,0.0138888888888889);BiomassKim_e:(0,0);EX_btn_c:(0,0.02);ATPM_c:(0,1000);EX_4abz_e:(-1000,1000);EX_fe3_e:(-1000,1000);EX_fol_e:(-1000,1000);EX_inost_e:(-1000,1000);EX_nac_e:(-1000,1000);EX_pnto__R_e:(-1000,1000);EX_pydxn_e:(-1000,1000);EX_ribflv_e:(-1000,1000);EX_thm_e:(-1000,1000);EX_o2_e:(-26.25403530509562,1000)</t>
  </si>
  <si>
    <t>SC yields (rerun)</t>
  </si>
  <si>
    <t>(old-new)/old</t>
  </si>
  <si>
    <t>Artemisinic acid</t>
  </si>
  <si>
    <t>l-Lactate</t>
  </si>
  <si>
    <r>
      <t>Shikimate</t>
    </r>
    <r>
      <rPr>
        <b/>
        <vertAlign val="superscript"/>
        <sz val="12"/>
        <color theme="1"/>
        <rFont val="Times New Roman"/>
        <family val="1"/>
      </rPr>
      <t>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</si>
</sst>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17" x14ac:knownFonts="1">
    <font>
      <sz val="11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b/>
      <vertAlign val="superscript"/>
      <sz val="12"/>
      <color rgb="FFFF0000"/>
      <name val="Times New Roman"/>
      <family val="1"/>
    </font>
    <font>
      <sz val="12"/>
      <color rgb="FFFF0000"/>
      <name val="Times New Roman"/>
      <family val="1"/>
    </font>
    <font>
      <sz val="8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Calibri"/>
      <family val="2"/>
      <charset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b/>
      <vertAlign val="superscript"/>
      <sz val="12"/>
      <color rgb="FF000000"/>
      <name val="Times New Roman"/>
      <family val="1"/>
    </font>
    <font>
      <vertAlign val="superscript"/>
      <sz val="12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vertAlign val="superscript"/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7F7F7F"/>
      </top>
      <bottom style="medium">
        <color rgb="FF7F7F7F"/>
      </bottom>
      <diagonal/>
    </border>
    <border>
      <left/>
      <right/>
      <top/>
      <bottom style="medium">
        <color rgb="FF7F7F7F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36">
    <xf numFmtId="0" fontId="0" fillId="0" borderId="0" xfId="0"/>
    <xf numFmtId="0" fontId="0" fillId="0" borderId="1" xfId="0" applyBorder="1" applyAlignment="1">
      <alignment vertical="top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2" borderId="0" xfId="0" applyFont="1" applyFill="1"/>
    <xf numFmtId="0" fontId="6" fillId="0" borderId="0" xfId="0" applyFont="1"/>
    <xf numFmtId="0" fontId="6" fillId="2" borderId="4" xfId="0" applyFont="1" applyFill="1" applyBorder="1"/>
    <xf numFmtId="164" fontId="3" fillId="0" borderId="0" xfId="0" applyNumberFormat="1" applyFont="1" applyAlignment="1">
      <alignment horizontal="left" vertical="center"/>
    </xf>
    <xf numFmtId="164" fontId="3" fillId="0" borderId="1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11" fillId="0" borderId="2" xfId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1" fillId="0" borderId="0" xfId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1" fillId="0" borderId="1" xfId="1" applyBorder="1" applyAlignment="1">
      <alignment horizontal="left" vertical="center"/>
    </xf>
    <xf numFmtId="0" fontId="0" fillId="0" borderId="3" xfId="0" applyBorder="1"/>
    <xf numFmtId="0" fontId="0" fillId="3" borderId="0" xfId="0" applyFill="1"/>
    <xf numFmtId="0" fontId="3" fillId="0" borderId="0" xfId="0" applyFont="1" applyAlignment="1">
      <alignment horizontal="left" vertical="center"/>
    </xf>
    <xf numFmtId="0" fontId="12" fillId="0" borderId="0" xfId="0" applyFont="1"/>
    <xf numFmtId="0" fontId="15" fillId="0" borderId="2" xfId="0" applyFont="1" applyBorder="1" applyAlignment="1">
      <alignment horizontal="left" vertical="center"/>
    </xf>
    <xf numFmtId="0" fontId="14" fillId="0" borderId="2" xfId="0" applyFont="1" applyBorder="1" applyAlignment="1">
      <alignment horizontal="left" vertical="center"/>
    </xf>
    <xf numFmtId="9" fontId="14" fillId="0" borderId="2" xfId="2" applyFont="1" applyBorder="1" applyAlignment="1">
      <alignment horizontal="left" vertical="center"/>
    </xf>
    <xf numFmtId="164" fontId="0" fillId="0" borderId="0" xfId="0" applyNumberFormat="1"/>
    <xf numFmtId="0" fontId="15" fillId="0" borderId="0" xfId="0" applyFont="1" applyAlignment="1">
      <alignment horizontal="left" vertical="top"/>
    </xf>
    <xf numFmtId="164" fontId="14" fillId="0" borderId="0" xfId="0" applyNumberFormat="1" applyFont="1" applyAlignment="1">
      <alignment horizontal="left" vertical="top"/>
    </xf>
    <xf numFmtId="164" fontId="3" fillId="0" borderId="0" xfId="0" applyNumberFormat="1" applyFont="1" applyAlignment="1">
      <alignment horizontal="left" vertical="top"/>
    </xf>
    <xf numFmtId="165" fontId="3" fillId="0" borderId="0" xfId="2" applyNumberFormat="1" applyFont="1" applyAlignment="1">
      <alignment horizontal="left" vertical="top"/>
    </xf>
    <xf numFmtId="0" fontId="15" fillId="0" borderId="2" xfId="0" applyFont="1" applyBorder="1" applyAlignment="1">
      <alignment horizontal="left" vertical="top"/>
    </xf>
    <xf numFmtId="164" fontId="14" fillId="0" borderId="2" xfId="0" applyNumberFormat="1" applyFont="1" applyBorder="1" applyAlignment="1">
      <alignment horizontal="left" vertical="top"/>
    </xf>
    <xf numFmtId="165" fontId="0" fillId="0" borderId="0" xfId="0" applyNumberFormat="1"/>
  </cellXfs>
  <cellStyles count="3">
    <cellStyle name="Hyperlink" xfId="1" builtinId="8"/>
    <cellStyle name="Normal" xfId="0" builtinId="0"/>
    <cellStyle name="Percent" xfId="2" builtinId="5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u/>
      </font>
      <border>
        <left/>
        <right/>
        <top/>
        <bottom/>
      </border>
    </dxf>
    <dxf>
      <font>
        <u/>
      </font>
      <border>
        <left/>
        <right/>
        <top/>
        <bottom/>
      </border>
    </dxf>
    <dxf>
      <font>
        <u/>
      </font>
      <border>
        <left/>
        <right/>
        <top style="thin">
          <color rgb="FF7F7F7F"/>
        </top>
        <bottom style="thin">
          <color rgb="FF7F7F7F"/>
        </bottom>
      </border>
    </dxf>
    <dxf>
      <font>
        <u/>
      </font>
      <border>
        <left/>
        <right/>
        <top style="thin">
          <color rgb="FF7F7F7F"/>
        </top>
        <bottom style="thin">
          <color rgb="FF7F7F7F"/>
        </bottom>
      </border>
    </dxf>
  </dxfs>
  <tableStyles count="0" defaultTableStyle="TableStyleLight15" defaultPivotStyle="PivotStyleLight16"/>
  <colors>
    <mruColors>
      <color rgb="FF7F7F7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95C7A51-594A-9944-8EF8-0576633C00DE}" autoFormatId="16" applyNumberFormats="0" applyBorderFormats="0" applyFontFormats="0" applyPatternFormats="0" applyAlignmentFormats="0" applyWidthHeightFormats="0">
  <queryTableRefresh nextId="28">
    <queryTableFields count="27">
      <queryTableField id="1" name="product" tableColumnId="1"/>
      <queryTableField id="2" name="name" tableColumnId="2"/>
      <queryTableField id="3" name="precursor" tableColumnId="3"/>
      <queryTableField id="4" name="MW (g/mol)" tableColumnId="4"/>
      <queryTableField id="5" name="rateFBA" tableColumnId="5"/>
      <queryTableField id="6" name="yieldFBA" tableColumnId="6"/>
      <queryTableField id="7" name="vCarbonSourcesFBA" tableColumnId="7"/>
      <queryTableField id="8" name="rateRBA" tableColumnId="8"/>
      <queryTableField id="9" name="yieldRBA" tableColumnId="9"/>
      <queryTableField id="10" name="vCarbonSourcesRBA" tableColumnId="10"/>
      <queryTableField id="11" name="yRBA/yFBA" tableColumnId="11"/>
      <queryTableField id="12" name="yieldExp_LB_(g/g_substrate)" tableColumnId="12"/>
      <queryTableField id="13" name="yieldExp_UB_(g/g_substrate)" tableColumnId="13"/>
      <queryTableField id="14" name="SimulationSettings" tableColumnId="14"/>
      <queryTableField id="15" name="yieldEXP_conditions" tableColumnId="15"/>
      <queryTableField id="16" name="yieldExp_ref" tableColumnId="16"/>
      <queryTableField id="17" name="fluxExp_LB_(mmol product/(gDW*h))" tableColumnId="17"/>
      <queryTableField id="18" name="fluxExp_UB_(mmol product/(gDW*h))" tableColumnId="18"/>
      <queryTableField id="19" name="Column1" tableColumnId="19"/>
      <queryTableField id="20" name="vCarbonSources" tableColumnId="20"/>
      <queryTableField id="21" name="RBA: vCarbonSources" tableColumnId="21"/>
      <queryTableField id="22" name="carbonSlack" tableColumnId="22"/>
      <queryTableField id="23" name="RBA: carbonSlack" tableColumnId="23"/>
      <queryTableField id="24" name="vprod" tableColumnId="24"/>
      <queryTableField id="25" name="RBA: vprod" tableColumnId="25"/>
      <queryTableField id="26" name="yield" tableColumnId="26"/>
      <queryTableField id="27" name="RBA: yield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BD3FAB5-E3CB-7242-9716-663078FF26A7}" autoFormatId="16" applyNumberFormats="0" applyBorderFormats="0" applyFontFormats="0" applyPatternFormats="0" applyAlignmentFormats="0" applyWidthHeightFormats="0">
  <queryTableRefresh nextId="34">
    <queryTableFields count="33">
      <queryTableField id="1" name="product" tableColumnId="1"/>
      <queryTableField id="2" name="name" tableColumnId="2"/>
      <queryTableField id="3" name="precursor" tableColumnId="3"/>
      <queryTableField id="4" name="MW (g/mol)" tableColumnId="4"/>
      <queryTableField id="5" name="rateFBA" tableColumnId="5"/>
      <queryTableField id="6" name="yieldFBA" tableColumnId="6"/>
      <queryTableField id="7" name="vCarbonSourcesFBA" tableColumnId="7"/>
      <queryTableField id="8" name="rateRBA" tableColumnId="8"/>
      <queryTableField id="9" name="yieldRBA" tableColumnId="9"/>
      <queryTableField id="10" name="vCarbonSourcesRBA" tableColumnId="10"/>
      <queryTableField id="11" name="yRBA/yFBA" tableColumnId="11"/>
      <queryTableField id="12" name="yieldExp_LB_(g/g_substrate)" tableColumnId="12"/>
      <queryTableField id="13" name="yieldExp_UB_(g/g_substrate)" tableColumnId="13"/>
      <queryTableField id="14" name="SimulationSettings" tableColumnId="14"/>
      <queryTableField id="15" name="yieldEXP_conditions" tableColumnId="15"/>
      <queryTableField id="16" name="yieldExp_ref" tableColumnId="16"/>
      <queryTableField id="17" name="fluxExp_LB_(mmol product/(gDW*h))" tableColumnId="17"/>
      <queryTableField id="18" name="fluxExp_UB_(mmol product/(gDW*h))" tableColumnId="18"/>
      <queryTableField id="19" name="Column1" tableColumnId="19"/>
      <queryTableField id="20" name="vCarbonSources" tableColumnId="20"/>
      <queryTableField id="21" name="RBA: vCarbonSources" tableColumnId="21"/>
      <queryTableField id="22" name="carbonSlack" tableColumnId="22"/>
      <queryTableField id="23" name="RBA: carbonSlack" tableColumnId="23"/>
      <queryTableField id="24" name="vprod" tableColumnId="24"/>
      <queryTableField id="25" name="RBA: vprod" tableColumnId="25"/>
      <queryTableField id="26" name="yield" tableColumnId="26"/>
      <queryTableField id="27" name="RBA: yield" tableColumnId="27"/>
      <queryTableField id="28" name="yield on minimal media at 1.0% exp. growth" tableColumnId="28"/>
      <queryTableField id="29" name="FBA: yield on minimal media at 1.0% exp. growth" tableColumnId="29"/>
      <queryTableField id="30" name="yield on minimal media at 0.0% exp. growth" tableColumnId="30"/>
      <queryTableField id="31" name="FBA: yield on minimal media at 0.0% exp. growth" tableColumnId="31"/>
      <queryTableField id="32" name="RBA: yield on minimal media at 1.0% exp. growth" tableColumnId="32"/>
      <queryTableField id="33" name="RBA: yield on minimal media at 0.0% exp. growth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1DF49B-3BC1-8B42-8E36-D62434824D0A}" name="RT_compiled_results__2" displayName="RT_compiled_results__2" ref="A1:AA30" tableType="queryTable" totalsRowShown="0">
  <autoFilter ref="A1:AA30" xr:uid="{6D1DF49B-3BC1-8B42-8E36-D62434824D0A}"/>
  <tableColumns count="27">
    <tableColumn id="1" xr3:uid="{B258B6F5-68E8-6D43-A9C0-244AE0BCE87E}" uniqueName="1" name="product" queryTableFieldId="1" dataDxfId="23"/>
    <tableColumn id="2" xr3:uid="{4F22BF42-6A71-5743-8632-D43D72F3C187}" uniqueName="2" name="name" queryTableFieldId="2" dataDxfId="22"/>
    <tableColumn id="3" xr3:uid="{E6D3B930-9467-F547-BD52-68F5866FD0F2}" uniqueName="3" name="precursor" queryTableFieldId="3" dataDxfId="21"/>
    <tableColumn id="4" xr3:uid="{426E6D0F-6374-FD42-A28F-96F4DDA55615}" uniqueName="4" name="MW (g/mol)" queryTableFieldId="4"/>
    <tableColumn id="5" xr3:uid="{B45BCE21-D1B5-6A41-BCAE-1D287D52BD9F}" uniqueName="5" name="rateFBA" queryTableFieldId="5"/>
    <tableColumn id="6" xr3:uid="{858FC297-FE32-9246-B420-8AEBE6DE340F}" uniqueName="6" name="yieldFBA" queryTableFieldId="6"/>
    <tableColumn id="7" xr3:uid="{12DCFE53-0D4B-5B46-95B5-805F1B7C089B}" uniqueName="7" name="vCarbonSourcesFBA" queryTableFieldId="7"/>
    <tableColumn id="8" xr3:uid="{F7B8B328-6C8F-474C-8E17-743847B5C340}" uniqueName="8" name="rateRBA" queryTableFieldId="8"/>
    <tableColumn id="9" xr3:uid="{1966EB50-E817-154C-8BA7-C59AC3E6848B}" uniqueName="9" name="yieldRBA" queryTableFieldId="9"/>
    <tableColumn id="10" xr3:uid="{11A72482-CFAC-A54F-90C6-C911F8AEBDEA}" uniqueName="10" name="vCarbonSourcesRBA" queryTableFieldId="10"/>
    <tableColumn id="11" xr3:uid="{745E0DFA-8080-D048-8249-D1F49FDBDB05}" uniqueName="11" name="yRBA/yFBA" queryTableFieldId="11"/>
    <tableColumn id="12" xr3:uid="{98736ADD-B4AC-1248-8291-447B5BAECB8F}" uniqueName="12" name="yieldExp_LB_(g/g_substrate)" queryTableFieldId="12"/>
    <tableColumn id="13" xr3:uid="{0407F3DD-7515-EE43-A8B5-7AB3F3005B02}" uniqueName="13" name="yieldExp_UB_(g/g_substrate)" queryTableFieldId="13"/>
    <tableColumn id="14" xr3:uid="{8B4EF169-228E-D84A-BDBB-336E75518325}" uniqueName="14" name="SimulationSettings" queryTableFieldId="14" dataDxfId="20"/>
    <tableColumn id="15" xr3:uid="{1F53713D-D301-524C-9BEA-69BDE2667B2E}" uniqueName="15" name="yieldEXP_conditions" queryTableFieldId="15" dataDxfId="19"/>
    <tableColumn id="16" xr3:uid="{EB51FA38-ABA1-3443-8ECC-B18FB1AECEBF}" uniqueName="16" name="yieldExp_ref" queryTableFieldId="16" dataDxfId="18"/>
    <tableColumn id="17" xr3:uid="{21E3614F-D0CE-6146-82C3-F1970A9C2D1B}" uniqueName="17" name="fluxExp_LB_(mmol product/(gDW*h))" queryTableFieldId="17"/>
    <tableColumn id="18" xr3:uid="{33FA5FA2-A3BA-0A42-AB06-0F122B154D4F}" uniqueName="18" name="fluxExp_UB_(mmol product/(gDW*h))" queryTableFieldId="18"/>
    <tableColumn id="19" xr3:uid="{59FD7B3B-A8C4-E64B-8904-849661755AFA}" uniqueName="19" name="Column1" queryTableFieldId="19" dataDxfId="17"/>
    <tableColumn id="20" xr3:uid="{E3F5677E-DC55-0D42-8BCE-8727102B7E78}" uniqueName="20" name="vCarbonSources" queryTableFieldId="20" dataDxfId="16"/>
    <tableColumn id="21" xr3:uid="{D1915CE8-12A8-6246-AC8C-F4C7C78729B6}" uniqueName="21" name="RBA: vCarbonSources" queryTableFieldId="21"/>
    <tableColumn id="22" xr3:uid="{15FD2488-E8C4-E649-9207-F876B0ED91B7}" uniqueName="22" name="carbonSlack" queryTableFieldId="22" dataDxfId="15"/>
    <tableColumn id="23" xr3:uid="{02514395-F6D9-2641-A999-6A72CF7E465F}" uniqueName="23" name="RBA: carbonSlack" queryTableFieldId="23"/>
    <tableColumn id="24" xr3:uid="{2F1A140A-F782-B845-91CF-1C4B9FA49F5E}" uniqueName="24" name="vprod" queryTableFieldId="24" dataDxfId="14"/>
    <tableColumn id="25" xr3:uid="{3C87D4E0-FBF9-0F42-816B-EFB37B6AD5BD}" uniqueName="25" name="RBA: vprod" queryTableFieldId="25"/>
    <tableColumn id="26" xr3:uid="{DED62B79-068D-6F4A-A8EE-27A7758E5234}" uniqueName="26" name="yield" queryTableFieldId="26" dataDxfId="13"/>
    <tableColumn id="27" xr3:uid="{04DE5409-14F8-954C-AA73-136F42F5C7CA}" uniqueName="27" name="RBA: yield" queryTableFieldId="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A906C9-8C9D-3044-A176-71D0BB3AE046}" name="SC_compiled_results__3" displayName="SC_compiled_results__3" ref="A1:AG30" tableType="queryTable" totalsRowShown="0">
  <autoFilter ref="A1:AG30" xr:uid="{8EA906C9-8C9D-3044-A176-71D0BB3AE046}"/>
  <tableColumns count="33">
    <tableColumn id="1" xr3:uid="{7D61BB9E-387C-AB4C-B779-7F429C882915}" uniqueName="1" name="product" queryTableFieldId="1" dataDxfId="12"/>
    <tableColumn id="2" xr3:uid="{990BE1B4-0C45-8741-BE5C-5EFCB2F7508B}" uniqueName="2" name="name" queryTableFieldId="2" dataDxfId="11"/>
    <tableColumn id="3" xr3:uid="{80285503-4803-AF4A-8C09-8E66AD3FA54A}" uniqueName="3" name="precursor" queryTableFieldId="3" dataDxfId="10"/>
    <tableColumn id="4" xr3:uid="{B551FD27-1F2C-C44A-808C-4306D4D4434B}" uniqueName="4" name="MW (g/mol)" queryTableFieldId="4"/>
    <tableColumn id="5" xr3:uid="{02FC33CB-6FB9-7F45-97EA-DCB3C71BB0AD}" uniqueName="5" name="rateFBA" queryTableFieldId="5"/>
    <tableColumn id="6" xr3:uid="{78776A9D-D4B1-0043-8C81-E2F3A951F6B9}" uniqueName="6" name="yieldFBA" queryTableFieldId="6"/>
    <tableColumn id="7" xr3:uid="{44E8C825-7400-DA4C-8B3A-7E738537D933}" uniqueName="7" name="vCarbonSourcesFBA" queryTableFieldId="7"/>
    <tableColumn id="8" xr3:uid="{AD0DE4BC-13D5-194E-8EA1-86EB0F70B466}" uniqueName="8" name="rateRBA" queryTableFieldId="8"/>
    <tableColumn id="9" xr3:uid="{3747D460-BEDB-1A40-AD0E-561C3E42AA8C}" uniqueName="9" name="yieldRBA" queryTableFieldId="9"/>
    <tableColumn id="10" xr3:uid="{5790E47D-37EA-6F43-8AD7-545DA77B061A}" uniqueName="10" name="vCarbonSourcesRBA" queryTableFieldId="10"/>
    <tableColumn id="11" xr3:uid="{C8F77BE6-8FDC-3742-98C2-F6ADDE99A287}" uniqueName="11" name="yRBA/yFBA" queryTableFieldId="11"/>
    <tableColumn id="12" xr3:uid="{DAAF5BAA-1C5B-2341-81D2-4FD28D5F83AA}" uniqueName="12" name="yieldExp_LB_(g/g_substrate)" queryTableFieldId="12"/>
    <tableColumn id="13" xr3:uid="{A52B23C4-4F42-0240-A607-E0ED437C6231}" uniqueName="13" name="yieldExp_UB_(g/g_substrate)" queryTableFieldId="13"/>
    <tableColumn id="14" xr3:uid="{C5AFA79D-C5BF-674F-B4E2-15275E00CFAA}" uniqueName="14" name="SimulationSettings" queryTableFieldId="14" dataDxfId="9"/>
    <tableColumn id="15" xr3:uid="{4EA95293-3292-C343-8073-32F611B953EC}" uniqueName="15" name="yieldEXP_conditions" queryTableFieldId="15" dataDxfId="8"/>
    <tableColumn id="16" xr3:uid="{8446690A-EBD2-F146-8E9F-F641D68616E6}" uniqueName="16" name="yieldExp_ref" queryTableFieldId="16" dataDxfId="7"/>
    <tableColumn id="17" xr3:uid="{5FAEB7AB-D29B-B44F-A552-4D51F2E90203}" uniqueName="17" name="fluxExp_LB_(mmol product/(gDW*h))" queryTableFieldId="17"/>
    <tableColumn id="18" xr3:uid="{DDDDC46C-11F3-5847-B055-CF71C859166F}" uniqueName="18" name="fluxExp_UB_(mmol product/(gDW*h))" queryTableFieldId="18"/>
    <tableColumn id="19" xr3:uid="{913B7BA6-C212-C947-9036-24D5DDA056DE}" uniqueName="19" name="Column1" queryTableFieldId="19" dataDxfId="6"/>
    <tableColumn id="20" xr3:uid="{3126B754-B8A7-5040-B2EB-664DD20B1288}" uniqueName="20" name="vCarbonSources" queryTableFieldId="20" dataDxfId="5"/>
    <tableColumn id="21" xr3:uid="{EF5FAEB4-025B-4541-B949-A87991F80D96}" uniqueName="21" name="RBA: vCarbonSources" queryTableFieldId="21"/>
    <tableColumn id="22" xr3:uid="{9976C63B-0D5B-1E4D-906A-35A51769830F}" uniqueName="22" name="carbonSlack" queryTableFieldId="22" dataDxfId="4"/>
    <tableColumn id="23" xr3:uid="{9E1063DE-BAB3-1D49-9D8E-9207289D733B}" uniqueName="23" name="RBA: carbonSlack" queryTableFieldId="23"/>
    <tableColumn id="24" xr3:uid="{C0F4ED29-F55B-EB40-A0B5-B739A71560B8}" uniqueName="24" name="vprod" queryTableFieldId="24" dataDxfId="3"/>
    <tableColumn id="25" xr3:uid="{85AB468D-842E-2B48-A26A-F6E07BC251BE}" uniqueName="25" name="RBA: vprod" queryTableFieldId="25"/>
    <tableColumn id="26" xr3:uid="{07766EB0-7F49-ED41-BD91-FA2449F381B4}" uniqueName="26" name="yield" queryTableFieldId="26" dataDxfId="2"/>
    <tableColumn id="27" xr3:uid="{EFD1527E-D7FE-2545-8DE8-78C7B4427455}" uniqueName="27" name="RBA: yield" queryTableFieldId="27"/>
    <tableColumn id="28" xr3:uid="{15E2F63C-AF4F-7540-8009-A8ABAED67242}" uniqueName="28" name="yield on minimal media at 1.0% exp. growth" queryTableFieldId="28" dataDxfId="1"/>
    <tableColumn id="29" xr3:uid="{4CA0002A-7923-0B46-AF95-3F4AE2B345A0}" uniqueName="29" name="FBA: yield on minimal media at 1.0% exp. growth" queryTableFieldId="29"/>
    <tableColumn id="30" xr3:uid="{309CA6F0-4862-674D-8DE3-518CA036EB0C}" uniqueName="30" name="yield on minimal media at 0.0% exp. growth" queryTableFieldId="30" dataDxfId="0"/>
    <tableColumn id="31" xr3:uid="{AAA51863-E762-354D-81CB-F43C8457EF1E}" uniqueName="31" name="FBA: yield on minimal media at 0.0% exp. growth" queryTableFieldId="31"/>
    <tableColumn id="32" xr3:uid="{B40D828C-F1D7-9B49-B49F-AF4ABE274708}" uniqueName="32" name="RBA: yield on minimal media at 1.0% exp. growth" queryTableFieldId="32"/>
    <tableColumn id="33" xr3:uid="{7EE98C29-2C29-934A-BF6F-2C6618C1B453}" uniqueName="33" name="RBA: yield on minimal media at 0.0% exp. growth" queryTableFieldId="3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pplewebdata://555929B4-6557-496C-9FBF-751B4C65E5D5/" TargetMode="External"/><Relationship Id="rId2" Type="http://schemas.openxmlformats.org/officeDocument/2006/relationships/hyperlink" Target="applewebdata://555929B4-6557-496C-9FBF-751B4C65E5D5/" TargetMode="External"/><Relationship Id="rId1" Type="http://schemas.openxmlformats.org/officeDocument/2006/relationships/hyperlink" Target="applewebdata://555929B4-6557-496C-9FBF-751B4C65E5D5/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B4218-AE0C-4EAE-BF11-D13203423DC4}">
  <sheetPr codeName="Sheet1"/>
  <dimension ref="A1:V32"/>
  <sheetViews>
    <sheetView zoomScaleNormal="100" workbookViewId="0">
      <selection activeCell="G2" sqref="G2"/>
    </sheetView>
  </sheetViews>
  <sheetFormatPr baseColWidth="10" defaultColWidth="8.83203125" defaultRowHeight="15" x14ac:dyDescent="0.2"/>
  <cols>
    <col min="2" max="2" width="31.5" bestFit="1" customWidth="1"/>
    <col min="3" max="7" width="8.6640625" customWidth="1"/>
    <col min="8" max="11" width="10.5" customWidth="1"/>
    <col min="12" max="14" width="8.6640625" customWidth="1"/>
    <col min="20" max="20" width="12.6640625" bestFit="1" customWidth="1"/>
  </cols>
  <sheetData>
    <row r="1" spans="1:22" x14ac:dyDescent="0.2">
      <c r="N1" t="s">
        <v>138</v>
      </c>
      <c r="S1" t="s">
        <v>148</v>
      </c>
    </row>
    <row r="2" spans="1:22" ht="16" thickBot="1" x14ac:dyDescent="0.25">
      <c r="H2" t="s">
        <v>136</v>
      </c>
      <c r="P2" t="s">
        <v>32</v>
      </c>
      <c r="Q2" t="s">
        <v>35</v>
      </c>
      <c r="S2" t="s">
        <v>32</v>
      </c>
      <c r="T2" t="s">
        <v>149</v>
      </c>
      <c r="U2" t="s">
        <v>35</v>
      </c>
      <c r="V2" t="s">
        <v>149</v>
      </c>
    </row>
    <row r="3" spans="1:22" ht="19" thickBot="1" x14ac:dyDescent="0.25">
      <c r="B3" s="1"/>
      <c r="C3" s="2" t="s">
        <v>0</v>
      </c>
      <c r="D3" s="1"/>
      <c r="E3" s="2" t="s">
        <v>1</v>
      </c>
      <c r="F3" s="1"/>
      <c r="H3" t="s">
        <v>134</v>
      </c>
      <c r="N3" s="7" t="s">
        <v>75</v>
      </c>
      <c r="O3" s="7" t="s">
        <v>14</v>
      </c>
      <c r="P3" s="7">
        <v>0.29674057131782788</v>
      </c>
      <c r="Q3" s="7">
        <v>0.26095483257274632</v>
      </c>
      <c r="S3" cm="1">
        <f t="array" ref="S3:S30">_xlfn.XLOOKUP(N3:N30,SC_compiled_results__3[product],SC_compiled_results__3[yieldFBA],0)</f>
        <v>0.29756639259326556</v>
      </c>
      <c r="T3" cm="1">
        <f t="array" ref="T3:T30">IFERROR((P3:P30-_xlfn.ANCHORARRAY(S3))/P3:P30,0)</f>
        <v>-2.7829739350106269E-3</v>
      </c>
      <c r="U3" cm="1">
        <f t="array" ref="U3:U30">_xlfn.XLOOKUP(N3:N30,SC_compiled_results__3[product],SC_compiled_results__3[yieldRBA],0)</f>
        <v>0.2289523164675456</v>
      </c>
      <c r="V3" cm="1">
        <f t="array" ref="V3:V30">IFERROR((Q3:Q30-_xlfn.ANCHORARRAY(U3))/Q3:Q30,0)</f>
        <v>0.12263622708071284</v>
      </c>
    </row>
    <row r="4" spans="1:22" ht="17" thickBot="1" x14ac:dyDescent="0.25">
      <c r="B4" s="3" t="s">
        <v>2</v>
      </c>
      <c r="C4" s="4" t="s">
        <v>3</v>
      </c>
      <c r="D4" s="4" t="s">
        <v>4</v>
      </c>
      <c r="E4" s="4" t="s">
        <v>3</v>
      </c>
      <c r="F4" s="4" t="s">
        <v>4</v>
      </c>
      <c r="H4" s="23" t="s">
        <v>3</v>
      </c>
      <c r="I4" s="23" t="s">
        <v>4</v>
      </c>
      <c r="J4" s="23" t="s">
        <v>135</v>
      </c>
      <c r="L4" t="s">
        <v>3</v>
      </c>
      <c r="M4" t="s">
        <v>4</v>
      </c>
      <c r="N4" s="7" t="s">
        <v>67</v>
      </c>
      <c r="O4" s="7" t="s">
        <v>10</v>
      </c>
      <c r="P4" s="7">
        <v>0.48804726849485558</v>
      </c>
      <c r="Q4" s="7">
        <v>0.4905316517497274</v>
      </c>
      <c r="S4">
        <v>0.48828349906569629</v>
      </c>
      <c r="T4">
        <v>-4.8403215444530666E-4</v>
      </c>
      <c r="U4">
        <v>0.46618655942756515</v>
      </c>
      <c r="V4">
        <v>4.9630013140483924E-2</v>
      </c>
    </row>
    <row r="5" spans="1:22" ht="17" thickBot="1" x14ac:dyDescent="0.25">
      <c r="A5" s="5" t="s">
        <v>5</v>
      </c>
      <c r="B5" s="5" t="s">
        <v>5</v>
      </c>
      <c r="C5" s="10" cm="1">
        <f t="array" ref="C5:C25">_xlfn.LET(_xlpm.d,_xlfn.XLOOKUP(B5:B25,RT_compiled_results__2[name],RT_compiled_results__2[yieldFBA],"-"),IF(_xlpm.d="-",_xlfn.XLOOKUP(SUBSTITUTE(B5:B25,"b",""),RT_compiled_results__2[name],RT_compiled_results__2[yieldFBA],"-"),_xlpm.d))</f>
        <v>0.568824936656948</v>
      </c>
      <c r="D5" s="10" cm="1">
        <f t="array" ref="D5:D25">_xlfn.LET(_xlpm.d,_xlfn.XLOOKUP(B5:B25,RT_compiled_results__2[name],RT_compiled_results__2[yieldRBA],"-"),IF(_xlpm.d="-",_xlfn.XLOOKUP(SUBSTITUTE(B5:B25,"b",""),RT_compiled_results__2[name],RT_compiled_results__2[yieldRBA],"-"),_xlpm.d))</f>
        <v>0.56743968783221987</v>
      </c>
      <c r="E5" s="10" cm="1">
        <f t="array" ref="E5:E25">_xlfn.LET(_xlpm.d,_xlfn.XLOOKUP(B5:B25,O:O,P:P,"-"),IF(_xlpm.d="-",_xlfn.XLOOKUP(SUBSTITUTE(B5:B25,"b",""),O:O,P:P,"-"),_xlpm.d))</f>
        <v>0.56792044663537522</v>
      </c>
      <c r="F5" s="10" cm="1">
        <f t="array" ref="F5:F25">_xlfn.LET(_xlpm.d,_xlfn.XLOOKUP(B5:B25,O:O,Q:Q,"-"),IF(_xlpm.d="-",_xlfn.XLOOKUP(SUBSTITUTE(B5:B25,"b",""),O:O,Q:Q,"-"),_xlpm.d))</f>
        <v>0.48038779812715549</v>
      </c>
      <c r="G5">
        <f>SIGN(D5-F5)</f>
        <v>1</v>
      </c>
      <c r="H5" cm="1">
        <f t="array" ref="H5:H25">_xlfn.ANCHORARRAY(C5)/_xlfn.ANCHORARRAY(E5)</f>
        <v>1.0015926350722737</v>
      </c>
      <c r="I5" s="24" cm="1">
        <f t="array" ref="I5:I25">_xlfn.ANCHORARRAY(D5)/_xlfn.ANCHORARRAY(F5)</f>
        <v>1.1812117003063893</v>
      </c>
      <c r="J5" s="24" cm="1">
        <f t="array" ref="J5:J25">_xlfn.ANCHORARRAY(I5)/_xlfn.ANCHORARRAY(H5)</f>
        <v>1.1793334524880512</v>
      </c>
      <c r="K5" t="b" cm="1">
        <f t="array" ref="K5:K25">ROUND(_xlfn.ANCHORARRAY(C5),3)&lt;ROUND(_xlfn.ANCHORARRAY(D5),3)</f>
        <v>0</v>
      </c>
      <c r="L5" t="b" cm="1">
        <f t="array" ref="L5:L25">_xlfn.ANCHORARRAY(C5)&gt;_xlfn.ANCHORARRAY(E5)</f>
        <v>1</v>
      </c>
      <c r="M5" t="b" cm="1">
        <f t="array" ref="M5:M25">_xlfn.ANCHORARRAY(D5)&gt;_xlfn.ANCHORARRAY(F5)</f>
        <v>1</v>
      </c>
      <c r="N5" s="7" t="s">
        <v>82</v>
      </c>
      <c r="O5" s="7" t="s">
        <v>19</v>
      </c>
      <c r="P5" s="7">
        <v>0.45324221382456747</v>
      </c>
      <c r="Q5" s="7">
        <v>0.43631504504282581</v>
      </c>
      <c r="S5">
        <v>0.45405411896723136</v>
      </c>
      <c r="T5">
        <v>-1.7913272813068985E-3</v>
      </c>
      <c r="U5">
        <v>0.36413330648062231</v>
      </c>
      <c r="V5">
        <v>0.16543490622726204</v>
      </c>
    </row>
    <row r="6" spans="1:22" ht="17" thickBot="1" x14ac:dyDescent="0.25">
      <c r="A6" s="2" t="s">
        <v>6</v>
      </c>
      <c r="B6" s="2" t="s">
        <v>6</v>
      </c>
      <c r="C6" s="11">
        <v>0.35578426178187</v>
      </c>
      <c r="D6" s="10">
        <v>0.35026764538212168</v>
      </c>
      <c r="E6" s="11">
        <v>0.35528512987222871</v>
      </c>
      <c r="F6" s="10">
        <v>0.35143567468261327</v>
      </c>
      <c r="G6">
        <f t="shared" ref="G6:G25" si="0">SIGN(D6-F6)</f>
        <v>-1</v>
      </c>
      <c r="H6">
        <v>1.0014048770063098</v>
      </c>
      <c r="I6">
        <v>0.9966764065670155</v>
      </c>
      <c r="J6">
        <v>0.99527816316070883</v>
      </c>
      <c r="K6" t="b">
        <v>0</v>
      </c>
      <c r="L6" t="b">
        <v>1</v>
      </c>
      <c r="M6" t="b">
        <v>0</v>
      </c>
      <c r="N6" s="8" t="s">
        <v>54</v>
      </c>
      <c r="O6" s="8" t="s">
        <v>5</v>
      </c>
      <c r="P6" s="8">
        <v>0.56792044663537522</v>
      </c>
      <c r="Q6" s="8">
        <v>0.48038779812715549</v>
      </c>
      <c r="S6">
        <v>0.56955169453193411</v>
      </c>
      <c r="T6">
        <v>-2.8723176040291488E-3</v>
      </c>
      <c r="U6">
        <v>0.54449269719358062</v>
      </c>
      <c r="V6">
        <v>-0.13344406189404709</v>
      </c>
    </row>
    <row r="7" spans="1:22" ht="17" thickBot="1" x14ac:dyDescent="0.25">
      <c r="A7" s="5" t="s">
        <v>7</v>
      </c>
      <c r="B7" s="5" t="s">
        <v>7</v>
      </c>
      <c r="C7" s="10">
        <v>0.78692044116033</v>
      </c>
      <c r="D7" s="10">
        <v>0.77821827113005448</v>
      </c>
      <c r="E7" s="10">
        <v>0.7573473691438124</v>
      </c>
      <c r="F7" s="10">
        <v>0.69073932862999987</v>
      </c>
      <c r="G7">
        <f t="shared" si="0"/>
        <v>1</v>
      </c>
      <c r="H7">
        <v>1.0390482270374164</v>
      </c>
      <c r="I7" s="24">
        <v>1.1266453767350395</v>
      </c>
      <c r="J7" s="24">
        <v>1.0843051818175795</v>
      </c>
      <c r="K7" t="b">
        <v>0</v>
      </c>
      <c r="L7" t="b">
        <v>1</v>
      </c>
      <c r="M7" t="b">
        <v>1</v>
      </c>
      <c r="N7" s="7" t="s">
        <v>57</v>
      </c>
      <c r="O7" s="7" t="s">
        <v>6</v>
      </c>
      <c r="P7" s="7">
        <v>0.35528512987222871</v>
      </c>
      <c r="Q7" s="7">
        <v>0.35143567468261327</v>
      </c>
      <c r="S7">
        <v>0.35630562152550532</v>
      </c>
      <c r="T7">
        <v>-2.8723173796877215E-3</v>
      </c>
      <c r="U7">
        <v>0.33380880337746927</v>
      </c>
      <c r="V7">
        <v>5.0156750082538136E-2</v>
      </c>
    </row>
    <row r="8" spans="1:22" ht="17" thickBot="1" x14ac:dyDescent="0.25">
      <c r="A8" s="2" t="s">
        <v>8</v>
      </c>
      <c r="B8" s="2" t="s">
        <v>8</v>
      </c>
      <c r="C8" s="11">
        <v>0.53175396212655002</v>
      </c>
      <c r="D8" s="10">
        <v>0.52083664096243054</v>
      </c>
      <c r="E8" s="11">
        <v>0.52035214811847241</v>
      </c>
      <c r="F8" s="10">
        <v>0.50965863139761758</v>
      </c>
      <c r="G8">
        <f t="shared" si="0"/>
        <v>1</v>
      </c>
      <c r="H8">
        <v>1.0219117266053481</v>
      </c>
      <c r="I8">
        <v>1.0219323462337131</v>
      </c>
      <c r="J8">
        <v>1.0000201775044049</v>
      </c>
      <c r="K8" t="b">
        <v>0</v>
      </c>
      <c r="L8" t="b">
        <v>1</v>
      </c>
      <c r="M8" t="b">
        <v>1</v>
      </c>
      <c r="N8" s="7" t="s">
        <v>59</v>
      </c>
      <c r="O8" s="7" t="s">
        <v>7</v>
      </c>
      <c r="P8" s="7">
        <v>0.7573473691438124</v>
      </c>
      <c r="Q8" s="7">
        <v>0.69073932862999987</v>
      </c>
      <c r="S8">
        <v>0.75952271115466874</v>
      </c>
      <c r="T8">
        <v>-2.8723173796927331E-3</v>
      </c>
      <c r="U8">
        <v>0.5762346584740462</v>
      </c>
      <c r="V8">
        <v>0.16577117504378996</v>
      </c>
    </row>
    <row r="9" spans="1:22" ht="17" thickBot="1" x14ac:dyDescent="0.25">
      <c r="A9" s="5" t="s">
        <v>9</v>
      </c>
      <c r="B9" s="5" t="s">
        <v>9</v>
      </c>
      <c r="C9" s="10">
        <v>0.279598290698717</v>
      </c>
      <c r="D9" s="10">
        <v>0.27652108957672494</v>
      </c>
      <c r="E9" s="10">
        <v>0.27969587594518691</v>
      </c>
      <c r="F9" s="10">
        <v>0.23348141174114029</v>
      </c>
      <c r="G9">
        <f t="shared" si="0"/>
        <v>1</v>
      </c>
      <c r="H9">
        <v>0.99965110230481535</v>
      </c>
      <c r="I9" s="24">
        <v>1.1843387767558238</v>
      </c>
      <c r="J9" s="24">
        <v>1.1847521340447571</v>
      </c>
      <c r="K9" t="b">
        <v>0</v>
      </c>
      <c r="L9" s="22" t="b">
        <v>0</v>
      </c>
      <c r="M9" s="22" t="b">
        <v>1</v>
      </c>
      <c r="N9" s="8" t="s">
        <v>61</v>
      </c>
      <c r="O9" s="8" t="s">
        <v>7</v>
      </c>
      <c r="P9" s="8">
        <v>0.84375954278479315</v>
      </c>
      <c r="Q9" s="8">
        <v>0.56733479621091509</v>
      </c>
      <c r="S9">
        <v>0.84562409486389267</v>
      </c>
      <c r="T9">
        <v>-2.2098145082254687E-3</v>
      </c>
      <c r="U9">
        <v>0.77570208738846025</v>
      </c>
      <c r="V9">
        <v>-0.36727394929621332</v>
      </c>
    </row>
    <row r="10" spans="1:22" ht="17" thickBot="1" x14ac:dyDescent="0.25">
      <c r="A10" s="2" t="s">
        <v>10</v>
      </c>
      <c r="B10" s="2" t="s">
        <v>10</v>
      </c>
      <c r="C10" s="11">
        <v>0.50239411558340397</v>
      </c>
      <c r="D10" s="10">
        <v>0.50149113632393538</v>
      </c>
      <c r="E10" s="11">
        <v>0.48804726849485558</v>
      </c>
      <c r="F10" s="10">
        <v>0.4905316517497274</v>
      </c>
      <c r="G10">
        <f t="shared" si="0"/>
        <v>1</v>
      </c>
      <c r="H10">
        <v>1.0293964294335551</v>
      </c>
      <c r="I10">
        <v>1.0223420538412058</v>
      </c>
      <c r="J10">
        <v>0.99314707590715934</v>
      </c>
      <c r="K10" t="b">
        <v>0</v>
      </c>
      <c r="L10" t="b">
        <v>1</v>
      </c>
      <c r="M10" t="b">
        <v>1</v>
      </c>
      <c r="N10" s="7" t="s">
        <v>65</v>
      </c>
      <c r="O10" s="7" t="s">
        <v>9</v>
      </c>
      <c r="P10" s="7">
        <v>0.27969587594518691</v>
      </c>
      <c r="Q10" s="7">
        <v>0.23348141174114029</v>
      </c>
      <c r="S10">
        <v>0.28009958128062856</v>
      </c>
      <c r="T10">
        <v>-1.4433724990666884E-3</v>
      </c>
      <c r="U10">
        <v>0.23616126310756444</v>
      </c>
      <c r="V10">
        <v>-1.1477793227476669E-2</v>
      </c>
    </row>
    <row r="11" spans="1:22" ht="17" thickBot="1" x14ac:dyDescent="0.25">
      <c r="A11" s="5" t="s">
        <v>11</v>
      </c>
      <c r="B11" s="5" t="s">
        <v>11</v>
      </c>
      <c r="C11" s="10">
        <v>0.350400218417311</v>
      </c>
      <c r="D11" s="10">
        <v>0.34827971115126199</v>
      </c>
      <c r="E11" s="10">
        <v>0.34798515761539139</v>
      </c>
      <c r="F11" s="10">
        <v>0.32165039369216802</v>
      </c>
      <c r="G11">
        <f t="shared" si="0"/>
        <v>1</v>
      </c>
      <c r="H11">
        <v>1.0069401258906245</v>
      </c>
      <c r="I11">
        <v>1.0827896311688623</v>
      </c>
      <c r="J11">
        <v>1.0753267283009007</v>
      </c>
      <c r="K11" t="b">
        <v>0</v>
      </c>
      <c r="L11" t="b">
        <v>1</v>
      </c>
      <c r="M11" t="b">
        <v>1</v>
      </c>
      <c r="N11" s="8" t="s">
        <v>80</v>
      </c>
      <c r="O11" s="8" t="s">
        <v>18</v>
      </c>
      <c r="P11" s="8">
        <v>0.61175611635906213</v>
      </c>
      <c r="Q11" s="8">
        <v>0.60317707355544414</v>
      </c>
      <c r="S11">
        <v>0.6135132742837609</v>
      </c>
      <c r="T11">
        <v>-2.8723177058804111E-3</v>
      </c>
      <c r="U11">
        <v>0.56625370791878971</v>
      </c>
      <c r="V11">
        <v>6.121480284223773E-2</v>
      </c>
    </row>
    <row r="12" spans="1:22" ht="17" thickBot="1" x14ac:dyDescent="0.25">
      <c r="A12" s="2" t="s">
        <v>12</v>
      </c>
      <c r="B12" s="2" t="s">
        <v>12</v>
      </c>
      <c r="C12" s="11">
        <v>0.90749752937114303</v>
      </c>
      <c r="D12" s="10">
        <v>0.90035316846590108</v>
      </c>
      <c r="E12" s="11">
        <v>0.76672431712937161</v>
      </c>
      <c r="F12" s="10">
        <v>0.76795190135792257</v>
      </c>
      <c r="G12">
        <f t="shared" si="0"/>
        <v>1</v>
      </c>
      <c r="H12">
        <v>1.1836034270685827</v>
      </c>
      <c r="I12" s="24">
        <v>1.1724082808752234</v>
      </c>
      <c r="J12" s="24">
        <v>0.99054147196828746</v>
      </c>
      <c r="K12" t="b">
        <v>0</v>
      </c>
      <c r="L12" t="b">
        <v>1</v>
      </c>
      <c r="M12" t="b">
        <v>1</v>
      </c>
      <c r="N12" s="8" t="s">
        <v>71</v>
      </c>
      <c r="O12" s="8" t="s">
        <v>12</v>
      </c>
      <c r="P12" s="8">
        <v>0.76672431712937161</v>
      </c>
      <c r="Q12" s="8">
        <v>0.76795190135792257</v>
      </c>
      <c r="S12">
        <v>0.76672431712937239</v>
      </c>
      <c r="T12">
        <v>-1.0136056726977107E-15</v>
      </c>
      <c r="U12">
        <v>0.70568487013530723</v>
      </c>
      <c r="V12">
        <v>8.108194160664535E-2</v>
      </c>
    </row>
    <row r="13" spans="1:22" ht="17" thickBot="1" x14ac:dyDescent="0.25">
      <c r="A13" s="5" t="s">
        <v>13</v>
      </c>
      <c r="B13" s="5" t="s">
        <v>13</v>
      </c>
      <c r="C13" s="10">
        <v>0.48848179396514702</v>
      </c>
      <c r="D13" s="10">
        <v>0.47937974739344164</v>
      </c>
      <c r="E13" s="10">
        <v>0.4851024467288394</v>
      </c>
      <c r="F13" s="10">
        <v>0.47781212091950731</v>
      </c>
      <c r="G13">
        <f t="shared" si="0"/>
        <v>1</v>
      </c>
      <c r="H13">
        <v>1.0069662547758631</v>
      </c>
      <c r="I13">
        <v>1.0032808428361288</v>
      </c>
      <c r="J13">
        <v>0.99634008396780427</v>
      </c>
      <c r="K13" t="b">
        <v>0</v>
      </c>
      <c r="L13" t="b">
        <v>1</v>
      </c>
      <c r="M13" t="b">
        <v>1</v>
      </c>
      <c r="N13" s="7" t="s">
        <v>118</v>
      </c>
      <c r="O13" s="7" t="s">
        <v>119</v>
      </c>
      <c r="P13" s="7"/>
      <c r="Q13" s="7"/>
      <c r="S13">
        <v>0</v>
      </c>
      <c r="T13">
        <v>0</v>
      </c>
      <c r="U13">
        <v>0</v>
      </c>
      <c r="V13">
        <v>0</v>
      </c>
    </row>
    <row r="14" spans="1:22" ht="17" thickBot="1" x14ac:dyDescent="0.25">
      <c r="A14" s="2" t="s">
        <v>14</v>
      </c>
      <c r="B14" s="2" t="s">
        <v>14</v>
      </c>
      <c r="C14" s="11">
        <v>0.30313866538374801</v>
      </c>
      <c r="D14" s="10">
        <v>0.29933871480869978</v>
      </c>
      <c r="E14" s="11">
        <v>0.29674057131782788</v>
      </c>
      <c r="F14" s="10">
        <v>0.26095483257274632</v>
      </c>
      <c r="G14">
        <f t="shared" si="0"/>
        <v>1</v>
      </c>
      <c r="H14">
        <v>1.02156123794433</v>
      </c>
      <c r="I14" s="24">
        <v>1.1470901376208589</v>
      </c>
      <c r="J14" s="24">
        <v>1.1228794662658976</v>
      </c>
      <c r="K14" t="b">
        <v>0</v>
      </c>
      <c r="L14" t="b">
        <v>1</v>
      </c>
      <c r="M14" t="b">
        <v>1</v>
      </c>
      <c r="N14" s="7" t="s">
        <v>126</v>
      </c>
      <c r="O14" s="7" t="s">
        <v>55</v>
      </c>
      <c r="P14" s="7"/>
      <c r="Q14" s="7"/>
      <c r="S14">
        <v>0</v>
      </c>
      <c r="T14">
        <v>0</v>
      </c>
      <c r="U14">
        <v>0</v>
      </c>
      <c r="V14">
        <v>0</v>
      </c>
    </row>
    <row r="15" spans="1:22" ht="17" thickBot="1" x14ac:dyDescent="0.25">
      <c r="A15" s="5" t="s">
        <v>15</v>
      </c>
      <c r="B15" s="5" t="s">
        <v>15</v>
      </c>
      <c r="C15" s="10">
        <v>0.27710922425847301</v>
      </c>
      <c r="D15" s="10">
        <v>0.27383881859301407</v>
      </c>
      <c r="E15" s="10">
        <v>0.27212672972456903</v>
      </c>
      <c r="F15" s="10">
        <v>0.24028451248888211</v>
      </c>
      <c r="G15">
        <f t="shared" si="0"/>
        <v>1</v>
      </c>
      <c r="H15">
        <v>1.0183094638992169</v>
      </c>
      <c r="I15" s="24">
        <v>1.1396440650983883</v>
      </c>
      <c r="J15" s="24">
        <v>1.1191529741210182</v>
      </c>
      <c r="K15" t="b">
        <v>0</v>
      </c>
      <c r="L15" t="b">
        <v>1</v>
      </c>
      <c r="M15" t="b">
        <v>1</v>
      </c>
      <c r="N15" s="8" t="s">
        <v>77</v>
      </c>
      <c r="O15" s="8" t="s">
        <v>15</v>
      </c>
      <c r="P15" s="8">
        <v>0.27212672972456903</v>
      </c>
      <c r="Q15" s="8">
        <v>0.24028451248888211</v>
      </c>
      <c r="S15">
        <v>0.27272809630189226</v>
      </c>
      <c r="T15">
        <v>-2.2098769126131248E-3</v>
      </c>
      <c r="U15">
        <v>0.2136948938920141</v>
      </c>
      <c r="V15">
        <v>0.11065889483034536</v>
      </c>
    </row>
    <row r="16" spans="1:22" ht="17" thickBot="1" x14ac:dyDescent="0.25">
      <c r="A16" s="2" t="s">
        <v>16</v>
      </c>
      <c r="B16" s="2" t="s">
        <v>16</v>
      </c>
      <c r="C16" s="11">
        <v>0.384669228477025</v>
      </c>
      <c r="D16" s="10">
        <v>0.38089766324233898</v>
      </c>
      <c r="E16" s="11">
        <v>0.39005140949873141</v>
      </c>
      <c r="F16" s="10">
        <v>4.8032245775427258E-2</v>
      </c>
      <c r="G16">
        <f t="shared" si="0"/>
        <v>1</v>
      </c>
      <c r="H16">
        <v>0.98620135476853366</v>
      </c>
      <c r="I16">
        <v>7.9300406860676462</v>
      </c>
      <c r="J16">
        <v>8.0409955307036327</v>
      </c>
      <c r="K16" t="b">
        <v>0</v>
      </c>
      <c r="L16" s="22" t="b">
        <v>0</v>
      </c>
      <c r="M16" s="22" t="b">
        <v>1</v>
      </c>
      <c r="N16" s="8" t="s">
        <v>78</v>
      </c>
      <c r="O16" s="8" t="s">
        <v>16</v>
      </c>
      <c r="P16" s="8">
        <v>0.39005140949873141</v>
      </c>
      <c r="Q16" s="8">
        <v>4.8032245775427258E-2</v>
      </c>
      <c r="S16">
        <v>0.39005140949872946</v>
      </c>
      <c r="T16">
        <v>4.9811133757750026E-15</v>
      </c>
      <c r="U16">
        <v>0.36844838414776354</v>
      </c>
      <c r="V16">
        <v>-6.6708548226212123</v>
      </c>
    </row>
    <row r="17" spans="1:22" ht="17" thickBot="1" x14ac:dyDescent="0.25">
      <c r="A17" s="5" t="s">
        <v>17</v>
      </c>
      <c r="B17" s="5" t="s">
        <v>17</v>
      </c>
      <c r="C17" s="10">
        <v>0.89544438180771901</v>
      </c>
      <c r="D17" s="10">
        <v>0.89363323495140035</v>
      </c>
      <c r="E17" s="10">
        <v>0.90486742105144813</v>
      </c>
      <c r="F17" s="10">
        <v>0.9008577083388436</v>
      </c>
      <c r="G17">
        <f t="shared" si="0"/>
        <v>-1</v>
      </c>
      <c r="H17">
        <v>0.98958627637098528</v>
      </c>
      <c r="I17">
        <v>0.9919804500526892</v>
      </c>
      <c r="J17">
        <v>1.0024193683146898</v>
      </c>
      <c r="K17" t="b">
        <v>0</v>
      </c>
      <c r="L17" t="b">
        <v>0</v>
      </c>
      <c r="M17" t="b">
        <v>0</v>
      </c>
      <c r="N17" s="8" t="s">
        <v>79</v>
      </c>
      <c r="O17" s="8" t="s">
        <v>17</v>
      </c>
      <c r="P17" s="8">
        <v>0.90486742105144813</v>
      </c>
      <c r="Q17" s="8">
        <v>0.9008577083388436</v>
      </c>
      <c r="S17">
        <v>0.90746648749119685</v>
      </c>
      <c r="T17">
        <v>-2.8723174017345303E-3</v>
      </c>
      <c r="U17">
        <v>0.86672429533487005</v>
      </c>
      <c r="V17">
        <v>3.788990501831261E-2</v>
      </c>
    </row>
    <row r="18" spans="1:22" ht="17" thickBot="1" x14ac:dyDescent="0.25">
      <c r="A18" s="2" t="s">
        <v>18</v>
      </c>
      <c r="B18" s="2" t="s">
        <v>18</v>
      </c>
      <c r="C18" s="11">
        <v>0.61630681165772105</v>
      </c>
      <c r="D18" s="10">
        <v>0.61245167895920283</v>
      </c>
      <c r="E18" s="11">
        <v>0.61175611635906213</v>
      </c>
      <c r="F18" s="10">
        <v>0.60317707355544414</v>
      </c>
      <c r="G18">
        <f t="shared" si="0"/>
        <v>1</v>
      </c>
      <c r="H18">
        <v>1.0074387409900254</v>
      </c>
      <c r="I18">
        <v>1.0153762565097</v>
      </c>
      <c r="J18">
        <v>1.00787890637586</v>
      </c>
      <c r="K18" t="b">
        <v>0</v>
      </c>
      <c r="L18" t="b">
        <v>1</v>
      </c>
      <c r="M18" t="b">
        <v>1</v>
      </c>
      <c r="N18" s="8" t="s">
        <v>122</v>
      </c>
      <c r="O18" s="8" t="s">
        <v>123</v>
      </c>
      <c r="P18" s="8"/>
      <c r="Q18" s="8"/>
      <c r="S18">
        <v>0</v>
      </c>
      <c r="T18">
        <v>0</v>
      </c>
      <c r="U18">
        <v>0</v>
      </c>
      <c r="V18">
        <v>0</v>
      </c>
    </row>
    <row r="19" spans="1:22" ht="17" thickBot="1" x14ac:dyDescent="0.25">
      <c r="A19" s="5" t="s">
        <v>19</v>
      </c>
      <c r="B19" s="5" t="s">
        <v>19</v>
      </c>
      <c r="C19" s="10">
        <v>0.46980671732777102</v>
      </c>
      <c r="D19" s="10">
        <v>0.46131214414519794</v>
      </c>
      <c r="E19" s="10">
        <v>0.45324221382456747</v>
      </c>
      <c r="F19" s="10">
        <v>0.43631504504282581</v>
      </c>
      <c r="G19">
        <f t="shared" si="0"/>
        <v>1</v>
      </c>
      <c r="H19">
        <v>1.0365466918084003</v>
      </c>
      <c r="I19">
        <v>1.0572913984662586</v>
      </c>
      <c r="J19">
        <v>1.0200132872178351</v>
      </c>
      <c r="K19" t="b">
        <v>0</v>
      </c>
      <c r="L19" t="b">
        <v>1</v>
      </c>
      <c r="M19" t="b">
        <v>1</v>
      </c>
      <c r="N19" s="7" t="s">
        <v>69</v>
      </c>
      <c r="O19" s="7" t="s">
        <v>11</v>
      </c>
      <c r="P19" s="7">
        <v>0.34798515761539139</v>
      </c>
      <c r="Q19" s="7">
        <v>0.32165039369216802</v>
      </c>
      <c r="S19">
        <v>0.34875416209188653</v>
      </c>
      <c r="T19">
        <v>-2.2098772308705088E-3</v>
      </c>
      <c r="U19">
        <v>0.31333390416355716</v>
      </c>
      <c r="V19">
        <v>2.5855679618940759E-2</v>
      </c>
    </row>
    <row r="20" spans="1:22" ht="17" thickBot="1" x14ac:dyDescent="0.25">
      <c r="A20" s="2" t="s">
        <v>20</v>
      </c>
      <c r="B20" s="2" t="s">
        <v>20</v>
      </c>
      <c r="C20" s="11">
        <v>0.64296443343640097</v>
      </c>
      <c r="D20" s="10">
        <v>0.6357949090706202</v>
      </c>
      <c r="E20" s="11">
        <v>0.54106281379903087</v>
      </c>
      <c r="F20" s="10">
        <v>0.54085946621994097</v>
      </c>
      <c r="G20">
        <f t="shared" si="0"/>
        <v>1</v>
      </c>
      <c r="H20">
        <v>1.1883360250205992</v>
      </c>
      <c r="I20" s="24">
        <v>1.175527006144834</v>
      </c>
      <c r="J20" s="24">
        <v>0.98922104639927655</v>
      </c>
      <c r="K20" t="b">
        <v>0</v>
      </c>
      <c r="L20" t="b">
        <v>1</v>
      </c>
      <c r="M20" t="b">
        <v>1</v>
      </c>
      <c r="N20" s="8" t="s">
        <v>124</v>
      </c>
      <c r="O20" s="8" t="s">
        <v>125</v>
      </c>
      <c r="P20" s="8"/>
      <c r="Q20" s="8"/>
      <c r="S20">
        <v>0</v>
      </c>
      <c r="T20">
        <v>0</v>
      </c>
      <c r="U20">
        <v>0</v>
      </c>
      <c r="V20">
        <v>0</v>
      </c>
    </row>
    <row r="21" spans="1:22" ht="17" thickBot="1" x14ac:dyDescent="0.25">
      <c r="A21" s="5" t="s">
        <v>21</v>
      </c>
      <c r="B21" s="5" t="s">
        <v>21</v>
      </c>
      <c r="C21" s="11">
        <v>0.373211214581465</v>
      </c>
      <c r="D21" s="10">
        <v>0.33654999032245986</v>
      </c>
      <c r="E21" s="11">
        <v>0.34680785969856792</v>
      </c>
      <c r="F21" s="10">
        <v>0.2396131352837115</v>
      </c>
      <c r="G21">
        <f t="shared" si="0"/>
        <v>1</v>
      </c>
      <c r="H21">
        <v>1.0761325158716006</v>
      </c>
      <c r="I21" s="24">
        <v>1.4045556806557005</v>
      </c>
      <c r="J21" s="24">
        <v>1.3051884037888191</v>
      </c>
      <c r="K21" t="b">
        <v>0</v>
      </c>
      <c r="L21" t="b">
        <v>1</v>
      </c>
      <c r="M21" t="b">
        <v>1</v>
      </c>
      <c r="N21" s="7" t="s">
        <v>73</v>
      </c>
      <c r="O21" s="7" t="s">
        <v>13</v>
      </c>
      <c r="P21" s="7">
        <v>0.4851024467288394</v>
      </c>
      <c r="Q21" s="7">
        <v>0.47781212091950731</v>
      </c>
      <c r="S21">
        <v>0.48647624347513524</v>
      </c>
      <c r="T21">
        <v>-2.8319724123423368E-3</v>
      </c>
      <c r="U21">
        <v>0.44209112452954263</v>
      </c>
      <c r="V21">
        <v>7.4759502377676743E-2</v>
      </c>
    </row>
    <row r="22" spans="1:22" ht="17" thickBot="1" x14ac:dyDescent="0.25">
      <c r="A22" s="2" t="s">
        <v>22</v>
      </c>
      <c r="B22" s="2" t="s">
        <v>22</v>
      </c>
      <c r="C22" s="10">
        <v>0.39386110252668599</v>
      </c>
      <c r="D22" s="10">
        <v>0.38673970167163735</v>
      </c>
      <c r="E22" s="10">
        <v>0.37997429888390288</v>
      </c>
      <c r="F22" s="10">
        <v>0.36578345594334077</v>
      </c>
      <c r="G22">
        <f t="shared" si="0"/>
        <v>1</v>
      </c>
      <c r="H22">
        <v>1.0365466919304089</v>
      </c>
      <c r="I22">
        <v>1.0572913984703087</v>
      </c>
      <c r="J22">
        <v>1.0200132871016798</v>
      </c>
      <c r="K22" t="b">
        <v>0</v>
      </c>
      <c r="L22" t="b">
        <v>1</v>
      </c>
      <c r="M22" t="b">
        <v>1</v>
      </c>
      <c r="N22" s="7" t="s">
        <v>63</v>
      </c>
      <c r="O22" s="7" t="s">
        <v>8</v>
      </c>
      <c r="P22" s="7">
        <v>0.52035214811847241</v>
      </c>
      <c r="Q22" s="7">
        <v>0.50965863139761758</v>
      </c>
      <c r="S22">
        <v>0.52173706682255505</v>
      </c>
      <c r="T22">
        <v>-2.6615028093769371E-3</v>
      </c>
      <c r="U22">
        <v>0.45837473839835802</v>
      </c>
      <c r="V22">
        <v>0.10062400563809874</v>
      </c>
    </row>
    <row r="23" spans="1:22" ht="17" thickBot="1" x14ac:dyDescent="0.25">
      <c r="A23" s="5" t="s">
        <v>23</v>
      </c>
      <c r="B23" s="5" t="s">
        <v>23</v>
      </c>
      <c r="C23" s="11">
        <v>0.31269310768848102</v>
      </c>
      <c r="D23" s="10">
        <v>0.3087219813852059</v>
      </c>
      <c r="E23" s="11">
        <v>0.30563731418648549</v>
      </c>
      <c r="F23" s="10">
        <v>0.25875949460926001</v>
      </c>
      <c r="G23">
        <f t="shared" si="0"/>
        <v>1</v>
      </c>
      <c r="H23">
        <v>1.0230855107491568</v>
      </c>
      <c r="I23" s="24">
        <v>1.1930846512565338</v>
      </c>
      <c r="J23" s="24">
        <v>1.1661631786603006</v>
      </c>
      <c r="K23" t="b">
        <v>0</v>
      </c>
      <c r="L23" t="b">
        <v>1</v>
      </c>
      <c r="M23" t="b">
        <v>1</v>
      </c>
      <c r="N23" s="8" t="s">
        <v>94</v>
      </c>
      <c r="O23" s="8" t="s">
        <v>20</v>
      </c>
      <c r="P23" s="8">
        <v>0.54106281379903087</v>
      </c>
      <c r="Q23" s="8">
        <v>0.54085946621994097</v>
      </c>
      <c r="S23">
        <v>0.5410628137990281</v>
      </c>
      <c r="T23">
        <v>5.1298250235948164E-15</v>
      </c>
      <c r="U23">
        <v>0.49292569811213316</v>
      </c>
      <c r="V23">
        <v>8.86251810342088E-2</v>
      </c>
    </row>
    <row r="24" spans="1:22" ht="19" thickBot="1" x14ac:dyDescent="0.25">
      <c r="A24" s="2" t="s">
        <v>102</v>
      </c>
      <c r="B24" s="2" t="s">
        <v>24</v>
      </c>
      <c r="C24" s="10">
        <v>0.71406904914327596</v>
      </c>
      <c r="D24" s="10">
        <v>0.7059666534031136</v>
      </c>
      <c r="E24" s="10">
        <v>0.70965133173275963</v>
      </c>
      <c r="F24" s="10">
        <v>0.70012500969844282</v>
      </c>
      <c r="G24">
        <f t="shared" si="0"/>
        <v>1</v>
      </c>
      <c r="H24">
        <v>1.0062251942791816</v>
      </c>
      <c r="I24">
        <v>1.0083437152276375</v>
      </c>
      <c r="J24">
        <v>1.0021054143351813</v>
      </c>
      <c r="K24" t="b">
        <v>0</v>
      </c>
      <c r="L24" t="b">
        <v>1</v>
      </c>
      <c r="M24" t="b">
        <v>1</v>
      </c>
      <c r="N24" s="8" t="s">
        <v>98</v>
      </c>
      <c r="O24" s="8" t="s">
        <v>22</v>
      </c>
      <c r="P24" s="8">
        <v>0.37997429888390288</v>
      </c>
      <c r="Q24" s="8">
        <v>0.36578345594334077</v>
      </c>
      <c r="S24">
        <v>0.38065495732194871</v>
      </c>
      <c r="T24">
        <v>-1.7913275714834347E-3</v>
      </c>
      <c r="U24">
        <v>0.30527010419991218</v>
      </c>
      <c r="V24">
        <v>0.16543490625448626</v>
      </c>
    </row>
    <row r="25" spans="1:22" ht="17" thickBot="1" x14ac:dyDescent="0.25">
      <c r="A25" s="3" t="s">
        <v>25</v>
      </c>
      <c r="B25" s="3" t="s">
        <v>25</v>
      </c>
      <c r="C25" s="11">
        <v>0.30069507217715702</v>
      </c>
      <c r="D25" s="10">
        <v>0.29583207387409666</v>
      </c>
      <c r="E25" s="11">
        <v>0.29527424284273629</v>
      </c>
      <c r="F25" s="10">
        <v>0.29097333198659447</v>
      </c>
      <c r="G25">
        <f t="shared" si="0"/>
        <v>1</v>
      </c>
      <c r="H25">
        <v>1.0183586258057322</v>
      </c>
      <c r="I25">
        <v>1.0166982377880802</v>
      </c>
      <c r="J25">
        <v>0.99836954489746843</v>
      </c>
      <c r="K25" t="b">
        <v>0</v>
      </c>
      <c r="L25" t="b">
        <v>1</v>
      </c>
      <c r="M25" t="b">
        <v>1</v>
      </c>
      <c r="N25" s="8" t="s">
        <v>96</v>
      </c>
      <c r="O25" s="8" t="s">
        <v>21</v>
      </c>
      <c r="P25" s="8">
        <v>0.34680785969856792</v>
      </c>
      <c r="Q25" s="8">
        <v>0.2396131352837115</v>
      </c>
      <c r="S25">
        <v>0.34757108808651643</v>
      </c>
      <c r="T25">
        <v>-2.2007240222637402E-3</v>
      </c>
      <c r="U25">
        <v>0.22324393259741193</v>
      </c>
      <c r="V25">
        <v>6.8315130833365142E-2</v>
      </c>
    </row>
    <row r="26" spans="1:22" x14ac:dyDescent="0.2">
      <c r="B26" s="6" t="s">
        <v>26</v>
      </c>
      <c r="E26" s="6"/>
      <c r="N26" s="8" t="s">
        <v>100</v>
      </c>
      <c r="O26" s="8" t="s">
        <v>23</v>
      </c>
      <c r="P26" s="8">
        <v>0.30563731418648549</v>
      </c>
      <c r="Q26" s="8">
        <v>0.25875949460926001</v>
      </c>
      <c r="S26">
        <v>0.30607846275194134</v>
      </c>
      <c r="T26">
        <v>-1.4433727329074848E-3</v>
      </c>
      <c r="U26">
        <v>0.25782975739642483</v>
      </c>
      <c r="V26">
        <v>3.5930554518941631E-3</v>
      </c>
    </row>
    <row r="27" spans="1:22" ht="16" thickBot="1" x14ac:dyDescent="0.25">
      <c r="C27" t="s">
        <v>137</v>
      </c>
      <c r="N27" s="7" t="s">
        <v>101</v>
      </c>
      <c r="O27" s="7" t="s">
        <v>102</v>
      </c>
      <c r="P27" s="7">
        <v>0.70965133173275963</v>
      </c>
      <c r="Q27" s="7">
        <v>0.70012500969844282</v>
      </c>
      <c r="S27">
        <v>0.71168967568395203</v>
      </c>
      <c r="T27">
        <v>-2.8723175171324836E-3</v>
      </c>
      <c r="U27">
        <v>0.66014225067852006</v>
      </c>
      <c r="V27">
        <v>5.7108028517855833E-2</v>
      </c>
    </row>
    <row r="28" spans="1:22" ht="17" thickBot="1" x14ac:dyDescent="0.25">
      <c r="B28" s="12" t="s">
        <v>2</v>
      </c>
      <c r="C28" s="12" t="s">
        <v>3</v>
      </c>
      <c r="D28" s="12" t="s">
        <v>4</v>
      </c>
      <c r="E28" s="12" t="s">
        <v>127</v>
      </c>
      <c r="F28" s="12" t="s">
        <v>3</v>
      </c>
      <c r="G28" s="12" t="s">
        <v>4</v>
      </c>
      <c r="H28" s="12" t="s">
        <v>127</v>
      </c>
      <c r="I28" s="16"/>
      <c r="J28" s="16"/>
      <c r="K28" s="16"/>
      <c r="N28" s="8" t="s">
        <v>106</v>
      </c>
      <c r="O28" s="8" t="s">
        <v>25</v>
      </c>
      <c r="P28" s="8">
        <v>0.29527424284273629</v>
      </c>
      <c r="Q28" s="8">
        <v>0.29097333198659447</v>
      </c>
      <c r="S28">
        <v>0.29611200575179425</v>
      </c>
      <c r="T28">
        <v>-2.8372366685033008E-3</v>
      </c>
      <c r="U28">
        <v>0.27054466544154865</v>
      </c>
      <c r="V28">
        <v>7.0208037298713694E-2</v>
      </c>
    </row>
    <row r="29" spans="1:22" ht="17" thickBot="1" x14ac:dyDescent="0.25">
      <c r="A29" s="13" t="s">
        <v>85</v>
      </c>
      <c r="B29" s="13" t="s">
        <v>85</v>
      </c>
      <c r="C29" s="10" cm="1">
        <f t="array" ref="C29:C32">_xlfn.LET(_xlpm.d,_xlfn.XLOOKUP(B29:B32,RT_compiled_results__2[name],RT_compiled_results__2[yieldFBA],"-"),IF(_xlpm.d="-",_xlfn.XLOOKUP(SUBSTITUTE(A29:A32,"b",""),RT_compiled_results__2[name],RT_compiled_results__2[yieldFBA],"-"),_xlpm.d))</f>
        <v>0.221570859497596</v>
      </c>
      <c r="D29" s="10" cm="1">
        <f t="array" ref="D29:D32">_xlfn.LET(_xlpm.d,_xlfn.XLOOKUP(B29:B32,RT_compiled_results__2[name],RT_compiled_results__2[yieldRBA],"-"),IF(_xlpm.d="-",_xlfn.XLOOKUP(SUBSTITUTE(A29:A32,"b",""),RT_compiled_results__2[name],RT_compiled_results__2[yieldRBA],"-"),_xlpm.d))</f>
        <v>0.22133956740426763</v>
      </c>
      <c r="E29" s="15" t="s">
        <v>128</v>
      </c>
      <c r="F29" s="10">
        <v>0</v>
      </c>
      <c r="G29" s="10">
        <v>0</v>
      </c>
      <c r="H29" s="14" t="s">
        <v>129</v>
      </c>
      <c r="I29" s="17"/>
      <c r="J29" s="17"/>
      <c r="K29" t="b" cm="1">
        <f t="array" ref="K29:K32">ROUND(_xlfn.ANCHORARRAY(C29),3)&lt;ROUND(_xlfn.ANCHORARRAY(D29),3)</f>
        <v>0</v>
      </c>
      <c r="N29" s="7" t="s">
        <v>120</v>
      </c>
      <c r="O29" s="7" t="s">
        <v>121</v>
      </c>
      <c r="P29" s="7"/>
      <c r="Q29" s="7"/>
      <c r="S29">
        <v>0</v>
      </c>
      <c r="T29">
        <v>0</v>
      </c>
      <c r="U29">
        <v>0</v>
      </c>
      <c r="V29">
        <v>0</v>
      </c>
    </row>
    <row r="30" spans="1:22" ht="17" thickBot="1" x14ac:dyDescent="0.25">
      <c r="A30" s="16" t="s">
        <v>92</v>
      </c>
      <c r="B30" s="16" t="s">
        <v>92</v>
      </c>
      <c r="C30" s="11">
        <v>0.22846071809451901</v>
      </c>
      <c r="D30" s="11">
        <v>0.22822321452844971</v>
      </c>
      <c r="E30" s="18" t="s">
        <v>130</v>
      </c>
      <c r="F30" s="11">
        <v>0</v>
      </c>
      <c r="G30" s="11">
        <v>0</v>
      </c>
      <c r="H30" s="17" t="s">
        <v>129</v>
      </c>
      <c r="I30" s="17"/>
      <c r="J30" s="17"/>
      <c r="K30" s="17" t="b">
        <v>0</v>
      </c>
      <c r="N30" s="9" t="s">
        <v>107</v>
      </c>
      <c r="O30" s="9" t="s">
        <v>108</v>
      </c>
      <c r="P30" s="9">
        <v>0.29333329716394502</v>
      </c>
      <c r="Q30" s="9">
        <v>0.26043970550782147</v>
      </c>
      <c r="S30">
        <v>0.27198107608594713</v>
      </c>
      <c r="T30">
        <v>7.2791671741459535E-2</v>
      </c>
      <c r="U30">
        <v>0.25991498616105468</v>
      </c>
      <c r="V30">
        <v>2.0147440488909266E-3</v>
      </c>
    </row>
    <row r="31" spans="1:22" ht="17" thickBot="1" x14ac:dyDescent="0.25">
      <c r="A31" s="12" t="s">
        <v>104</v>
      </c>
      <c r="B31" s="12" t="s">
        <v>104</v>
      </c>
      <c r="C31" s="10">
        <v>0.22644393079142899</v>
      </c>
      <c r="D31" s="10">
        <v>0.22620797025419317</v>
      </c>
      <c r="E31" s="20" t="s">
        <v>131</v>
      </c>
      <c r="F31" s="10">
        <v>0</v>
      </c>
      <c r="G31" s="10">
        <v>0</v>
      </c>
      <c r="H31" s="19" t="s">
        <v>129</v>
      </c>
      <c r="I31" s="17"/>
      <c r="J31" s="17"/>
      <c r="K31" s="17" t="b">
        <v>0</v>
      </c>
    </row>
    <row r="32" spans="1:22" ht="19" thickBot="1" x14ac:dyDescent="0.25">
      <c r="A32" s="21" t="s">
        <v>108</v>
      </c>
      <c r="B32" s="13" t="s">
        <v>132</v>
      </c>
      <c r="C32" s="11">
        <v>0.25549691873995001</v>
      </c>
      <c r="D32" s="11">
        <v>0.25504720218216348</v>
      </c>
      <c r="E32" s="14" t="s">
        <v>133</v>
      </c>
      <c r="F32" s="11">
        <v>0.29399999999999998</v>
      </c>
      <c r="G32" s="11">
        <v>0.25900000000000001</v>
      </c>
      <c r="H32" s="14" t="s">
        <v>129</v>
      </c>
      <c r="I32" s="17"/>
      <c r="J32" s="17"/>
      <c r="K32" s="17" t="b">
        <v>0</v>
      </c>
    </row>
  </sheetData>
  <sortState xmlns:xlrd2="http://schemas.microsoft.com/office/spreadsheetml/2017/richdata2" ref="N4:Q30">
    <sortCondition ref="O4:O30"/>
  </sortState>
  <conditionalFormatting sqref="H5:H25">
    <cfRule type="colorScale" priority="6">
      <colorScale>
        <cfvo type="min"/>
        <cfvo type="max"/>
        <color rgb="FFF8696B"/>
        <color rgb="FFFCFCFF"/>
      </colorScale>
    </cfRule>
  </conditionalFormatting>
  <conditionalFormatting sqref="I5:J25">
    <cfRule type="colorScale" priority="5">
      <colorScale>
        <cfvo type="min"/>
        <cfvo type="max"/>
        <color rgb="FFF8696B"/>
        <color rgb="FFFCFCFF"/>
      </colorScale>
    </cfRule>
  </conditionalFormatting>
  <conditionalFormatting sqref="D5:D25">
    <cfRule type="cellIs" dxfId="29" priority="2" operator="greaterThan">
      <formula>F5</formula>
    </cfRule>
  </conditionalFormatting>
  <conditionalFormatting sqref="F5:F25">
    <cfRule type="cellIs" dxfId="28" priority="1" operator="greaterThan">
      <formula>D5</formula>
    </cfRule>
  </conditionalFormatting>
  <hyperlinks>
    <hyperlink ref="E29" r:id="rId1" location="_ENREF_9" tooltip="Fillet, 2015 #504" display="applewebdata://555929B4-6557-496C-9FBF-751B4C65E5D5/ - _ENREF_9" xr:uid="{73EAAF5C-48BA-B542-830A-9203A653422C}"/>
    <hyperlink ref="E30" r:id="rId2" location="_ENREF_9" tooltip="Fillet, 2015 #504" display="applewebdata://555929B4-6557-496C-9FBF-751B4C65E5D5/ - _ENREF_9" xr:uid="{CD3A9A5D-CA76-0140-851E-4395487E79D1}"/>
    <hyperlink ref="E31" r:id="rId3" location="_ENREF_9" tooltip="Fillet, 2015 #504" display="applewebdata://555929B4-6557-496C-9FBF-751B4C65E5D5/ - _ENREF_9" xr:uid="{BE582599-7905-7041-A9D0-3EA6F35C6776}"/>
  </hyperlinks>
  <pageMargins left="0.7" right="0.7" top="0.75" bottom="0.75" header="0.3" footer="0.3"/>
  <pageSetup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9E41D-F089-1242-BC62-072D97F4D48E}">
  <dimension ref="A1:N21"/>
  <sheetViews>
    <sheetView workbookViewId="0">
      <selection activeCell="C12" sqref="C12"/>
    </sheetView>
  </sheetViews>
  <sheetFormatPr baseColWidth="10" defaultRowHeight="15" x14ac:dyDescent="0.2"/>
  <sheetData>
    <row r="1" spans="1:14" ht="17" thickBot="1" x14ac:dyDescent="0.25">
      <c r="A1" s="25" t="s">
        <v>2</v>
      </c>
      <c r="B1" s="26" t="s">
        <v>3</v>
      </c>
      <c r="C1" s="26" t="s">
        <v>4</v>
      </c>
      <c r="D1" s="27" t="s">
        <v>135</v>
      </c>
      <c r="E1" s="26" t="s">
        <v>3</v>
      </c>
      <c r="F1" s="26" t="s">
        <v>4</v>
      </c>
      <c r="G1" s="26" t="s">
        <v>135</v>
      </c>
    </row>
    <row r="2" spans="1:14" ht="16" x14ac:dyDescent="0.2">
      <c r="A2" s="29" t="s">
        <v>5</v>
      </c>
      <c r="B2" s="30">
        <v>0.568824936656948</v>
      </c>
      <c r="C2" s="31">
        <v>0.56699999999999995</v>
      </c>
      <c r="D2" s="32">
        <f>C2/B2</f>
        <v>0.99679174287317041</v>
      </c>
      <c r="E2" s="30">
        <v>0.56999999999999995</v>
      </c>
      <c r="F2" s="31">
        <v>0.33</v>
      </c>
      <c r="G2" s="32">
        <f>F2/E2</f>
        <v>0.57894736842105265</v>
      </c>
      <c r="H2" cm="1">
        <f t="array" ref="H2:H21">E2:E21/B2:B21</f>
        <v>1.0020657732587428</v>
      </c>
      <c r="I2" cm="1">
        <f t="array" ref="I2:I21">B2:B21/E2:E21</f>
        <v>0.99793848536306673</v>
      </c>
      <c r="J2" s="35">
        <f>MEDIAN(G2:G21)</f>
        <v>0.44449806949806947</v>
      </c>
      <c r="K2" s="28" cm="1">
        <f t="array" ref="K2:K21">(B2:B21-C2:C21)/B2:B21</f>
        <v>3.2082571268296028E-3</v>
      </c>
      <c r="M2" s="28"/>
      <c r="N2" s="28" cm="1">
        <f t="array" ref="N2:N21">(E2:E21-F2:F21)/E2:E21</f>
        <v>0.42105263157894729</v>
      </c>
    </row>
    <row r="3" spans="1:14" ht="16" x14ac:dyDescent="0.2">
      <c r="A3" s="29" t="s">
        <v>6</v>
      </c>
      <c r="B3" s="30">
        <v>0.35578426178187</v>
      </c>
      <c r="C3" s="31">
        <v>0.35</v>
      </c>
      <c r="D3" s="32">
        <f t="shared" ref="D3:D21" si="0">C3/B3</f>
        <v>0.98374222133126188</v>
      </c>
      <c r="E3" s="30">
        <v>0.35599999999999998</v>
      </c>
      <c r="F3" s="31">
        <v>0.193</v>
      </c>
      <c r="G3" s="32">
        <f t="shared" ref="G3:G21" si="1">F3/E3</f>
        <v>0.5421348314606742</v>
      </c>
      <c r="H3">
        <v>1.0006063736969406</v>
      </c>
      <c r="I3">
        <v>0.99939399376929783</v>
      </c>
      <c r="K3">
        <v>1.6257778668738121E-2</v>
      </c>
      <c r="N3">
        <v>0.4578651685393258</v>
      </c>
    </row>
    <row r="4" spans="1:14" ht="16" x14ac:dyDescent="0.2">
      <c r="A4" s="29" t="s">
        <v>7</v>
      </c>
      <c r="B4" s="30">
        <v>0.78692044116033</v>
      </c>
      <c r="C4" s="31">
        <v>0.77800000000000002</v>
      </c>
      <c r="D4" s="32">
        <f t="shared" si="0"/>
        <v>0.98866411304912016</v>
      </c>
      <c r="E4" s="30">
        <v>0.76</v>
      </c>
      <c r="F4" s="31">
        <v>0.18099999999999999</v>
      </c>
      <c r="G4" s="32">
        <f t="shared" si="1"/>
        <v>0.2381578947368421</v>
      </c>
      <c r="H4">
        <v>0.96579013614052867</v>
      </c>
      <c r="I4">
        <v>1.0354216331056973</v>
      </c>
      <c r="K4">
        <v>1.1335886950879816E-2</v>
      </c>
      <c r="N4">
        <v>0.76184210526315788</v>
      </c>
    </row>
    <row r="5" spans="1:14" ht="16" x14ac:dyDescent="0.2">
      <c r="A5" s="29" t="s">
        <v>8</v>
      </c>
      <c r="B5" s="30">
        <v>0.53175396212655002</v>
      </c>
      <c r="C5" s="31">
        <v>0.52100000000000002</v>
      </c>
      <c r="D5" s="32">
        <f t="shared" si="0"/>
        <v>0.97977643253743973</v>
      </c>
      <c r="E5" s="30">
        <v>0.52200000000000002</v>
      </c>
      <c r="F5" s="31">
        <v>0.185</v>
      </c>
      <c r="G5" s="32">
        <f t="shared" si="1"/>
        <v>0.35440613026819923</v>
      </c>
      <c r="H5">
        <v>0.98165700150584179</v>
      </c>
      <c r="I5">
        <v>1.0186857512002874</v>
      </c>
      <c r="K5">
        <v>2.0223567462560262E-2</v>
      </c>
      <c r="N5">
        <v>0.64559386973180077</v>
      </c>
    </row>
    <row r="6" spans="1:14" ht="16" x14ac:dyDescent="0.2">
      <c r="A6" s="29" t="s">
        <v>150</v>
      </c>
      <c r="B6" s="30">
        <v>0.279598290698717</v>
      </c>
      <c r="C6" s="31">
        <v>0.27700000000000002</v>
      </c>
      <c r="D6" s="32">
        <f t="shared" si="0"/>
        <v>0.99070705800016212</v>
      </c>
      <c r="E6" s="30">
        <v>0.28000000000000003</v>
      </c>
      <c r="F6" s="31">
        <v>0.125</v>
      </c>
      <c r="G6" s="32">
        <f t="shared" si="1"/>
        <v>0.4464285714285714</v>
      </c>
      <c r="H6">
        <v>1.0014367373286839</v>
      </c>
      <c r="I6">
        <v>0.99856532392398922</v>
      </c>
      <c r="K6">
        <v>9.2929419998378383E-3</v>
      </c>
      <c r="N6">
        <v>0.5535714285714286</v>
      </c>
    </row>
    <row r="7" spans="1:14" ht="16" x14ac:dyDescent="0.2">
      <c r="A7" s="29" t="s">
        <v>10</v>
      </c>
      <c r="B7" s="30">
        <v>0.50239411558340397</v>
      </c>
      <c r="C7" s="31">
        <v>0.501</v>
      </c>
      <c r="D7" s="32">
        <f t="shared" si="0"/>
        <v>0.9972250559069844</v>
      </c>
      <c r="E7" s="30">
        <v>0.48799999999999999</v>
      </c>
      <c r="F7" s="31">
        <v>0.48699999999999999</v>
      </c>
      <c r="G7" s="32">
        <f t="shared" si="1"/>
        <v>0.99795081967213117</v>
      </c>
      <c r="H7">
        <v>0.9713489566519129</v>
      </c>
      <c r="I7">
        <v>1.0294961384905819</v>
      </c>
      <c r="K7">
        <v>2.774944093015604E-3</v>
      </c>
      <c r="N7">
        <v>2.0491803278688543E-3</v>
      </c>
    </row>
    <row r="8" spans="1:14" ht="16" x14ac:dyDescent="0.2">
      <c r="A8" s="29" t="s">
        <v>11</v>
      </c>
      <c r="B8" s="30">
        <v>0.350400218417311</v>
      </c>
      <c r="C8" s="31">
        <v>0.34799999999999998</v>
      </c>
      <c r="D8" s="32">
        <f t="shared" si="0"/>
        <v>0.99315006586424992</v>
      </c>
      <c r="E8" s="30">
        <v>0.34899999999999998</v>
      </c>
      <c r="F8" s="31">
        <v>0.27400000000000002</v>
      </c>
      <c r="G8" s="32">
        <f t="shared" si="1"/>
        <v>0.78510028653295139</v>
      </c>
      <c r="H8">
        <v>0.99600394536385983</v>
      </c>
      <c r="I8">
        <v>1.0040120871556191</v>
      </c>
      <c r="K8">
        <v>6.8499341357500972E-3</v>
      </c>
      <c r="N8">
        <v>0.21489971346704859</v>
      </c>
    </row>
    <row r="9" spans="1:14" ht="16" x14ac:dyDescent="0.2">
      <c r="A9" s="29" t="s">
        <v>12</v>
      </c>
      <c r="B9" s="30">
        <v>0.90749752937114303</v>
      </c>
      <c r="C9" s="31">
        <v>0.9</v>
      </c>
      <c r="D9" s="32">
        <f t="shared" si="0"/>
        <v>0.99173823715383724</v>
      </c>
      <c r="E9" s="30">
        <v>0.76700000000000002</v>
      </c>
      <c r="F9" s="31">
        <v>0.30599999999999999</v>
      </c>
      <c r="G9" s="32">
        <f t="shared" si="1"/>
        <v>0.39895697522816165</v>
      </c>
      <c r="H9">
        <v>0.84518136432999236</v>
      </c>
      <c r="I9">
        <v>1.183178004395232</v>
      </c>
      <c r="K9">
        <v>8.2617628461627603E-3</v>
      </c>
      <c r="N9">
        <v>0.60104302477183835</v>
      </c>
    </row>
    <row r="10" spans="1:14" ht="16" x14ac:dyDescent="0.2">
      <c r="A10" s="29" t="s">
        <v>13</v>
      </c>
      <c r="B10" s="30">
        <v>0.48848179396514702</v>
      </c>
      <c r="C10" s="31">
        <v>0.47899999999999998</v>
      </c>
      <c r="D10" s="32">
        <f t="shared" si="0"/>
        <v>0.98058925822356535</v>
      </c>
      <c r="E10" s="30">
        <v>0.48599999999999999</v>
      </c>
      <c r="F10" s="31">
        <v>0.21199999999999999</v>
      </c>
      <c r="G10" s="32">
        <f t="shared" si="1"/>
        <v>0.43621399176954734</v>
      </c>
      <c r="H10">
        <v>0.99491937264436903</v>
      </c>
      <c r="I10">
        <v>1.005106571944747</v>
      </c>
      <c r="K10">
        <v>1.9410741776434672E-2</v>
      </c>
      <c r="N10">
        <v>0.56378600823045277</v>
      </c>
    </row>
    <row r="11" spans="1:14" ht="16" x14ac:dyDescent="0.2">
      <c r="A11" s="29" t="s">
        <v>14</v>
      </c>
      <c r="B11" s="30">
        <v>0.30313866538374801</v>
      </c>
      <c r="C11" s="31">
        <v>0.29899999999999999</v>
      </c>
      <c r="D11" s="32">
        <f t="shared" si="0"/>
        <v>0.98634728638621927</v>
      </c>
      <c r="E11" s="30">
        <v>0.29799999999999999</v>
      </c>
      <c r="F11" s="31">
        <v>7.6999999999999999E-2</v>
      </c>
      <c r="G11" s="32">
        <f t="shared" si="1"/>
        <v>0.25838926174496646</v>
      </c>
      <c r="H11">
        <v>0.98304846603041252</v>
      </c>
      <c r="I11">
        <v>1.0172438435696243</v>
      </c>
      <c r="K11">
        <v>1.3652713613780735E-2</v>
      </c>
      <c r="N11">
        <v>0.74161073825503354</v>
      </c>
    </row>
    <row r="12" spans="1:14" ht="16" x14ac:dyDescent="0.2">
      <c r="A12" s="29" t="s">
        <v>16</v>
      </c>
      <c r="B12" s="30">
        <v>0.384669228477025</v>
      </c>
      <c r="C12" s="31">
        <v>0.38100000000000001</v>
      </c>
      <c r="D12" s="32">
        <f t="shared" si="0"/>
        <v>0.99046134131510299</v>
      </c>
      <c r="E12" s="30">
        <v>0.39</v>
      </c>
      <c r="F12" s="31">
        <v>0.38500000000000001</v>
      </c>
      <c r="G12" s="32">
        <f t="shared" si="1"/>
        <v>0.98717948717948711</v>
      </c>
      <c r="H12">
        <v>1.0138580659130976</v>
      </c>
      <c r="I12">
        <v>0.98633135506929481</v>
      </c>
      <c r="K12">
        <v>9.53865868489699E-3</v>
      </c>
      <c r="N12">
        <v>1.2820512820512832E-2</v>
      </c>
    </row>
    <row r="13" spans="1:14" ht="16" x14ac:dyDescent="0.2">
      <c r="A13" s="29" t="s">
        <v>151</v>
      </c>
      <c r="B13" s="30">
        <v>0.89544438180771901</v>
      </c>
      <c r="C13" s="31">
        <v>0.89400000000000002</v>
      </c>
      <c r="D13" s="32">
        <f t="shared" si="0"/>
        <v>0.99838696647489922</v>
      </c>
      <c r="E13" s="30">
        <v>0.90700000000000003</v>
      </c>
      <c r="F13" s="31">
        <v>0.79200000000000004</v>
      </c>
      <c r="G13" s="32">
        <f t="shared" si="1"/>
        <v>0.87320837927232642</v>
      </c>
      <c r="H13">
        <v>1.0129048977547355</v>
      </c>
      <c r="I13">
        <v>0.98725951687730873</v>
      </c>
      <c r="K13">
        <v>1.6130335251007841E-3</v>
      </c>
      <c r="N13">
        <v>0.12679162072767364</v>
      </c>
    </row>
    <row r="14" spans="1:14" ht="16" x14ac:dyDescent="0.2">
      <c r="A14" s="29" t="s">
        <v>18</v>
      </c>
      <c r="B14" s="30">
        <v>0.61630681165772105</v>
      </c>
      <c r="C14" s="31">
        <v>0.61199999999999999</v>
      </c>
      <c r="D14" s="32">
        <f t="shared" si="0"/>
        <v>0.99301190320104238</v>
      </c>
      <c r="E14" s="30">
        <v>0.61399999999999999</v>
      </c>
      <c r="F14" s="31">
        <v>0.28299999999999997</v>
      </c>
      <c r="G14" s="32">
        <f t="shared" si="1"/>
        <v>0.46091205211726383</v>
      </c>
      <c r="H14">
        <v>0.99625704013960792</v>
      </c>
      <c r="I14">
        <v>1.0037570222438454</v>
      </c>
      <c r="K14">
        <v>6.9880967989575686E-3</v>
      </c>
      <c r="N14">
        <v>0.53908794788273617</v>
      </c>
    </row>
    <row r="15" spans="1:14" ht="16" x14ac:dyDescent="0.2">
      <c r="A15" s="29" t="s">
        <v>19</v>
      </c>
      <c r="B15" s="30">
        <v>0.46980671732777102</v>
      </c>
      <c r="C15" s="31">
        <v>0.46100000000000002</v>
      </c>
      <c r="D15" s="32">
        <f t="shared" si="0"/>
        <v>0.98125459470255549</v>
      </c>
      <c r="E15" s="30">
        <v>0.45400000000000001</v>
      </c>
      <c r="F15" s="31">
        <v>0.123</v>
      </c>
      <c r="G15" s="32">
        <f t="shared" si="1"/>
        <v>0.27092511013215859</v>
      </c>
      <c r="H15">
        <v>0.96635485031444734</v>
      </c>
      <c r="I15">
        <v>1.0348165579906849</v>
      </c>
      <c r="K15">
        <v>1.8745405297444472E-2</v>
      </c>
      <c r="N15">
        <v>0.72907488986784141</v>
      </c>
    </row>
    <row r="16" spans="1:14" ht="16" x14ac:dyDescent="0.2">
      <c r="A16" s="29" t="s">
        <v>20</v>
      </c>
      <c r="B16" s="30">
        <v>0.64296443343640097</v>
      </c>
      <c r="C16" s="31">
        <v>0.63600000000000001</v>
      </c>
      <c r="D16" s="32">
        <f t="shared" si="0"/>
        <v>0.98916824465829511</v>
      </c>
      <c r="E16" s="30">
        <v>0.54100000000000004</v>
      </c>
      <c r="F16" s="31">
        <v>0.20699999999999999</v>
      </c>
      <c r="G16" s="32">
        <f t="shared" si="1"/>
        <v>0.38262476894639552</v>
      </c>
      <c r="H16">
        <v>0.84141512635241777</v>
      </c>
      <c r="I16">
        <v>1.1884739989582271</v>
      </c>
      <c r="K16">
        <v>1.0831755341704842E-2</v>
      </c>
      <c r="N16">
        <v>0.61737523105360448</v>
      </c>
    </row>
    <row r="17" spans="1:14" ht="16" x14ac:dyDescent="0.2">
      <c r="A17" s="29" t="s">
        <v>21</v>
      </c>
      <c r="B17" s="30">
        <v>0.373211214581465</v>
      </c>
      <c r="C17" s="31">
        <v>0.33700000000000002</v>
      </c>
      <c r="D17" s="32">
        <f t="shared" si="0"/>
        <v>0.90297393763455425</v>
      </c>
      <c r="E17" s="30">
        <v>0.34799999999999998</v>
      </c>
      <c r="F17" s="31">
        <v>6.8000000000000005E-2</v>
      </c>
      <c r="G17" s="32">
        <f t="shared" si="1"/>
        <v>0.19540229885057475</v>
      </c>
      <c r="H17">
        <v>0.93244786438226956</v>
      </c>
      <c r="I17">
        <v>1.0724460189122558</v>
      </c>
      <c r="K17">
        <v>9.7026062365445753E-2</v>
      </c>
      <c r="N17">
        <v>0.8045977011494253</v>
      </c>
    </row>
    <row r="18" spans="1:14" ht="16" x14ac:dyDescent="0.2">
      <c r="A18" s="29" t="s">
        <v>22</v>
      </c>
      <c r="B18" s="30">
        <v>0.39386110252668599</v>
      </c>
      <c r="C18" s="31">
        <v>0.38700000000000001</v>
      </c>
      <c r="D18" s="32">
        <f t="shared" si="0"/>
        <v>0.98257989305704263</v>
      </c>
      <c r="E18" s="30">
        <v>0.38100000000000001</v>
      </c>
      <c r="F18" s="31">
        <v>0.10299999999999999</v>
      </c>
      <c r="G18" s="32">
        <f t="shared" si="1"/>
        <v>0.27034120734908135</v>
      </c>
      <c r="H18">
        <v>0.96734609626546053</v>
      </c>
      <c r="I18">
        <v>1.0337561746107244</v>
      </c>
      <c r="K18">
        <v>1.7420106942957404E-2</v>
      </c>
      <c r="N18">
        <v>0.72965879265091871</v>
      </c>
    </row>
    <row r="19" spans="1:14" ht="16" x14ac:dyDescent="0.2">
      <c r="A19" s="29" t="s">
        <v>23</v>
      </c>
      <c r="B19" s="30">
        <v>0.31269310768848102</v>
      </c>
      <c r="C19" s="31">
        <v>0.309</v>
      </c>
      <c r="D19" s="32">
        <f t="shared" si="0"/>
        <v>0.9881893537219878</v>
      </c>
      <c r="E19" s="30">
        <v>0.30599999999999999</v>
      </c>
      <c r="F19" s="31">
        <v>0.13700000000000001</v>
      </c>
      <c r="G19" s="32">
        <f t="shared" si="1"/>
        <v>0.44771241830065361</v>
      </c>
      <c r="H19">
        <v>0.97859528232662873</v>
      </c>
      <c r="I19">
        <v>1.0218729009427485</v>
      </c>
      <c r="K19">
        <v>1.1810646278012191E-2</v>
      </c>
      <c r="N19">
        <v>0.55228758169934633</v>
      </c>
    </row>
    <row r="20" spans="1:14" ht="18" x14ac:dyDescent="0.2">
      <c r="A20" s="29" t="s">
        <v>152</v>
      </c>
      <c r="B20" s="30">
        <v>0.71406904914327596</v>
      </c>
      <c r="C20" s="31">
        <v>0.70599999999999996</v>
      </c>
      <c r="D20" s="32">
        <f t="shared" si="0"/>
        <v>0.98869990352759718</v>
      </c>
      <c r="E20" s="30">
        <v>0.71199999999999997</v>
      </c>
      <c r="F20" s="31">
        <v>0.33400000000000002</v>
      </c>
      <c r="G20" s="32">
        <f t="shared" si="1"/>
        <v>0.46910112359550565</v>
      </c>
      <c r="H20">
        <v>0.99710245228278915</v>
      </c>
      <c r="I20">
        <v>1.0029059678978596</v>
      </c>
      <c r="K20">
        <v>1.1300096472402859E-2</v>
      </c>
      <c r="N20">
        <v>0.53089887640449429</v>
      </c>
    </row>
    <row r="21" spans="1:14" ht="17" thickBot="1" x14ac:dyDescent="0.25">
      <c r="A21" s="33" t="s">
        <v>25</v>
      </c>
      <c r="B21" s="34">
        <v>0.30069507217715702</v>
      </c>
      <c r="C21" s="31">
        <v>0.29599999999999999</v>
      </c>
      <c r="D21" s="32">
        <f t="shared" si="0"/>
        <v>0.98438593574825561</v>
      </c>
      <c r="E21" s="34">
        <v>0.29599999999999999</v>
      </c>
      <c r="F21" s="31">
        <v>0.13100000000000001</v>
      </c>
      <c r="G21" s="32">
        <f t="shared" si="1"/>
        <v>0.4425675675675676</v>
      </c>
      <c r="H21">
        <v>0.98438593574825561</v>
      </c>
      <c r="I21">
        <v>1.0158617303282331</v>
      </c>
      <c r="K21">
        <v>1.5614064251744346E-2</v>
      </c>
      <c r="N21">
        <v>0.55743243243243235</v>
      </c>
    </row>
  </sheetData>
  <conditionalFormatting sqref="C2:C21">
    <cfRule type="cellIs" dxfId="27" priority="4" stopIfTrue="1" operator="greaterThan">
      <formula>F2</formula>
    </cfRule>
  </conditionalFormatting>
  <conditionalFormatting sqref="F2:F21">
    <cfRule type="cellIs" dxfId="26" priority="3" stopIfTrue="1" operator="greaterThan">
      <formula>C2</formula>
    </cfRule>
  </conditionalFormatting>
  <conditionalFormatting sqref="H2:H21">
    <cfRule type="cellIs" dxfId="25" priority="1" operator="lessThan">
      <formula>0.9</formula>
    </cfRule>
    <cfRule type="cellIs" dxfId="24" priority="2" operator="greaterThan">
      <formula>1.1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79354-91A0-4D44-9D52-58189E33D3E2}">
  <sheetPr codeName="Sheet2"/>
  <dimension ref="A1:AA30"/>
  <sheetViews>
    <sheetView workbookViewId="0">
      <selection activeCell="F9" sqref="F9"/>
    </sheetView>
  </sheetViews>
  <sheetFormatPr baseColWidth="10" defaultRowHeight="15" x14ac:dyDescent="0.2"/>
  <cols>
    <col min="1" max="1" width="9.83203125" bestFit="1" customWidth="1"/>
    <col min="2" max="2" width="20.1640625" bestFit="1" customWidth="1"/>
    <col min="3" max="3" width="30.83203125" bestFit="1" customWidth="1"/>
    <col min="4" max="4" width="13" bestFit="1" customWidth="1"/>
    <col min="5" max="6" width="12.1640625" bestFit="1" customWidth="1"/>
    <col min="7" max="7" width="19.1640625" bestFit="1" customWidth="1"/>
    <col min="8" max="9" width="12.1640625" bestFit="1" customWidth="1"/>
    <col min="10" max="10" width="19.33203125" bestFit="1" customWidth="1"/>
    <col min="11" max="11" width="12.33203125" bestFit="1" customWidth="1"/>
    <col min="12" max="12" width="25.5" bestFit="1" customWidth="1"/>
    <col min="13" max="13" width="25.83203125" bestFit="1" customWidth="1"/>
    <col min="14" max="15" width="80.6640625" bestFit="1" customWidth="1"/>
    <col min="16" max="16" width="68.33203125" bestFit="1" customWidth="1"/>
    <col min="17" max="17" width="32.5" bestFit="1" customWidth="1"/>
    <col min="18" max="18" width="32.83203125" bestFit="1" customWidth="1"/>
    <col min="19" max="19" width="80.6640625" bestFit="1" customWidth="1"/>
    <col min="20" max="20" width="16" bestFit="1" customWidth="1"/>
    <col min="21" max="21" width="20.1640625" bestFit="1" customWidth="1"/>
    <col min="22" max="22" width="12.83203125" bestFit="1" customWidth="1"/>
    <col min="23" max="23" width="16.83203125" bestFit="1" customWidth="1"/>
    <col min="24" max="24" width="8.1640625" bestFit="1" customWidth="1"/>
    <col min="25" max="25" width="12.1640625" bestFit="1" customWidth="1"/>
    <col min="26" max="26" width="7.5" bestFit="1" customWidth="1"/>
    <col min="27" max="27" width="12.1640625" bestFit="1" customWidth="1"/>
  </cols>
  <sheetData>
    <row r="1" spans="1:27" x14ac:dyDescent="0.2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  <c r="W1" t="s">
        <v>49</v>
      </c>
      <c r="X1" t="s">
        <v>50</v>
      </c>
      <c r="Y1" t="s">
        <v>51</v>
      </c>
      <c r="Z1" t="s">
        <v>52</v>
      </c>
      <c r="AA1" t="s">
        <v>53</v>
      </c>
    </row>
    <row r="2" spans="1:27" x14ac:dyDescent="0.2">
      <c r="A2" t="s">
        <v>54</v>
      </c>
      <c r="B2" t="s">
        <v>5</v>
      </c>
      <c r="C2" t="s">
        <v>55</v>
      </c>
      <c r="D2">
        <v>76.09</v>
      </c>
      <c r="E2">
        <v>17.791091418837599</v>
      </c>
      <c r="F2" s="28">
        <v>0.568824936656948</v>
      </c>
      <c r="G2">
        <v>-13.21</v>
      </c>
      <c r="H2">
        <v>17.747765103673935</v>
      </c>
      <c r="I2">
        <v>0.56743968783221987</v>
      </c>
      <c r="J2">
        <v>-13.21</v>
      </c>
      <c r="K2">
        <f>RT_compiled_results__2[[#This Row],[yieldRBA]]/RT_compiled_results__2[[#This Row],[yieldFBA]]</f>
        <v>0.9975647185356018</v>
      </c>
      <c r="N2" t="s">
        <v>56</v>
      </c>
      <c r="O2" t="s">
        <v>56</v>
      </c>
      <c r="P2" t="s">
        <v>56</v>
      </c>
      <c r="S2" t="s">
        <v>56</v>
      </c>
      <c r="T2" t="s">
        <v>56</v>
      </c>
      <c r="U2">
        <v>-13.21</v>
      </c>
      <c r="V2" t="s">
        <v>56</v>
      </c>
      <c r="W2">
        <v>0</v>
      </c>
      <c r="X2" t="s">
        <v>56</v>
      </c>
      <c r="Y2">
        <v>17.747765103673935</v>
      </c>
      <c r="Z2" t="s">
        <v>56</v>
      </c>
      <c r="AA2">
        <v>0.56743968783221987</v>
      </c>
    </row>
    <row r="3" spans="1:27" x14ac:dyDescent="0.2">
      <c r="A3" t="s">
        <v>57</v>
      </c>
      <c r="B3" t="s">
        <v>6</v>
      </c>
      <c r="C3" t="s">
        <v>58</v>
      </c>
      <c r="D3">
        <v>122.16</v>
      </c>
      <c r="E3">
        <v>6.9312131928637903</v>
      </c>
      <c r="F3" s="28">
        <v>0.35578426178187</v>
      </c>
      <c r="G3">
        <v>-13.21</v>
      </c>
      <c r="H3">
        <v>6.8237411979576512</v>
      </c>
      <c r="I3">
        <v>0.35026764538212168</v>
      </c>
      <c r="J3">
        <v>-13.21</v>
      </c>
      <c r="K3">
        <f>RT_compiled_results__2[[#This Row],[yieldRBA]]/RT_compiled_results__2[[#This Row],[yieldFBA]]</f>
        <v>0.98449449008194034</v>
      </c>
      <c r="N3" t="s">
        <v>56</v>
      </c>
      <c r="O3" t="s">
        <v>56</v>
      </c>
      <c r="P3" t="s">
        <v>56</v>
      </c>
      <c r="S3" t="s">
        <v>56</v>
      </c>
      <c r="T3" t="s">
        <v>56</v>
      </c>
      <c r="U3">
        <v>-13.21</v>
      </c>
      <c r="V3" t="s">
        <v>56</v>
      </c>
      <c r="W3">
        <v>0</v>
      </c>
      <c r="X3" t="s">
        <v>56</v>
      </c>
      <c r="Y3">
        <v>6.8237411979576512</v>
      </c>
      <c r="Z3" t="s">
        <v>56</v>
      </c>
      <c r="AA3">
        <v>0.35026764538212168</v>
      </c>
    </row>
    <row r="4" spans="1:27" x14ac:dyDescent="0.2">
      <c r="A4" t="s">
        <v>59</v>
      </c>
      <c r="B4" t="s">
        <v>7</v>
      </c>
      <c r="C4" t="s">
        <v>60</v>
      </c>
      <c r="D4">
        <v>90.08</v>
      </c>
      <c r="E4">
        <v>20.789976456031901</v>
      </c>
      <c r="F4" s="28">
        <v>0.78692044116033</v>
      </c>
      <c r="G4">
        <v>-13.21</v>
      </c>
      <c r="H4">
        <v>20.560070228435364</v>
      </c>
      <c r="I4">
        <v>0.77821827113005448</v>
      </c>
      <c r="J4">
        <v>-13.21</v>
      </c>
      <c r="K4">
        <f>RT_compiled_results__2[[#This Row],[yieldRBA]]/RT_compiled_results__2[[#This Row],[yieldFBA]]</f>
        <v>0.98894148687071337</v>
      </c>
      <c r="N4" t="s">
        <v>56</v>
      </c>
      <c r="O4" t="s">
        <v>56</v>
      </c>
      <c r="P4" t="s">
        <v>56</v>
      </c>
      <c r="S4" t="s">
        <v>56</v>
      </c>
      <c r="T4" t="s">
        <v>56</v>
      </c>
      <c r="U4">
        <v>-13.21</v>
      </c>
      <c r="V4" t="s">
        <v>56</v>
      </c>
      <c r="W4">
        <v>0</v>
      </c>
      <c r="X4" t="s">
        <v>56</v>
      </c>
      <c r="Y4">
        <v>20.560070228435364</v>
      </c>
      <c r="Z4" t="s">
        <v>56</v>
      </c>
      <c r="AA4">
        <v>0.77821827113005448</v>
      </c>
    </row>
    <row r="5" spans="1:27" x14ac:dyDescent="0.2">
      <c r="A5" t="s">
        <v>61</v>
      </c>
      <c r="B5" t="s">
        <v>7</v>
      </c>
      <c r="C5" t="s">
        <v>62</v>
      </c>
      <c r="D5">
        <v>90.08</v>
      </c>
      <c r="E5">
        <v>21.396439742322201</v>
      </c>
      <c r="F5" s="28">
        <v>0.80987565507336101</v>
      </c>
      <c r="G5">
        <v>-13.21</v>
      </c>
      <c r="H5">
        <v>21.36426249381838</v>
      </c>
      <c r="I5">
        <v>0.80865771552246601</v>
      </c>
      <c r="J5">
        <v>-13.21</v>
      </c>
      <c r="K5">
        <f>RT_compiled_results__2[[#This Row],[yieldRBA]]/RT_compiled_results__2[[#This Row],[yieldFBA]]</f>
        <v>0.99849614006389087</v>
      </c>
      <c r="N5" t="s">
        <v>56</v>
      </c>
      <c r="O5" t="s">
        <v>56</v>
      </c>
      <c r="P5" t="s">
        <v>56</v>
      </c>
      <c r="S5" t="s">
        <v>56</v>
      </c>
      <c r="T5" t="s">
        <v>56</v>
      </c>
      <c r="U5">
        <v>-13.21</v>
      </c>
      <c r="V5" t="s">
        <v>56</v>
      </c>
      <c r="W5">
        <v>0</v>
      </c>
      <c r="X5" t="s">
        <v>56</v>
      </c>
      <c r="Y5">
        <v>21.36426249381838</v>
      </c>
      <c r="Z5" t="s">
        <v>56</v>
      </c>
      <c r="AA5">
        <v>0.80865771552246601</v>
      </c>
    </row>
    <row r="6" spans="1:27" x14ac:dyDescent="0.2">
      <c r="A6" t="s">
        <v>59</v>
      </c>
      <c r="B6" t="s">
        <v>7</v>
      </c>
      <c r="C6" t="s">
        <v>60</v>
      </c>
      <c r="D6">
        <v>90.08</v>
      </c>
      <c r="E6">
        <v>20.789976456031901</v>
      </c>
      <c r="F6" s="28">
        <v>0.78692044116033</v>
      </c>
      <c r="G6">
        <v>-13.21</v>
      </c>
      <c r="H6">
        <v>20.560070228435364</v>
      </c>
      <c r="I6">
        <v>0.77821827113005448</v>
      </c>
      <c r="J6">
        <v>-13.21</v>
      </c>
      <c r="K6">
        <f>RT_compiled_results__2[[#This Row],[yieldRBA]]/RT_compiled_results__2[[#This Row],[yieldFBA]]</f>
        <v>0.98894148687071337</v>
      </c>
      <c r="N6" t="s">
        <v>56</v>
      </c>
      <c r="O6" t="s">
        <v>56</v>
      </c>
      <c r="P6" t="s">
        <v>56</v>
      </c>
      <c r="S6" t="s">
        <v>56</v>
      </c>
      <c r="T6" t="s">
        <v>56</v>
      </c>
      <c r="U6">
        <v>-13.21</v>
      </c>
      <c r="V6" t="s">
        <v>56</v>
      </c>
      <c r="W6">
        <v>0</v>
      </c>
      <c r="X6" t="s">
        <v>56</v>
      </c>
      <c r="Y6">
        <v>20.560070228435364</v>
      </c>
      <c r="Z6" t="s">
        <v>56</v>
      </c>
      <c r="AA6">
        <v>0.77821827113005448</v>
      </c>
    </row>
    <row r="7" spans="1:27" x14ac:dyDescent="0.2">
      <c r="A7" t="s">
        <v>61</v>
      </c>
      <c r="B7" t="s">
        <v>7</v>
      </c>
      <c r="C7" t="s">
        <v>62</v>
      </c>
      <c r="D7">
        <v>90.08</v>
      </c>
      <c r="E7">
        <v>21.396439742322201</v>
      </c>
      <c r="F7" s="28">
        <v>0.80987565507336101</v>
      </c>
      <c r="G7">
        <v>-13.21</v>
      </c>
      <c r="H7">
        <v>21.36426249381838</v>
      </c>
      <c r="I7">
        <v>0.80865771552246601</v>
      </c>
      <c r="J7">
        <v>-13.21</v>
      </c>
      <c r="K7">
        <f>RT_compiled_results__2[[#This Row],[yieldRBA]]/RT_compiled_results__2[[#This Row],[yieldFBA]]</f>
        <v>0.99849614006389087</v>
      </c>
      <c r="N7" t="s">
        <v>56</v>
      </c>
      <c r="O7" t="s">
        <v>56</v>
      </c>
      <c r="P7" t="s">
        <v>56</v>
      </c>
      <c r="S7" t="s">
        <v>56</v>
      </c>
      <c r="T7" t="s">
        <v>56</v>
      </c>
      <c r="U7">
        <v>-13.21</v>
      </c>
      <c r="V7" t="s">
        <v>56</v>
      </c>
      <c r="W7">
        <v>0</v>
      </c>
      <c r="X7" t="s">
        <v>56</v>
      </c>
      <c r="Y7">
        <v>21.36426249381838</v>
      </c>
      <c r="Z7" t="s">
        <v>56</v>
      </c>
      <c r="AA7">
        <v>0.80865771552246601</v>
      </c>
    </row>
    <row r="8" spans="1:27" x14ac:dyDescent="0.2">
      <c r="A8" t="s">
        <v>63</v>
      </c>
      <c r="B8" t="s">
        <v>8</v>
      </c>
      <c r="C8" t="s">
        <v>64</v>
      </c>
      <c r="D8">
        <v>137.11000000000001</v>
      </c>
      <c r="E8">
        <v>9.2298183096747302</v>
      </c>
      <c r="F8" s="28">
        <v>0.53175396212655002</v>
      </c>
      <c r="G8">
        <v>-13.21</v>
      </c>
      <c r="H8">
        <v>9.0403229829822553</v>
      </c>
      <c r="I8">
        <v>0.52083664096243054</v>
      </c>
      <c r="J8">
        <v>-13.21</v>
      </c>
      <c r="K8">
        <f>RT_compiled_results__2[[#This Row],[yieldRBA]]/RT_compiled_results__2[[#This Row],[yieldFBA]]</f>
        <v>0.97946922460067853</v>
      </c>
      <c r="N8" t="s">
        <v>56</v>
      </c>
      <c r="O8" t="s">
        <v>56</v>
      </c>
      <c r="P8" t="s">
        <v>56</v>
      </c>
      <c r="S8" t="s">
        <v>56</v>
      </c>
      <c r="T8" t="s">
        <v>56</v>
      </c>
      <c r="U8">
        <v>-13.21</v>
      </c>
      <c r="V8" t="s">
        <v>56</v>
      </c>
      <c r="W8">
        <v>0</v>
      </c>
      <c r="X8" t="s">
        <v>56</v>
      </c>
      <c r="Y8">
        <v>9.0403229829822553</v>
      </c>
      <c r="Z8" t="s">
        <v>56</v>
      </c>
      <c r="AA8">
        <v>0.52083664096243054</v>
      </c>
    </row>
    <row r="9" spans="1:27" x14ac:dyDescent="0.2">
      <c r="A9" t="s">
        <v>65</v>
      </c>
      <c r="B9" t="s">
        <v>9</v>
      </c>
      <c r="C9" t="s">
        <v>66</v>
      </c>
      <c r="D9">
        <v>234.33</v>
      </c>
      <c r="E9">
        <v>2.8396065403360602</v>
      </c>
      <c r="F9" s="28">
        <v>0.279598290698717</v>
      </c>
      <c r="G9">
        <v>-13.21</v>
      </c>
      <c r="H9">
        <v>2.8083544164046121</v>
      </c>
      <c r="I9">
        <v>0.27652108957672494</v>
      </c>
      <c r="J9">
        <v>-13.21</v>
      </c>
      <c r="K9">
        <f>RT_compiled_results__2[[#This Row],[yieldRBA]]/RT_compiled_results__2[[#This Row],[yieldFBA]]</f>
        <v>0.98899420624388612</v>
      </c>
      <c r="N9" t="s">
        <v>56</v>
      </c>
      <c r="O9" t="s">
        <v>56</v>
      </c>
      <c r="P9" t="s">
        <v>56</v>
      </c>
      <c r="S9" t="s">
        <v>56</v>
      </c>
      <c r="T9" t="s">
        <v>56</v>
      </c>
      <c r="U9">
        <v>-13.21</v>
      </c>
      <c r="V9" t="s">
        <v>56</v>
      </c>
      <c r="W9">
        <v>0</v>
      </c>
      <c r="X9" t="s">
        <v>56</v>
      </c>
      <c r="Y9">
        <v>2.8083544164046121</v>
      </c>
      <c r="Z9" t="s">
        <v>56</v>
      </c>
      <c r="AA9">
        <v>0.27652108957672494</v>
      </c>
    </row>
    <row r="10" spans="1:27" x14ac:dyDescent="0.2">
      <c r="A10" t="s">
        <v>67</v>
      </c>
      <c r="B10" t="s">
        <v>10</v>
      </c>
      <c r="C10" t="s">
        <v>68</v>
      </c>
      <c r="D10">
        <v>90.12</v>
      </c>
      <c r="E10">
        <v>13.2670665971132</v>
      </c>
      <c r="F10" s="28">
        <v>0.50239411558340397</v>
      </c>
      <c r="G10">
        <v>-13.21</v>
      </c>
      <c r="H10">
        <v>13.24322100338598</v>
      </c>
      <c r="I10">
        <v>0.50149113632393538</v>
      </c>
      <c r="J10">
        <v>-13.21</v>
      </c>
      <c r="K10">
        <f>RT_compiled_results__2[[#This Row],[yieldRBA]]/RT_compiled_results__2[[#This Row],[yieldFBA]]</f>
        <v>0.99820264761974764</v>
      </c>
      <c r="N10" t="s">
        <v>56</v>
      </c>
      <c r="O10" t="s">
        <v>56</v>
      </c>
      <c r="P10" t="s">
        <v>56</v>
      </c>
      <c r="S10" t="s">
        <v>56</v>
      </c>
      <c r="T10" t="s">
        <v>56</v>
      </c>
      <c r="U10">
        <v>-13.21</v>
      </c>
      <c r="V10" t="s">
        <v>56</v>
      </c>
      <c r="W10">
        <v>0</v>
      </c>
      <c r="X10" t="s">
        <v>56</v>
      </c>
      <c r="Y10">
        <v>13.24322100338598</v>
      </c>
      <c r="Z10" t="s">
        <v>56</v>
      </c>
      <c r="AA10">
        <v>0.50149113632393538</v>
      </c>
    </row>
    <row r="11" spans="1:27" x14ac:dyDescent="0.2">
      <c r="A11" t="s">
        <v>69</v>
      </c>
      <c r="B11" t="s">
        <v>11</v>
      </c>
      <c r="C11" t="s">
        <v>70</v>
      </c>
      <c r="D11">
        <v>74.12</v>
      </c>
      <c r="E11">
        <v>11.250724906999301</v>
      </c>
      <c r="F11" s="28">
        <v>0.350400218417311</v>
      </c>
      <c r="G11">
        <v>-13.21</v>
      </c>
      <c r="H11">
        <v>11.182639207677049</v>
      </c>
      <c r="I11">
        <v>0.34827971115126199</v>
      </c>
      <c r="J11">
        <v>-13.21</v>
      </c>
      <c r="K11">
        <f>RT_compiled_results__2[[#This Row],[yieldRBA]]/RT_compiled_results__2[[#This Row],[yieldFBA]]</f>
        <v>0.99394832778464881</v>
      </c>
      <c r="N11" t="s">
        <v>56</v>
      </c>
      <c r="O11" t="s">
        <v>56</v>
      </c>
      <c r="P11" t="s">
        <v>56</v>
      </c>
      <c r="S11" t="s">
        <v>56</v>
      </c>
      <c r="T11" t="s">
        <v>56</v>
      </c>
      <c r="U11">
        <v>-13.21</v>
      </c>
      <c r="V11" t="s">
        <v>56</v>
      </c>
      <c r="W11">
        <v>0</v>
      </c>
      <c r="X11" t="s">
        <v>56</v>
      </c>
      <c r="Y11">
        <v>11.182639207677049</v>
      </c>
      <c r="Z11" t="s">
        <v>56</v>
      </c>
      <c r="AA11">
        <v>0.34827971115126199</v>
      </c>
    </row>
    <row r="12" spans="1:27" x14ac:dyDescent="0.2">
      <c r="A12" t="s">
        <v>71</v>
      </c>
      <c r="B12" t="s">
        <v>12</v>
      </c>
      <c r="C12" t="s">
        <v>72</v>
      </c>
      <c r="D12">
        <v>146.1</v>
      </c>
      <c r="E12">
        <v>14.7824624226374</v>
      </c>
      <c r="F12" s="28">
        <v>0.90749752937114303</v>
      </c>
      <c r="G12">
        <v>-13.21</v>
      </c>
      <c r="H12">
        <v>14.666086076479585</v>
      </c>
      <c r="I12">
        <v>0.90035316846590108</v>
      </c>
      <c r="J12">
        <v>-13.21</v>
      </c>
      <c r="K12">
        <f>RT_compiled_results__2[[#This Row],[yieldRBA]]/RT_compiled_results__2[[#This Row],[yieldFBA]]</f>
        <v>0.99212740456693838</v>
      </c>
      <c r="N12" t="s">
        <v>56</v>
      </c>
      <c r="O12" t="s">
        <v>56</v>
      </c>
      <c r="P12" t="s">
        <v>56</v>
      </c>
      <c r="S12" t="s">
        <v>56</v>
      </c>
      <c r="T12" t="s">
        <v>56</v>
      </c>
      <c r="U12">
        <v>-13.21</v>
      </c>
      <c r="V12" t="s">
        <v>56</v>
      </c>
      <c r="W12">
        <v>0</v>
      </c>
      <c r="X12" t="s">
        <v>56</v>
      </c>
      <c r="Y12">
        <v>14.666086076479585</v>
      </c>
      <c r="Z12" t="s">
        <v>56</v>
      </c>
      <c r="AA12">
        <v>0.90035316846590108</v>
      </c>
    </row>
    <row r="13" spans="1:27" x14ac:dyDescent="0.2">
      <c r="A13" t="s">
        <v>73</v>
      </c>
      <c r="B13" t="s">
        <v>13</v>
      </c>
      <c r="C13" t="s">
        <v>74</v>
      </c>
      <c r="D13">
        <v>163.15</v>
      </c>
      <c r="E13">
        <v>7.1254591077662202</v>
      </c>
      <c r="F13" s="28">
        <v>0.48848179396514702</v>
      </c>
      <c r="G13">
        <v>-13.21</v>
      </c>
      <c r="H13">
        <v>6.9926880169191792</v>
      </c>
      <c r="I13">
        <v>0.47937974739344164</v>
      </c>
      <c r="J13">
        <v>-13.21</v>
      </c>
      <c r="K13">
        <f>RT_compiled_results__2[[#This Row],[yieldRBA]]/RT_compiled_results__2[[#This Row],[yieldFBA]]</f>
        <v>0.98136666159485397</v>
      </c>
      <c r="N13" t="s">
        <v>56</v>
      </c>
      <c r="O13" t="s">
        <v>56</v>
      </c>
      <c r="P13" t="s">
        <v>56</v>
      </c>
      <c r="S13" t="s">
        <v>56</v>
      </c>
      <c r="T13" t="s">
        <v>56</v>
      </c>
      <c r="U13">
        <v>-13.21</v>
      </c>
      <c r="V13" t="s">
        <v>56</v>
      </c>
      <c r="W13">
        <v>0</v>
      </c>
      <c r="X13" t="s">
        <v>56</v>
      </c>
      <c r="Y13">
        <v>6.9926880169191792</v>
      </c>
      <c r="Z13" t="s">
        <v>56</v>
      </c>
      <c r="AA13">
        <v>0.47937974739344164</v>
      </c>
    </row>
    <row r="14" spans="1:27" x14ac:dyDescent="0.2">
      <c r="A14" t="s">
        <v>75</v>
      </c>
      <c r="B14" t="s">
        <v>14</v>
      </c>
      <c r="C14" t="s">
        <v>76</v>
      </c>
      <c r="D14">
        <v>256.39999999999998</v>
      </c>
      <c r="E14">
        <v>2.81368102412462</v>
      </c>
      <c r="F14" s="28">
        <v>0.30313866538374801</v>
      </c>
      <c r="G14">
        <v>-13.21</v>
      </c>
      <c r="H14">
        <v>2.7784105355774402</v>
      </c>
      <c r="I14">
        <v>0.29933871480869978</v>
      </c>
      <c r="J14">
        <v>-13.21</v>
      </c>
      <c r="K14">
        <f>RT_compiled_results__2[[#This Row],[yieldRBA]]/RT_compiled_results__2[[#This Row],[yieldFBA]]</f>
        <v>0.98746464569197134</v>
      </c>
      <c r="N14" t="s">
        <v>56</v>
      </c>
      <c r="O14" t="s">
        <v>56</v>
      </c>
      <c r="P14" t="s">
        <v>56</v>
      </c>
      <c r="S14" t="s">
        <v>56</v>
      </c>
      <c r="T14" t="s">
        <v>56</v>
      </c>
      <c r="U14">
        <v>-13.21</v>
      </c>
      <c r="V14" t="s">
        <v>56</v>
      </c>
      <c r="W14">
        <v>0</v>
      </c>
      <c r="X14" t="s">
        <v>56</v>
      </c>
      <c r="Y14">
        <v>2.7784105355774402</v>
      </c>
      <c r="Z14" t="s">
        <v>56</v>
      </c>
      <c r="AA14">
        <v>0.29933871480869978</v>
      </c>
    </row>
    <row r="15" spans="1:27" x14ac:dyDescent="0.2">
      <c r="A15" t="s">
        <v>77</v>
      </c>
      <c r="B15" t="s">
        <v>15</v>
      </c>
      <c r="C15" t="s">
        <v>76</v>
      </c>
      <c r="D15">
        <v>242.44</v>
      </c>
      <c r="E15">
        <v>2.7201838353686698</v>
      </c>
      <c r="F15" s="28">
        <v>0.27710922425847301</v>
      </c>
      <c r="G15">
        <v>-13.21</v>
      </c>
      <c r="H15">
        <v>2.688080592865338</v>
      </c>
      <c r="I15">
        <v>0.27383881859301407</v>
      </c>
      <c r="J15">
        <v>-13.21</v>
      </c>
      <c r="K15">
        <f>RT_compiled_results__2[[#This Row],[yieldRBA]]/RT_compiled_results__2[[#This Row],[yieldFBA]]</f>
        <v>0.98819813496208819</v>
      </c>
      <c r="N15" t="s">
        <v>56</v>
      </c>
      <c r="O15" t="s">
        <v>56</v>
      </c>
      <c r="P15" t="s">
        <v>56</v>
      </c>
      <c r="S15" t="s">
        <v>56</v>
      </c>
      <c r="T15" t="s">
        <v>56</v>
      </c>
      <c r="U15">
        <v>-13.21</v>
      </c>
      <c r="V15" t="s">
        <v>56</v>
      </c>
      <c r="W15">
        <v>0</v>
      </c>
      <c r="X15" t="s">
        <v>56</v>
      </c>
      <c r="Y15">
        <v>2.688080592865338</v>
      </c>
      <c r="Z15" t="s">
        <v>56</v>
      </c>
      <c r="AA15">
        <v>0.27383881859301407</v>
      </c>
    </row>
    <row r="16" spans="1:27" x14ac:dyDescent="0.2">
      <c r="A16" t="s">
        <v>78</v>
      </c>
      <c r="B16" t="s">
        <v>16</v>
      </c>
      <c r="C16" t="s">
        <v>16</v>
      </c>
      <c r="D16">
        <v>74.12</v>
      </c>
      <c r="E16">
        <v>12.3510415870473</v>
      </c>
      <c r="F16" s="28">
        <v>0.384669228477025</v>
      </c>
      <c r="G16">
        <v>-13.21</v>
      </c>
      <c r="H16">
        <v>12.229943366515608</v>
      </c>
      <c r="I16">
        <v>0.38089766324233898</v>
      </c>
      <c r="J16">
        <v>-13.21</v>
      </c>
      <c r="K16">
        <f>RT_compiled_results__2[[#This Row],[yieldRBA]]/RT_compiled_results__2[[#This Row],[yieldFBA]]</f>
        <v>0.99019530298896452</v>
      </c>
      <c r="N16" t="s">
        <v>56</v>
      </c>
      <c r="O16" t="s">
        <v>56</v>
      </c>
      <c r="P16" t="s">
        <v>56</v>
      </c>
      <c r="S16" t="s">
        <v>56</v>
      </c>
      <c r="T16" t="s">
        <v>56</v>
      </c>
      <c r="U16">
        <v>-13.21</v>
      </c>
      <c r="V16" t="s">
        <v>56</v>
      </c>
      <c r="W16">
        <v>0</v>
      </c>
      <c r="X16" t="s">
        <v>56</v>
      </c>
      <c r="Y16">
        <v>12.229943366515608</v>
      </c>
      <c r="Z16" t="s">
        <v>56</v>
      </c>
      <c r="AA16">
        <v>0.38089766324233898</v>
      </c>
    </row>
    <row r="17" spans="1:27" x14ac:dyDescent="0.2">
      <c r="A17" t="s">
        <v>79</v>
      </c>
      <c r="B17" t="s">
        <v>17</v>
      </c>
      <c r="C17" t="s">
        <v>68</v>
      </c>
      <c r="D17">
        <v>89.07</v>
      </c>
      <c r="E17">
        <v>23.9253727071589</v>
      </c>
      <c r="F17" s="28">
        <v>0.89544438180771901</v>
      </c>
      <c r="G17">
        <v>-13.21</v>
      </c>
      <c r="H17">
        <v>23.876980685895344</v>
      </c>
      <c r="I17">
        <v>0.89363323495140035</v>
      </c>
      <c r="J17">
        <v>-13.21</v>
      </c>
      <c r="K17">
        <f>RT_compiled_results__2[[#This Row],[yieldRBA]]/RT_compiled_results__2[[#This Row],[yieldFBA]]</f>
        <v>0.99797737649248264</v>
      </c>
      <c r="N17" t="s">
        <v>56</v>
      </c>
      <c r="O17" t="s">
        <v>56</v>
      </c>
      <c r="P17" t="s">
        <v>56</v>
      </c>
      <c r="S17" t="s">
        <v>56</v>
      </c>
      <c r="T17" t="s">
        <v>56</v>
      </c>
      <c r="U17">
        <v>-13.21</v>
      </c>
      <c r="V17" t="s">
        <v>56</v>
      </c>
      <c r="W17">
        <v>0</v>
      </c>
      <c r="X17" t="s">
        <v>56</v>
      </c>
      <c r="Y17">
        <v>23.876980685895344</v>
      </c>
      <c r="Z17" t="s">
        <v>56</v>
      </c>
      <c r="AA17">
        <v>0.89363323495140035</v>
      </c>
    </row>
    <row r="18" spans="1:27" x14ac:dyDescent="0.2">
      <c r="A18" t="s">
        <v>80</v>
      </c>
      <c r="B18" t="s">
        <v>18</v>
      </c>
      <c r="C18" t="s">
        <v>81</v>
      </c>
      <c r="D18">
        <v>140.09</v>
      </c>
      <c r="E18">
        <v>10.4698722049034</v>
      </c>
      <c r="F18" s="28">
        <v>0.61630681165772105</v>
      </c>
      <c r="G18">
        <v>-13.21</v>
      </c>
      <c r="H18">
        <v>10.404380884796376</v>
      </c>
      <c r="I18">
        <v>0.61245167895920283</v>
      </c>
      <c r="J18">
        <v>-13.21</v>
      </c>
      <c r="K18">
        <f>RT_compiled_results__2[[#This Row],[yieldRBA]]/RT_compiled_results__2[[#This Row],[yieldFBA]]</f>
        <v>0.99374478323848336</v>
      </c>
      <c r="N18" t="s">
        <v>56</v>
      </c>
      <c r="O18" t="s">
        <v>56</v>
      </c>
      <c r="P18" t="s">
        <v>56</v>
      </c>
      <c r="S18" t="s">
        <v>56</v>
      </c>
      <c r="T18" t="s">
        <v>56</v>
      </c>
      <c r="U18">
        <v>-13.21</v>
      </c>
      <c r="V18" t="s">
        <v>56</v>
      </c>
      <c r="W18">
        <v>0</v>
      </c>
      <c r="X18" t="s">
        <v>56</v>
      </c>
      <c r="Y18">
        <v>10.404380884796376</v>
      </c>
      <c r="Z18" t="s">
        <v>56</v>
      </c>
      <c r="AA18">
        <v>0.61245167895920283</v>
      </c>
    </row>
    <row r="19" spans="1:27" x14ac:dyDescent="0.2">
      <c r="A19" t="s">
        <v>82</v>
      </c>
      <c r="B19" t="s">
        <v>19</v>
      </c>
      <c r="C19" t="s">
        <v>83</v>
      </c>
      <c r="D19">
        <v>272.25</v>
      </c>
      <c r="E19">
        <v>4.1067936505152396</v>
      </c>
      <c r="F19" s="28">
        <v>0.46980671732777102</v>
      </c>
      <c r="G19">
        <v>-13.21</v>
      </c>
      <c r="H19">
        <v>4.0325387326450697</v>
      </c>
      <c r="I19">
        <v>0.46131214414519794</v>
      </c>
      <c r="J19">
        <v>-13.21</v>
      </c>
      <c r="K19">
        <f>RT_compiled_results__2[[#This Row],[yieldRBA]]/RT_compiled_results__2[[#This Row],[yieldFBA]]</f>
        <v>0.98191900441336888</v>
      </c>
      <c r="N19" t="s">
        <v>56</v>
      </c>
      <c r="O19" t="s">
        <v>56</v>
      </c>
      <c r="P19" t="s">
        <v>56</v>
      </c>
      <c r="S19" t="s">
        <v>56</v>
      </c>
      <c r="T19" t="s">
        <v>56</v>
      </c>
      <c r="U19">
        <v>-13.21</v>
      </c>
      <c r="V19" t="s">
        <v>56</v>
      </c>
      <c r="W19">
        <v>0</v>
      </c>
      <c r="X19" t="s">
        <v>56</v>
      </c>
      <c r="Y19">
        <v>4.0325387326450697</v>
      </c>
      <c r="Z19" t="s">
        <v>56</v>
      </c>
      <c r="AA19">
        <v>0.46131214414519794</v>
      </c>
    </row>
    <row r="20" spans="1:27" x14ac:dyDescent="0.2">
      <c r="A20" t="s">
        <v>84</v>
      </c>
      <c r="B20" t="s">
        <v>85</v>
      </c>
      <c r="C20" t="s">
        <v>86</v>
      </c>
      <c r="D20">
        <v>268.5</v>
      </c>
      <c r="E20">
        <v>9.4040990308054503E-2</v>
      </c>
      <c r="F20" s="28">
        <v>0.221570859497596</v>
      </c>
      <c r="G20">
        <v>-0.33292500000000003</v>
      </c>
      <c r="H20">
        <v>9.3942823348932003E-2</v>
      </c>
      <c r="I20">
        <v>0.22133956740426763</v>
      </c>
      <c r="J20">
        <v>-0.33292500000000003</v>
      </c>
      <c r="K20">
        <f>RT_compiled_results__2[[#This Row],[yieldRBA]]/RT_compiled_results__2[[#This Row],[yieldFBA]]</f>
        <v>0.9989561258468157</v>
      </c>
      <c r="L20">
        <v>2.7200000000000002E-2</v>
      </c>
      <c r="M20">
        <v>2.7999999999999997E-2</v>
      </c>
      <c r="N20" t="s">
        <v>87</v>
      </c>
      <c r="O20" t="s">
        <v>88</v>
      </c>
      <c r="P20" t="s">
        <v>89</v>
      </c>
      <c r="Q20">
        <v>5.1385852697487392E-3</v>
      </c>
      <c r="R20">
        <v>1000</v>
      </c>
      <c r="S20" t="s">
        <v>90</v>
      </c>
      <c r="T20" t="s">
        <v>56</v>
      </c>
      <c r="U20">
        <v>-0.33292500000000003</v>
      </c>
      <c r="V20" t="s">
        <v>56</v>
      </c>
      <c r="W20">
        <v>0</v>
      </c>
      <c r="X20" t="s">
        <v>56</v>
      </c>
      <c r="Y20">
        <v>9.3942823348932003E-2</v>
      </c>
      <c r="Z20" t="s">
        <v>56</v>
      </c>
      <c r="AA20">
        <v>0.22133956740426763</v>
      </c>
    </row>
    <row r="21" spans="1:27" x14ac:dyDescent="0.2">
      <c r="A21" t="s">
        <v>91</v>
      </c>
      <c r="B21" t="s">
        <v>92</v>
      </c>
      <c r="C21" t="s">
        <v>93</v>
      </c>
      <c r="D21">
        <v>242.44</v>
      </c>
      <c r="E21">
        <v>0.107388086440616</v>
      </c>
      <c r="F21" s="28">
        <v>0.22846071809451901</v>
      </c>
      <c r="G21">
        <v>-0.33292500000000003</v>
      </c>
      <c r="H21">
        <v>0.10727644775850199</v>
      </c>
      <c r="I21">
        <v>0.22822321452844971</v>
      </c>
      <c r="J21">
        <v>-0.33292500000000003</v>
      </c>
      <c r="K21">
        <f>RT_compiled_results__2[[#This Row],[yieldRBA]]/RT_compiled_results__2[[#This Row],[yieldFBA]]</f>
        <v>0.99896041836841709</v>
      </c>
      <c r="L21">
        <v>3.5999999999999999E-3</v>
      </c>
      <c r="M21">
        <v>6.0000000000000001E-3</v>
      </c>
      <c r="N21" t="s">
        <v>87</v>
      </c>
      <c r="O21" t="s">
        <v>88</v>
      </c>
      <c r="P21" t="s">
        <v>89</v>
      </c>
      <c r="Q21">
        <v>7.5321191079101601E-4</v>
      </c>
      <c r="R21">
        <v>1000</v>
      </c>
      <c r="S21" t="s">
        <v>56</v>
      </c>
      <c r="T21" t="s">
        <v>56</v>
      </c>
      <c r="U21">
        <v>-0.33292500000000003</v>
      </c>
      <c r="V21" t="s">
        <v>56</v>
      </c>
      <c r="W21">
        <v>0</v>
      </c>
      <c r="X21" t="s">
        <v>56</v>
      </c>
      <c r="Y21">
        <v>0.10727644775850199</v>
      </c>
      <c r="Z21" t="s">
        <v>56</v>
      </c>
      <c r="AA21">
        <v>0.22822321452844971</v>
      </c>
    </row>
    <row r="22" spans="1:27" x14ac:dyDescent="0.2">
      <c r="A22" t="s">
        <v>94</v>
      </c>
      <c r="B22" t="s">
        <v>20</v>
      </c>
      <c r="C22" t="s">
        <v>95</v>
      </c>
      <c r="D22">
        <v>103.1</v>
      </c>
      <c r="E22">
        <v>14.841569594674301</v>
      </c>
      <c r="F22" s="28">
        <v>0.64296443343640097</v>
      </c>
      <c r="G22">
        <v>-13.21</v>
      </c>
      <c r="H22">
        <v>14.676075223132271</v>
      </c>
      <c r="I22">
        <v>0.6357949090706202</v>
      </c>
      <c r="J22">
        <v>-13.21</v>
      </c>
      <c r="K22">
        <f>RT_compiled_results__2[[#This Row],[yieldRBA]]/RT_compiled_results__2[[#This Row],[yieldFBA]]</f>
        <v>0.98884926755985181</v>
      </c>
      <c r="N22" t="s">
        <v>56</v>
      </c>
      <c r="O22" t="s">
        <v>56</v>
      </c>
      <c r="P22" t="s">
        <v>56</v>
      </c>
      <c r="S22" t="s">
        <v>56</v>
      </c>
      <c r="T22" t="s">
        <v>56</v>
      </c>
      <c r="U22">
        <v>-13.21</v>
      </c>
      <c r="V22" t="s">
        <v>56</v>
      </c>
      <c r="W22">
        <v>0</v>
      </c>
      <c r="X22" t="s">
        <v>56</v>
      </c>
      <c r="Y22">
        <v>14.676075223132271</v>
      </c>
      <c r="Z22" t="s">
        <v>56</v>
      </c>
      <c r="AA22">
        <v>0.6357949090706202</v>
      </c>
    </row>
    <row r="23" spans="1:27" x14ac:dyDescent="0.2">
      <c r="A23" t="s">
        <v>96</v>
      </c>
      <c r="B23" t="s">
        <v>21</v>
      </c>
      <c r="C23" t="s">
        <v>97</v>
      </c>
      <c r="D23">
        <v>329.4</v>
      </c>
      <c r="E23">
        <v>2.69638957126402</v>
      </c>
      <c r="F23" s="28">
        <v>0.373211214581465</v>
      </c>
      <c r="G23">
        <v>-13.21</v>
      </c>
      <c r="H23">
        <v>2.431518262740747</v>
      </c>
      <c r="I23">
        <v>0.33654999032245986</v>
      </c>
      <c r="J23">
        <v>-13.21</v>
      </c>
      <c r="K23">
        <f>RT_compiled_results__2[[#This Row],[yieldRBA]]/RT_compiled_results__2[[#This Row],[yieldFBA]]</f>
        <v>0.90176816015531958</v>
      </c>
      <c r="N23" t="s">
        <v>56</v>
      </c>
      <c r="O23" t="s">
        <v>56</v>
      </c>
      <c r="P23" t="s">
        <v>56</v>
      </c>
      <c r="S23" t="s">
        <v>56</v>
      </c>
      <c r="T23" t="s">
        <v>56</v>
      </c>
      <c r="U23">
        <v>-13.21</v>
      </c>
      <c r="V23" t="s">
        <v>56</v>
      </c>
      <c r="W23">
        <v>0</v>
      </c>
      <c r="X23" t="s">
        <v>56</v>
      </c>
      <c r="Y23">
        <v>2.431518262740747</v>
      </c>
      <c r="Z23" t="s">
        <v>56</v>
      </c>
      <c r="AA23">
        <v>0.33654999032245986</v>
      </c>
    </row>
    <row r="24" spans="1:27" x14ac:dyDescent="0.2">
      <c r="A24" t="s">
        <v>98</v>
      </c>
      <c r="B24" t="s">
        <v>22</v>
      </c>
      <c r="C24" t="s">
        <v>99</v>
      </c>
      <c r="D24">
        <v>228.24</v>
      </c>
      <c r="E24">
        <v>4.1067936505152396</v>
      </c>
      <c r="F24" s="28">
        <v>0.39386110252668599</v>
      </c>
      <c r="G24">
        <v>-13.21</v>
      </c>
      <c r="H24">
        <v>4.032538732660516</v>
      </c>
      <c r="I24">
        <v>0.38673970167163735</v>
      </c>
      <c r="J24">
        <v>-13.21</v>
      </c>
      <c r="K24">
        <f>RT_compiled_results__2[[#This Row],[yieldRBA]]/RT_compiled_results__2[[#This Row],[yieldFBA]]</f>
        <v>0.98191900441713176</v>
      </c>
      <c r="N24" t="s">
        <v>56</v>
      </c>
      <c r="O24" t="s">
        <v>56</v>
      </c>
      <c r="P24" t="s">
        <v>56</v>
      </c>
      <c r="S24" t="s">
        <v>56</v>
      </c>
      <c r="T24" t="s">
        <v>56</v>
      </c>
      <c r="U24">
        <v>-13.21</v>
      </c>
      <c r="V24" t="s">
        <v>56</v>
      </c>
      <c r="W24">
        <v>0</v>
      </c>
      <c r="X24" t="s">
        <v>56</v>
      </c>
      <c r="Y24">
        <v>4.032538732660516</v>
      </c>
      <c r="Z24" t="s">
        <v>56</v>
      </c>
      <c r="AA24">
        <v>0.38673970167163735</v>
      </c>
    </row>
    <row r="25" spans="1:27" x14ac:dyDescent="0.2">
      <c r="A25" t="s">
        <v>100</v>
      </c>
      <c r="B25" t="s">
        <v>23</v>
      </c>
      <c r="C25" t="s">
        <v>66</v>
      </c>
      <c r="D25">
        <v>246.3</v>
      </c>
      <c r="E25">
        <v>3.0213806614302401</v>
      </c>
      <c r="F25" s="28">
        <v>0.31269310768848102</v>
      </c>
      <c r="G25">
        <v>-13.21</v>
      </c>
      <c r="H25">
        <v>2.9830098629642792</v>
      </c>
      <c r="I25">
        <v>0.3087219813852059</v>
      </c>
      <c r="J25">
        <v>-13.21</v>
      </c>
      <c r="K25">
        <f>RT_compiled_results__2[[#This Row],[yieldRBA]]/RT_compiled_results__2[[#This Row],[yieldFBA]]</f>
        <v>0.98730024357546331</v>
      </c>
      <c r="N25" t="s">
        <v>56</v>
      </c>
      <c r="O25" t="s">
        <v>56</v>
      </c>
      <c r="P25" t="s">
        <v>56</v>
      </c>
      <c r="S25" t="s">
        <v>56</v>
      </c>
      <c r="T25" t="s">
        <v>56</v>
      </c>
      <c r="U25">
        <v>-13.21</v>
      </c>
      <c r="V25" t="s">
        <v>56</v>
      </c>
      <c r="W25">
        <v>0</v>
      </c>
      <c r="X25" t="s">
        <v>56</v>
      </c>
      <c r="Y25">
        <v>2.9830098629642792</v>
      </c>
      <c r="Z25" t="s">
        <v>56</v>
      </c>
      <c r="AA25">
        <v>0.3087219813852059</v>
      </c>
    </row>
    <row r="26" spans="1:27" x14ac:dyDescent="0.2">
      <c r="A26" t="s">
        <v>101</v>
      </c>
      <c r="B26" t="s">
        <v>102</v>
      </c>
      <c r="C26" t="s">
        <v>102</v>
      </c>
      <c r="D26">
        <v>174.15</v>
      </c>
      <c r="E26">
        <v>9.7581677288922997</v>
      </c>
      <c r="F26" s="28">
        <v>0.71406904914327596</v>
      </c>
      <c r="G26">
        <v>-13.21</v>
      </c>
      <c r="H26">
        <v>9.6474437915738758</v>
      </c>
      <c r="I26">
        <v>0.7059666534031136</v>
      </c>
      <c r="J26">
        <v>-13.21</v>
      </c>
      <c r="K26">
        <f>RT_compiled_results__2[[#This Row],[yieldRBA]]/RT_compiled_results__2[[#This Row],[yieldFBA]]</f>
        <v>0.98865320412657087</v>
      </c>
      <c r="N26" t="s">
        <v>56</v>
      </c>
      <c r="O26" t="s">
        <v>56</v>
      </c>
      <c r="P26" t="s">
        <v>56</v>
      </c>
      <c r="S26" t="s">
        <v>56</v>
      </c>
      <c r="T26" t="s">
        <v>56</v>
      </c>
      <c r="U26">
        <v>-13.21</v>
      </c>
      <c r="V26" t="s">
        <v>56</v>
      </c>
      <c r="W26">
        <v>0</v>
      </c>
      <c r="X26" t="s">
        <v>56</v>
      </c>
      <c r="Y26">
        <v>9.6474437915738758</v>
      </c>
      <c r="Z26" t="s">
        <v>56</v>
      </c>
      <c r="AA26">
        <v>0.7059666534031136</v>
      </c>
    </row>
    <row r="27" spans="1:27" x14ac:dyDescent="0.2">
      <c r="A27" t="s">
        <v>103</v>
      </c>
      <c r="B27" t="s">
        <v>104</v>
      </c>
      <c r="C27" t="s">
        <v>105</v>
      </c>
      <c r="D27">
        <v>270.5</v>
      </c>
      <c r="E27">
        <v>9.53986561931566E-2</v>
      </c>
      <c r="F27" s="28">
        <v>0.22644393079142899</v>
      </c>
      <c r="G27">
        <v>-0.33292500000000003</v>
      </c>
      <c r="H27">
        <v>9.5299248281943E-2</v>
      </c>
      <c r="I27">
        <v>0.22620797025419317</v>
      </c>
      <c r="J27">
        <v>-0.33292500000000003</v>
      </c>
      <c r="K27">
        <f>RT_compiled_results__2[[#This Row],[yieldRBA]]/RT_compiled_results__2[[#This Row],[yieldFBA]]</f>
        <v>0.99895797367405204</v>
      </c>
      <c r="L27">
        <v>6.0000000000000001E-3</v>
      </c>
      <c r="M27">
        <v>9.1999999999999998E-3</v>
      </c>
      <c r="N27" t="s">
        <v>87</v>
      </c>
      <c r="O27" t="s">
        <v>88</v>
      </c>
      <c r="P27" t="s">
        <v>89</v>
      </c>
      <c r="Q27">
        <v>1.1251305955155509E-3</v>
      </c>
      <c r="R27">
        <v>1000</v>
      </c>
      <c r="S27" t="s">
        <v>56</v>
      </c>
      <c r="T27" t="s">
        <v>56</v>
      </c>
      <c r="U27">
        <v>-0.33292500000000003</v>
      </c>
      <c r="V27" t="s">
        <v>56</v>
      </c>
      <c r="W27">
        <v>0</v>
      </c>
      <c r="X27" t="s">
        <v>56</v>
      </c>
      <c r="Y27">
        <v>9.5299248281943E-2</v>
      </c>
      <c r="Z27" t="s">
        <v>56</v>
      </c>
      <c r="AA27">
        <v>0.22620797025419317</v>
      </c>
    </row>
    <row r="28" spans="1:27" x14ac:dyDescent="0.2">
      <c r="A28" t="s">
        <v>106</v>
      </c>
      <c r="B28" t="s">
        <v>25</v>
      </c>
      <c r="C28" t="s">
        <v>58</v>
      </c>
      <c r="D28">
        <v>104.15</v>
      </c>
      <c r="E28">
        <v>6.8709784253459896</v>
      </c>
      <c r="F28" s="28">
        <v>0.30069507217715702</v>
      </c>
      <c r="G28">
        <v>-13.21</v>
      </c>
      <c r="H28">
        <v>6.7598573611366657</v>
      </c>
      <c r="I28">
        <v>0.29583207387409666</v>
      </c>
      <c r="J28">
        <v>-13.21</v>
      </c>
      <c r="K28">
        <f>RT_compiled_results__2[[#This Row],[yieldRBA]]/RT_compiled_results__2[[#This Row],[yieldFBA]]</f>
        <v>0.98382747589493158</v>
      </c>
      <c r="N28" t="s">
        <v>56</v>
      </c>
      <c r="O28" t="s">
        <v>56</v>
      </c>
      <c r="P28" t="s">
        <v>56</v>
      </c>
      <c r="S28" t="s">
        <v>56</v>
      </c>
      <c r="T28" t="s">
        <v>56</v>
      </c>
      <c r="U28">
        <v>-13.21</v>
      </c>
      <c r="V28" t="s">
        <v>56</v>
      </c>
      <c r="W28">
        <v>0</v>
      </c>
      <c r="X28" t="s">
        <v>56</v>
      </c>
      <c r="Y28">
        <v>6.7598573611366657</v>
      </c>
      <c r="Z28" t="s">
        <v>56</v>
      </c>
      <c r="AA28">
        <v>0.29583207387409666</v>
      </c>
    </row>
    <row r="29" spans="1:27" x14ac:dyDescent="0.2">
      <c r="A29" t="s">
        <v>107</v>
      </c>
      <c r="B29" t="s">
        <v>108</v>
      </c>
      <c r="C29" t="s">
        <v>108</v>
      </c>
      <c r="D29">
        <v>824.3</v>
      </c>
      <c r="E29">
        <v>0.12291226925672501</v>
      </c>
      <c r="F29" s="28">
        <v>0.25549691873995001</v>
      </c>
      <c r="G29">
        <v>-2.2011337271575702</v>
      </c>
      <c r="H29">
        <v>0.12269592346706799</v>
      </c>
      <c r="I29">
        <v>0.25504720218216348</v>
      </c>
      <c r="J29">
        <v>-2.2011337271575711</v>
      </c>
      <c r="K29">
        <f>RT_compiled_results__2[[#This Row],[yieldRBA]]/RT_compiled_results__2[[#This Row],[yieldFBA]]</f>
        <v>0.99823983568958707</v>
      </c>
      <c r="L29">
        <v>0.129384</v>
      </c>
      <c r="M29">
        <v>0.14680000000000001</v>
      </c>
      <c r="N29" t="s">
        <v>109</v>
      </c>
      <c r="O29" t="s">
        <v>110</v>
      </c>
      <c r="P29" t="s">
        <v>111</v>
      </c>
      <c r="S29" t="s">
        <v>56</v>
      </c>
      <c r="T29" t="s">
        <v>56</v>
      </c>
      <c r="U29">
        <v>-2.2011337271575711</v>
      </c>
      <c r="V29" t="s">
        <v>56</v>
      </c>
      <c r="W29">
        <v>0</v>
      </c>
      <c r="X29" t="s">
        <v>56</v>
      </c>
      <c r="Y29">
        <v>0.12269592346706799</v>
      </c>
      <c r="Z29" t="s">
        <v>56</v>
      </c>
      <c r="AA29">
        <v>0.25504720218216348</v>
      </c>
    </row>
    <row r="30" spans="1:27" x14ac:dyDescent="0.2">
      <c r="A30" t="s">
        <v>112</v>
      </c>
      <c r="B30" t="s">
        <v>113</v>
      </c>
      <c r="C30" t="s">
        <v>114</v>
      </c>
      <c r="D30">
        <v>126.11004</v>
      </c>
      <c r="E30">
        <v>7.8799223816779455E-3</v>
      </c>
      <c r="F30">
        <v>7.4505307310030938E-2</v>
      </c>
      <c r="G30">
        <v>-7.8476895921783002E-2</v>
      </c>
      <c r="L30">
        <v>0.11450973051259666</v>
      </c>
      <c r="M30">
        <v>0.1208420658404822</v>
      </c>
      <c r="N30" t="s">
        <v>115</v>
      </c>
      <c r="O30" t="s">
        <v>116</v>
      </c>
      <c r="P30" t="s">
        <v>117</v>
      </c>
      <c r="Q30">
        <v>1.1133019284161489E-2</v>
      </c>
      <c r="R30">
        <v>1.2780647900976147E-2</v>
      </c>
      <c r="S30" t="s">
        <v>56</v>
      </c>
      <c r="T30" t="s">
        <v>56</v>
      </c>
      <c r="V30" t="s">
        <v>56</v>
      </c>
      <c r="X30" t="s">
        <v>56</v>
      </c>
      <c r="Z30" t="s">
        <v>56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ECAE9-B0FE-E440-A04A-3EA6446A17DA}">
  <sheetPr codeName="Sheet3"/>
  <dimension ref="A1:AG30"/>
  <sheetViews>
    <sheetView tabSelected="1" workbookViewId="0">
      <selection activeCell="F9" sqref="F9"/>
    </sheetView>
  </sheetViews>
  <sheetFormatPr baseColWidth="10" defaultRowHeight="15" x14ac:dyDescent="0.2"/>
  <cols>
    <col min="1" max="1" width="9.83203125" bestFit="1" customWidth="1"/>
    <col min="2" max="2" width="20.1640625" bestFit="1" customWidth="1"/>
    <col min="3" max="3" width="30.83203125" bestFit="1" customWidth="1"/>
    <col min="4" max="4" width="13" bestFit="1" customWidth="1"/>
    <col min="5" max="6" width="12.1640625" bestFit="1" customWidth="1"/>
    <col min="7" max="7" width="19.1640625" bestFit="1" customWidth="1"/>
    <col min="8" max="9" width="12.1640625" bestFit="1" customWidth="1"/>
    <col min="10" max="10" width="19.33203125" bestFit="1" customWidth="1"/>
    <col min="11" max="11" width="12.33203125" bestFit="1" customWidth="1"/>
    <col min="12" max="12" width="25.5" bestFit="1" customWidth="1"/>
    <col min="13" max="13" width="25.83203125" bestFit="1" customWidth="1"/>
    <col min="14" max="15" width="80.6640625" bestFit="1" customWidth="1"/>
    <col min="16" max="16" width="68.33203125" bestFit="1" customWidth="1"/>
    <col min="17" max="17" width="32.5" bestFit="1" customWidth="1"/>
    <col min="18" max="18" width="32.83203125" bestFit="1" customWidth="1"/>
    <col min="19" max="19" width="80.6640625" bestFit="1" customWidth="1"/>
    <col min="20" max="20" width="16" bestFit="1" customWidth="1"/>
    <col min="21" max="21" width="20.1640625" bestFit="1" customWidth="1"/>
    <col min="22" max="22" width="12.83203125" bestFit="1" customWidth="1"/>
    <col min="23" max="23" width="16.83203125" bestFit="1" customWidth="1"/>
    <col min="24" max="24" width="8.1640625" bestFit="1" customWidth="1"/>
    <col min="25" max="25" width="12.1640625" bestFit="1" customWidth="1"/>
    <col min="26" max="26" width="7.5" bestFit="1" customWidth="1"/>
    <col min="27" max="27" width="12.1640625" bestFit="1" customWidth="1"/>
    <col min="28" max="28" width="37.83203125" bestFit="1" customWidth="1"/>
    <col min="29" max="29" width="41.83203125" bestFit="1" customWidth="1"/>
    <col min="30" max="30" width="37.83203125" bestFit="1" customWidth="1"/>
    <col min="31" max="31" width="41.83203125" bestFit="1" customWidth="1"/>
    <col min="32" max="33" width="42" bestFit="1" customWidth="1"/>
  </cols>
  <sheetData>
    <row r="1" spans="1:33" x14ac:dyDescent="0.2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  <c r="W1" t="s">
        <v>49</v>
      </c>
      <c r="X1" t="s">
        <v>50</v>
      </c>
      <c r="Y1" t="s">
        <v>51</v>
      </c>
      <c r="Z1" t="s">
        <v>52</v>
      </c>
      <c r="AA1" t="s">
        <v>53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</row>
    <row r="2" spans="1:33" x14ac:dyDescent="0.2">
      <c r="A2" t="s">
        <v>54</v>
      </c>
      <c r="B2" t="s">
        <v>5</v>
      </c>
      <c r="C2" t="s">
        <v>55</v>
      </c>
      <c r="D2">
        <v>76.09</v>
      </c>
      <c r="E2">
        <v>17.813822165962105</v>
      </c>
      <c r="F2">
        <v>0.56955169453193411</v>
      </c>
      <c r="G2">
        <v>-13.21</v>
      </c>
      <c r="H2">
        <v>17.030053938199035</v>
      </c>
      <c r="I2">
        <v>0.54449269719358062</v>
      </c>
      <c r="J2">
        <v>-13.21</v>
      </c>
      <c r="K2">
        <v>0.95600224250241705</v>
      </c>
      <c r="N2" t="s">
        <v>56</v>
      </c>
      <c r="O2" t="s">
        <v>56</v>
      </c>
      <c r="P2" t="s">
        <v>56</v>
      </c>
      <c r="S2" t="s">
        <v>56</v>
      </c>
      <c r="T2" t="s">
        <v>56</v>
      </c>
      <c r="U2">
        <v>-13.21</v>
      </c>
      <c r="V2" t="s">
        <v>56</v>
      </c>
      <c r="W2">
        <v>0</v>
      </c>
      <c r="X2" t="s">
        <v>56</v>
      </c>
      <c r="Y2">
        <v>17.030053938199035</v>
      </c>
      <c r="Z2" t="s">
        <v>56</v>
      </c>
      <c r="AA2">
        <v>0.54449269719358062</v>
      </c>
      <c r="AB2" t="s">
        <v>56</v>
      </c>
      <c r="AD2" t="s">
        <v>56</v>
      </c>
    </row>
    <row r="3" spans="1:33" x14ac:dyDescent="0.2">
      <c r="A3" t="s">
        <v>57</v>
      </c>
      <c r="B3" t="s">
        <v>6</v>
      </c>
      <c r="C3" t="s">
        <v>58</v>
      </c>
      <c r="D3">
        <v>122.16</v>
      </c>
      <c r="E3">
        <v>6.941370065782265</v>
      </c>
      <c r="F3">
        <v>0.35630562152550532</v>
      </c>
      <c r="G3">
        <v>-13.21</v>
      </c>
      <c r="H3">
        <v>6.5030981704370872</v>
      </c>
      <c r="I3">
        <v>0.33380880337746927</v>
      </c>
      <c r="J3">
        <v>-13.21</v>
      </c>
      <c r="K3">
        <v>0.93686089472370093</v>
      </c>
      <c r="N3" t="s">
        <v>56</v>
      </c>
      <c r="O3" t="s">
        <v>56</v>
      </c>
      <c r="P3" t="s">
        <v>56</v>
      </c>
      <c r="S3" t="s">
        <v>56</v>
      </c>
      <c r="T3" t="s">
        <v>56</v>
      </c>
      <c r="U3">
        <v>-13.21</v>
      </c>
      <c r="V3" t="s">
        <v>56</v>
      </c>
      <c r="W3">
        <v>0</v>
      </c>
      <c r="X3" t="s">
        <v>56</v>
      </c>
      <c r="Y3">
        <v>6.5030981704370872</v>
      </c>
      <c r="Z3" t="s">
        <v>56</v>
      </c>
      <c r="AA3">
        <v>0.33380880337746927</v>
      </c>
      <c r="AB3" t="s">
        <v>56</v>
      </c>
      <c r="AD3" t="s">
        <v>56</v>
      </c>
    </row>
    <row r="4" spans="1:33" x14ac:dyDescent="0.2">
      <c r="A4" t="s">
        <v>59</v>
      </c>
      <c r="B4" t="s">
        <v>7</v>
      </c>
      <c r="C4" t="s">
        <v>60</v>
      </c>
      <c r="D4">
        <v>90.08</v>
      </c>
      <c r="E4">
        <v>20.066144500508553</v>
      </c>
      <c r="F4">
        <v>0.75952271115466874</v>
      </c>
      <c r="G4">
        <v>-13.21</v>
      </c>
      <c r="H4">
        <v>15.223781663569984</v>
      </c>
      <c r="I4">
        <v>0.5762346584740462</v>
      </c>
      <c r="J4">
        <v>-13.21</v>
      </c>
      <c r="K4">
        <v>0.75867995783565467</v>
      </c>
      <c r="N4" t="s">
        <v>56</v>
      </c>
      <c r="O4" t="s">
        <v>56</v>
      </c>
      <c r="P4" t="s">
        <v>56</v>
      </c>
      <c r="S4" t="s">
        <v>56</v>
      </c>
      <c r="T4" t="s">
        <v>56</v>
      </c>
      <c r="U4">
        <v>-13.21</v>
      </c>
      <c r="V4" t="s">
        <v>56</v>
      </c>
      <c r="W4">
        <v>0</v>
      </c>
      <c r="X4" t="s">
        <v>56</v>
      </c>
      <c r="Y4">
        <v>15.223781663569984</v>
      </c>
      <c r="Z4" t="s">
        <v>56</v>
      </c>
      <c r="AA4">
        <v>0.5762346584740462</v>
      </c>
      <c r="AB4" t="s">
        <v>56</v>
      </c>
      <c r="AD4" t="s">
        <v>56</v>
      </c>
    </row>
    <row r="5" spans="1:33" x14ac:dyDescent="0.2">
      <c r="A5" t="s">
        <v>61</v>
      </c>
      <c r="B5" t="s">
        <v>7</v>
      </c>
      <c r="C5" t="s">
        <v>62</v>
      </c>
      <c r="D5">
        <v>90.08</v>
      </c>
      <c r="E5">
        <v>22.340892551921577</v>
      </c>
      <c r="F5">
        <v>0.84562409486389267</v>
      </c>
      <c r="G5">
        <v>-13.21</v>
      </c>
      <c r="H5">
        <v>20.493594129949905</v>
      </c>
      <c r="I5">
        <v>0.77570208738846025</v>
      </c>
      <c r="J5">
        <v>-13.21</v>
      </c>
      <c r="K5">
        <v>0.91731313251346425</v>
      </c>
      <c r="N5" t="s">
        <v>56</v>
      </c>
      <c r="O5" t="s">
        <v>56</v>
      </c>
      <c r="P5" t="s">
        <v>56</v>
      </c>
      <c r="S5" t="s">
        <v>56</v>
      </c>
      <c r="T5" t="s">
        <v>56</v>
      </c>
      <c r="U5">
        <v>-13.21</v>
      </c>
      <c r="V5" t="s">
        <v>56</v>
      </c>
      <c r="W5">
        <v>0</v>
      </c>
      <c r="X5" t="s">
        <v>56</v>
      </c>
      <c r="Y5">
        <v>20.493594129949905</v>
      </c>
      <c r="Z5" t="s">
        <v>56</v>
      </c>
      <c r="AA5">
        <v>0.77570208738846025</v>
      </c>
      <c r="AB5" t="s">
        <v>56</v>
      </c>
      <c r="AD5" t="s">
        <v>56</v>
      </c>
    </row>
    <row r="6" spans="1:33" x14ac:dyDescent="0.2">
      <c r="A6" t="s">
        <v>59</v>
      </c>
      <c r="B6" t="s">
        <v>7</v>
      </c>
      <c r="C6" t="s">
        <v>60</v>
      </c>
      <c r="D6">
        <v>90.08</v>
      </c>
      <c r="E6">
        <v>20.066144500508553</v>
      </c>
      <c r="F6">
        <v>0.75952271115466874</v>
      </c>
      <c r="G6">
        <v>-13.21</v>
      </c>
      <c r="H6">
        <v>15.223781663569984</v>
      </c>
      <c r="I6">
        <v>0.5762346584740462</v>
      </c>
      <c r="J6">
        <v>-13.21</v>
      </c>
      <c r="K6">
        <v>0.75867995783565467</v>
      </c>
      <c r="N6" t="s">
        <v>56</v>
      </c>
      <c r="O6" t="s">
        <v>56</v>
      </c>
      <c r="P6" t="s">
        <v>56</v>
      </c>
      <c r="S6" t="s">
        <v>56</v>
      </c>
      <c r="T6" t="s">
        <v>56</v>
      </c>
      <c r="U6">
        <v>-13.21</v>
      </c>
      <c r="V6" t="s">
        <v>56</v>
      </c>
      <c r="W6">
        <v>0</v>
      </c>
      <c r="X6" t="s">
        <v>56</v>
      </c>
      <c r="Y6">
        <v>15.223781663569984</v>
      </c>
      <c r="Z6" t="s">
        <v>56</v>
      </c>
      <c r="AA6">
        <v>0.5762346584740462</v>
      </c>
      <c r="AB6" t="s">
        <v>56</v>
      </c>
      <c r="AD6" t="s">
        <v>56</v>
      </c>
    </row>
    <row r="7" spans="1:33" x14ac:dyDescent="0.2">
      <c r="A7" t="s">
        <v>61</v>
      </c>
      <c r="B7" t="s">
        <v>7</v>
      </c>
      <c r="C7" t="s">
        <v>62</v>
      </c>
      <c r="D7">
        <v>90.08</v>
      </c>
      <c r="E7">
        <v>22.340892551921577</v>
      </c>
      <c r="F7">
        <v>0.84562409486389267</v>
      </c>
      <c r="G7">
        <v>-13.21</v>
      </c>
      <c r="H7">
        <v>20.493594129949905</v>
      </c>
      <c r="I7">
        <v>0.77570208738846025</v>
      </c>
      <c r="J7">
        <v>-13.21</v>
      </c>
      <c r="K7">
        <v>0.91731313251346425</v>
      </c>
      <c r="N7" t="s">
        <v>56</v>
      </c>
      <c r="O7" t="s">
        <v>56</v>
      </c>
      <c r="P7" t="s">
        <v>56</v>
      </c>
      <c r="S7" t="s">
        <v>56</v>
      </c>
      <c r="T7" t="s">
        <v>56</v>
      </c>
      <c r="U7">
        <v>-13.21</v>
      </c>
      <c r="V7" t="s">
        <v>56</v>
      </c>
      <c r="W7">
        <v>0</v>
      </c>
      <c r="X7" t="s">
        <v>56</v>
      </c>
      <c r="Y7">
        <v>20.493594129949905</v>
      </c>
      <c r="Z7" t="s">
        <v>56</v>
      </c>
      <c r="AA7">
        <v>0.77570208738846025</v>
      </c>
      <c r="AB7" t="s">
        <v>56</v>
      </c>
      <c r="AD7" t="s">
        <v>56</v>
      </c>
    </row>
    <row r="8" spans="1:33" x14ac:dyDescent="0.2">
      <c r="A8" t="s">
        <v>63</v>
      </c>
      <c r="B8" t="s">
        <v>8</v>
      </c>
      <c r="C8" t="s">
        <v>64</v>
      </c>
      <c r="D8">
        <v>137.11000000000001</v>
      </c>
      <c r="E8">
        <v>9.055951953675855</v>
      </c>
      <c r="F8">
        <v>0.52173706682255505</v>
      </c>
      <c r="G8">
        <v>-13.21</v>
      </c>
      <c r="H8">
        <v>7.9561523834112569</v>
      </c>
      <c r="I8">
        <v>0.45837473839835802</v>
      </c>
      <c r="J8">
        <v>-13.21</v>
      </c>
      <c r="K8">
        <v>0.87855505684102209</v>
      </c>
      <c r="N8" t="s">
        <v>56</v>
      </c>
      <c r="O8" t="s">
        <v>56</v>
      </c>
      <c r="P8" t="s">
        <v>56</v>
      </c>
      <c r="S8" t="s">
        <v>56</v>
      </c>
      <c r="T8" t="s">
        <v>56</v>
      </c>
      <c r="U8">
        <v>-13.21</v>
      </c>
      <c r="V8" t="s">
        <v>56</v>
      </c>
      <c r="W8">
        <v>0</v>
      </c>
      <c r="X8" t="s">
        <v>56</v>
      </c>
      <c r="Y8">
        <v>7.9561523834112569</v>
      </c>
      <c r="Z8" t="s">
        <v>56</v>
      </c>
      <c r="AA8">
        <v>0.45837473839835802</v>
      </c>
      <c r="AB8" t="s">
        <v>56</v>
      </c>
      <c r="AD8" t="s">
        <v>56</v>
      </c>
    </row>
    <row r="9" spans="1:33" x14ac:dyDescent="0.2">
      <c r="A9" t="s">
        <v>65</v>
      </c>
      <c r="B9" t="s">
        <v>9</v>
      </c>
      <c r="C9" t="s">
        <v>66</v>
      </c>
      <c r="D9">
        <v>234.33</v>
      </c>
      <c r="E9">
        <v>2.8446976587811994</v>
      </c>
      <c r="F9">
        <v>0.28009958128062856</v>
      </c>
      <c r="G9">
        <v>-13.21</v>
      </c>
      <c r="H9">
        <v>2.3984591093830421</v>
      </c>
      <c r="I9">
        <v>0.23616126310756444</v>
      </c>
      <c r="J9">
        <v>-13.21</v>
      </c>
      <c r="K9">
        <v>0.84313322436193572</v>
      </c>
      <c r="N9" t="s">
        <v>56</v>
      </c>
      <c r="O9" t="s">
        <v>56</v>
      </c>
      <c r="P9" t="s">
        <v>56</v>
      </c>
      <c r="S9" t="s">
        <v>56</v>
      </c>
      <c r="T9" t="s">
        <v>56</v>
      </c>
      <c r="U9">
        <v>-13.21</v>
      </c>
      <c r="V9" t="s">
        <v>56</v>
      </c>
      <c r="W9">
        <v>0</v>
      </c>
      <c r="X9" t="s">
        <v>56</v>
      </c>
      <c r="Y9">
        <v>2.3984591093830421</v>
      </c>
      <c r="Z9" t="s">
        <v>56</v>
      </c>
      <c r="AA9">
        <v>0.23616126310756444</v>
      </c>
      <c r="AB9" t="s">
        <v>56</v>
      </c>
      <c r="AD9" t="s">
        <v>56</v>
      </c>
    </row>
    <row r="10" spans="1:33" x14ac:dyDescent="0.2">
      <c r="A10" t="s">
        <v>67</v>
      </c>
      <c r="B10" t="s">
        <v>10</v>
      </c>
      <c r="C10" t="s">
        <v>68</v>
      </c>
      <c r="D10">
        <v>90.12</v>
      </c>
      <c r="E10">
        <v>12.894437851552899</v>
      </c>
      <c r="F10">
        <v>0.48828349906569629</v>
      </c>
      <c r="G10">
        <v>-13.21</v>
      </c>
      <c r="H10">
        <v>12.310908784077567</v>
      </c>
      <c r="I10">
        <v>0.46618655942756515</v>
      </c>
      <c r="J10">
        <v>-13.21</v>
      </c>
      <c r="K10">
        <v>0.95474567606644001</v>
      </c>
      <c r="N10" t="s">
        <v>56</v>
      </c>
      <c r="O10" t="s">
        <v>56</v>
      </c>
      <c r="P10" t="s">
        <v>56</v>
      </c>
      <c r="S10" t="s">
        <v>56</v>
      </c>
      <c r="T10" t="s">
        <v>56</v>
      </c>
      <c r="U10">
        <v>-13.21</v>
      </c>
      <c r="V10" t="s">
        <v>56</v>
      </c>
      <c r="W10">
        <v>0</v>
      </c>
      <c r="X10" t="s">
        <v>56</v>
      </c>
      <c r="Y10">
        <v>12.310908784077567</v>
      </c>
      <c r="Z10" t="s">
        <v>56</v>
      </c>
      <c r="AA10">
        <v>0.46618655942756515</v>
      </c>
      <c r="AB10" t="s">
        <v>56</v>
      </c>
      <c r="AD10" t="s">
        <v>56</v>
      </c>
    </row>
    <row r="11" spans="1:33" x14ac:dyDescent="0.2">
      <c r="A11" t="s">
        <v>69</v>
      </c>
      <c r="B11" t="s">
        <v>11</v>
      </c>
      <c r="C11" t="s">
        <v>70</v>
      </c>
      <c r="D11">
        <v>74.12</v>
      </c>
      <c r="E11">
        <v>11.197872979616301</v>
      </c>
      <c r="F11">
        <v>0.34875416209188653</v>
      </c>
      <c r="G11">
        <v>-13.21</v>
      </c>
      <c r="H11">
        <v>10.06059178759377</v>
      </c>
      <c r="I11">
        <v>0.31333390416355716</v>
      </c>
      <c r="J11">
        <v>-13.21</v>
      </c>
      <c r="K11">
        <v>0.89843774848198898</v>
      </c>
      <c r="N11" t="s">
        <v>56</v>
      </c>
      <c r="O11" t="s">
        <v>56</v>
      </c>
      <c r="P11" t="s">
        <v>56</v>
      </c>
      <c r="S11" t="s">
        <v>56</v>
      </c>
      <c r="T11" t="s">
        <v>56</v>
      </c>
      <c r="U11">
        <v>-13.21</v>
      </c>
      <c r="V11" t="s">
        <v>56</v>
      </c>
      <c r="W11">
        <v>0</v>
      </c>
      <c r="X11" t="s">
        <v>56</v>
      </c>
      <c r="Y11">
        <v>10.06059178759377</v>
      </c>
      <c r="Z11" t="s">
        <v>56</v>
      </c>
      <c r="AA11">
        <v>0.31333390416355716</v>
      </c>
      <c r="AB11" t="s">
        <v>56</v>
      </c>
      <c r="AD11" t="s">
        <v>56</v>
      </c>
    </row>
    <row r="12" spans="1:33" x14ac:dyDescent="0.2">
      <c r="A12" t="s">
        <v>71</v>
      </c>
      <c r="B12" t="s">
        <v>12</v>
      </c>
      <c r="C12" t="s">
        <v>72</v>
      </c>
      <c r="D12">
        <v>146.1</v>
      </c>
      <c r="E12">
        <v>12.489371088802118</v>
      </c>
      <c r="F12">
        <v>0.76672431712937239</v>
      </c>
      <c r="G12">
        <v>-13.21</v>
      </c>
      <c r="H12">
        <v>11.495083719101395</v>
      </c>
      <c r="I12">
        <v>0.70568487013530723</v>
      </c>
      <c r="J12">
        <v>-13.21</v>
      </c>
      <c r="K12">
        <v>0.92038931643305932</v>
      </c>
      <c r="N12" t="s">
        <v>56</v>
      </c>
      <c r="O12" t="s">
        <v>56</v>
      </c>
      <c r="P12" t="s">
        <v>56</v>
      </c>
      <c r="S12" t="s">
        <v>56</v>
      </c>
      <c r="T12" t="s">
        <v>56</v>
      </c>
      <c r="U12">
        <v>-13.21</v>
      </c>
      <c r="V12" t="s">
        <v>56</v>
      </c>
      <c r="W12">
        <v>0</v>
      </c>
      <c r="X12" t="s">
        <v>56</v>
      </c>
      <c r="Y12">
        <v>11.495083719101395</v>
      </c>
      <c r="Z12" t="s">
        <v>56</v>
      </c>
      <c r="AA12">
        <v>0.70568487013530723</v>
      </c>
      <c r="AB12" t="s">
        <v>56</v>
      </c>
      <c r="AD12" t="s">
        <v>56</v>
      </c>
    </row>
    <row r="13" spans="1:33" x14ac:dyDescent="0.2">
      <c r="A13" t="s">
        <v>73</v>
      </c>
      <c r="B13" t="s">
        <v>13</v>
      </c>
      <c r="C13" t="s">
        <v>74</v>
      </c>
      <c r="D13">
        <v>163.15</v>
      </c>
      <c r="E13">
        <v>7.0962042446747189</v>
      </c>
      <c r="F13">
        <v>0.48647624347513524</v>
      </c>
      <c r="G13">
        <v>-13.21</v>
      </c>
      <c r="H13">
        <v>6.4487607699180636</v>
      </c>
      <c r="I13">
        <v>0.44209112452954263</v>
      </c>
      <c r="J13">
        <v>-13.21</v>
      </c>
      <c r="K13">
        <v>0.90876200114412942</v>
      </c>
      <c r="N13" t="s">
        <v>56</v>
      </c>
      <c r="O13" t="s">
        <v>56</v>
      </c>
      <c r="P13" t="s">
        <v>56</v>
      </c>
      <c r="S13" t="s">
        <v>56</v>
      </c>
      <c r="T13" t="s">
        <v>56</v>
      </c>
      <c r="U13">
        <v>-13.21</v>
      </c>
      <c r="V13" t="s">
        <v>56</v>
      </c>
      <c r="W13">
        <v>0</v>
      </c>
      <c r="X13" t="s">
        <v>56</v>
      </c>
      <c r="Y13">
        <v>6.4487607699180636</v>
      </c>
      <c r="Z13" t="s">
        <v>56</v>
      </c>
      <c r="AA13">
        <v>0.44209112452954263</v>
      </c>
      <c r="AB13" t="s">
        <v>56</v>
      </c>
      <c r="AD13" t="s">
        <v>56</v>
      </c>
    </row>
    <row r="14" spans="1:33" x14ac:dyDescent="0.2">
      <c r="A14" t="s">
        <v>75</v>
      </c>
      <c r="B14" t="s">
        <v>14</v>
      </c>
      <c r="C14" t="s">
        <v>76</v>
      </c>
      <c r="D14">
        <v>256.39999999999998</v>
      </c>
      <c r="E14">
        <v>2.7619601451929303</v>
      </c>
      <c r="F14">
        <v>0.29756639259326556</v>
      </c>
      <c r="G14">
        <v>-13.21</v>
      </c>
      <c r="H14">
        <v>2.1250960759446711</v>
      </c>
      <c r="I14">
        <v>0.2289523164675456</v>
      </c>
      <c r="J14">
        <v>-13.21</v>
      </c>
      <c r="K14">
        <v>0.7694159090757724</v>
      </c>
      <c r="N14" t="s">
        <v>56</v>
      </c>
      <c r="O14" t="s">
        <v>56</v>
      </c>
      <c r="P14" t="s">
        <v>56</v>
      </c>
      <c r="S14" t="s">
        <v>56</v>
      </c>
      <c r="T14" t="s">
        <v>56</v>
      </c>
      <c r="U14">
        <v>-13.21</v>
      </c>
      <c r="V14" t="s">
        <v>56</v>
      </c>
      <c r="W14">
        <v>0</v>
      </c>
      <c r="X14" t="s">
        <v>56</v>
      </c>
      <c r="Y14">
        <v>2.1250960759446711</v>
      </c>
      <c r="Z14" t="s">
        <v>56</v>
      </c>
      <c r="AA14">
        <v>0.2289523164675456</v>
      </c>
      <c r="AB14" t="s">
        <v>56</v>
      </c>
      <c r="AD14" t="s">
        <v>56</v>
      </c>
    </row>
    <row r="15" spans="1:33" x14ac:dyDescent="0.2">
      <c r="A15" t="s">
        <v>77</v>
      </c>
      <c r="B15" t="s">
        <v>15</v>
      </c>
      <c r="C15" t="s">
        <v>76</v>
      </c>
      <c r="D15">
        <v>242.44</v>
      </c>
      <c r="E15">
        <v>2.6771774234382715</v>
      </c>
      <c r="F15">
        <v>0.27272809630189226</v>
      </c>
      <c r="G15">
        <v>-13.21</v>
      </c>
      <c r="H15">
        <v>2.0976905320325359</v>
      </c>
      <c r="I15">
        <v>0.2136948938920141</v>
      </c>
      <c r="J15">
        <v>-13.21</v>
      </c>
      <c r="K15">
        <v>0.78354557814046322</v>
      </c>
      <c r="N15" t="s">
        <v>56</v>
      </c>
      <c r="O15" t="s">
        <v>56</v>
      </c>
      <c r="P15" t="s">
        <v>56</v>
      </c>
      <c r="S15" t="s">
        <v>56</v>
      </c>
      <c r="T15" t="s">
        <v>56</v>
      </c>
      <c r="U15">
        <v>-13.21</v>
      </c>
      <c r="V15" t="s">
        <v>56</v>
      </c>
      <c r="W15">
        <v>0</v>
      </c>
      <c r="X15" t="s">
        <v>56</v>
      </c>
      <c r="Y15">
        <v>2.0976905320325359</v>
      </c>
      <c r="Z15" t="s">
        <v>56</v>
      </c>
      <c r="AA15">
        <v>0.2136948938920141</v>
      </c>
      <c r="AB15" t="s">
        <v>56</v>
      </c>
      <c r="AD15" t="s">
        <v>56</v>
      </c>
    </row>
    <row r="16" spans="1:33" x14ac:dyDescent="0.2">
      <c r="A16" t="s">
        <v>78</v>
      </c>
      <c r="B16" t="s">
        <v>16</v>
      </c>
      <c r="C16" t="s">
        <v>16</v>
      </c>
      <c r="D16">
        <v>74.12</v>
      </c>
      <c r="E16">
        <v>12.523853802600074</v>
      </c>
      <c r="F16">
        <v>0.39005140949872946</v>
      </c>
      <c r="G16">
        <v>-13.21</v>
      </c>
      <c r="H16">
        <v>11.830219259561096</v>
      </c>
      <c r="I16">
        <v>0.36844838414776354</v>
      </c>
      <c r="J16">
        <v>-13.21</v>
      </c>
      <c r="K16">
        <v>0.94461492812260617</v>
      </c>
      <c r="N16" t="s">
        <v>56</v>
      </c>
      <c r="O16" t="s">
        <v>56</v>
      </c>
      <c r="P16" t="s">
        <v>56</v>
      </c>
      <c r="S16" t="s">
        <v>56</v>
      </c>
      <c r="T16" t="s">
        <v>56</v>
      </c>
      <c r="U16">
        <v>-13.21</v>
      </c>
      <c r="V16" t="s">
        <v>56</v>
      </c>
      <c r="W16">
        <v>0</v>
      </c>
      <c r="X16" t="s">
        <v>56</v>
      </c>
      <c r="Y16">
        <v>11.830219259561096</v>
      </c>
      <c r="Z16" t="s">
        <v>56</v>
      </c>
      <c r="AA16">
        <v>0.36844838414776354</v>
      </c>
      <c r="AB16" t="s">
        <v>56</v>
      </c>
      <c r="AD16" t="s">
        <v>56</v>
      </c>
    </row>
    <row r="17" spans="1:33" x14ac:dyDescent="0.2">
      <c r="A17" t="s">
        <v>79</v>
      </c>
      <c r="B17" t="s">
        <v>17</v>
      </c>
      <c r="C17" t="s">
        <v>68</v>
      </c>
      <c r="D17">
        <v>89.07</v>
      </c>
      <c r="E17">
        <v>24.246591271980808</v>
      </c>
      <c r="F17">
        <v>0.90746648749119685</v>
      </c>
      <c r="G17">
        <v>-13.21</v>
      </c>
      <c r="H17">
        <v>23.158000900483984</v>
      </c>
      <c r="I17">
        <v>0.86672429533487005</v>
      </c>
      <c r="J17">
        <v>-13.21</v>
      </c>
      <c r="K17">
        <v>0.95510336445705712</v>
      </c>
      <c r="N17" t="s">
        <v>56</v>
      </c>
      <c r="O17" t="s">
        <v>56</v>
      </c>
      <c r="P17" t="s">
        <v>56</v>
      </c>
      <c r="S17" t="s">
        <v>56</v>
      </c>
      <c r="T17" t="s">
        <v>56</v>
      </c>
      <c r="U17">
        <v>-13.21</v>
      </c>
      <c r="V17" t="s">
        <v>56</v>
      </c>
      <c r="W17">
        <v>0</v>
      </c>
      <c r="X17" t="s">
        <v>56</v>
      </c>
      <c r="Y17">
        <v>23.158000900483984</v>
      </c>
      <c r="Z17" t="s">
        <v>56</v>
      </c>
      <c r="AA17">
        <v>0.86672429533487005</v>
      </c>
      <c r="AB17" t="s">
        <v>56</v>
      </c>
      <c r="AD17" t="s">
        <v>56</v>
      </c>
    </row>
    <row r="18" spans="1:33" x14ac:dyDescent="0.2">
      <c r="A18" t="s">
        <v>80</v>
      </c>
      <c r="B18" t="s">
        <v>18</v>
      </c>
      <c r="C18" t="s">
        <v>81</v>
      </c>
      <c r="D18">
        <v>140.09</v>
      </c>
      <c r="E18">
        <v>10.422415355892925</v>
      </c>
      <c r="F18">
        <v>0.6135132742837609</v>
      </c>
      <c r="G18">
        <v>-13.21</v>
      </c>
      <c r="H18">
        <v>9.6195658482434787</v>
      </c>
      <c r="I18">
        <v>0.56625370791878971</v>
      </c>
      <c r="J18">
        <v>-13.21</v>
      </c>
      <c r="K18">
        <v>0.92296895870730122</v>
      </c>
      <c r="N18" t="s">
        <v>56</v>
      </c>
      <c r="O18" t="s">
        <v>56</v>
      </c>
      <c r="P18" t="s">
        <v>56</v>
      </c>
      <c r="S18" t="s">
        <v>56</v>
      </c>
      <c r="T18" t="s">
        <v>56</v>
      </c>
      <c r="U18">
        <v>-13.21</v>
      </c>
      <c r="V18" t="s">
        <v>56</v>
      </c>
      <c r="W18">
        <v>0</v>
      </c>
      <c r="X18" t="s">
        <v>56</v>
      </c>
      <c r="Y18">
        <v>9.6195658482434787</v>
      </c>
      <c r="Z18" t="s">
        <v>56</v>
      </c>
      <c r="AA18">
        <v>0.56625370791878971</v>
      </c>
      <c r="AB18" t="s">
        <v>56</v>
      </c>
      <c r="AD18" t="s">
        <v>56</v>
      </c>
    </row>
    <row r="19" spans="1:33" x14ac:dyDescent="0.2">
      <c r="A19" t="s">
        <v>82</v>
      </c>
      <c r="B19" t="s">
        <v>19</v>
      </c>
      <c r="C19" t="s">
        <v>83</v>
      </c>
      <c r="D19">
        <v>272.25</v>
      </c>
      <c r="E19">
        <v>3.9690930418603694</v>
      </c>
      <c r="F19">
        <v>0.45405411896723136</v>
      </c>
      <c r="G19">
        <v>-13.21</v>
      </c>
      <c r="H19">
        <v>3.183054426087371</v>
      </c>
      <c r="I19">
        <v>0.36413330648062231</v>
      </c>
      <c r="J19">
        <v>-13.21</v>
      </c>
      <c r="K19">
        <v>0.80196014366935287</v>
      </c>
      <c r="N19" t="s">
        <v>56</v>
      </c>
      <c r="O19" t="s">
        <v>56</v>
      </c>
      <c r="P19" t="s">
        <v>56</v>
      </c>
      <c r="S19" t="s">
        <v>56</v>
      </c>
      <c r="T19" t="s">
        <v>56</v>
      </c>
      <c r="U19">
        <v>-13.21</v>
      </c>
      <c r="V19" t="s">
        <v>56</v>
      </c>
      <c r="W19">
        <v>0</v>
      </c>
      <c r="X19" t="s">
        <v>56</v>
      </c>
      <c r="Y19">
        <v>3.183054426087371</v>
      </c>
      <c r="Z19" t="s">
        <v>56</v>
      </c>
      <c r="AA19">
        <v>0.36413330648062231</v>
      </c>
      <c r="AB19" t="s">
        <v>56</v>
      </c>
      <c r="AD19" t="s">
        <v>56</v>
      </c>
    </row>
    <row r="20" spans="1:33" x14ac:dyDescent="0.2">
      <c r="A20" t="s">
        <v>84</v>
      </c>
      <c r="B20" t="s">
        <v>85</v>
      </c>
      <c r="C20" t="s">
        <v>86</v>
      </c>
      <c r="D20">
        <v>268.5</v>
      </c>
      <c r="E20">
        <v>9.9963631295596309E-2</v>
      </c>
      <c r="F20">
        <v>0.23552524949079609</v>
      </c>
      <c r="G20">
        <v>-0.33292500000000003</v>
      </c>
      <c r="L20">
        <v>2.7200000000000002E-2</v>
      </c>
      <c r="M20">
        <v>2.7999999999999997E-2</v>
      </c>
      <c r="N20" t="s">
        <v>145</v>
      </c>
      <c r="O20" t="s">
        <v>88</v>
      </c>
      <c r="P20" t="s">
        <v>89</v>
      </c>
      <c r="Q20">
        <v>5.1385852697487392E-3</v>
      </c>
      <c r="R20">
        <v>1000</v>
      </c>
      <c r="S20" t="s">
        <v>90</v>
      </c>
      <c r="T20" t="s">
        <v>56</v>
      </c>
      <c r="V20" t="s">
        <v>56</v>
      </c>
      <c r="X20" t="s">
        <v>56</v>
      </c>
      <c r="Z20" t="s">
        <v>56</v>
      </c>
      <c r="AB20" t="s">
        <v>56</v>
      </c>
      <c r="AD20" t="s">
        <v>56</v>
      </c>
    </row>
    <row r="21" spans="1:33" x14ac:dyDescent="0.2">
      <c r="A21" t="s">
        <v>91</v>
      </c>
      <c r="B21" t="s">
        <v>92</v>
      </c>
      <c r="C21" t="s">
        <v>93</v>
      </c>
      <c r="D21">
        <v>242.44</v>
      </c>
      <c r="E21">
        <v>0.11416737310073684</v>
      </c>
      <c r="F21">
        <v>0.242883181049906</v>
      </c>
      <c r="G21">
        <v>-0.33292500000000003</v>
      </c>
      <c r="L21">
        <v>3.5999999999999999E-3</v>
      </c>
      <c r="M21">
        <v>6.0000000000000001E-3</v>
      </c>
      <c r="N21" t="s">
        <v>145</v>
      </c>
      <c r="O21" t="s">
        <v>88</v>
      </c>
      <c r="P21" t="s">
        <v>89</v>
      </c>
      <c r="Q21">
        <v>7.5321191079101601E-4</v>
      </c>
      <c r="R21">
        <v>1000</v>
      </c>
      <c r="S21" t="s">
        <v>56</v>
      </c>
      <c r="T21" t="s">
        <v>56</v>
      </c>
      <c r="V21" t="s">
        <v>56</v>
      </c>
      <c r="X21" t="s">
        <v>56</v>
      </c>
      <c r="Z21" t="s">
        <v>56</v>
      </c>
      <c r="AB21" t="s">
        <v>56</v>
      </c>
      <c r="AD21" t="s">
        <v>56</v>
      </c>
    </row>
    <row r="22" spans="1:33" x14ac:dyDescent="0.2">
      <c r="A22" t="s">
        <v>94</v>
      </c>
      <c r="B22" t="s">
        <v>20</v>
      </c>
      <c r="C22" t="s">
        <v>95</v>
      </c>
      <c r="D22">
        <v>103.1</v>
      </c>
      <c r="E22">
        <v>12.489371088802072</v>
      </c>
      <c r="F22">
        <v>0.5410628137990281</v>
      </c>
      <c r="G22">
        <v>-13.21</v>
      </c>
      <c r="H22">
        <v>11.378220431936683</v>
      </c>
      <c r="I22">
        <v>0.49292569811213316</v>
      </c>
      <c r="J22">
        <v>-13.21</v>
      </c>
      <c r="K22">
        <v>0.91103229706565092</v>
      </c>
      <c r="N22" t="s">
        <v>56</v>
      </c>
      <c r="O22" t="s">
        <v>56</v>
      </c>
      <c r="P22" t="s">
        <v>56</v>
      </c>
      <c r="S22" t="s">
        <v>56</v>
      </c>
      <c r="T22" t="s">
        <v>56</v>
      </c>
      <c r="U22">
        <v>-13.21</v>
      </c>
      <c r="V22" t="s">
        <v>56</v>
      </c>
      <c r="W22">
        <v>0</v>
      </c>
      <c r="X22" t="s">
        <v>56</v>
      </c>
      <c r="Y22">
        <v>11.378220431936683</v>
      </c>
      <c r="Z22" t="s">
        <v>56</v>
      </c>
      <c r="AA22">
        <v>0.49292569811213316</v>
      </c>
      <c r="AB22" t="s">
        <v>56</v>
      </c>
      <c r="AD22" t="s">
        <v>56</v>
      </c>
    </row>
    <row r="23" spans="1:33" x14ac:dyDescent="0.2">
      <c r="A23" t="s">
        <v>96</v>
      </c>
      <c r="B23" t="s">
        <v>21</v>
      </c>
      <c r="C23" t="s">
        <v>97</v>
      </c>
      <c r="D23">
        <v>329.4</v>
      </c>
      <c r="E23">
        <v>2.5111438793187735</v>
      </c>
      <c r="F23">
        <v>0.34757108808651643</v>
      </c>
      <c r="G23">
        <v>-13.21</v>
      </c>
      <c r="H23">
        <v>1.612900652995342</v>
      </c>
      <c r="I23">
        <v>0.22324393259741193</v>
      </c>
      <c r="J23">
        <v>-13.21</v>
      </c>
      <c r="K23">
        <v>0.64229718825704707</v>
      </c>
      <c r="N23" t="s">
        <v>56</v>
      </c>
      <c r="O23" t="s">
        <v>56</v>
      </c>
      <c r="P23" t="s">
        <v>56</v>
      </c>
      <c r="S23" t="s">
        <v>56</v>
      </c>
      <c r="T23" t="s">
        <v>56</v>
      </c>
      <c r="U23">
        <v>-13.21</v>
      </c>
      <c r="V23" t="s">
        <v>56</v>
      </c>
      <c r="W23">
        <v>0</v>
      </c>
      <c r="X23" t="s">
        <v>56</v>
      </c>
      <c r="Y23">
        <v>1.612900652995342</v>
      </c>
      <c r="Z23" t="s">
        <v>56</v>
      </c>
      <c r="AA23">
        <v>0.22324393259741193</v>
      </c>
      <c r="AB23" t="s">
        <v>56</v>
      </c>
      <c r="AD23" t="s">
        <v>56</v>
      </c>
    </row>
    <row r="24" spans="1:33" x14ac:dyDescent="0.2">
      <c r="A24" t="s">
        <v>98</v>
      </c>
      <c r="B24" t="s">
        <v>22</v>
      </c>
      <c r="C24" t="s">
        <v>99</v>
      </c>
      <c r="D24">
        <v>228.24</v>
      </c>
      <c r="E24">
        <v>3.9690930425428514</v>
      </c>
      <c r="F24">
        <v>0.38065495732194871</v>
      </c>
      <c r="G24">
        <v>-13.21</v>
      </c>
      <c r="H24">
        <v>3.1830544259835358</v>
      </c>
      <c r="I24">
        <v>0.30527010419991218</v>
      </c>
      <c r="J24">
        <v>-13.21</v>
      </c>
      <c r="K24">
        <v>0.80196014350529565</v>
      </c>
      <c r="N24" t="s">
        <v>56</v>
      </c>
      <c r="O24" t="s">
        <v>56</v>
      </c>
      <c r="P24" t="s">
        <v>56</v>
      </c>
      <c r="S24" t="s">
        <v>56</v>
      </c>
      <c r="T24" t="s">
        <v>56</v>
      </c>
      <c r="U24">
        <v>-13.21</v>
      </c>
      <c r="V24" t="s">
        <v>56</v>
      </c>
      <c r="W24">
        <v>0</v>
      </c>
      <c r="X24" t="s">
        <v>56</v>
      </c>
      <c r="Y24">
        <v>3.1830544259835358</v>
      </c>
      <c r="Z24" t="s">
        <v>56</v>
      </c>
      <c r="AA24">
        <v>0.30527010419991218</v>
      </c>
      <c r="AB24" t="s">
        <v>56</v>
      </c>
      <c r="AD24" t="s">
        <v>56</v>
      </c>
    </row>
    <row r="25" spans="1:33" x14ac:dyDescent="0.2">
      <c r="A25" t="s">
        <v>100</v>
      </c>
      <c r="B25" t="s">
        <v>23</v>
      </c>
      <c r="C25" t="s">
        <v>66</v>
      </c>
      <c r="D25">
        <v>246.3</v>
      </c>
      <c r="E25">
        <v>2.9574670035910144</v>
      </c>
      <c r="F25">
        <v>0.30607846275194134</v>
      </c>
      <c r="G25">
        <v>-13.21</v>
      </c>
      <c r="H25">
        <v>2.4912664327570901</v>
      </c>
      <c r="I25">
        <v>0.25782975739642483</v>
      </c>
      <c r="J25">
        <v>-13.21</v>
      </c>
      <c r="K25">
        <v>0.84236491218064158</v>
      </c>
      <c r="N25" t="s">
        <v>56</v>
      </c>
      <c r="O25" t="s">
        <v>56</v>
      </c>
      <c r="P25" t="s">
        <v>56</v>
      </c>
      <c r="S25" t="s">
        <v>56</v>
      </c>
      <c r="T25" t="s">
        <v>56</v>
      </c>
      <c r="U25">
        <v>-13.21</v>
      </c>
      <c r="V25" t="s">
        <v>56</v>
      </c>
      <c r="W25">
        <v>0</v>
      </c>
      <c r="X25" t="s">
        <v>56</v>
      </c>
      <c r="Y25">
        <v>2.4912664327570901</v>
      </c>
      <c r="Z25" t="s">
        <v>56</v>
      </c>
      <c r="AA25">
        <v>0.25782975739642483</v>
      </c>
      <c r="AB25" t="s">
        <v>56</v>
      </c>
      <c r="AD25" t="s">
        <v>56</v>
      </c>
    </row>
    <row r="26" spans="1:33" x14ac:dyDescent="0.2">
      <c r="A26" t="s">
        <v>101</v>
      </c>
      <c r="B26" t="s">
        <v>102</v>
      </c>
      <c r="C26" t="s">
        <v>102</v>
      </c>
      <c r="D26">
        <v>174.15</v>
      </c>
      <c r="E26">
        <v>9.7256522104930436</v>
      </c>
      <c r="F26">
        <v>0.71168967568395203</v>
      </c>
      <c r="G26">
        <v>-13.21</v>
      </c>
      <c r="H26">
        <v>9.0212267493993306</v>
      </c>
      <c r="I26">
        <v>0.66014225067852006</v>
      </c>
      <c r="J26">
        <v>-13.21</v>
      </c>
      <c r="K26">
        <v>0.92757036280469629</v>
      </c>
      <c r="N26" t="s">
        <v>56</v>
      </c>
      <c r="O26" t="s">
        <v>56</v>
      </c>
      <c r="P26" t="s">
        <v>56</v>
      </c>
      <c r="S26" t="s">
        <v>56</v>
      </c>
      <c r="T26" t="s">
        <v>56</v>
      </c>
      <c r="U26">
        <v>-13.21</v>
      </c>
      <c r="V26" t="s">
        <v>56</v>
      </c>
      <c r="W26">
        <v>0</v>
      </c>
      <c r="X26" t="s">
        <v>56</v>
      </c>
      <c r="Y26">
        <v>9.0212267493993306</v>
      </c>
      <c r="Z26" t="s">
        <v>56</v>
      </c>
      <c r="AA26">
        <v>0.66014225067852006</v>
      </c>
      <c r="AB26" t="s">
        <v>56</v>
      </c>
      <c r="AD26" t="s">
        <v>56</v>
      </c>
    </row>
    <row r="27" spans="1:33" x14ac:dyDescent="0.2">
      <c r="A27" t="s">
        <v>103</v>
      </c>
      <c r="B27" t="s">
        <v>104</v>
      </c>
      <c r="C27" t="s">
        <v>105</v>
      </c>
      <c r="D27">
        <v>270.5</v>
      </c>
      <c r="E27">
        <v>0.10139557965699551</v>
      </c>
      <c r="F27">
        <v>0.24067858540813117</v>
      </c>
      <c r="G27">
        <v>-0.33292500000000003</v>
      </c>
      <c r="L27">
        <v>6.0000000000000001E-3</v>
      </c>
      <c r="M27">
        <v>9.1999999999999998E-3</v>
      </c>
      <c r="N27" t="s">
        <v>145</v>
      </c>
      <c r="O27" t="s">
        <v>88</v>
      </c>
      <c r="P27" t="s">
        <v>89</v>
      </c>
      <c r="Q27">
        <v>1.1251305955155509E-3</v>
      </c>
      <c r="R27">
        <v>1000</v>
      </c>
      <c r="S27" t="s">
        <v>56</v>
      </c>
      <c r="T27" t="s">
        <v>56</v>
      </c>
      <c r="V27" t="s">
        <v>56</v>
      </c>
      <c r="X27" t="s">
        <v>56</v>
      </c>
      <c r="Z27" t="s">
        <v>56</v>
      </c>
      <c r="AB27" t="s">
        <v>56</v>
      </c>
      <c r="AD27" t="s">
        <v>56</v>
      </c>
    </row>
    <row r="28" spans="1:33" x14ac:dyDescent="0.2">
      <c r="A28" t="s">
        <v>106</v>
      </c>
      <c r="B28" t="s">
        <v>25</v>
      </c>
      <c r="C28" t="s">
        <v>58</v>
      </c>
      <c r="D28">
        <v>104.15</v>
      </c>
      <c r="E28">
        <v>6.7662538939374883</v>
      </c>
      <c r="F28">
        <v>0.29611200575179425</v>
      </c>
      <c r="G28">
        <v>-13.21</v>
      </c>
      <c r="H28">
        <v>6.182032002992508</v>
      </c>
      <c r="I28">
        <v>0.27054466544154865</v>
      </c>
      <c r="J28">
        <v>-13.21</v>
      </c>
      <c r="K28">
        <v>0.91365652248603335</v>
      </c>
      <c r="N28" t="s">
        <v>56</v>
      </c>
      <c r="O28" t="s">
        <v>56</v>
      </c>
      <c r="P28" t="s">
        <v>56</v>
      </c>
      <c r="S28" t="s">
        <v>56</v>
      </c>
      <c r="T28" t="s">
        <v>56</v>
      </c>
      <c r="U28">
        <v>-13.21</v>
      </c>
      <c r="V28" t="s">
        <v>56</v>
      </c>
      <c r="W28">
        <v>0</v>
      </c>
      <c r="X28" t="s">
        <v>56</v>
      </c>
      <c r="Y28">
        <v>6.182032002992508</v>
      </c>
      <c r="Z28" t="s">
        <v>56</v>
      </c>
      <c r="AA28">
        <v>0.27054466544154865</v>
      </c>
      <c r="AB28" t="s">
        <v>56</v>
      </c>
      <c r="AD28" t="s">
        <v>56</v>
      </c>
    </row>
    <row r="29" spans="1:33" x14ac:dyDescent="0.2">
      <c r="A29" t="s">
        <v>107</v>
      </c>
      <c r="B29" t="s">
        <v>108</v>
      </c>
      <c r="C29" t="s">
        <v>108</v>
      </c>
      <c r="D29">
        <v>824.3</v>
      </c>
      <c r="E29">
        <v>0.13084232648079575</v>
      </c>
      <c r="F29">
        <v>0.27198107608594713</v>
      </c>
      <c r="G29">
        <v>-2.2011337271575702</v>
      </c>
      <c r="H29">
        <v>0.12503767528954701</v>
      </c>
      <c r="I29">
        <v>0.25991498616105468</v>
      </c>
      <c r="J29">
        <v>-2.2011337271575711</v>
      </c>
      <c r="K29">
        <v>0.95563628875017936</v>
      </c>
      <c r="L29">
        <v>0.129384</v>
      </c>
      <c r="M29">
        <v>0.14680000000000001</v>
      </c>
      <c r="N29" t="s">
        <v>146</v>
      </c>
      <c r="O29" t="s">
        <v>110</v>
      </c>
      <c r="P29" t="s">
        <v>111</v>
      </c>
      <c r="S29" t="s">
        <v>56</v>
      </c>
      <c r="T29" t="s">
        <v>56</v>
      </c>
      <c r="U29">
        <v>-2.2011337271575711</v>
      </c>
      <c r="V29" t="s">
        <v>56</v>
      </c>
      <c r="W29">
        <v>0</v>
      </c>
      <c r="X29" t="s">
        <v>56</v>
      </c>
      <c r="Y29">
        <v>0.12503767528954701</v>
      </c>
      <c r="Z29" t="s">
        <v>56</v>
      </c>
      <c r="AA29">
        <v>0.25991498616105468</v>
      </c>
      <c r="AB29" t="s">
        <v>56</v>
      </c>
      <c r="AC29">
        <v>0.18902348293410801</v>
      </c>
      <c r="AD29" t="s">
        <v>56</v>
      </c>
      <c r="AE29">
        <v>0.31962612118927403</v>
      </c>
      <c r="AF29">
        <v>0</v>
      </c>
      <c r="AG29">
        <v>0.15554664492274101</v>
      </c>
    </row>
    <row r="30" spans="1:33" x14ac:dyDescent="0.2">
      <c r="A30" t="s">
        <v>112</v>
      </c>
      <c r="B30" t="s">
        <v>113</v>
      </c>
      <c r="C30" t="s">
        <v>114</v>
      </c>
      <c r="D30">
        <v>126.11004</v>
      </c>
      <c r="E30">
        <v>7.1056120263669536E-3</v>
      </c>
      <c r="F30">
        <v>6.7184139894737163E-2</v>
      </c>
      <c r="G30">
        <v>-7.8476895921783002E-2</v>
      </c>
      <c r="L30">
        <v>0.11450973051259666</v>
      </c>
      <c r="M30">
        <v>0.1208420658404822</v>
      </c>
      <c r="N30" t="s">
        <v>147</v>
      </c>
      <c r="O30" t="s">
        <v>116</v>
      </c>
      <c r="P30" t="s">
        <v>117</v>
      </c>
      <c r="Q30">
        <v>1.1133019284161489E-2</v>
      </c>
      <c r="R30">
        <v>1.2780647900976147E-2</v>
      </c>
      <c r="S30" t="s">
        <v>56</v>
      </c>
      <c r="T30" t="s">
        <v>56</v>
      </c>
      <c r="V30" t="s">
        <v>56</v>
      </c>
      <c r="X30" t="s">
        <v>56</v>
      </c>
      <c r="Z30" t="s">
        <v>56</v>
      </c>
      <c r="AB30" t="s">
        <v>56</v>
      </c>
      <c r="AD30" t="s">
        <v>56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29E72-4D6C-6547-9507-19B465390568}">
  <sheetPr codeName="Sheet4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F01A03-824E-AC4A-8638-988A33B69A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format_example</vt:lpstr>
      <vt:lpstr>RT</vt:lpstr>
      <vt:lpstr>SC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Mooney, Eric James</dc:creator>
  <cp:lastModifiedBy>Mooney, Eric James</cp:lastModifiedBy>
  <cp:lastPrinted>2023-12-27T22:37:51Z</cp:lastPrinted>
  <dcterms:created xsi:type="dcterms:W3CDTF">2023-03-28T23:37:47Z</dcterms:created>
  <dcterms:modified xsi:type="dcterms:W3CDTF">2025-03-24T00:29:50Z</dcterms:modified>
</cp:coreProperties>
</file>