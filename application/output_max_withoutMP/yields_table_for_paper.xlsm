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jm6426/Documents/rtRBA-main/application/output_max_withoutMP/"/>
    </mc:Choice>
  </mc:AlternateContent>
  <xr:revisionPtr revIDLastSave="0" documentId="13_ncr:1_{A32AE7E6-F6BF-BD47-8DA1-9B10876DB983}" xr6:coauthVersionLast="47" xr6:coauthVersionMax="47" xr10:uidLastSave="{00000000-0000-0000-0000-000000000000}"/>
  <bookViews>
    <workbookView xWindow="0" yWindow="780" windowWidth="30240" windowHeight="17280" xr2:uid="{6C52A7FF-F534-437B-8841-5CF279F3B083}"/>
  </bookViews>
  <sheets>
    <sheet name="Sheet1" sheetId="1" r:id="rId1"/>
    <sheet name="RT" sheetId="3" r:id="rId2"/>
    <sheet name="RT_min_default_kapp" sheetId="7" r:id="rId3"/>
    <sheet name="SC" sheetId="5" r:id="rId4"/>
    <sheet name="SC_MDK" sheetId="8" r:id="rId5"/>
  </sheets>
  <externalReferences>
    <externalReference r:id="rId6"/>
  </externalReference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element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value" hidden="1" xlm="1">#NAME?</definedName>
    <definedName name="_xlpm.x" hidden="1" xlm="1">#NAME?</definedName>
    <definedName name="_xlpm.y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ExternalData_1" localSheetId="1" hidden="1">RT!$A$1:$AA$30</definedName>
    <definedName name="ExternalData_1" localSheetId="2" hidden="1">RT_min_default_kapp!$A$1:$AA$30</definedName>
    <definedName name="ExternalData_1" localSheetId="3" hidden="1">SC!$A$1:$AG$30</definedName>
    <definedName name="ExternalData_1" localSheetId="4" hidden="1">SC_MDK!$A$1:$AC$30</definedName>
    <definedName name="IfBlank_DIY" comment="Return a default value if the input is blank.">_xlfn.LAMBDA(_xlpm.value,_xlpm.default,IF(_xlpm.value="",_xlpm.default,_xlpm.value))</definedName>
    <definedName name="IsElementOfSet_CaseInsensitive_DIY" comment="Checks if a value is an element of a set. Case-insensitive version.">_xlfn.LAMBDA(_xlpm.element,_xlpm.array,OR(_xlpm.element=_xlpm.array))</definedName>
    <definedName name="IsElementOfSet_DIY" comment="Checks if a value is an element of a set (case-sensitive).">_xlfn.LAMBDA(_xlpm.element,_xlpm.array,OR(EXACT(_xlpm.element,_xlpm.array)))</definedName>
    <definedName name="IsSubset_DIY">_xlfn.LAMBDA(_xlpm.x,_xlpm.y,AND(COUNTIF(_xlpm.y,_xlpm.x)&gt;=COUNTIF(_xlpm.x,_xlpm.x)))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5" i="1" s="1"/>
  <c r="F5" i="1" a="1"/>
  <c r="F5" i="1" s="1"/>
  <c r="G5" i="1" a="1"/>
  <c r="G5" i="1" s="1"/>
  <c r="H5" i="1" a="1"/>
  <c r="H5" i="1" s="1"/>
  <c r="E5" i="1" a="1"/>
  <c r="E5" i="1" s="1"/>
  <c r="I37" i="1" a="1"/>
  <c r="I37" i="1" s="1"/>
  <c r="E37" i="1" a="1"/>
  <c r="E37" i="1" s="1"/>
  <c r="D37" i="1" l="1" a="1"/>
  <c r="D37" i="1" s="1"/>
  <c r="C37" i="1" a="1"/>
  <c r="C37" i="1" s="1"/>
  <c r="G37" i="1" s="1" a="1"/>
  <c r="G37" i="1" s="1"/>
  <c r="H37" i="1" l="1" a="1"/>
  <c r="H37" i="1" s="1"/>
  <c r="G29" i="1" a="1"/>
  <c r="G29" i="1" s="1"/>
  <c r="F29" i="1" a="1"/>
  <c r="F29" i="1" s="1"/>
  <c r="D29" i="1" a="1"/>
  <c r="D29" i="1" s="1"/>
  <c r="C29" i="1" a="1"/>
  <c r="C29" i="1" s="1"/>
  <c r="D5" i="1" l="1" a="1"/>
  <c r="D5" i="1" s="1"/>
  <c r="N5" i="1" a="1"/>
  <c r="N5" i="1" s="1"/>
  <c r="O5" i="1" l="1" a="1"/>
  <c r="O5" i="1" s="1"/>
  <c r="Q5" i="1" s="1" a="1"/>
  <c r="Q5" i="1" s="1"/>
  <c r="K5" i="1" a="1"/>
  <c r="K5" i="1" s="1"/>
  <c r="M5" i="1" a="1"/>
  <c r="M5" i="1" s="1"/>
  <c r="J5" i="1" l="1" a="1"/>
  <c r="J5" i="1" s="1"/>
  <c r="L5" i="1" l="1" a="1"/>
  <c r="L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90EE83-3C75-A44F-9692-8A5FF7457A98}" keepAlive="1" name="Query - compiled_results (2)" description="Connection to the 'compiled_results (2)' query in the workbook." type="5" refreshedVersion="8" background="1" saveData="1">
    <dbPr connection="Provider=Microsoft.Mashup.OleDb.1;Data Source=$Workbook$;Location=&quot;compiled_results (2)&quot;;Extended Properties=&quot;&quot;" command="SELECT * FROM [compiled_results (2)]"/>
  </connection>
  <connection id="2" xr16:uid="{0481F7C7-757F-AD45-8299-F2E06693FED9}" keepAlive="1" name="Query - compiled_results (3)" description="Connection to the 'compiled_results (3)' query in the workbook." type="5" refreshedVersion="8" background="1" saveData="1">
    <dbPr connection="Provider=Microsoft.Mashup.OleDb.1;Data Source=$Workbook$;Location=&quot;compiled_results (3)&quot;;Extended Properties=&quot;&quot;" command="SELECT * FROM [compiled_results (3)]"/>
  </connection>
  <connection id="3" xr16:uid="{67371ED1-2981-AA4D-81D8-54956D72109D}" keepAlive="1" name="Query - compiled_results (4)" description="Connection to the 'compiled_results (4)' query in the workbook." type="5" refreshedVersion="8" background="1" saveData="1">
    <dbPr connection="Provider=Microsoft.Mashup.OleDb.1;Data Source=$Workbook$;Location=&quot;compiled_results (4)&quot;;Extended Properties=&quot;&quot;" command="SELECT * FROM [compiled_results (4)]"/>
  </connection>
  <connection id="4" xr16:uid="{4524A597-4AC4-1D44-A2DB-7FCF36E5D845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<sst xmlns="http://schemas.openxmlformats.org/spreadsheetml/2006/main" count="1490" uniqueCount="145">
  <si>
    <t>RT</t>
  </si>
  <si>
    <r>
      <t>SC</t>
    </r>
    <r>
      <rPr>
        <b/>
        <vertAlign val="superscript"/>
        <sz val="12"/>
        <color rgb="FFFF0000"/>
        <rFont val="Times New Roman"/>
        <family val="1"/>
      </rPr>
      <t>a</t>
    </r>
  </si>
  <si>
    <t>Name</t>
  </si>
  <si>
    <t>FBA</t>
  </si>
  <si>
    <t>RBA</t>
  </si>
  <si>
    <t>1,3-Propanediol</t>
  </si>
  <si>
    <t>2-Phenylethanol</t>
  </si>
  <si>
    <t>3-Hydroxypropionic acid</t>
  </si>
  <si>
    <t>p-Hydroxybenzoate</t>
  </si>
  <si>
    <t>Artermisinic acid</t>
  </si>
  <si>
    <t>(2R,3R)-Butanediol</t>
  </si>
  <si>
    <t>n-Butanol</t>
  </si>
  <si>
    <t>Citramalate</t>
  </si>
  <si>
    <t>p-Coumaric acid</t>
  </si>
  <si>
    <t>Hexadecanoic acid</t>
  </si>
  <si>
    <t>Hexadecanol</t>
  </si>
  <si>
    <t>Isobutanol</t>
  </si>
  <si>
    <t>L-Lactate</t>
  </si>
  <si>
    <t>cis,cis-Muconate</t>
  </si>
  <si>
    <t>(2S)-Naringenin</t>
  </si>
  <si>
    <t>Polyhydroxybutyrate</t>
  </si>
  <si>
    <t>Reticuline</t>
  </si>
  <si>
    <t>Resveratrol</t>
  </si>
  <si>
    <t>Sesquiterpenes</t>
  </si>
  <si>
    <r>
      <t>Shikimate</t>
    </r>
    <r>
      <rPr>
        <b/>
        <vertAlign val="superscript"/>
        <sz val="12"/>
        <color rgb="FFFF0000"/>
        <rFont val="Times New Roman"/>
        <family val="1"/>
      </rPr>
      <t>b</t>
    </r>
  </si>
  <si>
    <t>Styrene</t>
  </si>
  <si>
    <r>
      <t> </t>
    </r>
    <r>
      <rPr>
        <sz val="10"/>
        <color theme="1"/>
        <rFont val="Times New Roman"/>
        <family val="1"/>
      </rPr>
      <t>Maintain same number of significant figures</t>
    </r>
  </si>
  <si>
    <t>product</t>
  </si>
  <si>
    <t>name</t>
  </si>
  <si>
    <t>precursor</t>
  </si>
  <si>
    <t>MW (g/mol)</t>
  </si>
  <si>
    <t>rateFBA</t>
  </si>
  <si>
    <t>yieldFBA</t>
  </si>
  <si>
    <t>vCarbonSourcesFBA</t>
  </si>
  <si>
    <t>rateRBA</t>
  </si>
  <si>
    <t>yieldRBA</t>
  </si>
  <si>
    <t>vCarbonSourcesRBA</t>
  </si>
  <si>
    <t>yRBA/yFBA</t>
  </si>
  <si>
    <t>yieldExp_LB_(g/g_substrate)</t>
  </si>
  <si>
    <t>yieldExp_UB_(g/g_substrate)</t>
  </si>
  <si>
    <t>SimulationSettings</t>
  </si>
  <si>
    <t>yieldEXP_conditions</t>
  </si>
  <si>
    <t>yieldExp_ref</t>
  </si>
  <si>
    <t>fluxExp_LB_(mmol product/(gDW*h))</t>
  </si>
  <si>
    <t>fluxExp_UB_(mmol product/(gDW*h))</t>
  </si>
  <si>
    <t>Column1</t>
  </si>
  <si>
    <t>vCarbonSources</t>
  </si>
  <si>
    <t>RBA: vCarbonSources</t>
  </si>
  <si>
    <t>carbonSlack</t>
  </si>
  <si>
    <t>RBA: carbonSlack</t>
  </si>
  <si>
    <t>vprod</t>
  </si>
  <si>
    <t>RBA: vprod</t>
  </si>
  <si>
    <t>yield</t>
  </si>
  <si>
    <t>RBA: yield</t>
  </si>
  <si>
    <t>13ppd</t>
  </si>
  <si>
    <t>Glycerol</t>
  </si>
  <si>
    <t/>
  </si>
  <si>
    <t>2phetoh</t>
  </si>
  <si>
    <t>L-Phenylalanine</t>
  </si>
  <si>
    <t>3hppa</t>
  </si>
  <si>
    <t>Malonyl-CoA</t>
  </si>
  <si>
    <t>3hppb</t>
  </si>
  <si>
    <t>L-Alanine</t>
  </si>
  <si>
    <t>4hbz</t>
  </si>
  <si>
    <t>Chorismate</t>
  </si>
  <si>
    <t>arte</t>
  </si>
  <si>
    <t>Farnesyl diphosphate</t>
  </si>
  <si>
    <t>btd</t>
  </si>
  <si>
    <t>Pyruvate</t>
  </si>
  <si>
    <t>btoh</t>
  </si>
  <si>
    <t>Threonine or (acetyl-CoA and pyruvate)</t>
  </si>
  <si>
    <t>citm</t>
  </si>
  <si>
    <t>Acetyl-CoA and pyruvate</t>
  </si>
  <si>
    <t>cou</t>
  </si>
  <si>
    <t>L-Tyrosine</t>
  </si>
  <si>
    <t>hdca</t>
  </si>
  <si>
    <t>Fatty acyl-CoA</t>
  </si>
  <si>
    <t>hxdcol</t>
  </si>
  <si>
    <t>ibutoh</t>
  </si>
  <si>
    <t>lac__L</t>
  </si>
  <si>
    <t>muco</t>
  </si>
  <si>
    <t>3-Dehydroshikimate</t>
  </si>
  <si>
    <t>nrgn</t>
  </si>
  <si>
    <t>Tyrosine and malonyl-CoA</t>
  </si>
  <si>
    <t>odealc</t>
  </si>
  <si>
    <t>oleyl alcohol</t>
  </si>
  <si>
    <t>oleoyl-CoA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</si>
  <si>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:(0.0133333333333333,1000)</t>
  </si>
  <si>
    <t>Fed-batch; 2L; 40 g/L after 24 h; pH 5.0; sucrose as substrate</t>
  </si>
  <si>
    <t>https://www.ncbi.nlm.nih.gov/pmc/articles/PMC4607723/</t>
  </si>
  <si>
    <t>Rounded up trace element uptakes to account for contributions from seed cultures, until yields could be replicated</t>
  </si>
  <si>
    <t>pmtalc</t>
  </si>
  <si>
    <t>palmityl alcohol</t>
  </si>
  <si>
    <t>palmitoyl-CoA</t>
  </si>
  <si>
    <t>polyhb</t>
  </si>
  <si>
    <t>Acetoacetyl-CoA</t>
  </si>
  <si>
    <t>retcln</t>
  </si>
  <si>
    <t>L-Tyrosine and L-phenylalanine</t>
  </si>
  <si>
    <t>rsvtol</t>
  </si>
  <si>
    <t>L-Tyrosine and malonyl-CoA</t>
  </si>
  <si>
    <t>sesqt</t>
  </si>
  <si>
    <t>skm</t>
  </si>
  <si>
    <t>Shikimate</t>
  </si>
  <si>
    <t>stalc</t>
  </si>
  <si>
    <t>stearyl alcohol</t>
  </si>
  <si>
    <t>stearoyl-CoA</t>
  </si>
  <si>
    <t>styr</t>
  </si>
  <si>
    <t>tag</t>
  </si>
  <si>
    <t>Triacylglycerol</t>
  </si>
  <si>
    <t>c_sources:EX_glc__D_e;BIOMASS:(0.009615384615,0.14);EX_glc__D_e:(-2.20113372715757,1000);EX_nh4_e:(-0.181824845165991,1000);EX_o2_e:(-26.25403530509562,1000)</t>
  </si>
  <si>
    <t>Strain CBS 14; minimal media; N limitation; max growth of 0.14/h; sugar went from 40.8 ± 0.3 to 3.19 ± 0.81 g/l (cultivated in 0.5 l)</t>
  </si>
  <si>
    <t>https://link.springer.com/article/10.1186/s13068-019-1478-8</t>
  </si>
  <si>
    <t>tal</t>
  </si>
  <si>
    <t>triacetic acid lactone</t>
  </si>
  <si>
    <t>Acetyl-CoA and Malonyl-CoA</t>
  </si>
  <si>
    <t>c_sources:EX_xyl__D_e,EX_glc__D_e;EX_xyl__D_e:(-0.0266525306904169,-0.0266525306904169);EX_glc__D_e:(-0.0518243652313661,-0.0518243652313661);BIOMASS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</si>
  <si>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Strain IFO0880 with genetic modifications made to allow TAL production; grown using glucose. UB is theoretical maximum yield, while LB is observed yield at 95 h. Use biomass from RT_IFO0880 model (Kim et al. (2020)), to provide data based on similar conditions.</t>
  </si>
  <si>
    <t>https://analyticalsciencejournals.onlinelibrary.wiley.com/doi/full/10.1002/bit.28159</t>
  </si>
  <si>
    <t>Exp.</t>
  </si>
  <si>
    <t>0.027 [8]</t>
  </si>
  <si>
    <t>-</t>
  </si>
  <si>
    <t>0.004 [8]</t>
  </si>
  <si>
    <t>0.006 [8]</t>
  </si>
  <si>
    <r>
      <t>Triacylglycerols</t>
    </r>
    <r>
      <rPr>
        <b/>
        <vertAlign val="superscript"/>
        <sz val="12"/>
        <color rgb="FF000000"/>
        <rFont val="Times New Roman"/>
        <family val="1"/>
      </rPr>
      <t>b</t>
    </r>
    <r>
      <rPr>
        <b/>
        <sz val="12"/>
        <color rgb="FF000000"/>
        <rFont val="Times New Roman"/>
        <family val="1"/>
      </rPr>
      <t xml:space="preserve"> (TAGs)</t>
    </r>
  </si>
  <si>
    <r>
      <t>0.129</t>
    </r>
    <r>
      <rPr>
        <vertAlign val="superscript"/>
        <sz val="12"/>
        <color rgb="FF000000"/>
        <rFont val="Times New Roman"/>
        <family val="1"/>
      </rPr>
      <t>c</t>
    </r>
  </si>
  <si>
    <t>RT/SC</t>
  </si>
  <si>
    <t>RBA/FBA</t>
  </si>
  <si>
    <t>differences below may just be rounding errors.</t>
  </si>
  <si>
    <t>yield on minimal media at 1.0% exp. growth</t>
  </si>
  <si>
    <t>FBA: yield on minimal media at 1.0% exp. growth</t>
  </si>
  <si>
    <t>yield on minimal media at 0.0% exp. growth</t>
  </si>
  <si>
    <t>FBA: yield on minimal media at 0.0% exp. growth</t>
  </si>
  <si>
    <t>RBA: yield on minimal media at 1.0% exp. growth</t>
  </si>
  <si>
    <t>RBA: yield on minimal media at 0.0% exp. growth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</si>
  <si>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_AERO_SC_hvd:(0.0133333333333333,1000)</t>
  </si>
  <si>
    <t>c_sources:EX_glc__D_e;BIOMASS_AERO_SC_hvd:(0.009615384615,0.14);EX_glc__D_e:(-2.20113372715757,1000);EX_nh4_e:(-0.181824845165991,1000);EX_o2_e:(-26.25403530509562,1000)</t>
  </si>
  <si>
    <t>c_sources:EX_xyl__D_e,EX_glc__D_e;EX_xyl__D_e:(-0.0266525306904169,-0.0266525306904169);EX_glc__D_e:(-0.0518243652313661,-0.0518243652313661);BIOMASS_AERO_SC_hvd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</si>
  <si>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k^med</t>
  </si>
  <si>
    <t>Column19</t>
  </si>
  <si>
    <t>k_app^default (h-1)</t>
  </si>
  <si>
    <t>UNDF</t>
  </si>
  <si>
    <t>(RT-SC)/RT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</si>
  <si>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_MFA:(0.0133333333333333,1000)</t>
  </si>
  <si>
    <t>c_sources:EX_glc__D_e;BIOMASS_MFA:(0.009615384615,0.14);EX_glc__D_e:(-2.20113372715757,1000);EX_nh4_e:(-0.181824845165991,1000);EX_o2_e:(-26.25403530509562,1000)</t>
  </si>
  <si>
    <t>c_sources:EX_xyl__D_e,EX_glc__D_e;EX_xyl__D_e:(-0.0266525306904169,-0.0266525306904169);EX_glc__D_e:(-0.0518243652313661,-0.0518243652313661);BIOMASS:(0,0);BiomassKim_e:(0.0138888888888888,0.0138888888888889)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</si>
</sst>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vertAlign val="superscript"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vertAlign val="superscript"/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rgb="FF7F7F7F"/>
      </top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vertical="top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10" fillId="0" borderId="2" xfId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0" fillId="0" borderId="1" xfId="1" applyBorder="1" applyAlignment="1">
      <alignment horizontal="left" vertic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11" fillId="0" borderId="0" xfId="0" applyFont="1"/>
  </cellXfs>
  <cellStyles count="2">
    <cellStyle name="Hyperlink" xfId="1" builtinId="8"/>
    <cellStyle name="Normal" xfId="0" builtinId="0"/>
  </cellStyles>
  <dxfs count="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Light15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jm6426/Documents/scRBA/application/output_max_withoutMP_min_default_kapp/compiled_results.xlsx" TargetMode="External"/><Relationship Id="rId1" Type="http://schemas.openxmlformats.org/officeDocument/2006/relationships/externalLinkPath" Target="/Users/ejm6426/Documents/scRBA/application/output_max_withoutMP_min_default_kapp/compiled_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B1" t="str">
            <v>name</v>
          </cell>
          <cell r="I1" t="str">
            <v>yieldRBA</v>
          </cell>
        </row>
        <row r="2">
          <cell r="B2" t="str">
            <v>1,3-Propanediol</v>
          </cell>
          <cell r="I2">
            <v>0.24309538841390299</v>
          </cell>
        </row>
        <row r="3">
          <cell r="B3" t="str">
            <v>2-Phenylethanol</v>
          </cell>
          <cell r="I3">
            <v>8.6096642510535087E-2</v>
          </cell>
        </row>
        <row r="4">
          <cell r="B4" t="str">
            <v>3-Hydroxypropionic acid</v>
          </cell>
        </row>
        <row r="5">
          <cell r="B5" t="str">
            <v>3-Hydroxypropionic acid</v>
          </cell>
          <cell r="I5">
            <v>7.4978378105098942E-2</v>
          </cell>
        </row>
        <row r="6">
          <cell r="B6" t="str">
            <v>3-Hydroxypropionic acid</v>
          </cell>
        </row>
        <row r="7">
          <cell r="B7" t="str">
            <v>3-Hydroxypropionic acid</v>
          </cell>
          <cell r="I7">
            <v>7.4978378105098942E-2</v>
          </cell>
        </row>
        <row r="8">
          <cell r="B8" t="str">
            <v>p-Hydroxybenzoate</v>
          </cell>
          <cell r="I8">
            <v>8.6902498408734652E-2</v>
          </cell>
        </row>
        <row r="9">
          <cell r="B9" t="str">
            <v>Artermisinic acid</v>
          </cell>
          <cell r="I9">
            <v>2.9835172788531341E-2</v>
          </cell>
        </row>
        <row r="10">
          <cell r="B10" t="str">
            <v>(2R,3R)-Butanediol</v>
          </cell>
          <cell r="I10">
            <v>0.18799781482821931</v>
          </cell>
        </row>
        <row r="11">
          <cell r="B11" t="str">
            <v>n-Butanol</v>
          </cell>
          <cell r="I11">
            <v>5.1175244288182757E-2</v>
          </cell>
        </row>
        <row r="12">
          <cell r="B12" t="str">
            <v>Citramalate</v>
          </cell>
          <cell r="I12">
            <v>9.1163743728409838E-2</v>
          </cell>
        </row>
        <row r="13">
          <cell r="B13" t="str">
            <v>p-Coumaric acid</v>
          </cell>
          <cell r="I13">
            <v>8.595919708023568E-2</v>
          </cell>
        </row>
        <row r="14">
          <cell r="B14" t="str">
            <v>Hexadecanoic acid</v>
          </cell>
        </row>
        <row r="15">
          <cell r="B15" t="str">
            <v>Hexadecanol</v>
          </cell>
          <cell r="I15">
            <v>4.0794173381639993E-2</v>
          </cell>
        </row>
        <row r="16">
          <cell r="B16" t="str">
            <v>Isobutanol</v>
          </cell>
          <cell r="I16">
            <v>3.7494100577259833E-2</v>
          </cell>
        </row>
        <row r="17">
          <cell r="B17" t="str">
            <v>L-Lactate</v>
          </cell>
          <cell r="I17">
            <v>0.55158096635078613</v>
          </cell>
        </row>
        <row r="18">
          <cell r="B18" t="str">
            <v>cis,cis-Muconate</v>
          </cell>
          <cell r="I18">
            <v>9.9252173045698458E-2</v>
          </cell>
        </row>
        <row r="19">
          <cell r="B19" t="str">
            <v>(2S)-Naringenin</v>
          </cell>
          <cell r="I19">
            <v>4.5769798510149437E-2</v>
          </cell>
        </row>
        <row r="20">
          <cell r="B20" t="str">
            <v>oleyl alcohol</v>
          </cell>
        </row>
        <row r="21">
          <cell r="B21" t="str">
            <v>palmityl alcohol</v>
          </cell>
        </row>
        <row r="22">
          <cell r="B22" t="str">
            <v>Polyhydroxybutyrate</v>
          </cell>
          <cell r="I22">
            <v>6.2555559924804063E-2</v>
          </cell>
        </row>
        <row r="23">
          <cell r="B23" t="str">
            <v>Reticuline</v>
          </cell>
          <cell r="I23">
            <v>2.8114666506978369E-2</v>
          </cell>
        </row>
        <row r="24">
          <cell r="B24" t="str">
            <v>Resveratrol</v>
          </cell>
          <cell r="I24">
            <v>3.8370978183939267E-2</v>
          </cell>
        </row>
        <row r="25">
          <cell r="B25" t="str">
            <v>Sesquiterpenes</v>
          </cell>
          <cell r="I25">
            <v>2.8330997036965649E-2</v>
          </cell>
        </row>
        <row r="26">
          <cell r="B26" t="str">
            <v>Shikimate</v>
          </cell>
          <cell r="I26">
            <v>0.13863488556466569</v>
          </cell>
        </row>
        <row r="27">
          <cell r="B27" t="str">
            <v>stearyl alcohol</v>
          </cell>
        </row>
        <row r="28">
          <cell r="B28" t="str">
            <v>Styrene</v>
          </cell>
          <cell r="I28">
            <v>5.9875949074468367E-2</v>
          </cell>
        </row>
        <row r="29">
          <cell r="B29" t="str">
            <v>Triacylglycerol</v>
          </cell>
          <cell r="I29">
            <v>2.217130386671334E-2</v>
          </cell>
        </row>
        <row r="30">
          <cell r="B30" t="str">
            <v>triacetic acid lactone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95C7A51-594A-9944-8EF8-0576633C00DE}" autoFormatId="16" applyNumberFormats="0" applyBorderFormats="0" applyFontFormats="0" applyPatternFormats="0" applyAlignmentFormats="0" applyWidthHeightFormats="0">
  <queryTableRefresh nextId="28">
    <queryTableFields count="27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7EB127A-B6E3-C340-A40E-570E13F02404}" autoFormatId="16" applyNumberFormats="0" applyBorderFormats="0" applyFontFormats="0" applyPatternFormats="0" applyAlignmentFormats="0" applyWidthHeightFormats="0">
  <queryTableRefresh nextId="28">
    <queryTableFields count="27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9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BD3FAB5-E3CB-7242-9716-663078FF26A7}" autoFormatId="16" applyNumberFormats="0" applyBorderFormats="0" applyFontFormats="0" applyPatternFormats="0" applyAlignmentFormats="0" applyWidthHeightFormats="0">
  <queryTableRefresh nextId="34">
    <queryTableFields count="33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  <queryTableField id="28" name="yield on minimal media at 1.0% exp. growth" tableColumnId="28"/>
      <queryTableField id="29" name="FBA: yield on minimal media at 1.0% exp. growth" tableColumnId="29"/>
      <queryTableField id="30" name="yield on minimal media at 0.0% exp. growth" tableColumnId="30"/>
      <queryTableField id="31" name="FBA: yield on minimal media at 0.0% exp. growth" tableColumnId="31"/>
      <queryTableField id="32" name="RBA: yield on minimal media at 1.0% exp. growth" tableColumnId="32"/>
      <queryTableField id="33" name="RBA: yield on minimal media at 0.0% exp. growth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F719AB0-298F-0B4B-B2DA-832726517A0A}" autoFormatId="16" applyNumberFormats="0" applyBorderFormats="0" applyFontFormats="0" applyPatternFormats="0" applyAlignmentFormats="0" applyWidthHeightFormats="0">
  <queryTableRefresh nextId="30">
    <queryTableFields count="29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yield on minimal media at 1.0% exp. growth" tableColumnId="20"/>
      <queryTableField id="21" name="FBA: yield on minimal media at 1.0% exp. growth" tableColumnId="21"/>
      <queryTableField id="22" name="vCarbonSources" tableColumnId="22"/>
      <queryTableField id="23" name="RBA: vCarbonSources" tableColumnId="23"/>
      <queryTableField id="24" name="carbonSlack" tableColumnId="24"/>
      <queryTableField id="25" name="RBA: carbonSlack" tableColumnId="25"/>
      <queryTableField id="26" name="vprod" tableColumnId="26"/>
      <queryTableField id="27" name="RBA: vprod" tableColumnId="27"/>
      <queryTableField id="28" name="yield" tableColumnId="28"/>
      <queryTableField id="29" name="RBA: yield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DF49B-3BC1-8B42-8E36-D62434824D0A}" name="RT_compiled_results" displayName="RT_compiled_results" ref="A1:AA30" tableType="queryTable" totalsRowShown="0">
  <autoFilter ref="A1:AA30" xr:uid="{6D1DF49B-3BC1-8B42-8E36-D62434824D0A}"/>
  <tableColumns count="27">
    <tableColumn id="1" xr3:uid="{B258B6F5-68E8-6D43-A9C0-244AE0BCE87E}" uniqueName="1" name="product" queryTableFieldId="1" dataDxfId="46"/>
    <tableColumn id="2" xr3:uid="{4F22BF42-6A71-5743-8632-D43D72F3C187}" uniqueName="2" name="name" queryTableFieldId="2" dataDxfId="45"/>
    <tableColumn id="3" xr3:uid="{E6D3B930-9467-F547-BD52-68F5866FD0F2}" uniqueName="3" name="precursor" queryTableFieldId="3" dataDxfId="44"/>
    <tableColumn id="4" xr3:uid="{426E6D0F-6374-FD42-A28F-96F4DDA55615}" uniqueName="4" name="MW (g/mol)" queryTableFieldId="4"/>
    <tableColumn id="5" xr3:uid="{B45BCE21-D1B5-6A41-BCAE-1D287D52BD9F}" uniqueName="5" name="rateFBA" queryTableFieldId="5"/>
    <tableColumn id="6" xr3:uid="{858FC297-FE32-9246-B420-8AEBE6DE340F}" uniqueName="6" name="yieldFBA" queryTableFieldId="6"/>
    <tableColumn id="7" xr3:uid="{12DCFE53-0D4B-5B46-95B5-805F1B7C089B}" uniqueName="7" name="vCarbonSourcesFBA" queryTableFieldId="7"/>
    <tableColumn id="8" xr3:uid="{F7B8B328-6C8F-474C-8E17-743847B5C340}" uniqueName="8" name="rateRBA" queryTableFieldId="8"/>
    <tableColumn id="9" xr3:uid="{1966EB50-E817-154C-8BA7-C59AC3E6848B}" uniqueName="9" name="yieldRBA" queryTableFieldId="9"/>
    <tableColumn id="10" xr3:uid="{11A72482-CFAC-A54F-90C6-C911F8AEBDEA}" uniqueName="10" name="vCarbonSourcesRBA" queryTableFieldId="10"/>
    <tableColumn id="11" xr3:uid="{745E0DFA-8080-D048-8249-D1F49FDBDB05}" uniqueName="11" name="yRBA/yFBA" queryTableFieldId="11"/>
    <tableColumn id="12" xr3:uid="{98736ADD-B4AC-1248-8291-447B5BAECB8F}" uniqueName="12" name="yieldExp_LB_(g/g_substrate)" queryTableFieldId="12"/>
    <tableColumn id="13" xr3:uid="{0407F3DD-7515-EE43-A8B5-7AB3F3005B02}" uniqueName="13" name="yieldExp_UB_(g/g_substrate)" queryTableFieldId="13"/>
    <tableColumn id="14" xr3:uid="{8B4EF169-228E-D84A-BDBB-336E75518325}" uniqueName="14" name="SimulationSettings" queryTableFieldId="14" dataDxfId="43"/>
    <tableColumn id="15" xr3:uid="{1F53713D-D301-524C-9BEA-69BDE2667B2E}" uniqueName="15" name="yieldEXP_conditions" queryTableFieldId="15" dataDxfId="42"/>
    <tableColumn id="16" xr3:uid="{EB51FA38-ABA1-3443-8ECC-B18FB1AECEBF}" uniqueName="16" name="yieldExp_ref" queryTableFieldId="16" dataDxfId="41"/>
    <tableColumn id="17" xr3:uid="{21E3614F-D0CE-6146-82C3-F1970A9C2D1B}" uniqueName="17" name="fluxExp_LB_(mmol product/(gDW*h))" queryTableFieldId="17"/>
    <tableColumn id="18" xr3:uid="{33FA5FA2-A3BA-0A42-AB06-0F122B154D4F}" uniqueName="18" name="fluxExp_UB_(mmol product/(gDW*h))" queryTableFieldId="18"/>
    <tableColumn id="19" xr3:uid="{59FD7B3B-A8C4-E64B-8904-849661755AFA}" uniqueName="19" name="Column1" queryTableFieldId="19" dataDxfId="40"/>
    <tableColumn id="20" xr3:uid="{E3F5677E-DC55-0D42-8BCE-8727102B7E78}" uniqueName="20" name="vCarbonSources" queryTableFieldId="20" dataDxfId="39"/>
    <tableColumn id="21" xr3:uid="{D1915CE8-12A8-6246-AC8C-F4C7C78729B6}" uniqueName="21" name="RBA: vCarbonSources" queryTableFieldId="21"/>
    <tableColumn id="22" xr3:uid="{15FD2488-E8C4-E649-9207-F876B0ED91B7}" uniqueName="22" name="carbonSlack" queryTableFieldId="22" dataDxfId="38"/>
    <tableColumn id="23" xr3:uid="{02514395-F6D9-2641-A999-6A72CF7E465F}" uniqueName="23" name="RBA: carbonSlack" queryTableFieldId="23"/>
    <tableColumn id="24" xr3:uid="{2F1A140A-F782-B845-91CF-1C4B9FA49F5E}" uniqueName="24" name="vprod" queryTableFieldId="24" dataDxfId="37"/>
    <tableColumn id="25" xr3:uid="{3C87D4E0-FBF9-0F42-816B-EFB37B6AD5BD}" uniqueName="25" name="RBA: vprod" queryTableFieldId="25"/>
    <tableColumn id="26" xr3:uid="{DED62B79-068D-6F4A-A8EE-27A7758E5234}" uniqueName="26" name="yield" queryTableFieldId="26" dataDxfId="36"/>
    <tableColumn id="27" xr3:uid="{04DE5409-14F8-954C-AA73-136F42F5C7CA}" uniqueName="27" name="RBA: yield" queryTableField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57FA8D-E2A2-244B-817B-36E25888CB87}" name="RT_MDK" displayName="RT_MDK" ref="A1:AA30" tableType="queryTable" totalsRowShown="0">
  <autoFilter ref="A1:AA30" xr:uid="{5157FA8D-E2A2-244B-817B-36E25888CB87}"/>
  <tableColumns count="27">
    <tableColumn id="1" xr3:uid="{1913160A-D4FB-0D4B-8AFB-7AEB63BB97B7}" uniqueName="1" name="product" queryTableFieldId="1" dataDxfId="35"/>
    <tableColumn id="2" xr3:uid="{5D08F200-3F81-2344-8FD8-465410E0387D}" uniqueName="2" name="name" queryTableFieldId="2" dataDxfId="34"/>
    <tableColumn id="3" xr3:uid="{C822D7F6-28F4-CC43-A916-714B4EAF45FF}" uniqueName="3" name="precursor" queryTableFieldId="3" dataDxfId="33"/>
    <tableColumn id="4" xr3:uid="{0331AC3E-2110-4D47-AD2F-1F99FDAE55BD}" uniqueName="4" name="MW (g/mol)" queryTableFieldId="4"/>
    <tableColumn id="5" xr3:uid="{12E364B5-372B-C646-B5B3-CC0D97731E21}" uniqueName="5" name="rateFBA" queryTableFieldId="5"/>
    <tableColumn id="6" xr3:uid="{2B9A8A32-2CD8-5642-B456-E3137932150A}" uniqueName="6" name="yieldFBA" queryTableFieldId="6"/>
    <tableColumn id="7" xr3:uid="{5622156D-1226-1D48-8F50-CD18DC831387}" uniqueName="7" name="vCarbonSourcesFBA" queryTableFieldId="7"/>
    <tableColumn id="8" xr3:uid="{3CC5FBB4-7ABE-F944-B623-64F44CDE51F8}" uniqueName="8" name="rateRBA" queryTableFieldId="8"/>
    <tableColumn id="9" xr3:uid="{E594DB06-5BA3-5946-A567-241EA8F7F07C}" uniqueName="9" name="yieldRBA" queryTableFieldId="9"/>
    <tableColumn id="10" xr3:uid="{0C6505D0-172C-A747-AB54-73DB4791F8D2}" uniqueName="10" name="vCarbonSourcesRBA" queryTableFieldId="10"/>
    <tableColumn id="11" xr3:uid="{94D41A0F-5429-AC4C-A46B-13062DD61E51}" uniqueName="11" name="yRBA/yFBA" queryTableFieldId="11"/>
    <tableColumn id="12" xr3:uid="{8DFF6A8E-388A-8047-9EB2-C2599DF34BAA}" uniqueName="12" name="yieldExp_LB_(g/g_substrate)" queryTableFieldId="12"/>
    <tableColumn id="13" xr3:uid="{73269B03-E6A6-F449-A9D7-DB20D2302BE2}" uniqueName="13" name="yieldExp_UB_(g/g_substrate)" queryTableFieldId="13"/>
    <tableColumn id="14" xr3:uid="{C1079706-666A-584B-9891-3A9ED9AB3619}" uniqueName="14" name="SimulationSettings" queryTableFieldId="14" dataDxfId="32"/>
    <tableColumn id="15" xr3:uid="{98A11809-B2B3-4347-9EEC-D4D3C6D71EEB}" uniqueName="15" name="yieldEXP_conditions" queryTableFieldId="15" dataDxfId="31"/>
    <tableColumn id="16" xr3:uid="{BCCB7F7F-6650-B741-A2AA-0FAE66C4FA69}" uniqueName="16" name="yieldExp_ref" queryTableFieldId="16" dataDxfId="30"/>
    <tableColumn id="17" xr3:uid="{9B17E67B-12C4-B343-9D17-AB28FD96E99C}" uniqueName="17" name="fluxExp_LB_(mmol product/(gDW*h))" queryTableFieldId="17"/>
    <tableColumn id="18" xr3:uid="{9B8BFE2A-AE3F-5A41-9E68-8B2C1BF33E02}" uniqueName="18" name="fluxExp_UB_(mmol product/(gDW*h))" queryTableFieldId="18"/>
    <tableColumn id="19" xr3:uid="{B10F8632-CE29-EC4F-B4FA-DB6175C35F49}" uniqueName="19" name="Column19" queryTableFieldId="19" dataDxfId="29"/>
    <tableColumn id="20" xr3:uid="{805E0C9F-8732-404E-98E1-86C99B657536}" uniqueName="20" name="vCarbonSources" queryTableFieldId="20"/>
    <tableColumn id="21" xr3:uid="{9E76133D-BD17-2543-A6F9-ED7979803ED1}" uniqueName="21" name="RBA: vCarbonSources" queryTableFieldId="21"/>
    <tableColumn id="22" xr3:uid="{1CF53954-1DA1-F242-9CB0-F55C97D7FA1F}" uniqueName="22" name="carbonSlack" queryTableFieldId="22"/>
    <tableColumn id="23" xr3:uid="{6E8D82ED-4379-A945-8436-7EDF9D62165A}" uniqueName="23" name="RBA: carbonSlack" queryTableFieldId="23"/>
    <tableColumn id="24" xr3:uid="{29B97B90-E505-8347-B7D0-FB6E08554C77}" uniqueName="24" name="vprod" queryTableFieldId="24"/>
    <tableColumn id="25" xr3:uid="{4EBFFD21-4171-004A-ADA6-FA66F6A98361}" uniqueName="25" name="RBA: vprod" queryTableFieldId="25"/>
    <tableColumn id="26" xr3:uid="{9CA10AC0-6DFB-9840-A661-0F9142184E91}" uniqueName="26" name="yield" queryTableFieldId="26"/>
    <tableColumn id="27" xr3:uid="{D8FA0066-82B3-9841-9033-179AF6F34E1F}" uniqueName="27" name="RBA: yield" queryTableFieldId="2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A906C9-8C9D-3044-A176-71D0BB3AE046}" name="SC_compiled_results" displayName="SC_compiled_results" ref="A1:AG30" tableType="queryTable" totalsRowShown="0">
  <autoFilter ref="A1:AG30" xr:uid="{8EA906C9-8C9D-3044-A176-71D0BB3AE046}"/>
  <tableColumns count="33">
    <tableColumn id="1" xr3:uid="{7D61BB9E-387C-AB4C-B779-7F429C882915}" uniqueName="1" name="product" queryTableFieldId="1" dataDxfId="28"/>
    <tableColumn id="2" xr3:uid="{990BE1B4-0C45-8741-BE5C-5EFCB2F7508B}" uniqueName="2" name="name" queryTableFieldId="2" dataDxfId="27"/>
    <tableColumn id="3" xr3:uid="{80285503-4803-AF4A-8C09-8E66AD3FA54A}" uniqueName="3" name="precursor" queryTableFieldId="3" dataDxfId="26"/>
    <tableColumn id="4" xr3:uid="{B551FD27-1F2C-C44A-808C-4306D4D4434B}" uniqueName="4" name="MW (g/mol)" queryTableFieldId="4"/>
    <tableColumn id="5" xr3:uid="{02FC33CB-6FB9-7F45-97EA-DCB3C71BB0AD}" uniqueName="5" name="rateFBA" queryTableFieldId="5"/>
    <tableColumn id="6" xr3:uid="{78776A9D-D4B1-0043-8C81-E2F3A951F6B9}" uniqueName="6" name="yieldFBA" queryTableFieldId="6"/>
    <tableColumn id="7" xr3:uid="{44E8C825-7400-DA4C-8B3A-7E738537D933}" uniqueName="7" name="vCarbonSourcesFBA" queryTableFieldId="7"/>
    <tableColumn id="8" xr3:uid="{AD0DE4BC-13D5-194E-8EA1-86EB0F70B466}" uniqueName="8" name="rateRBA" queryTableFieldId="8"/>
    <tableColumn id="9" xr3:uid="{3747D460-BEDB-1A40-AD0E-561C3E42AA8C}" uniqueName="9" name="yieldRBA" queryTableFieldId="9"/>
    <tableColumn id="10" xr3:uid="{5790E47D-37EA-6F43-8AD7-545DA77B061A}" uniqueName="10" name="vCarbonSourcesRBA" queryTableFieldId="10"/>
    <tableColumn id="11" xr3:uid="{C8F77BE6-8FDC-3742-98C2-F6ADDE99A287}" uniqueName="11" name="yRBA/yFBA" queryTableFieldId="11"/>
    <tableColumn id="12" xr3:uid="{DAAF5BAA-1C5B-2341-81D2-4FD28D5F83AA}" uniqueName="12" name="yieldExp_LB_(g/g_substrate)" queryTableFieldId="12"/>
    <tableColumn id="13" xr3:uid="{A52B23C4-4F42-0240-A607-E0ED437C6231}" uniqueName="13" name="yieldExp_UB_(g/g_substrate)" queryTableFieldId="13"/>
    <tableColumn id="14" xr3:uid="{C5AFA79D-C5BF-674F-B4E2-15275E00CFAA}" uniqueName="14" name="SimulationSettings" queryTableFieldId="14" dataDxfId="25"/>
    <tableColumn id="15" xr3:uid="{4EA95293-3292-C343-8073-32F611B953EC}" uniqueName="15" name="yieldEXP_conditions" queryTableFieldId="15" dataDxfId="24"/>
    <tableColumn id="16" xr3:uid="{8446690A-EBD2-F146-8E9F-F641D68616E6}" uniqueName="16" name="yieldExp_ref" queryTableFieldId="16" dataDxfId="23"/>
    <tableColumn id="17" xr3:uid="{5FAEB7AB-D29B-B44F-A552-4D51F2E90203}" uniqueName="17" name="fluxExp_LB_(mmol product/(gDW*h))" queryTableFieldId="17"/>
    <tableColumn id="18" xr3:uid="{DDDDC46C-11F3-5847-B055-CF71C859166F}" uniqueName="18" name="fluxExp_UB_(mmol product/(gDW*h))" queryTableFieldId="18"/>
    <tableColumn id="19" xr3:uid="{913B7BA6-C212-C947-9036-24D5DDA056DE}" uniqueName="19" name="Column1" queryTableFieldId="19" dataDxfId="22"/>
    <tableColumn id="20" xr3:uid="{3126B754-B8A7-5040-B2EB-664DD20B1288}" uniqueName="20" name="vCarbonSources" queryTableFieldId="20" dataDxfId="21"/>
    <tableColumn id="21" xr3:uid="{EF5FAEB4-025B-4541-B949-A87991F80D96}" uniqueName="21" name="RBA: vCarbonSources" queryTableFieldId="21"/>
    <tableColumn id="22" xr3:uid="{9976C63B-0D5B-1E4D-906A-35A51769830F}" uniqueName="22" name="carbonSlack" queryTableFieldId="22" dataDxfId="20"/>
    <tableColumn id="23" xr3:uid="{9E1063DE-BAB3-1D49-9D8E-9207289D733B}" uniqueName="23" name="RBA: carbonSlack" queryTableFieldId="23"/>
    <tableColumn id="24" xr3:uid="{C0F4ED29-F55B-EB40-A0B5-B739A71560B8}" uniqueName="24" name="vprod" queryTableFieldId="24" dataDxfId="19"/>
    <tableColumn id="25" xr3:uid="{85AB468D-842E-2B48-A26A-F6E07BC251BE}" uniqueName="25" name="RBA: vprod" queryTableFieldId="25"/>
    <tableColumn id="26" xr3:uid="{07766EB0-7F49-ED41-BD91-FA2449F381B4}" uniqueName="26" name="yield" queryTableFieldId="26" dataDxfId="18"/>
    <tableColumn id="27" xr3:uid="{EFD1527E-D7FE-2545-8DE8-78C7B4427455}" uniqueName="27" name="RBA: yield" queryTableFieldId="27"/>
    <tableColumn id="28" xr3:uid="{15E2F63C-AF4F-7540-8009-A8ABAED67242}" uniqueName="28" name="yield on minimal media at 1.0% exp. growth" queryTableFieldId="28" dataDxfId="17"/>
    <tableColumn id="29" xr3:uid="{4CA0002A-7923-0B46-AF95-3F4AE2B345A0}" uniqueName="29" name="FBA: yield on minimal media at 1.0% exp. growth" queryTableFieldId="29"/>
    <tableColumn id="30" xr3:uid="{309CA6F0-4862-674D-8DE3-518CA036EB0C}" uniqueName="30" name="yield on minimal media at 0.0% exp. growth" queryTableFieldId="30" dataDxfId="16"/>
    <tableColumn id="31" xr3:uid="{AAA51863-E762-354D-81CB-F43C8457EF1E}" uniqueName="31" name="FBA: yield on minimal media at 0.0% exp. growth" queryTableFieldId="31"/>
    <tableColumn id="32" xr3:uid="{B40D828C-F1D7-9B49-B49F-AF4ABE274708}" uniqueName="32" name="RBA: yield on minimal media at 1.0% exp. growth" queryTableFieldId="32"/>
    <tableColumn id="33" xr3:uid="{7EE98C29-2C29-934A-BF6F-2C6618C1B453}" uniqueName="33" name="RBA: yield on minimal media at 0.0% exp. growth" queryTableField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5B8CE6-58C7-7F4C-AC6B-F308A7F49740}" name="SC_MDK" displayName="SC_MDK" ref="A1:AC30" tableType="queryTable" totalsRowShown="0">
  <autoFilter ref="A1:AC30" xr:uid="{B55B8CE6-58C7-7F4C-AC6B-F308A7F49740}"/>
  <tableColumns count="29">
    <tableColumn id="1" xr3:uid="{A349BCC2-501B-534F-BB77-BF70E62E7EB8}" uniqueName="1" name="product" queryTableFieldId="1" dataDxfId="15"/>
    <tableColumn id="2" xr3:uid="{B2F7A2E2-E42D-704D-852A-AA10A681A750}" uniqueName="2" name="name" queryTableFieldId="2" dataDxfId="14"/>
    <tableColumn id="3" xr3:uid="{68C85103-40D6-A845-9988-ECB7B0650CCC}" uniqueName="3" name="precursor" queryTableFieldId="3" dataDxfId="13"/>
    <tableColumn id="4" xr3:uid="{6D7774C3-F575-1F48-910F-05634CA90B5B}" uniqueName="4" name="MW (g/mol)" queryTableFieldId="4"/>
    <tableColumn id="5" xr3:uid="{0916B3AE-E30D-464F-936A-2D5C4AF8694B}" uniqueName="5" name="rateFBA" queryTableFieldId="5"/>
    <tableColumn id="6" xr3:uid="{B4768BE7-3266-0B46-9E6D-44DFA3020BA9}" uniqueName="6" name="yieldFBA" queryTableFieldId="6"/>
    <tableColumn id="7" xr3:uid="{60144F08-4046-C246-AA5E-EE0175977664}" uniqueName="7" name="vCarbonSourcesFBA" queryTableFieldId="7"/>
    <tableColumn id="8" xr3:uid="{DFC7B203-7725-A749-8EF1-5DA970EA7164}" uniqueName="8" name="rateRBA" queryTableFieldId="8"/>
    <tableColumn id="9" xr3:uid="{B3DA0B59-01F6-F148-BED0-B4535613E2B2}" uniqueName="9" name="yieldRBA" queryTableFieldId="9"/>
    <tableColumn id="10" xr3:uid="{56718F36-EA6A-D744-B789-674EF8395EFA}" uniqueName="10" name="vCarbonSourcesRBA" queryTableFieldId="10"/>
    <tableColumn id="11" xr3:uid="{54B06254-8891-2D46-A71D-212E8C8C432B}" uniqueName="11" name="yRBA/yFBA" queryTableFieldId="11"/>
    <tableColumn id="12" xr3:uid="{E29E900A-B32D-FE4C-A6DC-C9BC408A638A}" uniqueName="12" name="yieldExp_LB_(g/g_substrate)" queryTableFieldId="12"/>
    <tableColumn id="13" xr3:uid="{DD738AA2-13C2-4A45-89E8-7241813A532B}" uniqueName="13" name="yieldExp_UB_(g/g_substrate)" queryTableFieldId="13" dataDxfId="12"/>
    <tableColumn id="14" xr3:uid="{35A7115E-B785-8045-996E-2708DB0C314C}" uniqueName="14" name="SimulationSettings" queryTableFieldId="14" dataDxfId="11"/>
    <tableColumn id="15" xr3:uid="{76362D8E-2948-1F40-BB1E-97DD364D83F2}" uniqueName="15" name="yieldEXP_conditions" queryTableFieldId="15" dataDxfId="10"/>
    <tableColumn id="16" xr3:uid="{819B9CBB-BC8C-0B4D-8B2D-1B715BBAB283}" uniqueName="16" name="yieldExp_ref" queryTableFieldId="16" dataDxfId="9"/>
    <tableColumn id="17" xr3:uid="{7C5DA2B4-A55B-6141-B26D-F5ED2984DBC3}" uniqueName="17" name="fluxExp_LB_(mmol product/(gDW*h))" queryTableFieldId="17" dataDxfId="8"/>
    <tableColumn id="18" xr3:uid="{AE748F5F-A869-5349-B14F-988D11816BEE}" uniqueName="18" name="fluxExp_UB_(mmol product/(gDW*h))" queryTableFieldId="18" dataDxfId="7"/>
    <tableColumn id="19" xr3:uid="{0538712B-27D6-4341-A769-1CB5B367751D}" uniqueName="19" name="Column1" queryTableFieldId="19" dataDxfId="6"/>
    <tableColumn id="20" xr3:uid="{56517DF4-26F5-D140-80A9-7D12137539CF}" uniqueName="20" name="yield on minimal media at 1.0% exp. growth" queryTableFieldId="20" dataDxfId="5"/>
    <tableColumn id="21" xr3:uid="{8D814C39-6B00-4C4C-8510-864FCEFA0B3A}" uniqueName="21" name="FBA: yield on minimal media at 1.0% exp. growth" queryTableFieldId="21" dataDxfId="4"/>
    <tableColumn id="22" xr3:uid="{858E24D5-2E30-BB4E-9FCB-FF6ACDAE3C0E}" uniqueName="22" name="vCarbonSources" queryTableFieldId="22" dataDxfId="3"/>
    <tableColumn id="23" xr3:uid="{AEEE7281-423E-4741-8083-BD414502F3B7}" uniqueName="23" name="RBA: vCarbonSources" queryTableFieldId="23"/>
    <tableColumn id="24" xr3:uid="{4620BD09-91AD-4C48-AEB0-1CB262574460}" uniqueName="24" name="carbonSlack" queryTableFieldId="24" dataDxfId="2"/>
    <tableColumn id="25" xr3:uid="{731361C8-70A3-E741-83F5-4B3BAC7358C3}" uniqueName="25" name="RBA: carbonSlack" queryTableFieldId="25"/>
    <tableColumn id="26" xr3:uid="{12768CA9-561B-0B40-A9B5-377EB04E08E1}" uniqueName="26" name="vprod" queryTableFieldId="26" dataDxfId="1"/>
    <tableColumn id="27" xr3:uid="{5DECC7BB-8735-774E-8A1B-CB321364C7E8}" uniqueName="27" name="RBA: vprod" queryTableFieldId="27"/>
    <tableColumn id="28" xr3:uid="{D846CB5B-69D6-0148-9395-B2077C6A647E}" uniqueName="28" name="yield" queryTableFieldId="28" dataDxfId="0"/>
    <tableColumn id="29" xr3:uid="{7686703F-26B7-944B-BFB3-00D10461E27A}" uniqueName="29" name="RBA: yield" queryTableFieldId="2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pplewebdata://555929B4-6557-496C-9FBF-751B4C65E5D5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applewebdata://555929B4-6557-496C-9FBF-751B4C65E5D5/" TargetMode="External"/><Relationship Id="rId1" Type="http://schemas.openxmlformats.org/officeDocument/2006/relationships/hyperlink" Target="applewebdata://555929B4-6557-496C-9FBF-751B4C65E5D5/" TargetMode="External"/><Relationship Id="rId6" Type="http://schemas.openxmlformats.org/officeDocument/2006/relationships/hyperlink" Target="applewebdata://555929B4-6557-496C-9FBF-751B4C65E5D5/" TargetMode="External"/><Relationship Id="rId5" Type="http://schemas.openxmlformats.org/officeDocument/2006/relationships/hyperlink" Target="applewebdata://555929B4-6557-496C-9FBF-751B4C65E5D5/" TargetMode="External"/><Relationship Id="rId4" Type="http://schemas.openxmlformats.org/officeDocument/2006/relationships/hyperlink" Target="applewebdata://555929B4-6557-496C-9FBF-751B4C65E5D5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1:Q40"/>
  <sheetViews>
    <sheetView tabSelected="1" zoomScaleNormal="100" workbookViewId="0">
      <selection activeCell="Q5" sqref="Q5"/>
    </sheetView>
  </sheetViews>
  <sheetFormatPr baseColWidth="10" defaultColWidth="8.83203125" defaultRowHeight="15" x14ac:dyDescent="0.2"/>
  <cols>
    <col min="2" max="2" width="31.5" bestFit="1" customWidth="1"/>
    <col min="3" max="3" width="5.83203125" customWidth="1"/>
    <col min="4" max="4" width="6.83203125" customWidth="1"/>
    <col min="5" max="7" width="8.6640625" customWidth="1"/>
    <col min="8" max="11" width="10.5" customWidth="1"/>
    <col min="12" max="14" width="8.6640625" customWidth="1"/>
    <col min="21" max="21" width="12.6640625" bestFit="1" customWidth="1"/>
  </cols>
  <sheetData>
    <row r="1" spans="1:17" ht="16" thickBot="1" x14ac:dyDescent="0.25"/>
    <row r="2" spans="1:17" ht="19" thickBot="1" x14ac:dyDescent="0.25">
      <c r="B2" s="1"/>
      <c r="C2" s="2" t="s">
        <v>0</v>
      </c>
      <c r="D2" s="1"/>
      <c r="F2" s="2" t="s">
        <v>1</v>
      </c>
      <c r="G2" s="1"/>
    </row>
    <row r="3" spans="1:17" ht="17" thickBot="1" x14ac:dyDescent="0.25">
      <c r="B3" s="3" t="s">
        <v>2</v>
      </c>
      <c r="C3" s="4" t="s">
        <v>3</v>
      </c>
      <c r="D3" s="4" t="s">
        <v>4</v>
      </c>
      <c r="F3" s="4" t="s">
        <v>3</v>
      </c>
      <c r="G3" s="4" t="s">
        <v>4</v>
      </c>
      <c r="J3" t="s">
        <v>125</v>
      </c>
      <c r="N3" t="s">
        <v>141</v>
      </c>
    </row>
    <row r="4" spans="1:17" ht="17" thickBot="1" x14ac:dyDescent="0.25">
      <c r="B4" s="9" t="s">
        <v>139</v>
      </c>
      <c r="D4" s="10" t="s">
        <v>137</v>
      </c>
      <c r="E4" s="10">
        <v>339</v>
      </c>
      <c r="G4" s="10" t="s">
        <v>137</v>
      </c>
      <c r="H4" s="10">
        <v>339</v>
      </c>
      <c r="J4" s="19" t="s">
        <v>3</v>
      </c>
      <c r="K4" s="19" t="s">
        <v>4</v>
      </c>
      <c r="L4" s="19" t="s">
        <v>126</v>
      </c>
      <c r="N4" t="s">
        <v>3</v>
      </c>
      <c r="O4" t="s">
        <v>4</v>
      </c>
    </row>
    <row r="5" spans="1:17" ht="17" thickBot="1" x14ac:dyDescent="0.25">
      <c r="A5" s="5" t="s">
        <v>5</v>
      </c>
      <c r="B5" s="5" t="s">
        <v>5</v>
      </c>
      <c r="C5" s="7" cm="1">
        <f t="array" ref="C5:C25">_xlfn.LET(_xlpm.d,_xlfn.XLOOKUP(B5:B25,RT_compiled_results[name],RT_compiled_results[yieldFBA],"-"),IF(_xlpm.d="-",_xlfn.XLOOKUP(SUBSTITUTE(B5:B25,"b",""),RT_compiled_results[name],RT_compiled_results[yieldFBA],"-"),_xlpm.d))</f>
        <v>0.56882493665694867</v>
      </c>
      <c r="D5" s="7" cm="1">
        <f t="array" ref="D5:D25">_xlfn.LET(_xlpm.d,_xlfn.XLOOKUP(B5:B25,RT_compiled_results[name],RT_compiled_results[yieldRBA],"-"),IF(_xlpm.d="-",_xlfn.XLOOKUP(SUBSTITUTE(B5:B25,"b",""),RT_compiled_results[name],RT_compiled_results[yieldRBA],"-"),_xlpm.d))</f>
        <v>0.56780204354827046</v>
      </c>
      <c r="E5" s="7" cm="1">
        <f t="array" ref="E5:E25">_xlfn.LET(_xlpm.d,_xlfn.XLOOKUP(B5:B25,RT_MDK[name],RT_MDK[yieldRBA],"-"),IF(_xlpm.d="-",_xlfn.XLOOKUP(SUBSTITUTE(B5:B25,"b",""),RT_MDK[name],RT_MDK[yieldRBA],"-"),_xlpm.d))</f>
        <v>0.53960471540691568</v>
      </c>
      <c r="F5" s="7" cm="1">
        <f t="array" ref="F5:F25">_xlfn.LET(_xlpm.d,_xlfn.XLOOKUP(B5:B25,SC_compiled_results[name],SC_compiled_results[yieldFBA],"-"),IF(_xlpm.d="-",_xlfn.XLOOKUP(SUBSTITUTE(B5:B25,"b",""),SC_compiled_results[name],SC_compiled_results[yieldFBA],"-"),_xlpm.d))</f>
        <v>0.56955169307007392</v>
      </c>
      <c r="G5" s="7" cm="1">
        <f t="array" ref="G5:G25">_xlfn.LET(_xlpm.d,_xlfn.XLOOKUP(B5:B25,SC_compiled_results[name],SC_compiled_results[yieldRBA],"-"),IF(_xlpm.d="-",_xlfn.XLOOKUP(SUBSTITUTE(B5:B25,"b",""),SC_compiled_results[name],SC_compiled_results[yieldRBA],"-"),_xlpm.d))</f>
        <v>0.33046570647671403</v>
      </c>
      <c r="H5" s="7" cm="1">
        <f t="array" ref="H5:H25">_xlfn.LET(_xlpm.d,_xlfn.XLOOKUP(B5:B25,SC_MDK[name],SC_MDK[yieldRBA],"-"),IF(_xlpm.d="-",_xlfn.XLOOKUP(SUBSTITUTE(B5:B25,"b",""),SC_MDK[name],SC_MDK[yieldRBA],"-"),_xlpm.d))</f>
        <v>0.24309538841390305</v>
      </c>
      <c r="J5" cm="1">
        <f t="array" ref="J5:J25">_xlfn.ANCHORARRAY(C5)/_xlfn.ANCHORARRAY(F5)</f>
        <v>0.99872398515891014</v>
      </c>
      <c r="K5" s="20" cm="1">
        <f t="array" ref="K5:K25">_xlfn.ANCHORARRAY(D5)/_xlfn.ANCHORARRAY(G5)</f>
        <v>1.7181874924388867</v>
      </c>
      <c r="L5" s="20" cm="1">
        <f t="array" ref="L5:L25">_xlfn.ANCHORARRAY(K5)/_xlfn.ANCHORARRAY(J5)</f>
        <v>1.7203827263300384</v>
      </c>
      <c r="M5" t="b" cm="1">
        <f t="array" ref="M5:M25">ROUND(_xlfn.ANCHORARRAY(C5),3)&lt;ROUND(_xlfn.ANCHORARRAY(D5),3)</f>
        <v>0</v>
      </c>
      <c r="N5" cm="1">
        <f t="array" ref="N5:N25">(_xlfn.ANCHORARRAY(C5)-_xlfn.ANCHORARRAY(F5))/_xlfn.ANCHORARRAY(C5)</f>
        <v>-1.277645135244043E-3</v>
      </c>
      <c r="O5" cm="1">
        <f t="array" ref="O5:O25">(_xlfn.ANCHORARRAY(D5)-_xlfn.ANCHORARRAY(G5))/_xlfn.ANCHORARRAY(D5)</f>
        <v>0.41799134006001476</v>
      </c>
      <c r="Q5" t="b" cm="1">
        <f t="array" ref="Q5:Q25">SIGN(_xlfn.ANCHORARRAY(O5))&lt;&gt;SIGN(_xlfn.ANCHORARRAY(N5))</f>
        <v>1</v>
      </c>
    </row>
    <row r="6" spans="1:17" ht="17" thickBot="1" x14ac:dyDescent="0.25">
      <c r="A6" s="2" t="s">
        <v>6</v>
      </c>
      <c r="B6" s="2" t="s">
        <v>6</v>
      </c>
      <c r="C6" s="8">
        <v>0.35578426178187023</v>
      </c>
      <c r="D6" s="8">
        <v>0.35530710261921505</v>
      </c>
      <c r="E6" s="8">
        <v>0.32555875798719458</v>
      </c>
      <c r="F6" s="8">
        <v>0.35630562075794581</v>
      </c>
      <c r="G6" s="8">
        <v>0.19335383532675074</v>
      </c>
      <c r="H6" s="8">
        <v>8.6096642510535087E-2</v>
      </c>
      <c r="J6">
        <v>0.99853676466016306</v>
      </c>
      <c r="K6">
        <v>1.8376004904106389</v>
      </c>
      <c r="L6">
        <v>1.8402932725627168</v>
      </c>
      <c r="M6" t="b">
        <v>0</v>
      </c>
      <c r="N6">
        <v>-1.4653795349588114E-3</v>
      </c>
      <c r="O6">
        <v>0.45581207383301509</v>
      </c>
      <c r="Q6" t="b">
        <v>1</v>
      </c>
    </row>
    <row r="7" spans="1:17" ht="17" thickBot="1" x14ac:dyDescent="0.25">
      <c r="A7" s="5" t="s">
        <v>7</v>
      </c>
      <c r="B7" s="5" t="s">
        <v>7</v>
      </c>
      <c r="C7" s="7">
        <v>0.78692044116033466</v>
      </c>
      <c r="D7" s="7">
        <v>0.77616429261862308</v>
      </c>
      <c r="E7" s="7">
        <v>0.6820295822360144</v>
      </c>
      <c r="F7" s="7">
        <v>0.75952270945224643</v>
      </c>
      <c r="G7" s="7">
        <v>0.18134686541005965</v>
      </c>
      <c r="H7" s="7">
        <v>0</v>
      </c>
      <c r="J7">
        <v>1.0360723008899193</v>
      </c>
      <c r="K7" s="20">
        <v>4.2799983934851502</v>
      </c>
      <c r="L7" s="20">
        <v>4.130984285371694</v>
      </c>
      <c r="M7" t="b">
        <v>0</v>
      </c>
      <c r="N7">
        <v>3.4816393468810602E-2</v>
      </c>
      <c r="O7">
        <v>0.76635505248736502</v>
      </c>
      <c r="Q7" t="b">
        <v>0</v>
      </c>
    </row>
    <row r="8" spans="1:17" ht="17" thickBot="1" x14ac:dyDescent="0.25">
      <c r="A8" s="2" t="s">
        <v>8</v>
      </c>
      <c r="B8" s="2" t="s">
        <v>8</v>
      </c>
      <c r="C8" s="8">
        <v>0.53175396212655335</v>
      </c>
      <c r="D8" s="8">
        <v>0.53087334722703694</v>
      </c>
      <c r="E8" s="8">
        <v>0.42780827655464998</v>
      </c>
      <c r="F8" s="8">
        <v>0.52173706553925747</v>
      </c>
      <c r="G8" s="8">
        <v>0.18451219034041294</v>
      </c>
      <c r="H8" s="8">
        <v>8.6902498408734652E-2</v>
      </c>
      <c r="J8">
        <v>1.0191991277770205</v>
      </c>
      <c r="K8">
        <v>2.8771722141914324</v>
      </c>
      <c r="L8">
        <v>2.8229735836478245</v>
      </c>
      <c r="M8" t="b">
        <v>0</v>
      </c>
      <c r="N8">
        <v>1.8837464881760357E-2</v>
      </c>
      <c r="O8">
        <v>0.65243651559417393</v>
      </c>
      <c r="Q8" t="b">
        <v>0</v>
      </c>
    </row>
    <row r="9" spans="1:17" ht="17" thickBot="1" x14ac:dyDescent="0.25">
      <c r="A9" s="5" t="s">
        <v>9</v>
      </c>
      <c r="B9" s="5" t="s">
        <v>9</v>
      </c>
      <c r="C9" s="7">
        <v>0.27959829069871805</v>
      </c>
      <c r="D9" s="7">
        <v>0.27241592699309986</v>
      </c>
      <c r="E9" s="7">
        <v>0.26681959056285143</v>
      </c>
      <c r="F9" s="7">
        <v>0.28009958094538978</v>
      </c>
      <c r="G9" s="7">
        <v>0.12495684614578978</v>
      </c>
      <c r="H9" s="7">
        <v>2.9835172788531344E-2</v>
      </c>
      <c r="J9">
        <v>0.99821031418547723</v>
      </c>
      <c r="K9" s="20">
        <v>2.1800800467968475</v>
      </c>
      <c r="L9" s="20">
        <v>2.183988700393019</v>
      </c>
      <c r="M9" t="b">
        <v>0</v>
      </c>
      <c r="N9">
        <v>-1.7928945324343665E-3</v>
      </c>
      <c r="O9">
        <v>0.54130124649813571</v>
      </c>
      <c r="Q9" t="b">
        <v>1</v>
      </c>
    </row>
    <row r="10" spans="1:17" ht="17" thickBot="1" x14ac:dyDescent="0.25">
      <c r="A10" s="2" t="s">
        <v>10</v>
      </c>
      <c r="B10" s="2" t="s">
        <v>10</v>
      </c>
      <c r="C10" s="8">
        <v>0.50239411558340807</v>
      </c>
      <c r="D10" s="8">
        <v>0.50136671163323954</v>
      </c>
      <c r="E10" s="8">
        <v>0.47174429014060348</v>
      </c>
      <c r="F10" s="8">
        <v>0.48828349886951838</v>
      </c>
      <c r="G10" s="8">
        <v>0.48701899165081142</v>
      </c>
      <c r="H10" s="8">
        <v>0.18799781482821928</v>
      </c>
      <c r="J10">
        <v>1.0288984099330796</v>
      </c>
      <c r="K10">
        <v>1.0294602884659483</v>
      </c>
      <c r="L10">
        <v>1.0005460971923412</v>
      </c>
      <c r="M10" t="b">
        <v>0</v>
      </c>
      <c r="N10">
        <v>2.8086747587605907E-2</v>
      </c>
      <c r="O10">
        <v>2.8617216998091777E-2</v>
      </c>
      <c r="Q10" t="b">
        <v>0</v>
      </c>
    </row>
    <row r="11" spans="1:17" ht="17" thickBot="1" x14ac:dyDescent="0.25">
      <c r="A11" s="5" t="s">
        <v>11</v>
      </c>
      <c r="B11" s="5" t="s">
        <v>11</v>
      </c>
      <c r="C11" s="7">
        <v>0.35040021841731223</v>
      </c>
      <c r="D11" s="7">
        <v>0.34976348656892425</v>
      </c>
      <c r="E11" s="7">
        <v>0.33673040450647002</v>
      </c>
      <c r="F11" s="7">
        <v>0.34875416137930448</v>
      </c>
      <c r="G11" s="7">
        <v>0.27370098190094988</v>
      </c>
      <c r="H11" s="7">
        <v>5.1175244288182757E-2</v>
      </c>
      <c r="J11">
        <v>1.0047198204933174</v>
      </c>
      <c r="K11">
        <v>1.2779036601903779</v>
      </c>
      <c r="L11">
        <v>1.2719005180597784</v>
      </c>
      <c r="M11" t="b">
        <v>0</v>
      </c>
      <c r="N11">
        <v>4.6976484359588953E-3</v>
      </c>
      <c r="O11">
        <v>0.21746839675611915</v>
      </c>
      <c r="Q11" t="b">
        <v>0</v>
      </c>
    </row>
    <row r="12" spans="1:17" ht="17" thickBot="1" x14ac:dyDescent="0.25">
      <c r="A12" s="2" t="s">
        <v>12</v>
      </c>
      <c r="B12" s="2" t="s">
        <v>12</v>
      </c>
      <c r="C12" s="8">
        <v>0.90749752937114303</v>
      </c>
      <c r="D12" s="8">
        <v>0.86130053020105135</v>
      </c>
      <c r="E12" s="8">
        <v>0.76339099286461365</v>
      </c>
      <c r="F12" s="8">
        <v>0.76672431712937483</v>
      </c>
      <c r="G12" s="8">
        <v>0.30602119846784381</v>
      </c>
      <c r="H12" s="8">
        <v>9.1163743728409838E-2</v>
      </c>
      <c r="J12">
        <v>1.1836034270685776</v>
      </c>
      <c r="K12" s="20">
        <v>2.8145126367497557</v>
      </c>
      <c r="L12" s="20">
        <v>2.3779186274582185</v>
      </c>
      <c r="M12" t="b">
        <v>0</v>
      </c>
      <c r="N12">
        <v>0.15512241927459353</v>
      </c>
      <c r="O12">
        <v>0.64469869953939307</v>
      </c>
      <c r="Q12" t="b">
        <v>0</v>
      </c>
    </row>
    <row r="13" spans="1:17" ht="17" thickBot="1" x14ac:dyDescent="0.25">
      <c r="A13" s="5" t="s">
        <v>13</v>
      </c>
      <c r="B13" s="5" t="s">
        <v>13</v>
      </c>
      <c r="C13" s="7">
        <v>0.48848179396514951</v>
      </c>
      <c r="D13" s="7">
        <v>0.48769149477548385</v>
      </c>
      <c r="E13" s="7">
        <v>0.43636339933026641</v>
      </c>
      <c r="F13" s="7">
        <v>0.4864762422056842</v>
      </c>
      <c r="G13" s="7">
        <v>0.21172390951346476</v>
      </c>
      <c r="H13" s="7">
        <v>8.595919708023568E-2</v>
      </c>
      <c r="J13">
        <v>1.004122609873757</v>
      </c>
      <c r="K13">
        <v>2.3034313691646089</v>
      </c>
      <c r="L13">
        <v>2.293974208442739</v>
      </c>
      <c r="M13" t="b">
        <v>0</v>
      </c>
      <c r="N13">
        <v>4.1056837414259976E-3</v>
      </c>
      <c r="O13">
        <v>0.56586507703823075</v>
      </c>
      <c r="Q13" t="b">
        <v>0</v>
      </c>
    </row>
    <row r="14" spans="1:17" ht="17" thickBot="1" x14ac:dyDescent="0.25">
      <c r="A14" s="2" t="s">
        <v>14</v>
      </c>
      <c r="B14" s="2" t="s">
        <v>14</v>
      </c>
      <c r="C14" s="8">
        <v>0.30313866538374967</v>
      </c>
      <c r="D14" s="8">
        <v>0.29746487119488135</v>
      </c>
      <c r="E14" s="8">
        <v>0.2267799266241485</v>
      </c>
      <c r="F14" s="8">
        <v>0.29756639206836027</v>
      </c>
      <c r="G14" s="8">
        <v>7.7209723078092485E-2</v>
      </c>
      <c r="H14" s="8">
        <v>0</v>
      </c>
      <c r="J14">
        <v>1.0187261514200476</v>
      </c>
      <c r="K14" s="20">
        <v>3.8526866738534404</v>
      </c>
      <c r="L14" s="20">
        <v>3.7818668623388234</v>
      </c>
      <c r="M14" t="b">
        <v>0</v>
      </c>
      <c r="N14">
        <v>1.8381928640925232E-2</v>
      </c>
      <c r="O14">
        <v>0.74044087031873673</v>
      </c>
      <c r="Q14" t="b">
        <v>0</v>
      </c>
    </row>
    <row r="15" spans="1:17" ht="17" thickBot="1" x14ac:dyDescent="0.25">
      <c r="A15" s="5" t="s">
        <v>15</v>
      </c>
      <c r="B15" s="5" t="s">
        <v>15</v>
      </c>
      <c r="C15" s="7">
        <v>0.27710922425847345</v>
      </c>
      <c r="D15" s="7">
        <v>0.27263107792069924</v>
      </c>
      <c r="E15" s="7">
        <v>0.2296456106074817</v>
      </c>
      <c r="F15" s="7">
        <v>0.27272809580510188</v>
      </c>
      <c r="G15" s="7">
        <v>7.42179831835382E-2</v>
      </c>
      <c r="H15" s="7">
        <v>4.0794173381639987E-2</v>
      </c>
      <c r="J15">
        <v>1.0160640891817116</v>
      </c>
      <c r="K15" s="20">
        <v>3.6733830026948202</v>
      </c>
      <c r="L15" s="20">
        <v>3.6153063982934222</v>
      </c>
      <c r="M15" t="b">
        <v>0</v>
      </c>
      <c r="N15">
        <v>1.5810114098854681E-2</v>
      </c>
      <c r="O15">
        <v>0.72777137606767583</v>
      </c>
      <c r="Q15" t="b">
        <v>0</v>
      </c>
    </row>
    <row r="16" spans="1:17" ht="17" thickBot="1" x14ac:dyDescent="0.25">
      <c r="A16" s="2" t="s">
        <v>16</v>
      </c>
      <c r="B16" s="2" t="s">
        <v>16</v>
      </c>
      <c r="C16" s="8">
        <v>0.38466922847702634</v>
      </c>
      <c r="D16" s="8">
        <v>0.3840891211801522</v>
      </c>
      <c r="E16" s="8">
        <v>0.20743724212008641</v>
      </c>
      <c r="F16" s="8">
        <v>0.39005140949873146</v>
      </c>
      <c r="G16" s="8">
        <v>0.38508823575866102</v>
      </c>
      <c r="H16" s="8">
        <v>3.7494100577259826E-2</v>
      </c>
      <c r="J16">
        <v>0.98620135476853688</v>
      </c>
      <c r="K16">
        <v>0.99740549181789351</v>
      </c>
      <c r="L16">
        <v>1.0113609021070411</v>
      </c>
      <c r="M16" t="b">
        <v>0</v>
      </c>
      <c r="N16">
        <v>-1.3991711900154146E-2</v>
      </c>
      <c r="O16">
        <v>-2.6012571651051718E-3</v>
      </c>
      <c r="Q16" t="b">
        <v>0</v>
      </c>
    </row>
    <row r="17" spans="1:17" ht="17" thickBot="1" x14ac:dyDescent="0.25">
      <c r="A17" s="5" t="s">
        <v>17</v>
      </c>
      <c r="B17" s="5" t="s">
        <v>17</v>
      </c>
      <c r="C17" s="7">
        <v>0.89544438180771802</v>
      </c>
      <c r="D17" s="7">
        <v>0.89468695180162305</v>
      </c>
      <c r="E17" s="7">
        <v>0.89362524041937019</v>
      </c>
      <c r="F17" s="7">
        <v>0.9074664854372223</v>
      </c>
      <c r="G17" s="7">
        <v>0.79186401759914893</v>
      </c>
      <c r="H17" s="7">
        <v>0.55158096635078613</v>
      </c>
      <c r="J17">
        <v>0.98675201363088139</v>
      </c>
      <c r="K17">
        <v>1.1298492315817339</v>
      </c>
      <c r="L17">
        <v>1.1450184200023144</v>
      </c>
      <c r="M17" t="b">
        <v>0</v>
      </c>
      <c r="N17">
        <v>-1.3425851871708808E-2</v>
      </c>
      <c r="O17">
        <v>0.11492615824498223</v>
      </c>
      <c r="Q17" t="b">
        <v>1</v>
      </c>
    </row>
    <row r="18" spans="1:17" ht="17" thickBot="1" x14ac:dyDescent="0.25">
      <c r="A18" s="2" t="s">
        <v>18</v>
      </c>
      <c r="B18" s="2" t="s">
        <v>18</v>
      </c>
      <c r="C18" s="8">
        <v>0.61630681165772283</v>
      </c>
      <c r="D18" s="8">
        <v>0.61547445068620044</v>
      </c>
      <c r="E18" s="8">
        <v>0.49842496710738587</v>
      </c>
      <c r="F18" s="8">
        <v>0.61351327276256895</v>
      </c>
      <c r="G18" s="8">
        <v>0.28305081865837356</v>
      </c>
      <c r="H18" s="8">
        <v>9.9252173045698458E-2</v>
      </c>
      <c r="J18">
        <v>1.0045533471225079</v>
      </c>
      <c r="K18">
        <v>2.1744309152804235</v>
      </c>
      <c r="L18">
        <v>2.1645748545948016</v>
      </c>
      <c r="M18" t="b">
        <v>0</v>
      </c>
      <c r="N18">
        <v>4.5327081289916402E-3</v>
      </c>
      <c r="O18">
        <v>0.54010955557489582</v>
      </c>
      <c r="Q18" t="b">
        <v>0</v>
      </c>
    </row>
    <row r="19" spans="1:17" ht="17" thickBot="1" x14ac:dyDescent="0.25">
      <c r="A19" s="5" t="s">
        <v>19</v>
      </c>
      <c r="B19" s="5" t="s">
        <v>19</v>
      </c>
      <c r="C19" s="7">
        <v>0.46980671732777746</v>
      </c>
      <c r="D19" s="7">
        <v>0.46277737358022691</v>
      </c>
      <c r="E19" s="7">
        <v>0.41269034104238311</v>
      </c>
      <c r="F19" s="7">
        <v>0.45405411831770026</v>
      </c>
      <c r="G19" s="7">
        <v>0.12322389043216564</v>
      </c>
      <c r="H19" s="7">
        <v>4.5769798510149444E-2</v>
      </c>
      <c r="J19">
        <v>1.0346932191000526</v>
      </c>
      <c r="K19">
        <v>3.7555815837107041</v>
      </c>
      <c r="L19">
        <v>3.6296570948606433</v>
      </c>
      <c r="M19" t="b">
        <v>0</v>
      </c>
      <c r="N19">
        <v>3.3529956956930507E-2</v>
      </c>
      <c r="O19">
        <v>0.733729656057172</v>
      </c>
      <c r="Q19" t="b">
        <v>0</v>
      </c>
    </row>
    <row r="20" spans="1:17" ht="17" thickBot="1" x14ac:dyDescent="0.25">
      <c r="A20" s="2" t="s">
        <v>20</v>
      </c>
      <c r="B20" s="2" t="s">
        <v>20</v>
      </c>
      <c r="C20" s="8">
        <v>0.64296443343640342</v>
      </c>
      <c r="D20" s="8">
        <v>0.60434364657432638</v>
      </c>
      <c r="E20" s="8">
        <v>0.53338629981315155</v>
      </c>
      <c r="F20" s="8">
        <v>0.54106281379903132</v>
      </c>
      <c r="G20" s="8">
        <v>0.20664308443565191</v>
      </c>
      <c r="H20" s="8">
        <v>6.2555559924804063E-2</v>
      </c>
      <c r="J20">
        <v>1.1883360250206028</v>
      </c>
      <c r="K20" s="20">
        <v>2.9245771675582848</v>
      </c>
      <c r="L20" s="20">
        <v>2.4610691807543073</v>
      </c>
      <c r="M20" t="b">
        <v>0</v>
      </c>
      <c r="N20">
        <v>0.15848717959832742</v>
      </c>
      <c r="O20">
        <v>0.65807022940177873</v>
      </c>
      <c r="Q20" t="b">
        <v>0</v>
      </c>
    </row>
    <row r="21" spans="1:17" ht="17" thickBot="1" x14ac:dyDescent="0.25">
      <c r="A21" s="5" t="s">
        <v>21</v>
      </c>
      <c r="B21" s="5" t="s">
        <v>21</v>
      </c>
      <c r="C21" s="8">
        <v>0.37321121458146561</v>
      </c>
      <c r="D21" s="8">
        <v>0.34660374038430009</v>
      </c>
      <c r="E21" s="8">
        <v>0.33531506874171629</v>
      </c>
      <c r="F21" s="8">
        <v>0.34757108737931042</v>
      </c>
      <c r="G21" s="8">
        <v>6.8121440746589032E-2</v>
      </c>
      <c r="H21" s="8">
        <v>2.8114666506978366E-2</v>
      </c>
      <c r="J21">
        <v>1.073769447842978</v>
      </c>
      <c r="K21" s="20">
        <v>5.0880271554100265</v>
      </c>
      <c r="L21" s="20">
        <v>4.7384726447851691</v>
      </c>
      <c r="M21" t="b">
        <v>0</v>
      </c>
      <c r="N21">
        <v>6.8701384632584225E-2</v>
      </c>
      <c r="O21">
        <v>0.80346016845906287</v>
      </c>
      <c r="Q21" t="b">
        <v>0</v>
      </c>
    </row>
    <row r="22" spans="1:17" ht="17" thickBot="1" x14ac:dyDescent="0.25">
      <c r="A22" s="2" t="s">
        <v>22</v>
      </c>
      <c r="B22" s="2" t="s">
        <v>22</v>
      </c>
      <c r="C22" s="7">
        <v>0.39386110252668738</v>
      </c>
      <c r="D22" s="7">
        <v>0.38796807302063768</v>
      </c>
      <c r="E22" s="7">
        <v>0.34597775368049077</v>
      </c>
      <c r="F22" s="7">
        <v>0.38065495668235877</v>
      </c>
      <c r="G22" s="7">
        <v>0.1033058336304241</v>
      </c>
      <c r="H22" s="7">
        <v>3.8370978183939267E-2</v>
      </c>
      <c r="J22">
        <v>1.03469321918051</v>
      </c>
      <c r="K22">
        <v>3.7555291834591911</v>
      </c>
      <c r="L22">
        <v>3.629606451305071</v>
      </c>
      <c r="M22" t="b">
        <v>0</v>
      </c>
      <c r="N22">
        <v>3.3529957032082856E-2</v>
      </c>
      <c r="O22">
        <v>0.73372594083294884</v>
      </c>
      <c r="Q22" t="b">
        <v>0</v>
      </c>
    </row>
    <row r="23" spans="1:17" ht="17" thickBot="1" x14ac:dyDescent="0.25">
      <c r="A23" s="5" t="s">
        <v>23</v>
      </c>
      <c r="B23" s="5" t="s">
        <v>23</v>
      </c>
      <c r="C23" s="8">
        <v>0.31269310768848529</v>
      </c>
      <c r="D23" s="8">
        <v>0.30014081374384638</v>
      </c>
      <c r="E23" s="8">
        <v>0.28134707118164209</v>
      </c>
      <c r="F23" s="8">
        <v>0.30607846235659486</v>
      </c>
      <c r="G23" s="8">
        <v>0.13704938448057202</v>
      </c>
      <c r="H23" s="8">
        <v>2.8330997036965653E-2</v>
      </c>
      <c r="J23">
        <v>1.0216109466865528</v>
      </c>
      <c r="K23" s="20">
        <v>2.1900194216953528</v>
      </c>
      <c r="L23" s="20">
        <v>2.1436922037673574</v>
      </c>
      <c r="M23" t="b">
        <v>0</v>
      </c>
      <c r="N23">
        <v>2.1153793189711594E-2</v>
      </c>
      <c r="O23">
        <v>0.54338304487460976</v>
      </c>
      <c r="Q23" t="b">
        <v>0</v>
      </c>
    </row>
    <row r="24" spans="1:17" ht="19" thickBot="1" x14ac:dyDescent="0.25">
      <c r="A24" s="2" t="s">
        <v>102</v>
      </c>
      <c r="B24" s="2" t="s">
        <v>24</v>
      </c>
      <c r="C24" s="7">
        <v>0.71406904914327407</v>
      </c>
      <c r="D24" s="7">
        <v>0.71310656502298098</v>
      </c>
      <c r="E24" s="7">
        <v>0.62146343277682103</v>
      </c>
      <c r="F24" s="7">
        <v>0.71168967399121708</v>
      </c>
      <c r="G24" s="7">
        <v>0.33401586404923128</v>
      </c>
      <c r="H24" s="7">
        <v>0.13863488556466572</v>
      </c>
      <c r="J24">
        <v>1.0033432762045194</v>
      </c>
      <c r="K24">
        <v>2.1349481919154436</v>
      </c>
      <c r="L24">
        <v>2.1278342542859283</v>
      </c>
      <c r="M24" t="b">
        <v>0</v>
      </c>
      <c r="N24">
        <v>3.3321359536752394E-3</v>
      </c>
      <c r="O24">
        <v>0.5316045589364794</v>
      </c>
      <c r="Q24" t="b">
        <v>0</v>
      </c>
    </row>
    <row r="25" spans="1:17" ht="17" thickBot="1" x14ac:dyDescent="0.25">
      <c r="A25" s="3" t="s">
        <v>25</v>
      </c>
      <c r="B25" s="3" t="s">
        <v>25</v>
      </c>
      <c r="C25" s="8">
        <v>0.30069507217716007</v>
      </c>
      <c r="D25" s="8">
        <v>0.30023566302982974</v>
      </c>
      <c r="E25" s="8">
        <v>0.27659440424202852</v>
      </c>
      <c r="F25" s="8">
        <v>0.29611200509736013</v>
      </c>
      <c r="G25" s="8">
        <v>0.13087811843036626</v>
      </c>
      <c r="H25" s="8">
        <v>5.9875949074468374E-2</v>
      </c>
      <c r="J25">
        <v>1.0154774781194469</v>
      </c>
      <c r="K25">
        <v>2.2940096223156679</v>
      </c>
      <c r="L25">
        <v>2.2590452981428228</v>
      </c>
      <c r="M25" t="b">
        <v>0</v>
      </c>
      <c r="N25">
        <v>1.5241576945762988E-2</v>
      </c>
      <c r="O25">
        <v>0.56408203772460253</v>
      </c>
      <c r="Q25" t="b">
        <v>0</v>
      </c>
    </row>
    <row r="26" spans="1:17" ht="16" x14ac:dyDescent="0.2">
      <c r="B26" s="6" t="s">
        <v>26</v>
      </c>
      <c r="E26" s="6"/>
      <c r="H26" s="7"/>
    </row>
    <row r="27" spans="1:17" ht="16" thickBot="1" x14ac:dyDescent="0.25">
      <c r="C27" t="s">
        <v>127</v>
      </c>
    </row>
    <row r="28" spans="1:17" ht="17" thickBot="1" x14ac:dyDescent="0.25">
      <c r="B28" s="9" t="s">
        <v>2</v>
      </c>
      <c r="C28" s="9" t="s">
        <v>3</v>
      </c>
      <c r="D28" s="9" t="s">
        <v>4</v>
      </c>
      <c r="E28" s="9" t="s">
        <v>118</v>
      </c>
      <c r="F28" s="9" t="s">
        <v>3</v>
      </c>
      <c r="G28" s="9" t="s">
        <v>4</v>
      </c>
      <c r="H28" s="9" t="s">
        <v>118</v>
      </c>
      <c r="K28" s="13"/>
      <c r="L28" s="13"/>
      <c r="M28" s="13"/>
    </row>
    <row r="29" spans="1:17" ht="17" thickBot="1" x14ac:dyDescent="0.25">
      <c r="A29" s="10" t="s">
        <v>85</v>
      </c>
      <c r="B29" s="10" t="s">
        <v>85</v>
      </c>
      <c r="C29" s="7" cm="1">
        <f t="array" ref="C29:C32">_xlfn.LET(_xlpm.d,_xlfn.XLOOKUP(B29:B32,RT_compiled_results[name],RT_compiled_results[yieldFBA],"-"),IF(_xlpm.d="-",_xlfn.XLOOKUP(SUBSTITUTE(A29:A32,"b",""),RT_compiled_results[name],RT_compiled_results[yieldFBA],"-"),_xlpm.d))</f>
        <v>0.22157085949759794</v>
      </c>
      <c r="D29" s="7" cm="1">
        <f t="array" ref="D29:D32">_xlfn.LET(_xlpm.d,_xlfn.XLOOKUP(B29:B32,RT_compiled_results[name],RT_compiled_results[yieldRBA],"-"),IF(_xlpm.d="-",_xlfn.XLOOKUP(SUBSTITUTE(A29:A32,"b",""),RT_compiled_results[name],RT_compiled_results[yieldRBA],"-"),_xlpm.d))</f>
        <v>0.21939625901650164</v>
      </c>
      <c r="E29" s="12" t="s">
        <v>119</v>
      </c>
      <c r="F29" s="7" cm="1">
        <f t="array" ref="F29:F32">_xlfn.LET(_xlpm.d,_xlfn.XLOOKUP(B29:B32,SC_compiled_results[name],SC_compiled_results[yieldFBA],"-"),IF(_xlpm.d="-",_xlfn.XLOOKUP(SUBSTITUTE(A29:A32,"b",""),SC_compiled_results[name],SC_compiled_results[yieldFBA],"-"),_xlpm.d))</f>
        <v>0.23552527003365606</v>
      </c>
      <c r="G29" s="7" cm="1">
        <f t="array" ref="G29:G32">_xlfn.LET(_xlpm.d,_xlfn.XLOOKUP(B29:B32,SC_compiled_results[name],SC_compiled_results[yieldRBA],"-"),IF(_xlpm.d="-",_xlfn.XLOOKUP(SUBSTITUTE(A29:A32,"b",""),SC_compiled_results[name],SC_compiled_results[yieldRBA],"-"),_xlpm.d))</f>
        <v>0.23747761274404727</v>
      </c>
      <c r="H29" s="11" t="s">
        <v>120</v>
      </c>
      <c r="K29" s="14"/>
      <c r="L29" s="14"/>
    </row>
    <row r="30" spans="1:17" ht="17" thickBot="1" x14ac:dyDescent="0.25">
      <c r="A30" s="13" t="s">
        <v>92</v>
      </c>
      <c r="B30" s="13" t="s">
        <v>92</v>
      </c>
      <c r="C30" s="8">
        <v>0.22846071809451968</v>
      </c>
      <c r="D30" s="8">
        <v>0.2262415753682073</v>
      </c>
      <c r="E30" s="15" t="s">
        <v>121</v>
      </c>
      <c r="F30" s="8">
        <v>0.24288320344619604</v>
      </c>
      <c r="G30" s="8">
        <v>0.24482928502726981</v>
      </c>
      <c r="H30" s="14" t="s">
        <v>120</v>
      </c>
      <c r="K30" s="14"/>
      <c r="L30" s="14"/>
      <c r="M30" s="14"/>
    </row>
    <row r="31" spans="1:17" ht="17" thickBot="1" x14ac:dyDescent="0.25">
      <c r="A31" s="9" t="s">
        <v>104</v>
      </c>
      <c r="B31" s="9" t="s">
        <v>104</v>
      </c>
      <c r="C31" s="7">
        <v>0.22644393079142536</v>
      </c>
      <c r="D31" s="7">
        <v>0.22412722099983357</v>
      </c>
      <c r="E31" s="17" t="s">
        <v>122</v>
      </c>
      <c r="F31" s="7">
        <v>0.24067860633472582</v>
      </c>
      <c r="G31" s="7">
        <v>0.24270745535468446</v>
      </c>
      <c r="H31" s="16" t="s">
        <v>120</v>
      </c>
      <c r="K31" s="14"/>
      <c r="L31" s="14"/>
      <c r="M31" s="14"/>
    </row>
    <row r="32" spans="1:17" ht="19" thickBot="1" x14ac:dyDescent="0.25">
      <c r="A32" s="18" t="s">
        <v>108</v>
      </c>
      <c r="B32" s="10" t="s">
        <v>123</v>
      </c>
      <c r="C32" s="8">
        <v>0.25549691873992841</v>
      </c>
      <c r="D32" s="8">
        <v>0.25194036850587864</v>
      </c>
      <c r="E32" s="11" t="s">
        <v>124</v>
      </c>
      <c r="F32" s="8">
        <v>0.27198109112734292</v>
      </c>
      <c r="G32" s="8">
        <v>0.12281998869242614</v>
      </c>
      <c r="H32" s="11" t="s">
        <v>120</v>
      </c>
      <c r="K32" s="14"/>
      <c r="L32" s="14"/>
      <c r="M32" s="14"/>
    </row>
    <row r="34" spans="1:10" ht="16" thickBot="1" x14ac:dyDescent="0.25">
      <c r="C34" t="s">
        <v>127</v>
      </c>
    </row>
    <row r="35" spans="1:10" ht="17" thickBot="1" x14ac:dyDescent="0.25">
      <c r="B35" s="9" t="s">
        <v>2</v>
      </c>
      <c r="C35" s="9" t="s">
        <v>3</v>
      </c>
      <c r="D35" s="9" t="s">
        <v>4</v>
      </c>
      <c r="E35" s="9"/>
      <c r="F35" s="9" t="s">
        <v>118</v>
      </c>
      <c r="G35" s="9" t="s">
        <v>3</v>
      </c>
      <c r="H35" s="9" t="s">
        <v>4</v>
      </c>
      <c r="I35" s="9"/>
      <c r="J35" s="9" t="s">
        <v>118</v>
      </c>
    </row>
    <row r="36" spans="1:10" ht="17" thickBot="1" x14ac:dyDescent="0.25">
      <c r="B36" s="9" t="s">
        <v>139</v>
      </c>
      <c r="C36" s="13"/>
      <c r="D36" s="10" t="s">
        <v>137</v>
      </c>
      <c r="E36" s="10">
        <v>339</v>
      </c>
      <c r="F36" s="10"/>
      <c r="G36" s="13"/>
      <c r="H36" s="10" t="s">
        <v>137</v>
      </c>
      <c r="I36" s="10">
        <v>339</v>
      </c>
      <c r="J36" s="10"/>
    </row>
    <row r="37" spans="1:10" ht="17" thickBot="1" x14ac:dyDescent="0.25">
      <c r="A37" s="10" t="s">
        <v>85</v>
      </c>
      <c r="B37" s="10" t="s">
        <v>85</v>
      </c>
      <c r="C37" s="7" cm="1">
        <f t="array" ref="C37:C40">_xlfn.LET(_xlpm.d,_xlfn.XLOOKUP(B37:B40,RT_compiled_results[name],RT_compiled_results[yieldFBA],"-"),IF(_xlpm.d="-",_xlfn.XLOOKUP(SUBSTITUTE(A37:A40,"b",""),RT_compiled_results[name],RT_compiled_results[yieldFBA],"-"),_xlpm.d))</f>
        <v>0.22157085949759794</v>
      </c>
      <c r="D37" s="7" cm="1">
        <f t="array" ref="D37:D40">_xlfn.LET(_xlpm.d,_xlfn.XLOOKUP(B37:B40,RT_compiled_results[name],RT_compiled_results[yieldRBA],"-"),IF(_xlpm.d="-",_xlfn.XLOOKUP(SUBSTITUTE(A37:A40,"b",""),RT_compiled_results[name],RT_compiled_results[yieldRBA],"-"),_xlpm.d))</f>
        <v>0.21939625901650164</v>
      </c>
      <c r="E37" s="7" cm="1">
        <f t="array" ref="E37:E40">_xlfn.XLOOKUP(A37:A40,RT_MDK[name],RT_MDK[yieldRBA],"")</f>
        <v>0.17880101549746921</v>
      </c>
      <c r="F37" s="12" t="s">
        <v>119</v>
      </c>
      <c r="G37" s="7" cm="1">
        <f t="array" ref="G37:G40">_xlfn.LET(_xlpm.d,_xlfn.XLOOKUP(C37:C40,SC_compiled_results[name],SC_compiled_results[yieldFBA],"-"),IF(_xlpm.d="-",_xlfn.XLOOKUP(SUBSTITUTE(B37:B40,"b",""),SC_compiled_results[name],SC_compiled_results[yieldFBA],"-"),_xlpm.d))</f>
        <v>0.23552527003365606</v>
      </c>
      <c r="H37" s="7" cm="1">
        <f t="array" ref="H37:H40">_xlfn.LET(_xlpm.d,_xlfn.XLOOKUP(C37:C40,SC_compiled_results[name],SC_compiled_results[yieldRBA],"-"),IF(_xlpm.d="-",_xlfn.XLOOKUP(SUBSTITUTE(B37:B40,"b",""),SC_compiled_results[name],SC_compiled_results[yieldRBA],"-"),_xlpm.d))</f>
        <v>0.23747761274404727</v>
      </c>
      <c r="I37" s="7" cm="1">
        <f t="array" ref="I37:I40">_xlfn.XLOOKUP(A37:A40,[1]Sheet1!$B:$B,[1]Sheet1!$I:$I,"-")</f>
        <v>0</v>
      </c>
      <c r="J37" s="11" t="s">
        <v>120</v>
      </c>
    </row>
    <row r="38" spans="1:10" ht="17" thickBot="1" x14ac:dyDescent="0.25">
      <c r="A38" s="13" t="s">
        <v>92</v>
      </c>
      <c r="B38" s="13" t="s">
        <v>92</v>
      </c>
      <c r="C38" s="8">
        <v>0.22846071809451968</v>
      </c>
      <c r="D38" s="8">
        <v>0.2262415753682073</v>
      </c>
      <c r="E38" s="8">
        <v>0.1821992974795687</v>
      </c>
      <c r="F38" s="15" t="s">
        <v>121</v>
      </c>
      <c r="G38" s="8">
        <v>0.24288320344619604</v>
      </c>
      <c r="H38" s="8">
        <v>0.24482928502726981</v>
      </c>
      <c r="I38" s="8">
        <v>0</v>
      </c>
      <c r="J38" s="14" t="s">
        <v>120</v>
      </c>
    </row>
    <row r="39" spans="1:10" ht="17" thickBot="1" x14ac:dyDescent="0.25">
      <c r="A39" s="9" t="s">
        <v>104</v>
      </c>
      <c r="B39" s="9" t="s">
        <v>104</v>
      </c>
      <c r="C39" s="7">
        <v>0.22644393079142536</v>
      </c>
      <c r="D39" s="7">
        <v>0.22412722099983357</v>
      </c>
      <c r="E39" s="7">
        <v>0.18065195455864089</v>
      </c>
      <c r="F39" s="17" t="s">
        <v>122</v>
      </c>
      <c r="G39" s="7">
        <v>0.24067860633472582</v>
      </c>
      <c r="H39" s="7">
        <v>0.24270745535468446</v>
      </c>
      <c r="I39" s="7">
        <v>0</v>
      </c>
      <c r="J39" s="16" t="s">
        <v>120</v>
      </c>
    </row>
    <row r="40" spans="1:10" ht="19" thickBot="1" x14ac:dyDescent="0.25">
      <c r="A40" s="18" t="s">
        <v>108</v>
      </c>
      <c r="B40" s="10" t="s">
        <v>123</v>
      </c>
      <c r="C40" s="8">
        <v>0.25549691873992841</v>
      </c>
      <c r="D40" s="8">
        <v>0.25194036850587864</v>
      </c>
      <c r="E40" s="8">
        <v>0.248617907064245</v>
      </c>
      <c r="F40" s="11" t="s">
        <v>124</v>
      </c>
      <c r="G40" s="8" t="str">
        <v>-</v>
      </c>
      <c r="H40" s="8" t="str">
        <v>-</v>
      </c>
      <c r="I40" s="8">
        <v>2.217130386671334E-2</v>
      </c>
      <c r="J40" s="11" t="s">
        <v>120</v>
      </c>
    </row>
  </sheetData>
  <sortState xmlns:xlrd2="http://schemas.microsoft.com/office/spreadsheetml/2017/richdata2" ref="Q4:T30">
    <sortCondition ref="R4:R30"/>
  </sortState>
  <conditionalFormatting sqref="J5:J25">
    <cfRule type="colorScale" priority="4">
      <colorScale>
        <cfvo type="min"/>
        <cfvo type="max"/>
        <color rgb="FFF8696B"/>
        <color rgb="FFFCFCFF"/>
      </colorScale>
    </cfRule>
  </conditionalFormatting>
  <conditionalFormatting sqref="K5:L25">
    <cfRule type="colorScale" priority="3">
      <colorScale>
        <cfvo type="min"/>
        <cfvo type="max"/>
        <color rgb="FFF8696B"/>
        <color rgb="FFFCFCFF"/>
      </colorScale>
    </cfRule>
  </conditionalFormatting>
  <conditionalFormatting sqref="Q5:Q25">
    <cfRule type="cellIs" dxfId="47" priority="2" operator="equal">
      <formula>TRUE</formula>
    </cfRule>
  </conditionalFormatting>
  <conditionalFormatting sqref="O5:O25">
    <cfRule type="colorScale" priority="1">
      <colorScale>
        <cfvo type="min"/>
        <cfvo type="max"/>
        <color rgb="FFFCFCFF"/>
        <color rgb="FFF8696B"/>
      </colorScale>
    </cfRule>
  </conditionalFormatting>
  <hyperlinks>
    <hyperlink ref="E29" r:id="rId1" location="_ENREF_9" tooltip="Fillet, 2015 #504" display="applewebdata://555929B4-6557-496C-9FBF-751B4C65E5D5/ - _ENREF_9" xr:uid="{73EAAF5C-48BA-B542-830A-9203A653422C}"/>
    <hyperlink ref="E30" r:id="rId2" location="_ENREF_9" tooltip="Fillet, 2015 #504" display="applewebdata://555929B4-6557-496C-9FBF-751B4C65E5D5/ - _ENREF_9" xr:uid="{CD3A9A5D-CA76-0140-851E-4395487E79D1}"/>
    <hyperlink ref="E31" r:id="rId3" location="_ENREF_9" tooltip="Fillet, 2015 #504" display="applewebdata://555929B4-6557-496C-9FBF-751B4C65E5D5/ - _ENREF_9" xr:uid="{BE582599-7905-7041-A9D0-3EA6F35C6776}"/>
    <hyperlink ref="F37" r:id="rId4" location="_ENREF_9" tooltip="Fillet, 2015 #504" display="applewebdata://555929B4-6557-496C-9FBF-751B4C65E5D5/ - _ENREF_9" xr:uid="{6E20FA04-0AB0-B547-A9E7-289BA8A3CB52}"/>
    <hyperlink ref="F38" r:id="rId5" location="_ENREF_9" tooltip="Fillet, 2015 #504" display="applewebdata://555929B4-6557-496C-9FBF-751B4C65E5D5/ - _ENREF_9" xr:uid="{FE958E89-55CB-E842-857C-40CBFA45AA4C}"/>
    <hyperlink ref="F39" r:id="rId6" location="_ENREF_9" tooltip="Fillet, 2015 #504" display="applewebdata://555929B4-6557-496C-9FBF-751B4C65E5D5/ - _ENREF_9" xr:uid="{A0EE3552-26B0-5441-9BF1-E830B5AC0AEF}"/>
  </hyperlinks>
  <pageMargins left="0.7" right="0.7" top="0.75" bottom="0.75" header="0.3" footer="0.3"/>
  <pageSetup orientation="portrait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79354-91A0-4D44-9D52-58189E33D3E2}">
  <sheetPr codeName="Sheet2"/>
  <dimension ref="A1:AA30"/>
  <sheetViews>
    <sheetView workbookViewId="0">
      <selection activeCell="F2" sqref="F2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5" width="12.33203125" bestFit="1" customWidth="1"/>
    <col min="6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</cols>
  <sheetData>
    <row r="1" spans="1:27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</row>
    <row r="2" spans="1:27" x14ac:dyDescent="0.2">
      <c r="A2" t="s">
        <v>54</v>
      </c>
      <c r="B2" t="s">
        <v>5</v>
      </c>
      <c r="C2" t="s">
        <v>55</v>
      </c>
      <c r="D2">
        <v>76.09</v>
      </c>
      <c r="E2">
        <v>17.791091418837663</v>
      </c>
      <c r="F2">
        <v>0.56882493665694867</v>
      </c>
      <c r="G2">
        <v>-13.21</v>
      </c>
      <c r="H2">
        <v>17.759098474022078</v>
      </c>
      <c r="I2">
        <v>0.56780204354827046</v>
      </c>
      <c r="J2">
        <v>-13.21</v>
      </c>
      <c r="K2">
        <v>0.99820174355454616</v>
      </c>
      <c r="N2" t="s">
        <v>56</v>
      </c>
      <c r="O2" t="s">
        <v>56</v>
      </c>
      <c r="P2" t="s">
        <v>56</v>
      </c>
      <c r="S2" t="s">
        <v>56</v>
      </c>
      <c r="T2" t="s">
        <v>56</v>
      </c>
      <c r="U2">
        <v>-13.21</v>
      </c>
      <c r="V2" t="s">
        <v>56</v>
      </c>
      <c r="W2">
        <v>0</v>
      </c>
      <c r="X2" t="s">
        <v>56</v>
      </c>
      <c r="Y2">
        <v>17.759098474022078</v>
      </c>
      <c r="Z2" t="s">
        <v>56</v>
      </c>
      <c r="AA2">
        <v>0.56780204354827046</v>
      </c>
    </row>
    <row r="3" spans="1:27" x14ac:dyDescent="0.2">
      <c r="A3" t="s">
        <v>57</v>
      </c>
      <c r="B3" t="s">
        <v>6</v>
      </c>
      <c r="C3" t="s">
        <v>58</v>
      </c>
      <c r="D3">
        <v>122.16</v>
      </c>
      <c r="E3">
        <v>6.9312131928637912</v>
      </c>
      <c r="F3">
        <v>0.35578426178187023</v>
      </c>
      <c r="G3">
        <v>-13.21</v>
      </c>
      <c r="H3">
        <v>6.9219174138241906</v>
      </c>
      <c r="I3">
        <v>0.35530710261921505</v>
      </c>
      <c r="J3">
        <v>-13.21</v>
      </c>
      <c r="K3">
        <v>0.9986588525297172</v>
      </c>
      <c r="N3" t="s">
        <v>56</v>
      </c>
      <c r="O3" t="s">
        <v>56</v>
      </c>
      <c r="P3" t="s">
        <v>56</v>
      </c>
      <c r="S3" t="s">
        <v>56</v>
      </c>
      <c r="T3" t="s">
        <v>56</v>
      </c>
      <c r="U3">
        <v>-13.21</v>
      </c>
      <c r="V3" t="s">
        <v>56</v>
      </c>
      <c r="W3">
        <v>0</v>
      </c>
      <c r="X3" t="s">
        <v>56</v>
      </c>
      <c r="Y3">
        <v>6.9219174138241906</v>
      </c>
      <c r="Z3" t="s">
        <v>56</v>
      </c>
      <c r="AA3">
        <v>0.35530710261921505</v>
      </c>
    </row>
    <row r="4" spans="1:27" x14ac:dyDescent="0.2">
      <c r="A4" t="s">
        <v>59</v>
      </c>
      <c r="B4" t="s">
        <v>7</v>
      </c>
      <c r="C4" t="s">
        <v>60</v>
      </c>
      <c r="D4">
        <v>90.08</v>
      </c>
      <c r="E4">
        <v>20.789976456032075</v>
      </c>
      <c r="F4">
        <v>0.78692044116033466</v>
      </c>
      <c r="G4">
        <v>-13.21</v>
      </c>
      <c r="H4">
        <v>20.505805321005983</v>
      </c>
      <c r="I4">
        <v>0.77616429261862308</v>
      </c>
      <c r="J4">
        <v>-13.21</v>
      </c>
      <c r="K4">
        <v>0.98633133925730621</v>
      </c>
      <c r="N4" t="s">
        <v>56</v>
      </c>
      <c r="O4" t="s">
        <v>56</v>
      </c>
      <c r="P4" t="s">
        <v>56</v>
      </c>
      <c r="S4" t="s">
        <v>56</v>
      </c>
      <c r="T4" t="s">
        <v>56</v>
      </c>
      <c r="U4">
        <v>-13.21</v>
      </c>
      <c r="V4" t="s">
        <v>56</v>
      </c>
      <c r="W4">
        <v>0</v>
      </c>
      <c r="X4" t="s">
        <v>56</v>
      </c>
      <c r="Y4">
        <v>20.505805321005983</v>
      </c>
      <c r="Z4" t="s">
        <v>56</v>
      </c>
      <c r="AA4">
        <v>0.77616429261862308</v>
      </c>
    </row>
    <row r="5" spans="1:27" x14ac:dyDescent="0.2">
      <c r="A5" t="s">
        <v>61</v>
      </c>
      <c r="B5" t="s">
        <v>7</v>
      </c>
      <c r="C5" t="s">
        <v>62</v>
      </c>
      <c r="D5">
        <v>90.08</v>
      </c>
      <c r="E5">
        <v>21.396439742322201</v>
      </c>
      <c r="F5">
        <v>0.80987565507335968</v>
      </c>
      <c r="G5">
        <v>-13.21</v>
      </c>
      <c r="H5">
        <v>21.412915861105841</v>
      </c>
      <c r="I5">
        <v>0.8104992918864774</v>
      </c>
      <c r="J5">
        <v>-13.21</v>
      </c>
      <c r="K5">
        <v>1.0007700402021114</v>
      </c>
      <c r="N5" t="s">
        <v>56</v>
      </c>
      <c r="O5" t="s">
        <v>56</v>
      </c>
      <c r="P5" t="s">
        <v>56</v>
      </c>
      <c r="S5" t="s">
        <v>56</v>
      </c>
      <c r="T5" t="s">
        <v>56</v>
      </c>
      <c r="U5">
        <v>-13.21</v>
      </c>
      <c r="V5" t="s">
        <v>56</v>
      </c>
      <c r="W5">
        <v>0</v>
      </c>
      <c r="X5" t="s">
        <v>56</v>
      </c>
      <c r="Y5">
        <v>21.412915861105841</v>
      </c>
      <c r="Z5" t="s">
        <v>56</v>
      </c>
      <c r="AA5">
        <v>0.8104992918864774</v>
      </c>
    </row>
    <row r="6" spans="1:27" x14ac:dyDescent="0.2">
      <c r="A6" t="s">
        <v>59</v>
      </c>
      <c r="B6" t="s">
        <v>7</v>
      </c>
      <c r="C6" t="s">
        <v>60</v>
      </c>
      <c r="D6">
        <v>90.08</v>
      </c>
      <c r="E6">
        <v>20.789976456032075</v>
      </c>
      <c r="F6">
        <v>0.78692044116033466</v>
      </c>
      <c r="G6">
        <v>-13.21</v>
      </c>
      <c r="H6">
        <v>20.505805321005983</v>
      </c>
      <c r="I6">
        <v>0.77616429261862308</v>
      </c>
      <c r="J6">
        <v>-13.21</v>
      </c>
      <c r="K6">
        <v>0.98633133925730621</v>
      </c>
      <c r="N6" t="s">
        <v>56</v>
      </c>
      <c r="O6" t="s">
        <v>56</v>
      </c>
      <c r="P6" t="s">
        <v>56</v>
      </c>
      <c r="S6" t="s">
        <v>56</v>
      </c>
      <c r="T6" t="s">
        <v>56</v>
      </c>
      <c r="U6">
        <v>-13.21</v>
      </c>
      <c r="V6" t="s">
        <v>56</v>
      </c>
      <c r="W6">
        <v>0</v>
      </c>
      <c r="X6" t="s">
        <v>56</v>
      </c>
      <c r="Y6">
        <v>20.505805321005983</v>
      </c>
      <c r="Z6" t="s">
        <v>56</v>
      </c>
      <c r="AA6">
        <v>0.77616429261862308</v>
      </c>
    </row>
    <row r="7" spans="1:27" x14ac:dyDescent="0.2">
      <c r="A7" t="s">
        <v>61</v>
      </c>
      <c r="B7" t="s">
        <v>7</v>
      </c>
      <c r="C7" t="s">
        <v>62</v>
      </c>
      <c r="D7">
        <v>90.08</v>
      </c>
      <c r="E7">
        <v>21.396439742322201</v>
      </c>
      <c r="F7">
        <v>0.80987565507335968</v>
      </c>
      <c r="G7">
        <v>-13.21</v>
      </c>
      <c r="H7">
        <v>21.412915861105841</v>
      </c>
      <c r="I7">
        <v>0.8104992918864774</v>
      </c>
      <c r="J7">
        <v>-13.21</v>
      </c>
      <c r="K7">
        <v>1.0007700402021114</v>
      </c>
      <c r="N7" t="s">
        <v>56</v>
      </c>
      <c r="O7" t="s">
        <v>56</v>
      </c>
      <c r="P7" t="s">
        <v>56</v>
      </c>
      <c r="S7" t="s">
        <v>56</v>
      </c>
      <c r="T7" t="s">
        <v>56</v>
      </c>
      <c r="U7">
        <v>-13.21</v>
      </c>
      <c r="V7" t="s">
        <v>56</v>
      </c>
      <c r="W7">
        <v>0</v>
      </c>
      <c r="X7" t="s">
        <v>56</v>
      </c>
      <c r="Y7">
        <v>21.412915861105841</v>
      </c>
      <c r="Z7" t="s">
        <v>56</v>
      </c>
      <c r="AA7">
        <v>0.8104992918864774</v>
      </c>
    </row>
    <row r="8" spans="1:27" x14ac:dyDescent="0.2">
      <c r="A8" t="s">
        <v>63</v>
      </c>
      <c r="B8" t="s">
        <v>8</v>
      </c>
      <c r="C8" t="s">
        <v>64</v>
      </c>
      <c r="D8">
        <v>137.11000000000001</v>
      </c>
      <c r="E8">
        <v>9.2298183096747888</v>
      </c>
      <c r="F8">
        <v>0.53175396212655335</v>
      </c>
      <c r="G8">
        <v>-13.21</v>
      </c>
      <c r="H8">
        <v>9.2145332039638248</v>
      </c>
      <c r="I8">
        <v>0.53087334722703694</v>
      </c>
      <c r="J8">
        <v>-13.21</v>
      </c>
      <c r="K8">
        <v>0.99834394294685702</v>
      </c>
      <c r="N8" t="s">
        <v>56</v>
      </c>
      <c r="O8" t="s">
        <v>56</v>
      </c>
      <c r="P8" t="s">
        <v>56</v>
      </c>
      <c r="S8" t="s">
        <v>56</v>
      </c>
      <c r="T8" t="s">
        <v>56</v>
      </c>
      <c r="U8">
        <v>-13.21</v>
      </c>
      <c r="V8" t="s">
        <v>56</v>
      </c>
      <c r="W8">
        <v>0</v>
      </c>
      <c r="X8" t="s">
        <v>56</v>
      </c>
      <c r="Y8">
        <v>9.2145332039638248</v>
      </c>
      <c r="Z8" t="s">
        <v>56</v>
      </c>
      <c r="AA8">
        <v>0.53087334722703694</v>
      </c>
    </row>
    <row r="9" spans="1:27" x14ac:dyDescent="0.2">
      <c r="A9" t="s">
        <v>65</v>
      </c>
      <c r="B9" t="s">
        <v>9</v>
      </c>
      <c r="C9" t="s">
        <v>66</v>
      </c>
      <c r="D9">
        <v>234.33</v>
      </c>
      <c r="E9">
        <v>2.8396065403360731</v>
      </c>
      <c r="F9">
        <v>0.27959829069871805</v>
      </c>
      <c r="G9">
        <v>-13.21</v>
      </c>
      <c r="H9">
        <v>2.766662292706453</v>
      </c>
      <c r="I9">
        <v>0.27241592699309986</v>
      </c>
      <c r="J9">
        <v>-13.21</v>
      </c>
      <c r="K9">
        <v>0.97431184687263495</v>
      </c>
      <c r="N9" t="s">
        <v>56</v>
      </c>
      <c r="O9" t="s">
        <v>56</v>
      </c>
      <c r="P9" t="s">
        <v>56</v>
      </c>
      <c r="S9" t="s">
        <v>56</v>
      </c>
      <c r="T9" t="s">
        <v>56</v>
      </c>
      <c r="U9">
        <v>-13.21</v>
      </c>
      <c r="V9" t="s">
        <v>56</v>
      </c>
      <c r="W9">
        <v>0</v>
      </c>
      <c r="X9" t="s">
        <v>56</v>
      </c>
      <c r="Y9">
        <v>2.766662292706453</v>
      </c>
      <c r="Z9" t="s">
        <v>56</v>
      </c>
      <c r="AA9">
        <v>0.27241592699309986</v>
      </c>
    </row>
    <row r="10" spans="1:27" x14ac:dyDescent="0.2">
      <c r="A10" t="s">
        <v>67</v>
      </c>
      <c r="B10" t="s">
        <v>10</v>
      </c>
      <c r="C10" t="s">
        <v>68</v>
      </c>
      <c r="D10">
        <v>90.12</v>
      </c>
      <c r="E10">
        <v>13.267066597113374</v>
      </c>
      <c r="F10">
        <v>0.50239411558340807</v>
      </c>
      <c r="G10">
        <v>-13.21</v>
      </c>
      <c r="H10">
        <v>13.239935235088574</v>
      </c>
      <c r="I10">
        <v>0.50136671163323954</v>
      </c>
      <c r="J10">
        <v>-13.21</v>
      </c>
      <c r="K10">
        <v>0.99795498410849126</v>
      </c>
      <c r="N10" t="s">
        <v>56</v>
      </c>
      <c r="O10" t="s">
        <v>56</v>
      </c>
      <c r="P10" t="s">
        <v>56</v>
      </c>
      <c r="S10" t="s">
        <v>56</v>
      </c>
      <c r="T10" t="s">
        <v>56</v>
      </c>
      <c r="U10">
        <v>-13.21</v>
      </c>
      <c r="V10" t="s">
        <v>56</v>
      </c>
      <c r="W10">
        <v>0</v>
      </c>
      <c r="X10" t="s">
        <v>56</v>
      </c>
      <c r="Y10">
        <v>13.239935235088574</v>
      </c>
      <c r="Z10" t="s">
        <v>56</v>
      </c>
      <c r="AA10">
        <v>0.50136671163323954</v>
      </c>
    </row>
    <row r="11" spans="1:27" x14ac:dyDescent="0.2">
      <c r="A11" t="s">
        <v>69</v>
      </c>
      <c r="B11" t="s">
        <v>11</v>
      </c>
      <c r="C11" t="s">
        <v>70</v>
      </c>
      <c r="D11">
        <v>74.12</v>
      </c>
      <c r="E11">
        <v>11.250724906999334</v>
      </c>
      <c r="F11">
        <v>0.35040021841731223</v>
      </c>
      <c r="G11">
        <v>-13.21</v>
      </c>
      <c r="H11">
        <v>11.230280585080543</v>
      </c>
      <c r="I11">
        <v>0.34976348656892425</v>
      </c>
      <c r="J11">
        <v>-13.21</v>
      </c>
      <c r="K11">
        <v>0.99818284403113688</v>
      </c>
      <c r="N11" t="s">
        <v>56</v>
      </c>
      <c r="O11" t="s">
        <v>56</v>
      </c>
      <c r="P11" t="s">
        <v>56</v>
      </c>
      <c r="S11" t="s">
        <v>56</v>
      </c>
      <c r="T11" t="s">
        <v>56</v>
      </c>
      <c r="U11">
        <v>-13.21</v>
      </c>
      <c r="V11" t="s">
        <v>56</v>
      </c>
      <c r="W11">
        <v>0</v>
      </c>
      <c r="X11" t="s">
        <v>56</v>
      </c>
      <c r="Y11">
        <v>11.230280585080543</v>
      </c>
      <c r="Z11" t="s">
        <v>56</v>
      </c>
      <c r="AA11">
        <v>0.34976348656892425</v>
      </c>
    </row>
    <row r="12" spans="1:27" x14ac:dyDescent="0.2">
      <c r="A12" t="s">
        <v>71</v>
      </c>
      <c r="B12" t="s">
        <v>12</v>
      </c>
      <c r="C12" t="s">
        <v>72</v>
      </c>
      <c r="D12">
        <v>146.1</v>
      </c>
      <c r="E12">
        <v>14.782462422637446</v>
      </c>
      <c r="F12">
        <v>0.90749752937114303</v>
      </c>
      <c r="G12">
        <v>-13.21</v>
      </c>
      <c r="H12">
        <v>14.029947531777394</v>
      </c>
      <c r="I12">
        <v>0.86130053020105135</v>
      </c>
      <c r="J12">
        <v>-13.21</v>
      </c>
      <c r="K12">
        <v>0.9490940772013956</v>
      </c>
      <c r="N12" t="s">
        <v>56</v>
      </c>
      <c r="O12" t="s">
        <v>56</v>
      </c>
      <c r="P12" t="s">
        <v>56</v>
      </c>
      <c r="S12" t="s">
        <v>56</v>
      </c>
      <c r="T12" t="s">
        <v>56</v>
      </c>
      <c r="U12">
        <v>-13.21</v>
      </c>
      <c r="V12" t="s">
        <v>56</v>
      </c>
      <c r="W12">
        <v>0</v>
      </c>
      <c r="X12" t="s">
        <v>56</v>
      </c>
      <c r="Y12">
        <v>14.029947531777394</v>
      </c>
      <c r="Z12" t="s">
        <v>56</v>
      </c>
      <c r="AA12">
        <v>0.86130053020105135</v>
      </c>
    </row>
    <row r="13" spans="1:27" x14ac:dyDescent="0.2">
      <c r="A13" t="s">
        <v>73</v>
      </c>
      <c r="B13" t="s">
        <v>13</v>
      </c>
      <c r="C13" t="s">
        <v>74</v>
      </c>
      <c r="D13">
        <v>163.15</v>
      </c>
      <c r="E13">
        <v>7.125459107766253</v>
      </c>
      <c r="F13">
        <v>0.48848179396514951</v>
      </c>
      <c r="G13">
        <v>-13.21</v>
      </c>
      <c r="H13">
        <v>7.1139310536433893</v>
      </c>
      <c r="I13">
        <v>0.48769149477548385</v>
      </c>
      <c r="J13">
        <v>-13.21</v>
      </c>
      <c r="K13">
        <v>0.99838213174077461</v>
      </c>
      <c r="N13" t="s">
        <v>56</v>
      </c>
      <c r="O13" t="s">
        <v>56</v>
      </c>
      <c r="P13" t="s">
        <v>56</v>
      </c>
      <c r="S13" t="s">
        <v>56</v>
      </c>
      <c r="T13" t="s">
        <v>56</v>
      </c>
      <c r="U13">
        <v>-13.21</v>
      </c>
      <c r="V13" t="s">
        <v>56</v>
      </c>
      <c r="W13">
        <v>0</v>
      </c>
      <c r="X13" t="s">
        <v>56</v>
      </c>
      <c r="Y13">
        <v>7.1139310536433893</v>
      </c>
      <c r="Z13" t="s">
        <v>56</v>
      </c>
      <c r="AA13">
        <v>0.48769149477548385</v>
      </c>
    </row>
    <row r="14" spans="1:27" x14ac:dyDescent="0.2">
      <c r="A14" t="s">
        <v>75</v>
      </c>
      <c r="B14" t="s">
        <v>14</v>
      </c>
      <c r="C14" t="s">
        <v>76</v>
      </c>
      <c r="D14">
        <v>256.39999999999998</v>
      </c>
      <c r="E14">
        <v>2.8136810241246346</v>
      </c>
      <c r="F14">
        <v>0.30313866538374967</v>
      </c>
      <c r="G14">
        <v>-13.21</v>
      </c>
      <c r="H14">
        <v>2.7610178410107351</v>
      </c>
      <c r="I14">
        <v>0.29746487119488135</v>
      </c>
      <c r="J14">
        <v>-13.21</v>
      </c>
      <c r="K14">
        <v>0.9812831722351032</v>
      </c>
      <c r="N14" t="s">
        <v>56</v>
      </c>
      <c r="O14" t="s">
        <v>56</v>
      </c>
      <c r="P14" t="s">
        <v>56</v>
      </c>
      <c r="S14" t="s">
        <v>56</v>
      </c>
      <c r="T14" t="s">
        <v>56</v>
      </c>
      <c r="U14">
        <v>-13.21</v>
      </c>
      <c r="V14" t="s">
        <v>56</v>
      </c>
      <c r="W14">
        <v>0</v>
      </c>
      <c r="X14" t="s">
        <v>56</v>
      </c>
      <c r="Y14">
        <v>2.7610178410107351</v>
      </c>
      <c r="Z14" t="s">
        <v>56</v>
      </c>
      <c r="AA14">
        <v>0.29746487119488135</v>
      </c>
    </row>
    <row r="15" spans="1:27" x14ac:dyDescent="0.2">
      <c r="A15" t="s">
        <v>77</v>
      </c>
      <c r="B15" t="s">
        <v>15</v>
      </c>
      <c r="C15" t="s">
        <v>76</v>
      </c>
      <c r="D15">
        <v>242.44</v>
      </c>
      <c r="E15">
        <v>2.7201838353686729</v>
      </c>
      <c r="F15">
        <v>0.27710922425847345</v>
      </c>
      <c r="G15">
        <v>-13.21</v>
      </c>
      <c r="H15">
        <v>2.6762250631082929</v>
      </c>
      <c r="I15">
        <v>0.27263107792069924</v>
      </c>
      <c r="J15">
        <v>-13.21</v>
      </c>
      <c r="K15">
        <v>0.98383977888228935</v>
      </c>
      <c r="N15" t="s">
        <v>56</v>
      </c>
      <c r="O15" t="s">
        <v>56</v>
      </c>
      <c r="P15" t="s">
        <v>56</v>
      </c>
      <c r="S15" t="s">
        <v>56</v>
      </c>
      <c r="T15" t="s">
        <v>56</v>
      </c>
      <c r="U15">
        <v>-13.21</v>
      </c>
      <c r="V15" t="s">
        <v>56</v>
      </c>
      <c r="W15">
        <v>0</v>
      </c>
      <c r="X15" t="s">
        <v>56</v>
      </c>
      <c r="Y15">
        <v>2.6762250631082929</v>
      </c>
      <c r="Z15" t="s">
        <v>56</v>
      </c>
      <c r="AA15">
        <v>0.27263107792069924</v>
      </c>
    </row>
    <row r="16" spans="1:27" x14ac:dyDescent="0.2">
      <c r="A16" t="s">
        <v>78</v>
      </c>
      <c r="B16" t="s">
        <v>16</v>
      </c>
      <c r="C16" t="s">
        <v>16</v>
      </c>
      <c r="D16">
        <v>74.12</v>
      </c>
      <c r="E16">
        <v>12.351041587047348</v>
      </c>
      <c r="F16">
        <v>0.38466922847702634</v>
      </c>
      <c r="G16">
        <v>-13.21</v>
      </c>
      <c r="H16">
        <v>12.332415378299098</v>
      </c>
      <c r="I16">
        <v>0.3840891211801522</v>
      </c>
      <c r="J16">
        <v>-13.21</v>
      </c>
      <c r="K16">
        <v>0.99849193214863874</v>
      </c>
      <c r="N16" t="s">
        <v>56</v>
      </c>
      <c r="O16" t="s">
        <v>56</v>
      </c>
      <c r="P16" t="s">
        <v>56</v>
      </c>
      <c r="S16" t="s">
        <v>56</v>
      </c>
      <c r="T16" t="s">
        <v>56</v>
      </c>
      <c r="U16">
        <v>-13.21</v>
      </c>
      <c r="V16" t="s">
        <v>56</v>
      </c>
      <c r="W16">
        <v>0</v>
      </c>
      <c r="X16" t="s">
        <v>56</v>
      </c>
      <c r="Y16">
        <v>12.332415378299098</v>
      </c>
      <c r="Z16" t="s">
        <v>56</v>
      </c>
      <c r="AA16">
        <v>0.3840891211801522</v>
      </c>
    </row>
    <row r="17" spans="1:27" x14ac:dyDescent="0.2">
      <c r="A17" t="s">
        <v>79</v>
      </c>
      <c r="B17" t="s">
        <v>17</v>
      </c>
      <c r="C17" t="s">
        <v>68</v>
      </c>
      <c r="D17">
        <v>89.07</v>
      </c>
      <c r="E17">
        <v>23.925372707158932</v>
      </c>
      <c r="F17">
        <v>0.89544438180771802</v>
      </c>
      <c r="G17">
        <v>-13.21</v>
      </c>
      <c r="H17">
        <v>23.905134939673225</v>
      </c>
      <c r="I17">
        <v>0.89468695180162305</v>
      </c>
      <c r="J17">
        <v>-13.21</v>
      </c>
      <c r="K17">
        <v>0.99915412947863291</v>
      </c>
      <c r="N17" t="s">
        <v>56</v>
      </c>
      <c r="O17" t="s">
        <v>56</v>
      </c>
      <c r="P17" t="s">
        <v>56</v>
      </c>
      <c r="S17" t="s">
        <v>56</v>
      </c>
      <c r="T17" t="s">
        <v>56</v>
      </c>
      <c r="U17">
        <v>-13.21</v>
      </c>
      <c r="V17" t="s">
        <v>56</v>
      </c>
      <c r="W17">
        <v>0</v>
      </c>
      <c r="X17" t="s">
        <v>56</v>
      </c>
      <c r="Y17">
        <v>23.905134939673225</v>
      </c>
      <c r="Z17" t="s">
        <v>56</v>
      </c>
      <c r="AA17">
        <v>0.89468695180162305</v>
      </c>
    </row>
    <row r="18" spans="1:27" x14ac:dyDescent="0.2">
      <c r="A18" t="s">
        <v>80</v>
      </c>
      <c r="B18" t="s">
        <v>18</v>
      </c>
      <c r="C18" t="s">
        <v>81</v>
      </c>
      <c r="D18">
        <v>140.09</v>
      </c>
      <c r="E18">
        <v>10.469872204903455</v>
      </c>
      <c r="F18">
        <v>0.61630681165772283</v>
      </c>
      <c r="G18">
        <v>-13.21</v>
      </c>
      <c r="H18">
        <v>10.4557319863705</v>
      </c>
      <c r="I18">
        <v>0.61547445068620044</v>
      </c>
      <c r="J18">
        <v>-13.21</v>
      </c>
      <c r="K18">
        <v>0.99864943733254619</v>
      </c>
      <c r="N18" t="s">
        <v>56</v>
      </c>
      <c r="O18" t="s">
        <v>56</v>
      </c>
      <c r="P18" t="s">
        <v>56</v>
      </c>
      <c r="S18" t="s">
        <v>56</v>
      </c>
      <c r="T18" t="s">
        <v>56</v>
      </c>
      <c r="U18">
        <v>-13.21</v>
      </c>
      <c r="V18" t="s">
        <v>56</v>
      </c>
      <c r="W18">
        <v>0</v>
      </c>
      <c r="X18" t="s">
        <v>56</v>
      </c>
      <c r="Y18">
        <v>10.4557319863705</v>
      </c>
      <c r="Z18" t="s">
        <v>56</v>
      </c>
      <c r="AA18">
        <v>0.61547445068620044</v>
      </c>
    </row>
    <row r="19" spans="1:27" x14ac:dyDescent="0.2">
      <c r="A19" t="s">
        <v>82</v>
      </c>
      <c r="B19" t="s">
        <v>19</v>
      </c>
      <c r="C19" t="s">
        <v>83</v>
      </c>
      <c r="D19">
        <v>272.25</v>
      </c>
      <c r="E19">
        <v>4.1067936505152973</v>
      </c>
      <c r="F19">
        <v>0.46980671732777746</v>
      </c>
      <c r="G19">
        <v>-13.21</v>
      </c>
      <c r="H19">
        <v>4.045346967858376</v>
      </c>
      <c r="I19">
        <v>0.46277737358022691</v>
      </c>
      <c r="J19">
        <v>-13.21</v>
      </c>
      <c r="K19">
        <v>0.9850377964207645</v>
      </c>
      <c r="N19" t="s">
        <v>56</v>
      </c>
      <c r="O19" t="s">
        <v>56</v>
      </c>
      <c r="P19" t="s">
        <v>56</v>
      </c>
      <c r="S19" t="s">
        <v>56</v>
      </c>
      <c r="T19" t="s">
        <v>56</v>
      </c>
      <c r="U19">
        <v>-13.21</v>
      </c>
      <c r="V19" t="s">
        <v>56</v>
      </c>
      <c r="W19">
        <v>0</v>
      </c>
      <c r="X19" t="s">
        <v>56</v>
      </c>
      <c r="Y19">
        <v>4.045346967858376</v>
      </c>
      <c r="Z19" t="s">
        <v>56</v>
      </c>
      <c r="AA19">
        <v>0.46277737358022691</v>
      </c>
    </row>
    <row r="20" spans="1:27" x14ac:dyDescent="0.2">
      <c r="A20" t="s">
        <v>84</v>
      </c>
      <c r="B20" t="s">
        <v>85</v>
      </c>
      <c r="C20" t="s">
        <v>86</v>
      </c>
      <c r="D20">
        <v>268.5</v>
      </c>
      <c r="E20">
        <v>9.4040990308055267E-2</v>
      </c>
      <c r="F20">
        <v>0.22157085949759794</v>
      </c>
      <c r="G20">
        <v>-0.33292500000000003</v>
      </c>
      <c r="H20">
        <v>9.31180278606E-2</v>
      </c>
      <c r="I20">
        <v>0.21939625901650164</v>
      </c>
      <c r="J20">
        <v>-0.33292500000000003</v>
      </c>
      <c r="K20">
        <v>0.99018553032638357</v>
      </c>
      <c r="L20">
        <v>2.7200000000000002E-2</v>
      </c>
      <c r="M20">
        <v>2.7999999999999997E-2</v>
      </c>
      <c r="N20" t="s">
        <v>142</v>
      </c>
      <c r="O20" t="s">
        <v>88</v>
      </c>
      <c r="P20" t="s">
        <v>89</v>
      </c>
      <c r="Q20">
        <v>5.1385852697487392E-3</v>
      </c>
      <c r="R20">
        <v>1000</v>
      </c>
      <c r="S20" t="s">
        <v>90</v>
      </c>
      <c r="T20" t="s">
        <v>56</v>
      </c>
      <c r="U20">
        <v>-0.33292500000000003</v>
      </c>
      <c r="V20" t="s">
        <v>56</v>
      </c>
      <c r="W20">
        <v>0</v>
      </c>
      <c r="X20" t="s">
        <v>56</v>
      </c>
      <c r="Y20">
        <v>9.31180278606E-2</v>
      </c>
      <c r="Z20" t="s">
        <v>56</v>
      </c>
      <c r="AA20">
        <v>0.21939625901650164</v>
      </c>
    </row>
    <row r="21" spans="1:27" x14ac:dyDescent="0.2">
      <c r="A21" t="s">
        <v>91</v>
      </c>
      <c r="B21" t="s">
        <v>92</v>
      </c>
      <c r="C21" t="s">
        <v>93</v>
      </c>
      <c r="D21">
        <v>242.44</v>
      </c>
      <c r="E21">
        <v>0.10738808644061681</v>
      </c>
      <c r="F21">
        <v>0.22846071809451968</v>
      </c>
      <c r="G21">
        <v>-0.33292500000000003</v>
      </c>
      <c r="H21">
        <v>0.10634497717918701</v>
      </c>
      <c r="I21">
        <v>0.2262415753682073</v>
      </c>
      <c r="J21">
        <v>-0.33292500000000003</v>
      </c>
      <c r="K21">
        <v>0.99028654577985586</v>
      </c>
      <c r="L21">
        <v>3.5999999999999999E-3</v>
      </c>
      <c r="M21">
        <v>6.0000000000000001E-3</v>
      </c>
      <c r="N21" t="s">
        <v>142</v>
      </c>
      <c r="O21" t="s">
        <v>88</v>
      </c>
      <c r="P21" t="s">
        <v>89</v>
      </c>
      <c r="Q21">
        <v>7.5321191079101601E-4</v>
      </c>
      <c r="R21">
        <v>1000</v>
      </c>
      <c r="S21" t="s">
        <v>56</v>
      </c>
      <c r="T21" t="s">
        <v>56</v>
      </c>
      <c r="U21">
        <v>-0.33292500000000003</v>
      </c>
      <c r="V21" t="s">
        <v>56</v>
      </c>
      <c r="W21">
        <v>0</v>
      </c>
      <c r="X21" t="s">
        <v>56</v>
      </c>
      <c r="Y21">
        <v>0.10634497717918701</v>
      </c>
      <c r="Z21" t="s">
        <v>56</v>
      </c>
      <c r="AA21">
        <v>0.2262415753682073</v>
      </c>
    </row>
    <row r="22" spans="1:27" x14ac:dyDescent="0.2">
      <c r="A22" t="s">
        <v>94</v>
      </c>
      <c r="B22" t="s">
        <v>20</v>
      </c>
      <c r="C22" t="s">
        <v>95</v>
      </c>
      <c r="D22">
        <v>103.1</v>
      </c>
      <c r="E22">
        <v>14.841569594674381</v>
      </c>
      <c r="F22">
        <v>0.64296443343640342</v>
      </c>
      <c r="G22">
        <v>-13.21</v>
      </c>
      <c r="H22">
        <v>13.950084675436933</v>
      </c>
      <c r="I22">
        <v>0.60434364657432638</v>
      </c>
      <c r="J22">
        <v>-13.21</v>
      </c>
      <c r="K22">
        <v>0.93993324536527867</v>
      </c>
      <c r="N22" t="s">
        <v>56</v>
      </c>
      <c r="O22" t="s">
        <v>56</v>
      </c>
      <c r="P22" t="s">
        <v>56</v>
      </c>
      <c r="S22" t="s">
        <v>56</v>
      </c>
      <c r="T22" t="s">
        <v>56</v>
      </c>
      <c r="U22">
        <v>-13.21</v>
      </c>
      <c r="V22" t="s">
        <v>56</v>
      </c>
      <c r="W22">
        <v>0</v>
      </c>
      <c r="X22" t="s">
        <v>56</v>
      </c>
      <c r="Y22">
        <v>13.950084675436933</v>
      </c>
      <c r="Z22" t="s">
        <v>56</v>
      </c>
      <c r="AA22">
        <v>0.60434364657432638</v>
      </c>
    </row>
    <row r="23" spans="1:27" x14ac:dyDescent="0.2">
      <c r="A23" t="s">
        <v>96</v>
      </c>
      <c r="B23" t="s">
        <v>21</v>
      </c>
      <c r="C23" t="s">
        <v>97</v>
      </c>
      <c r="D23">
        <v>329.4</v>
      </c>
      <c r="E23">
        <v>2.6963895712640253</v>
      </c>
      <c r="F23">
        <v>0.37321121458146561</v>
      </c>
      <c r="G23">
        <v>-13.21</v>
      </c>
      <c r="H23">
        <v>2.5041549514566581</v>
      </c>
      <c r="I23">
        <v>0.34660374038430009</v>
      </c>
      <c r="J23">
        <v>-13.21</v>
      </c>
      <c r="K23">
        <v>0.92870665950645603</v>
      </c>
      <c r="N23" t="s">
        <v>56</v>
      </c>
      <c r="O23" t="s">
        <v>56</v>
      </c>
      <c r="P23" t="s">
        <v>56</v>
      </c>
      <c r="S23" t="s">
        <v>56</v>
      </c>
      <c r="T23" t="s">
        <v>56</v>
      </c>
      <c r="U23">
        <v>-13.21</v>
      </c>
      <c r="V23" t="s">
        <v>56</v>
      </c>
      <c r="W23">
        <v>0</v>
      </c>
      <c r="X23" t="s">
        <v>56</v>
      </c>
      <c r="Y23">
        <v>2.5041549514566581</v>
      </c>
      <c r="Z23" t="s">
        <v>56</v>
      </c>
      <c r="AA23">
        <v>0.34660374038430009</v>
      </c>
    </row>
    <row r="24" spans="1:27" x14ac:dyDescent="0.2">
      <c r="A24" t="s">
        <v>98</v>
      </c>
      <c r="B24" t="s">
        <v>22</v>
      </c>
      <c r="C24" t="s">
        <v>99</v>
      </c>
      <c r="D24">
        <v>228.24</v>
      </c>
      <c r="E24">
        <v>4.1067936505152476</v>
      </c>
      <c r="F24">
        <v>0.39386110252668738</v>
      </c>
      <c r="G24">
        <v>-13.21</v>
      </c>
      <c r="H24">
        <v>4.045346972987339</v>
      </c>
      <c r="I24">
        <v>0.38796807302063768</v>
      </c>
      <c r="J24">
        <v>-13.21</v>
      </c>
      <c r="K24">
        <v>0.9850377976696737</v>
      </c>
      <c r="N24" t="s">
        <v>56</v>
      </c>
      <c r="O24" t="s">
        <v>56</v>
      </c>
      <c r="P24" t="s">
        <v>56</v>
      </c>
      <c r="S24" t="s">
        <v>56</v>
      </c>
      <c r="T24" t="s">
        <v>56</v>
      </c>
      <c r="U24">
        <v>-13.21</v>
      </c>
      <c r="V24" t="s">
        <v>56</v>
      </c>
      <c r="W24">
        <v>0</v>
      </c>
      <c r="X24" t="s">
        <v>56</v>
      </c>
      <c r="Y24">
        <v>4.045346972987339</v>
      </c>
      <c r="Z24" t="s">
        <v>56</v>
      </c>
      <c r="AA24">
        <v>0.38796807302063768</v>
      </c>
    </row>
    <row r="25" spans="1:27" x14ac:dyDescent="0.2">
      <c r="A25" t="s">
        <v>100</v>
      </c>
      <c r="B25" t="s">
        <v>23</v>
      </c>
      <c r="C25" t="s">
        <v>66</v>
      </c>
      <c r="D25">
        <v>246.3</v>
      </c>
      <c r="E25">
        <v>3.0213806614302898</v>
      </c>
      <c r="F25">
        <v>0.31269310768848529</v>
      </c>
      <c r="G25">
        <v>-13.21</v>
      </c>
      <c r="H25">
        <v>2.900094783205232</v>
      </c>
      <c r="I25">
        <v>0.30014081374384638</v>
      </c>
      <c r="J25">
        <v>-13.21</v>
      </c>
      <c r="K25">
        <v>0.95985746523986737</v>
      </c>
      <c r="N25" t="s">
        <v>56</v>
      </c>
      <c r="O25" t="s">
        <v>56</v>
      </c>
      <c r="P25" t="s">
        <v>56</v>
      </c>
      <c r="S25" t="s">
        <v>56</v>
      </c>
      <c r="T25" t="s">
        <v>56</v>
      </c>
      <c r="U25">
        <v>-13.21</v>
      </c>
      <c r="V25" t="s">
        <v>56</v>
      </c>
      <c r="W25">
        <v>0</v>
      </c>
      <c r="X25" t="s">
        <v>56</v>
      </c>
      <c r="Y25">
        <v>2.900094783205232</v>
      </c>
      <c r="Z25" t="s">
        <v>56</v>
      </c>
      <c r="AA25">
        <v>0.30014081374384638</v>
      </c>
    </row>
    <row r="26" spans="1:27" x14ac:dyDescent="0.2">
      <c r="A26" t="s">
        <v>101</v>
      </c>
      <c r="B26" t="s">
        <v>102</v>
      </c>
      <c r="C26" t="s">
        <v>102</v>
      </c>
      <c r="D26">
        <v>174.15</v>
      </c>
      <c r="E26">
        <v>9.7581677288922748</v>
      </c>
      <c r="F26">
        <v>0.71406904914327407</v>
      </c>
      <c r="G26">
        <v>-13.21</v>
      </c>
      <c r="H26">
        <v>9.7450148251310988</v>
      </c>
      <c r="I26">
        <v>0.71310656502298098</v>
      </c>
      <c r="J26">
        <v>-13.21</v>
      </c>
      <c r="K26">
        <v>0.99865211337552318</v>
      </c>
      <c r="N26" t="s">
        <v>56</v>
      </c>
      <c r="O26" t="s">
        <v>56</v>
      </c>
      <c r="P26" t="s">
        <v>56</v>
      </c>
      <c r="S26" t="s">
        <v>56</v>
      </c>
      <c r="T26" t="s">
        <v>56</v>
      </c>
      <c r="U26">
        <v>-13.21</v>
      </c>
      <c r="V26" t="s">
        <v>56</v>
      </c>
      <c r="W26">
        <v>0</v>
      </c>
      <c r="X26" t="s">
        <v>56</v>
      </c>
      <c r="Y26">
        <v>9.7450148251310988</v>
      </c>
      <c r="Z26" t="s">
        <v>56</v>
      </c>
      <c r="AA26">
        <v>0.71310656502298098</v>
      </c>
    </row>
    <row r="27" spans="1:27" x14ac:dyDescent="0.2">
      <c r="A27" t="s">
        <v>103</v>
      </c>
      <c r="B27" t="s">
        <v>104</v>
      </c>
      <c r="C27" t="s">
        <v>105</v>
      </c>
      <c r="D27">
        <v>270.5</v>
      </c>
      <c r="E27">
        <v>9.5398656193154796E-2</v>
      </c>
      <c r="F27">
        <v>0.22644393079142536</v>
      </c>
      <c r="G27">
        <v>-0.33292500000000003</v>
      </c>
      <c r="H27">
        <v>9.4422648577782001E-2</v>
      </c>
      <c r="I27">
        <v>0.22412722099983357</v>
      </c>
      <c r="J27">
        <v>-0.33292500000000003</v>
      </c>
      <c r="K27">
        <v>0.98976916809607196</v>
      </c>
      <c r="L27">
        <v>6.0000000000000001E-3</v>
      </c>
      <c r="M27">
        <v>9.1999999999999998E-3</v>
      </c>
      <c r="N27" t="s">
        <v>142</v>
      </c>
      <c r="O27" t="s">
        <v>88</v>
      </c>
      <c r="P27" t="s">
        <v>89</v>
      </c>
      <c r="Q27">
        <v>1.1251305955155509E-3</v>
      </c>
      <c r="R27">
        <v>1000</v>
      </c>
      <c r="S27" t="s">
        <v>56</v>
      </c>
      <c r="T27" t="s">
        <v>56</v>
      </c>
      <c r="U27">
        <v>-0.33292500000000003</v>
      </c>
      <c r="V27" t="s">
        <v>56</v>
      </c>
      <c r="W27">
        <v>0</v>
      </c>
      <c r="X27" t="s">
        <v>56</v>
      </c>
      <c r="Y27">
        <v>9.4422648577782001E-2</v>
      </c>
      <c r="Z27" t="s">
        <v>56</v>
      </c>
      <c r="AA27">
        <v>0.22412722099983357</v>
      </c>
    </row>
    <row r="28" spans="1:27" x14ac:dyDescent="0.2">
      <c r="A28" t="s">
        <v>106</v>
      </c>
      <c r="B28" t="s">
        <v>25</v>
      </c>
      <c r="C28" t="s">
        <v>58</v>
      </c>
      <c r="D28">
        <v>104.15</v>
      </c>
      <c r="E28">
        <v>6.8709784253460491</v>
      </c>
      <c r="F28">
        <v>0.30069507217716007</v>
      </c>
      <c r="G28">
        <v>-13.21</v>
      </c>
      <c r="H28">
        <v>6.8604807796185749</v>
      </c>
      <c r="I28">
        <v>0.30023566302982974</v>
      </c>
      <c r="J28">
        <v>-13.21</v>
      </c>
      <c r="K28">
        <v>0.99847217600207405</v>
      </c>
      <c r="N28" t="s">
        <v>56</v>
      </c>
      <c r="O28" t="s">
        <v>56</v>
      </c>
      <c r="P28" t="s">
        <v>56</v>
      </c>
      <c r="S28" t="s">
        <v>56</v>
      </c>
      <c r="T28" t="s">
        <v>56</v>
      </c>
      <c r="U28">
        <v>-13.21</v>
      </c>
      <c r="V28" t="s">
        <v>56</v>
      </c>
      <c r="W28">
        <v>0</v>
      </c>
      <c r="X28" t="s">
        <v>56</v>
      </c>
      <c r="Y28">
        <v>6.8604807796185749</v>
      </c>
      <c r="Z28" t="s">
        <v>56</v>
      </c>
      <c r="AA28">
        <v>0.30023566302982974</v>
      </c>
    </row>
    <row r="29" spans="1:27" x14ac:dyDescent="0.2">
      <c r="A29" t="s">
        <v>107</v>
      </c>
      <c r="B29" t="s">
        <v>108</v>
      </c>
      <c r="C29" t="s">
        <v>108</v>
      </c>
      <c r="D29">
        <v>824.3</v>
      </c>
      <c r="E29">
        <v>0.1229122692567151</v>
      </c>
      <c r="F29">
        <v>0.25549691873992841</v>
      </c>
      <c r="G29">
        <v>-2.2011337271575702</v>
      </c>
      <c r="H29">
        <v>0.121201314533079</v>
      </c>
      <c r="I29">
        <v>0.25194036850587864</v>
      </c>
      <c r="J29">
        <v>-2.2011337271575711</v>
      </c>
      <c r="K29">
        <v>0.98607987034994338</v>
      </c>
      <c r="L29">
        <v>0.129384</v>
      </c>
      <c r="M29">
        <v>0.14680000000000001</v>
      </c>
      <c r="N29" t="s">
        <v>143</v>
      </c>
      <c r="O29" t="s">
        <v>110</v>
      </c>
      <c r="P29" t="s">
        <v>111</v>
      </c>
      <c r="S29" t="s">
        <v>56</v>
      </c>
      <c r="T29" t="s">
        <v>56</v>
      </c>
      <c r="U29">
        <v>-2.2011337271575711</v>
      </c>
      <c r="V29" t="s">
        <v>56</v>
      </c>
      <c r="W29">
        <v>0</v>
      </c>
      <c r="X29" t="s">
        <v>56</v>
      </c>
      <c r="Y29">
        <v>0.121201314533079</v>
      </c>
      <c r="Z29" t="s">
        <v>56</v>
      </c>
      <c r="AA29">
        <v>0.25194036850587864</v>
      </c>
    </row>
    <row r="30" spans="1:27" x14ac:dyDescent="0.2">
      <c r="A30" t="s">
        <v>112</v>
      </c>
      <c r="B30" t="s">
        <v>113</v>
      </c>
      <c r="C30" t="s">
        <v>114</v>
      </c>
      <c r="D30">
        <v>126.11004</v>
      </c>
      <c r="E30">
        <v>-8.1302890651061232E-18</v>
      </c>
      <c r="F30">
        <v>7.6872544674244366E-17</v>
      </c>
      <c r="G30">
        <v>-7.8476895921783002E-2</v>
      </c>
      <c r="L30">
        <v>0.11450973051259666</v>
      </c>
      <c r="M30">
        <v>0.1208420658404822</v>
      </c>
      <c r="N30" t="s">
        <v>144</v>
      </c>
      <c r="O30" t="s">
        <v>116</v>
      </c>
      <c r="P30" t="s">
        <v>117</v>
      </c>
      <c r="Q30">
        <v>1.1133019284161489E-2</v>
      </c>
      <c r="R30">
        <v>1.2780647900976147E-2</v>
      </c>
      <c r="S30" t="s">
        <v>56</v>
      </c>
      <c r="T30" t="s">
        <v>56</v>
      </c>
      <c r="V30" t="s">
        <v>56</v>
      </c>
      <c r="X30" t="s">
        <v>56</v>
      </c>
      <c r="Z30" t="s">
        <v>56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6645-E57E-4548-8A2B-E11637DEFD35}">
  <dimension ref="A1:AA30"/>
  <sheetViews>
    <sheetView topLeftCell="H1" workbookViewId="0">
      <selection activeCell="J4" sqref="J4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</cols>
  <sheetData>
    <row r="1" spans="1:27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138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</row>
    <row r="2" spans="1:27" x14ac:dyDescent="0.2">
      <c r="A2" t="s">
        <v>54</v>
      </c>
      <c r="B2" t="s">
        <v>5</v>
      </c>
      <c r="C2" t="s">
        <v>55</v>
      </c>
      <c r="D2">
        <v>76.09</v>
      </c>
      <c r="E2">
        <v>17.75020499602558</v>
      </c>
      <c r="F2">
        <v>0.56751769718980816</v>
      </c>
      <c r="G2">
        <v>-13.21</v>
      </c>
      <c r="H2">
        <v>16.877172928215089</v>
      </c>
      <c r="I2">
        <v>0.53960471540691568</v>
      </c>
      <c r="J2">
        <v>-13.21</v>
      </c>
      <c r="K2">
        <v>0.95081566280468455</v>
      </c>
      <c r="U2">
        <v>-13.21</v>
      </c>
      <c r="W2">
        <v>0</v>
      </c>
      <c r="Y2">
        <v>16.877172928215089</v>
      </c>
      <c r="AA2">
        <v>0.53960471540691568</v>
      </c>
    </row>
    <row r="3" spans="1:27" x14ac:dyDescent="0.2">
      <c r="A3" t="s">
        <v>57</v>
      </c>
      <c r="B3" t="s">
        <v>6</v>
      </c>
      <c r="C3" t="s">
        <v>58</v>
      </c>
      <c r="D3">
        <v>122.16</v>
      </c>
      <c r="E3">
        <v>6.9153377076676126</v>
      </c>
      <c r="F3">
        <v>0.35496936147166669</v>
      </c>
      <c r="G3">
        <v>-13.21</v>
      </c>
      <c r="H3">
        <v>6.3423748625414298</v>
      </c>
      <c r="I3">
        <v>0.32555875798719458</v>
      </c>
      <c r="J3">
        <v>-13.21</v>
      </c>
      <c r="K3">
        <v>0.91714607885441513</v>
      </c>
      <c r="U3">
        <v>-13.21</v>
      </c>
      <c r="W3">
        <v>0</v>
      </c>
      <c r="Y3">
        <v>6.3423748625414298</v>
      </c>
      <c r="AA3">
        <v>0.32555875798719458</v>
      </c>
    </row>
    <row r="4" spans="1:27" x14ac:dyDescent="0.2">
      <c r="A4" t="s">
        <v>59</v>
      </c>
      <c r="B4" t="s">
        <v>7</v>
      </c>
      <c r="C4" t="s">
        <v>60</v>
      </c>
      <c r="D4">
        <v>90.08</v>
      </c>
      <c r="E4">
        <v>20.743743378592811</v>
      </c>
      <c r="F4">
        <v>0.785170475075878</v>
      </c>
      <c r="G4">
        <v>-13.21</v>
      </c>
      <c r="H4">
        <v>18.018821491148799</v>
      </c>
      <c r="I4">
        <v>0.6820295822360144</v>
      </c>
      <c r="J4">
        <v>-13.21</v>
      </c>
      <c r="K4">
        <v>0.86863885472782687</v>
      </c>
      <c r="U4">
        <v>-13.21</v>
      </c>
      <c r="W4">
        <v>0</v>
      </c>
      <c r="Y4">
        <v>18.018821491148799</v>
      </c>
      <c r="AA4">
        <v>0.6820295822360144</v>
      </c>
    </row>
    <row r="5" spans="1:27" x14ac:dyDescent="0.2">
      <c r="A5" t="s">
        <v>61</v>
      </c>
      <c r="B5" t="s">
        <v>7</v>
      </c>
      <c r="C5" t="s">
        <v>62</v>
      </c>
      <c r="D5">
        <v>90.08</v>
      </c>
      <c r="E5">
        <v>21.38964850200621</v>
      </c>
      <c r="F5">
        <v>0.80961860014899323</v>
      </c>
      <c r="G5">
        <v>-13.21</v>
      </c>
      <c r="H5">
        <v>21.291797668422749</v>
      </c>
      <c r="I5">
        <v>0.80591485275446173</v>
      </c>
      <c r="J5">
        <v>-13.21</v>
      </c>
      <c r="K5">
        <v>0.99542531829944381</v>
      </c>
      <c r="U5">
        <v>-13.21</v>
      </c>
      <c r="W5">
        <v>0</v>
      </c>
      <c r="Y5">
        <v>21.291797668422749</v>
      </c>
      <c r="AA5">
        <v>0.80591485275446173</v>
      </c>
    </row>
    <row r="6" spans="1:27" x14ac:dyDescent="0.2">
      <c r="A6" t="s">
        <v>59</v>
      </c>
      <c r="B6" t="s">
        <v>7</v>
      </c>
      <c r="C6" t="s">
        <v>60</v>
      </c>
      <c r="D6">
        <v>90.08</v>
      </c>
      <c r="E6">
        <v>20.743743378592811</v>
      </c>
      <c r="F6">
        <v>0.785170475075878</v>
      </c>
      <c r="G6">
        <v>-13.21</v>
      </c>
      <c r="H6">
        <v>18.018821491148799</v>
      </c>
      <c r="I6">
        <v>0.6820295822360144</v>
      </c>
      <c r="J6">
        <v>-13.21</v>
      </c>
      <c r="K6">
        <v>0.86863885472782687</v>
      </c>
      <c r="U6">
        <v>-13.21</v>
      </c>
      <c r="W6">
        <v>0</v>
      </c>
      <c r="Y6">
        <v>18.018821491148799</v>
      </c>
      <c r="AA6">
        <v>0.6820295822360144</v>
      </c>
    </row>
    <row r="7" spans="1:27" x14ac:dyDescent="0.2">
      <c r="A7" t="s">
        <v>61</v>
      </c>
      <c r="B7" t="s">
        <v>7</v>
      </c>
      <c r="C7" t="s">
        <v>62</v>
      </c>
      <c r="D7">
        <v>90.08</v>
      </c>
      <c r="E7">
        <v>21.38964850200621</v>
      </c>
      <c r="F7">
        <v>0.80961860014899323</v>
      </c>
      <c r="G7">
        <v>-13.21</v>
      </c>
      <c r="H7">
        <v>21.291797668422749</v>
      </c>
      <c r="I7">
        <v>0.80591485275446173</v>
      </c>
      <c r="J7">
        <v>-13.21</v>
      </c>
      <c r="K7">
        <v>0.99542531829944381</v>
      </c>
      <c r="U7">
        <v>-13.21</v>
      </c>
      <c r="W7">
        <v>0</v>
      </c>
      <c r="Y7">
        <v>21.291797668422749</v>
      </c>
      <c r="AA7">
        <v>0.80591485275446173</v>
      </c>
    </row>
    <row r="8" spans="1:27" x14ac:dyDescent="0.2">
      <c r="A8" t="s">
        <v>63</v>
      </c>
      <c r="B8" t="s">
        <v>8</v>
      </c>
      <c r="C8" t="s">
        <v>64</v>
      </c>
      <c r="D8">
        <v>137.11000000000001</v>
      </c>
      <c r="E8">
        <v>9.2082377565223954</v>
      </c>
      <c r="F8">
        <v>0.53051065004188969</v>
      </c>
      <c r="G8">
        <v>-13.21</v>
      </c>
      <c r="H8">
        <v>7.425600832730213</v>
      </c>
      <c r="I8">
        <v>0.42780827655464998</v>
      </c>
      <c r="J8">
        <v>-13.21</v>
      </c>
      <c r="K8">
        <v>0.80640846045384729</v>
      </c>
      <c r="U8">
        <v>-13.21</v>
      </c>
      <c r="W8">
        <v>0</v>
      </c>
      <c r="Y8">
        <v>7.425600832730213</v>
      </c>
      <c r="AA8">
        <v>0.42780827655464998</v>
      </c>
    </row>
    <row r="9" spans="1:27" x14ac:dyDescent="0.2">
      <c r="A9" t="s">
        <v>65</v>
      </c>
      <c r="B9" t="s">
        <v>9</v>
      </c>
      <c r="C9" t="s">
        <v>66</v>
      </c>
      <c r="D9">
        <v>234.33</v>
      </c>
      <c r="E9">
        <v>2.833362226867056</v>
      </c>
      <c r="F9">
        <v>0.27898345221749749</v>
      </c>
      <c r="G9">
        <v>-13.21</v>
      </c>
      <c r="H9">
        <v>2.709825773822371</v>
      </c>
      <c r="I9">
        <v>0.26681959056285143</v>
      </c>
      <c r="J9">
        <v>-13.21</v>
      </c>
      <c r="K9">
        <v>0.95639934355259504</v>
      </c>
      <c r="U9">
        <v>-13.21</v>
      </c>
      <c r="W9">
        <v>0</v>
      </c>
      <c r="Y9">
        <v>2.709825773822371</v>
      </c>
      <c r="AA9">
        <v>0.26681959056285143</v>
      </c>
    </row>
    <row r="10" spans="1:27" x14ac:dyDescent="0.2">
      <c r="A10" t="s">
        <v>67</v>
      </c>
      <c r="B10" t="s">
        <v>10</v>
      </c>
      <c r="C10" t="s">
        <v>68</v>
      </c>
      <c r="D10">
        <v>90.12</v>
      </c>
      <c r="E10">
        <v>13.24482919736128</v>
      </c>
      <c r="F10">
        <v>0.50155203503006573</v>
      </c>
      <c r="G10">
        <v>-13.21</v>
      </c>
      <c r="H10">
        <v>12.457675597644</v>
      </c>
      <c r="I10">
        <v>0.47174429014060348</v>
      </c>
      <c r="J10">
        <v>-13.21</v>
      </c>
      <c r="K10">
        <v>0.94056898824530666</v>
      </c>
      <c r="U10">
        <v>-13.21</v>
      </c>
      <c r="W10">
        <v>0</v>
      </c>
      <c r="Y10">
        <v>12.457675597644</v>
      </c>
      <c r="AA10">
        <v>0.47174429014060348</v>
      </c>
    </row>
    <row r="11" spans="1:27" x14ac:dyDescent="0.2">
      <c r="A11" t="s">
        <v>69</v>
      </c>
      <c r="B11" t="s">
        <v>11</v>
      </c>
      <c r="C11" t="s">
        <v>70</v>
      </c>
      <c r="D11">
        <v>74.12</v>
      </c>
      <c r="E11">
        <v>11.22803133518382</v>
      </c>
      <c r="F11">
        <v>0.34969343440236589</v>
      </c>
      <c r="G11">
        <v>-13.21</v>
      </c>
      <c r="H11">
        <v>10.81181160798536</v>
      </c>
      <c r="I11">
        <v>0.33673040450647002</v>
      </c>
      <c r="J11">
        <v>-13.21</v>
      </c>
      <c r="K11">
        <v>0.96293030231451127</v>
      </c>
      <c r="U11">
        <v>-13.21</v>
      </c>
      <c r="W11">
        <v>0</v>
      </c>
      <c r="Y11">
        <v>10.81181160798536</v>
      </c>
      <c r="AA11">
        <v>0.33673040450647002</v>
      </c>
    </row>
    <row r="12" spans="1:27" x14ac:dyDescent="0.2">
      <c r="A12" t="s">
        <v>71</v>
      </c>
      <c r="B12" t="s">
        <v>12</v>
      </c>
      <c r="C12" t="s">
        <v>72</v>
      </c>
      <c r="D12">
        <v>146.1</v>
      </c>
      <c r="E12">
        <v>14.748604170579</v>
      </c>
      <c r="F12">
        <v>0.90541896632708552</v>
      </c>
      <c r="G12">
        <v>-13.21</v>
      </c>
      <c r="H12">
        <v>12.435073706063889</v>
      </c>
      <c r="I12">
        <v>0.76339099286461365</v>
      </c>
      <c r="J12">
        <v>-13.21</v>
      </c>
      <c r="K12">
        <v>0.84313563251428092</v>
      </c>
      <c r="U12">
        <v>-13.21</v>
      </c>
      <c r="W12">
        <v>0</v>
      </c>
      <c r="Y12">
        <v>12.435073706063889</v>
      </c>
      <c r="AA12">
        <v>0.76339099286461365</v>
      </c>
    </row>
    <row r="13" spans="1:27" x14ac:dyDescent="0.2">
      <c r="A13" t="s">
        <v>73</v>
      </c>
      <c r="B13" t="s">
        <v>13</v>
      </c>
      <c r="C13" t="s">
        <v>74</v>
      </c>
      <c r="D13">
        <v>163.15</v>
      </c>
      <c r="E13">
        <v>7.1110865122832374</v>
      </c>
      <c r="F13">
        <v>0.48749648886139457</v>
      </c>
      <c r="G13">
        <v>-13.21</v>
      </c>
      <c r="H13">
        <v>6.3652107334741723</v>
      </c>
      <c r="I13">
        <v>0.43636339933026641</v>
      </c>
      <c r="J13">
        <v>-13.21</v>
      </c>
      <c r="K13">
        <v>0.89511085577138105</v>
      </c>
      <c r="U13">
        <v>-13.21</v>
      </c>
      <c r="W13">
        <v>0</v>
      </c>
      <c r="Y13">
        <v>6.3652107334741723</v>
      </c>
      <c r="AA13">
        <v>0.43636339933026641</v>
      </c>
    </row>
    <row r="14" spans="1:27" x14ac:dyDescent="0.2">
      <c r="A14" t="s">
        <v>75</v>
      </c>
      <c r="B14" t="s">
        <v>14</v>
      </c>
      <c r="C14" t="s">
        <v>76</v>
      </c>
      <c r="D14">
        <v>256.39999999999998</v>
      </c>
      <c r="E14">
        <v>2.8074937210362338</v>
      </c>
      <c r="F14">
        <v>0.30247206146366751</v>
      </c>
      <c r="G14">
        <v>-13.21</v>
      </c>
      <c r="H14">
        <v>2.1049323265541742</v>
      </c>
      <c r="I14">
        <v>0.2267799266241485</v>
      </c>
      <c r="J14">
        <v>-13.21</v>
      </c>
      <c r="K14">
        <v>0.74975495431464501</v>
      </c>
      <c r="U14">
        <v>-13.21</v>
      </c>
      <c r="W14">
        <v>0</v>
      </c>
      <c r="Y14">
        <v>2.1049323265541742</v>
      </c>
      <c r="AA14">
        <v>0.2267799266241485</v>
      </c>
    </row>
    <row r="15" spans="1:27" x14ac:dyDescent="0.2">
      <c r="A15" t="s">
        <v>77</v>
      </c>
      <c r="B15" t="s">
        <v>15</v>
      </c>
      <c r="C15" t="s">
        <v>76</v>
      </c>
      <c r="D15">
        <v>242.44</v>
      </c>
      <c r="E15">
        <v>2.7142021332136328</v>
      </c>
      <c r="F15">
        <v>0.27649985925072068</v>
      </c>
      <c r="G15">
        <v>-13.21</v>
      </c>
      <c r="H15">
        <v>2.254267354359782</v>
      </c>
      <c r="I15">
        <v>0.2296456106074817</v>
      </c>
      <c r="J15">
        <v>-13.21</v>
      </c>
      <c r="K15">
        <v>0.83054512660437507</v>
      </c>
      <c r="U15">
        <v>-13.21</v>
      </c>
      <c r="W15">
        <v>0</v>
      </c>
      <c r="Y15">
        <v>2.254267354359782</v>
      </c>
      <c r="AA15">
        <v>0.2296456106074817</v>
      </c>
    </row>
    <row r="16" spans="1:27" x14ac:dyDescent="0.2">
      <c r="A16" t="s">
        <v>78</v>
      </c>
      <c r="B16" t="s">
        <v>16</v>
      </c>
      <c r="C16" t="s">
        <v>16</v>
      </c>
      <c r="D16">
        <v>74.12</v>
      </c>
      <c r="E16">
        <v>12.322661285303219</v>
      </c>
      <c r="F16">
        <v>0.38378533308254331</v>
      </c>
      <c r="G16">
        <v>-13.21</v>
      </c>
      <c r="H16">
        <v>4.0704624012196948</v>
      </c>
      <c r="I16">
        <v>0.20743724212008641</v>
      </c>
      <c r="J16">
        <v>-8.0731625640248375</v>
      </c>
      <c r="K16">
        <v>0.54050330807058611</v>
      </c>
      <c r="U16">
        <v>-8.0731625640248375</v>
      </c>
      <c r="W16">
        <v>0</v>
      </c>
      <c r="Y16">
        <v>4.0704624012196948</v>
      </c>
      <c r="AA16">
        <v>0.20743724212008641</v>
      </c>
    </row>
    <row r="17" spans="1:27" x14ac:dyDescent="0.2">
      <c r="A17" t="s">
        <v>79</v>
      </c>
      <c r="B17" t="s">
        <v>17</v>
      </c>
      <c r="C17" t="s">
        <v>68</v>
      </c>
      <c r="D17">
        <v>89.07</v>
      </c>
      <c r="E17">
        <v>23.870573224058631</v>
      </c>
      <c r="F17">
        <v>0.89339342570062885</v>
      </c>
      <c r="G17">
        <v>-13.21</v>
      </c>
      <c r="H17">
        <v>23.876767080045191</v>
      </c>
      <c r="I17">
        <v>0.89362524041937019</v>
      </c>
      <c r="J17">
        <v>-13.21</v>
      </c>
      <c r="K17">
        <v>1.0002594766337789</v>
      </c>
      <c r="U17">
        <v>-13.21</v>
      </c>
      <c r="W17">
        <v>0</v>
      </c>
      <c r="Y17">
        <v>23.876767080045191</v>
      </c>
      <c r="AA17">
        <v>0.89362524041937019</v>
      </c>
    </row>
    <row r="18" spans="1:27" x14ac:dyDescent="0.2">
      <c r="A18" t="s">
        <v>80</v>
      </c>
      <c r="B18" t="s">
        <v>18</v>
      </c>
      <c r="C18" t="s">
        <v>81</v>
      </c>
      <c r="D18">
        <v>140.09</v>
      </c>
      <c r="E18">
        <v>10.445891655384971</v>
      </c>
      <c r="F18">
        <v>0.61489520168519451</v>
      </c>
      <c r="G18">
        <v>-13.21</v>
      </c>
      <c r="H18">
        <v>8.467285466651143</v>
      </c>
      <c r="I18">
        <v>0.49842496710738587</v>
      </c>
      <c r="J18">
        <v>-13.21</v>
      </c>
      <c r="K18">
        <v>0.81058522776140085</v>
      </c>
      <c r="U18">
        <v>-13.21</v>
      </c>
      <c r="W18">
        <v>0</v>
      </c>
      <c r="Y18">
        <v>8.467285466651143</v>
      </c>
      <c r="AA18">
        <v>0.49842496710738587</v>
      </c>
    </row>
    <row r="19" spans="1:27" x14ac:dyDescent="0.2">
      <c r="A19" t="s">
        <v>82</v>
      </c>
      <c r="B19" t="s">
        <v>19</v>
      </c>
      <c r="C19" t="s">
        <v>83</v>
      </c>
      <c r="D19">
        <v>272.25</v>
      </c>
      <c r="E19">
        <v>4.0973556628368009</v>
      </c>
      <c r="F19">
        <v>0.46872703561334372</v>
      </c>
      <c r="G19">
        <v>-13.21</v>
      </c>
      <c r="H19">
        <v>3.607513493765969</v>
      </c>
      <c r="I19">
        <v>0.41269034104238311</v>
      </c>
      <c r="J19">
        <v>-13.21</v>
      </c>
      <c r="K19">
        <v>0.88044919470532601</v>
      </c>
      <c r="U19">
        <v>-13.21</v>
      </c>
      <c r="W19">
        <v>0</v>
      </c>
      <c r="Y19">
        <v>3.607513493765969</v>
      </c>
      <c r="AA19">
        <v>0.41269034104238311</v>
      </c>
    </row>
    <row r="20" spans="1:27" x14ac:dyDescent="0.2">
      <c r="A20" t="s">
        <v>84</v>
      </c>
      <c r="B20" t="s">
        <v>85</v>
      </c>
      <c r="C20" t="s">
        <v>86</v>
      </c>
      <c r="D20">
        <v>268.5</v>
      </c>
      <c r="E20">
        <v>9.3318266960127766E-2</v>
      </c>
      <c r="F20">
        <v>0.21986804423741491</v>
      </c>
      <c r="G20">
        <v>-0.33292500000000003</v>
      </c>
      <c r="H20">
        <v>7.5888249039581995E-2</v>
      </c>
      <c r="I20">
        <v>0.17880101549746921</v>
      </c>
      <c r="J20">
        <v>-0.33292500000000003</v>
      </c>
      <c r="K20">
        <v>0.81321965689747411</v>
      </c>
      <c r="L20">
        <v>2.7199999999999998E-2</v>
      </c>
      <c r="M20">
        <v>2.8000000000000001E-2</v>
      </c>
      <c r="N20" t="s">
        <v>87</v>
      </c>
      <c r="O20" t="s">
        <v>88</v>
      </c>
      <c r="P20" t="s">
        <v>89</v>
      </c>
      <c r="Q20">
        <v>5.1385852697487392E-3</v>
      </c>
      <c r="R20">
        <v>1000</v>
      </c>
      <c r="S20" t="s">
        <v>90</v>
      </c>
      <c r="U20">
        <v>-0.33292500000000003</v>
      </c>
      <c r="W20">
        <v>0</v>
      </c>
      <c r="Y20">
        <v>7.5888249039581995E-2</v>
      </c>
      <c r="AA20">
        <v>0.17880101549746921</v>
      </c>
    </row>
    <row r="21" spans="1:27" x14ac:dyDescent="0.2">
      <c r="A21" t="s">
        <v>91</v>
      </c>
      <c r="B21" t="s">
        <v>92</v>
      </c>
      <c r="C21" t="s">
        <v>93</v>
      </c>
      <c r="D21">
        <v>242.44</v>
      </c>
      <c r="E21">
        <v>0.10656278805631</v>
      </c>
      <c r="F21">
        <v>0.2267049529275405</v>
      </c>
      <c r="G21">
        <v>-0.33292500000000003</v>
      </c>
      <c r="H21">
        <v>8.5642880186783996E-2</v>
      </c>
      <c r="I21">
        <v>0.1821992974795687</v>
      </c>
      <c r="J21">
        <v>-0.33292500000000003</v>
      </c>
      <c r="K21">
        <v>0.80368467969821233</v>
      </c>
      <c r="L21">
        <v>3.5999999999999999E-3</v>
      </c>
      <c r="M21">
        <v>6.0000000000000001E-3</v>
      </c>
      <c r="N21" t="s">
        <v>87</v>
      </c>
      <c r="O21" t="s">
        <v>88</v>
      </c>
      <c r="P21" t="s">
        <v>89</v>
      </c>
      <c r="Q21">
        <v>7.5321191079101601E-4</v>
      </c>
      <c r="R21">
        <v>1000</v>
      </c>
      <c r="U21">
        <v>-0.33292500000000003</v>
      </c>
      <c r="W21">
        <v>0</v>
      </c>
      <c r="Y21">
        <v>8.5642880186783996E-2</v>
      </c>
      <c r="AA21">
        <v>0.1821992974795687</v>
      </c>
    </row>
    <row r="22" spans="1:27" x14ac:dyDescent="0.2">
      <c r="A22" t="s">
        <v>94</v>
      </c>
      <c r="B22" t="s">
        <v>20</v>
      </c>
      <c r="C22" t="s">
        <v>95</v>
      </c>
      <c r="D22">
        <v>103.1</v>
      </c>
      <c r="E22">
        <v>14.808932885465831</v>
      </c>
      <c r="F22">
        <v>0.64155055041603659</v>
      </c>
      <c r="G22">
        <v>-13.21</v>
      </c>
      <c r="H22">
        <v>12.31217385884495</v>
      </c>
      <c r="I22">
        <v>0.53338629981315155</v>
      </c>
      <c r="J22">
        <v>-13.21</v>
      </c>
      <c r="K22">
        <v>0.83140182713156119</v>
      </c>
      <c r="U22">
        <v>-13.21</v>
      </c>
      <c r="W22">
        <v>0</v>
      </c>
      <c r="Y22">
        <v>12.31217385884495</v>
      </c>
      <c r="AA22">
        <v>0.53338629981315155</v>
      </c>
    </row>
    <row r="23" spans="1:27" x14ac:dyDescent="0.2">
      <c r="A23" t="s">
        <v>96</v>
      </c>
      <c r="B23" t="s">
        <v>21</v>
      </c>
      <c r="C23" t="s">
        <v>97</v>
      </c>
      <c r="D23">
        <v>329.4</v>
      </c>
      <c r="E23">
        <v>2.6909507474652701</v>
      </c>
      <c r="F23">
        <v>0.37245841904425531</v>
      </c>
      <c r="G23">
        <v>-13.21</v>
      </c>
      <c r="H23">
        <v>2.4225961576657959</v>
      </c>
      <c r="I23">
        <v>0.33531506874171629</v>
      </c>
      <c r="J23">
        <v>-13.21</v>
      </c>
      <c r="K23">
        <v>0.90027517595695528</v>
      </c>
      <c r="U23">
        <v>-13.21</v>
      </c>
      <c r="W23">
        <v>0</v>
      </c>
      <c r="Y23">
        <v>2.4225961576657959</v>
      </c>
      <c r="AA23">
        <v>0.33531506874171629</v>
      </c>
    </row>
    <row r="24" spans="1:27" x14ac:dyDescent="0.2">
      <c r="A24" t="s">
        <v>98</v>
      </c>
      <c r="B24" t="s">
        <v>22</v>
      </c>
      <c r="C24" t="s">
        <v>99</v>
      </c>
      <c r="D24">
        <v>228.24</v>
      </c>
      <c r="E24">
        <v>4.0973556628368044</v>
      </c>
      <c r="F24">
        <v>0.39295595448444309</v>
      </c>
      <c r="G24">
        <v>-13.21</v>
      </c>
      <c r="H24">
        <v>3.607513493765973</v>
      </c>
      <c r="I24">
        <v>0.34597775368049077</v>
      </c>
      <c r="J24">
        <v>-13.21</v>
      </c>
      <c r="K24">
        <v>0.88044919470532645</v>
      </c>
      <c r="U24">
        <v>-13.21</v>
      </c>
      <c r="W24">
        <v>0</v>
      </c>
      <c r="Y24">
        <v>3.607513493765973</v>
      </c>
      <c r="AA24">
        <v>0.34597775368049077</v>
      </c>
    </row>
    <row r="25" spans="1:27" x14ac:dyDescent="0.2">
      <c r="A25" t="s">
        <v>100</v>
      </c>
      <c r="B25" t="s">
        <v>23</v>
      </c>
      <c r="C25" t="s">
        <v>66</v>
      </c>
      <c r="D25">
        <v>246.3</v>
      </c>
      <c r="E25">
        <v>3.0147366254725831</v>
      </c>
      <c r="F25">
        <v>0.3120054934868951</v>
      </c>
      <c r="G25">
        <v>-13.21</v>
      </c>
      <c r="H25">
        <v>2.7185012368904462</v>
      </c>
      <c r="I25">
        <v>0.28134707118164209</v>
      </c>
      <c r="J25">
        <v>-13.21</v>
      </c>
      <c r="K25">
        <v>0.90173755608395811</v>
      </c>
      <c r="U25">
        <v>-13.21</v>
      </c>
      <c r="W25">
        <v>0</v>
      </c>
      <c r="Y25">
        <v>2.7185012368904462</v>
      </c>
      <c r="AA25">
        <v>0.28134707118164209</v>
      </c>
    </row>
    <row r="26" spans="1:27" x14ac:dyDescent="0.2">
      <c r="A26" t="s">
        <v>101</v>
      </c>
      <c r="B26" t="s">
        <v>102</v>
      </c>
      <c r="C26" t="s">
        <v>102</v>
      </c>
      <c r="D26">
        <v>174.15</v>
      </c>
      <c r="E26">
        <v>9.7358172913843202</v>
      </c>
      <c r="F26">
        <v>0.71243352123448578</v>
      </c>
      <c r="G26">
        <v>-13.21</v>
      </c>
      <c r="H26">
        <v>8.4926582683919278</v>
      </c>
      <c r="I26">
        <v>0.62146343277682103</v>
      </c>
      <c r="J26">
        <v>-13.21</v>
      </c>
      <c r="K26">
        <v>0.87231076901037141</v>
      </c>
      <c r="U26">
        <v>-13.21</v>
      </c>
      <c r="W26">
        <v>0</v>
      </c>
      <c r="Y26">
        <v>8.4926582683919278</v>
      </c>
      <c r="AA26">
        <v>0.62146343277682103</v>
      </c>
    </row>
    <row r="27" spans="1:27" x14ac:dyDescent="0.2">
      <c r="A27" t="s">
        <v>103</v>
      </c>
      <c r="B27" t="s">
        <v>104</v>
      </c>
      <c r="C27" t="s">
        <v>105</v>
      </c>
      <c r="D27">
        <v>270.5</v>
      </c>
      <c r="E27">
        <v>9.4665498918166155E-2</v>
      </c>
      <c r="F27">
        <v>0.22470366502813599</v>
      </c>
      <c r="G27">
        <v>-0.33292500000000003</v>
      </c>
      <c r="H27">
        <v>7.6106935802289999E-2</v>
      </c>
      <c r="I27">
        <v>0.18065195455864089</v>
      </c>
      <c r="J27">
        <v>-0.33292500000000003</v>
      </c>
      <c r="K27">
        <v>0.80395642205489071</v>
      </c>
      <c r="L27">
        <v>6.0000000000000001E-3</v>
      </c>
      <c r="M27">
        <v>9.1999999999999998E-3</v>
      </c>
      <c r="N27" t="s">
        <v>87</v>
      </c>
      <c r="O27" t="s">
        <v>88</v>
      </c>
      <c r="P27" t="s">
        <v>89</v>
      </c>
      <c r="Q27">
        <v>1.1251305955155509E-3</v>
      </c>
      <c r="R27">
        <v>1000</v>
      </c>
      <c r="U27">
        <v>-0.33292500000000003</v>
      </c>
      <c r="W27">
        <v>0</v>
      </c>
      <c r="Y27">
        <v>7.6106935802289999E-2</v>
      </c>
      <c r="AA27">
        <v>0.18065195455864089</v>
      </c>
    </row>
    <row r="28" spans="1:27" x14ac:dyDescent="0.2">
      <c r="A28" t="s">
        <v>106</v>
      </c>
      <c r="B28" t="s">
        <v>25</v>
      </c>
      <c r="C28" t="s">
        <v>58</v>
      </c>
      <c r="D28">
        <v>104.15</v>
      </c>
      <c r="E28">
        <v>6.8571191368445934</v>
      </c>
      <c r="F28">
        <v>0.30008854724020262</v>
      </c>
      <c r="G28">
        <v>-13.21</v>
      </c>
      <c r="H28">
        <v>6.320270466549986</v>
      </c>
      <c r="I28">
        <v>0.27659440424202852</v>
      </c>
      <c r="J28">
        <v>-13.21</v>
      </c>
      <c r="K28">
        <v>0.92170929809137814</v>
      </c>
      <c r="U28">
        <v>-13.21</v>
      </c>
      <c r="W28">
        <v>0</v>
      </c>
      <c r="Y28">
        <v>6.320270466549986</v>
      </c>
      <c r="AA28">
        <v>0.27659440424202852</v>
      </c>
    </row>
    <row r="29" spans="1:27" x14ac:dyDescent="0.2">
      <c r="A29" t="s">
        <v>107</v>
      </c>
      <c r="B29" t="s">
        <v>108</v>
      </c>
      <c r="C29" t="s">
        <v>108</v>
      </c>
      <c r="D29">
        <v>824.3</v>
      </c>
      <c r="E29">
        <v>0.12242826594662461</v>
      </c>
      <c r="F29">
        <v>0.25449082426997949</v>
      </c>
      <c r="G29">
        <v>-2.2011337271575702</v>
      </c>
      <c r="H29">
        <v>0.119602973240655</v>
      </c>
      <c r="I29">
        <v>0.248617907064245</v>
      </c>
      <c r="J29">
        <v>-2.2011337271575711</v>
      </c>
      <c r="K29">
        <v>0.97692287247455256</v>
      </c>
      <c r="L29">
        <v>0.129384</v>
      </c>
      <c r="M29">
        <v>0.14680000000000001</v>
      </c>
      <c r="N29" t="s">
        <v>109</v>
      </c>
      <c r="O29" t="s">
        <v>110</v>
      </c>
      <c r="P29" t="s">
        <v>111</v>
      </c>
      <c r="U29">
        <v>-2.2011337271575711</v>
      </c>
      <c r="W29">
        <v>0</v>
      </c>
      <c r="Y29">
        <v>0.119602973240655</v>
      </c>
      <c r="AA29">
        <v>0.248617907064245</v>
      </c>
    </row>
    <row r="30" spans="1:27" x14ac:dyDescent="0.2">
      <c r="A30" t="s">
        <v>112</v>
      </c>
      <c r="B30" t="s">
        <v>113</v>
      </c>
      <c r="C30" t="s">
        <v>114</v>
      </c>
      <c r="D30">
        <v>126.11004</v>
      </c>
      <c r="E30">
        <v>7.8799223816779611E-3</v>
      </c>
      <c r="F30">
        <v>7.4505307310031091E-2</v>
      </c>
      <c r="G30">
        <v>-7.8476895921783002E-2</v>
      </c>
      <c r="L30">
        <v>0.11450973051259671</v>
      </c>
      <c r="M30">
        <v>0.1208420658404822</v>
      </c>
      <c r="N30" t="s">
        <v>115</v>
      </c>
      <c r="O30" t="s">
        <v>116</v>
      </c>
      <c r="P30" t="s">
        <v>117</v>
      </c>
      <c r="Q30">
        <v>1.113301928416149E-2</v>
      </c>
      <c r="R30">
        <v>1.278064790097615E-2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ECAE9-B0FE-E440-A04A-3EA6446A17DA}">
  <sheetPr codeName="Sheet3"/>
  <dimension ref="A1:AG30"/>
  <sheetViews>
    <sheetView workbookViewId="0">
      <selection activeCell="C11" sqref="C11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4" width="80.6640625" bestFit="1" customWidth="1"/>
    <col min="15" max="15" width="19.5" bestFit="1" customWidth="1"/>
    <col min="16" max="16" width="13.16406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  <col min="28" max="28" width="37.83203125" bestFit="1" customWidth="1"/>
    <col min="29" max="29" width="41.83203125" bestFit="1" customWidth="1"/>
    <col min="30" max="30" width="37.83203125" bestFit="1" customWidth="1"/>
    <col min="31" max="31" width="41.83203125" bestFit="1" customWidth="1"/>
    <col min="32" max="33" width="42" bestFit="1" customWidth="1"/>
  </cols>
  <sheetData>
    <row r="1" spans="1:33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128</v>
      </c>
      <c r="AC1" t="s">
        <v>129</v>
      </c>
      <c r="AD1" t="s">
        <v>130</v>
      </c>
      <c r="AE1" t="s">
        <v>131</v>
      </c>
      <c r="AF1" t="s">
        <v>132</v>
      </c>
      <c r="AG1" t="s">
        <v>133</v>
      </c>
    </row>
    <row r="2" spans="1:33" x14ac:dyDescent="0.2">
      <c r="A2" t="s">
        <v>54</v>
      </c>
      <c r="B2" t="s">
        <v>5</v>
      </c>
      <c r="C2" t="s">
        <v>55</v>
      </c>
      <c r="D2">
        <v>76.09</v>
      </c>
      <c r="E2">
        <v>17.813822120239621</v>
      </c>
      <c r="F2">
        <v>0.56955169307007392</v>
      </c>
      <c r="G2">
        <v>-13.21</v>
      </c>
      <c r="H2">
        <v>10.335949104607826</v>
      </c>
      <c r="I2">
        <v>0.33046570647671403</v>
      </c>
      <c r="J2">
        <v>-13.21</v>
      </c>
      <c r="K2">
        <v>0.58022074290639614</v>
      </c>
      <c r="N2" t="s">
        <v>56</v>
      </c>
      <c r="O2" t="s">
        <v>56</v>
      </c>
      <c r="P2" t="s">
        <v>56</v>
      </c>
      <c r="S2" t="s">
        <v>56</v>
      </c>
      <c r="T2" t="s">
        <v>56</v>
      </c>
      <c r="U2">
        <v>-13.21</v>
      </c>
      <c r="V2" t="s">
        <v>56</v>
      </c>
      <c r="W2">
        <v>0</v>
      </c>
      <c r="X2" t="s">
        <v>56</v>
      </c>
      <c r="Y2">
        <v>10.335949104607826</v>
      </c>
      <c r="Z2" t="s">
        <v>56</v>
      </c>
      <c r="AA2">
        <v>0.33046570647671403</v>
      </c>
      <c r="AB2" t="s">
        <v>56</v>
      </c>
      <c r="AD2" t="s">
        <v>56</v>
      </c>
    </row>
    <row r="3" spans="1:33" x14ac:dyDescent="0.2">
      <c r="A3" t="s">
        <v>57</v>
      </c>
      <c r="B3" t="s">
        <v>6</v>
      </c>
      <c r="C3" t="s">
        <v>58</v>
      </c>
      <c r="D3">
        <v>122.16</v>
      </c>
      <c r="E3">
        <v>6.9413700508290495</v>
      </c>
      <c r="F3">
        <v>0.35630562075794581</v>
      </c>
      <c r="G3">
        <v>-13.21</v>
      </c>
      <c r="H3">
        <v>3.7668238825281262</v>
      </c>
      <c r="I3">
        <v>0.19335383532675074</v>
      </c>
      <c r="J3">
        <v>-13.21</v>
      </c>
      <c r="K3">
        <v>0.54266288282357622</v>
      </c>
      <c r="L3">
        <v>0.08</v>
      </c>
      <c r="N3" t="s">
        <v>56</v>
      </c>
      <c r="O3" t="s">
        <v>56</v>
      </c>
      <c r="P3" t="s">
        <v>56</v>
      </c>
      <c r="S3" t="s">
        <v>56</v>
      </c>
      <c r="T3" t="s">
        <v>56</v>
      </c>
      <c r="U3">
        <v>-13.21</v>
      </c>
      <c r="V3" t="s">
        <v>56</v>
      </c>
      <c r="W3">
        <v>0</v>
      </c>
      <c r="X3" t="s">
        <v>56</v>
      </c>
      <c r="Y3">
        <v>3.7668238825281262</v>
      </c>
      <c r="Z3" t="s">
        <v>56</v>
      </c>
      <c r="AA3">
        <v>0.19335383532675074</v>
      </c>
      <c r="AB3" t="s">
        <v>56</v>
      </c>
      <c r="AD3" t="s">
        <v>56</v>
      </c>
    </row>
    <row r="4" spans="1:33" x14ac:dyDescent="0.2">
      <c r="A4" t="s">
        <v>59</v>
      </c>
      <c r="B4" t="s">
        <v>7</v>
      </c>
      <c r="C4" t="s">
        <v>60</v>
      </c>
      <c r="D4">
        <v>90.08</v>
      </c>
      <c r="E4">
        <v>20.066144455531553</v>
      </c>
      <c r="F4">
        <v>0.75952270945224643</v>
      </c>
      <c r="G4">
        <v>-13.21</v>
      </c>
      <c r="H4">
        <v>4.7910778079307539</v>
      </c>
      <c r="I4">
        <v>0.18134686541005965</v>
      </c>
      <c r="J4">
        <v>-13.21</v>
      </c>
      <c r="K4">
        <v>0.23876424385104117</v>
      </c>
      <c r="L4">
        <v>0.13</v>
      </c>
      <c r="N4" t="s">
        <v>56</v>
      </c>
      <c r="O4" t="s">
        <v>56</v>
      </c>
      <c r="P4" t="s">
        <v>56</v>
      </c>
      <c r="S4" t="s">
        <v>56</v>
      </c>
      <c r="T4" t="s">
        <v>56</v>
      </c>
      <c r="U4">
        <v>-13.21</v>
      </c>
      <c r="V4" t="s">
        <v>56</v>
      </c>
      <c r="W4">
        <v>0</v>
      </c>
      <c r="X4" t="s">
        <v>56</v>
      </c>
      <c r="Y4">
        <v>4.7910778079307539</v>
      </c>
      <c r="Z4" t="s">
        <v>56</v>
      </c>
      <c r="AA4">
        <v>0.18134686541005965</v>
      </c>
      <c r="AB4" t="s">
        <v>56</v>
      </c>
      <c r="AD4" t="s">
        <v>56</v>
      </c>
    </row>
    <row r="5" spans="1:33" x14ac:dyDescent="0.2">
      <c r="A5" t="s">
        <v>61</v>
      </c>
      <c r="B5" t="s">
        <v>7</v>
      </c>
      <c r="C5" t="s">
        <v>62</v>
      </c>
      <c r="D5">
        <v>90.08</v>
      </c>
      <c r="E5">
        <v>22.340892507774797</v>
      </c>
      <c r="F5">
        <v>0.84562409319289489</v>
      </c>
      <c r="G5">
        <v>-13.21</v>
      </c>
      <c r="H5">
        <v>8.275594561880407</v>
      </c>
      <c r="I5">
        <v>0.31323914855177792</v>
      </c>
      <c r="J5">
        <v>-13.21</v>
      </c>
      <c r="K5">
        <v>0.37042363276222912</v>
      </c>
      <c r="L5">
        <v>0.14000000000000001</v>
      </c>
      <c r="N5" t="s">
        <v>56</v>
      </c>
      <c r="O5" t="s">
        <v>56</v>
      </c>
      <c r="P5" t="s">
        <v>56</v>
      </c>
      <c r="S5" t="s">
        <v>56</v>
      </c>
      <c r="T5" t="s">
        <v>56</v>
      </c>
      <c r="U5">
        <v>-13.21</v>
      </c>
      <c r="V5" t="s">
        <v>56</v>
      </c>
      <c r="W5">
        <v>0</v>
      </c>
      <c r="X5" t="s">
        <v>56</v>
      </c>
      <c r="Y5">
        <v>8.275594561880407</v>
      </c>
      <c r="Z5" t="s">
        <v>56</v>
      </c>
      <c r="AA5">
        <v>0.31323914855177792</v>
      </c>
      <c r="AB5" t="s">
        <v>56</v>
      </c>
      <c r="AD5" t="s">
        <v>56</v>
      </c>
    </row>
    <row r="6" spans="1:33" x14ac:dyDescent="0.2">
      <c r="A6" t="s">
        <v>59</v>
      </c>
      <c r="B6" t="s">
        <v>7</v>
      </c>
      <c r="C6" t="s">
        <v>60</v>
      </c>
      <c r="D6">
        <v>90.08</v>
      </c>
      <c r="E6">
        <v>20.066144455531553</v>
      </c>
      <c r="F6">
        <v>0.75952270945224643</v>
      </c>
      <c r="G6">
        <v>-13.21</v>
      </c>
      <c r="H6">
        <v>4.7910778079307539</v>
      </c>
      <c r="I6">
        <v>0.18134686541005965</v>
      </c>
      <c r="J6">
        <v>-13.21</v>
      </c>
      <c r="K6">
        <v>0.23876424385104117</v>
      </c>
      <c r="L6">
        <v>0.13</v>
      </c>
      <c r="N6" t="s">
        <v>56</v>
      </c>
      <c r="O6" t="s">
        <v>56</v>
      </c>
      <c r="P6" t="s">
        <v>56</v>
      </c>
      <c r="S6" t="s">
        <v>56</v>
      </c>
      <c r="T6" t="s">
        <v>56</v>
      </c>
      <c r="U6">
        <v>-13.21</v>
      </c>
      <c r="V6" t="s">
        <v>56</v>
      </c>
      <c r="W6">
        <v>0</v>
      </c>
      <c r="X6" t="s">
        <v>56</v>
      </c>
      <c r="Y6">
        <v>4.7910778079307539</v>
      </c>
      <c r="Z6" t="s">
        <v>56</v>
      </c>
      <c r="AA6">
        <v>0.18134686541005965</v>
      </c>
      <c r="AB6" t="s">
        <v>56</v>
      </c>
      <c r="AD6" t="s">
        <v>56</v>
      </c>
    </row>
    <row r="7" spans="1:33" x14ac:dyDescent="0.2">
      <c r="A7" t="s">
        <v>61</v>
      </c>
      <c r="B7" t="s">
        <v>7</v>
      </c>
      <c r="C7" t="s">
        <v>62</v>
      </c>
      <c r="D7">
        <v>90.08</v>
      </c>
      <c r="E7">
        <v>22.340892507774797</v>
      </c>
      <c r="F7">
        <v>0.84562409319289489</v>
      </c>
      <c r="G7">
        <v>-13.21</v>
      </c>
      <c r="H7">
        <v>8.275594561880407</v>
      </c>
      <c r="I7">
        <v>0.31323914855177792</v>
      </c>
      <c r="J7">
        <v>-13.21</v>
      </c>
      <c r="K7">
        <v>0.37042363276222912</v>
      </c>
      <c r="L7">
        <v>0.14000000000000001</v>
      </c>
      <c r="N7" t="s">
        <v>56</v>
      </c>
      <c r="O7" t="s">
        <v>56</v>
      </c>
      <c r="P7" t="s">
        <v>56</v>
      </c>
      <c r="S7" t="s">
        <v>56</v>
      </c>
      <c r="T7" t="s">
        <v>56</v>
      </c>
      <c r="U7">
        <v>-13.21</v>
      </c>
      <c r="V7" t="s">
        <v>56</v>
      </c>
      <c r="W7">
        <v>0</v>
      </c>
      <c r="X7" t="s">
        <v>56</v>
      </c>
      <c r="Y7">
        <v>8.275594561880407</v>
      </c>
      <c r="Z7" t="s">
        <v>56</v>
      </c>
      <c r="AA7">
        <v>0.31323914855177792</v>
      </c>
      <c r="AB7" t="s">
        <v>56</v>
      </c>
      <c r="AD7" t="s">
        <v>56</v>
      </c>
    </row>
    <row r="8" spans="1:33" x14ac:dyDescent="0.2">
      <c r="A8" t="s">
        <v>63</v>
      </c>
      <c r="B8" t="s">
        <v>8</v>
      </c>
      <c r="C8" t="s">
        <v>64</v>
      </c>
      <c r="D8">
        <v>137.11000000000001</v>
      </c>
      <c r="E8">
        <v>9.0559519314012622</v>
      </c>
      <c r="F8">
        <v>0.52173706553925747</v>
      </c>
      <c r="G8">
        <v>-13.21</v>
      </c>
      <c r="H8">
        <v>3.2026352675428469</v>
      </c>
      <c r="I8">
        <v>0.18451219034041294</v>
      </c>
      <c r="J8">
        <v>-13.21</v>
      </c>
      <c r="K8">
        <v>0.35364976446460566</v>
      </c>
      <c r="L8">
        <v>7.0000000000000007E-2</v>
      </c>
      <c r="N8" t="s">
        <v>56</v>
      </c>
      <c r="O8" t="s">
        <v>56</v>
      </c>
      <c r="P8" t="s">
        <v>56</v>
      </c>
      <c r="S8" t="s">
        <v>56</v>
      </c>
      <c r="T8" t="s">
        <v>56</v>
      </c>
      <c r="U8">
        <v>-13.21</v>
      </c>
      <c r="V8" t="s">
        <v>56</v>
      </c>
      <c r="W8">
        <v>0</v>
      </c>
      <c r="X8" t="s">
        <v>56</v>
      </c>
      <c r="Y8">
        <v>3.2026352675428469</v>
      </c>
      <c r="Z8" t="s">
        <v>56</v>
      </c>
      <c r="AA8">
        <v>0.18451219034041294</v>
      </c>
      <c r="AB8" t="s">
        <v>56</v>
      </c>
      <c r="AD8" t="s">
        <v>56</v>
      </c>
    </row>
    <row r="9" spans="1:33" x14ac:dyDescent="0.2">
      <c r="A9" t="s">
        <v>65</v>
      </c>
      <c r="B9" t="s">
        <v>9</v>
      </c>
      <c r="C9" t="s">
        <v>66</v>
      </c>
      <c r="D9">
        <v>234.33</v>
      </c>
      <c r="E9">
        <v>2.8446976553765069</v>
      </c>
      <c r="F9">
        <v>0.28009958094538978</v>
      </c>
      <c r="G9">
        <v>-13.21</v>
      </c>
      <c r="H9">
        <v>1.2690645450250599</v>
      </c>
      <c r="I9">
        <v>0.12495684614578978</v>
      </c>
      <c r="J9">
        <v>-13.21</v>
      </c>
      <c r="K9">
        <v>0.44611579111984556</v>
      </c>
      <c r="N9" t="s">
        <v>56</v>
      </c>
      <c r="O9" t="s">
        <v>56</v>
      </c>
      <c r="P9" t="s">
        <v>56</v>
      </c>
      <c r="S9" t="s">
        <v>56</v>
      </c>
      <c r="T9" t="s">
        <v>56</v>
      </c>
      <c r="U9">
        <v>-13.21</v>
      </c>
      <c r="V9" t="s">
        <v>56</v>
      </c>
      <c r="W9">
        <v>0</v>
      </c>
      <c r="X9" t="s">
        <v>56</v>
      </c>
      <c r="Y9">
        <v>1.2690645450250599</v>
      </c>
      <c r="Z9" t="s">
        <v>56</v>
      </c>
      <c r="AA9">
        <v>0.12495684614578978</v>
      </c>
      <c r="AB9" t="s">
        <v>56</v>
      </c>
      <c r="AD9" t="s">
        <v>56</v>
      </c>
    </row>
    <row r="10" spans="1:33" x14ac:dyDescent="0.2">
      <c r="A10" t="s">
        <v>67</v>
      </c>
      <c r="B10" t="s">
        <v>10</v>
      </c>
      <c r="C10" t="s">
        <v>68</v>
      </c>
      <c r="D10">
        <v>90.12</v>
      </c>
      <c r="E10">
        <v>12.894437846372293</v>
      </c>
      <c r="F10">
        <v>0.48828349886951838</v>
      </c>
      <c r="G10">
        <v>-13.21</v>
      </c>
      <c r="H10">
        <v>12.861045135425362</v>
      </c>
      <c r="I10">
        <v>0.48701899165081142</v>
      </c>
      <c r="J10">
        <v>-13.21</v>
      </c>
      <c r="K10">
        <v>0.99741030114342477</v>
      </c>
      <c r="L10">
        <v>0.11</v>
      </c>
      <c r="N10" t="s">
        <v>56</v>
      </c>
      <c r="O10" t="s">
        <v>56</v>
      </c>
      <c r="P10" t="s">
        <v>56</v>
      </c>
      <c r="S10" t="s">
        <v>56</v>
      </c>
      <c r="T10" t="s">
        <v>56</v>
      </c>
      <c r="U10">
        <v>-13.21</v>
      </c>
      <c r="V10" t="s">
        <v>56</v>
      </c>
      <c r="W10">
        <v>0</v>
      </c>
      <c r="X10" t="s">
        <v>56</v>
      </c>
      <c r="Y10">
        <v>12.861045135425362</v>
      </c>
      <c r="Z10" t="s">
        <v>56</v>
      </c>
      <c r="AA10">
        <v>0.48701899165081142</v>
      </c>
      <c r="AB10" t="s">
        <v>56</v>
      </c>
      <c r="AD10" t="s">
        <v>56</v>
      </c>
    </row>
    <row r="11" spans="1:33" x14ac:dyDescent="0.2">
      <c r="A11" t="s">
        <v>69</v>
      </c>
      <c r="B11" t="s">
        <v>11</v>
      </c>
      <c r="C11" t="s">
        <v>70</v>
      </c>
      <c r="D11">
        <v>74.12</v>
      </c>
      <c r="E11">
        <v>11.197872956736564</v>
      </c>
      <c r="F11">
        <v>0.34875416137930448</v>
      </c>
      <c r="G11">
        <v>-13.21</v>
      </c>
      <c r="H11">
        <v>8.7880494711217061</v>
      </c>
      <c r="I11">
        <v>0.27370098190094988</v>
      </c>
      <c r="J11">
        <v>-13.21</v>
      </c>
      <c r="K11">
        <v>0.78479631846822073</v>
      </c>
      <c r="L11">
        <v>0.04</v>
      </c>
      <c r="N11" t="s">
        <v>56</v>
      </c>
      <c r="O11" t="s">
        <v>56</v>
      </c>
      <c r="P11" t="s">
        <v>56</v>
      </c>
      <c r="S11" t="s">
        <v>56</v>
      </c>
      <c r="T11" t="s">
        <v>56</v>
      </c>
      <c r="U11">
        <v>-13.21</v>
      </c>
      <c r="V11" t="s">
        <v>56</v>
      </c>
      <c r="W11">
        <v>0</v>
      </c>
      <c r="X11" t="s">
        <v>56</v>
      </c>
      <c r="Y11">
        <v>8.7880494711217061</v>
      </c>
      <c r="Z11" t="s">
        <v>56</v>
      </c>
      <c r="AA11">
        <v>0.27370098190094988</v>
      </c>
      <c r="AB11" t="s">
        <v>56</v>
      </c>
      <c r="AD11" t="s">
        <v>56</v>
      </c>
    </row>
    <row r="12" spans="1:33" x14ac:dyDescent="0.2">
      <c r="A12" t="s">
        <v>71</v>
      </c>
      <c r="B12" t="s">
        <v>12</v>
      </c>
      <c r="C12" t="s">
        <v>72</v>
      </c>
      <c r="D12">
        <v>146.1</v>
      </c>
      <c r="E12">
        <v>12.489371088802157</v>
      </c>
      <c r="F12">
        <v>0.76672431712937483</v>
      </c>
      <c r="G12">
        <v>-13.21</v>
      </c>
      <c r="H12">
        <v>4.9848586034345903</v>
      </c>
      <c r="I12">
        <v>0.30602119846784381</v>
      </c>
      <c r="J12">
        <v>-13.21</v>
      </c>
      <c r="K12">
        <v>0.39912807202149386</v>
      </c>
      <c r="N12" t="s">
        <v>56</v>
      </c>
      <c r="O12" t="s">
        <v>56</v>
      </c>
      <c r="P12" t="s">
        <v>56</v>
      </c>
      <c r="S12" t="s">
        <v>56</v>
      </c>
      <c r="T12" t="s">
        <v>56</v>
      </c>
      <c r="U12">
        <v>-13.21</v>
      </c>
      <c r="V12" t="s">
        <v>56</v>
      </c>
      <c r="W12">
        <v>0</v>
      </c>
      <c r="X12" t="s">
        <v>56</v>
      </c>
      <c r="Y12">
        <v>4.9848586034345903</v>
      </c>
      <c r="Z12" t="s">
        <v>56</v>
      </c>
      <c r="AA12">
        <v>0.30602119846784381</v>
      </c>
      <c r="AB12" t="s">
        <v>56</v>
      </c>
      <c r="AD12" t="s">
        <v>56</v>
      </c>
    </row>
    <row r="13" spans="1:33" x14ac:dyDescent="0.2">
      <c r="A13" t="s">
        <v>73</v>
      </c>
      <c r="B13" t="s">
        <v>13</v>
      </c>
      <c r="C13" t="s">
        <v>74</v>
      </c>
      <c r="D13">
        <v>163.15</v>
      </c>
      <c r="E13">
        <v>7.0962042261573002</v>
      </c>
      <c r="F13">
        <v>0.4864762422056842</v>
      </c>
      <c r="G13">
        <v>-13.21</v>
      </c>
      <c r="H13">
        <v>3.0884059099288108</v>
      </c>
      <c r="I13">
        <v>0.21172390951346476</v>
      </c>
      <c r="J13">
        <v>-13.21</v>
      </c>
      <c r="K13">
        <v>0.43521942315930612</v>
      </c>
      <c r="L13">
        <v>0.15</v>
      </c>
      <c r="N13" t="s">
        <v>56</v>
      </c>
      <c r="O13" t="s">
        <v>56</v>
      </c>
      <c r="P13" t="s">
        <v>56</v>
      </c>
      <c r="S13" t="s">
        <v>56</v>
      </c>
      <c r="T13" t="s">
        <v>56</v>
      </c>
      <c r="U13">
        <v>-13.21</v>
      </c>
      <c r="V13" t="s">
        <v>56</v>
      </c>
      <c r="W13">
        <v>0</v>
      </c>
      <c r="X13" t="s">
        <v>56</v>
      </c>
      <c r="Y13">
        <v>3.0884059099288108</v>
      </c>
      <c r="Z13" t="s">
        <v>56</v>
      </c>
      <c r="AA13">
        <v>0.21172390951346476</v>
      </c>
      <c r="AB13" t="s">
        <v>56</v>
      </c>
      <c r="AD13" t="s">
        <v>56</v>
      </c>
    </row>
    <row r="14" spans="1:33" x14ac:dyDescent="0.2">
      <c r="A14" t="s">
        <v>75</v>
      </c>
      <c r="B14" t="s">
        <v>14</v>
      </c>
      <c r="C14" t="s">
        <v>76</v>
      </c>
      <c r="D14">
        <v>256.39999999999998</v>
      </c>
      <c r="E14">
        <v>2.7619601403208498</v>
      </c>
      <c r="F14">
        <v>0.29756639206836027</v>
      </c>
      <c r="G14">
        <v>-13.21</v>
      </c>
      <c r="H14">
        <v>0.71664738784718696</v>
      </c>
      <c r="I14">
        <v>7.7209723078092485E-2</v>
      </c>
      <c r="J14">
        <v>-13.21</v>
      </c>
      <c r="K14">
        <v>0.2594705757643323</v>
      </c>
      <c r="L14">
        <v>0.1</v>
      </c>
      <c r="N14" t="s">
        <v>56</v>
      </c>
      <c r="O14" t="s">
        <v>56</v>
      </c>
      <c r="P14" t="s">
        <v>56</v>
      </c>
      <c r="S14" t="s">
        <v>56</v>
      </c>
      <c r="T14" t="s">
        <v>56</v>
      </c>
      <c r="U14">
        <v>-13.21</v>
      </c>
      <c r="V14" t="s">
        <v>56</v>
      </c>
      <c r="W14">
        <v>0</v>
      </c>
      <c r="X14" t="s">
        <v>56</v>
      </c>
      <c r="Y14">
        <v>0.71664738784718696</v>
      </c>
      <c r="Z14" t="s">
        <v>56</v>
      </c>
      <c r="AA14">
        <v>7.7209723078092485E-2</v>
      </c>
      <c r="AB14" t="s">
        <v>56</v>
      </c>
      <c r="AD14" t="s">
        <v>56</v>
      </c>
    </row>
    <row r="15" spans="1:33" x14ac:dyDescent="0.2">
      <c r="A15" t="s">
        <v>77</v>
      </c>
      <c r="B15" t="s">
        <v>15</v>
      </c>
      <c r="C15" t="s">
        <v>76</v>
      </c>
      <c r="D15">
        <v>242.44</v>
      </c>
      <c r="E15">
        <v>2.6771774185616342</v>
      </c>
      <c r="F15">
        <v>0.27272809580510188</v>
      </c>
      <c r="G15">
        <v>-13.21</v>
      </c>
      <c r="H15">
        <v>0.72854506626316795</v>
      </c>
      <c r="I15">
        <v>7.42179831835382E-2</v>
      </c>
      <c r="J15">
        <v>-13.21</v>
      </c>
      <c r="K15">
        <v>0.27213178372563485</v>
      </c>
      <c r="L15">
        <v>5.0000000000000001E-3</v>
      </c>
      <c r="N15" t="s">
        <v>56</v>
      </c>
      <c r="O15" t="s">
        <v>56</v>
      </c>
      <c r="P15" t="s">
        <v>56</v>
      </c>
      <c r="S15" t="s">
        <v>56</v>
      </c>
      <c r="T15" t="s">
        <v>56</v>
      </c>
      <c r="U15">
        <v>-13.21</v>
      </c>
      <c r="V15" t="s">
        <v>56</v>
      </c>
      <c r="W15">
        <v>0</v>
      </c>
      <c r="X15" t="s">
        <v>56</v>
      </c>
      <c r="Y15">
        <v>0.72854506626316795</v>
      </c>
      <c r="Z15" t="s">
        <v>56</v>
      </c>
      <c r="AA15">
        <v>7.42179831835382E-2</v>
      </c>
      <c r="AB15" t="s">
        <v>56</v>
      </c>
      <c r="AD15" t="s">
        <v>56</v>
      </c>
    </row>
    <row r="16" spans="1:33" x14ac:dyDescent="0.2">
      <c r="A16" t="s">
        <v>78</v>
      </c>
      <c r="B16" t="s">
        <v>16</v>
      </c>
      <c r="C16" t="s">
        <v>16</v>
      </c>
      <c r="D16">
        <v>74.12</v>
      </c>
      <c r="E16">
        <v>12.523853802600138</v>
      </c>
      <c r="F16">
        <v>0.39005140949873146</v>
      </c>
      <c r="G16">
        <v>-13.21</v>
      </c>
      <c r="H16">
        <v>12.36449516216495</v>
      </c>
      <c r="I16">
        <v>0.38508823575866102</v>
      </c>
      <c r="J16">
        <v>-13.21</v>
      </c>
      <c r="K16">
        <v>0.98727559080878902</v>
      </c>
      <c r="L16">
        <v>0.06</v>
      </c>
      <c r="N16" t="s">
        <v>56</v>
      </c>
      <c r="O16" t="s">
        <v>56</v>
      </c>
      <c r="P16" t="s">
        <v>56</v>
      </c>
      <c r="S16" t="s">
        <v>56</v>
      </c>
      <c r="T16" t="s">
        <v>56</v>
      </c>
      <c r="U16">
        <v>-13.21</v>
      </c>
      <c r="V16" t="s">
        <v>56</v>
      </c>
      <c r="W16">
        <v>0</v>
      </c>
      <c r="X16" t="s">
        <v>56</v>
      </c>
      <c r="Y16">
        <v>12.36449516216495</v>
      </c>
      <c r="Z16" t="s">
        <v>56</v>
      </c>
      <c r="AA16">
        <v>0.38508823575866102</v>
      </c>
      <c r="AB16" t="s">
        <v>56</v>
      </c>
      <c r="AD16" t="s">
        <v>56</v>
      </c>
    </row>
    <row r="17" spans="1:33" x14ac:dyDescent="0.2">
      <c r="A17" t="s">
        <v>79</v>
      </c>
      <c r="B17" t="s">
        <v>17</v>
      </c>
      <c r="C17" t="s">
        <v>68</v>
      </c>
      <c r="D17">
        <v>89.07</v>
      </c>
      <c r="E17">
        <v>24.246591217100672</v>
      </c>
      <c r="F17">
        <v>0.9074664854372223</v>
      </c>
      <c r="G17">
        <v>-13.21</v>
      </c>
      <c r="H17">
        <v>21.157809618728685</v>
      </c>
      <c r="I17">
        <v>0.79186401759914893</v>
      </c>
      <c r="J17">
        <v>-13.21</v>
      </c>
      <c r="K17">
        <v>0.87260965590109318</v>
      </c>
      <c r="L17">
        <v>0.69</v>
      </c>
      <c r="N17" t="s">
        <v>56</v>
      </c>
      <c r="O17" t="s">
        <v>56</v>
      </c>
      <c r="P17" t="s">
        <v>56</v>
      </c>
      <c r="S17" t="s">
        <v>56</v>
      </c>
      <c r="T17" t="s">
        <v>56</v>
      </c>
      <c r="U17">
        <v>-13.21</v>
      </c>
      <c r="V17" t="s">
        <v>56</v>
      </c>
      <c r="W17">
        <v>0</v>
      </c>
      <c r="X17" t="s">
        <v>56</v>
      </c>
      <c r="Y17">
        <v>21.157809618728685</v>
      </c>
      <c r="Z17" t="s">
        <v>56</v>
      </c>
      <c r="AA17">
        <v>0.79186401759914893</v>
      </c>
      <c r="AB17" t="s">
        <v>56</v>
      </c>
      <c r="AD17" t="s">
        <v>56</v>
      </c>
    </row>
    <row r="18" spans="1:33" x14ac:dyDescent="0.2">
      <c r="A18" t="s">
        <v>80</v>
      </c>
      <c r="B18" t="s">
        <v>18</v>
      </c>
      <c r="C18" t="s">
        <v>81</v>
      </c>
      <c r="D18">
        <v>140.09</v>
      </c>
      <c r="E18">
        <v>10.422415330050786</v>
      </c>
      <c r="F18">
        <v>0.61351327276256895</v>
      </c>
      <c r="G18">
        <v>-13.21</v>
      </c>
      <c r="H18">
        <v>4.8084912300017066</v>
      </c>
      <c r="I18">
        <v>0.28305081865837356</v>
      </c>
      <c r="J18">
        <v>-13.21</v>
      </c>
      <c r="K18">
        <v>0.46136054625816525</v>
      </c>
      <c r="L18">
        <v>7.0000000000000007E-2</v>
      </c>
      <c r="N18" t="s">
        <v>56</v>
      </c>
      <c r="O18" t="s">
        <v>56</v>
      </c>
      <c r="P18" t="s">
        <v>56</v>
      </c>
      <c r="S18" t="s">
        <v>56</v>
      </c>
      <c r="T18" t="s">
        <v>56</v>
      </c>
      <c r="U18">
        <v>-13.21</v>
      </c>
      <c r="V18" t="s">
        <v>56</v>
      </c>
      <c r="W18">
        <v>0</v>
      </c>
      <c r="X18" t="s">
        <v>56</v>
      </c>
      <c r="Y18">
        <v>4.8084912300017066</v>
      </c>
      <c r="Z18" t="s">
        <v>56</v>
      </c>
      <c r="AA18">
        <v>0.28305081865837356</v>
      </c>
      <c r="AB18" t="s">
        <v>56</v>
      </c>
      <c r="AD18" t="s">
        <v>56</v>
      </c>
    </row>
    <row r="19" spans="1:33" x14ac:dyDescent="0.2">
      <c r="A19" t="s">
        <v>82</v>
      </c>
      <c r="B19" t="s">
        <v>19</v>
      </c>
      <c r="C19" t="s">
        <v>83</v>
      </c>
      <c r="D19">
        <v>272.25</v>
      </c>
      <c r="E19">
        <v>3.9690930361825236</v>
      </c>
      <c r="F19">
        <v>0.45405411831770026</v>
      </c>
      <c r="G19">
        <v>-13.21</v>
      </c>
      <c r="H19">
        <v>1.0771559284997261</v>
      </c>
      <c r="I19">
        <v>0.12322389043216564</v>
      </c>
      <c r="J19">
        <v>-13.21</v>
      </c>
      <c r="K19">
        <v>0.27138591075600876</v>
      </c>
      <c r="N19" t="s">
        <v>56</v>
      </c>
      <c r="O19" t="s">
        <v>56</v>
      </c>
      <c r="P19" t="s">
        <v>56</v>
      </c>
      <c r="S19" t="s">
        <v>56</v>
      </c>
      <c r="T19" t="s">
        <v>56</v>
      </c>
      <c r="U19">
        <v>-13.21</v>
      </c>
      <c r="V19" t="s">
        <v>56</v>
      </c>
      <c r="W19">
        <v>0</v>
      </c>
      <c r="X19" t="s">
        <v>56</v>
      </c>
      <c r="Y19">
        <v>1.0771559284997261</v>
      </c>
      <c r="Z19" t="s">
        <v>56</v>
      </c>
      <c r="AA19">
        <v>0.12322389043216564</v>
      </c>
      <c r="AB19" t="s">
        <v>56</v>
      </c>
      <c r="AD19" t="s">
        <v>56</v>
      </c>
    </row>
    <row r="20" spans="1:33" x14ac:dyDescent="0.2">
      <c r="A20" t="s">
        <v>84</v>
      </c>
      <c r="B20" t="s">
        <v>85</v>
      </c>
      <c r="C20" t="s">
        <v>86</v>
      </c>
      <c r="D20">
        <v>268.5</v>
      </c>
      <c r="E20">
        <v>9.9963640014571808E-2</v>
      </c>
      <c r="F20">
        <v>0.23552527003365606</v>
      </c>
      <c r="G20">
        <v>-0.33292500000000003</v>
      </c>
      <c r="H20">
        <v>0.10079226992701699</v>
      </c>
      <c r="I20">
        <v>0.23747761274404727</v>
      </c>
      <c r="J20">
        <v>-0.33292500000000003</v>
      </c>
      <c r="K20">
        <v>1.0082893131174937</v>
      </c>
      <c r="N20" t="s">
        <v>134</v>
      </c>
      <c r="O20" t="s">
        <v>56</v>
      </c>
      <c r="P20" t="s">
        <v>56</v>
      </c>
      <c r="S20" t="s">
        <v>90</v>
      </c>
      <c r="T20" t="s">
        <v>56</v>
      </c>
      <c r="U20">
        <v>-0.33292500000000003</v>
      </c>
      <c r="V20" t="s">
        <v>56</v>
      </c>
      <c r="W20">
        <v>0</v>
      </c>
      <c r="X20" t="s">
        <v>56</v>
      </c>
      <c r="Y20">
        <v>0.10079226992701699</v>
      </c>
      <c r="Z20" t="s">
        <v>56</v>
      </c>
      <c r="AA20">
        <v>0.23747761274404727</v>
      </c>
      <c r="AB20" t="s">
        <v>56</v>
      </c>
      <c r="AC20">
        <v>7.7778472956246E-2</v>
      </c>
      <c r="AD20" t="s">
        <v>56</v>
      </c>
      <c r="AE20">
        <v>7.4424857480134998E-2</v>
      </c>
      <c r="AF20">
        <v>0</v>
      </c>
      <c r="AG20">
        <v>0.17825929777753</v>
      </c>
    </row>
    <row r="21" spans="1:33" x14ac:dyDescent="0.2">
      <c r="A21" t="s">
        <v>91</v>
      </c>
      <c r="B21" t="s">
        <v>92</v>
      </c>
      <c r="C21" t="s">
        <v>93</v>
      </c>
      <c r="D21">
        <v>242.44</v>
      </c>
      <c r="E21">
        <v>0.11416738362812533</v>
      </c>
      <c r="F21">
        <v>0.24288320344619604</v>
      </c>
      <c r="G21">
        <v>-0.33292500000000003</v>
      </c>
      <c r="H21">
        <v>0.115082140347757</v>
      </c>
      <c r="I21">
        <v>0.24482928502726981</v>
      </c>
      <c r="J21">
        <v>-0.33292500000000003</v>
      </c>
      <c r="K21">
        <v>1.0080124172995968</v>
      </c>
      <c r="N21" t="s">
        <v>134</v>
      </c>
      <c r="O21" t="s">
        <v>56</v>
      </c>
      <c r="P21" t="s">
        <v>56</v>
      </c>
      <c r="S21" t="s">
        <v>56</v>
      </c>
      <c r="T21" t="s">
        <v>56</v>
      </c>
      <c r="U21">
        <v>-0.33292500000000003</v>
      </c>
      <c r="V21" t="s">
        <v>56</v>
      </c>
      <c r="W21">
        <v>0</v>
      </c>
      <c r="X21" t="s">
        <v>56</v>
      </c>
      <c r="Y21">
        <v>0.115082140347757</v>
      </c>
      <c r="Z21" t="s">
        <v>56</v>
      </c>
      <c r="AA21">
        <v>0.24482928502726981</v>
      </c>
      <c r="AB21" t="s">
        <v>56</v>
      </c>
      <c r="AC21">
        <v>0.120200493364368</v>
      </c>
      <c r="AD21" t="s">
        <v>56</v>
      </c>
      <c r="AE21">
        <v>0.121099036640563</v>
      </c>
      <c r="AF21">
        <v>0</v>
      </c>
      <c r="AG21">
        <v>0.179615127184338</v>
      </c>
    </row>
    <row r="22" spans="1:33" x14ac:dyDescent="0.2">
      <c r="A22" t="s">
        <v>94</v>
      </c>
      <c r="B22" t="s">
        <v>20</v>
      </c>
      <c r="C22" t="s">
        <v>95</v>
      </c>
      <c r="D22">
        <v>103.1</v>
      </c>
      <c r="E22">
        <v>12.489371088802146</v>
      </c>
      <c r="F22">
        <v>0.54106281379903132</v>
      </c>
      <c r="G22">
        <v>-13.21</v>
      </c>
      <c r="H22">
        <v>4.7699492528979119</v>
      </c>
      <c r="I22">
        <v>0.20664308443565191</v>
      </c>
      <c r="J22">
        <v>-13.21</v>
      </c>
      <c r="K22">
        <v>0.38192069232169779</v>
      </c>
      <c r="L22">
        <v>0.13</v>
      </c>
      <c r="N22" t="s">
        <v>56</v>
      </c>
      <c r="O22" t="s">
        <v>56</v>
      </c>
      <c r="P22" t="s">
        <v>56</v>
      </c>
      <c r="S22" t="s">
        <v>56</v>
      </c>
      <c r="T22" t="s">
        <v>56</v>
      </c>
      <c r="U22">
        <v>-13.21</v>
      </c>
      <c r="V22" t="s">
        <v>56</v>
      </c>
      <c r="W22">
        <v>0</v>
      </c>
      <c r="X22" t="s">
        <v>56</v>
      </c>
      <c r="Y22">
        <v>4.7699492528979119</v>
      </c>
      <c r="Z22" t="s">
        <v>56</v>
      </c>
      <c r="AA22">
        <v>0.20664308443565191</v>
      </c>
      <c r="AB22" t="s">
        <v>56</v>
      </c>
      <c r="AD22" t="s">
        <v>56</v>
      </c>
    </row>
    <row r="23" spans="1:33" x14ac:dyDescent="0.2">
      <c r="A23" t="s">
        <v>96</v>
      </c>
      <c r="B23" t="s">
        <v>21</v>
      </c>
      <c r="C23" t="s">
        <v>97</v>
      </c>
      <c r="D23">
        <v>329.4</v>
      </c>
      <c r="E23">
        <v>2.5111438742093268</v>
      </c>
      <c r="F23">
        <v>0.34757108737931042</v>
      </c>
      <c r="G23">
        <v>-13.21</v>
      </c>
      <c r="H23">
        <v>0.49216619231169501</v>
      </c>
      <c r="I23">
        <v>6.8121440746589032E-2</v>
      </c>
      <c r="J23">
        <v>-13.21</v>
      </c>
      <c r="K23">
        <v>0.19599282915108215</v>
      </c>
      <c r="N23" t="s">
        <v>56</v>
      </c>
      <c r="O23" t="s">
        <v>56</v>
      </c>
      <c r="P23" t="s">
        <v>56</v>
      </c>
      <c r="S23" t="s">
        <v>56</v>
      </c>
      <c r="T23" t="s">
        <v>56</v>
      </c>
      <c r="U23">
        <v>-13.21</v>
      </c>
      <c r="V23" t="s">
        <v>56</v>
      </c>
      <c r="W23">
        <v>0</v>
      </c>
      <c r="X23" t="s">
        <v>56</v>
      </c>
      <c r="Y23">
        <v>0.49216619231169501</v>
      </c>
      <c r="Z23" t="s">
        <v>56</v>
      </c>
      <c r="AA23">
        <v>6.8121440746589032E-2</v>
      </c>
      <c r="AB23" t="s">
        <v>56</v>
      </c>
      <c r="AD23" t="s">
        <v>56</v>
      </c>
    </row>
    <row r="24" spans="1:33" x14ac:dyDescent="0.2">
      <c r="A24" t="s">
        <v>98</v>
      </c>
      <c r="B24" t="s">
        <v>22</v>
      </c>
      <c r="C24" t="s">
        <v>99</v>
      </c>
      <c r="D24">
        <v>228.24</v>
      </c>
      <c r="E24">
        <v>3.9690930358738408</v>
      </c>
      <c r="F24">
        <v>0.38065495668235877</v>
      </c>
      <c r="G24">
        <v>-13.21</v>
      </c>
      <c r="H24">
        <v>1.077170959236482</v>
      </c>
      <c r="I24">
        <v>0.1033058336304241</v>
      </c>
      <c r="J24">
        <v>-13.21</v>
      </c>
      <c r="K24">
        <v>0.27138969772204663</v>
      </c>
      <c r="L24">
        <v>2.0000000000000001E-4</v>
      </c>
      <c r="N24" t="s">
        <v>56</v>
      </c>
      <c r="O24" t="s">
        <v>56</v>
      </c>
      <c r="P24" t="s">
        <v>56</v>
      </c>
      <c r="S24" t="s">
        <v>56</v>
      </c>
      <c r="T24" t="s">
        <v>56</v>
      </c>
      <c r="U24">
        <v>-13.21</v>
      </c>
      <c r="V24" t="s">
        <v>56</v>
      </c>
      <c r="W24">
        <v>0</v>
      </c>
      <c r="X24" t="s">
        <v>56</v>
      </c>
      <c r="Y24">
        <v>1.077170959236482</v>
      </c>
      <c r="Z24" t="s">
        <v>56</v>
      </c>
      <c r="AA24">
        <v>0.1033058336304241</v>
      </c>
      <c r="AB24" t="s">
        <v>56</v>
      </c>
      <c r="AD24" t="s">
        <v>56</v>
      </c>
    </row>
    <row r="25" spans="1:33" x14ac:dyDescent="0.2">
      <c r="A25" t="s">
        <v>100</v>
      </c>
      <c r="B25" t="s">
        <v>23</v>
      </c>
      <c r="C25" t="s">
        <v>66</v>
      </c>
      <c r="D25">
        <v>246.3</v>
      </c>
      <c r="E25">
        <v>2.9574669997709995</v>
      </c>
      <c r="F25">
        <v>0.30607846235659486</v>
      </c>
      <c r="G25">
        <v>-13.21</v>
      </c>
      <c r="H25">
        <v>1.324232449482202</v>
      </c>
      <c r="I25">
        <v>0.13704938448057202</v>
      </c>
      <c r="J25">
        <v>-13.21</v>
      </c>
      <c r="K25">
        <v>0.44775899429638233</v>
      </c>
      <c r="L25">
        <v>3.0000000000000001E-3</v>
      </c>
      <c r="N25" t="s">
        <v>56</v>
      </c>
      <c r="O25" t="s">
        <v>56</v>
      </c>
      <c r="P25" t="s">
        <v>56</v>
      </c>
      <c r="S25" t="s">
        <v>56</v>
      </c>
      <c r="T25" t="s">
        <v>56</v>
      </c>
      <c r="U25">
        <v>-13.21</v>
      </c>
      <c r="V25" t="s">
        <v>56</v>
      </c>
      <c r="W25">
        <v>0</v>
      </c>
      <c r="X25" t="s">
        <v>56</v>
      </c>
      <c r="Y25">
        <v>1.324232449482202</v>
      </c>
      <c r="Z25" t="s">
        <v>56</v>
      </c>
      <c r="AA25">
        <v>0.13704938448057202</v>
      </c>
      <c r="AB25" t="s">
        <v>56</v>
      </c>
      <c r="AD25" t="s">
        <v>56</v>
      </c>
    </row>
    <row r="26" spans="1:33" x14ac:dyDescent="0.2">
      <c r="A26" t="s">
        <v>101</v>
      </c>
      <c r="B26" t="s">
        <v>102</v>
      </c>
      <c r="C26" t="s">
        <v>102</v>
      </c>
      <c r="D26">
        <v>174.15</v>
      </c>
      <c r="E26">
        <v>9.7256521873608381</v>
      </c>
      <c r="F26">
        <v>0.71168967399121708</v>
      </c>
      <c r="G26">
        <v>-13.21</v>
      </c>
      <c r="H26">
        <v>4.5645205171878276</v>
      </c>
      <c r="I26">
        <v>0.33401586404923128</v>
      </c>
      <c r="J26">
        <v>-13.21</v>
      </c>
      <c r="K26">
        <v>0.46932796168875335</v>
      </c>
      <c r="N26" t="s">
        <v>56</v>
      </c>
      <c r="O26" t="s">
        <v>56</v>
      </c>
      <c r="P26" t="s">
        <v>56</v>
      </c>
      <c r="S26" t="s">
        <v>56</v>
      </c>
      <c r="T26" t="s">
        <v>56</v>
      </c>
      <c r="U26">
        <v>-13.21</v>
      </c>
      <c r="V26" t="s">
        <v>56</v>
      </c>
      <c r="W26">
        <v>0</v>
      </c>
      <c r="X26" t="s">
        <v>56</v>
      </c>
      <c r="Y26">
        <v>4.5645205171878276</v>
      </c>
      <c r="Z26" t="s">
        <v>56</v>
      </c>
      <c r="AA26">
        <v>0.33401586404923128</v>
      </c>
      <c r="AB26" t="s">
        <v>56</v>
      </c>
      <c r="AD26" t="s">
        <v>56</v>
      </c>
    </row>
    <row r="27" spans="1:33" x14ac:dyDescent="0.2">
      <c r="A27" t="s">
        <v>103</v>
      </c>
      <c r="B27" t="s">
        <v>104</v>
      </c>
      <c r="C27" t="s">
        <v>105</v>
      </c>
      <c r="D27">
        <v>270.5</v>
      </c>
      <c r="E27">
        <v>0.10139558847316912</v>
      </c>
      <c r="F27">
        <v>0.24067860633472582</v>
      </c>
      <c r="G27">
        <v>-0.33292500000000003</v>
      </c>
      <c r="H27">
        <v>0.102250323106358</v>
      </c>
      <c r="I27">
        <v>0.24270745535468446</v>
      </c>
      <c r="J27">
        <v>-0.33292500000000003</v>
      </c>
      <c r="K27">
        <v>1.0084297023771902</v>
      </c>
      <c r="N27" t="s">
        <v>134</v>
      </c>
      <c r="O27" t="s">
        <v>56</v>
      </c>
      <c r="P27" t="s">
        <v>56</v>
      </c>
      <c r="S27" t="s">
        <v>56</v>
      </c>
      <c r="T27" t="s">
        <v>56</v>
      </c>
      <c r="U27">
        <v>-0.33292500000000003</v>
      </c>
      <c r="V27" t="s">
        <v>56</v>
      </c>
      <c r="W27">
        <v>0</v>
      </c>
      <c r="X27" t="s">
        <v>56</v>
      </c>
      <c r="Y27">
        <v>0.102250323106358</v>
      </c>
      <c r="Z27" t="s">
        <v>56</v>
      </c>
      <c r="AA27">
        <v>0.24270745535468446</v>
      </c>
      <c r="AB27" t="s">
        <v>56</v>
      </c>
      <c r="AC27">
        <v>0.118820778153617</v>
      </c>
      <c r="AD27" t="s">
        <v>56</v>
      </c>
      <c r="AE27">
        <v>0.11970900754680799</v>
      </c>
      <c r="AF27">
        <v>0</v>
      </c>
      <c r="AG27">
        <v>3.0316729205700002E-4</v>
      </c>
    </row>
    <row r="28" spans="1:33" x14ac:dyDescent="0.2">
      <c r="A28" t="s">
        <v>106</v>
      </c>
      <c r="B28" t="s">
        <v>25</v>
      </c>
      <c r="C28" t="s">
        <v>58</v>
      </c>
      <c r="D28">
        <v>104.15</v>
      </c>
      <c r="E28">
        <v>6.7662538789834601</v>
      </c>
      <c r="F28">
        <v>0.29611200509736013</v>
      </c>
      <c r="G28">
        <v>-13.21</v>
      </c>
      <c r="H28">
        <v>2.9906068016808591</v>
      </c>
      <c r="I28">
        <v>0.13087811843036626</v>
      </c>
      <c r="J28">
        <v>-13.21</v>
      </c>
      <c r="K28">
        <v>0.44198855898238304</v>
      </c>
      <c r="L28">
        <v>1E-3</v>
      </c>
      <c r="N28" t="s">
        <v>56</v>
      </c>
      <c r="O28" t="s">
        <v>56</v>
      </c>
      <c r="P28" t="s">
        <v>56</v>
      </c>
      <c r="S28" t="s">
        <v>56</v>
      </c>
      <c r="T28" t="s">
        <v>56</v>
      </c>
      <c r="U28">
        <v>-13.21</v>
      </c>
      <c r="V28" t="s">
        <v>56</v>
      </c>
      <c r="W28">
        <v>0</v>
      </c>
      <c r="X28" t="s">
        <v>56</v>
      </c>
      <c r="Y28">
        <v>2.9906068016808591</v>
      </c>
      <c r="Z28" t="s">
        <v>56</v>
      </c>
      <c r="AA28">
        <v>0.13087811843036626</v>
      </c>
      <c r="AB28" t="s">
        <v>56</v>
      </c>
      <c r="AD28" t="s">
        <v>56</v>
      </c>
    </row>
    <row r="29" spans="1:33" x14ac:dyDescent="0.2">
      <c r="A29" t="s">
        <v>107</v>
      </c>
      <c r="B29" t="s">
        <v>108</v>
      </c>
      <c r="C29" t="s">
        <v>108</v>
      </c>
      <c r="D29">
        <v>824.3</v>
      </c>
      <c r="E29">
        <v>0.13084233371678158</v>
      </c>
      <c r="F29">
        <v>0.27198109112734292</v>
      </c>
      <c r="G29">
        <v>-2.2011337271575702</v>
      </c>
      <c r="H29">
        <v>5.9085188168694E-2</v>
      </c>
      <c r="I29">
        <v>0.12281998869242614</v>
      </c>
      <c r="J29">
        <v>-2.2011337271575711</v>
      </c>
      <c r="K29">
        <v>0.45157546865977238</v>
      </c>
      <c r="L29">
        <v>0.14000000000000001</v>
      </c>
      <c r="N29" t="s">
        <v>135</v>
      </c>
      <c r="O29" t="s">
        <v>56</v>
      </c>
      <c r="P29" t="s">
        <v>56</v>
      </c>
      <c r="S29" t="s">
        <v>56</v>
      </c>
      <c r="T29" t="s">
        <v>56</v>
      </c>
      <c r="U29">
        <v>-2.2011337271575711</v>
      </c>
      <c r="V29" t="s">
        <v>56</v>
      </c>
      <c r="W29">
        <v>0</v>
      </c>
      <c r="X29" t="s">
        <v>56</v>
      </c>
      <c r="Y29">
        <v>5.9085188168694E-2</v>
      </c>
      <c r="Z29" t="s">
        <v>56</v>
      </c>
      <c r="AA29">
        <v>0.12281998869242614</v>
      </c>
      <c r="AB29" t="s">
        <v>56</v>
      </c>
      <c r="AC29">
        <v>0.18902348293410801</v>
      </c>
      <c r="AD29" t="s">
        <v>56</v>
      </c>
      <c r="AE29">
        <v>0.31962612118927403</v>
      </c>
      <c r="AF29">
        <v>0</v>
      </c>
      <c r="AG29">
        <v>0.15554664492274101</v>
      </c>
    </row>
    <row r="30" spans="1:33" x14ac:dyDescent="0.2">
      <c r="A30" t="s">
        <v>112</v>
      </c>
      <c r="B30" t="s">
        <v>113</v>
      </c>
      <c r="C30" t="s">
        <v>114</v>
      </c>
      <c r="D30">
        <v>126.11004</v>
      </c>
      <c r="E30">
        <v>7.1056129993944976E-3</v>
      </c>
      <c r="F30">
        <v>6.718414909479177E-2</v>
      </c>
      <c r="G30">
        <v>-7.8476895921783002E-2</v>
      </c>
      <c r="N30" t="s">
        <v>136</v>
      </c>
      <c r="O30" t="s">
        <v>56</v>
      </c>
      <c r="P30" t="s">
        <v>56</v>
      </c>
      <c r="S30" t="s">
        <v>56</v>
      </c>
      <c r="T30" t="s">
        <v>56</v>
      </c>
      <c r="V30" t="s">
        <v>56</v>
      </c>
      <c r="X30" t="s">
        <v>56</v>
      </c>
      <c r="Z30" t="s">
        <v>56</v>
      </c>
      <c r="AB30" t="s">
        <v>56</v>
      </c>
      <c r="AD30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B328-4D92-6748-80F3-ECE129635E5D}">
  <dimension ref="A1:AC30"/>
  <sheetViews>
    <sheetView workbookViewId="0">
      <selection activeCell="B14" sqref="B14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4" width="80.6640625" bestFit="1" customWidth="1"/>
    <col min="15" max="15" width="19.5" bestFit="1" customWidth="1"/>
    <col min="16" max="16" width="13.16406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37.83203125" bestFit="1" customWidth="1"/>
    <col min="21" max="21" width="41.83203125" bestFit="1" customWidth="1"/>
    <col min="22" max="22" width="16" bestFit="1" customWidth="1"/>
    <col min="23" max="23" width="20.1640625" bestFit="1" customWidth="1"/>
    <col min="24" max="24" width="12.83203125" bestFit="1" customWidth="1"/>
    <col min="25" max="25" width="16.83203125" bestFit="1" customWidth="1"/>
    <col min="26" max="26" width="8.1640625" bestFit="1" customWidth="1"/>
    <col min="27" max="27" width="12.1640625" bestFit="1" customWidth="1"/>
    <col min="28" max="28" width="7.5" bestFit="1" customWidth="1"/>
    <col min="29" max="29" width="12.1640625" bestFit="1" customWidth="1"/>
  </cols>
  <sheetData>
    <row r="1" spans="1:29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128</v>
      </c>
      <c r="U1" t="s">
        <v>129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</row>
    <row r="2" spans="1:29" x14ac:dyDescent="0.2">
      <c r="A2" t="s">
        <v>54</v>
      </c>
      <c r="B2" t="s">
        <v>5</v>
      </c>
      <c r="C2" t="s">
        <v>55</v>
      </c>
      <c r="D2">
        <v>76.09</v>
      </c>
      <c r="E2">
        <v>17.813822120239621</v>
      </c>
      <c r="F2">
        <v>0.56955169307007392</v>
      </c>
      <c r="G2">
        <v>-13.21</v>
      </c>
      <c r="H2">
        <v>7.6032747510576302</v>
      </c>
      <c r="I2">
        <v>0.24309538841390305</v>
      </c>
      <c r="J2">
        <v>-13.209999999652213</v>
      </c>
      <c r="K2">
        <v>0.42681883202477666</v>
      </c>
      <c r="M2" t="s">
        <v>56</v>
      </c>
      <c r="N2" t="s">
        <v>56</v>
      </c>
      <c r="O2" t="s">
        <v>56</v>
      </c>
      <c r="P2" t="s">
        <v>56</v>
      </c>
      <c r="Q2" t="s">
        <v>56</v>
      </c>
      <c r="R2" t="s">
        <v>56</v>
      </c>
      <c r="S2" t="s">
        <v>56</v>
      </c>
      <c r="T2" t="s">
        <v>56</v>
      </c>
      <c r="U2" t="s">
        <v>140</v>
      </c>
      <c r="V2" t="s">
        <v>56</v>
      </c>
      <c r="W2">
        <v>-13.209999999652213</v>
      </c>
      <c r="X2" t="s">
        <v>56</v>
      </c>
      <c r="Y2">
        <v>0</v>
      </c>
      <c r="Z2" t="s">
        <v>56</v>
      </c>
      <c r="AA2">
        <v>7.6032747510576302</v>
      </c>
      <c r="AB2" t="s">
        <v>56</v>
      </c>
      <c r="AC2">
        <v>0.24309538841390305</v>
      </c>
    </row>
    <row r="3" spans="1:29" x14ac:dyDescent="0.2">
      <c r="A3" t="s">
        <v>57</v>
      </c>
      <c r="B3" t="s">
        <v>6</v>
      </c>
      <c r="C3" t="s">
        <v>58</v>
      </c>
      <c r="D3">
        <v>122.16</v>
      </c>
      <c r="E3">
        <v>2.555301936198521</v>
      </c>
      <c r="F3">
        <v>0.31221950973542884</v>
      </c>
      <c r="G3">
        <v>-5.549610203629693</v>
      </c>
      <c r="H3">
        <v>1.677292248506234</v>
      </c>
      <c r="I3">
        <v>8.6096642510535087E-2</v>
      </c>
      <c r="J3">
        <v>-13.209999999932382</v>
      </c>
      <c r="K3">
        <v>0.27575676671676402</v>
      </c>
      <c r="L3">
        <v>0.08</v>
      </c>
      <c r="M3" t="s">
        <v>56</v>
      </c>
      <c r="N3" t="s">
        <v>56</v>
      </c>
      <c r="O3" t="s">
        <v>56</v>
      </c>
      <c r="P3" t="s">
        <v>56</v>
      </c>
      <c r="Q3" t="s">
        <v>56</v>
      </c>
      <c r="R3" t="s">
        <v>56</v>
      </c>
      <c r="S3" t="s">
        <v>56</v>
      </c>
      <c r="T3" t="s">
        <v>56</v>
      </c>
      <c r="U3" t="s">
        <v>140</v>
      </c>
      <c r="V3" t="s">
        <v>56</v>
      </c>
      <c r="W3">
        <v>-13.209999999932382</v>
      </c>
      <c r="X3" t="s">
        <v>56</v>
      </c>
      <c r="Y3">
        <v>0</v>
      </c>
      <c r="Z3" t="s">
        <v>56</v>
      </c>
      <c r="AA3">
        <v>1.677292248506234</v>
      </c>
      <c r="AB3" t="s">
        <v>56</v>
      </c>
      <c r="AC3">
        <v>8.6096642510535087E-2</v>
      </c>
    </row>
    <row r="4" spans="1:29" x14ac:dyDescent="0.2">
      <c r="A4" t="s">
        <v>59</v>
      </c>
      <c r="B4" t="s">
        <v>7</v>
      </c>
      <c r="C4" t="s">
        <v>60</v>
      </c>
      <c r="D4">
        <v>90.08</v>
      </c>
      <c r="E4">
        <v>7.3799423611040869</v>
      </c>
      <c r="F4">
        <v>0.6654236103139346</v>
      </c>
      <c r="G4">
        <v>-5.5454195668923401</v>
      </c>
      <c r="L4">
        <v>0.13</v>
      </c>
      <c r="M4" t="s">
        <v>56</v>
      </c>
      <c r="N4" t="s">
        <v>56</v>
      </c>
      <c r="O4" t="s">
        <v>56</v>
      </c>
      <c r="P4" t="s">
        <v>56</v>
      </c>
      <c r="Q4" t="s">
        <v>56</v>
      </c>
      <c r="R4" t="s">
        <v>56</v>
      </c>
      <c r="S4" t="s">
        <v>56</v>
      </c>
      <c r="T4" t="s">
        <v>56</v>
      </c>
      <c r="U4" t="s">
        <v>56</v>
      </c>
      <c r="V4" t="s">
        <v>56</v>
      </c>
      <c r="X4" t="s">
        <v>56</v>
      </c>
      <c r="Z4" t="s">
        <v>56</v>
      </c>
      <c r="AB4" t="s">
        <v>56</v>
      </c>
    </row>
    <row r="5" spans="1:29" x14ac:dyDescent="0.2">
      <c r="A5" t="s">
        <v>61</v>
      </c>
      <c r="B5" t="s">
        <v>7</v>
      </c>
      <c r="C5" t="s">
        <v>62</v>
      </c>
      <c r="D5">
        <v>90.08</v>
      </c>
      <c r="E5">
        <v>8.2942454576484792</v>
      </c>
      <c r="F5">
        <v>0.7479521116175375</v>
      </c>
      <c r="G5">
        <v>-5.5447598086686254</v>
      </c>
      <c r="H5">
        <v>1.9808800118768211</v>
      </c>
      <c r="I5">
        <v>7.4978378105098942E-2</v>
      </c>
      <c r="J5">
        <v>-13.209968282714026</v>
      </c>
      <c r="K5">
        <v>0.10024489127111236</v>
      </c>
      <c r="L5">
        <v>0.14000000000000001</v>
      </c>
      <c r="M5" t="s">
        <v>56</v>
      </c>
      <c r="N5" t="s">
        <v>56</v>
      </c>
      <c r="O5" t="s">
        <v>56</v>
      </c>
      <c r="P5" t="s">
        <v>56</v>
      </c>
      <c r="Q5" t="s">
        <v>56</v>
      </c>
      <c r="R5" t="s">
        <v>56</v>
      </c>
      <c r="S5" t="s">
        <v>56</v>
      </c>
      <c r="T5" t="s">
        <v>56</v>
      </c>
      <c r="U5" t="s">
        <v>140</v>
      </c>
      <c r="V5" t="s">
        <v>56</v>
      </c>
      <c r="W5">
        <v>-13.209968282714026</v>
      </c>
      <c r="X5" t="s">
        <v>56</v>
      </c>
      <c r="Y5">
        <v>0</v>
      </c>
      <c r="Z5" t="s">
        <v>56</v>
      </c>
      <c r="AA5">
        <v>1.9808800118768211</v>
      </c>
      <c r="AB5" t="s">
        <v>56</v>
      </c>
      <c r="AC5">
        <v>7.4978378105098942E-2</v>
      </c>
    </row>
    <row r="6" spans="1:29" x14ac:dyDescent="0.2">
      <c r="A6" t="s">
        <v>59</v>
      </c>
      <c r="B6" t="s">
        <v>7</v>
      </c>
      <c r="C6" t="s">
        <v>60</v>
      </c>
      <c r="D6">
        <v>90.08</v>
      </c>
      <c r="E6">
        <v>7.3799423611040869</v>
      </c>
      <c r="F6">
        <v>0.6654236103139346</v>
      </c>
      <c r="G6">
        <v>-5.5454195668923401</v>
      </c>
      <c r="L6">
        <v>0.13</v>
      </c>
      <c r="M6" t="s">
        <v>56</v>
      </c>
      <c r="N6" t="s">
        <v>56</v>
      </c>
      <c r="O6" t="s">
        <v>56</v>
      </c>
      <c r="P6" t="s">
        <v>56</v>
      </c>
      <c r="Q6" t="s">
        <v>56</v>
      </c>
      <c r="R6" t="s">
        <v>56</v>
      </c>
      <c r="S6" t="s">
        <v>56</v>
      </c>
      <c r="T6" t="s">
        <v>56</v>
      </c>
      <c r="U6" t="s">
        <v>56</v>
      </c>
      <c r="V6" t="s">
        <v>56</v>
      </c>
      <c r="X6" t="s">
        <v>56</v>
      </c>
      <c r="Z6" t="s">
        <v>56</v>
      </c>
      <c r="AB6" t="s">
        <v>56</v>
      </c>
    </row>
    <row r="7" spans="1:29" x14ac:dyDescent="0.2">
      <c r="A7" t="s">
        <v>61</v>
      </c>
      <c r="B7" t="s">
        <v>7</v>
      </c>
      <c r="C7" t="s">
        <v>62</v>
      </c>
      <c r="D7">
        <v>90.08</v>
      </c>
      <c r="E7">
        <v>8.2942454576484792</v>
      </c>
      <c r="F7">
        <v>0.7479521116175375</v>
      </c>
      <c r="G7">
        <v>-5.5447598086686254</v>
      </c>
      <c r="H7">
        <v>1.9808800118768211</v>
      </c>
      <c r="I7">
        <v>7.4978378105098942E-2</v>
      </c>
      <c r="J7">
        <v>-13.209968282714026</v>
      </c>
      <c r="K7">
        <v>0.10024489127111236</v>
      </c>
      <c r="L7">
        <v>0.14000000000000001</v>
      </c>
      <c r="M7" t="s">
        <v>56</v>
      </c>
      <c r="N7" t="s">
        <v>56</v>
      </c>
      <c r="O7" t="s">
        <v>56</v>
      </c>
      <c r="P7" t="s">
        <v>56</v>
      </c>
      <c r="Q7" t="s">
        <v>56</v>
      </c>
      <c r="R7" t="s">
        <v>56</v>
      </c>
      <c r="S7" t="s">
        <v>56</v>
      </c>
      <c r="T7" t="s">
        <v>56</v>
      </c>
      <c r="U7" t="s">
        <v>140</v>
      </c>
      <c r="V7" t="s">
        <v>56</v>
      </c>
      <c r="W7">
        <v>-13.209968282714026</v>
      </c>
      <c r="X7" t="s">
        <v>56</v>
      </c>
      <c r="Y7">
        <v>0</v>
      </c>
      <c r="Z7" t="s">
        <v>56</v>
      </c>
      <c r="AA7">
        <v>1.9808800118768211</v>
      </c>
      <c r="AB7" t="s">
        <v>56</v>
      </c>
      <c r="AC7">
        <v>7.4978378105098942E-2</v>
      </c>
    </row>
    <row r="8" spans="1:29" x14ac:dyDescent="0.2">
      <c r="A8" t="s">
        <v>63</v>
      </c>
      <c r="B8" t="s">
        <v>8</v>
      </c>
      <c r="C8" t="s">
        <v>64</v>
      </c>
      <c r="D8">
        <v>137.11000000000001</v>
      </c>
      <c r="E8">
        <v>3.3547285289072923</v>
      </c>
      <c r="F8">
        <v>0.46007486843853979</v>
      </c>
      <c r="G8">
        <v>-5.5494414230054865</v>
      </c>
      <c r="H8">
        <v>1.5083935952164511</v>
      </c>
      <c r="I8">
        <v>8.6902498408734652E-2</v>
      </c>
      <c r="J8">
        <v>-13.209999995606642</v>
      </c>
      <c r="K8">
        <v>0.18888773191127636</v>
      </c>
      <c r="L8">
        <v>7.0000000000000007E-2</v>
      </c>
      <c r="M8" t="s">
        <v>56</v>
      </c>
      <c r="N8" t="s">
        <v>56</v>
      </c>
      <c r="O8" t="s">
        <v>56</v>
      </c>
      <c r="P8" t="s">
        <v>56</v>
      </c>
      <c r="Q8" t="s">
        <v>56</v>
      </c>
      <c r="R8" t="s">
        <v>56</v>
      </c>
      <c r="S8" t="s">
        <v>56</v>
      </c>
      <c r="T8" t="s">
        <v>56</v>
      </c>
      <c r="U8" t="s">
        <v>140</v>
      </c>
      <c r="V8" t="s">
        <v>56</v>
      </c>
      <c r="W8">
        <v>-13.209999995606642</v>
      </c>
      <c r="X8" t="s">
        <v>56</v>
      </c>
      <c r="Y8">
        <v>0</v>
      </c>
      <c r="Z8" t="s">
        <v>56</v>
      </c>
      <c r="AA8">
        <v>1.5083935952164511</v>
      </c>
      <c r="AB8" t="s">
        <v>56</v>
      </c>
      <c r="AC8">
        <v>8.6902498408734652E-2</v>
      </c>
    </row>
    <row r="9" spans="1:29" x14ac:dyDescent="0.2">
      <c r="A9" t="s">
        <v>65</v>
      </c>
      <c r="B9" t="s">
        <v>9</v>
      </c>
      <c r="C9" t="s">
        <v>66</v>
      </c>
      <c r="D9">
        <v>234.33</v>
      </c>
      <c r="E9">
        <v>2.8446976553763208</v>
      </c>
      <c r="F9">
        <v>0.28009958094537146</v>
      </c>
      <c r="G9">
        <v>-13.21</v>
      </c>
      <c r="H9">
        <v>0.30300667334238501</v>
      </c>
      <c r="I9">
        <v>2.9835172788531344E-2</v>
      </c>
      <c r="J9">
        <v>-13.20999940038452</v>
      </c>
      <c r="K9">
        <v>0.10651630640729225</v>
      </c>
      <c r="M9" t="s">
        <v>56</v>
      </c>
      <c r="N9" t="s">
        <v>56</v>
      </c>
      <c r="O9" t="s">
        <v>56</v>
      </c>
      <c r="P9" t="s">
        <v>56</v>
      </c>
      <c r="Q9" t="s">
        <v>56</v>
      </c>
      <c r="R9" t="s">
        <v>56</v>
      </c>
      <c r="S9" t="s">
        <v>56</v>
      </c>
      <c r="T9" t="s">
        <v>56</v>
      </c>
      <c r="U9" t="s">
        <v>140</v>
      </c>
      <c r="V9" t="s">
        <v>56</v>
      </c>
      <c r="W9">
        <v>-13.20999940038452</v>
      </c>
      <c r="X9" t="s">
        <v>56</v>
      </c>
      <c r="Y9">
        <v>0</v>
      </c>
      <c r="Z9" t="s">
        <v>56</v>
      </c>
      <c r="AA9">
        <v>0.30300667334238501</v>
      </c>
      <c r="AB9" t="s">
        <v>56</v>
      </c>
      <c r="AC9">
        <v>2.9835172788531344E-2</v>
      </c>
    </row>
    <row r="10" spans="1:29" x14ac:dyDescent="0.2">
      <c r="A10" t="s">
        <v>67</v>
      </c>
      <c r="B10" t="s">
        <v>10</v>
      </c>
      <c r="C10" t="s">
        <v>68</v>
      </c>
      <c r="D10">
        <v>90.12</v>
      </c>
      <c r="E10">
        <v>5.0087321161080736</v>
      </c>
      <c r="F10">
        <v>0.45163577178910297</v>
      </c>
      <c r="G10">
        <v>-5.5476866685940465</v>
      </c>
      <c r="H10">
        <v>4.9645874664084131</v>
      </c>
      <c r="I10">
        <v>0.18799781482821928</v>
      </c>
      <c r="J10">
        <v>-13.20999999992031</v>
      </c>
      <c r="K10">
        <v>0.41625979732182783</v>
      </c>
      <c r="L10">
        <v>0.11</v>
      </c>
      <c r="M10" t="s">
        <v>56</v>
      </c>
      <c r="N10" t="s">
        <v>56</v>
      </c>
      <c r="O10" t="s">
        <v>56</v>
      </c>
      <c r="P10" t="s">
        <v>56</v>
      </c>
      <c r="Q10" t="s">
        <v>56</v>
      </c>
      <c r="R10" t="s">
        <v>56</v>
      </c>
      <c r="S10" t="s">
        <v>56</v>
      </c>
      <c r="T10" t="s">
        <v>56</v>
      </c>
      <c r="U10" t="s">
        <v>140</v>
      </c>
      <c r="V10" t="s">
        <v>56</v>
      </c>
      <c r="W10">
        <v>-13.20999999992031</v>
      </c>
      <c r="X10" t="s">
        <v>56</v>
      </c>
      <c r="Y10">
        <v>0</v>
      </c>
      <c r="Z10" t="s">
        <v>56</v>
      </c>
      <c r="AA10">
        <v>4.9645874664084131</v>
      </c>
      <c r="AB10" t="s">
        <v>56</v>
      </c>
      <c r="AC10">
        <v>0.18799781482821928</v>
      </c>
    </row>
    <row r="11" spans="1:29" x14ac:dyDescent="0.2">
      <c r="A11" t="s">
        <v>69</v>
      </c>
      <c r="B11" t="s">
        <v>11</v>
      </c>
      <c r="C11" t="s">
        <v>70</v>
      </c>
      <c r="D11">
        <v>74.12</v>
      </c>
      <c r="E11">
        <v>4.1618565565374919</v>
      </c>
      <c r="F11">
        <v>0.30852816997004351</v>
      </c>
      <c r="G11">
        <v>-5.5498208538029941</v>
      </c>
      <c r="H11">
        <v>1.643145652518849</v>
      </c>
      <c r="I11">
        <v>5.1175244288182757E-2</v>
      </c>
      <c r="J11">
        <v>-13.209999999982299</v>
      </c>
      <c r="K11">
        <v>0.16586895223587397</v>
      </c>
      <c r="L11">
        <v>0.04</v>
      </c>
      <c r="M11" t="s">
        <v>56</v>
      </c>
      <c r="N11" t="s">
        <v>56</v>
      </c>
      <c r="O11" t="s">
        <v>56</v>
      </c>
      <c r="P11" t="s">
        <v>56</v>
      </c>
      <c r="Q11" t="s">
        <v>56</v>
      </c>
      <c r="R11" t="s">
        <v>56</v>
      </c>
      <c r="S11" t="s">
        <v>56</v>
      </c>
      <c r="T11" t="s">
        <v>56</v>
      </c>
      <c r="U11" t="s">
        <v>140</v>
      </c>
      <c r="V11" t="s">
        <v>56</v>
      </c>
      <c r="W11">
        <v>-13.209999999982299</v>
      </c>
      <c r="X11" t="s">
        <v>56</v>
      </c>
      <c r="Y11">
        <v>0</v>
      </c>
      <c r="Z11" t="s">
        <v>56</v>
      </c>
      <c r="AA11">
        <v>1.643145652518849</v>
      </c>
      <c r="AB11" t="s">
        <v>56</v>
      </c>
      <c r="AC11">
        <v>5.1175244288182757E-2</v>
      </c>
    </row>
    <row r="12" spans="1:29" x14ac:dyDescent="0.2">
      <c r="A12" t="s">
        <v>71</v>
      </c>
      <c r="B12" t="s">
        <v>12</v>
      </c>
      <c r="C12" t="s">
        <v>72</v>
      </c>
      <c r="D12">
        <v>146.1</v>
      </c>
      <c r="E12">
        <v>12.489371088802157</v>
      </c>
      <c r="F12">
        <v>0.76672431712937483</v>
      </c>
      <c r="G12">
        <v>-13.21</v>
      </c>
      <c r="H12">
        <v>1.4849898454958861</v>
      </c>
      <c r="I12">
        <v>9.1163743728409838E-2</v>
      </c>
      <c r="J12">
        <v>-13.209999999574412</v>
      </c>
      <c r="K12">
        <v>0.11890029009348237</v>
      </c>
      <c r="M12" t="s">
        <v>56</v>
      </c>
      <c r="N12" t="s">
        <v>56</v>
      </c>
      <c r="O12" t="s">
        <v>56</v>
      </c>
      <c r="P12" t="s">
        <v>56</v>
      </c>
      <c r="Q12" t="s">
        <v>56</v>
      </c>
      <c r="R12" t="s">
        <v>56</v>
      </c>
      <c r="S12" t="s">
        <v>56</v>
      </c>
      <c r="T12" t="s">
        <v>56</v>
      </c>
      <c r="U12" t="s">
        <v>140</v>
      </c>
      <c r="V12" t="s">
        <v>56</v>
      </c>
      <c r="W12">
        <v>-13.209999999574412</v>
      </c>
      <c r="X12" t="s">
        <v>56</v>
      </c>
      <c r="Y12">
        <v>0</v>
      </c>
      <c r="Z12" t="s">
        <v>56</v>
      </c>
      <c r="AA12">
        <v>1.4849898454958861</v>
      </c>
      <c r="AB12" t="s">
        <v>56</v>
      </c>
      <c r="AC12">
        <v>9.1163743728409838E-2</v>
      </c>
    </row>
    <row r="13" spans="1:29" x14ac:dyDescent="0.2">
      <c r="A13" t="s">
        <v>73</v>
      </c>
      <c r="B13" t="s">
        <v>13</v>
      </c>
      <c r="C13" t="s">
        <v>74</v>
      </c>
      <c r="D13">
        <v>163.15</v>
      </c>
      <c r="E13">
        <v>2.6118239322819092</v>
      </c>
      <c r="F13">
        <v>0.42628608218050867</v>
      </c>
      <c r="G13">
        <v>-5.548570274707247</v>
      </c>
      <c r="H13">
        <v>1.2538824397814641</v>
      </c>
      <c r="I13">
        <v>8.595919708023568E-2</v>
      </c>
      <c r="J13">
        <v>-13.209999997287007</v>
      </c>
      <c r="K13">
        <v>0.20164673601479838</v>
      </c>
      <c r="L13">
        <v>0.15</v>
      </c>
      <c r="M13" t="s">
        <v>56</v>
      </c>
      <c r="N13" t="s">
        <v>56</v>
      </c>
      <c r="O13" t="s">
        <v>56</v>
      </c>
      <c r="P13" t="s">
        <v>56</v>
      </c>
      <c r="Q13" t="s">
        <v>56</v>
      </c>
      <c r="R13" t="s">
        <v>56</v>
      </c>
      <c r="S13" t="s">
        <v>56</v>
      </c>
      <c r="T13" t="s">
        <v>56</v>
      </c>
      <c r="U13" t="s">
        <v>140</v>
      </c>
      <c r="V13" t="s">
        <v>56</v>
      </c>
      <c r="W13">
        <v>-13.209999997287007</v>
      </c>
      <c r="X13" t="s">
        <v>56</v>
      </c>
      <c r="Y13">
        <v>0</v>
      </c>
      <c r="Z13" t="s">
        <v>56</v>
      </c>
      <c r="AA13">
        <v>1.2538824397814641</v>
      </c>
      <c r="AB13" t="s">
        <v>56</v>
      </c>
      <c r="AC13">
        <v>8.595919708023568E-2</v>
      </c>
    </row>
    <row r="14" spans="1:29" x14ac:dyDescent="0.2">
      <c r="A14" t="s">
        <v>75</v>
      </c>
      <c r="B14" t="s">
        <v>14</v>
      </c>
      <c r="C14" t="s">
        <v>76</v>
      </c>
      <c r="D14">
        <v>256.39999999999998</v>
      </c>
      <c r="E14">
        <v>1.0169945364213848</v>
      </c>
      <c r="F14">
        <v>0.260783920720699</v>
      </c>
      <c r="G14">
        <v>-5.5501804022422663</v>
      </c>
      <c r="L14">
        <v>0.1</v>
      </c>
      <c r="M14" t="s">
        <v>56</v>
      </c>
      <c r="N14" t="s">
        <v>56</v>
      </c>
      <c r="O14" t="s">
        <v>56</v>
      </c>
      <c r="P14" t="s">
        <v>56</v>
      </c>
      <c r="Q14" t="s">
        <v>56</v>
      </c>
      <c r="R14" t="s">
        <v>56</v>
      </c>
      <c r="S14" t="s">
        <v>56</v>
      </c>
      <c r="T14" t="s">
        <v>56</v>
      </c>
      <c r="U14" t="s">
        <v>56</v>
      </c>
      <c r="V14" t="s">
        <v>56</v>
      </c>
      <c r="X14" t="s">
        <v>56</v>
      </c>
      <c r="Z14" t="s">
        <v>56</v>
      </c>
      <c r="AB14" t="s">
        <v>56</v>
      </c>
    </row>
    <row r="15" spans="1:29" x14ac:dyDescent="0.2">
      <c r="A15" t="s">
        <v>77</v>
      </c>
      <c r="B15" t="s">
        <v>15</v>
      </c>
      <c r="C15" t="s">
        <v>76</v>
      </c>
      <c r="D15">
        <v>242.44</v>
      </c>
      <c r="E15">
        <v>0.98743147237017737</v>
      </c>
      <c r="F15">
        <v>0.23939406808761174</v>
      </c>
      <c r="G15">
        <v>-5.5507175050658146</v>
      </c>
      <c r="H15">
        <v>0.40044733715477998</v>
      </c>
      <c r="I15">
        <v>4.0794173381639987E-2</v>
      </c>
      <c r="J15">
        <v>-13.209999993496449</v>
      </c>
      <c r="K15">
        <v>0.17040594910108811</v>
      </c>
      <c r="L15">
        <v>5.0000000000000001E-3</v>
      </c>
      <c r="M15" t="s">
        <v>56</v>
      </c>
      <c r="N15" t="s">
        <v>56</v>
      </c>
      <c r="O15" t="s">
        <v>56</v>
      </c>
      <c r="P15" t="s">
        <v>56</v>
      </c>
      <c r="Q15" t="s">
        <v>56</v>
      </c>
      <c r="R15" t="s">
        <v>56</v>
      </c>
      <c r="S15" t="s">
        <v>56</v>
      </c>
      <c r="T15" t="s">
        <v>56</v>
      </c>
      <c r="U15" t="s">
        <v>140</v>
      </c>
      <c r="V15" t="s">
        <v>56</v>
      </c>
      <c r="W15">
        <v>-13.209999993496449</v>
      </c>
      <c r="X15" t="s">
        <v>56</v>
      </c>
      <c r="Y15">
        <v>0</v>
      </c>
      <c r="Z15" t="s">
        <v>56</v>
      </c>
      <c r="AA15">
        <v>0.40044733715477998</v>
      </c>
      <c r="AB15" t="s">
        <v>56</v>
      </c>
      <c r="AC15">
        <v>4.0794173381639987E-2</v>
      </c>
    </row>
    <row r="16" spans="1:29" x14ac:dyDescent="0.2">
      <c r="A16" t="s">
        <v>78</v>
      </c>
      <c r="B16" t="s">
        <v>16</v>
      </c>
      <c r="C16" t="s">
        <v>16</v>
      </c>
      <c r="D16">
        <v>74.12</v>
      </c>
      <c r="E16">
        <v>4.6864037274298314</v>
      </c>
      <c r="F16">
        <v>0.3474539428442705</v>
      </c>
      <c r="G16">
        <v>-5.5491841280687515</v>
      </c>
      <c r="H16">
        <v>1.203868573868351</v>
      </c>
      <c r="I16">
        <v>3.7494100577259826E-2</v>
      </c>
      <c r="J16">
        <v>-13.209999999971602</v>
      </c>
      <c r="K16">
        <v>0.10791099467840763</v>
      </c>
      <c r="L16">
        <v>0.06</v>
      </c>
      <c r="M16" t="s">
        <v>56</v>
      </c>
      <c r="N16" t="s">
        <v>56</v>
      </c>
      <c r="O16" t="s">
        <v>56</v>
      </c>
      <c r="P16" t="s">
        <v>56</v>
      </c>
      <c r="Q16" t="s">
        <v>56</v>
      </c>
      <c r="R16" t="s">
        <v>56</v>
      </c>
      <c r="S16" t="s">
        <v>56</v>
      </c>
      <c r="T16" t="s">
        <v>56</v>
      </c>
      <c r="U16" t="s">
        <v>140</v>
      </c>
      <c r="V16" t="s">
        <v>56</v>
      </c>
      <c r="W16">
        <v>-13.209999999971602</v>
      </c>
      <c r="X16" t="s">
        <v>56</v>
      </c>
      <c r="Y16">
        <v>0</v>
      </c>
      <c r="Z16" t="s">
        <v>56</v>
      </c>
      <c r="AA16">
        <v>1.203868573868351</v>
      </c>
      <c r="AB16" t="s">
        <v>56</v>
      </c>
      <c r="AC16">
        <v>3.7494100577259826E-2</v>
      </c>
    </row>
    <row r="17" spans="1:29" x14ac:dyDescent="0.2">
      <c r="A17" t="s">
        <v>79</v>
      </c>
      <c r="B17" t="s">
        <v>17</v>
      </c>
      <c r="C17" t="s">
        <v>68</v>
      </c>
      <c r="D17">
        <v>89.07</v>
      </c>
      <c r="E17">
        <v>8.8602115685483511</v>
      </c>
      <c r="F17">
        <v>0.79403340413828238</v>
      </c>
      <c r="G17">
        <v>-5.5168101757238226</v>
      </c>
      <c r="H17">
        <v>14.737688310018427</v>
      </c>
      <c r="I17">
        <v>0.55158096635078613</v>
      </c>
      <c r="J17">
        <v>-13.209999999921756</v>
      </c>
      <c r="K17">
        <v>0.69465713089159564</v>
      </c>
      <c r="L17">
        <v>0.69</v>
      </c>
      <c r="M17" t="s">
        <v>56</v>
      </c>
      <c r="N17" t="s">
        <v>56</v>
      </c>
      <c r="O17" t="s">
        <v>56</v>
      </c>
      <c r="P17" t="s">
        <v>56</v>
      </c>
      <c r="Q17" t="s">
        <v>56</v>
      </c>
      <c r="R17" t="s">
        <v>56</v>
      </c>
      <c r="S17" t="s">
        <v>56</v>
      </c>
      <c r="T17" t="s">
        <v>56</v>
      </c>
      <c r="U17" t="s">
        <v>140</v>
      </c>
      <c r="V17" t="s">
        <v>56</v>
      </c>
      <c r="W17">
        <v>-13.209999999921756</v>
      </c>
      <c r="X17" t="s">
        <v>56</v>
      </c>
      <c r="Y17">
        <v>0</v>
      </c>
      <c r="Z17" t="s">
        <v>56</v>
      </c>
      <c r="AA17">
        <v>14.737688310018427</v>
      </c>
      <c r="AB17" t="s">
        <v>56</v>
      </c>
      <c r="AC17">
        <v>0.55158096635078613</v>
      </c>
    </row>
    <row r="18" spans="1:29" x14ac:dyDescent="0.2">
      <c r="A18" t="s">
        <v>80</v>
      </c>
      <c r="B18" t="s">
        <v>18</v>
      </c>
      <c r="C18" t="s">
        <v>81</v>
      </c>
      <c r="D18">
        <v>140.09</v>
      </c>
      <c r="E18">
        <v>3.8364607704513154</v>
      </c>
      <c r="F18">
        <v>0.53759416145628458</v>
      </c>
      <c r="G18">
        <v>-5.5492542449103448</v>
      </c>
      <c r="H18">
        <v>1.6861000649454321</v>
      </c>
      <c r="I18">
        <v>9.9252173045698458E-2</v>
      </c>
      <c r="J18">
        <v>-13.209966786972178</v>
      </c>
      <c r="K18">
        <v>0.18462286267550793</v>
      </c>
      <c r="L18">
        <v>7.0000000000000007E-2</v>
      </c>
      <c r="M18" t="s">
        <v>56</v>
      </c>
      <c r="N18" t="s">
        <v>56</v>
      </c>
      <c r="O18" t="s">
        <v>56</v>
      </c>
      <c r="P18" t="s">
        <v>56</v>
      </c>
      <c r="Q18" t="s">
        <v>56</v>
      </c>
      <c r="R18" t="s">
        <v>56</v>
      </c>
      <c r="S18" t="s">
        <v>56</v>
      </c>
      <c r="T18" t="s">
        <v>56</v>
      </c>
      <c r="U18" t="s">
        <v>140</v>
      </c>
      <c r="V18" t="s">
        <v>56</v>
      </c>
      <c r="W18">
        <v>-13.209966786972178</v>
      </c>
      <c r="X18" t="s">
        <v>56</v>
      </c>
      <c r="Y18">
        <v>0</v>
      </c>
      <c r="Z18" t="s">
        <v>56</v>
      </c>
      <c r="AA18">
        <v>1.6861000649454321</v>
      </c>
      <c r="AB18" t="s">
        <v>56</v>
      </c>
      <c r="AC18">
        <v>9.9252173045698458E-2</v>
      </c>
    </row>
    <row r="19" spans="1:29" x14ac:dyDescent="0.2">
      <c r="A19" t="s">
        <v>82</v>
      </c>
      <c r="B19" t="s">
        <v>19</v>
      </c>
      <c r="C19" t="s">
        <v>83</v>
      </c>
      <c r="D19">
        <v>272.25</v>
      </c>
      <c r="E19">
        <v>3.9690930361825938</v>
      </c>
      <c r="F19">
        <v>0.45405411831770826</v>
      </c>
      <c r="G19">
        <v>-13.21</v>
      </c>
      <c r="H19">
        <v>0.40009457288288103</v>
      </c>
      <c r="I19">
        <v>4.5769798510149444E-2</v>
      </c>
      <c r="J19">
        <v>-13.209999999994329</v>
      </c>
      <c r="K19">
        <v>0.10080251816617959</v>
      </c>
      <c r="M19" t="s">
        <v>56</v>
      </c>
      <c r="N19" t="s">
        <v>56</v>
      </c>
      <c r="O19" t="s">
        <v>56</v>
      </c>
      <c r="P19" t="s">
        <v>56</v>
      </c>
      <c r="Q19" t="s">
        <v>56</v>
      </c>
      <c r="R19" t="s">
        <v>56</v>
      </c>
      <c r="S19" t="s">
        <v>56</v>
      </c>
      <c r="T19" t="s">
        <v>56</v>
      </c>
      <c r="U19" t="s">
        <v>140</v>
      </c>
      <c r="V19" t="s">
        <v>56</v>
      </c>
      <c r="W19">
        <v>-13.209999999994329</v>
      </c>
      <c r="X19" t="s">
        <v>56</v>
      </c>
      <c r="Y19">
        <v>0</v>
      </c>
      <c r="Z19" t="s">
        <v>56</v>
      </c>
      <c r="AA19">
        <v>0.40009457288288103</v>
      </c>
      <c r="AB19" t="s">
        <v>56</v>
      </c>
      <c r="AC19">
        <v>4.5769798510149444E-2</v>
      </c>
    </row>
    <row r="20" spans="1:29" x14ac:dyDescent="0.2">
      <c r="A20" t="s">
        <v>84</v>
      </c>
      <c r="B20" t="s">
        <v>85</v>
      </c>
      <c r="C20" t="s">
        <v>86</v>
      </c>
      <c r="D20">
        <v>268.5</v>
      </c>
      <c r="E20">
        <v>9.9963640014571808E-2</v>
      </c>
      <c r="F20">
        <v>0.23552527003365606</v>
      </c>
      <c r="G20">
        <v>-0.33292500000000003</v>
      </c>
      <c r="M20" t="s">
        <v>56</v>
      </c>
      <c r="N20" t="s">
        <v>134</v>
      </c>
      <c r="O20" t="s">
        <v>56</v>
      </c>
      <c r="P20" t="s">
        <v>56</v>
      </c>
      <c r="Q20" t="s">
        <v>56</v>
      </c>
      <c r="R20" t="s">
        <v>56</v>
      </c>
      <c r="S20" t="s">
        <v>90</v>
      </c>
      <c r="T20" t="s">
        <v>56</v>
      </c>
      <c r="U20" t="s">
        <v>56</v>
      </c>
      <c r="V20" t="s">
        <v>56</v>
      </c>
      <c r="X20" t="s">
        <v>56</v>
      </c>
      <c r="Z20" t="s">
        <v>56</v>
      </c>
      <c r="AB20" t="s">
        <v>56</v>
      </c>
    </row>
    <row r="21" spans="1:29" x14ac:dyDescent="0.2">
      <c r="A21" t="s">
        <v>91</v>
      </c>
      <c r="B21" t="s">
        <v>92</v>
      </c>
      <c r="C21" t="s">
        <v>93</v>
      </c>
      <c r="D21">
        <v>242.44</v>
      </c>
      <c r="E21">
        <v>0.11416738302739309</v>
      </c>
      <c r="F21">
        <v>0.24288320216817982</v>
      </c>
      <c r="G21">
        <v>-0.33292500000000003</v>
      </c>
      <c r="M21" t="s">
        <v>56</v>
      </c>
      <c r="N21" t="s">
        <v>134</v>
      </c>
      <c r="O21" t="s">
        <v>56</v>
      </c>
      <c r="P21" t="s">
        <v>56</v>
      </c>
      <c r="Q21" t="s">
        <v>56</v>
      </c>
      <c r="R21" t="s">
        <v>56</v>
      </c>
      <c r="S21" t="s">
        <v>56</v>
      </c>
      <c r="T21" t="s">
        <v>56</v>
      </c>
      <c r="U21" t="s">
        <v>56</v>
      </c>
      <c r="V21" t="s">
        <v>56</v>
      </c>
      <c r="X21" t="s">
        <v>56</v>
      </c>
      <c r="Z21" t="s">
        <v>56</v>
      </c>
      <c r="AB21" t="s">
        <v>56</v>
      </c>
    </row>
    <row r="22" spans="1:29" x14ac:dyDescent="0.2">
      <c r="A22" t="s">
        <v>94</v>
      </c>
      <c r="B22" t="s">
        <v>20</v>
      </c>
      <c r="C22" t="s">
        <v>95</v>
      </c>
      <c r="D22">
        <v>103.1</v>
      </c>
      <c r="E22">
        <v>4.8266331155732374</v>
      </c>
      <c r="F22">
        <v>0.49793831173644304</v>
      </c>
      <c r="G22">
        <v>-5.5472620267711052</v>
      </c>
      <c r="H22">
        <v>1.443972089043094</v>
      </c>
      <c r="I22">
        <v>6.2555559924804063E-2</v>
      </c>
      <c r="J22">
        <v>-13.209999999598326</v>
      </c>
      <c r="K22">
        <v>0.12562913608044382</v>
      </c>
      <c r="L22">
        <v>0.13</v>
      </c>
      <c r="M22" t="s">
        <v>56</v>
      </c>
      <c r="N22" t="s">
        <v>56</v>
      </c>
      <c r="O22" t="s">
        <v>56</v>
      </c>
      <c r="P22" t="s">
        <v>56</v>
      </c>
      <c r="Q22" t="s">
        <v>56</v>
      </c>
      <c r="R22" t="s">
        <v>56</v>
      </c>
      <c r="S22" t="s">
        <v>56</v>
      </c>
      <c r="T22" t="s">
        <v>56</v>
      </c>
      <c r="U22" t="s">
        <v>140</v>
      </c>
      <c r="V22" t="s">
        <v>56</v>
      </c>
      <c r="W22">
        <v>-13.209999999598326</v>
      </c>
      <c r="X22" t="s">
        <v>56</v>
      </c>
      <c r="Y22">
        <v>0</v>
      </c>
      <c r="Z22" t="s">
        <v>56</v>
      </c>
      <c r="AA22">
        <v>1.443972089043094</v>
      </c>
      <c r="AB22" t="s">
        <v>56</v>
      </c>
      <c r="AC22">
        <v>6.2555559924804063E-2</v>
      </c>
    </row>
    <row r="23" spans="1:29" x14ac:dyDescent="0.2">
      <c r="A23" t="s">
        <v>96</v>
      </c>
      <c r="B23" t="s">
        <v>21</v>
      </c>
      <c r="C23" t="s">
        <v>97</v>
      </c>
      <c r="D23">
        <v>329.4</v>
      </c>
      <c r="E23">
        <v>2.5111438742093268</v>
      </c>
      <c r="F23">
        <v>0.34757108737931042</v>
      </c>
      <c r="G23">
        <v>-13.21</v>
      </c>
      <c r="H23">
        <v>0.20312293165081499</v>
      </c>
      <c r="I23">
        <v>2.8114666506978366E-2</v>
      </c>
      <c r="J23">
        <v>-13.209941182005009</v>
      </c>
      <c r="K23">
        <v>8.0888967833783992E-2</v>
      </c>
      <c r="M23" t="s">
        <v>56</v>
      </c>
      <c r="N23" t="s">
        <v>56</v>
      </c>
      <c r="O23" t="s">
        <v>56</v>
      </c>
      <c r="P23" t="s">
        <v>56</v>
      </c>
      <c r="Q23" t="s">
        <v>56</v>
      </c>
      <c r="R23" t="s">
        <v>56</v>
      </c>
      <c r="S23" t="s">
        <v>56</v>
      </c>
      <c r="T23" t="s">
        <v>56</v>
      </c>
      <c r="U23" t="s">
        <v>140</v>
      </c>
      <c r="V23" t="s">
        <v>56</v>
      </c>
      <c r="W23">
        <v>-13.209941182005009</v>
      </c>
      <c r="X23" t="s">
        <v>56</v>
      </c>
      <c r="Y23">
        <v>0</v>
      </c>
      <c r="Z23" t="s">
        <v>56</v>
      </c>
      <c r="AA23">
        <v>0.20312293165081499</v>
      </c>
      <c r="AB23" t="s">
        <v>56</v>
      </c>
      <c r="AC23">
        <v>2.8114666506978366E-2</v>
      </c>
    </row>
    <row r="24" spans="1:29" x14ac:dyDescent="0.2">
      <c r="A24" t="s">
        <v>98</v>
      </c>
      <c r="B24" t="s">
        <v>22</v>
      </c>
      <c r="C24" t="s">
        <v>99</v>
      </c>
      <c r="D24">
        <v>228.24</v>
      </c>
      <c r="E24">
        <v>1.465955759336204</v>
      </c>
      <c r="F24">
        <v>0.33458984060967545</v>
      </c>
      <c r="G24">
        <v>-5.5507432825376322</v>
      </c>
      <c r="H24">
        <v>0.40009457275571603</v>
      </c>
      <c r="I24">
        <v>3.8370978183939267E-2</v>
      </c>
      <c r="J24">
        <v>-13.209999997539551</v>
      </c>
      <c r="K24">
        <v>0.11468064336329307</v>
      </c>
      <c r="L24">
        <v>2.0000000000000001E-4</v>
      </c>
      <c r="M24" t="s">
        <v>56</v>
      </c>
      <c r="N24" t="s">
        <v>56</v>
      </c>
      <c r="O24" t="s">
        <v>56</v>
      </c>
      <c r="P24" t="s">
        <v>56</v>
      </c>
      <c r="Q24" t="s">
        <v>56</v>
      </c>
      <c r="R24" t="s">
        <v>56</v>
      </c>
      <c r="S24" t="s">
        <v>56</v>
      </c>
      <c r="T24" t="s">
        <v>56</v>
      </c>
      <c r="U24" t="s">
        <v>140</v>
      </c>
      <c r="V24" t="s">
        <v>56</v>
      </c>
      <c r="W24">
        <v>-13.209999997539551</v>
      </c>
      <c r="X24" t="s">
        <v>56</v>
      </c>
      <c r="Y24">
        <v>0</v>
      </c>
      <c r="Z24" t="s">
        <v>56</v>
      </c>
      <c r="AA24">
        <v>0.40009457275571603</v>
      </c>
      <c r="AB24" t="s">
        <v>56</v>
      </c>
      <c r="AC24">
        <v>3.8370978183939267E-2</v>
      </c>
    </row>
    <row r="25" spans="1:29" x14ac:dyDescent="0.2">
      <c r="A25" t="s">
        <v>100</v>
      </c>
      <c r="B25" t="s">
        <v>23</v>
      </c>
      <c r="C25" t="s">
        <v>66</v>
      </c>
      <c r="D25">
        <v>246.3</v>
      </c>
      <c r="E25">
        <v>1.1161070880932331</v>
      </c>
      <c r="F25">
        <v>0.2748980962445054</v>
      </c>
      <c r="G25">
        <v>-5.550726324289684</v>
      </c>
      <c r="H25">
        <v>0.27374515997958399</v>
      </c>
      <c r="I25">
        <v>2.8330997036965653E-2</v>
      </c>
      <c r="J25">
        <v>-13.209922563274135</v>
      </c>
      <c r="K25">
        <v>0.10305999722808894</v>
      </c>
      <c r="L25">
        <v>3.0000000000000001E-3</v>
      </c>
      <c r="M25" t="s">
        <v>56</v>
      </c>
      <c r="N25" t="s">
        <v>56</v>
      </c>
      <c r="O25" t="s">
        <v>56</v>
      </c>
      <c r="P25" t="s">
        <v>56</v>
      </c>
      <c r="Q25" t="s">
        <v>56</v>
      </c>
      <c r="R25" t="s">
        <v>56</v>
      </c>
      <c r="S25" t="s">
        <v>56</v>
      </c>
      <c r="T25" t="s">
        <v>56</v>
      </c>
      <c r="U25" t="s">
        <v>140</v>
      </c>
      <c r="V25" t="s">
        <v>56</v>
      </c>
      <c r="W25">
        <v>-13.209922563274135</v>
      </c>
      <c r="X25" t="s">
        <v>56</v>
      </c>
      <c r="Y25">
        <v>0</v>
      </c>
      <c r="Z25" t="s">
        <v>56</v>
      </c>
      <c r="AA25">
        <v>0.27374515997958399</v>
      </c>
      <c r="AB25" t="s">
        <v>56</v>
      </c>
      <c r="AC25">
        <v>2.8330997036965653E-2</v>
      </c>
    </row>
    <row r="26" spans="1:29" x14ac:dyDescent="0.2">
      <c r="A26" t="s">
        <v>101</v>
      </c>
      <c r="B26" t="s">
        <v>102</v>
      </c>
      <c r="C26" t="s">
        <v>102</v>
      </c>
      <c r="D26">
        <v>174.15</v>
      </c>
      <c r="E26">
        <v>9.7256521873607156</v>
      </c>
      <c r="F26">
        <v>0.71168967399120808</v>
      </c>
      <c r="G26">
        <v>-13.21</v>
      </c>
      <c r="H26">
        <v>1.8945261214739599</v>
      </c>
      <c r="I26">
        <v>0.13863488556466572</v>
      </c>
      <c r="J26">
        <v>-13.209999997287454</v>
      </c>
      <c r="K26">
        <v>0.19479682034332615</v>
      </c>
      <c r="M26" t="s">
        <v>56</v>
      </c>
      <c r="N26" t="s">
        <v>56</v>
      </c>
      <c r="O26" t="s">
        <v>56</v>
      </c>
      <c r="P26" t="s">
        <v>56</v>
      </c>
      <c r="Q26" t="s">
        <v>56</v>
      </c>
      <c r="R26" t="s">
        <v>56</v>
      </c>
      <c r="S26" t="s">
        <v>56</v>
      </c>
      <c r="T26" t="s">
        <v>56</v>
      </c>
      <c r="U26" t="s">
        <v>140</v>
      </c>
      <c r="V26" t="s">
        <v>56</v>
      </c>
      <c r="W26">
        <v>-13.209999997287454</v>
      </c>
      <c r="X26" t="s">
        <v>56</v>
      </c>
      <c r="Y26">
        <v>0</v>
      </c>
      <c r="Z26" t="s">
        <v>56</v>
      </c>
      <c r="AA26">
        <v>1.8945261214739599</v>
      </c>
      <c r="AB26" t="s">
        <v>56</v>
      </c>
      <c r="AC26">
        <v>0.13863488556466572</v>
      </c>
    </row>
    <row r="27" spans="1:29" x14ac:dyDescent="0.2">
      <c r="A27" t="s">
        <v>103</v>
      </c>
      <c r="B27" t="s">
        <v>104</v>
      </c>
      <c r="C27" t="s">
        <v>105</v>
      </c>
      <c r="D27">
        <v>270.5</v>
      </c>
      <c r="E27">
        <v>0.10139557881423455</v>
      </c>
      <c r="F27">
        <v>0.24067858340770357</v>
      </c>
      <c r="G27">
        <v>-0.33292500000000003</v>
      </c>
      <c r="M27" t="s">
        <v>56</v>
      </c>
      <c r="N27" t="s">
        <v>134</v>
      </c>
      <c r="O27" t="s">
        <v>56</v>
      </c>
      <c r="P27" t="s">
        <v>56</v>
      </c>
      <c r="Q27" t="s">
        <v>56</v>
      </c>
      <c r="R27" t="s">
        <v>56</v>
      </c>
      <c r="S27" t="s">
        <v>56</v>
      </c>
      <c r="T27" t="s">
        <v>56</v>
      </c>
      <c r="U27" t="s">
        <v>56</v>
      </c>
      <c r="V27" t="s">
        <v>56</v>
      </c>
      <c r="X27" t="s">
        <v>56</v>
      </c>
      <c r="Z27" t="s">
        <v>56</v>
      </c>
      <c r="AB27" t="s">
        <v>56</v>
      </c>
    </row>
    <row r="28" spans="1:29" x14ac:dyDescent="0.2">
      <c r="A28" t="s">
        <v>106</v>
      </c>
      <c r="B28" t="s">
        <v>25</v>
      </c>
      <c r="C28" t="s">
        <v>58</v>
      </c>
      <c r="D28">
        <v>104.15</v>
      </c>
      <c r="E28">
        <v>2.4915497951652772</v>
      </c>
      <c r="F28">
        <v>0.25949555771256505</v>
      </c>
      <c r="G28">
        <v>-5.5507310800096219</v>
      </c>
      <c r="H28">
        <v>1.368184557281015</v>
      </c>
      <c r="I28">
        <v>5.9875949074468374E-2</v>
      </c>
      <c r="J28">
        <v>-13.209999997286747</v>
      </c>
      <c r="K28">
        <v>0.23073978453531391</v>
      </c>
      <c r="L28">
        <v>1E-3</v>
      </c>
      <c r="M28" t="s">
        <v>56</v>
      </c>
      <c r="N28" t="s">
        <v>56</v>
      </c>
      <c r="O28" t="s">
        <v>56</v>
      </c>
      <c r="P28" t="s">
        <v>56</v>
      </c>
      <c r="Q28" t="s">
        <v>56</v>
      </c>
      <c r="R28" t="s">
        <v>56</v>
      </c>
      <c r="S28" t="s">
        <v>56</v>
      </c>
      <c r="T28" t="s">
        <v>56</v>
      </c>
      <c r="U28" t="s">
        <v>140</v>
      </c>
      <c r="V28" t="s">
        <v>56</v>
      </c>
      <c r="W28">
        <v>-13.209999997286747</v>
      </c>
      <c r="X28" t="s">
        <v>56</v>
      </c>
      <c r="Y28">
        <v>0</v>
      </c>
      <c r="Z28" t="s">
        <v>56</v>
      </c>
      <c r="AA28">
        <v>1.368184557281015</v>
      </c>
      <c r="AB28" t="s">
        <v>56</v>
      </c>
      <c r="AC28">
        <v>5.9875949074468374E-2</v>
      </c>
    </row>
    <row r="29" spans="1:29" x14ac:dyDescent="0.2">
      <c r="A29" t="s">
        <v>107</v>
      </c>
      <c r="B29" t="s">
        <v>108</v>
      </c>
      <c r="C29" t="s">
        <v>108</v>
      </c>
      <c r="D29">
        <v>824.3</v>
      </c>
      <c r="E29">
        <v>0.13084233373951282</v>
      </c>
      <c r="F29">
        <v>0.27198109117459418</v>
      </c>
      <c r="G29">
        <v>-2.2011337271575702</v>
      </c>
      <c r="H29">
        <v>1.0665980959912001E-2</v>
      </c>
      <c r="I29">
        <v>2.2171303866713336E-2</v>
      </c>
      <c r="J29">
        <v>-2.201133727123922</v>
      </c>
      <c r="K29">
        <v>8.1517813503001205E-2</v>
      </c>
      <c r="L29">
        <v>0.14000000000000001</v>
      </c>
      <c r="M29" t="s">
        <v>56</v>
      </c>
      <c r="N29" t="s">
        <v>135</v>
      </c>
      <c r="O29" t="s">
        <v>56</v>
      </c>
      <c r="P29" t="s">
        <v>56</v>
      </c>
      <c r="Q29" t="s">
        <v>56</v>
      </c>
      <c r="R29" t="s">
        <v>56</v>
      </c>
      <c r="S29" t="s">
        <v>56</v>
      </c>
      <c r="T29" t="s">
        <v>56</v>
      </c>
      <c r="U29" t="s">
        <v>140</v>
      </c>
      <c r="V29" t="s">
        <v>56</v>
      </c>
      <c r="W29">
        <v>-2.201133727123922</v>
      </c>
      <c r="X29" t="s">
        <v>56</v>
      </c>
      <c r="Y29">
        <v>0</v>
      </c>
      <c r="Z29" t="s">
        <v>56</v>
      </c>
      <c r="AA29">
        <v>1.0665980959912001E-2</v>
      </c>
      <c r="AB29" t="s">
        <v>56</v>
      </c>
      <c r="AC29">
        <v>2.2171303866713336E-2</v>
      </c>
    </row>
    <row r="30" spans="1:29" x14ac:dyDescent="0.2">
      <c r="A30" t="s">
        <v>112</v>
      </c>
      <c r="B30" t="s">
        <v>113</v>
      </c>
      <c r="C30" t="s">
        <v>114</v>
      </c>
      <c r="D30">
        <v>126.11004</v>
      </c>
      <c r="E30">
        <v>7.1056129993944976E-3</v>
      </c>
      <c r="F30">
        <v>6.718414909479177E-2</v>
      </c>
      <c r="G30">
        <v>-7.8476895921783002E-2</v>
      </c>
      <c r="M30" t="s">
        <v>56</v>
      </c>
      <c r="N30" t="s">
        <v>136</v>
      </c>
      <c r="O30" t="s">
        <v>56</v>
      </c>
      <c r="P30" t="s">
        <v>56</v>
      </c>
      <c r="Q30" t="s">
        <v>56</v>
      </c>
      <c r="R30" t="s">
        <v>56</v>
      </c>
      <c r="S30" t="s">
        <v>56</v>
      </c>
      <c r="T30" t="s">
        <v>56</v>
      </c>
      <c r="U30" t="s">
        <v>56</v>
      </c>
      <c r="V30" t="s">
        <v>56</v>
      </c>
      <c r="X30" t="s">
        <v>56</v>
      </c>
      <c r="Z30" t="s">
        <v>56</v>
      </c>
      <c r="AB30" t="s">
        <v>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F01A03-824E-AC4A-8638-988A33B69A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RT</vt:lpstr>
      <vt:lpstr>RT_min_default_kapp</vt:lpstr>
      <vt:lpstr>SC</vt:lpstr>
      <vt:lpstr>SC_MDK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2025-06-02T15:25:22Z</dcterms:modified>
</cp:coreProperties>
</file>