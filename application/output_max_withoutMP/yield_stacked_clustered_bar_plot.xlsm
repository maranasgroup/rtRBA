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jm6426/Documents/rtRBA-main/application/output_max_withoutMP/"/>
    </mc:Choice>
  </mc:AlternateContent>
  <xr:revisionPtr revIDLastSave="0" documentId="13_ncr:1_{F31FFD9C-7969-524E-A85F-05EA85FFAF45}" xr6:coauthVersionLast="47" xr6:coauthVersionMax="47" xr10:uidLastSave="{00000000-0000-0000-0000-000000000000}"/>
  <bookViews>
    <workbookView xWindow="3500" yWindow="5220" windowWidth="30240" windowHeight="18880" activeTab="1" xr2:uid="{6C52A7FF-F534-437B-8841-5CF279F3B083}"/>
  </bookViews>
  <sheets>
    <sheet name="Sheet1" sheetId="1" r:id="rId1"/>
    <sheet name="Sheet2" sheetId="2" r:id="rId2"/>
  </sheets>
  <definedNames>
    <definedName name="_xleta.TOROW" hidden="1" xlm="1">#NAME?</definedName>
    <definedName name="_xlop.adj" hidden="1" xlm="1">#NAME?</definedName>
    <definedName name="_xlop.delimiter" hidden="1" xlm="1">#NAME?</definedName>
    <definedName name="_xlop.match_case" hidden="1" xlm="1">#NAME?</definedName>
    <definedName name="_xlop.min_digits" hidden="1" xlm="1">#NAME?</definedName>
    <definedName name="_xlop.num_cols_dropped" hidden="1" xlm="1">#NAME?</definedName>
    <definedName name="_xlop.num_rows_dropped" hidden="1" xlm="1">#NAME?</definedName>
    <definedName name="_xlpm.adj" hidden="1" xlm="1">#NAME?</definedName>
    <definedName name="_xlpm.adjust" hidden="1" xlm="1">#NAME?</definedName>
    <definedName name="_xlpm.array" hidden="1" xlm="1">#NAME?</definedName>
    <definedName name="_xlpm.c" hidden="1" xlm="1">#NAME?</definedName>
    <definedName name="_xlpm.cells" hidden="1" xlm="1">#NAME?</definedName>
    <definedName name="_xlpm.col" hidden="1" xlm="1">#NAME?</definedName>
    <definedName name="_xlpm.default" hidden="1" xlm="1">#NAME?</definedName>
    <definedName name="_xlpm.delim" hidden="1" xlm="1">#NAME?</definedName>
    <definedName name="_xlpm.delimiter" hidden="1" xlm="1">#NAME?</definedName>
    <definedName name="_xlpm.element" hidden="1" xlm="1">#NAME?</definedName>
    <definedName name="_xlpm.match_case" hidden="1" xlm="1">#NAME?</definedName>
    <definedName name="_xlpm.min_digits" hidden="1" xlm="1">#NAME?</definedName>
    <definedName name="_xlpm.n" hidden="1" xlm="1">#NAME?</definedName>
    <definedName name="_xlpm.nmax" hidden="1" xlm="1">#NAME?</definedName>
    <definedName name="_xlpm.num_cols_dropped" hidden="1" xlm="1">#NAME?</definedName>
    <definedName name="_xlpm.num_rows_dropped" hidden="1" xlm="1">#NAME?</definedName>
    <definedName name="_xlpm.r" hidden="1" xlm="1">#NAME?</definedName>
    <definedName name="_xlpm.sortcol" hidden="1" xlm="1">#NAME?</definedName>
    <definedName name="_xlpm.str" hidden="1" xlm="1">#NAME?</definedName>
    <definedName name="_xlpm.t" hidden="1" xlm="1">#NAME?</definedName>
    <definedName name="_xlpm.value" hidden="1" xlm="1">#NAME?</definedName>
    <definedName name="_xlpm.x" hidden="1" xlm="1">#NAME?</definedName>
    <definedName name="_xlpm.y" hidden="1" xlm="1">#NAME?</definedName>
    <definedName name="Duplicates_DIY" comment="Returns all values in an array with duplicates (including duplicates) as a column. Case-sensitive by default, but set 2nd argument to false to make it case-insensitive.">_xlfn.LAMBDA(_xlpm.array,_xlop.match_case,_xlfn.LET(_xlpm.col,_xlfn.TOCOL(_xlpm.array),IF(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IfBlank_DIY" comment="Return a default value if the input is blank.">_xlfn.LAMBDA(_xlpm.value,_xlpm.default,IF(_xlpm.value="",_xlpm.default,_xlpm.value))</definedName>
    <definedName name="IsElementOfSet_CaseInsensitive_DIY" comment="Checks if a value is an element of a set. Case-insensitive version.">_xlfn.LAMBDA(_xlpm.element,_xlpm.array,OR(_xlpm.element=_xlpm.array))</definedName>
    <definedName name="IsElementOfSet_DIY" comment="Checks if a value is an element of a set (case-sensitive).">_xlfn.LAMBDA(_xlpm.element,_xlpm.array,OR(EXACT(_xlpm.element,_xlpm.array)))</definedName>
    <definedName name="IsSubset_DIY">_xlfn.LAMBDA(_xlpm.x,_xlpm.y,AND(COUNTIF(_xlpm.y,_xlpm.x)&gt;=COUNTIF(_xlpm.x,_xlpm.x)))</definedName>
    <definedName name="LongestNumAtEnd_DIY" comment="Checks the end of a string for the longest number, including extra zeros (e.g., &quot;04&quot; in t04) unless the optional 2nd argument is set to 1 or TRUE.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nonblanks_DIY" comment="Returns all non-blank rows of an array.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TEXTBETWEEN_DIY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SplitArray_DIY" comment="Like TEXTSPLIT but for an array; input cells and then a string to split them by. If the input array is a row, it's split vertically; otherwise, it's split horizontally.">_xlfn.LAMBDA(_xlpm.cells,_xlop.delimiter,_xlfn.LET(_xlpm.str,IfBlank_DIY(_xlpm.delimiter,"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" i="2" l="1" a="1"/>
  <c r="M30" i="2" s="1"/>
  <c r="L30" i="2" a="1"/>
  <c r="L30" i="2" s="1"/>
  <c r="K29" i="2" a="1"/>
  <c r="K29" i="2" s="1"/>
  <c r="J29" i="2" a="1"/>
  <c r="J29" i="2" s="1"/>
  <c r="I31" i="2" a="1"/>
  <c r="I31" i="2" s="1"/>
  <c r="H28" i="2" a="1"/>
  <c r="H28" i="2" s="1"/>
  <c r="J27" i="2" a="1"/>
  <c r="J27" i="2" s="1"/>
  <c r="A28" i="2" a="1"/>
  <c r="A28" i="2" s="1"/>
  <c r="B32" i="2" a="1"/>
  <c r="B32" i="2" s="1"/>
  <c r="F30" i="2" a="1"/>
  <c r="F30" i="2" s="1"/>
  <c r="E30" i="2" a="1"/>
  <c r="E30" i="2" s="1"/>
  <c r="D29" i="2" a="1"/>
  <c r="D29" i="2" s="1"/>
  <c r="C29" i="2" a="1"/>
  <c r="C2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<sst xmlns="http://schemas.openxmlformats.org/spreadsheetml/2006/main" count="350" uniqueCount="342">
  <si>
    <t>rxn</t>
  </si>
  <si>
    <t>v_exp_lb</t>
  </si>
  <si>
    <t>v_sm</t>
  </si>
  <si>
    <t>% diff from v_exp_lb</t>
  </si>
  <si>
    <t>13GS_c</t>
  </si>
  <si>
    <t>16GS_c</t>
  </si>
  <si>
    <t>2OBUTt_c_m</t>
  </si>
  <si>
    <t>2OXOADPt_c_m</t>
  </si>
  <si>
    <t>AASADy_c</t>
  </si>
  <si>
    <t>AATA_c</t>
  </si>
  <si>
    <t>ACACT40ir_c</t>
  </si>
  <si>
    <t>ACGAM6PS_c</t>
  </si>
  <si>
    <t>ACGAMPM_c</t>
  </si>
  <si>
    <t>ACGK_m</t>
  </si>
  <si>
    <t>ACHBS_m</t>
  </si>
  <si>
    <t>ACITL_c</t>
  </si>
  <si>
    <t>ACKr_c</t>
  </si>
  <si>
    <t>ACLS_m</t>
  </si>
  <si>
    <t>ACOADS180_rm</t>
  </si>
  <si>
    <t>ACOADS181_rm</t>
  </si>
  <si>
    <t>ACOADS182_rm</t>
  </si>
  <si>
    <t>ACONTa_m</t>
  </si>
  <si>
    <t>ACONTb_m</t>
  </si>
  <si>
    <t>ACOTAi_m</t>
  </si>
  <si>
    <t>ACS_c</t>
  </si>
  <si>
    <t>ADK1_c</t>
  </si>
  <si>
    <t>ADNK1_c</t>
  </si>
  <si>
    <t>ADPATPt_c_m</t>
  </si>
  <si>
    <t>ADSK_c</t>
  </si>
  <si>
    <t>ADSL1r_c</t>
  </si>
  <si>
    <t>ADSL2i_c</t>
  </si>
  <si>
    <t>ADSS_c</t>
  </si>
  <si>
    <t>AGPAT_rm</t>
  </si>
  <si>
    <t>AGPRi_m</t>
  </si>
  <si>
    <t>AHCi_c</t>
  </si>
  <si>
    <t>AHSERL2_c</t>
  </si>
  <si>
    <t>AICART_c</t>
  </si>
  <si>
    <t>AIRC1_c</t>
  </si>
  <si>
    <t>AKGDH_m</t>
  </si>
  <si>
    <t>AKGMALta_m</t>
  </si>
  <si>
    <t>ALATA_L_m</t>
  </si>
  <si>
    <t>ANPRT_c</t>
  </si>
  <si>
    <t>ANS_c</t>
  </si>
  <si>
    <t>ARGN_c</t>
  </si>
  <si>
    <t>ARGSL_c</t>
  </si>
  <si>
    <t>ARGSS_c</t>
  </si>
  <si>
    <t>ASAD_c</t>
  </si>
  <si>
    <t>ASNS1_c</t>
  </si>
  <si>
    <t>ASPCT_c</t>
  </si>
  <si>
    <t>ASPGLUt_c_m</t>
  </si>
  <si>
    <t>ASPK_c</t>
  </si>
  <si>
    <t>ASPTA_c</t>
  </si>
  <si>
    <t>ASPTAi_m</t>
  </si>
  <si>
    <t>ATPPRT_c</t>
  </si>
  <si>
    <t>ATPS_m</t>
  </si>
  <si>
    <t>BPNT_c</t>
  </si>
  <si>
    <t>C14STR_c</t>
  </si>
  <si>
    <t>C22STDSy_c</t>
  </si>
  <si>
    <t>C24STR_r</t>
  </si>
  <si>
    <t>C3STDH1_c</t>
  </si>
  <si>
    <t>C3STDH2_c</t>
  </si>
  <si>
    <t>C3STKR1_c</t>
  </si>
  <si>
    <t>C3STKR2_c</t>
  </si>
  <si>
    <t>C4STMO1_c</t>
  </si>
  <si>
    <t>C4STMO2_c</t>
  </si>
  <si>
    <t>C4STMO3_c</t>
  </si>
  <si>
    <t>C4STMO4_c</t>
  </si>
  <si>
    <t>C5STDS_c</t>
  </si>
  <si>
    <t>C8STI_c</t>
  </si>
  <si>
    <t>CA2t_c_e</t>
  </si>
  <si>
    <t>CBPS_c</t>
  </si>
  <si>
    <t>CDPDAGS_mm</t>
  </si>
  <si>
    <t>CHORM_c</t>
  </si>
  <si>
    <t>CHORS_c</t>
  </si>
  <si>
    <t>CHTNS_c</t>
  </si>
  <si>
    <t>CITMALta_m</t>
  </si>
  <si>
    <t>CO2t_c_e</t>
  </si>
  <si>
    <t>CO2t_c_m</t>
  </si>
  <si>
    <t>CS_m</t>
  </si>
  <si>
    <t>CTPS2_c</t>
  </si>
  <si>
    <t>CU2t_c_e</t>
  </si>
  <si>
    <t>CYSTGL_c</t>
  </si>
  <si>
    <t>CYSTS_c</t>
  </si>
  <si>
    <t>CYTK1_c</t>
  </si>
  <si>
    <t>DDPA_c</t>
  </si>
  <si>
    <t>DGAT_rm</t>
  </si>
  <si>
    <t>DHAD1_m</t>
  </si>
  <si>
    <t>DHAD2_m</t>
  </si>
  <si>
    <t>DHFRi_c</t>
  </si>
  <si>
    <t>DHORDfum_c</t>
  </si>
  <si>
    <t>DHORTS_c</t>
  </si>
  <si>
    <t>DHQS_c</t>
  </si>
  <si>
    <t>DHQTi_c</t>
  </si>
  <si>
    <t>DMATT_c</t>
  </si>
  <si>
    <t>DOLPMMT_r</t>
  </si>
  <si>
    <t>DOLPMT_c</t>
  </si>
  <si>
    <t>DPMVD_c</t>
  </si>
  <si>
    <t>DTMPK_c</t>
  </si>
  <si>
    <t>DUTPDP_c</t>
  </si>
  <si>
    <t>ENO_c</t>
  </si>
  <si>
    <t>ETFOXRq9_m</t>
  </si>
  <si>
    <t>EX_ca2_e</t>
  </si>
  <si>
    <t>EX_cu2_e</t>
  </si>
  <si>
    <t>EX_fe2_e</t>
  </si>
  <si>
    <t>EX_glc__D_e</t>
  </si>
  <si>
    <t>EX_k_e</t>
  </si>
  <si>
    <t>EX_mg2_e</t>
  </si>
  <si>
    <t>EX_o2_e</t>
  </si>
  <si>
    <t>EX_pi_e</t>
  </si>
  <si>
    <t>EX_so4_e</t>
  </si>
  <si>
    <t>EX_zn2_e</t>
  </si>
  <si>
    <t>FBA_c</t>
  </si>
  <si>
    <t>FBP_c</t>
  </si>
  <si>
    <t>FDH_c</t>
  </si>
  <si>
    <t>FE2t_c_e</t>
  </si>
  <si>
    <t>FECOOR_m</t>
  </si>
  <si>
    <t>FECRq9_m</t>
  </si>
  <si>
    <t>FKYNH_c</t>
  </si>
  <si>
    <t>FORt_c_m</t>
  </si>
  <si>
    <t>FTHFL_c</t>
  </si>
  <si>
    <t>FTHFL_m</t>
  </si>
  <si>
    <t>FUM_c</t>
  </si>
  <si>
    <t>FUM_m</t>
  </si>
  <si>
    <t>G3PAT_rm</t>
  </si>
  <si>
    <t>G3PD1i_x</t>
  </si>
  <si>
    <t>G5SADr_c</t>
  </si>
  <si>
    <t>G5SADr_m</t>
  </si>
  <si>
    <t>G5SDy_c</t>
  </si>
  <si>
    <t>G6PDH2i_c</t>
  </si>
  <si>
    <t>GALUi_c</t>
  </si>
  <si>
    <t>GAPD_c</t>
  </si>
  <si>
    <t>GARFT_c</t>
  </si>
  <si>
    <t>GF6PTA_c</t>
  </si>
  <si>
    <t>GHMT2r_c</t>
  </si>
  <si>
    <t>GHMT2r_m</t>
  </si>
  <si>
    <t>GK1_c</t>
  </si>
  <si>
    <t>GLCt_c_e</t>
  </si>
  <si>
    <t>GLNS_c</t>
  </si>
  <si>
    <t>GLU5K_c</t>
  </si>
  <si>
    <t>GLUPRT_c</t>
  </si>
  <si>
    <t>GLUt_c_m</t>
  </si>
  <si>
    <t>GLYCL_m</t>
  </si>
  <si>
    <t>GLYGS_c</t>
  </si>
  <si>
    <t>GLYt_c_m</t>
  </si>
  <si>
    <t>GMPS2_c</t>
  </si>
  <si>
    <t>GND_c</t>
  </si>
  <si>
    <t>GRTT_c</t>
  </si>
  <si>
    <t>H2Ot_c_e</t>
  </si>
  <si>
    <t>H2Ot_c_m</t>
  </si>
  <si>
    <t>HACNH_m</t>
  </si>
  <si>
    <t>HCITR_m</t>
  </si>
  <si>
    <t>HCITS_m</t>
  </si>
  <si>
    <t>HEX1_c</t>
  </si>
  <si>
    <t>HICITD_m</t>
  </si>
  <si>
    <t>HISTD_c</t>
  </si>
  <si>
    <t>HISTP_c</t>
  </si>
  <si>
    <t>HMGCOAR_c</t>
  </si>
  <si>
    <t>HMGCOAS_c</t>
  </si>
  <si>
    <t>HSDy_c</t>
  </si>
  <si>
    <t>HSERTA_c</t>
  </si>
  <si>
    <t>HSK_c</t>
  </si>
  <si>
    <t>HSTPT_c</t>
  </si>
  <si>
    <t>ICDHx_m</t>
  </si>
  <si>
    <t>IG3PS_c</t>
  </si>
  <si>
    <t>IGPDH_c</t>
  </si>
  <si>
    <t>IGPS_c</t>
  </si>
  <si>
    <t>ILETA_m</t>
  </si>
  <si>
    <t>ILEt_c_m</t>
  </si>
  <si>
    <t>IMPC_c</t>
  </si>
  <si>
    <t>IMPD_c</t>
  </si>
  <si>
    <t>IPDDI_c</t>
  </si>
  <si>
    <t>IPMD_c</t>
  </si>
  <si>
    <t>IPPMIa_c</t>
  </si>
  <si>
    <t>IPPMIb_c</t>
  </si>
  <si>
    <t>IPPS_c</t>
  </si>
  <si>
    <t>KARA1i_m</t>
  </si>
  <si>
    <t>KARA2i_m</t>
  </si>
  <si>
    <t>KYN_c</t>
  </si>
  <si>
    <t>Kt_c_e</t>
  </si>
  <si>
    <t>LALDO3_c</t>
  </si>
  <si>
    <t>LCADi_c</t>
  </si>
  <si>
    <t>LEUTA_c</t>
  </si>
  <si>
    <t>LLFC2O_c</t>
  </si>
  <si>
    <t>LNS14DMy_c</t>
  </si>
  <si>
    <t>LNSTLS_c</t>
  </si>
  <si>
    <t>M1PS_c</t>
  </si>
  <si>
    <t>MAN1PT_c</t>
  </si>
  <si>
    <t>MAN6PI_c</t>
  </si>
  <si>
    <t>MDH_c</t>
  </si>
  <si>
    <t>MDH_m</t>
  </si>
  <si>
    <t>ME1_m</t>
  </si>
  <si>
    <t>METAT_c</t>
  </si>
  <si>
    <t>METS_c</t>
  </si>
  <si>
    <t>MEVK1_c</t>
  </si>
  <si>
    <t>MG2t_c_e</t>
  </si>
  <si>
    <t>MGSA_c</t>
  </si>
  <si>
    <t>MI1PP_c</t>
  </si>
  <si>
    <t>MTHFC_c</t>
  </si>
  <si>
    <t>MTHFC_m</t>
  </si>
  <si>
    <t>MTHFD2i_c</t>
  </si>
  <si>
    <t>MTHFD_c</t>
  </si>
  <si>
    <t>MTHFD_m</t>
  </si>
  <si>
    <t>MTHFR3_c</t>
  </si>
  <si>
    <t>NADHcplxI_c_m</t>
  </si>
  <si>
    <t>NADHq9_c</t>
  </si>
  <si>
    <t>NDPK1_c</t>
  </si>
  <si>
    <t>NDPK2_c</t>
  </si>
  <si>
    <t>NDPK3_c</t>
  </si>
  <si>
    <t>NDPK4_c</t>
  </si>
  <si>
    <t>NDPK5_c</t>
  </si>
  <si>
    <t>NDPK6_c</t>
  </si>
  <si>
    <t>NDPK7_c</t>
  </si>
  <si>
    <t>NDPK8_c</t>
  </si>
  <si>
    <t>NH4t_c_m</t>
  </si>
  <si>
    <t>O2t_c_e</t>
  </si>
  <si>
    <t>O2t_c_m</t>
  </si>
  <si>
    <t>OCBT_c</t>
  </si>
  <si>
    <t>OMCDC_c</t>
  </si>
  <si>
    <t>OMPDC_c</t>
  </si>
  <si>
    <t>ORNCD_m</t>
  </si>
  <si>
    <t>ORNTACi_m</t>
  </si>
  <si>
    <t>ORNTA_c</t>
  </si>
  <si>
    <t>ORNtpa_m</t>
  </si>
  <si>
    <t>ORPT_c</t>
  </si>
  <si>
    <t>P5CD2_m</t>
  </si>
  <si>
    <t>P5CR_c</t>
  </si>
  <si>
    <t>PAILS_rm</t>
  </si>
  <si>
    <t>PAPSR_c</t>
  </si>
  <si>
    <t>PAP_rm</t>
  </si>
  <si>
    <t>PC_c</t>
  </si>
  <si>
    <t>PDMEMT_rm</t>
  </si>
  <si>
    <t>PEMT_rm</t>
  </si>
  <si>
    <t>PFK_c</t>
  </si>
  <si>
    <t>PGCD_c</t>
  </si>
  <si>
    <t>PGI_c</t>
  </si>
  <si>
    <t>PGK_c</t>
  </si>
  <si>
    <t>PGL_c</t>
  </si>
  <si>
    <t>PGMT_c</t>
  </si>
  <si>
    <t>PGM_c</t>
  </si>
  <si>
    <t>PHETA1_c</t>
  </si>
  <si>
    <t>PItps_e</t>
  </si>
  <si>
    <t>PItps_m</t>
  </si>
  <si>
    <t>PKETX_c</t>
  </si>
  <si>
    <t>PMANM_c</t>
  </si>
  <si>
    <t>PMEMT_rm</t>
  </si>
  <si>
    <t>PMEVK_c</t>
  </si>
  <si>
    <t>PPA_c</t>
  </si>
  <si>
    <t>PPND2_c</t>
  </si>
  <si>
    <t>PPNDH_c</t>
  </si>
  <si>
    <t>PRAGSi_c</t>
  </si>
  <si>
    <t>PRAIS_c</t>
  </si>
  <si>
    <t>PRAIi_c</t>
  </si>
  <si>
    <t>PRAMPC_c</t>
  </si>
  <si>
    <t>PRASCSi_c</t>
  </si>
  <si>
    <t>PRATPP_c</t>
  </si>
  <si>
    <t>PRFGS_c</t>
  </si>
  <si>
    <t>PRMICI_c</t>
  </si>
  <si>
    <t>PROD2_m</t>
  </si>
  <si>
    <t>PRPPS_c</t>
  </si>
  <si>
    <t>PSCIT_c</t>
  </si>
  <si>
    <t>PSD_mm</t>
  </si>
  <si>
    <t>PSERT_c</t>
  </si>
  <si>
    <t>PSP_L_c</t>
  </si>
  <si>
    <t>PSSA_rm</t>
  </si>
  <si>
    <t>PYK_c</t>
  </si>
  <si>
    <t>PYRDC_c</t>
  </si>
  <si>
    <t>PYRtps_m</t>
  </si>
  <si>
    <t>RNDR1_c</t>
  </si>
  <si>
    <t>RNDR2_c</t>
  </si>
  <si>
    <t>RNDR4_c</t>
  </si>
  <si>
    <t>RPI_c</t>
  </si>
  <si>
    <t>SACCD1_c</t>
  </si>
  <si>
    <t>SACCD2_c</t>
  </si>
  <si>
    <t>SADT_c</t>
  </si>
  <si>
    <t>SAM24MT_c</t>
  </si>
  <si>
    <t>SERt_c_m</t>
  </si>
  <si>
    <t>SHK3Di_c</t>
  </si>
  <si>
    <t>SHKK_c</t>
  </si>
  <si>
    <t>SO3R_c</t>
  </si>
  <si>
    <t>SO4t_c_e</t>
  </si>
  <si>
    <t>SQLEy_r</t>
  </si>
  <si>
    <t>SQLS_c</t>
  </si>
  <si>
    <t>STATg_rm</t>
  </si>
  <si>
    <t>SUCDq9_m</t>
  </si>
  <si>
    <t>SUCFUMt_c_m</t>
  </si>
  <si>
    <t>SUCOAS_m</t>
  </si>
  <si>
    <t>TALA_c</t>
  </si>
  <si>
    <t>THRA_c</t>
  </si>
  <si>
    <t>THRD_L_m</t>
  </si>
  <si>
    <t>THRS_c</t>
  </si>
  <si>
    <t>THRt_c_m</t>
  </si>
  <si>
    <t>TKT1_c</t>
  </si>
  <si>
    <t>TKT2_c</t>
  </si>
  <si>
    <t>TMDS_c</t>
  </si>
  <si>
    <t>TPI_c</t>
  </si>
  <si>
    <t>TRDR_c</t>
  </si>
  <si>
    <t>TRE6PP_c</t>
  </si>
  <si>
    <t>TRE6PS_c</t>
  </si>
  <si>
    <t>TRPO2_c</t>
  </si>
  <si>
    <t>TRPS1_c</t>
  </si>
  <si>
    <t>TYRTA_c</t>
  </si>
  <si>
    <t>UAGDP_c</t>
  </si>
  <si>
    <t>UMPK_c</t>
  </si>
  <si>
    <t>UREA_c</t>
  </si>
  <si>
    <t>VALTA_c</t>
  </si>
  <si>
    <t>VALTA_m</t>
  </si>
  <si>
    <t>VALt_c_m</t>
  </si>
  <si>
    <t>ZN2t_c_e</t>
  </si>
  <si>
    <t>compACYLCOA_c</t>
  </si>
  <si>
    <t>RT</t>
  </si>
  <si>
    <t>SC</t>
  </si>
  <si>
    <t>Name</t>
  </si>
  <si>
    <t>FBA</t>
  </si>
  <si>
    <t>RBA</t>
  </si>
  <si>
    <t>1,3-Propanediol</t>
  </si>
  <si>
    <t>2-Phenylethanol</t>
  </si>
  <si>
    <t>3-Hydroxypropionic acid</t>
  </si>
  <si>
    <t>p-Hydroxybenzoate</t>
  </si>
  <si>
    <t>Artemisinic acid</t>
  </si>
  <si>
    <t>(2R,3R)-Butanediol</t>
  </si>
  <si>
    <t>n-Butanol</t>
  </si>
  <si>
    <t>Citramalate</t>
  </si>
  <si>
    <t>p-Coumaric acid</t>
  </si>
  <si>
    <t>Hexadecanoic acid</t>
  </si>
  <si>
    <t>Isobutanol</t>
  </si>
  <si>
    <t>l-Lactate</t>
  </si>
  <si>
    <t>cis,cis-Muconate</t>
  </si>
  <si>
    <t>(2S)-Naringenin</t>
  </si>
  <si>
    <t>Polyhydroxybutyrate</t>
  </si>
  <si>
    <t>Reticuline</t>
  </si>
  <si>
    <t>Resveratrol</t>
  </si>
  <si>
    <t>Sesquiterpenes</t>
  </si>
  <si>
    <t>Styrene</t>
  </si>
  <si>
    <t>RT FBA</t>
  </si>
  <si>
    <t>RT RBA</t>
  </si>
  <si>
    <t>SC RBA</t>
  </si>
  <si>
    <t>SC FBA</t>
  </si>
  <si>
    <t>Shikimate</t>
  </si>
  <si>
    <t xml:space="preserve"> </t>
  </si>
  <si>
    <t>1-space version (more compact)</t>
  </si>
  <si>
    <t>TAG</t>
  </si>
  <si>
    <t>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</si>
</sst>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u/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rgb="FF7F7F7F"/>
      </top>
      <bottom style="medium">
        <color rgb="FF7F7F7F"/>
      </bottom>
      <diagonal/>
    </border>
    <border>
      <left/>
      <right/>
      <top/>
      <bottom style="medium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1" fontId="0" fillId="0" borderId="0" xfId="0" applyNumberFormat="1"/>
    <xf numFmtId="0" fontId="1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0" borderId="0" xfId="0" applyAlignment="1">
      <alignment horizontal="right"/>
    </xf>
    <xf numFmtId="0" fontId="0" fillId="2" borderId="0" xfId="0" applyFill="1"/>
    <xf numFmtId="0" fontId="3" fillId="0" borderId="3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</cellXfs>
  <cellStyles count="1">
    <cellStyle name="Normal" xfId="0" builtinId="0"/>
  </cellStyles>
  <dxfs count="3"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Light15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theoretical yields (g</a:t>
            </a:r>
            <a:r>
              <a:rPr lang="en-US" baseline="0"/>
              <a:t> product/g glucose)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Sheet2!$C$27</c:f>
              <c:strCache>
                <c:ptCount val="1"/>
                <c:pt idx="0">
                  <c:v>RT RBA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Sheet2!$A$28:$B$106</c:f>
              <c:multiLvlStrCache>
                <c:ptCount val="79"/>
                <c:lvl>
                  <c:pt idx="1">
                    <c:v>RT</c:v>
                  </c:pt>
                  <c:pt idx="2">
                    <c:v>SC</c:v>
                  </c:pt>
                  <c:pt idx="3">
                    <c:v> </c:v>
                  </c:pt>
                  <c:pt idx="5">
                    <c:v>RT</c:v>
                  </c:pt>
                  <c:pt idx="6">
                    <c:v>SC</c:v>
                  </c:pt>
                  <c:pt idx="9">
                    <c:v>RT</c:v>
                  </c:pt>
                  <c:pt idx="10">
                    <c:v>SC</c:v>
                  </c:pt>
                  <c:pt idx="13">
                    <c:v>RT</c:v>
                  </c:pt>
                  <c:pt idx="14">
                    <c:v>SC</c:v>
                  </c:pt>
                  <c:pt idx="17">
                    <c:v>RT</c:v>
                  </c:pt>
                  <c:pt idx="18">
                    <c:v>SC</c:v>
                  </c:pt>
                  <c:pt idx="21">
                    <c:v>RT</c:v>
                  </c:pt>
                  <c:pt idx="22">
                    <c:v>SC</c:v>
                  </c:pt>
                  <c:pt idx="25">
                    <c:v>RT</c:v>
                  </c:pt>
                  <c:pt idx="26">
                    <c:v>SC</c:v>
                  </c:pt>
                  <c:pt idx="29">
                    <c:v>RT</c:v>
                  </c:pt>
                  <c:pt idx="30">
                    <c:v>SC</c:v>
                  </c:pt>
                  <c:pt idx="33">
                    <c:v>RT</c:v>
                  </c:pt>
                  <c:pt idx="34">
                    <c:v>SC</c:v>
                  </c:pt>
                  <c:pt idx="37">
                    <c:v>RT</c:v>
                  </c:pt>
                  <c:pt idx="38">
                    <c:v>SC</c:v>
                  </c:pt>
                  <c:pt idx="41">
                    <c:v>RT</c:v>
                  </c:pt>
                  <c:pt idx="42">
                    <c:v>SC</c:v>
                  </c:pt>
                  <c:pt idx="45">
                    <c:v>RT</c:v>
                  </c:pt>
                  <c:pt idx="46">
                    <c:v>SC</c:v>
                  </c:pt>
                  <c:pt idx="49">
                    <c:v>RT</c:v>
                  </c:pt>
                  <c:pt idx="50">
                    <c:v>SC</c:v>
                  </c:pt>
                  <c:pt idx="53">
                    <c:v>RT</c:v>
                  </c:pt>
                  <c:pt idx="54">
                    <c:v>SC</c:v>
                  </c:pt>
                  <c:pt idx="57">
                    <c:v>RT</c:v>
                  </c:pt>
                  <c:pt idx="58">
                    <c:v>SC</c:v>
                  </c:pt>
                  <c:pt idx="61">
                    <c:v>RT</c:v>
                  </c:pt>
                  <c:pt idx="62">
                    <c:v>SC</c:v>
                  </c:pt>
                  <c:pt idx="65">
                    <c:v>RT</c:v>
                  </c:pt>
                  <c:pt idx="66">
                    <c:v>SC</c:v>
                  </c:pt>
                  <c:pt idx="69">
                    <c:v>RT</c:v>
                  </c:pt>
                  <c:pt idx="70">
                    <c:v>SC</c:v>
                  </c:pt>
                  <c:pt idx="73">
                    <c:v>RT</c:v>
                  </c:pt>
                  <c:pt idx="74">
                    <c:v>SC</c:v>
                  </c:pt>
                  <c:pt idx="77">
                    <c:v>RT</c:v>
                  </c:pt>
                  <c:pt idx="78">
                    <c:v>SC</c:v>
                  </c:pt>
                </c:lvl>
                <c:lvl>
                  <c:pt idx="0">
                    <c:v>1,3-Propanediol</c:v>
                  </c:pt>
                  <c:pt idx="4">
                    <c:v>2-Phenylethanol</c:v>
                  </c:pt>
                  <c:pt idx="8">
                    <c:v>3-Hydroxypropionic acid</c:v>
                  </c:pt>
                  <c:pt idx="12">
                    <c:v>p-Hydroxybenzoate</c:v>
                  </c:pt>
                  <c:pt idx="16">
                    <c:v>Artemisinic acid</c:v>
                  </c:pt>
                  <c:pt idx="20">
                    <c:v>(2R,3R)-Butanediol</c:v>
                  </c:pt>
                  <c:pt idx="24">
                    <c:v>n-Butanol</c:v>
                  </c:pt>
                  <c:pt idx="28">
                    <c:v>Citramalate</c:v>
                  </c:pt>
                  <c:pt idx="32">
                    <c:v>p-Coumaric acid</c:v>
                  </c:pt>
                  <c:pt idx="36">
                    <c:v>Hexadecanoic acid</c:v>
                  </c:pt>
                  <c:pt idx="40">
                    <c:v>Isobutanol</c:v>
                  </c:pt>
                  <c:pt idx="44">
                    <c:v>l-Lactate</c:v>
                  </c:pt>
                  <c:pt idx="48">
                    <c:v>cis,cis-Muconate</c:v>
                  </c:pt>
                  <c:pt idx="52">
                    <c:v>(2S)-Naringenin</c:v>
                  </c:pt>
                  <c:pt idx="56">
                    <c:v>Polyhydroxybutyrate</c:v>
                  </c:pt>
                  <c:pt idx="60">
                    <c:v>Reticuline</c:v>
                  </c:pt>
                  <c:pt idx="64">
                    <c:v>Resveratrol</c:v>
                  </c:pt>
                  <c:pt idx="68">
                    <c:v>Sesquiterpenes</c:v>
                  </c:pt>
                  <c:pt idx="72">
                    <c:v>Shikimate</c:v>
                  </c:pt>
                  <c:pt idx="76">
                    <c:v>Styrene</c:v>
                  </c:pt>
                </c:lvl>
              </c:multiLvlStrCache>
            </c:multiLvlStrRef>
          </c:cat>
          <c:val>
            <c:numRef>
              <c:f>Sheet2!$C$28:$C$106</c:f>
              <c:numCache>
                <c:formatCode>General</c:formatCode>
                <c:ptCount val="79"/>
                <c:pt idx="1">
                  <c:v>0.56699999999999995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0.77800000000000002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0.52100000000000002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0.27700000000000002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0.34799999999999998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0.47899999999999998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0.29899999999999999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0.38100000000000001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0.89400000000000002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0.61199999999999999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0.46100000000000002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0.63600000000000001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0.33700000000000002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0.38700000000000001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0.309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0.70599999999999996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0.29599999999999999</c:v>
                </c:pt>
                <c:pt idx="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C1-F04C-93E9-A2C0B829C293}"/>
            </c:ext>
          </c:extLst>
        </c:ser>
        <c:ser>
          <c:idx val="1"/>
          <c:order val="1"/>
          <c:tx>
            <c:strRef>
              <c:f>Sheet2!$D$27</c:f>
              <c:strCache>
                <c:ptCount val="1"/>
                <c:pt idx="0">
                  <c:v>RT FBA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Sheet2!$A$28:$B$106</c:f>
              <c:multiLvlStrCache>
                <c:ptCount val="79"/>
                <c:lvl>
                  <c:pt idx="1">
                    <c:v>RT</c:v>
                  </c:pt>
                  <c:pt idx="2">
                    <c:v>SC</c:v>
                  </c:pt>
                  <c:pt idx="3">
                    <c:v> </c:v>
                  </c:pt>
                  <c:pt idx="5">
                    <c:v>RT</c:v>
                  </c:pt>
                  <c:pt idx="6">
                    <c:v>SC</c:v>
                  </c:pt>
                  <c:pt idx="9">
                    <c:v>RT</c:v>
                  </c:pt>
                  <c:pt idx="10">
                    <c:v>SC</c:v>
                  </c:pt>
                  <c:pt idx="13">
                    <c:v>RT</c:v>
                  </c:pt>
                  <c:pt idx="14">
                    <c:v>SC</c:v>
                  </c:pt>
                  <c:pt idx="17">
                    <c:v>RT</c:v>
                  </c:pt>
                  <c:pt idx="18">
                    <c:v>SC</c:v>
                  </c:pt>
                  <c:pt idx="21">
                    <c:v>RT</c:v>
                  </c:pt>
                  <c:pt idx="22">
                    <c:v>SC</c:v>
                  </c:pt>
                  <c:pt idx="25">
                    <c:v>RT</c:v>
                  </c:pt>
                  <c:pt idx="26">
                    <c:v>SC</c:v>
                  </c:pt>
                  <c:pt idx="29">
                    <c:v>RT</c:v>
                  </c:pt>
                  <c:pt idx="30">
                    <c:v>SC</c:v>
                  </c:pt>
                  <c:pt idx="33">
                    <c:v>RT</c:v>
                  </c:pt>
                  <c:pt idx="34">
                    <c:v>SC</c:v>
                  </c:pt>
                  <c:pt idx="37">
                    <c:v>RT</c:v>
                  </c:pt>
                  <c:pt idx="38">
                    <c:v>SC</c:v>
                  </c:pt>
                  <c:pt idx="41">
                    <c:v>RT</c:v>
                  </c:pt>
                  <c:pt idx="42">
                    <c:v>SC</c:v>
                  </c:pt>
                  <c:pt idx="45">
                    <c:v>RT</c:v>
                  </c:pt>
                  <c:pt idx="46">
                    <c:v>SC</c:v>
                  </c:pt>
                  <c:pt idx="49">
                    <c:v>RT</c:v>
                  </c:pt>
                  <c:pt idx="50">
                    <c:v>SC</c:v>
                  </c:pt>
                  <c:pt idx="53">
                    <c:v>RT</c:v>
                  </c:pt>
                  <c:pt idx="54">
                    <c:v>SC</c:v>
                  </c:pt>
                  <c:pt idx="57">
                    <c:v>RT</c:v>
                  </c:pt>
                  <c:pt idx="58">
                    <c:v>SC</c:v>
                  </c:pt>
                  <c:pt idx="61">
                    <c:v>RT</c:v>
                  </c:pt>
                  <c:pt idx="62">
                    <c:v>SC</c:v>
                  </c:pt>
                  <c:pt idx="65">
                    <c:v>RT</c:v>
                  </c:pt>
                  <c:pt idx="66">
                    <c:v>SC</c:v>
                  </c:pt>
                  <c:pt idx="69">
                    <c:v>RT</c:v>
                  </c:pt>
                  <c:pt idx="70">
                    <c:v>SC</c:v>
                  </c:pt>
                  <c:pt idx="73">
                    <c:v>RT</c:v>
                  </c:pt>
                  <c:pt idx="74">
                    <c:v>SC</c:v>
                  </c:pt>
                  <c:pt idx="77">
                    <c:v>RT</c:v>
                  </c:pt>
                  <c:pt idx="78">
                    <c:v>SC</c:v>
                  </c:pt>
                </c:lvl>
                <c:lvl>
                  <c:pt idx="0">
                    <c:v>1,3-Propanediol</c:v>
                  </c:pt>
                  <c:pt idx="4">
                    <c:v>2-Phenylethanol</c:v>
                  </c:pt>
                  <c:pt idx="8">
                    <c:v>3-Hydroxypropionic acid</c:v>
                  </c:pt>
                  <c:pt idx="12">
                    <c:v>p-Hydroxybenzoate</c:v>
                  </c:pt>
                  <c:pt idx="16">
                    <c:v>Artemisinic acid</c:v>
                  </c:pt>
                  <c:pt idx="20">
                    <c:v>(2R,3R)-Butanediol</c:v>
                  </c:pt>
                  <c:pt idx="24">
                    <c:v>n-Butanol</c:v>
                  </c:pt>
                  <c:pt idx="28">
                    <c:v>Citramalate</c:v>
                  </c:pt>
                  <c:pt idx="32">
                    <c:v>p-Coumaric acid</c:v>
                  </c:pt>
                  <c:pt idx="36">
                    <c:v>Hexadecanoic acid</c:v>
                  </c:pt>
                  <c:pt idx="40">
                    <c:v>Isobutanol</c:v>
                  </c:pt>
                  <c:pt idx="44">
                    <c:v>l-Lactate</c:v>
                  </c:pt>
                  <c:pt idx="48">
                    <c:v>cis,cis-Muconate</c:v>
                  </c:pt>
                  <c:pt idx="52">
                    <c:v>(2S)-Naringenin</c:v>
                  </c:pt>
                  <c:pt idx="56">
                    <c:v>Polyhydroxybutyrate</c:v>
                  </c:pt>
                  <c:pt idx="60">
                    <c:v>Reticuline</c:v>
                  </c:pt>
                  <c:pt idx="64">
                    <c:v>Resveratrol</c:v>
                  </c:pt>
                  <c:pt idx="68">
                    <c:v>Sesquiterpenes</c:v>
                  </c:pt>
                  <c:pt idx="72">
                    <c:v>Shikimate</c:v>
                  </c:pt>
                  <c:pt idx="76">
                    <c:v>Styrene</c:v>
                  </c:pt>
                </c:lvl>
              </c:multiLvlStrCache>
            </c:multiLvlStrRef>
          </c:cat>
          <c:val>
            <c:numRef>
              <c:f>Sheet2!$D$28:$D$106</c:f>
              <c:numCache>
                <c:formatCode>General</c:formatCode>
                <c:ptCount val="79"/>
                <c:pt idx="1">
                  <c:v>2.0000000000000018E-3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6.0000000000000053E-3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9.000000000000008E-3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1.100000000000001E-2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3.0000000000000027E-3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1.0000000000000009E-3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2.0000000000000018E-3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7.0000000000000062E-3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9.000000000000008E-3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4.0000000000000036E-3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4.0000000000000036E-3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1.0000000000000009E-3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4.0000000000000036E-3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8.9999999999999525E-3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7.0000000000000062E-3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3.5999999999999976E-2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7.0000000000000062E-3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4.0000000000000036E-3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8.0000000000000071E-3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5.0000000000000044E-3</c:v>
                </c:pt>
                <c:pt idx="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C1-F04C-93E9-A2C0B829C293}"/>
            </c:ext>
          </c:extLst>
        </c:ser>
        <c:ser>
          <c:idx val="2"/>
          <c:order val="2"/>
          <c:tx>
            <c:strRef>
              <c:f>Sheet2!$E$27</c:f>
              <c:strCache>
                <c:ptCount val="1"/>
                <c:pt idx="0">
                  <c:v>SC RBA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Sheet2!$A$28:$B$106</c:f>
              <c:multiLvlStrCache>
                <c:ptCount val="79"/>
                <c:lvl>
                  <c:pt idx="1">
                    <c:v>RT</c:v>
                  </c:pt>
                  <c:pt idx="2">
                    <c:v>SC</c:v>
                  </c:pt>
                  <c:pt idx="3">
                    <c:v> </c:v>
                  </c:pt>
                  <c:pt idx="5">
                    <c:v>RT</c:v>
                  </c:pt>
                  <c:pt idx="6">
                    <c:v>SC</c:v>
                  </c:pt>
                  <c:pt idx="9">
                    <c:v>RT</c:v>
                  </c:pt>
                  <c:pt idx="10">
                    <c:v>SC</c:v>
                  </c:pt>
                  <c:pt idx="13">
                    <c:v>RT</c:v>
                  </c:pt>
                  <c:pt idx="14">
                    <c:v>SC</c:v>
                  </c:pt>
                  <c:pt idx="17">
                    <c:v>RT</c:v>
                  </c:pt>
                  <c:pt idx="18">
                    <c:v>SC</c:v>
                  </c:pt>
                  <c:pt idx="21">
                    <c:v>RT</c:v>
                  </c:pt>
                  <c:pt idx="22">
                    <c:v>SC</c:v>
                  </c:pt>
                  <c:pt idx="25">
                    <c:v>RT</c:v>
                  </c:pt>
                  <c:pt idx="26">
                    <c:v>SC</c:v>
                  </c:pt>
                  <c:pt idx="29">
                    <c:v>RT</c:v>
                  </c:pt>
                  <c:pt idx="30">
                    <c:v>SC</c:v>
                  </c:pt>
                  <c:pt idx="33">
                    <c:v>RT</c:v>
                  </c:pt>
                  <c:pt idx="34">
                    <c:v>SC</c:v>
                  </c:pt>
                  <c:pt idx="37">
                    <c:v>RT</c:v>
                  </c:pt>
                  <c:pt idx="38">
                    <c:v>SC</c:v>
                  </c:pt>
                  <c:pt idx="41">
                    <c:v>RT</c:v>
                  </c:pt>
                  <c:pt idx="42">
                    <c:v>SC</c:v>
                  </c:pt>
                  <c:pt idx="45">
                    <c:v>RT</c:v>
                  </c:pt>
                  <c:pt idx="46">
                    <c:v>SC</c:v>
                  </c:pt>
                  <c:pt idx="49">
                    <c:v>RT</c:v>
                  </c:pt>
                  <c:pt idx="50">
                    <c:v>SC</c:v>
                  </c:pt>
                  <c:pt idx="53">
                    <c:v>RT</c:v>
                  </c:pt>
                  <c:pt idx="54">
                    <c:v>SC</c:v>
                  </c:pt>
                  <c:pt idx="57">
                    <c:v>RT</c:v>
                  </c:pt>
                  <c:pt idx="58">
                    <c:v>SC</c:v>
                  </c:pt>
                  <c:pt idx="61">
                    <c:v>RT</c:v>
                  </c:pt>
                  <c:pt idx="62">
                    <c:v>SC</c:v>
                  </c:pt>
                  <c:pt idx="65">
                    <c:v>RT</c:v>
                  </c:pt>
                  <c:pt idx="66">
                    <c:v>SC</c:v>
                  </c:pt>
                  <c:pt idx="69">
                    <c:v>RT</c:v>
                  </c:pt>
                  <c:pt idx="70">
                    <c:v>SC</c:v>
                  </c:pt>
                  <c:pt idx="73">
                    <c:v>RT</c:v>
                  </c:pt>
                  <c:pt idx="74">
                    <c:v>SC</c:v>
                  </c:pt>
                  <c:pt idx="77">
                    <c:v>RT</c:v>
                  </c:pt>
                  <c:pt idx="78">
                    <c:v>SC</c:v>
                  </c:pt>
                </c:lvl>
                <c:lvl>
                  <c:pt idx="0">
                    <c:v>1,3-Propanediol</c:v>
                  </c:pt>
                  <c:pt idx="4">
                    <c:v>2-Phenylethanol</c:v>
                  </c:pt>
                  <c:pt idx="8">
                    <c:v>3-Hydroxypropionic acid</c:v>
                  </c:pt>
                  <c:pt idx="12">
                    <c:v>p-Hydroxybenzoate</c:v>
                  </c:pt>
                  <c:pt idx="16">
                    <c:v>Artemisinic acid</c:v>
                  </c:pt>
                  <c:pt idx="20">
                    <c:v>(2R,3R)-Butanediol</c:v>
                  </c:pt>
                  <c:pt idx="24">
                    <c:v>n-Butanol</c:v>
                  </c:pt>
                  <c:pt idx="28">
                    <c:v>Citramalate</c:v>
                  </c:pt>
                  <c:pt idx="32">
                    <c:v>p-Coumaric acid</c:v>
                  </c:pt>
                  <c:pt idx="36">
                    <c:v>Hexadecanoic acid</c:v>
                  </c:pt>
                  <c:pt idx="40">
                    <c:v>Isobutanol</c:v>
                  </c:pt>
                  <c:pt idx="44">
                    <c:v>l-Lactate</c:v>
                  </c:pt>
                  <c:pt idx="48">
                    <c:v>cis,cis-Muconate</c:v>
                  </c:pt>
                  <c:pt idx="52">
                    <c:v>(2S)-Naringenin</c:v>
                  </c:pt>
                  <c:pt idx="56">
                    <c:v>Polyhydroxybutyrate</c:v>
                  </c:pt>
                  <c:pt idx="60">
                    <c:v>Reticuline</c:v>
                  </c:pt>
                  <c:pt idx="64">
                    <c:v>Resveratrol</c:v>
                  </c:pt>
                  <c:pt idx="68">
                    <c:v>Sesquiterpenes</c:v>
                  </c:pt>
                  <c:pt idx="72">
                    <c:v>Shikimate</c:v>
                  </c:pt>
                  <c:pt idx="76">
                    <c:v>Styrene</c:v>
                  </c:pt>
                </c:lvl>
              </c:multiLvlStrCache>
            </c:multiLvlStrRef>
          </c:cat>
          <c:val>
            <c:numRef>
              <c:f>Sheet2!$E$28:$E$106</c:f>
              <c:numCache>
                <c:formatCode>General</c:formatCode>
                <c:ptCount val="79"/>
                <c:pt idx="2">
                  <c:v>0.33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0.193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0.18099999999999999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0.185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0.48699999999999999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0.27400000000000002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0.30599999999999999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0.21199999999999999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7.6999999999999999E-2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0.38500000000000001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0.79200000000000004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0.28299999999999997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0.123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0.20699999999999999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6.8000000000000005E-2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0.10299999999999999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0.13700000000000001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0.33400000000000002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0.13100000000000001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C1-F04C-93E9-A2C0B829C293}"/>
            </c:ext>
          </c:extLst>
        </c:ser>
        <c:ser>
          <c:idx val="3"/>
          <c:order val="3"/>
          <c:tx>
            <c:strRef>
              <c:f>Sheet2!$F$27</c:f>
              <c:strCache>
                <c:ptCount val="1"/>
                <c:pt idx="0">
                  <c:v>SC FBA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Sheet2!$A$28:$B$106</c:f>
              <c:multiLvlStrCache>
                <c:ptCount val="79"/>
                <c:lvl>
                  <c:pt idx="1">
                    <c:v>RT</c:v>
                  </c:pt>
                  <c:pt idx="2">
                    <c:v>SC</c:v>
                  </c:pt>
                  <c:pt idx="3">
                    <c:v> </c:v>
                  </c:pt>
                  <c:pt idx="5">
                    <c:v>RT</c:v>
                  </c:pt>
                  <c:pt idx="6">
                    <c:v>SC</c:v>
                  </c:pt>
                  <c:pt idx="9">
                    <c:v>RT</c:v>
                  </c:pt>
                  <c:pt idx="10">
                    <c:v>SC</c:v>
                  </c:pt>
                  <c:pt idx="13">
                    <c:v>RT</c:v>
                  </c:pt>
                  <c:pt idx="14">
                    <c:v>SC</c:v>
                  </c:pt>
                  <c:pt idx="17">
                    <c:v>RT</c:v>
                  </c:pt>
                  <c:pt idx="18">
                    <c:v>SC</c:v>
                  </c:pt>
                  <c:pt idx="21">
                    <c:v>RT</c:v>
                  </c:pt>
                  <c:pt idx="22">
                    <c:v>SC</c:v>
                  </c:pt>
                  <c:pt idx="25">
                    <c:v>RT</c:v>
                  </c:pt>
                  <c:pt idx="26">
                    <c:v>SC</c:v>
                  </c:pt>
                  <c:pt idx="29">
                    <c:v>RT</c:v>
                  </c:pt>
                  <c:pt idx="30">
                    <c:v>SC</c:v>
                  </c:pt>
                  <c:pt idx="33">
                    <c:v>RT</c:v>
                  </c:pt>
                  <c:pt idx="34">
                    <c:v>SC</c:v>
                  </c:pt>
                  <c:pt idx="37">
                    <c:v>RT</c:v>
                  </c:pt>
                  <c:pt idx="38">
                    <c:v>SC</c:v>
                  </c:pt>
                  <c:pt idx="41">
                    <c:v>RT</c:v>
                  </c:pt>
                  <c:pt idx="42">
                    <c:v>SC</c:v>
                  </c:pt>
                  <c:pt idx="45">
                    <c:v>RT</c:v>
                  </c:pt>
                  <c:pt idx="46">
                    <c:v>SC</c:v>
                  </c:pt>
                  <c:pt idx="49">
                    <c:v>RT</c:v>
                  </c:pt>
                  <c:pt idx="50">
                    <c:v>SC</c:v>
                  </c:pt>
                  <c:pt idx="53">
                    <c:v>RT</c:v>
                  </c:pt>
                  <c:pt idx="54">
                    <c:v>SC</c:v>
                  </c:pt>
                  <c:pt idx="57">
                    <c:v>RT</c:v>
                  </c:pt>
                  <c:pt idx="58">
                    <c:v>SC</c:v>
                  </c:pt>
                  <c:pt idx="61">
                    <c:v>RT</c:v>
                  </c:pt>
                  <c:pt idx="62">
                    <c:v>SC</c:v>
                  </c:pt>
                  <c:pt idx="65">
                    <c:v>RT</c:v>
                  </c:pt>
                  <c:pt idx="66">
                    <c:v>SC</c:v>
                  </c:pt>
                  <c:pt idx="69">
                    <c:v>RT</c:v>
                  </c:pt>
                  <c:pt idx="70">
                    <c:v>SC</c:v>
                  </c:pt>
                  <c:pt idx="73">
                    <c:v>RT</c:v>
                  </c:pt>
                  <c:pt idx="74">
                    <c:v>SC</c:v>
                  </c:pt>
                  <c:pt idx="77">
                    <c:v>RT</c:v>
                  </c:pt>
                  <c:pt idx="78">
                    <c:v>SC</c:v>
                  </c:pt>
                </c:lvl>
                <c:lvl>
                  <c:pt idx="0">
                    <c:v>1,3-Propanediol</c:v>
                  </c:pt>
                  <c:pt idx="4">
                    <c:v>2-Phenylethanol</c:v>
                  </c:pt>
                  <c:pt idx="8">
                    <c:v>3-Hydroxypropionic acid</c:v>
                  </c:pt>
                  <c:pt idx="12">
                    <c:v>p-Hydroxybenzoate</c:v>
                  </c:pt>
                  <c:pt idx="16">
                    <c:v>Artemisinic acid</c:v>
                  </c:pt>
                  <c:pt idx="20">
                    <c:v>(2R,3R)-Butanediol</c:v>
                  </c:pt>
                  <c:pt idx="24">
                    <c:v>n-Butanol</c:v>
                  </c:pt>
                  <c:pt idx="28">
                    <c:v>Citramalate</c:v>
                  </c:pt>
                  <c:pt idx="32">
                    <c:v>p-Coumaric acid</c:v>
                  </c:pt>
                  <c:pt idx="36">
                    <c:v>Hexadecanoic acid</c:v>
                  </c:pt>
                  <c:pt idx="40">
                    <c:v>Isobutanol</c:v>
                  </c:pt>
                  <c:pt idx="44">
                    <c:v>l-Lactate</c:v>
                  </c:pt>
                  <c:pt idx="48">
                    <c:v>cis,cis-Muconate</c:v>
                  </c:pt>
                  <c:pt idx="52">
                    <c:v>(2S)-Naringenin</c:v>
                  </c:pt>
                  <c:pt idx="56">
                    <c:v>Polyhydroxybutyrate</c:v>
                  </c:pt>
                  <c:pt idx="60">
                    <c:v>Reticuline</c:v>
                  </c:pt>
                  <c:pt idx="64">
                    <c:v>Resveratrol</c:v>
                  </c:pt>
                  <c:pt idx="68">
                    <c:v>Sesquiterpenes</c:v>
                  </c:pt>
                  <c:pt idx="72">
                    <c:v>Shikimate</c:v>
                  </c:pt>
                  <c:pt idx="76">
                    <c:v>Styrene</c:v>
                  </c:pt>
                </c:lvl>
              </c:multiLvlStrCache>
            </c:multiLvlStrRef>
          </c:cat>
          <c:val>
            <c:numRef>
              <c:f>Sheet2!$F$28:$F$106</c:f>
              <c:numCache>
                <c:formatCode>General</c:formatCode>
                <c:ptCount val="79"/>
                <c:pt idx="2">
                  <c:v>0.23999999999999994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0.16299999999999998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0.57899999999999996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0.33700000000000002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0.15500000000000003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1.0000000000000009E-3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7.4999999999999956E-2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0.46100000000000002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0.27400000000000002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0.22099999999999997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5.0000000000000044E-3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0.11499999999999999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0.33100000000000002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0.33100000000000002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0.33400000000000007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0.27999999999999997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0.27800000000000002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0.16899999999999998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0.37799999999999995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0.16499999999999998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C1-F04C-93E9-A2C0B829C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901373087"/>
        <c:axId val="1901374799"/>
      </c:barChart>
      <c:catAx>
        <c:axId val="19013730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74799"/>
        <c:crosses val="autoZero"/>
        <c:auto val="1"/>
        <c:lblAlgn val="ctr"/>
        <c:lblOffset val="100"/>
        <c:noMultiLvlLbl val="0"/>
      </c:catAx>
      <c:valAx>
        <c:axId val="190137479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73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theoretical yields (g</a:t>
            </a:r>
            <a:r>
              <a:rPr lang="en-US" baseline="0"/>
              <a:t> product/g glucose)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604034444678167"/>
          <c:y val="8.7480610203011969E-2"/>
          <c:w val="0.69404079381331818"/>
          <c:h val="0.8980981098718280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Sheet2!$C$27</c:f>
              <c:strCache>
                <c:ptCount val="1"/>
                <c:pt idx="0">
                  <c:v>RT RBA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Sheet2!$B$28:$B$106</c:f>
              <c:strCache>
                <c:ptCount val="79"/>
                <c:pt idx="1">
                  <c:v>RT</c:v>
                </c:pt>
                <c:pt idx="2">
                  <c:v>SC</c:v>
                </c:pt>
                <c:pt idx="3">
                  <c:v> </c:v>
                </c:pt>
                <c:pt idx="5">
                  <c:v>RT</c:v>
                </c:pt>
                <c:pt idx="6">
                  <c:v>SC</c:v>
                </c:pt>
                <c:pt idx="9">
                  <c:v>RT</c:v>
                </c:pt>
                <c:pt idx="10">
                  <c:v>SC</c:v>
                </c:pt>
                <c:pt idx="13">
                  <c:v>RT</c:v>
                </c:pt>
                <c:pt idx="14">
                  <c:v>SC</c:v>
                </c:pt>
                <c:pt idx="17">
                  <c:v>RT</c:v>
                </c:pt>
                <c:pt idx="18">
                  <c:v>SC</c:v>
                </c:pt>
                <c:pt idx="21">
                  <c:v>RT</c:v>
                </c:pt>
                <c:pt idx="22">
                  <c:v>SC</c:v>
                </c:pt>
                <c:pt idx="25">
                  <c:v>RT</c:v>
                </c:pt>
                <c:pt idx="26">
                  <c:v>SC</c:v>
                </c:pt>
                <c:pt idx="29">
                  <c:v>RT</c:v>
                </c:pt>
                <c:pt idx="30">
                  <c:v>SC</c:v>
                </c:pt>
                <c:pt idx="33">
                  <c:v>RT</c:v>
                </c:pt>
                <c:pt idx="34">
                  <c:v>SC</c:v>
                </c:pt>
                <c:pt idx="37">
                  <c:v>RT</c:v>
                </c:pt>
                <c:pt idx="38">
                  <c:v>SC</c:v>
                </c:pt>
                <c:pt idx="41">
                  <c:v>RT</c:v>
                </c:pt>
                <c:pt idx="42">
                  <c:v>SC</c:v>
                </c:pt>
                <c:pt idx="45">
                  <c:v>RT</c:v>
                </c:pt>
                <c:pt idx="46">
                  <c:v>SC</c:v>
                </c:pt>
                <c:pt idx="49">
                  <c:v>RT</c:v>
                </c:pt>
                <c:pt idx="50">
                  <c:v>SC</c:v>
                </c:pt>
                <c:pt idx="53">
                  <c:v>RT</c:v>
                </c:pt>
                <c:pt idx="54">
                  <c:v>SC</c:v>
                </c:pt>
                <c:pt idx="57">
                  <c:v>RT</c:v>
                </c:pt>
                <c:pt idx="58">
                  <c:v>SC</c:v>
                </c:pt>
                <c:pt idx="61">
                  <c:v>RT</c:v>
                </c:pt>
                <c:pt idx="62">
                  <c:v>SC</c:v>
                </c:pt>
                <c:pt idx="65">
                  <c:v>RT</c:v>
                </c:pt>
                <c:pt idx="66">
                  <c:v>SC</c:v>
                </c:pt>
                <c:pt idx="69">
                  <c:v>RT</c:v>
                </c:pt>
                <c:pt idx="70">
                  <c:v>SC</c:v>
                </c:pt>
                <c:pt idx="73">
                  <c:v>RT</c:v>
                </c:pt>
                <c:pt idx="74">
                  <c:v>SC</c:v>
                </c:pt>
                <c:pt idx="77">
                  <c:v>RT</c:v>
                </c:pt>
                <c:pt idx="78">
                  <c:v>SC</c:v>
                </c:pt>
              </c:strCache>
            </c:strRef>
          </c:cat>
          <c:val>
            <c:numRef>
              <c:f>Sheet2!$C$28:$C$106</c:f>
              <c:numCache>
                <c:formatCode>General</c:formatCode>
                <c:ptCount val="79"/>
                <c:pt idx="1">
                  <c:v>0.56699999999999995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0.77800000000000002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0.52100000000000002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0.27700000000000002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0.34799999999999998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0.47899999999999998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0.29899999999999999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0.38100000000000001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0.89400000000000002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0.61199999999999999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0.46100000000000002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0.63600000000000001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0.33700000000000002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0.38700000000000001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0.309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0.70599999999999996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0.29599999999999999</c:v>
                </c:pt>
                <c:pt idx="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5-1B4B-886B-DDE1A8F627BA}"/>
            </c:ext>
          </c:extLst>
        </c:ser>
        <c:ser>
          <c:idx val="1"/>
          <c:order val="1"/>
          <c:tx>
            <c:strRef>
              <c:f>Sheet2!$D$27</c:f>
              <c:strCache>
                <c:ptCount val="1"/>
                <c:pt idx="0">
                  <c:v>RT FBA</c:v>
                </c:pt>
              </c:strCache>
            </c:strRef>
          </c:tx>
          <c:spPr>
            <a:noFill/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Sheet2!$B$28:$B$106</c:f>
              <c:strCache>
                <c:ptCount val="79"/>
                <c:pt idx="1">
                  <c:v>RT</c:v>
                </c:pt>
                <c:pt idx="2">
                  <c:v>SC</c:v>
                </c:pt>
                <c:pt idx="3">
                  <c:v> </c:v>
                </c:pt>
                <c:pt idx="5">
                  <c:v>RT</c:v>
                </c:pt>
                <c:pt idx="6">
                  <c:v>SC</c:v>
                </c:pt>
                <c:pt idx="9">
                  <c:v>RT</c:v>
                </c:pt>
                <c:pt idx="10">
                  <c:v>SC</c:v>
                </c:pt>
                <c:pt idx="13">
                  <c:v>RT</c:v>
                </c:pt>
                <c:pt idx="14">
                  <c:v>SC</c:v>
                </c:pt>
                <c:pt idx="17">
                  <c:v>RT</c:v>
                </c:pt>
                <c:pt idx="18">
                  <c:v>SC</c:v>
                </c:pt>
                <c:pt idx="21">
                  <c:v>RT</c:v>
                </c:pt>
                <c:pt idx="22">
                  <c:v>SC</c:v>
                </c:pt>
                <c:pt idx="25">
                  <c:v>RT</c:v>
                </c:pt>
                <c:pt idx="26">
                  <c:v>SC</c:v>
                </c:pt>
                <c:pt idx="29">
                  <c:v>RT</c:v>
                </c:pt>
                <c:pt idx="30">
                  <c:v>SC</c:v>
                </c:pt>
                <c:pt idx="33">
                  <c:v>RT</c:v>
                </c:pt>
                <c:pt idx="34">
                  <c:v>SC</c:v>
                </c:pt>
                <c:pt idx="37">
                  <c:v>RT</c:v>
                </c:pt>
                <c:pt idx="38">
                  <c:v>SC</c:v>
                </c:pt>
                <c:pt idx="41">
                  <c:v>RT</c:v>
                </c:pt>
                <c:pt idx="42">
                  <c:v>SC</c:v>
                </c:pt>
                <c:pt idx="45">
                  <c:v>RT</c:v>
                </c:pt>
                <c:pt idx="46">
                  <c:v>SC</c:v>
                </c:pt>
                <c:pt idx="49">
                  <c:v>RT</c:v>
                </c:pt>
                <c:pt idx="50">
                  <c:v>SC</c:v>
                </c:pt>
                <c:pt idx="53">
                  <c:v>RT</c:v>
                </c:pt>
                <c:pt idx="54">
                  <c:v>SC</c:v>
                </c:pt>
                <c:pt idx="57">
                  <c:v>RT</c:v>
                </c:pt>
                <c:pt idx="58">
                  <c:v>SC</c:v>
                </c:pt>
                <c:pt idx="61">
                  <c:v>RT</c:v>
                </c:pt>
                <c:pt idx="62">
                  <c:v>SC</c:v>
                </c:pt>
                <c:pt idx="65">
                  <c:v>RT</c:v>
                </c:pt>
                <c:pt idx="66">
                  <c:v>SC</c:v>
                </c:pt>
                <c:pt idx="69">
                  <c:v>RT</c:v>
                </c:pt>
                <c:pt idx="70">
                  <c:v>SC</c:v>
                </c:pt>
                <c:pt idx="73">
                  <c:v>RT</c:v>
                </c:pt>
                <c:pt idx="74">
                  <c:v>SC</c:v>
                </c:pt>
                <c:pt idx="77">
                  <c:v>RT</c:v>
                </c:pt>
                <c:pt idx="78">
                  <c:v>SC</c:v>
                </c:pt>
              </c:strCache>
            </c:strRef>
          </c:cat>
          <c:val>
            <c:numRef>
              <c:f>Sheet2!$D$28:$D$106</c:f>
              <c:numCache>
                <c:formatCode>General</c:formatCode>
                <c:ptCount val="79"/>
                <c:pt idx="1">
                  <c:v>2.0000000000000018E-3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6.0000000000000053E-3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9.000000000000008E-3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1.100000000000001E-2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3.0000000000000027E-3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1.0000000000000009E-3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2.0000000000000018E-3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7.0000000000000062E-3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9.000000000000008E-3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4.0000000000000036E-3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4.0000000000000036E-3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1.0000000000000009E-3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4.0000000000000036E-3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8.9999999999999525E-3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7.0000000000000062E-3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3.5999999999999976E-2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7.0000000000000062E-3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4.0000000000000036E-3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8.0000000000000071E-3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5.0000000000000044E-3</c:v>
                </c:pt>
                <c:pt idx="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55-1B4B-886B-DDE1A8F627BA}"/>
            </c:ext>
          </c:extLst>
        </c:ser>
        <c:ser>
          <c:idx val="2"/>
          <c:order val="2"/>
          <c:tx>
            <c:strRef>
              <c:f>Sheet2!$E$27</c:f>
              <c:strCache>
                <c:ptCount val="1"/>
                <c:pt idx="0">
                  <c:v>SC RBA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Sheet2!$B$28:$B$106</c:f>
              <c:strCache>
                <c:ptCount val="79"/>
                <c:pt idx="1">
                  <c:v>RT</c:v>
                </c:pt>
                <c:pt idx="2">
                  <c:v>SC</c:v>
                </c:pt>
                <c:pt idx="3">
                  <c:v> </c:v>
                </c:pt>
                <c:pt idx="5">
                  <c:v>RT</c:v>
                </c:pt>
                <c:pt idx="6">
                  <c:v>SC</c:v>
                </c:pt>
                <c:pt idx="9">
                  <c:v>RT</c:v>
                </c:pt>
                <c:pt idx="10">
                  <c:v>SC</c:v>
                </c:pt>
                <c:pt idx="13">
                  <c:v>RT</c:v>
                </c:pt>
                <c:pt idx="14">
                  <c:v>SC</c:v>
                </c:pt>
                <c:pt idx="17">
                  <c:v>RT</c:v>
                </c:pt>
                <c:pt idx="18">
                  <c:v>SC</c:v>
                </c:pt>
                <c:pt idx="21">
                  <c:v>RT</c:v>
                </c:pt>
                <c:pt idx="22">
                  <c:v>SC</c:v>
                </c:pt>
                <c:pt idx="25">
                  <c:v>RT</c:v>
                </c:pt>
                <c:pt idx="26">
                  <c:v>SC</c:v>
                </c:pt>
                <c:pt idx="29">
                  <c:v>RT</c:v>
                </c:pt>
                <c:pt idx="30">
                  <c:v>SC</c:v>
                </c:pt>
                <c:pt idx="33">
                  <c:v>RT</c:v>
                </c:pt>
                <c:pt idx="34">
                  <c:v>SC</c:v>
                </c:pt>
                <c:pt idx="37">
                  <c:v>RT</c:v>
                </c:pt>
                <c:pt idx="38">
                  <c:v>SC</c:v>
                </c:pt>
                <c:pt idx="41">
                  <c:v>RT</c:v>
                </c:pt>
                <c:pt idx="42">
                  <c:v>SC</c:v>
                </c:pt>
                <c:pt idx="45">
                  <c:v>RT</c:v>
                </c:pt>
                <c:pt idx="46">
                  <c:v>SC</c:v>
                </c:pt>
                <c:pt idx="49">
                  <c:v>RT</c:v>
                </c:pt>
                <c:pt idx="50">
                  <c:v>SC</c:v>
                </c:pt>
                <c:pt idx="53">
                  <c:v>RT</c:v>
                </c:pt>
                <c:pt idx="54">
                  <c:v>SC</c:v>
                </c:pt>
                <c:pt idx="57">
                  <c:v>RT</c:v>
                </c:pt>
                <c:pt idx="58">
                  <c:v>SC</c:v>
                </c:pt>
                <c:pt idx="61">
                  <c:v>RT</c:v>
                </c:pt>
                <c:pt idx="62">
                  <c:v>SC</c:v>
                </c:pt>
                <c:pt idx="65">
                  <c:v>RT</c:v>
                </c:pt>
                <c:pt idx="66">
                  <c:v>SC</c:v>
                </c:pt>
                <c:pt idx="69">
                  <c:v>RT</c:v>
                </c:pt>
                <c:pt idx="70">
                  <c:v>SC</c:v>
                </c:pt>
                <c:pt idx="73">
                  <c:v>RT</c:v>
                </c:pt>
                <c:pt idx="74">
                  <c:v>SC</c:v>
                </c:pt>
                <c:pt idx="77">
                  <c:v>RT</c:v>
                </c:pt>
                <c:pt idx="78">
                  <c:v>SC</c:v>
                </c:pt>
              </c:strCache>
            </c:strRef>
          </c:cat>
          <c:val>
            <c:numRef>
              <c:f>Sheet2!$E$28:$E$106</c:f>
              <c:numCache>
                <c:formatCode>General</c:formatCode>
                <c:ptCount val="79"/>
                <c:pt idx="2">
                  <c:v>0.33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0.193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0.18099999999999999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0.185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0.48699999999999999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0.27400000000000002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0.30599999999999999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0.21199999999999999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7.6999999999999999E-2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0.38500000000000001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0.79200000000000004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0.28299999999999997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0.123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0.20699999999999999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6.8000000000000005E-2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0.10299999999999999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0.13700000000000001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0.33400000000000002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0.13100000000000001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55-1B4B-886B-DDE1A8F627BA}"/>
            </c:ext>
          </c:extLst>
        </c:ser>
        <c:ser>
          <c:idx val="3"/>
          <c:order val="3"/>
          <c:tx>
            <c:strRef>
              <c:f>Sheet2!$F$27</c:f>
              <c:strCache>
                <c:ptCount val="1"/>
                <c:pt idx="0">
                  <c:v>SC FBA</c:v>
                </c:pt>
              </c:strCache>
            </c:strRef>
          </c:tx>
          <c:spPr>
            <a:noFill/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Sheet2!$B$28:$B$106</c:f>
              <c:strCache>
                <c:ptCount val="79"/>
                <c:pt idx="1">
                  <c:v>RT</c:v>
                </c:pt>
                <c:pt idx="2">
                  <c:v>SC</c:v>
                </c:pt>
                <c:pt idx="3">
                  <c:v> </c:v>
                </c:pt>
                <c:pt idx="5">
                  <c:v>RT</c:v>
                </c:pt>
                <c:pt idx="6">
                  <c:v>SC</c:v>
                </c:pt>
                <c:pt idx="9">
                  <c:v>RT</c:v>
                </c:pt>
                <c:pt idx="10">
                  <c:v>SC</c:v>
                </c:pt>
                <c:pt idx="13">
                  <c:v>RT</c:v>
                </c:pt>
                <c:pt idx="14">
                  <c:v>SC</c:v>
                </c:pt>
                <c:pt idx="17">
                  <c:v>RT</c:v>
                </c:pt>
                <c:pt idx="18">
                  <c:v>SC</c:v>
                </c:pt>
                <c:pt idx="21">
                  <c:v>RT</c:v>
                </c:pt>
                <c:pt idx="22">
                  <c:v>SC</c:v>
                </c:pt>
                <c:pt idx="25">
                  <c:v>RT</c:v>
                </c:pt>
                <c:pt idx="26">
                  <c:v>SC</c:v>
                </c:pt>
                <c:pt idx="29">
                  <c:v>RT</c:v>
                </c:pt>
                <c:pt idx="30">
                  <c:v>SC</c:v>
                </c:pt>
                <c:pt idx="33">
                  <c:v>RT</c:v>
                </c:pt>
                <c:pt idx="34">
                  <c:v>SC</c:v>
                </c:pt>
                <c:pt idx="37">
                  <c:v>RT</c:v>
                </c:pt>
                <c:pt idx="38">
                  <c:v>SC</c:v>
                </c:pt>
                <c:pt idx="41">
                  <c:v>RT</c:v>
                </c:pt>
                <c:pt idx="42">
                  <c:v>SC</c:v>
                </c:pt>
                <c:pt idx="45">
                  <c:v>RT</c:v>
                </c:pt>
                <c:pt idx="46">
                  <c:v>SC</c:v>
                </c:pt>
                <c:pt idx="49">
                  <c:v>RT</c:v>
                </c:pt>
                <c:pt idx="50">
                  <c:v>SC</c:v>
                </c:pt>
                <c:pt idx="53">
                  <c:v>RT</c:v>
                </c:pt>
                <c:pt idx="54">
                  <c:v>SC</c:v>
                </c:pt>
                <c:pt idx="57">
                  <c:v>RT</c:v>
                </c:pt>
                <c:pt idx="58">
                  <c:v>SC</c:v>
                </c:pt>
                <c:pt idx="61">
                  <c:v>RT</c:v>
                </c:pt>
                <c:pt idx="62">
                  <c:v>SC</c:v>
                </c:pt>
                <c:pt idx="65">
                  <c:v>RT</c:v>
                </c:pt>
                <c:pt idx="66">
                  <c:v>SC</c:v>
                </c:pt>
                <c:pt idx="69">
                  <c:v>RT</c:v>
                </c:pt>
                <c:pt idx="70">
                  <c:v>SC</c:v>
                </c:pt>
                <c:pt idx="73">
                  <c:v>RT</c:v>
                </c:pt>
                <c:pt idx="74">
                  <c:v>SC</c:v>
                </c:pt>
                <c:pt idx="77">
                  <c:v>RT</c:v>
                </c:pt>
                <c:pt idx="78">
                  <c:v>SC</c:v>
                </c:pt>
              </c:strCache>
            </c:strRef>
          </c:cat>
          <c:val>
            <c:numRef>
              <c:f>Sheet2!$F$28:$F$106</c:f>
              <c:numCache>
                <c:formatCode>General</c:formatCode>
                <c:ptCount val="79"/>
                <c:pt idx="2">
                  <c:v>0.23999999999999994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0.16299999999999998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0.57899999999999996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0.33700000000000002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0.15500000000000003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1.0000000000000009E-3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7.4999999999999956E-2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0.46100000000000002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0.27400000000000002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0.22099999999999997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5.0000000000000044E-3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0.11499999999999999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0.33100000000000002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0.33100000000000002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0.33400000000000007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0.27999999999999997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0.27800000000000002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0.16899999999999998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0.37799999999999995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0.16499999999999998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55-1B4B-886B-DDE1A8F62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901373087"/>
        <c:axId val="1901374799"/>
      </c:barChart>
      <c:catAx>
        <c:axId val="19013730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9D9D9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74799"/>
        <c:crosses val="autoZero"/>
        <c:auto val="1"/>
        <c:lblAlgn val="ctr"/>
        <c:lblOffset val="100"/>
        <c:noMultiLvlLbl val="0"/>
      </c:catAx>
      <c:valAx>
        <c:axId val="1901374799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73087"/>
        <c:crosses val="autoZero"/>
        <c:crossBetween val="between"/>
        <c:minorUnit val="0.0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theoretical yields (g</a:t>
            </a:r>
            <a:r>
              <a:rPr lang="en-US" baseline="0"/>
              <a:t> product/g glucose)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604034444678167"/>
          <c:y val="8.7480610203011969E-2"/>
          <c:w val="0.69404079381331818"/>
          <c:h val="0.8980981098718280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Sheet2!$J$27</c:f>
              <c:strCache>
                <c:ptCount val="1"/>
                <c:pt idx="0">
                  <c:v>RT RBA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Sheet2!$I$28:$I$87</c:f>
              <c:strCache>
                <c:ptCount val="60"/>
                <c:pt idx="1">
                  <c:v>RT</c:v>
                </c:pt>
                <c:pt idx="2">
                  <c:v>SC</c:v>
                </c:pt>
                <c:pt idx="4">
                  <c:v>RT</c:v>
                </c:pt>
                <c:pt idx="5">
                  <c:v>SC</c:v>
                </c:pt>
                <c:pt idx="7">
                  <c:v>RT</c:v>
                </c:pt>
                <c:pt idx="8">
                  <c:v>SC</c:v>
                </c:pt>
                <c:pt idx="10">
                  <c:v>RT</c:v>
                </c:pt>
                <c:pt idx="11">
                  <c:v>SC</c:v>
                </c:pt>
                <c:pt idx="13">
                  <c:v>RT</c:v>
                </c:pt>
                <c:pt idx="14">
                  <c:v>SC</c:v>
                </c:pt>
                <c:pt idx="16">
                  <c:v>RT</c:v>
                </c:pt>
                <c:pt idx="17">
                  <c:v>SC</c:v>
                </c:pt>
                <c:pt idx="19">
                  <c:v>RT</c:v>
                </c:pt>
                <c:pt idx="20">
                  <c:v>SC</c:v>
                </c:pt>
                <c:pt idx="22">
                  <c:v>RT</c:v>
                </c:pt>
                <c:pt idx="23">
                  <c:v>SC</c:v>
                </c:pt>
                <c:pt idx="25">
                  <c:v>RT</c:v>
                </c:pt>
                <c:pt idx="26">
                  <c:v>SC</c:v>
                </c:pt>
                <c:pt idx="28">
                  <c:v>RT</c:v>
                </c:pt>
                <c:pt idx="29">
                  <c:v>SC</c:v>
                </c:pt>
                <c:pt idx="31">
                  <c:v>RT</c:v>
                </c:pt>
                <c:pt idx="32">
                  <c:v>SC</c:v>
                </c:pt>
                <c:pt idx="34">
                  <c:v>RT</c:v>
                </c:pt>
                <c:pt idx="35">
                  <c:v>SC</c:v>
                </c:pt>
                <c:pt idx="37">
                  <c:v>RT</c:v>
                </c:pt>
                <c:pt idx="38">
                  <c:v>SC</c:v>
                </c:pt>
                <c:pt idx="40">
                  <c:v>RT</c:v>
                </c:pt>
                <c:pt idx="41">
                  <c:v>SC</c:v>
                </c:pt>
                <c:pt idx="43">
                  <c:v>RT</c:v>
                </c:pt>
                <c:pt idx="44">
                  <c:v>SC</c:v>
                </c:pt>
                <c:pt idx="46">
                  <c:v>RT</c:v>
                </c:pt>
                <c:pt idx="47">
                  <c:v>SC</c:v>
                </c:pt>
                <c:pt idx="49">
                  <c:v>RT</c:v>
                </c:pt>
                <c:pt idx="50">
                  <c:v>SC</c:v>
                </c:pt>
                <c:pt idx="52">
                  <c:v>RT</c:v>
                </c:pt>
                <c:pt idx="53">
                  <c:v>SC</c:v>
                </c:pt>
                <c:pt idx="55">
                  <c:v>RT</c:v>
                </c:pt>
                <c:pt idx="56">
                  <c:v>SC</c:v>
                </c:pt>
                <c:pt idx="58">
                  <c:v>RT</c:v>
                </c:pt>
                <c:pt idx="59">
                  <c:v>SC</c:v>
                </c:pt>
              </c:strCache>
            </c:strRef>
          </c:cat>
          <c:val>
            <c:numRef>
              <c:f>Sheet2!$J$28:$J$87</c:f>
              <c:numCache>
                <c:formatCode>General</c:formatCode>
                <c:ptCount val="60"/>
                <c:pt idx="1">
                  <c:v>0.56699999999999995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0.77800000000000002</c:v>
                </c:pt>
                <c:pt idx="8">
                  <c:v>0</c:v>
                </c:pt>
                <c:pt idx="9">
                  <c:v>0</c:v>
                </c:pt>
                <c:pt idx="10">
                  <c:v>0.52100000000000002</c:v>
                </c:pt>
                <c:pt idx="11">
                  <c:v>0</c:v>
                </c:pt>
                <c:pt idx="12">
                  <c:v>0</c:v>
                </c:pt>
                <c:pt idx="13">
                  <c:v>0.27700000000000002</c:v>
                </c:pt>
                <c:pt idx="14">
                  <c:v>0</c:v>
                </c:pt>
                <c:pt idx="15">
                  <c:v>0</c:v>
                </c:pt>
                <c:pt idx="16">
                  <c:v>0.501</c:v>
                </c:pt>
                <c:pt idx="17">
                  <c:v>0</c:v>
                </c:pt>
                <c:pt idx="18">
                  <c:v>0</c:v>
                </c:pt>
                <c:pt idx="19">
                  <c:v>0.34799999999999998</c:v>
                </c:pt>
                <c:pt idx="20">
                  <c:v>0</c:v>
                </c:pt>
                <c:pt idx="21">
                  <c:v>0</c:v>
                </c:pt>
                <c:pt idx="22">
                  <c:v>0.9</c:v>
                </c:pt>
                <c:pt idx="23">
                  <c:v>0</c:v>
                </c:pt>
                <c:pt idx="24">
                  <c:v>0</c:v>
                </c:pt>
                <c:pt idx="25">
                  <c:v>0.47899999999999998</c:v>
                </c:pt>
                <c:pt idx="26">
                  <c:v>0</c:v>
                </c:pt>
                <c:pt idx="27">
                  <c:v>0</c:v>
                </c:pt>
                <c:pt idx="28">
                  <c:v>0.29899999999999999</c:v>
                </c:pt>
                <c:pt idx="29">
                  <c:v>0</c:v>
                </c:pt>
                <c:pt idx="30">
                  <c:v>0</c:v>
                </c:pt>
                <c:pt idx="31">
                  <c:v>0.38100000000000001</c:v>
                </c:pt>
                <c:pt idx="32">
                  <c:v>0</c:v>
                </c:pt>
                <c:pt idx="33">
                  <c:v>0</c:v>
                </c:pt>
                <c:pt idx="34">
                  <c:v>0.89400000000000002</c:v>
                </c:pt>
                <c:pt idx="35">
                  <c:v>0</c:v>
                </c:pt>
                <c:pt idx="36">
                  <c:v>0</c:v>
                </c:pt>
                <c:pt idx="37">
                  <c:v>0.61199999999999999</c:v>
                </c:pt>
                <c:pt idx="38">
                  <c:v>0</c:v>
                </c:pt>
                <c:pt idx="39">
                  <c:v>0</c:v>
                </c:pt>
                <c:pt idx="40">
                  <c:v>0.46100000000000002</c:v>
                </c:pt>
                <c:pt idx="41">
                  <c:v>0</c:v>
                </c:pt>
                <c:pt idx="42">
                  <c:v>0</c:v>
                </c:pt>
                <c:pt idx="43">
                  <c:v>0.63600000000000001</c:v>
                </c:pt>
                <c:pt idx="44">
                  <c:v>0</c:v>
                </c:pt>
                <c:pt idx="45">
                  <c:v>0</c:v>
                </c:pt>
                <c:pt idx="46">
                  <c:v>0.33700000000000002</c:v>
                </c:pt>
                <c:pt idx="47">
                  <c:v>0</c:v>
                </c:pt>
                <c:pt idx="48">
                  <c:v>0</c:v>
                </c:pt>
                <c:pt idx="49">
                  <c:v>0.38700000000000001</c:v>
                </c:pt>
                <c:pt idx="50">
                  <c:v>0</c:v>
                </c:pt>
                <c:pt idx="51">
                  <c:v>0</c:v>
                </c:pt>
                <c:pt idx="52">
                  <c:v>0.309</c:v>
                </c:pt>
                <c:pt idx="53">
                  <c:v>0</c:v>
                </c:pt>
                <c:pt idx="54">
                  <c:v>0</c:v>
                </c:pt>
                <c:pt idx="55">
                  <c:v>0.70599999999999996</c:v>
                </c:pt>
                <c:pt idx="56">
                  <c:v>0</c:v>
                </c:pt>
                <c:pt idx="57">
                  <c:v>0</c:v>
                </c:pt>
                <c:pt idx="58">
                  <c:v>0.29599999999999999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CB-3B49-9218-85684BEC9368}"/>
            </c:ext>
          </c:extLst>
        </c:ser>
        <c:ser>
          <c:idx val="1"/>
          <c:order val="1"/>
          <c:tx>
            <c:strRef>
              <c:f>Sheet2!$K$27</c:f>
              <c:strCache>
                <c:ptCount val="1"/>
                <c:pt idx="0">
                  <c:v>RT FBA</c:v>
                </c:pt>
              </c:strCache>
            </c:strRef>
          </c:tx>
          <c:spPr>
            <a:noFill/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Sheet2!$I$28:$I$87</c:f>
              <c:strCache>
                <c:ptCount val="60"/>
                <c:pt idx="1">
                  <c:v>RT</c:v>
                </c:pt>
                <c:pt idx="2">
                  <c:v>SC</c:v>
                </c:pt>
                <c:pt idx="4">
                  <c:v>RT</c:v>
                </c:pt>
                <c:pt idx="5">
                  <c:v>SC</c:v>
                </c:pt>
                <c:pt idx="7">
                  <c:v>RT</c:v>
                </c:pt>
                <c:pt idx="8">
                  <c:v>SC</c:v>
                </c:pt>
                <c:pt idx="10">
                  <c:v>RT</c:v>
                </c:pt>
                <c:pt idx="11">
                  <c:v>SC</c:v>
                </c:pt>
                <c:pt idx="13">
                  <c:v>RT</c:v>
                </c:pt>
                <c:pt idx="14">
                  <c:v>SC</c:v>
                </c:pt>
                <c:pt idx="16">
                  <c:v>RT</c:v>
                </c:pt>
                <c:pt idx="17">
                  <c:v>SC</c:v>
                </c:pt>
                <c:pt idx="19">
                  <c:v>RT</c:v>
                </c:pt>
                <c:pt idx="20">
                  <c:v>SC</c:v>
                </c:pt>
                <c:pt idx="22">
                  <c:v>RT</c:v>
                </c:pt>
                <c:pt idx="23">
                  <c:v>SC</c:v>
                </c:pt>
                <c:pt idx="25">
                  <c:v>RT</c:v>
                </c:pt>
                <c:pt idx="26">
                  <c:v>SC</c:v>
                </c:pt>
                <c:pt idx="28">
                  <c:v>RT</c:v>
                </c:pt>
                <c:pt idx="29">
                  <c:v>SC</c:v>
                </c:pt>
                <c:pt idx="31">
                  <c:v>RT</c:v>
                </c:pt>
                <c:pt idx="32">
                  <c:v>SC</c:v>
                </c:pt>
                <c:pt idx="34">
                  <c:v>RT</c:v>
                </c:pt>
                <c:pt idx="35">
                  <c:v>SC</c:v>
                </c:pt>
                <c:pt idx="37">
                  <c:v>RT</c:v>
                </c:pt>
                <c:pt idx="38">
                  <c:v>SC</c:v>
                </c:pt>
                <c:pt idx="40">
                  <c:v>RT</c:v>
                </c:pt>
                <c:pt idx="41">
                  <c:v>SC</c:v>
                </c:pt>
                <c:pt idx="43">
                  <c:v>RT</c:v>
                </c:pt>
                <c:pt idx="44">
                  <c:v>SC</c:v>
                </c:pt>
                <c:pt idx="46">
                  <c:v>RT</c:v>
                </c:pt>
                <c:pt idx="47">
                  <c:v>SC</c:v>
                </c:pt>
                <c:pt idx="49">
                  <c:v>RT</c:v>
                </c:pt>
                <c:pt idx="50">
                  <c:v>SC</c:v>
                </c:pt>
                <c:pt idx="52">
                  <c:v>RT</c:v>
                </c:pt>
                <c:pt idx="53">
                  <c:v>SC</c:v>
                </c:pt>
                <c:pt idx="55">
                  <c:v>RT</c:v>
                </c:pt>
                <c:pt idx="56">
                  <c:v>SC</c:v>
                </c:pt>
                <c:pt idx="58">
                  <c:v>RT</c:v>
                </c:pt>
                <c:pt idx="59">
                  <c:v>SC</c:v>
                </c:pt>
              </c:strCache>
            </c:strRef>
          </c:cat>
          <c:val>
            <c:numRef>
              <c:f>Sheet2!$K$28:$K$87</c:f>
              <c:numCache>
                <c:formatCode>General</c:formatCode>
                <c:ptCount val="60"/>
                <c:pt idx="1">
                  <c:v>2.0000000000000018E-3</c:v>
                </c:pt>
                <c:pt idx="2">
                  <c:v>0</c:v>
                </c:pt>
                <c:pt idx="3">
                  <c:v>0</c:v>
                </c:pt>
                <c:pt idx="4">
                  <c:v>6.0000000000000053E-3</c:v>
                </c:pt>
                <c:pt idx="5">
                  <c:v>0</c:v>
                </c:pt>
                <c:pt idx="6">
                  <c:v>0</c:v>
                </c:pt>
                <c:pt idx="7">
                  <c:v>9.000000000000008E-3</c:v>
                </c:pt>
                <c:pt idx="8">
                  <c:v>0</c:v>
                </c:pt>
                <c:pt idx="9">
                  <c:v>0</c:v>
                </c:pt>
                <c:pt idx="10">
                  <c:v>1.100000000000001E-2</c:v>
                </c:pt>
                <c:pt idx="11">
                  <c:v>0</c:v>
                </c:pt>
                <c:pt idx="12">
                  <c:v>0</c:v>
                </c:pt>
                <c:pt idx="13">
                  <c:v>3.0000000000000027E-3</c:v>
                </c:pt>
                <c:pt idx="14">
                  <c:v>0</c:v>
                </c:pt>
                <c:pt idx="15">
                  <c:v>0</c:v>
                </c:pt>
                <c:pt idx="16">
                  <c:v>1.0000000000000009E-3</c:v>
                </c:pt>
                <c:pt idx="17">
                  <c:v>0</c:v>
                </c:pt>
                <c:pt idx="18">
                  <c:v>0</c:v>
                </c:pt>
                <c:pt idx="19">
                  <c:v>2.0000000000000018E-3</c:v>
                </c:pt>
                <c:pt idx="20">
                  <c:v>0</c:v>
                </c:pt>
                <c:pt idx="21">
                  <c:v>0</c:v>
                </c:pt>
                <c:pt idx="22">
                  <c:v>7.0000000000000062E-3</c:v>
                </c:pt>
                <c:pt idx="23">
                  <c:v>0</c:v>
                </c:pt>
                <c:pt idx="24">
                  <c:v>0</c:v>
                </c:pt>
                <c:pt idx="25">
                  <c:v>9.000000000000008E-3</c:v>
                </c:pt>
                <c:pt idx="26">
                  <c:v>0</c:v>
                </c:pt>
                <c:pt idx="27">
                  <c:v>0</c:v>
                </c:pt>
                <c:pt idx="28">
                  <c:v>4.0000000000000036E-3</c:v>
                </c:pt>
                <c:pt idx="29">
                  <c:v>0</c:v>
                </c:pt>
                <c:pt idx="30">
                  <c:v>0</c:v>
                </c:pt>
                <c:pt idx="31">
                  <c:v>4.0000000000000036E-3</c:v>
                </c:pt>
                <c:pt idx="32">
                  <c:v>0</c:v>
                </c:pt>
                <c:pt idx="33">
                  <c:v>0</c:v>
                </c:pt>
                <c:pt idx="34">
                  <c:v>1.0000000000000009E-3</c:v>
                </c:pt>
                <c:pt idx="35">
                  <c:v>0</c:v>
                </c:pt>
                <c:pt idx="36">
                  <c:v>0</c:v>
                </c:pt>
                <c:pt idx="37">
                  <c:v>4.0000000000000036E-3</c:v>
                </c:pt>
                <c:pt idx="38">
                  <c:v>0</c:v>
                </c:pt>
                <c:pt idx="39">
                  <c:v>0</c:v>
                </c:pt>
                <c:pt idx="40">
                  <c:v>8.9999999999999525E-3</c:v>
                </c:pt>
                <c:pt idx="41">
                  <c:v>0</c:v>
                </c:pt>
                <c:pt idx="42">
                  <c:v>0</c:v>
                </c:pt>
                <c:pt idx="43">
                  <c:v>7.0000000000000062E-3</c:v>
                </c:pt>
                <c:pt idx="44">
                  <c:v>0</c:v>
                </c:pt>
                <c:pt idx="45">
                  <c:v>0</c:v>
                </c:pt>
                <c:pt idx="46">
                  <c:v>3.5999999999999976E-2</c:v>
                </c:pt>
                <c:pt idx="47">
                  <c:v>0</c:v>
                </c:pt>
                <c:pt idx="48">
                  <c:v>0</c:v>
                </c:pt>
                <c:pt idx="49">
                  <c:v>7.0000000000000062E-3</c:v>
                </c:pt>
                <c:pt idx="50">
                  <c:v>0</c:v>
                </c:pt>
                <c:pt idx="51">
                  <c:v>0</c:v>
                </c:pt>
                <c:pt idx="52">
                  <c:v>4.0000000000000036E-3</c:v>
                </c:pt>
                <c:pt idx="53">
                  <c:v>0</c:v>
                </c:pt>
                <c:pt idx="54">
                  <c:v>0</c:v>
                </c:pt>
                <c:pt idx="55">
                  <c:v>8.0000000000000071E-3</c:v>
                </c:pt>
                <c:pt idx="56">
                  <c:v>0</c:v>
                </c:pt>
                <c:pt idx="57">
                  <c:v>0</c:v>
                </c:pt>
                <c:pt idx="58">
                  <c:v>5.0000000000000044E-3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CB-3B49-9218-85684BEC9368}"/>
            </c:ext>
          </c:extLst>
        </c:ser>
        <c:ser>
          <c:idx val="2"/>
          <c:order val="2"/>
          <c:tx>
            <c:strRef>
              <c:f>Sheet2!$L$27</c:f>
              <c:strCache>
                <c:ptCount val="1"/>
                <c:pt idx="0">
                  <c:v>SC RBA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Sheet2!$I$28:$I$87</c:f>
              <c:strCache>
                <c:ptCount val="60"/>
                <c:pt idx="1">
                  <c:v>RT</c:v>
                </c:pt>
                <c:pt idx="2">
                  <c:v>SC</c:v>
                </c:pt>
                <c:pt idx="4">
                  <c:v>RT</c:v>
                </c:pt>
                <c:pt idx="5">
                  <c:v>SC</c:v>
                </c:pt>
                <c:pt idx="7">
                  <c:v>RT</c:v>
                </c:pt>
                <c:pt idx="8">
                  <c:v>SC</c:v>
                </c:pt>
                <c:pt idx="10">
                  <c:v>RT</c:v>
                </c:pt>
                <c:pt idx="11">
                  <c:v>SC</c:v>
                </c:pt>
                <c:pt idx="13">
                  <c:v>RT</c:v>
                </c:pt>
                <c:pt idx="14">
                  <c:v>SC</c:v>
                </c:pt>
                <c:pt idx="16">
                  <c:v>RT</c:v>
                </c:pt>
                <c:pt idx="17">
                  <c:v>SC</c:v>
                </c:pt>
                <c:pt idx="19">
                  <c:v>RT</c:v>
                </c:pt>
                <c:pt idx="20">
                  <c:v>SC</c:v>
                </c:pt>
                <c:pt idx="22">
                  <c:v>RT</c:v>
                </c:pt>
                <c:pt idx="23">
                  <c:v>SC</c:v>
                </c:pt>
                <c:pt idx="25">
                  <c:v>RT</c:v>
                </c:pt>
                <c:pt idx="26">
                  <c:v>SC</c:v>
                </c:pt>
                <c:pt idx="28">
                  <c:v>RT</c:v>
                </c:pt>
                <c:pt idx="29">
                  <c:v>SC</c:v>
                </c:pt>
                <c:pt idx="31">
                  <c:v>RT</c:v>
                </c:pt>
                <c:pt idx="32">
                  <c:v>SC</c:v>
                </c:pt>
                <c:pt idx="34">
                  <c:v>RT</c:v>
                </c:pt>
                <c:pt idx="35">
                  <c:v>SC</c:v>
                </c:pt>
                <c:pt idx="37">
                  <c:v>RT</c:v>
                </c:pt>
                <c:pt idx="38">
                  <c:v>SC</c:v>
                </c:pt>
                <c:pt idx="40">
                  <c:v>RT</c:v>
                </c:pt>
                <c:pt idx="41">
                  <c:v>SC</c:v>
                </c:pt>
                <c:pt idx="43">
                  <c:v>RT</c:v>
                </c:pt>
                <c:pt idx="44">
                  <c:v>SC</c:v>
                </c:pt>
                <c:pt idx="46">
                  <c:v>RT</c:v>
                </c:pt>
                <c:pt idx="47">
                  <c:v>SC</c:v>
                </c:pt>
                <c:pt idx="49">
                  <c:v>RT</c:v>
                </c:pt>
                <c:pt idx="50">
                  <c:v>SC</c:v>
                </c:pt>
                <c:pt idx="52">
                  <c:v>RT</c:v>
                </c:pt>
                <c:pt idx="53">
                  <c:v>SC</c:v>
                </c:pt>
                <c:pt idx="55">
                  <c:v>RT</c:v>
                </c:pt>
                <c:pt idx="56">
                  <c:v>SC</c:v>
                </c:pt>
                <c:pt idx="58">
                  <c:v>RT</c:v>
                </c:pt>
                <c:pt idx="59">
                  <c:v>SC</c:v>
                </c:pt>
              </c:strCache>
            </c:strRef>
          </c:cat>
          <c:val>
            <c:numRef>
              <c:f>Sheet2!$L$28:$L$87</c:f>
              <c:numCache>
                <c:formatCode>General</c:formatCode>
                <c:ptCount val="60"/>
                <c:pt idx="2">
                  <c:v>0.33</c:v>
                </c:pt>
                <c:pt idx="3">
                  <c:v>0</c:v>
                </c:pt>
                <c:pt idx="4">
                  <c:v>0</c:v>
                </c:pt>
                <c:pt idx="5">
                  <c:v>0.193</c:v>
                </c:pt>
                <c:pt idx="6">
                  <c:v>0</c:v>
                </c:pt>
                <c:pt idx="7">
                  <c:v>0</c:v>
                </c:pt>
                <c:pt idx="8">
                  <c:v>0.18099999999999999</c:v>
                </c:pt>
                <c:pt idx="9">
                  <c:v>0</c:v>
                </c:pt>
                <c:pt idx="10">
                  <c:v>0</c:v>
                </c:pt>
                <c:pt idx="11">
                  <c:v>0.185</c:v>
                </c:pt>
                <c:pt idx="12">
                  <c:v>0</c:v>
                </c:pt>
                <c:pt idx="13">
                  <c:v>0</c:v>
                </c:pt>
                <c:pt idx="14">
                  <c:v>0.125</c:v>
                </c:pt>
                <c:pt idx="15">
                  <c:v>0</c:v>
                </c:pt>
                <c:pt idx="16">
                  <c:v>0</c:v>
                </c:pt>
                <c:pt idx="17">
                  <c:v>0.48699999999999999</c:v>
                </c:pt>
                <c:pt idx="18">
                  <c:v>0</c:v>
                </c:pt>
                <c:pt idx="19">
                  <c:v>0</c:v>
                </c:pt>
                <c:pt idx="20">
                  <c:v>0.27400000000000002</c:v>
                </c:pt>
                <c:pt idx="21">
                  <c:v>0</c:v>
                </c:pt>
                <c:pt idx="22">
                  <c:v>0</c:v>
                </c:pt>
                <c:pt idx="23">
                  <c:v>0.30599999999999999</c:v>
                </c:pt>
                <c:pt idx="24">
                  <c:v>0</c:v>
                </c:pt>
                <c:pt idx="25">
                  <c:v>0</c:v>
                </c:pt>
                <c:pt idx="26">
                  <c:v>0.21199999999999999</c:v>
                </c:pt>
                <c:pt idx="27">
                  <c:v>0</c:v>
                </c:pt>
                <c:pt idx="28">
                  <c:v>0</c:v>
                </c:pt>
                <c:pt idx="29">
                  <c:v>7.6999999999999999E-2</c:v>
                </c:pt>
                <c:pt idx="30">
                  <c:v>0</c:v>
                </c:pt>
                <c:pt idx="31">
                  <c:v>0</c:v>
                </c:pt>
                <c:pt idx="32">
                  <c:v>0.38500000000000001</c:v>
                </c:pt>
                <c:pt idx="33">
                  <c:v>0</c:v>
                </c:pt>
                <c:pt idx="34">
                  <c:v>0</c:v>
                </c:pt>
                <c:pt idx="35">
                  <c:v>0.79200000000000004</c:v>
                </c:pt>
                <c:pt idx="36">
                  <c:v>0</c:v>
                </c:pt>
                <c:pt idx="37">
                  <c:v>0</c:v>
                </c:pt>
                <c:pt idx="38">
                  <c:v>0.28299999999999997</c:v>
                </c:pt>
                <c:pt idx="39">
                  <c:v>0</c:v>
                </c:pt>
                <c:pt idx="40">
                  <c:v>0</c:v>
                </c:pt>
                <c:pt idx="41">
                  <c:v>0.123</c:v>
                </c:pt>
                <c:pt idx="42">
                  <c:v>0</c:v>
                </c:pt>
                <c:pt idx="43">
                  <c:v>0</c:v>
                </c:pt>
                <c:pt idx="44">
                  <c:v>0.20699999999999999</c:v>
                </c:pt>
                <c:pt idx="45">
                  <c:v>0</c:v>
                </c:pt>
                <c:pt idx="46">
                  <c:v>0</c:v>
                </c:pt>
                <c:pt idx="47">
                  <c:v>6.8000000000000005E-2</c:v>
                </c:pt>
                <c:pt idx="48">
                  <c:v>0</c:v>
                </c:pt>
                <c:pt idx="49">
                  <c:v>0</c:v>
                </c:pt>
                <c:pt idx="50">
                  <c:v>0.10299999999999999</c:v>
                </c:pt>
                <c:pt idx="51">
                  <c:v>0</c:v>
                </c:pt>
                <c:pt idx="52">
                  <c:v>0</c:v>
                </c:pt>
                <c:pt idx="53">
                  <c:v>0.13700000000000001</c:v>
                </c:pt>
                <c:pt idx="54">
                  <c:v>0</c:v>
                </c:pt>
                <c:pt idx="55">
                  <c:v>0</c:v>
                </c:pt>
                <c:pt idx="56">
                  <c:v>0.33400000000000002</c:v>
                </c:pt>
                <c:pt idx="57">
                  <c:v>0</c:v>
                </c:pt>
                <c:pt idx="58">
                  <c:v>0</c:v>
                </c:pt>
                <c:pt idx="59">
                  <c:v>0.13100000000000001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CB-3B49-9218-85684BEC9368}"/>
            </c:ext>
          </c:extLst>
        </c:ser>
        <c:ser>
          <c:idx val="3"/>
          <c:order val="3"/>
          <c:tx>
            <c:strRef>
              <c:f>Sheet2!$M$27</c:f>
              <c:strCache>
                <c:ptCount val="1"/>
                <c:pt idx="0">
                  <c:v>SC FBA</c:v>
                </c:pt>
              </c:strCache>
            </c:strRef>
          </c:tx>
          <c:spPr>
            <a:noFill/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Sheet2!$I$28:$I$87</c:f>
              <c:strCache>
                <c:ptCount val="60"/>
                <c:pt idx="1">
                  <c:v>RT</c:v>
                </c:pt>
                <c:pt idx="2">
                  <c:v>SC</c:v>
                </c:pt>
                <c:pt idx="4">
                  <c:v>RT</c:v>
                </c:pt>
                <c:pt idx="5">
                  <c:v>SC</c:v>
                </c:pt>
                <c:pt idx="7">
                  <c:v>RT</c:v>
                </c:pt>
                <c:pt idx="8">
                  <c:v>SC</c:v>
                </c:pt>
                <c:pt idx="10">
                  <c:v>RT</c:v>
                </c:pt>
                <c:pt idx="11">
                  <c:v>SC</c:v>
                </c:pt>
                <c:pt idx="13">
                  <c:v>RT</c:v>
                </c:pt>
                <c:pt idx="14">
                  <c:v>SC</c:v>
                </c:pt>
                <c:pt idx="16">
                  <c:v>RT</c:v>
                </c:pt>
                <c:pt idx="17">
                  <c:v>SC</c:v>
                </c:pt>
                <c:pt idx="19">
                  <c:v>RT</c:v>
                </c:pt>
                <c:pt idx="20">
                  <c:v>SC</c:v>
                </c:pt>
                <c:pt idx="22">
                  <c:v>RT</c:v>
                </c:pt>
                <c:pt idx="23">
                  <c:v>SC</c:v>
                </c:pt>
                <c:pt idx="25">
                  <c:v>RT</c:v>
                </c:pt>
                <c:pt idx="26">
                  <c:v>SC</c:v>
                </c:pt>
                <c:pt idx="28">
                  <c:v>RT</c:v>
                </c:pt>
                <c:pt idx="29">
                  <c:v>SC</c:v>
                </c:pt>
                <c:pt idx="31">
                  <c:v>RT</c:v>
                </c:pt>
                <c:pt idx="32">
                  <c:v>SC</c:v>
                </c:pt>
                <c:pt idx="34">
                  <c:v>RT</c:v>
                </c:pt>
                <c:pt idx="35">
                  <c:v>SC</c:v>
                </c:pt>
                <c:pt idx="37">
                  <c:v>RT</c:v>
                </c:pt>
                <c:pt idx="38">
                  <c:v>SC</c:v>
                </c:pt>
                <c:pt idx="40">
                  <c:v>RT</c:v>
                </c:pt>
                <c:pt idx="41">
                  <c:v>SC</c:v>
                </c:pt>
                <c:pt idx="43">
                  <c:v>RT</c:v>
                </c:pt>
                <c:pt idx="44">
                  <c:v>SC</c:v>
                </c:pt>
                <c:pt idx="46">
                  <c:v>RT</c:v>
                </c:pt>
                <c:pt idx="47">
                  <c:v>SC</c:v>
                </c:pt>
                <c:pt idx="49">
                  <c:v>RT</c:v>
                </c:pt>
                <c:pt idx="50">
                  <c:v>SC</c:v>
                </c:pt>
                <c:pt idx="52">
                  <c:v>RT</c:v>
                </c:pt>
                <c:pt idx="53">
                  <c:v>SC</c:v>
                </c:pt>
                <c:pt idx="55">
                  <c:v>RT</c:v>
                </c:pt>
                <c:pt idx="56">
                  <c:v>SC</c:v>
                </c:pt>
                <c:pt idx="58">
                  <c:v>RT</c:v>
                </c:pt>
                <c:pt idx="59">
                  <c:v>SC</c:v>
                </c:pt>
              </c:strCache>
            </c:strRef>
          </c:cat>
          <c:val>
            <c:numRef>
              <c:f>Sheet2!$M$28:$M$87</c:f>
              <c:numCache>
                <c:formatCode>General</c:formatCode>
                <c:ptCount val="60"/>
                <c:pt idx="2">
                  <c:v>0.23999999999999994</c:v>
                </c:pt>
                <c:pt idx="3">
                  <c:v>0</c:v>
                </c:pt>
                <c:pt idx="4">
                  <c:v>0</c:v>
                </c:pt>
                <c:pt idx="5">
                  <c:v>0.16299999999999998</c:v>
                </c:pt>
                <c:pt idx="6">
                  <c:v>0</c:v>
                </c:pt>
                <c:pt idx="7">
                  <c:v>0</c:v>
                </c:pt>
                <c:pt idx="8">
                  <c:v>0.57899999999999996</c:v>
                </c:pt>
                <c:pt idx="9">
                  <c:v>0</c:v>
                </c:pt>
                <c:pt idx="10">
                  <c:v>0</c:v>
                </c:pt>
                <c:pt idx="11">
                  <c:v>0.33700000000000002</c:v>
                </c:pt>
                <c:pt idx="12">
                  <c:v>0</c:v>
                </c:pt>
                <c:pt idx="13">
                  <c:v>0</c:v>
                </c:pt>
                <c:pt idx="14">
                  <c:v>0.15500000000000003</c:v>
                </c:pt>
                <c:pt idx="15">
                  <c:v>0</c:v>
                </c:pt>
                <c:pt idx="16">
                  <c:v>0</c:v>
                </c:pt>
                <c:pt idx="17">
                  <c:v>1.0000000000000009E-3</c:v>
                </c:pt>
                <c:pt idx="18">
                  <c:v>0</c:v>
                </c:pt>
                <c:pt idx="19">
                  <c:v>0</c:v>
                </c:pt>
                <c:pt idx="20">
                  <c:v>7.4999999999999956E-2</c:v>
                </c:pt>
                <c:pt idx="21">
                  <c:v>0</c:v>
                </c:pt>
                <c:pt idx="22">
                  <c:v>0</c:v>
                </c:pt>
                <c:pt idx="23">
                  <c:v>0.46100000000000002</c:v>
                </c:pt>
                <c:pt idx="24">
                  <c:v>0</c:v>
                </c:pt>
                <c:pt idx="25">
                  <c:v>0</c:v>
                </c:pt>
                <c:pt idx="26">
                  <c:v>0.27400000000000002</c:v>
                </c:pt>
                <c:pt idx="27">
                  <c:v>0</c:v>
                </c:pt>
                <c:pt idx="28">
                  <c:v>0</c:v>
                </c:pt>
                <c:pt idx="29">
                  <c:v>0.22099999999999997</c:v>
                </c:pt>
                <c:pt idx="30">
                  <c:v>0</c:v>
                </c:pt>
                <c:pt idx="31">
                  <c:v>0</c:v>
                </c:pt>
                <c:pt idx="32">
                  <c:v>5.0000000000000044E-3</c:v>
                </c:pt>
                <c:pt idx="33">
                  <c:v>0</c:v>
                </c:pt>
                <c:pt idx="34">
                  <c:v>0</c:v>
                </c:pt>
                <c:pt idx="35">
                  <c:v>0.11499999999999999</c:v>
                </c:pt>
                <c:pt idx="36">
                  <c:v>0</c:v>
                </c:pt>
                <c:pt idx="37">
                  <c:v>0</c:v>
                </c:pt>
                <c:pt idx="38">
                  <c:v>0.33100000000000002</c:v>
                </c:pt>
                <c:pt idx="39">
                  <c:v>0</c:v>
                </c:pt>
                <c:pt idx="40">
                  <c:v>0</c:v>
                </c:pt>
                <c:pt idx="41">
                  <c:v>0.33100000000000002</c:v>
                </c:pt>
                <c:pt idx="42">
                  <c:v>0</c:v>
                </c:pt>
                <c:pt idx="43">
                  <c:v>0</c:v>
                </c:pt>
                <c:pt idx="44">
                  <c:v>0.33400000000000007</c:v>
                </c:pt>
                <c:pt idx="45">
                  <c:v>0</c:v>
                </c:pt>
                <c:pt idx="46">
                  <c:v>0</c:v>
                </c:pt>
                <c:pt idx="47">
                  <c:v>0.27999999999999997</c:v>
                </c:pt>
                <c:pt idx="48">
                  <c:v>0</c:v>
                </c:pt>
                <c:pt idx="49">
                  <c:v>0</c:v>
                </c:pt>
                <c:pt idx="50">
                  <c:v>0.27800000000000002</c:v>
                </c:pt>
                <c:pt idx="51">
                  <c:v>0</c:v>
                </c:pt>
                <c:pt idx="52">
                  <c:v>0</c:v>
                </c:pt>
                <c:pt idx="53">
                  <c:v>0.16899999999999998</c:v>
                </c:pt>
                <c:pt idx="54">
                  <c:v>0</c:v>
                </c:pt>
                <c:pt idx="55">
                  <c:v>0</c:v>
                </c:pt>
                <c:pt idx="56">
                  <c:v>0.37799999999999995</c:v>
                </c:pt>
                <c:pt idx="57">
                  <c:v>0</c:v>
                </c:pt>
                <c:pt idx="58">
                  <c:v>0</c:v>
                </c:pt>
                <c:pt idx="59">
                  <c:v>0.16499999999999998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CB-3B49-9218-85684BEC9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901373087"/>
        <c:axId val="1901374799"/>
      </c:barChart>
      <c:catAx>
        <c:axId val="19013730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9D9D9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74799"/>
        <c:crosses val="autoZero"/>
        <c:auto val="1"/>
        <c:lblAlgn val="ctr"/>
        <c:lblOffset val="100"/>
        <c:noMultiLvlLbl val="0"/>
      </c:catAx>
      <c:valAx>
        <c:axId val="1901374799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73087"/>
        <c:crosses val="autoZero"/>
        <c:crossBetween val="between"/>
        <c:minorUnit val="0.0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tx1"/>
                </a:solidFill>
              </a:rPr>
              <a:t>Maximum theoretical yields (g</a:t>
            </a:r>
            <a:r>
              <a:rPr lang="en-US" sz="1800" baseline="0">
                <a:solidFill>
                  <a:schemeClr val="tx1"/>
                </a:solidFill>
              </a:rPr>
              <a:t> product/g glucose)</a:t>
            </a:r>
            <a:endParaRPr lang="en-US" sz="18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604034444678167"/>
          <c:y val="0.1513905988787779"/>
          <c:w val="0.69404079381331818"/>
          <c:h val="0.833930857400788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Sheet2!$J$27</c:f>
              <c:strCache>
                <c:ptCount val="1"/>
                <c:pt idx="0">
                  <c:v>RT RBA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Sheet2!$I$28:$I$91</c:f>
              <c:strCache>
                <c:ptCount val="63"/>
                <c:pt idx="1">
                  <c:v>RT</c:v>
                </c:pt>
                <c:pt idx="2">
                  <c:v>SC</c:v>
                </c:pt>
                <c:pt idx="4">
                  <c:v>RT</c:v>
                </c:pt>
                <c:pt idx="5">
                  <c:v>SC</c:v>
                </c:pt>
                <c:pt idx="7">
                  <c:v>RT</c:v>
                </c:pt>
                <c:pt idx="8">
                  <c:v>SC</c:v>
                </c:pt>
                <c:pt idx="10">
                  <c:v>RT</c:v>
                </c:pt>
                <c:pt idx="11">
                  <c:v>SC</c:v>
                </c:pt>
                <c:pt idx="13">
                  <c:v>RT</c:v>
                </c:pt>
                <c:pt idx="14">
                  <c:v>SC</c:v>
                </c:pt>
                <c:pt idx="16">
                  <c:v>RT</c:v>
                </c:pt>
                <c:pt idx="17">
                  <c:v>SC</c:v>
                </c:pt>
                <c:pt idx="19">
                  <c:v>RT</c:v>
                </c:pt>
                <c:pt idx="20">
                  <c:v>SC</c:v>
                </c:pt>
                <c:pt idx="22">
                  <c:v>RT</c:v>
                </c:pt>
                <c:pt idx="23">
                  <c:v>SC</c:v>
                </c:pt>
                <c:pt idx="25">
                  <c:v>RT</c:v>
                </c:pt>
                <c:pt idx="26">
                  <c:v>SC</c:v>
                </c:pt>
                <c:pt idx="28">
                  <c:v>RT</c:v>
                </c:pt>
                <c:pt idx="29">
                  <c:v>SC</c:v>
                </c:pt>
                <c:pt idx="31">
                  <c:v>RT</c:v>
                </c:pt>
                <c:pt idx="32">
                  <c:v>SC</c:v>
                </c:pt>
                <c:pt idx="34">
                  <c:v>RT</c:v>
                </c:pt>
                <c:pt idx="35">
                  <c:v>SC</c:v>
                </c:pt>
                <c:pt idx="37">
                  <c:v>RT</c:v>
                </c:pt>
                <c:pt idx="38">
                  <c:v>SC</c:v>
                </c:pt>
                <c:pt idx="40">
                  <c:v>RT</c:v>
                </c:pt>
                <c:pt idx="41">
                  <c:v>SC</c:v>
                </c:pt>
                <c:pt idx="43">
                  <c:v>RT</c:v>
                </c:pt>
                <c:pt idx="44">
                  <c:v>SC</c:v>
                </c:pt>
                <c:pt idx="46">
                  <c:v>RT</c:v>
                </c:pt>
                <c:pt idx="47">
                  <c:v>SC</c:v>
                </c:pt>
                <c:pt idx="49">
                  <c:v>RT</c:v>
                </c:pt>
                <c:pt idx="50">
                  <c:v>SC</c:v>
                </c:pt>
                <c:pt idx="52">
                  <c:v>RT</c:v>
                </c:pt>
                <c:pt idx="53">
                  <c:v>SC</c:v>
                </c:pt>
                <c:pt idx="55">
                  <c:v>RT</c:v>
                </c:pt>
                <c:pt idx="56">
                  <c:v>SC</c:v>
                </c:pt>
                <c:pt idx="58">
                  <c:v>RT</c:v>
                </c:pt>
                <c:pt idx="59">
                  <c:v>SC</c:v>
                </c:pt>
                <c:pt idx="61">
                  <c:v>RT</c:v>
                </c:pt>
                <c:pt idx="62">
                  <c:v>SC</c:v>
                </c:pt>
              </c:strCache>
            </c:strRef>
          </c:cat>
          <c:val>
            <c:numRef>
              <c:f>Sheet2!$J$28:$J$91</c:f>
              <c:numCache>
                <c:formatCode>General</c:formatCode>
                <c:ptCount val="64"/>
                <c:pt idx="1">
                  <c:v>0.56699999999999995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0.77800000000000002</c:v>
                </c:pt>
                <c:pt idx="8">
                  <c:v>0</c:v>
                </c:pt>
                <c:pt idx="9">
                  <c:v>0</c:v>
                </c:pt>
                <c:pt idx="10">
                  <c:v>0.52100000000000002</c:v>
                </c:pt>
                <c:pt idx="11">
                  <c:v>0</c:v>
                </c:pt>
                <c:pt idx="12">
                  <c:v>0</c:v>
                </c:pt>
                <c:pt idx="13">
                  <c:v>0.27700000000000002</c:v>
                </c:pt>
                <c:pt idx="14">
                  <c:v>0</c:v>
                </c:pt>
                <c:pt idx="15">
                  <c:v>0</c:v>
                </c:pt>
                <c:pt idx="16">
                  <c:v>0.501</c:v>
                </c:pt>
                <c:pt idx="17">
                  <c:v>0</c:v>
                </c:pt>
                <c:pt idx="18">
                  <c:v>0</c:v>
                </c:pt>
                <c:pt idx="19">
                  <c:v>0.34799999999999998</c:v>
                </c:pt>
                <c:pt idx="20">
                  <c:v>0</c:v>
                </c:pt>
                <c:pt idx="21">
                  <c:v>0</c:v>
                </c:pt>
                <c:pt idx="22">
                  <c:v>0.9</c:v>
                </c:pt>
                <c:pt idx="23">
                  <c:v>0</c:v>
                </c:pt>
                <c:pt idx="24">
                  <c:v>0</c:v>
                </c:pt>
                <c:pt idx="25">
                  <c:v>0.47899999999999998</c:v>
                </c:pt>
                <c:pt idx="26">
                  <c:v>0</c:v>
                </c:pt>
                <c:pt idx="27">
                  <c:v>0</c:v>
                </c:pt>
                <c:pt idx="28">
                  <c:v>0.29899999999999999</c:v>
                </c:pt>
                <c:pt idx="29">
                  <c:v>0</c:v>
                </c:pt>
                <c:pt idx="30">
                  <c:v>0</c:v>
                </c:pt>
                <c:pt idx="31">
                  <c:v>0.38100000000000001</c:v>
                </c:pt>
                <c:pt idx="32">
                  <c:v>0</c:v>
                </c:pt>
                <c:pt idx="33">
                  <c:v>0</c:v>
                </c:pt>
                <c:pt idx="34">
                  <c:v>0.89400000000000002</c:v>
                </c:pt>
                <c:pt idx="35">
                  <c:v>0</c:v>
                </c:pt>
                <c:pt idx="36">
                  <c:v>0</c:v>
                </c:pt>
                <c:pt idx="37">
                  <c:v>0.61199999999999999</c:v>
                </c:pt>
                <c:pt idx="38">
                  <c:v>0</c:v>
                </c:pt>
                <c:pt idx="39">
                  <c:v>0</c:v>
                </c:pt>
                <c:pt idx="40">
                  <c:v>0.46100000000000002</c:v>
                </c:pt>
                <c:pt idx="41">
                  <c:v>0</c:v>
                </c:pt>
                <c:pt idx="42">
                  <c:v>0</c:v>
                </c:pt>
                <c:pt idx="43">
                  <c:v>0.63600000000000001</c:v>
                </c:pt>
                <c:pt idx="44">
                  <c:v>0</c:v>
                </c:pt>
                <c:pt idx="45">
                  <c:v>0</c:v>
                </c:pt>
                <c:pt idx="46">
                  <c:v>0.33700000000000002</c:v>
                </c:pt>
                <c:pt idx="47">
                  <c:v>0</c:v>
                </c:pt>
                <c:pt idx="48">
                  <c:v>0</c:v>
                </c:pt>
                <c:pt idx="49">
                  <c:v>0.38700000000000001</c:v>
                </c:pt>
                <c:pt idx="50">
                  <c:v>0</c:v>
                </c:pt>
                <c:pt idx="51">
                  <c:v>0</c:v>
                </c:pt>
                <c:pt idx="52">
                  <c:v>0.309</c:v>
                </c:pt>
                <c:pt idx="53">
                  <c:v>0</c:v>
                </c:pt>
                <c:pt idx="54">
                  <c:v>0</c:v>
                </c:pt>
                <c:pt idx="55">
                  <c:v>0.70599999999999996</c:v>
                </c:pt>
                <c:pt idx="56">
                  <c:v>0</c:v>
                </c:pt>
                <c:pt idx="57">
                  <c:v>0</c:v>
                </c:pt>
                <c:pt idx="58">
                  <c:v>0.29599999999999999</c:v>
                </c:pt>
                <c:pt idx="59">
                  <c:v>0</c:v>
                </c:pt>
                <c:pt idx="60">
                  <c:v>0</c:v>
                </c:pt>
                <c:pt idx="61">
                  <c:v>0.30949975436445898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9-414A-946E-C71B52D1C542}"/>
            </c:ext>
          </c:extLst>
        </c:ser>
        <c:ser>
          <c:idx val="1"/>
          <c:order val="1"/>
          <c:tx>
            <c:strRef>
              <c:f>Sheet2!$K$27</c:f>
              <c:strCache>
                <c:ptCount val="1"/>
                <c:pt idx="0">
                  <c:v>RT FBA</c:v>
                </c:pt>
              </c:strCache>
            </c:strRef>
          </c:tx>
          <c:spPr>
            <a:noFill/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Sheet2!$I$28:$I$91</c:f>
              <c:strCache>
                <c:ptCount val="63"/>
                <c:pt idx="1">
                  <c:v>RT</c:v>
                </c:pt>
                <c:pt idx="2">
                  <c:v>SC</c:v>
                </c:pt>
                <c:pt idx="4">
                  <c:v>RT</c:v>
                </c:pt>
                <c:pt idx="5">
                  <c:v>SC</c:v>
                </c:pt>
                <c:pt idx="7">
                  <c:v>RT</c:v>
                </c:pt>
                <c:pt idx="8">
                  <c:v>SC</c:v>
                </c:pt>
                <c:pt idx="10">
                  <c:v>RT</c:v>
                </c:pt>
                <c:pt idx="11">
                  <c:v>SC</c:v>
                </c:pt>
                <c:pt idx="13">
                  <c:v>RT</c:v>
                </c:pt>
                <c:pt idx="14">
                  <c:v>SC</c:v>
                </c:pt>
                <c:pt idx="16">
                  <c:v>RT</c:v>
                </c:pt>
                <c:pt idx="17">
                  <c:v>SC</c:v>
                </c:pt>
                <c:pt idx="19">
                  <c:v>RT</c:v>
                </c:pt>
                <c:pt idx="20">
                  <c:v>SC</c:v>
                </c:pt>
                <c:pt idx="22">
                  <c:v>RT</c:v>
                </c:pt>
                <c:pt idx="23">
                  <c:v>SC</c:v>
                </c:pt>
                <c:pt idx="25">
                  <c:v>RT</c:v>
                </c:pt>
                <c:pt idx="26">
                  <c:v>SC</c:v>
                </c:pt>
                <c:pt idx="28">
                  <c:v>RT</c:v>
                </c:pt>
                <c:pt idx="29">
                  <c:v>SC</c:v>
                </c:pt>
                <c:pt idx="31">
                  <c:v>RT</c:v>
                </c:pt>
                <c:pt idx="32">
                  <c:v>SC</c:v>
                </c:pt>
                <c:pt idx="34">
                  <c:v>RT</c:v>
                </c:pt>
                <c:pt idx="35">
                  <c:v>SC</c:v>
                </c:pt>
                <c:pt idx="37">
                  <c:v>RT</c:v>
                </c:pt>
                <c:pt idx="38">
                  <c:v>SC</c:v>
                </c:pt>
                <c:pt idx="40">
                  <c:v>RT</c:v>
                </c:pt>
                <c:pt idx="41">
                  <c:v>SC</c:v>
                </c:pt>
                <c:pt idx="43">
                  <c:v>RT</c:v>
                </c:pt>
                <c:pt idx="44">
                  <c:v>SC</c:v>
                </c:pt>
                <c:pt idx="46">
                  <c:v>RT</c:v>
                </c:pt>
                <c:pt idx="47">
                  <c:v>SC</c:v>
                </c:pt>
                <c:pt idx="49">
                  <c:v>RT</c:v>
                </c:pt>
                <c:pt idx="50">
                  <c:v>SC</c:v>
                </c:pt>
                <c:pt idx="52">
                  <c:v>RT</c:v>
                </c:pt>
                <c:pt idx="53">
                  <c:v>SC</c:v>
                </c:pt>
                <c:pt idx="55">
                  <c:v>RT</c:v>
                </c:pt>
                <c:pt idx="56">
                  <c:v>SC</c:v>
                </c:pt>
                <c:pt idx="58">
                  <c:v>RT</c:v>
                </c:pt>
                <c:pt idx="59">
                  <c:v>SC</c:v>
                </c:pt>
                <c:pt idx="61">
                  <c:v>RT</c:v>
                </c:pt>
                <c:pt idx="62">
                  <c:v>SC</c:v>
                </c:pt>
              </c:strCache>
            </c:strRef>
          </c:cat>
          <c:val>
            <c:numRef>
              <c:f>Sheet2!$K$28:$K$91</c:f>
              <c:numCache>
                <c:formatCode>General</c:formatCode>
                <c:ptCount val="64"/>
                <c:pt idx="1">
                  <c:v>2.0000000000000018E-3</c:v>
                </c:pt>
                <c:pt idx="2">
                  <c:v>0</c:v>
                </c:pt>
                <c:pt idx="3">
                  <c:v>0</c:v>
                </c:pt>
                <c:pt idx="4">
                  <c:v>6.0000000000000053E-3</c:v>
                </c:pt>
                <c:pt idx="5">
                  <c:v>0</c:v>
                </c:pt>
                <c:pt idx="6">
                  <c:v>0</c:v>
                </c:pt>
                <c:pt idx="7">
                  <c:v>9.000000000000008E-3</c:v>
                </c:pt>
                <c:pt idx="8">
                  <c:v>0</c:v>
                </c:pt>
                <c:pt idx="9">
                  <c:v>0</c:v>
                </c:pt>
                <c:pt idx="10">
                  <c:v>1.100000000000001E-2</c:v>
                </c:pt>
                <c:pt idx="11">
                  <c:v>0</c:v>
                </c:pt>
                <c:pt idx="12">
                  <c:v>0</c:v>
                </c:pt>
                <c:pt idx="13">
                  <c:v>3.0000000000000027E-3</c:v>
                </c:pt>
                <c:pt idx="14">
                  <c:v>0</c:v>
                </c:pt>
                <c:pt idx="15">
                  <c:v>0</c:v>
                </c:pt>
                <c:pt idx="16">
                  <c:v>1.0000000000000009E-3</c:v>
                </c:pt>
                <c:pt idx="17">
                  <c:v>0</c:v>
                </c:pt>
                <c:pt idx="18">
                  <c:v>0</c:v>
                </c:pt>
                <c:pt idx="19">
                  <c:v>2.0000000000000018E-3</c:v>
                </c:pt>
                <c:pt idx="20">
                  <c:v>0</c:v>
                </c:pt>
                <c:pt idx="21">
                  <c:v>0</c:v>
                </c:pt>
                <c:pt idx="22">
                  <c:v>7.0000000000000062E-3</c:v>
                </c:pt>
                <c:pt idx="23">
                  <c:v>0</c:v>
                </c:pt>
                <c:pt idx="24">
                  <c:v>0</c:v>
                </c:pt>
                <c:pt idx="25">
                  <c:v>9.000000000000008E-3</c:v>
                </c:pt>
                <c:pt idx="26">
                  <c:v>0</c:v>
                </c:pt>
                <c:pt idx="27">
                  <c:v>0</c:v>
                </c:pt>
                <c:pt idx="28">
                  <c:v>4.0000000000000036E-3</c:v>
                </c:pt>
                <c:pt idx="29">
                  <c:v>0</c:v>
                </c:pt>
                <c:pt idx="30">
                  <c:v>0</c:v>
                </c:pt>
                <c:pt idx="31">
                  <c:v>4.0000000000000036E-3</c:v>
                </c:pt>
                <c:pt idx="32">
                  <c:v>0</c:v>
                </c:pt>
                <c:pt idx="33">
                  <c:v>0</c:v>
                </c:pt>
                <c:pt idx="34">
                  <c:v>1.0000000000000009E-3</c:v>
                </c:pt>
                <c:pt idx="35">
                  <c:v>0</c:v>
                </c:pt>
                <c:pt idx="36">
                  <c:v>0</c:v>
                </c:pt>
                <c:pt idx="37">
                  <c:v>4.0000000000000036E-3</c:v>
                </c:pt>
                <c:pt idx="38">
                  <c:v>0</c:v>
                </c:pt>
                <c:pt idx="39">
                  <c:v>0</c:v>
                </c:pt>
                <c:pt idx="40">
                  <c:v>8.9999999999999525E-3</c:v>
                </c:pt>
                <c:pt idx="41">
                  <c:v>0</c:v>
                </c:pt>
                <c:pt idx="42">
                  <c:v>0</c:v>
                </c:pt>
                <c:pt idx="43">
                  <c:v>7.0000000000000062E-3</c:v>
                </c:pt>
                <c:pt idx="44">
                  <c:v>0</c:v>
                </c:pt>
                <c:pt idx="45">
                  <c:v>0</c:v>
                </c:pt>
                <c:pt idx="46">
                  <c:v>3.5999999999999976E-2</c:v>
                </c:pt>
                <c:pt idx="47">
                  <c:v>0</c:v>
                </c:pt>
                <c:pt idx="48">
                  <c:v>0</c:v>
                </c:pt>
                <c:pt idx="49">
                  <c:v>7.0000000000000062E-3</c:v>
                </c:pt>
                <c:pt idx="50">
                  <c:v>0</c:v>
                </c:pt>
                <c:pt idx="51">
                  <c:v>0</c:v>
                </c:pt>
                <c:pt idx="52">
                  <c:v>4.0000000000000036E-3</c:v>
                </c:pt>
                <c:pt idx="53">
                  <c:v>0</c:v>
                </c:pt>
                <c:pt idx="54">
                  <c:v>0</c:v>
                </c:pt>
                <c:pt idx="55">
                  <c:v>8.0000000000000071E-3</c:v>
                </c:pt>
                <c:pt idx="56">
                  <c:v>0</c:v>
                </c:pt>
                <c:pt idx="57">
                  <c:v>0</c:v>
                </c:pt>
                <c:pt idx="58">
                  <c:v>5.0000000000000044E-3</c:v>
                </c:pt>
                <c:pt idx="59">
                  <c:v>0</c:v>
                </c:pt>
                <c:pt idx="60">
                  <c:v>0</c:v>
                </c:pt>
                <c:pt idx="61">
                  <c:v>0.24539157785251697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9-414A-946E-C71B52D1C542}"/>
            </c:ext>
          </c:extLst>
        </c:ser>
        <c:ser>
          <c:idx val="2"/>
          <c:order val="2"/>
          <c:tx>
            <c:strRef>
              <c:f>Sheet2!$L$27</c:f>
              <c:strCache>
                <c:ptCount val="1"/>
                <c:pt idx="0">
                  <c:v>SC RBA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Sheet2!$I$28:$I$91</c:f>
              <c:strCache>
                <c:ptCount val="63"/>
                <c:pt idx="1">
                  <c:v>RT</c:v>
                </c:pt>
                <c:pt idx="2">
                  <c:v>SC</c:v>
                </c:pt>
                <c:pt idx="4">
                  <c:v>RT</c:v>
                </c:pt>
                <c:pt idx="5">
                  <c:v>SC</c:v>
                </c:pt>
                <c:pt idx="7">
                  <c:v>RT</c:v>
                </c:pt>
                <c:pt idx="8">
                  <c:v>SC</c:v>
                </c:pt>
                <c:pt idx="10">
                  <c:v>RT</c:v>
                </c:pt>
                <c:pt idx="11">
                  <c:v>SC</c:v>
                </c:pt>
                <c:pt idx="13">
                  <c:v>RT</c:v>
                </c:pt>
                <c:pt idx="14">
                  <c:v>SC</c:v>
                </c:pt>
                <c:pt idx="16">
                  <c:v>RT</c:v>
                </c:pt>
                <c:pt idx="17">
                  <c:v>SC</c:v>
                </c:pt>
                <c:pt idx="19">
                  <c:v>RT</c:v>
                </c:pt>
                <c:pt idx="20">
                  <c:v>SC</c:v>
                </c:pt>
                <c:pt idx="22">
                  <c:v>RT</c:v>
                </c:pt>
                <c:pt idx="23">
                  <c:v>SC</c:v>
                </c:pt>
                <c:pt idx="25">
                  <c:v>RT</c:v>
                </c:pt>
                <c:pt idx="26">
                  <c:v>SC</c:v>
                </c:pt>
                <c:pt idx="28">
                  <c:v>RT</c:v>
                </c:pt>
                <c:pt idx="29">
                  <c:v>SC</c:v>
                </c:pt>
                <c:pt idx="31">
                  <c:v>RT</c:v>
                </c:pt>
                <c:pt idx="32">
                  <c:v>SC</c:v>
                </c:pt>
                <c:pt idx="34">
                  <c:v>RT</c:v>
                </c:pt>
                <c:pt idx="35">
                  <c:v>SC</c:v>
                </c:pt>
                <c:pt idx="37">
                  <c:v>RT</c:v>
                </c:pt>
                <c:pt idx="38">
                  <c:v>SC</c:v>
                </c:pt>
                <c:pt idx="40">
                  <c:v>RT</c:v>
                </c:pt>
                <c:pt idx="41">
                  <c:v>SC</c:v>
                </c:pt>
                <c:pt idx="43">
                  <c:v>RT</c:v>
                </c:pt>
                <c:pt idx="44">
                  <c:v>SC</c:v>
                </c:pt>
                <c:pt idx="46">
                  <c:v>RT</c:v>
                </c:pt>
                <c:pt idx="47">
                  <c:v>SC</c:v>
                </c:pt>
                <c:pt idx="49">
                  <c:v>RT</c:v>
                </c:pt>
                <c:pt idx="50">
                  <c:v>SC</c:v>
                </c:pt>
                <c:pt idx="52">
                  <c:v>RT</c:v>
                </c:pt>
                <c:pt idx="53">
                  <c:v>SC</c:v>
                </c:pt>
                <c:pt idx="55">
                  <c:v>RT</c:v>
                </c:pt>
                <c:pt idx="56">
                  <c:v>SC</c:v>
                </c:pt>
                <c:pt idx="58">
                  <c:v>RT</c:v>
                </c:pt>
                <c:pt idx="59">
                  <c:v>SC</c:v>
                </c:pt>
                <c:pt idx="61">
                  <c:v>RT</c:v>
                </c:pt>
                <c:pt idx="62">
                  <c:v>SC</c:v>
                </c:pt>
              </c:strCache>
            </c:strRef>
          </c:cat>
          <c:val>
            <c:numRef>
              <c:f>Sheet2!$L$28:$L$91</c:f>
              <c:numCache>
                <c:formatCode>General</c:formatCode>
                <c:ptCount val="64"/>
                <c:pt idx="2">
                  <c:v>0.33</c:v>
                </c:pt>
                <c:pt idx="3">
                  <c:v>0</c:v>
                </c:pt>
                <c:pt idx="4">
                  <c:v>0</c:v>
                </c:pt>
                <c:pt idx="5">
                  <c:v>0.193</c:v>
                </c:pt>
                <c:pt idx="6">
                  <c:v>0</c:v>
                </c:pt>
                <c:pt idx="7">
                  <c:v>0</c:v>
                </c:pt>
                <c:pt idx="8">
                  <c:v>0.18099999999999999</c:v>
                </c:pt>
                <c:pt idx="9">
                  <c:v>0</c:v>
                </c:pt>
                <c:pt idx="10">
                  <c:v>0</c:v>
                </c:pt>
                <c:pt idx="11">
                  <c:v>0.185</c:v>
                </c:pt>
                <c:pt idx="12">
                  <c:v>0</c:v>
                </c:pt>
                <c:pt idx="13">
                  <c:v>0</c:v>
                </c:pt>
                <c:pt idx="14">
                  <c:v>0.125</c:v>
                </c:pt>
                <c:pt idx="15">
                  <c:v>0</c:v>
                </c:pt>
                <c:pt idx="16">
                  <c:v>0</c:v>
                </c:pt>
                <c:pt idx="17">
                  <c:v>0.48699999999999999</c:v>
                </c:pt>
                <c:pt idx="18">
                  <c:v>0</c:v>
                </c:pt>
                <c:pt idx="19">
                  <c:v>0</c:v>
                </c:pt>
                <c:pt idx="20">
                  <c:v>0.27400000000000002</c:v>
                </c:pt>
                <c:pt idx="21">
                  <c:v>0</c:v>
                </c:pt>
                <c:pt idx="22">
                  <c:v>0</c:v>
                </c:pt>
                <c:pt idx="23">
                  <c:v>0.30599999999999999</c:v>
                </c:pt>
                <c:pt idx="24">
                  <c:v>0</c:v>
                </c:pt>
                <c:pt idx="25">
                  <c:v>0</c:v>
                </c:pt>
                <c:pt idx="26">
                  <c:v>0.21199999999999999</c:v>
                </c:pt>
                <c:pt idx="27">
                  <c:v>0</c:v>
                </c:pt>
                <c:pt idx="28">
                  <c:v>0</c:v>
                </c:pt>
                <c:pt idx="29">
                  <c:v>7.6999999999999999E-2</c:v>
                </c:pt>
                <c:pt idx="30">
                  <c:v>0</c:v>
                </c:pt>
                <c:pt idx="31">
                  <c:v>0</c:v>
                </c:pt>
                <c:pt idx="32">
                  <c:v>0.38500000000000001</c:v>
                </c:pt>
                <c:pt idx="33">
                  <c:v>0</c:v>
                </c:pt>
                <c:pt idx="34">
                  <c:v>0</c:v>
                </c:pt>
                <c:pt idx="35">
                  <c:v>0.79200000000000004</c:v>
                </c:pt>
                <c:pt idx="36">
                  <c:v>0</c:v>
                </c:pt>
                <c:pt idx="37">
                  <c:v>0</c:v>
                </c:pt>
                <c:pt idx="38">
                  <c:v>0.28299999999999997</c:v>
                </c:pt>
                <c:pt idx="39">
                  <c:v>0</c:v>
                </c:pt>
                <c:pt idx="40">
                  <c:v>0</c:v>
                </c:pt>
                <c:pt idx="41">
                  <c:v>0.123</c:v>
                </c:pt>
                <c:pt idx="42">
                  <c:v>0</c:v>
                </c:pt>
                <c:pt idx="43">
                  <c:v>0</c:v>
                </c:pt>
                <c:pt idx="44">
                  <c:v>0.20699999999999999</c:v>
                </c:pt>
                <c:pt idx="45">
                  <c:v>0</c:v>
                </c:pt>
                <c:pt idx="46">
                  <c:v>0</c:v>
                </c:pt>
                <c:pt idx="47">
                  <c:v>6.8000000000000005E-2</c:v>
                </c:pt>
                <c:pt idx="48">
                  <c:v>0</c:v>
                </c:pt>
                <c:pt idx="49">
                  <c:v>0</c:v>
                </c:pt>
                <c:pt idx="50">
                  <c:v>0.10299999999999999</c:v>
                </c:pt>
                <c:pt idx="51">
                  <c:v>0</c:v>
                </c:pt>
                <c:pt idx="52">
                  <c:v>0</c:v>
                </c:pt>
                <c:pt idx="53">
                  <c:v>0.13700000000000001</c:v>
                </c:pt>
                <c:pt idx="54">
                  <c:v>0</c:v>
                </c:pt>
                <c:pt idx="55">
                  <c:v>0</c:v>
                </c:pt>
                <c:pt idx="56">
                  <c:v>0.33400000000000002</c:v>
                </c:pt>
                <c:pt idx="57">
                  <c:v>0</c:v>
                </c:pt>
                <c:pt idx="58">
                  <c:v>0</c:v>
                </c:pt>
                <c:pt idx="59">
                  <c:v>0.13100000000000001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F9-414A-946E-C71B52D1C542}"/>
            </c:ext>
          </c:extLst>
        </c:ser>
        <c:ser>
          <c:idx val="3"/>
          <c:order val="3"/>
          <c:tx>
            <c:strRef>
              <c:f>Sheet2!$M$27</c:f>
              <c:strCache>
                <c:ptCount val="1"/>
                <c:pt idx="0">
                  <c:v>SC FBA</c:v>
                </c:pt>
              </c:strCache>
            </c:strRef>
          </c:tx>
          <c:spPr>
            <a:noFill/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Sheet2!$I$28:$I$91</c:f>
              <c:strCache>
                <c:ptCount val="63"/>
                <c:pt idx="1">
                  <c:v>RT</c:v>
                </c:pt>
                <c:pt idx="2">
                  <c:v>SC</c:v>
                </c:pt>
                <c:pt idx="4">
                  <c:v>RT</c:v>
                </c:pt>
                <c:pt idx="5">
                  <c:v>SC</c:v>
                </c:pt>
                <c:pt idx="7">
                  <c:v>RT</c:v>
                </c:pt>
                <c:pt idx="8">
                  <c:v>SC</c:v>
                </c:pt>
                <c:pt idx="10">
                  <c:v>RT</c:v>
                </c:pt>
                <c:pt idx="11">
                  <c:v>SC</c:v>
                </c:pt>
                <c:pt idx="13">
                  <c:v>RT</c:v>
                </c:pt>
                <c:pt idx="14">
                  <c:v>SC</c:v>
                </c:pt>
                <c:pt idx="16">
                  <c:v>RT</c:v>
                </c:pt>
                <c:pt idx="17">
                  <c:v>SC</c:v>
                </c:pt>
                <c:pt idx="19">
                  <c:v>RT</c:v>
                </c:pt>
                <c:pt idx="20">
                  <c:v>SC</c:v>
                </c:pt>
                <c:pt idx="22">
                  <c:v>RT</c:v>
                </c:pt>
                <c:pt idx="23">
                  <c:v>SC</c:v>
                </c:pt>
                <c:pt idx="25">
                  <c:v>RT</c:v>
                </c:pt>
                <c:pt idx="26">
                  <c:v>SC</c:v>
                </c:pt>
                <c:pt idx="28">
                  <c:v>RT</c:v>
                </c:pt>
                <c:pt idx="29">
                  <c:v>SC</c:v>
                </c:pt>
                <c:pt idx="31">
                  <c:v>RT</c:v>
                </c:pt>
                <c:pt idx="32">
                  <c:v>SC</c:v>
                </c:pt>
                <c:pt idx="34">
                  <c:v>RT</c:v>
                </c:pt>
                <c:pt idx="35">
                  <c:v>SC</c:v>
                </c:pt>
                <c:pt idx="37">
                  <c:v>RT</c:v>
                </c:pt>
                <c:pt idx="38">
                  <c:v>SC</c:v>
                </c:pt>
                <c:pt idx="40">
                  <c:v>RT</c:v>
                </c:pt>
                <c:pt idx="41">
                  <c:v>SC</c:v>
                </c:pt>
                <c:pt idx="43">
                  <c:v>RT</c:v>
                </c:pt>
                <c:pt idx="44">
                  <c:v>SC</c:v>
                </c:pt>
                <c:pt idx="46">
                  <c:v>RT</c:v>
                </c:pt>
                <c:pt idx="47">
                  <c:v>SC</c:v>
                </c:pt>
                <c:pt idx="49">
                  <c:v>RT</c:v>
                </c:pt>
                <c:pt idx="50">
                  <c:v>SC</c:v>
                </c:pt>
                <c:pt idx="52">
                  <c:v>RT</c:v>
                </c:pt>
                <c:pt idx="53">
                  <c:v>SC</c:v>
                </c:pt>
                <c:pt idx="55">
                  <c:v>RT</c:v>
                </c:pt>
                <c:pt idx="56">
                  <c:v>SC</c:v>
                </c:pt>
                <c:pt idx="58">
                  <c:v>RT</c:v>
                </c:pt>
                <c:pt idx="59">
                  <c:v>SC</c:v>
                </c:pt>
                <c:pt idx="61">
                  <c:v>RT</c:v>
                </c:pt>
                <c:pt idx="62">
                  <c:v>SC</c:v>
                </c:pt>
              </c:strCache>
            </c:strRef>
          </c:cat>
          <c:val>
            <c:numRef>
              <c:f>Sheet2!$M$28:$M$91</c:f>
              <c:numCache>
                <c:formatCode>General</c:formatCode>
                <c:ptCount val="64"/>
                <c:pt idx="2">
                  <c:v>0.23999999999999994</c:v>
                </c:pt>
                <c:pt idx="3">
                  <c:v>0</c:v>
                </c:pt>
                <c:pt idx="4">
                  <c:v>0</c:v>
                </c:pt>
                <c:pt idx="5">
                  <c:v>0.16299999999999998</c:v>
                </c:pt>
                <c:pt idx="6">
                  <c:v>0</c:v>
                </c:pt>
                <c:pt idx="7">
                  <c:v>0</c:v>
                </c:pt>
                <c:pt idx="8">
                  <c:v>0.57899999999999996</c:v>
                </c:pt>
                <c:pt idx="9">
                  <c:v>0</c:v>
                </c:pt>
                <c:pt idx="10">
                  <c:v>0</c:v>
                </c:pt>
                <c:pt idx="11">
                  <c:v>0.33700000000000002</c:v>
                </c:pt>
                <c:pt idx="12">
                  <c:v>0</c:v>
                </c:pt>
                <c:pt idx="13">
                  <c:v>0</c:v>
                </c:pt>
                <c:pt idx="14">
                  <c:v>0.15500000000000003</c:v>
                </c:pt>
                <c:pt idx="15">
                  <c:v>0</c:v>
                </c:pt>
                <c:pt idx="16">
                  <c:v>0</c:v>
                </c:pt>
                <c:pt idx="17">
                  <c:v>1.0000000000000009E-3</c:v>
                </c:pt>
                <c:pt idx="18">
                  <c:v>0</c:v>
                </c:pt>
                <c:pt idx="19">
                  <c:v>0</c:v>
                </c:pt>
                <c:pt idx="20">
                  <c:v>7.4999999999999956E-2</c:v>
                </c:pt>
                <c:pt idx="21">
                  <c:v>0</c:v>
                </c:pt>
                <c:pt idx="22">
                  <c:v>0</c:v>
                </c:pt>
                <c:pt idx="23">
                  <c:v>0.46100000000000002</c:v>
                </c:pt>
                <c:pt idx="24">
                  <c:v>0</c:v>
                </c:pt>
                <c:pt idx="25">
                  <c:v>0</c:v>
                </c:pt>
                <c:pt idx="26">
                  <c:v>0.27400000000000002</c:v>
                </c:pt>
                <c:pt idx="27">
                  <c:v>0</c:v>
                </c:pt>
                <c:pt idx="28">
                  <c:v>0</c:v>
                </c:pt>
                <c:pt idx="29">
                  <c:v>0.22099999999999997</c:v>
                </c:pt>
                <c:pt idx="30">
                  <c:v>0</c:v>
                </c:pt>
                <c:pt idx="31">
                  <c:v>0</c:v>
                </c:pt>
                <c:pt idx="32">
                  <c:v>5.0000000000000044E-3</c:v>
                </c:pt>
                <c:pt idx="33">
                  <c:v>0</c:v>
                </c:pt>
                <c:pt idx="34">
                  <c:v>0</c:v>
                </c:pt>
                <c:pt idx="35">
                  <c:v>0.11499999999999999</c:v>
                </c:pt>
                <c:pt idx="36">
                  <c:v>0</c:v>
                </c:pt>
                <c:pt idx="37">
                  <c:v>0</c:v>
                </c:pt>
                <c:pt idx="38">
                  <c:v>0.33100000000000002</c:v>
                </c:pt>
                <c:pt idx="39">
                  <c:v>0</c:v>
                </c:pt>
                <c:pt idx="40">
                  <c:v>0</c:v>
                </c:pt>
                <c:pt idx="41">
                  <c:v>0.33100000000000002</c:v>
                </c:pt>
                <c:pt idx="42">
                  <c:v>0</c:v>
                </c:pt>
                <c:pt idx="43">
                  <c:v>0</c:v>
                </c:pt>
                <c:pt idx="44">
                  <c:v>0.33400000000000007</c:v>
                </c:pt>
                <c:pt idx="45">
                  <c:v>0</c:v>
                </c:pt>
                <c:pt idx="46">
                  <c:v>0</c:v>
                </c:pt>
                <c:pt idx="47">
                  <c:v>0.27999999999999997</c:v>
                </c:pt>
                <c:pt idx="48">
                  <c:v>0</c:v>
                </c:pt>
                <c:pt idx="49">
                  <c:v>0</c:v>
                </c:pt>
                <c:pt idx="50">
                  <c:v>0.27800000000000002</c:v>
                </c:pt>
                <c:pt idx="51">
                  <c:v>0</c:v>
                </c:pt>
                <c:pt idx="52">
                  <c:v>0</c:v>
                </c:pt>
                <c:pt idx="53">
                  <c:v>0.16899999999999998</c:v>
                </c:pt>
                <c:pt idx="54">
                  <c:v>0</c:v>
                </c:pt>
                <c:pt idx="55">
                  <c:v>0</c:v>
                </c:pt>
                <c:pt idx="56">
                  <c:v>0.37799999999999995</c:v>
                </c:pt>
                <c:pt idx="57">
                  <c:v>0</c:v>
                </c:pt>
                <c:pt idx="58">
                  <c:v>0</c:v>
                </c:pt>
                <c:pt idx="59">
                  <c:v>0.16499999999999998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F9-414A-946E-C71B52D1C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901373087"/>
        <c:axId val="1901374799"/>
      </c:barChart>
      <c:catAx>
        <c:axId val="19013730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9D9D9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74799"/>
        <c:crosses val="autoZero"/>
        <c:auto val="1"/>
        <c:lblAlgn val="ctr"/>
        <c:lblOffset val="100"/>
        <c:noMultiLvlLbl val="0"/>
      </c:catAx>
      <c:valAx>
        <c:axId val="1901374799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73087"/>
        <c:crosses val="autoZero"/>
        <c:crossBetween val="between"/>
        <c:minorUnit val="0.0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178518</xdr:colOff>
      <xdr:row>5</xdr:row>
      <xdr:rowOff>186267</xdr:rowOff>
    </xdr:from>
    <xdr:to>
      <xdr:col>23</xdr:col>
      <xdr:colOff>456170</xdr:colOff>
      <xdr:row>130</xdr:row>
      <xdr:rowOff>62523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3ED5031-71B1-1C4F-AC4D-BB1DD8A6C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440267</xdr:colOff>
      <xdr:row>6</xdr:row>
      <xdr:rowOff>135468</xdr:rowOff>
    </xdr:from>
    <xdr:to>
      <xdr:col>44</xdr:col>
      <xdr:colOff>717919</xdr:colOff>
      <xdr:row>71</xdr:row>
      <xdr:rowOff>101600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B16D91E-D668-BAC6-BF25-1C43134C890B}"/>
            </a:ext>
          </a:extLst>
        </xdr:cNvPr>
        <xdr:cNvGrpSpPr/>
      </xdr:nvGrpSpPr>
      <xdr:grpSpPr>
        <a:xfrm>
          <a:off x="28735867" y="1388535"/>
          <a:ext cx="9404719" cy="12429065"/>
          <a:chOff x="20811067" y="1405469"/>
          <a:chExt cx="9404719" cy="12039598"/>
        </a:xfrm>
      </xdr:grpSpPr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B0A2BAB7-C321-D240-BB5D-441C011F7538}"/>
              </a:ext>
            </a:extLst>
          </xdr:cNvPr>
          <xdr:cNvGraphicFramePr>
            <a:graphicFrameLocks/>
          </xdr:cNvGraphicFramePr>
        </xdr:nvGraphicFramePr>
        <xdr:xfrm>
          <a:off x="20811067" y="1405469"/>
          <a:ext cx="9404719" cy="120395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126042AF-7A67-EBDE-82A2-4C037E007BBF}"/>
              </a:ext>
            </a:extLst>
          </xdr:cNvPr>
          <xdr:cNvSpPr txBox="1"/>
        </xdr:nvSpPr>
        <xdr:spPr>
          <a:xfrm>
            <a:off x="20963467" y="2650067"/>
            <a:ext cx="2099734" cy="46990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t"/>
          <a:lstStyle/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1,3-Propanediol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2-Phenylethanol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3-Hydroxypropionic acid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p-Hydroxybenzoate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Artemisinic acid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(2R,3R)-Butanediol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n-Butanol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Citramalate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p-Coumaric acid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Hexadecanoic acid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Isobutanol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l-Lactate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cis,cis-Muconate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(2S)-Naringenin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Polyhydroxybutyrate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Reticuline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Resveratrol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Sesquiterpenes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Shikimate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Styrene</a:t>
            </a:r>
            <a:endParaRPr lang="en-US" sz="1500" b="0"/>
          </a:p>
        </xdr:txBody>
      </xdr:sp>
    </xdr:grpSp>
    <xdr:clientData/>
  </xdr:twoCellAnchor>
  <xdr:twoCellAnchor>
    <xdr:from>
      <xdr:col>23</xdr:col>
      <xdr:colOff>558798</xdr:colOff>
      <xdr:row>6</xdr:row>
      <xdr:rowOff>135467</xdr:rowOff>
    </xdr:from>
    <xdr:to>
      <xdr:col>35</xdr:col>
      <xdr:colOff>6717</xdr:colOff>
      <xdr:row>71</xdr:row>
      <xdr:rowOff>101599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4E7DC7F2-E4F1-6446-ADE6-465095439266}"/>
            </a:ext>
          </a:extLst>
        </xdr:cNvPr>
        <xdr:cNvGrpSpPr/>
      </xdr:nvGrpSpPr>
      <xdr:grpSpPr>
        <a:xfrm>
          <a:off x="20557065" y="1388534"/>
          <a:ext cx="9404719" cy="12429065"/>
          <a:chOff x="17238133" y="1896536"/>
          <a:chExt cx="9404719" cy="12039598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FE7FA182-4F9F-B375-BEB4-6F4F62FBA94B}"/>
              </a:ext>
            </a:extLst>
          </xdr:cNvPr>
          <xdr:cNvGraphicFramePr>
            <a:graphicFrameLocks/>
          </xdr:cNvGraphicFramePr>
        </xdr:nvGraphicFramePr>
        <xdr:xfrm>
          <a:off x="17238133" y="1896536"/>
          <a:ext cx="9404719" cy="120395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F54D42D2-40A2-9F60-EB60-8E707CCCAE37}"/>
              </a:ext>
            </a:extLst>
          </xdr:cNvPr>
          <xdr:cNvSpPr txBox="1"/>
        </xdr:nvSpPr>
        <xdr:spPr>
          <a:xfrm>
            <a:off x="17390533" y="3141134"/>
            <a:ext cx="2099734" cy="46990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t"/>
          <a:lstStyle/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1,3-Propanediol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2-Phenylethanol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3-Hydroxypropionic acid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p-Hydroxybenzoate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Artemisinic acid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(2R,3R)-Butanediol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n-Butanol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Citramalate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p-Coumaric acid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Hexadecanoic acid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Isobutanol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l-Lactate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cis,cis-Muconate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(2S)-Naringenin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Polyhydroxybutyrate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Reticuline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Resveratrol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Sesquiterpenes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Shikimate</a:t>
            </a:r>
          </a:p>
          <a:p>
            <a:r>
              <a:rPr lang="en-US" sz="15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Styrene</a:t>
            </a:r>
            <a:endParaRPr lang="en-US" sz="1500" b="0"/>
          </a:p>
        </xdr:txBody>
      </xdr:sp>
    </xdr:grpSp>
    <xdr:clientData/>
  </xdr:twoCellAnchor>
  <xdr:twoCellAnchor>
    <xdr:from>
      <xdr:col>23</xdr:col>
      <xdr:colOff>16931</xdr:colOff>
      <xdr:row>6</xdr:row>
      <xdr:rowOff>135469</xdr:rowOff>
    </xdr:from>
    <xdr:to>
      <xdr:col>34</xdr:col>
      <xdr:colOff>294584</xdr:colOff>
      <xdr:row>44</xdr:row>
      <xdr:rowOff>118535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1F4EABA9-DE6A-E843-9F93-39275C560A07}"/>
            </a:ext>
          </a:extLst>
        </xdr:cNvPr>
        <xdr:cNvGrpSpPr/>
      </xdr:nvGrpSpPr>
      <xdr:grpSpPr>
        <a:xfrm>
          <a:off x="20015198" y="1388536"/>
          <a:ext cx="9404719" cy="7416799"/>
          <a:chOff x="17238133" y="1896538"/>
          <a:chExt cx="9404719" cy="7027332"/>
        </a:xfrm>
      </xdr:grpSpPr>
      <xdr:graphicFrame macro="">
        <xdr:nvGraphicFramePr>
          <xdr:cNvPr id="15" name="Chart 14">
            <a:extLst>
              <a:ext uri="{FF2B5EF4-FFF2-40B4-BE49-F238E27FC236}">
                <a16:creationId xmlns:a16="http://schemas.microsoft.com/office/drawing/2014/main" id="{091D81CA-9ADD-4599-E9AA-7D3406370870}"/>
              </a:ext>
            </a:extLst>
          </xdr:cNvPr>
          <xdr:cNvGraphicFramePr>
            <a:graphicFrameLocks/>
          </xdr:cNvGraphicFramePr>
        </xdr:nvGraphicFramePr>
        <xdr:xfrm>
          <a:off x="17238133" y="1896538"/>
          <a:ext cx="9404719" cy="70273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FCB2CB2A-76B5-DE8C-127E-167ED404AB24}"/>
              </a:ext>
            </a:extLst>
          </xdr:cNvPr>
          <xdr:cNvSpPr txBox="1"/>
        </xdr:nvSpPr>
        <xdr:spPr>
          <a:xfrm>
            <a:off x="17390535" y="3005666"/>
            <a:ext cx="2489199" cy="581660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t"/>
          <a:lstStyle/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1,3-Propanediol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2-Phenylethanol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3-Hydroxypropionic acid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p-Hydroxybenzoate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Artemisinic acid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(2R,3R)-Butanediol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n-Butanol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Citramalate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p-Coumaric acid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Hexadecanoic acid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Isobutanol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l-Lactate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cis,cis-Muconate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(2S)-Naringenin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Polyhydroxybutyrate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Reticuline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Resveratrol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Sesquiterpenes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Shikimate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Styrene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Triacylglycerol</a:t>
            </a:r>
          </a:p>
          <a:p>
            <a:pPr algn="r"/>
            <a:r>
              <a:rPr lang="en-US" sz="1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TAL</a:t>
            </a:r>
            <a:endParaRPr lang="en-US" sz="1800" b="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1B75AC-A686-AB47-8FB1-22554665BB7B}" name="Table1" displayName="Table1" ref="A1:D306" totalsRowShown="0">
  <autoFilter ref="A1:D306" xr:uid="{F21B75AC-A686-AB47-8FB1-22554665BB7B}"/>
  <sortState xmlns:xlrd2="http://schemas.microsoft.com/office/spreadsheetml/2017/richdata2" ref="A2:D306">
    <sortCondition descending="1" ref="D1:D306"/>
  </sortState>
  <tableColumns count="4">
    <tableColumn id="1" xr3:uid="{ACD342AC-991E-EB43-BF1B-F8C123845553}" name="rxn"/>
    <tableColumn id="2" xr3:uid="{787C031D-B4D3-4746-A03D-1B3F90913E03}" name="v_exp_lb" dataDxfId="2"/>
    <tableColumn id="3" xr3:uid="{2F5EAE1D-CEDD-504D-99BB-7A45E6CF3896}" name="v_sm" dataDxfId="1"/>
    <tableColumn id="4" xr3:uid="{F42067C3-7C09-264F-A85B-7689EEA9D15E}" name="% diff from v_exp_lb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B4218-AE0C-4EAE-BF11-D13203423DC4}">
  <sheetPr codeName="Sheet1"/>
  <dimension ref="A1:D306"/>
  <sheetViews>
    <sheetView zoomScaleNormal="100" workbookViewId="0">
      <selection activeCell="K7" sqref="K7"/>
    </sheetView>
  </sheetViews>
  <sheetFormatPr baseColWidth="10" defaultColWidth="8.83203125" defaultRowHeight="15" x14ac:dyDescent="0.2"/>
  <cols>
    <col min="1" max="1" width="8.6640625" customWidth="1"/>
    <col min="2" max="2" width="10.33203125" customWidth="1"/>
    <col min="3" max="3" width="8.6640625" customWidth="1"/>
    <col min="4" max="4" width="18.83203125" customWidth="1"/>
    <col min="5" max="6" width="8.6640625" customWidth="1"/>
    <col min="7" max="7" width="10.5" customWidth="1"/>
    <col min="8" max="9" width="8.664062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265</v>
      </c>
      <c r="B2" s="1">
        <v>9.3385628840980606E-8</v>
      </c>
      <c r="C2" s="1">
        <v>2.9591539293586499E-2</v>
      </c>
      <c r="D2" s="1">
        <v>31700000</v>
      </c>
    </row>
    <row r="3" spans="1:4" x14ac:dyDescent="0.2">
      <c r="A3" t="s">
        <v>303</v>
      </c>
      <c r="B3" s="1">
        <v>-7.6580606300780105E-8</v>
      </c>
      <c r="C3" s="1">
        <v>-6.94962197809945E-4</v>
      </c>
      <c r="D3" s="1">
        <v>907000</v>
      </c>
    </row>
    <row r="4" spans="1:4" x14ac:dyDescent="0.2">
      <c r="A4" t="s">
        <v>205</v>
      </c>
      <c r="B4" s="1">
        <v>0.28963185582947099</v>
      </c>
      <c r="C4" s="1">
        <v>3.5101662107715601</v>
      </c>
      <c r="D4" s="1">
        <v>1110</v>
      </c>
    </row>
    <row r="5" spans="1:4" x14ac:dyDescent="0.2">
      <c r="A5" t="s">
        <v>51</v>
      </c>
      <c r="B5" s="1">
        <v>1.43567162905973</v>
      </c>
      <c r="C5" s="1">
        <v>11.067410668587</v>
      </c>
      <c r="D5" s="1">
        <v>671</v>
      </c>
    </row>
    <row r="6" spans="1:4" x14ac:dyDescent="0.2">
      <c r="A6" t="s">
        <v>6</v>
      </c>
      <c r="B6" s="1">
        <v>2.2483303218568899E-3</v>
      </c>
      <c r="C6" s="1">
        <v>1.49690012169415E-2</v>
      </c>
      <c r="D6" s="1">
        <v>566</v>
      </c>
    </row>
    <row r="7" spans="1:4" x14ac:dyDescent="0.2">
      <c r="A7" t="s">
        <v>81</v>
      </c>
      <c r="B7" s="1">
        <v>2.2483303218568899E-3</v>
      </c>
      <c r="C7" s="1">
        <v>1.49690012169415E-2</v>
      </c>
      <c r="D7" s="1">
        <v>566</v>
      </c>
    </row>
    <row r="8" spans="1:4" x14ac:dyDescent="0.2">
      <c r="A8" t="s">
        <v>82</v>
      </c>
      <c r="B8" s="1">
        <v>2.2483303218568899E-3</v>
      </c>
      <c r="C8" s="1">
        <v>1.49690012169415E-2</v>
      </c>
      <c r="D8" s="1">
        <v>566</v>
      </c>
    </row>
    <row r="9" spans="1:4" x14ac:dyDescent="0.2">
      <c r="A9" t="s">
        <v>49</v>
      </c>
      <c r="B9" s="1">
        <v>2.0578274064008699</v>
      </c>
      <c r="C9" s="1">
        <v>11.707064876196901</v>
      </c>
      <c r="D9" s="1">
        <v>469</v>
      </c>
    </row>
    <row r="10" spans="1:4" x14ac:dyDescent="0.2">
      <c r="A10" t="s">
        <v>52</v>
      </c>
      <c r="B10" s="1">
        <v>2.0578274064008699</v>
      </c>
      <c r="C10" s="1">
        <v>11.707064876196901</v>
      </c>
      <c r="D10" s="1">
        <v>469</v>
      </c>
    </row>
    <row r="11" spans="1:4" x14ac:dyDescent="0.2">
      <c r="A11" t="s">
        <v>39</v>
      </c>
      <c r="B11" s="1">
        <v>3.0233365023602401</v>
      </c>
      <c r="C11" s="1">
        <v>13.1357814659998</v>
      </c>
      <c r="D11" s="1">
        <v>334</v>
      </c>
    </row>
    <row r="12" spans="1:4" x14ac:dyDescent="0.2">
      <c r="A12" t="s">
        <v>200</v>
      </c>
      <c r="B12" s="1">
        <v>0.56352779504287298</v>
      </c>
      <c r="C12" s="1">
        <v>2.4234933465830699</v>
      </c>
      <c r="D12" s="1">
        <v>330</v>
      </c>
    </row>
    <row r="13" spans="1:4" x14ac:dyDescent="0.2">
      <c r="A13" t="s">
        <v>188</v>
      </c>
      <c r="B13" s="1">
        <v>-3.8850986000000001</v>
      </c>
      <c r="C13" s="1">
        <v>-13.9568720849686</v>
      </c>
      <c r="D13" s="1">
        <v>259</v>
      </c>
    </row>
    <row r="14" spans="1:4" x14ac:dyDescent="0.2">
      <c r="A14" t="s">
        <v>189</v>
      </c>
      <c r="B14" s="1">
        <v>4.9179655851232198</v>
      </c>
      <c r="C14" s="1">
        <v>15.706911031202299</v>
      </c>
      <c r="D14" s="1">
        <v>219</v>
      </c>
    </row>
    <row r="15" spans="1:4" x14ac:dyDescent="0.2">
      <c r="A15" t="s">
        <v>28</v>
      </c>
      <c r="B15" s="1">
        <v>2.05569913214208E-2</v>
      </c>
      <c r="C15" s="1">
        <v>4.7101846524212398E-2</v>
      </c>
      <c r="D15" s="1">
        <v>129</v>
      </c>
    </row>
    <row r="16" spans="1:4" x14ac:dyDescent="0.2">
      <c r="A16" t="s">
        <v>35</v>
      </c>
      <c r="B16" s="1">
        <v>2.05569913214208E-2</v>
      </c>
      <c r="C16" s="1">
        <v>4.7101846524212398E-2</v>
      </c>
      <c r="D16" s="1">
        <v>129</v>
      </c>
    </row>
    <row r="17" spans="1:4" x14ac:dyDescent="0.2">
      <c r="A17" t="s">
        <v>55</v>
      </c>
      <c r="B17" s="1">
        <v>2.05569913214208E-2</v>
      </c>
      <c r="C17" s="1">
        <v>4.7101846524212398E-2</v>
      </c>
      <c r="D17" s="1">
        <v>129</v>
      </c>
    </row>
    <row r="18" spans="1:4" x14ac:dyDescent="0.2">
      <c r="A18" t="s">
        <v>159</v>
      </c>
      <c r="B18" s="1">
        <v>2.05569913214208E-2</v>
      </c>
      <c r="C18" s="1">
        <v>4.7101846524212398E-2</v>
      </c>
      <c r="D18" s="1">
        <v>129</v>
      </c>
    </row>
    <row r="19" spans="1:4" x14ac:dyDescent="0.2">
      <c r="A19" t="s">
        <v>227</v>
      </c>
      <c r="B19" s="1">
        <v>2.05569913214208E-2</v>
      </c>
      <c r="C19" s="1">
        <v>4.7101846524212398E-2</v>
      </c>
      <c r="D19" s="1">
        <v>129</v>
      </c>
    </row>
    <row r="20" spans="1:4" x14ac:dyDescent="0.2">
      <c r="A20" t="s">
        <v>273</v>
      </c>
      <c r="B20" s="1">
        <v>2.05569913214208E-2</v>
      </c>
      <c r="C20" s="1">
        <v>4.7101846524212398E-2</v>
      </c>
      <c r="D20" s="1">
        <v>129</v>
      </c>
    </row>
    <row r="21" spans="1:4" x14ac:dyDescent="0.2">
      <c r="A21" t="s">
        <v>278</v>
      </c>
      <c r="B21" s="1">
        <v>2.05569913214208E-2</v>
      </c>
      <c r="C21" s="1">
        <v>4.7101846524212398E-2</v>
      </c>
      <c r="D21" s="1">
        <v>129</v>
      </c>
    </row>
    <row r="22" spans="1:4" x14ac:dyDescent="0.2">
      <c r="A22" t="s">
        <v>190</v>
      </c>
      <c r="B22" s="1">
        <v>0.48161320753724401</v>
      </c>
      <c r="C22" s="1">
        <v>0.98146421968151498</v>
      </c>
      <c r="D22" s="1">
        <v>104</v>
      </c>
    </row>
    <row r="23" spans="1:4" x14ac:dyDescent="0.2">
      <c r="A23" t="s">
        <v>203</v>
      </c>
      <c r="B23" s="1">
        <v>14.099130788580601</v>
      </c>
      <c r="C23" s="1">
        <v>27.561634786431501</v>
      </c>
      <c r="D23" s="1">
        <v>95.5</v>
      </c>
    </row>
    <row r="24" spans="1:4" x14ac:dyDescent="0.2">
      <c r="A24" t="s">
        <v>140</v>
      </c>
      <c r="B24" s="1">
        <v>0.611377782281602</v>
      </c>
      <c r="C24" s="1">
        <v>1.16146932193731</v>
      </c>
      <c r="D24" s="1">
        <v>90</v>
      </c>
    </row>
    <row r="25" spans="1:4" x14ac:dyDescent="0.2">
      <c r="A25" t="s">
        <v>38</v>
      </c>
      <c r="B25" s="1">
        <v>1.3199663362540299</v>
      </c>
      <c r="C25" s="1">
        <v>2.4955593132653502</v>
      </c>
      <c r="D25" s="1">
        <v>89.1</v>
      </c>
    </row>
    <row r="26" spans="1:4" x14ac:dyDescent="0.2">
      <c r="A26" t="s">
        <v>122</v>
      </c>
      <c r="B26" s="1">
        <v>1.3199663362540299</v>
      </c>
      <c r="C26" s="1">
        <v>2.4955593132653502</v>
      </c>
      <c r="D26" s="1">
        <v>89.1</v>
      </c>
    </row>
    <row r="27" spans="1:4" x14ac:dyDescent="0.2">
      <c r="A27" t="s">
        <v>25</v>
      </c>
      <c r="B27" s="1">
        <v>1.2178876625221799</v>
      </c>
      <c r="C27" s="1">
        <v>2.25844748179995</v>
      </c>
      <c r="D27" s="1">
        <v>85.4</v>
      </c>
    </row>
    <row r="28" spans="1:4" x14ac:dyDescent="0.2">
      <c r="A28" t="s">
        <v>283</v>
      </c>
      <c r="B28" s="1">
        <v>1.3962097070224</v>
      </c>
      <c r="C28" s="1">
        <v>2.5630578083100599</v>
      </c>
      <c r="D28" s="1">
        <v>83.6</v>
      </c>
    </row>
    <row r="29" spans="1:4" x14ac:dyDescent="0.2">
      <c r="A29" t="s">
        <v>234</v>
      </c>
      <c r="B29" s="1">
        <v>1.4096002204640099</v>
      </c>
      <c r="C29" s="1">
        <v>2.5579955869865501</v>
      </c>
      <c r="D29" s="1">
        <v>81.5</v>
      </c>
    </row>
    <row r="30" spans="1:4" x14ac:dyDescent="0.2">
      <c r="A30" t="s">
        <v>295</v>
      </c>
      <c r="B30" s="1">
        <v>3.2454277082333401E-2</v>
      </c>
      <c r="C30" s="1">
        <v>5.8497965429474698E-2</v>
      </c>
      <c r="D30" s="1">
        <v>80.2</v>
      </c>
    </row>
    <row r="31" spans="1:4" x14ac:dyDescent="0.2">
      <c r="A31" t="s">
        <v>109</v>
      </c>
      <c r="B31" s="1">
        <v>-3.2627076885268502E-2</v>
      </c>
      <c r="C31" s="1">
        <v>-5.86634289152295E-2</v>
      </c>
      <c r="D31" s="1">
        <v>79.8</v>
      </c>
    </row>
    <row r="32" spans="1:4" x14ac:dyDescent="0.2">
      <c r="A32" t="s">
        <v>279</v>
      </c>
      <c r="B32" s="1">
        <v>3.2627076885268502E-2</v>
      </c>
      <c r="C32" s="1">
        <v>5.86634289152295E-2</v>
      </c>
      <c r="D32" s="1">
        <v>79.8</v>
      </c>
    </row>
    <row r="33" spans="1:4" x14ac:dyDescent="0.2">
      <c r="A33" t="s">
        <v>228</v>
      </c>
      <c r="B33" s="1">
        <v>2.0558151051641902E-3</v>
      </c>
      <c r="C33" s="1">
        <v>3.6510341624814298E-3</v>
      </c>
      <c r="D33" s="1">
        <v>77.599999999999994</v>
      </c>
    </row>
    <row r="34" spans="1:4" x14ac:dyDescent="0.2">
      <c r="A34" t="s">
        <v>21</v>
      </c>
      <c r="B34" s="1">
        <v>1.80386222467615</v>
      </c>
      <c r="C34" s="1">
        <v>2.9428116833867199</v>
      </c>
      <c r="D34" s="1">
        <v>63.1</v>
      </c>
    </row>
    <row r="35" spans="1:4" x14ac:dyDescent="0.2">
      <c r="A35" t="s">
        <v>22</v>
      </c>
      <c r="B35" s="1">
        <v>1.80386222467615</v>
      </c>
      <c r="C35" s="1">
        <v>2.9428116833867199</v>
      </c>
      <c r="D35" s="1">
        <v>63.1</v>
      </c>
    </row>
    <row r="36" spans="1:4" x14ac:dyDescent="0.2">
      <c r="A36" t="s">
        <v>162</v>
      </c>
      <c r="B36" s="1">
        <v>1.80386222467615</v>
      </c>
      <c r="C36" s="1">
        <v>2.9428116833867199</v>
      </c>
      <c r="D36" s="1">
        <v>63.1</v>
      </c>
    </row>
    <row r="37" spans="1:4" x14ac:dyDescent="0.2">
      <c r="A37" t="s">
        <v>42</v>
      </c>
      <c r="B37" s="1">
        <v>1.04391182963245E-2</v>
      </c>
      <c r="C37" s="1">
        <v>1.62190646219409E-2</v>
      </c>
      <c r="D37" s="1">
        <v>55.4</v>
      </c>
    </row>
    <row r="38" spans="1:4" x14ac:dyDescent="0.2">
      <c r="A38" t="s">
        <v>44</v>
      </c>
      <c r="B38" s="1">
        <v>6.19925292316248E-2</v>
      </c>
      <c r="C38" s="1">
        <v>9.2257098980569399E-2</v>
      </c>
      <c r="D38" s="1">
        <v>48.8</v>
      </c>
    </row>
    <row r="39" spans="1:4" x14ac:dyDescent="0.2">
      <c r="A39" t="s">
        <v>45</v>
      </c>
      <c r="B39" s="1">
        <v>6.19925292316248E-2</v>
      </c>
      <c r="C39" s="1">
        <v>9.2257098980569399E-2</v>
      </c>
      <c r="D39" s="1">
        <v>48.8</v>
      </c>
    </row>
    <row r="40" spans="1:4" x14ac:dyDescent="0.2">
      <c r="A40" t="s">
        <v>216</v>
      </c>
      <c r="B40" s="1">
        <v>6.19925292316248E-2</v>
      </c>
      <c r="C40" s="1">
        <v>9.2257098980569399E-2</v>
      </c>
      <c r="D40" s="1">
        <v>48.8</v>
      </c>
    </row>
    <row r="41" spans="1:4" x14ac:dyDescent="0.2">
      <c r="A41" t="s">
        <v>246</v>
      </c>
      <c r="B41" s="1">
        <v>2.1602683038958501</v>
      </c>
      <c r="C41" s="1">
        <v>3.1524489640006701</v>
      </c>
      <c r="D41" s="1">
        <v>45.9</v>
      </c>
    </row>
    <row r="42" spans="1:4" x14ac:dyDescent="0.2">
      <c r="A42" t="s">
        <v>247</v>
      </c>
      <c r="B42" s="1">
        <v>3.1478170812957798E-2</v>
      </c>
      <c r="C42" s="1">
        <v>4.4170065074510802E-2</v>
      </c>
      <c r="D42" s="1">
        <v>40.299999999999997</v>
      </c>
    </row>
    <row r="43" spans="1:4" x14ac:dyDescent="0.2">
      <c r="A43" t="s">
        <v>300</v>
      </c>
      <c r="B43" s="1">
        <v>3.1478170812957798E-2</v>
      </c>
      <c r="C43" s="1">
        <v>4.4170065074510802E-2</v>
      </c>
      <c r="D43" s="1">
        <v>40.299999999999997</v>
      </c>
    </row>
    <row r="44" spans="1:4" x14ac:dyDescent="0.2">
      <c r="A44" t="s">
        <v>78</v>
      </c>
      <c r="B44" s="1">
        <v>2.8601381787223401</v>
      </c>
      <c r="C44" s="1">
        <v>3.9998461550053102</v>
      </c>
      <c r="D44" s="1">
        <v>39.799999999999997</v>
      </c>
    </row>
    <row r="45" spans="1:4" x14ac:dyDescent="0.2">
      <c r="A45" t="s">
        <v>229</v>
      </c>
      <c r="B45" s="1">
        <v>1.3931510168940799</v>
      </c>
      <c r="C45" s="1">
        <v>1.8324269447630099</v>
      </c>
      <c r="D45" s="1">
        <v>31.5</v>
      </c>
    </row>
    <row r="46" spans="1:4" x14ac:dyDescent="0.2">
      <c r="A46" t="s">
        <v>77</v>
      </c>
      <c r="B46" s="1">
        <v>-9.0816981287130307</v>
      </c>
      <c r="C46" s="1">
        <v>-11.886419771915699</v>
      </c>
      <c r="D46" s="1">
        <v>30.9</v>
      </c>
    </row>
    <row r="47" spans="1:4" x14ac:dyDescent="0.2">
      <c r="A47" t="s">
        <v>121</v>
      </c>
      <c r="B47" s="1">
        <v>0.19451385640643201</v>
      </c>
      <c r="C47" s="1">
        <v>0.235943852649799</v>
      </c>
      <c r="D47" s="1">
        <v>21.3</v>
      </c>
    </row>
    <row r="48" spans="1:4" x14ac:dyDescent="0.2">
      <c r="A48" t="s">
        <v>54</v>
      </c>
      <c r="B48" s="1">
        <v>25.226093299999999</v>
      </c>
      <c r="C48" s="1">
        <v>30.213635866379999</v>
      </c>
      <c r="D48" s="1">
        <v>19.8</v>
      </c>
    </row>
    <row r="49" spans="1:4" x14ac:dyDescent="0.2">
      <c r="A49" t="s">
        <v>27</v>
      </c>
      <c r="B49" s="1">
        <v>77.339205761509604</v>
      </c>
      <c r="C49" s="1">
        <v>92.333799543517699</v>
      </c>
      <c r="D49" s="1">
        <v>19.399999999999999</v>
      </c>
    </row>
    <row r="50" spans="1:4" x14ac:dyDescent="0.2">
      <c r="A50" t="s">
        <v>241</v>
      </c>
      <c r="B50" s="1">
        <v>77.339205761509604</v>
      </c>
      <c r="C50" s="1">
        <v>92.333799543517699</v>
      </c>
      <c r="D50" s="1">
        <v>19.399999999999999</v>
      </c>
    </row>
    <row r="51" spans="1:4" x14ac:dyDescent="0.2">
      <c r="A51" t="s">
        <v>264</v>
      </c>
      <c r="B51" s="1">
        <v>3.9039845897157699</v>
      </c>
      <c r="C51" s="1">
        <v>4.6390139973611504</v>
      </c>
      <c r="D51" s="1">
        <v>18.8</v>
      </c>
    </row>
    <row r="52" spans="1:4" x14ac:dyDescent="0.2">
      <c r="A52" t="s">
        <v>99</v>
      </c>
      <c r="B52" s="1">
        <v>4.1085927</v>
      </c>
      <c r="C52" s="1">
        <v>4.8774968054470804</v>
      </c>
      <c r="D52" s="1">
        <v>18.7</v>
      </c>
    </row>
    <row r="53" spans="1:4" x14ac:dyDescent="0.2">
      <c r="A53" t="s">
        <v>238</v>
      </c>
      <c r="B53" s="1">
        <v>4.1085927</v>
      </c>
      <c r="C53" s="1">
        <v>4.8774968054470804</v>
      </c>
      <c r="D53" s="1">
        <v>18.7</v>
      </c>
    </row>
    <row r="54" spans="1:4" x14ac:dyDescent="0.2">
      <c r="A54" t="s">
        <v>73</v>
      </c>
      <c r="B54" s="1">
        <v>0.10230405514211301</v>
      </c>
      <c r="C54" s="1">
        <v>0.119241404042964</v>
      </c>
      <c r="D54" s="1">
        <v>16.600000000000001</v>
      </c>
    </row>
    <row r="55" spans="1:4" x14ac:dyDescent="0.2">
      <c r="A55" t="s">
        <v>84</v>
      </c>
      <c r="B55" s="1">
        <v>0.10230405514211301</v>
      </c>
      <c r="C55" s="1">
        <v>0.119241404042964</v>
      </c>
      <c r="D55" s="1">
        <v>16.600000000000001</v>
      </c>
    </row>
    <row r="56" spans="1:4" x14ac:dyDescent="0.2">
      <c r="A56" t="s">
        <v>91</v>
      </c>
      <c r="B56" s="1">
        <v>0.10230405514211301</v>
      </c>
      <c r="C56" s="1">
        <v>0.119241404042964</v>
      </c>
      <c r="D56" s="1">
        <v>16.600000000000001</v>
      </c>
    </row>
    <row r="57" spans="1:4" x14ac:dyDescent="0.2">
      <c r="A57" t="s">
        <v>92</v>
      </c>
      <c r="B57" s="1">
        <v>0.10230405514211301</v>
      </c>
      <c r="C57" s="1">
        <v>0.119241404042964</v>
      </c>
      <c r="D57" s="1">
        <v>16.600000000000001</v>
      </c>
    </row>
    <row r="58" spans="1:4" x14ac:dyDescent="0.2">
      <c r="A58" t="s">
        <v>259</v>
      </c>
      <c r="B58" s="1">
        <v>0.10230405514211301</v>
      </c>
      <c r="C58" s="1">
        <v>0.119241404042964</v>
      </c>
      <c r="D58" s="1">
        <v>16.600000000000001</v>
      </c>
    </row>
    <row r="59" spans="1:4" x14ac:dyDescent="0.2">
      <c r="A59" t="s">
        <v>276</v>
      </c>
      <c r="B59" s="1">
        <v>0.10230405514211301</v>
      </c>
      <c r="C59" s="1">
        <v>0.119241404042964</v>
      </c>
      <c r="D59" s="1">
        <v>16.600000000000001</v>
      </c>
    </row>
    <row r="60" spans="1:4" x14ac:dyDescent="0.2">
      <c r="A60" t="s">
        <v>277</v>
      </c>
      <c r="B60" s="1">
        <v>0.10230405514211301</v>
      </c>
      <c r="C60" s="1">
        <v>0.119241404042964</v>
      </c>
      <c r="D60" s="1">
        <v>16.600000000000001</v>
      </c>
    </row>
    <row r="61" spans="1:4" x14ac:dyDescent="0.2">
      <c r="A61" t="s">
        <v>192</v>
      </c>
      <c r="B61" s="1">
        <v>7.2371442618435006E-2</v>
      </c>
      <c r="C61" s="1">
        <v>8.3918274330990403E-2</v>
      </c>
      <c r="D61" s="1">
        <v>16</v>
      </c>
    </row>
    <row r="62" spans="1:4" x14ac:dyDescent="0.2">
      <c r="A62" t="s">
        <v>202</v>
      </c>
      <c r="B62" s="1">
        <v>7.2371442618435006E-2</v>
      </c>
      <c r="C62" s="1">
        <v>8.3918274330990403E-2</v>
      </c>
      <c r="D62" s="1">
        <v>16</v>
      </c>
    </row>
    <row r="63" spans="1:4" x14ac:dyDescent="0.2">
      <c r="A63" t="s">
        <v>70</v>
      </c>
      <c r="B63" s="1">
        <v>0.13823589999999999</v>
      </c>
      <c r="C63" s="1">
        <v>0.159755594025285</v>
      </c>
      <c r="D63" s="1">
        <v>15.6</v>
      </c>
    </row>
    <row r="64" spans="1:4" x14ac:dyDescent="0.2">
      <c r="A64" t="s">
        <v>29</v>
      </c>
      <c r="B64" s="1">
        <v>5.9740853573085201E-2</v>
      </c>
      <c r="C64" s="1">
        <v>6.7932466453488605E-2</v>
      </c>
      <c r="D64" s="1">
        <v>13.7</v>
      </c>
    </row>
    <row r="65" spans="1:4" x14ac:dyDescent="0.2">
      <c r="A65" t="s">
        <v>31</v>
      </c>
      <c r="B65" s="1">
        <v>5.9740853573085201E-2</v>
      </c>
      <c r="C65" s="1">
        <v>6.7932466453488605E-2</v>
      </c>
      <c r="D65" s="1">
        <v>13.7</v>
      </c>
    </row>
    <row r="66" spans="1:4" x14ac:dyDescent="0.2">
      <c r="A66" t="s">
        <v>72</v>
      </c>
      <c r="B66" s="1">
        <v>9.1864936845788503E-2</v>
      </c>
      <c r="C66" s="1">
        <v>0.103022339421023</v>
      </c>
      <c r="D66" s="1">
        <v>12.1</v>
      </c>
    </row>
    <row r="67" spans="1:4" x14ac:dyDescent="0.2">
      <c r="A67" t="s">
        <v>171</v>
      </c>
      <c r="B67" s="1">
        <v>0.12864268819215999</v>
      </c>
      <c r="C67" s="1">
        <v>0.14030190014313301</v>
      </c>
      <c r="D67" s="1">
        <v>9.06</v>
      </c>
    </row>
    <row r="68" spans="1:4" x14ac:dyDescent="0.2">
      <c r="A68" t="s">
        <v>172</v>
      </c>
      <c r="B68" s="1">
        <v>-0.12864268819215999</v>
      </c>
      <c r="C68" s="1">
        <v>-0.14030190014313301</v>
      </c>
      <c r="D68" s="1">
        <v>9.06</v>
      </c>
    </row>
    <row r="69" spans="1:4" x14ac:dyDescent="0.2">
      <c r="A69" t="s">
        <v>173</v>
      </c>
      <c r="B69" s="1">
        <v>-0.12864268819215999</v>
      </c>
      <c r="C69" s="1">
        <v>-0.14030190014313301</v>
      </c>
      <c r="D69" s="1">
        <v>9.06</v>
      </c>
    </row>
    <row r="70" spans="1:4" x14ac:dyDescent="0.2">
      <c r="A70" t="s">
        <v>174</v>
      </c>
      <c r="B70" s="1">
        <v>0.12864268819215999</v>
      </c>
      <c r="C70" s="1">
        <v>0.14030190014313301</v>
      </c>
      <c r="D70" s="1">
        <v>9.06</v>
      </c>
    </row>
    <row r="71" spans="1:4" x14ac:dyDescent="0.2">
      <c r="A71" t="s">
        <v>181</v>
      </c>
      <c r="B71" s="1">
        <v>-0.12864268819215999</v>
      </c>
      <c r="C71" s="1">
        <v>-0.14030190014313301</v>
      </c>
      <c r="D71" s="1">
        <v>9.06</v>
      </c>
    </row>
    <row r="72" spans="1:4" x14ac:dyDescent="0.2">
      <c r="A72" t="s">
        <v>217</v>
      </c>
      <c r="B72" s="1">
        <v>0.12864268819215999</v>
      </c>
      <c r="C72" s="1">
        <v>0.14030190014313301</v>
      </c>
      <c r="D72" s="1">
        <v>9.06</v>
      </c>
    </row>
    <row r="73" spans="1:4" x14ac:dyDescent="0.2">
      <c r="A73" t="s">
        <v>304</v>
      </c>
      <c r="B73" s="1">
        <v>0.12864268819215999</v>
      </c>
      <c r="C73" s="1">
        <v>0.14030190014313301</v>
      </c>
      <c r="D73" s="1">
        <v>9.06</v>
      </c>
    </row>
    <row r="74" spans="1:4" x14ac:dyDescent="0.2">
      <c r="A74" t="s">
        <v>134</v>
      </c>
      <c r="B74" s="1">
        <v>-1.1529757137123</v>
      </c>
      <c r="C74" s="1">
        <v>-1.24748899909471</v>
      </c>
      <c r="D74" s="1">
        <v>8.1999999999999993</v>
      </c>
    </row>
    <row r="75" spans="1:4" x14ac:dyDescent="0.2">
      <c r="A75" t="s">
        <v>275</v>
      </c>
      <c r="B75" s="1">
        <v>-1.1529757137123</v>
      </c>
      <c r="C75" s="1">
        <v>-1.24748899909471</v>
      </c>
      <c r="D75" s="1">
        <v>8.1999999999999993</v>
      </c>
    </row>
    <row r="76" spans="1:4" x14ac:dyDescent="0.2">
      <c r="A76" t="s">
        <v>294</v>
      </c>
      <c r="B76" s="1">
        <v>2.7745861810885599</v>
      </c>
      <c r="C76" s="1">
        <v>2.9625461897727998</v>
      </c>
      <c r="D76" s="1">
        <v>6.77</v>
      </c>
    </row>
    <row r="77" spans="1:4" x14ac:dyDescent="0.2">
      <c r="A77" t="s">
        <v>17</v>
      </c>
      <c r="B77" s="1">
        <v>0.246364583469524</v>
      </c>
      <c r="C77" s="1">
        <v>0.25913109552019398</v>
      </c>
      <c r="D77" s="1">
        <v>5.18</v>
      </c>
    </row>
    <row r="78" spans="1:4" x14ac:dyDescent="0.2">
      <c r="A78" t="s">
        <v>86</v>
      </c>
      <c r="B78" s="1">
        <v>0.246364583469524</v>
      </c>
      <c r="C78" s="1">
        <v>0.25913109552019398</v>
      </c>
      <c r="D78" s="1">
        <v>5.18</v>
      </c>
    </row>
    <row r="79" spans="1:4" x14ac:dyDescent="0.2">
      <c r="A79" t="s">
        <v>175</v>
      </c>
      <c r="B79" s="1">
        <v>0.246364583469524</v>
      </c>
      <c r="C79" s="1">
        <v>0.25913109552019398</v>
      </c>
      <c r="D79" s="1">
        <v>5.18</v>
      </c>
    </row>
    <row r="80" spans="1:4" x14ac:dyDescent="0.2">
      <c r="A80" t="s">
        <v>305</v>
      </c>
      <c r="B80" s="1">
        <v>-0.246364583469524</v>
      </c>
      <c r="C80" s="1">
        <v>-0.25913109552019398</v>
      </c>
      <c r="D80" s="1">
        <v>5.18</v>
      </c>
    </row>
    <row r="81" spans="1:4" x14ac:dyDescent="0.2">
      <c r="A81" t="s">
        <v>53</v>
      </c>
      <c r="B81" s="1">
        <v>3.09964961944857E-2</v>
      </c>
      <c r="C81" s="1">
        <v>3.2540715470147599E-2</v>
      </c>
      <c r="D81" s="1">
        <v>4.9800000000000004</v>
      </c>
    </row>
    <row r="82" spans="1:4" x14ac:dyDescent="0.2">
      <c r="A82" t="s">
        <v>154</v>
      </c>
      <c r="B82" s="1">
        <v>3.09964961944857E-2</v>
      </c>
      <c r="C82" s="1">
        <v>3.2540715470147599E-2</v>
      </c>
      <c r="D82" s="1">
        <v>4.9800000000000004</v>
      </c>
    </row>
    <row r="83" spans="1:4" x14ac:dyDescent="0.2">
      <c r="A83" t="s">
        <v>155</v>
      </c>
      <c r="B83" s="1">
        <v>3.09964961944857E-2</v>
      </c>
      <c r="C83" s="1">
        <v>3.2540715470147599E-2</v>
      </c>
      <c r="D83" s="1">
        <v>4.9800000000000004</v>
      </c>
    </row>
    <row r="84" spans="1:4" x14ac:dyDescent="0.2">
      <c r="A84" t="s">
        <v>161</v>
      </c>
      <c r="B84" s="1">
        <v>3.09964961944857E-2</v>
      </c>
      <c r="C84" s="1">
        <v>3.2540715470147599E-2</v>
      </c>
      <c r="D84" s="1">
        <v>4.9800000000000004</v>
      </c>
    </row>
    <row r="85" spans="1:4" x14ac:dyDescent="0.2">
      <c r="A85" t="s">
        <v>163</v>
      </c>
      <c r="B85" s="1">
        <v>3.09964961944857E-2</v>
      </c>
      <c r="C85" s="1">
        <v>3.2540715470147599E-2</v>
      </c>
      <c r="D85" s="1">
        <v>4.9800000000000004</v>
      </c>
    </row>
    <row r="86" spans="1:4" x14ac:dyDescent="0.2">
      <c r="A86" t="s">
        <v>164</v>
      </c>
      <c r="B86" s="1">
        <v>3.09964961944857E-2</v>
      </c>
      <c r="C86" s="1">
        <v>3.2540715470147599E-2</v>
      </c>
      <c r="D86" s="1">
        <v>4.9800000000000004</v>
      </c>
    </row>
    <row r="87" spans="1:4" x14ac:dyDescent="0.2">
      <c r="A87" t="s">
        <v>252</v>
      </c>
      <c r="B87" s="1">
        <v>3.09964961944857E-2</v>
      </c>
      <c r="C87" s="1">
        <v>3.2540715470147599E-2</v>
      </c>
      <c r="D87" s="1">
        <v>4.9800000000000004</v>
      </c>
    </row>
    <row r="88" spans="1:4" x14ac:dyDescent="0.2">
      <c r="A88" t="s">
        <v>254</v>
      </c>
      <c r="B88" s="1">
        <v>3.09964961944857E-2</v>
      </c>
      <c r="C88" s="1">
        <v>3.2540715470147599E-2</v>
      </c>
      <c r="D88" s="1">
        <v>4.9800000000000004</v>
      </c>
    </row>
    <row r="89" spans="1:4" x14ac:dyDescent="0.2">
      <c r="A89" t="s">
        <v>256</v>
      </c>
      <c r="B89" s="1">
        <v>3.09964961944857E-2</v>
      </c>
      <c r="C89" s="1">
        <v>3.2540715470147599E-2</v>
      </c>
      <c r="D89" s="1">
        <v>4.9800000000000004</v>
      </c>
    </row>
    <row r="90" spans="1:4" x14ac:dyDescent="0.2">
      <c r="A90" t="s">
        <v>116</v>
      </c>
      <c r="B90" s="1">
        <v>30.010693916225001</v>
      </c>
      <c r="C90" s="1">
        <v>31.333706015376201</v>
      </c>
      <c r="D90" s="1">
        <v>4.41</v>
      </c>
    </row>
    <row r="91" spans="1:4" x14ac:dyDescent="0.2">
      <c r="A91" t="s">
        <v>36</v>
      </c>
      <c r="B91" s="1">
        <v>0.103776969796208</v>
      </c>
      <c r="C91" s="1">
        <v>0.108295002685889</v>
      </c>
      <c r="D91" s="1">
        <v>4.3499999999999996</v>
      </c>
    </row>
    <row r="92" spans="1:4" x14ac:dyDescent="0.2">
      <c r="A92" t="s">
        <v>168</v>
      </c>
      <c r="B92" s="1">
        <v>0.103776969796208</v>
      </c>
      <c r="C92" s="1">
        <v>0.108295002685889</v>
      </c>
      <c r="D92" s="1">
        <v>4.3499999999999996</v>
      </c>
    </row>
    <row r="93" spans="1:4" x14ac:dyDescent="0.2">
      <c r="A93" t="s">
        <v>30</v>
      </c>
      <c r="B93" s="1">
        <v>7.2780473601722503E-2</v>
      </c>
      <c r="C93" s="1">
        <v>7.57542872157414E-2</v>
      </c>
      <c r="D93" s="1">
        <v>4.09</v>
      </c>
    </row>
    <row r="94" spans="1:4" x14ac:dyDescent="0.2">
      <c r="A94" t="s">
        <v>37</v>
      </c>
      <c r="B94" s="1">
        <v>7.2780473601722503E-2</v>
      </c>
      <c r="C94" s="1">
        <v>7.57542872157414E-2</v>
      </c>
      <c r="D94" s="1">
        <v>4.09</v>
      </c>
    </row>
    <row r="95" spans="1:4" x14ac:dyDescent="0.2">
      <c r="A95" t="s">
        <v>131</v>
      </c>
      <c r="B95" s="1">
        <v>7.2780473601722503E-2</v>
      </c>
      <c r="C95" s="1">
        <v>7.57542872157414E-2</v>
      </c>
      <c r="D95" s="1">
        <v>4.09</v>
      </c>
    </row>
    <row r="96" spans="1:4" x14ac:dyDescent="0.2">
      <c r="A96" t="s">
        <v>139</v>
      </c>
      <c r="B96" s="1">
        <v>7.2780473601722503E-2</v>
      </c>
      <c r="C96" s="1">
        <v>7.57542872157414E-2</v>
      </c>
      <c r="D96" s="1">
        <v>4.09</v>
      </c>
    </row>
    <row r="97" spans="1:4" x14ac:dyDescent="0.2">
      <c r="A97" t="s">
        <v>249</v>
      </c>
      <c r="B97" s="1">
        <v>7.2780473601722503E-2</v>
      </c>
      <c r="C97" s="1">
        <v>7.57542872157414E-2</v>
      </c>
      <c r="D97" s="1">
        <v>4.09</v>
      </c>
    </row>
    <row r="98" spans="1:4" x14ac:dyDescent="0.2">
      <c r="A98" t="s">
        <v>250</v>
      </c>
      <c r="B98" s="1">
        <v>7.2780473601722503E-2</v>
      </c>
      <c r="C98" s="1">
        <v>7.57542872157414E-2</v>
      </c>
      <c r="D98" s="1">
        <v>4.09</v>
      </c>
    </row>
    <row r="99" spans="1:4" x14ac:dyDescent="0.2">
      <c r="A99" t="s">
        <v>253</v>
      </c>
      <c r="B99" s="1">
        <v>7.2780473601722503E-2</v>
      </c>
      <c r="C99" s="1">
        <v>7.57542872157414E-2</v>
      </c>
      <c r="D99" s="1">
        <v>4.09</v>
      </c>
    </row>
    <row r="100" spans="1:4" x14ac:dyDescent="0.2">
      <c r="A100" t="s">
        <v>255</v>
      </c>
      <c r="B100" s="1">
        <v>7.2780473601722503E-2</v>
      </c>
      <c r="C100" s="1">
        <v>7.57542872157414E-2</v>
      </c>
      <c r="D100" s="1">
        <v>4.09</v>
      </c>
    </row>
    <row r="101" spans="1:4" x14ac:dyDescent="0.2">
      <c r="A101" t="s">
        <v>115</v>
      </c>
      <c r="B101" s="1">
        <v>15.065624513608901</v>
      </c>
      <c r="C101" s="1">
        <v>15.666853007688101</v>
      </c>
      <c r="D101" s="1">
        <v>3.99</v>
      </c>
    </row>
    <row r="102" spans="1:4" x14ac:dyDescent="0.2">
      <c r="A102" t="s">
        <v>215</v>
      </c>
      <c r="B102" s="1">
        <v>15.065624513608901</v>
      </c>
      <c r="C102" s="1">
        <v>15.666853007688101</v>
      </c>
      <c r="D102" s="1">
        <v>3.99</v>
      </c>
    </row>
    <row r="103" spans="1:4" x14ac:dyDescent="0.2">
      <c r="A103" t="s">
        <v>266</v>
      </c>
      <c r="B103" s="1">
        <v>2.6073944</v>
      </c>
      <c r="C103" s="1">
        <v>2.7078788369667599</v>
      </c>
      <c r="D103" s="1">
        <v>3.85</v>
      </c>
    </row>
    <row r="104" spans="1:4" x14ac:dyDescent="0.2">
      <c r="A104" t="s">
        <v>130</v>
      </c>
      <c r="B104" s="1">
        <v>7.0916907436383898</v>
      </c>
      <c r="C104" s="1">
        <v>7.3022917773265199</v>
      </c>
      <c r="D104" s="1">
        <v>2.97</v>
      </c>
    </row>
    <row r="105" spans="1:4" x14ac:dyDescent="0.2">
      <c r="A105" t="s">
        <v>235</v>
      </c>
      <c r="B105" s="1">
        <v>7.0916907436383898</v>
      </c>
      <c r="C105" s="1">
        <v>7.3022917773265199</v>
      </c>
      <c r="D105" s="1">
        <v>2.97</v>
      </c>
    </row>
    <row r="106" spans="1:4" x14ac:dyDescent="0.2">
      <c r="A106" t="s">
        <v>143</v>
      </c>
      <c r="B106" s="1">
        <v>3.2171021274245999</v>
      </c>
      <c r="C106" s="1">
        <v>3.3116154122766299</v>
      </c>
      <c r="D106" s="1">
        <v>2.94</v>
      </c>
    </row>
    <row r="107" spans="1:4" x14ac:dyDescent="0.2">
      <c r="A107" t="s">
        <v>285</v>
      </c>
      <c r="B107" s="1">
        <v>1.3199663362540299</v>
      </c>
      <c r="C107" s="1">
        <v>1.3587277801187501</v>
      </c>
      <c r="D107" s="1">
        <v>2.94</v>
      </c>
    </row>
    <row r="108" spans="1:4" x14ac:dyDescent="0.2">
      <c r="A108" t="s">
        <v>133</v>
      </c>
      <c r="B108" s="1">
        <v>3.4326586282311902</v>
      </c>
      <c r="C108" s="1">
        <v>3.5132703208553102</v>
      </c>
      <c r="D108" s="1">
        <v>2.35</v>
      </c>
    </row>
    <row r="109" spans="1:4" x14ac:dyDescent="0.2">
      <c r="A109" t="s">
        <v>111</v>
      </c>
      <c r="B109" s="1">
        <v>2.91886860961485</v>
      </c>
      <c r="C109" s="1">
        <v>2.9857797591039801</v>
      </c>
      <c r="D109" s="1">
        <v>2.29</v>
      </c>
    </row>
    <row r="110" spans="1:4" x14ac:dyDescent="0.2">
      <c r="A110" t="s">
        <v>197</v>
      </c>
      <c r="B110" s="1">
        <v>3.3579642459800101</v>
      </c>
      <c r="C110" s="1">
        <v>3.4271269558431001</v>
      </c>
      <c r="D110" s="1">
        <v>2.06</v>
      </c>
    </row>
    <row r="111" spans="1:4" x14ac:dyDescent="0.2">
      <c r="A111" t="s">
        <v>119</v>
      </c>
      <c r="B111" s="1">
        <v>-3.1814068025820799</v>
      </c>
      <c r="C111" s="1">
        <v>-3.24307766594147</v>
      </c>
      <c r="D111" s="1">
        <v>1.94</v>
      </c>
    </row>
    <row r="112" spans="1:4" x14ac:dyDescent="0.2">
      <c r="A112" t="s">
        <v>110</v>
      </c>
      <c r="B112" s="1">
        <v>-6.0924494278653005E-4</v>
      </c>
      <c r="C112" s="1">
        <v>-6.1886131240744698E-4</v>
      </c>
      <c r="D112" s="1">
        <v>1.58</v>
      </c>
    </row>
    <row r="113" spans="1:4" x14ac:dyDescent="0.2">
      <c r="A113" t="s">
        <v>307</v>
      </c>
      <c r="B113" s="1">
        <v>6.0924494278653005E-4</v>
      </c>
      <c r="C113" s="1">
        <v>6.1886131240744698E-4</v>
      </c>
      <c r="D113" s="1">
        <v>1.58</v>
      </c>
    </row>
    <row r="114" spans="1:4" x14ac:dyDescent="0.2">
      <c r="A114" t="s">
        <v>76</v>
      </c>
      <c r="B114" s="1">
        <v>16.637989159371799</v>
      </c>
      <c r="C114" s="1">
        <v>16.720198116245498</v>
      </c>
      <c r="D114" s="1">
        <v>0.49399999999999999</v>
      </c>
    </row>
    <row r="115" spans="1:4" x14ac:dyDescent="0.2">
      <c r="A115" t="s">
        <v>147</v>
      </c>
      <c r="B115" s="1">
        <v>-24.039637599999999</v>
      </c>
      <c r="C115" s="1">
        <v>-24.121846556873699</v>
      </c>
      <c r="D115" s="1">
        <v>0.34200000000000003</v>
      </c>
    </row>
    <row r="116" spans="1:4" x14ac:dyDescent="0.2">
      <c r="A116" t="s">
        <v>15</v>
      </c>
      <c r="B116" s="1">
        <v>1.0562759540461799</v>
      </c>
      <c r="C116" s="1">
        <v>1.05703447161859</v>
      </c>
      <c r="D116" s="1">
        <v>7.1800000000000003E-2</v>
      </c>
    </row>
    <row r="117" spans="1:4" x14ac:dyDescent="0.2">
      <c r="A117" t="s">
        <v>75</v>
      </c>
      <c r="B117" s="1">
        <v>1.0562759540461799</v>
      </c>
      <c r="C117" s="1">
        <v>1.05703447161859</v>
      </c>
      <c r="D117" s="1">
        <v>7.1800000000000003E-2</v>
      </c>
    </row>
    <row r="118" spans="1:4" x14ac:dyDescent="0.2">
      <c r="A118" t="s">
        <v>107</v>
      </c>
      <c r="B118" s="1">
        <v>-15.9678422609633</v>
      </c>
      <c r="C118" s="1">
        <v>-15.9690437</v>
      </c>
      <c r="D118" s="1">
        <v>7.5199999999999998E-3</v>
      </c>
    </row>
    <row r="119" spans="1:4" x14ac:dyDescent="0.2">
      <c r="A119" t="s">
        <v>214</v>
      </c>
      <c r="B119" s="1">
        <v>15.9678422609633</v>
      </c>
      <c r="C119" s="1">
        <v>15.9690437</v>
      </c>
      <c r="D119" s="1">
        <v>7.5199999999999998E-3</v>
      </c>
    </row>
    <row r="120" spans="1:4" x14ac:dyDescent="0.2">
      <c r="A120" t="s">
        <v>104</v>
      </c>
      <c r="B120" s="1">
        <v>-5.3316691</v>
      </c>
      <c r="C120" s="1">
        <v>-5.3317693000000004</v>
      </c>
      <c r="D120" s="1">
        <v>1.8799999999999999E-3</v>
      </c>
    </row>
    <row r="121" spans="1:4" x14ac:dyDescent="0.2">
      <c r="A121" t="s">
        <v>136</v>
      </c>
      <c r="B121" s="1">
        <v>5.3316691</v>
      </c>
      <c r="C121" s="1">
        <v>5.3317693000000004</v>
      </c>
      <c r="D121" s="1">
        <v>1.8799999999999999E-3</v>
      </c>
    </row>
    <row r="122" spans="1:4" x14ac:dyDescent="0.2">
      <c r="A122" t="s">
        <v>152</v>
      </c>
      <c r="B122" s="1">
        <v>5.3316691</v>
      </c>
      <c r="C122" s="1">
        <v>5.3317693000000004</v>
      </c>
      <c r="D122" s="1">
        <v>1.8799999999999999E-3</v>
      </c>
    </row>
    <row r="123" spans="1:4" x14ac:dyDescent="0.2">
      <c r="A123" t="s">
        <v>141</v>
      </c>
      <c r="B123" s="1">
        <v>2.0641264137122999</v>
      </c>
      <c r="C123" s="1">
        <v>2.0641264131819201</v>
      </c>
      <c r="D123" s="1">
        <v>-2.5699999999999999E-8</v>
      </c>
    </row>
    <row r="124" spans="1:4" x14ac:dyDescent="0.2">
      <c r="A124" t="s">
        <v>32</v>
      </c>
      <c r="B124" s="1">
        <v>2.37273175335132E-2</v>
      </c>
      <c r="C124" s="1">
        <v>2.3233569331174899E-2</v>
      </c>
      <c r="D124" s="1">
        <v>-2.08</v>
      </c>
    </row>
    <row r="125" spans="1:4" x14ac:dyDescent="0.2">
      <c r="A125" t="s">
        <v>123</v>
      </c>
      <c r="B125" s="1">
        <v>2.37273175335132E-2</v>
      </c>
      <c r="C125" s="1">
        <v>2.3233569331174899E-2</v>
      </c>
      <c r="D125" s="1">
        <v>-2.08</v>
      </c>
    </row>
    <row r="126" spans="1:4" x14ac:dyDescent="0.2">
      <c r="A126" t="s">
        <v>46</v>
      </c>
      <c r="B126" s="1">
        <v>0.20235929999999999</v>
      </c>
      <c r="C126" s="1">
        <v>0.19736466846926401</v>
      </c>
      <c r="D126" s="1">
        <v>-2.4700000000000002</v>
      </c>
    </row>
    <row r="127" spans="1:4" x14ac:dyDescent="0.2">
      <c r="A127" t="s">
        <v>50</v>
      </c>
      <c r="B127" s="1">
        <v>0.20235929999999999</v>
      </c>
      <c r="C127" s="1">
        <v>0.19736466846926401</v>
      </c>
      <c r="D127" s="1">
        <v>-2.4700000000000002</v>
      </c>
    </row>
    <row r="128" spans="1:4" x14ac:dyDescent="0.2">
      <c r="A128" t="s">
        <v>239</v>
      </c>
      <c r="B128" s="1">
        <v>-6.0386766032830601E-2</v>
      </c>
      <c r="C128" s="1">
        <v>-5.8852274346512898E-2</v>
      </c>
      <c r="D128" s="1">
        <v>-2.54</v>
      </c>
    </row>
    <row r="129" spans="1:4" x14ac:dyDescent="0.2">
      <c r="A129" t="s">
        <v>248</v>
      </c>
      <c r="B129" s="1">
        <v>6.0386766032830601E-2</v>
      </c>
      <c r="C129" s="1">
        <v>5.8852274346512898E-2</v>
      </c>
      <c r="D129" s="1">
        <v>-2.54</v>
      </c>
    </row>
    <row r="130" spans="1:4" x14ac:dyDescent="0.2">
      <c r="A130" t="s">
        <v>7</v>
      </c>
      <c r="B130" s="1">
        <v>0.105516121277654</v>
      </c>
      <c r="C130" s="1">
        <v>0.102639678141285</v>
      </c>
      <c r="D130" s="1">
        <v>-2.73</v>
      </c>
    </row>
    <row r="131" spans="1:4" x14ac:dyDescent="0.2">
      <c r="A131" t="s">
        <v>8</v>
      </c>
      <c r="B131" s="1">
        <v>0.105516121277654</v>
      </c>
      <c r="C131" s="1">
        <v>0.102639678141285</v>
      </c>
      <c r="D131" s="1">
        <v>-2.73</v>
      </c>
    </row>
    <row r="132" spans="1:4" x14ac:dyDescent="0.2">
      <c r="A132" t="s">
        <v>9</v>
      </c>
      <c r="B132" s="1">
        <v>0.105516121277654</v>
      </c>
      <c r="C132" s="1">
        <v>0.102639678141285</v>
      </c>
      <c r="D132" s="1">
        <v>-2.73</v>
      </c>
    </row>
    <row r="133" spans="1:4" x14ac:dyDescent="0.2">
      <c r="A133" t="s">
        <v>149</v>
      </c>
      <c r="B133" s="1">
        <v>0.105516121277654</v>
      </c>
      <c r="C133" s="1">
        <v>0.102639678141285</v>
      </c>
      <c r="D133" s="1">
        <v>-2.73</v>
      </c>
    </row>
    <row r="134" spans="1:4" x14ac:dyDescent="0.2">
      <c r="A134" t="s">
        <v>150</v>
      </c>
      <c r="B134" s="1">
        <v>0.105516121277654</v>
      </c>
      <c r="C134" s="1">
        <v>0.102639678141285</v>
      </c>
      <c r="D134" s="1">
        <v>-2.73</v>
      </c>
    </row>
    <row r="135" spans="1:4" x14ac:dyDescent="0.2">
      <c r="A135" t="s">
        <v>151</v>
      </c>
      <c r="B135" s="1">
        <v>0.105516121277654</v>
      </c>
      <c r="C135" s="1">
        <v>0.102639678141285</v>
      </c>
      <c r="D135" s="1">
        <v>-2.73</v>
      </c>
    </row>
    <row r="136" spans="1:4" x14ac:dyDescent="0.2">
      <c r="A136" t="s">
        <v>153</v>
      </c>
      <c r="B136" s="1">
        <v>0.105516121277654</v>
      </c>
      <c r="C136" s="1">
        <v>0.102639678141285</v>
      </c>
      <c r="D136" s="1">
        <v>-2.73</v>
      </c>
    </row>
    <row r="137" spans="1:4" x14ac:dyDescent="0.2">
      <c r="A137" t="s">
        <v>271</v>
      </c>
      <c r="B137" s="1">
        <v>0.105516121277654</v>
      </c>
      <c r="C137" s="1">
        <v>0.102639678141285</v>
      </c>
      <c r="D137" s="1">
        <v>-2.73</v>
      </c>
    </row>
    <row r="138" spans="1:4" x14ac:dyDescent="0.2">
      <c r="A138" t="s">
        <v>272</v>
      </c>
      <c r="B138" s="1">
        <v>0.105516121277654</v>
      </c>
      <c r="C138" s="1">
        <v>0.102639678141285</v>
      </c>
      <c r="D138" s="1">
        <v>-2.73</v>
      </c>
    </row>
    <row r="139" spans="1:4" x14ac:dyDescent="0.2">
      <c r="A139" t="s">
        <v>103</v>
      </c>
      <c r="B139" s="1">
        <v>-2.5668695559026398E-4</v>
      </c>
      <c r="C139" s="1">
        <v>-2.4867660436653601E-4</v>
      </c>
      <c r="D139" s="1">
        <v>-3.12</v>
      </c>
    </row>
    <row r="140" spans="1:4" x14ac:dyDescent="0.2">
      <c r="A140" t="s">
        <v>114</v>
      </c>
      <c r="B140" s="1">
        <v>2.5668695559026398E-4</v>
      </c>
      <c r="C140" s="1">
        <v>2.4867660436653601E-4</v>
      </c>
      <c r="D140" s="1">
        <v>-3.12</v>
      </c>
    </row>
    <row r="141" spans="1:4" x14ac:dyDescent="0.2">
      <c r="A141" t="s">
        <v>213</v>
      </c>
      <c r="B141" s="1">
        <v>-2.5968996251765599</v>
      </c>
      <c r="C141" s="1">
        <v>-2.51440663155141</v>
      </c>
      <c r="D141" s="1">
        <v>-3.18</v>
      </c>
    </row>
    <row r="142" spans="1:4" x14ac:dyDescent="0.2">
      <c r="A142" t="s">
        <v>18</v>
      </c>
      <c r="B142" s="1">
        <v>3.6660226723530302E-2</v>
      </c>
      <c r="C142" s="1">
        <v>3.5489872992398301E-2</v>
      </c>
      <c r="D142" s="1">
        <v>-3.19</v>
      </c>
    </row>
    <row r="143" spans="1:4" x14ac:dyDescent="0.2">
      <c r="A143" t="s">
        <v>19</v>
      </c>
      <c r="B143" s="1">
        <v>2.4985353220069999E-2</v>
      </c>
      <c r="C143" s="1">
        <v>2.41877111001348E-2</v>
      </c>
      <c r="D143" s="1">
        <v>-3.19</v>
      </c>
    </row>
    <row r="144" spans="1:4" x14ac:dyDescent="0.2">
      <c r="A144" t="s">
        <v>20</v>
      </c>
      <c r="B144" s="1">
        <v>4.9382704371921096E-3</v>
      </c>
      <c r="C144" s="1">
        <v>4.7806103815579504E-3</v>
      </c>
      <c r="D144" s="1">
        <v>-3.19</v>
      </c>
    </row>
    <row r="145" spans="1:4" x14ac:dyDescent="0.2">
      <c r="A145" t="s">
        <v>106</v>
      </c>
      <c r="B145" s="1">
        <v>-2.45889867232378E-2</v>
      </c>
      <c r="C145" s="1">
        <v>-2.3714084255652398E-2</v>
      </c>
      <c r="D145" s="1">
        <v>-3.56</v>
      </c>
    </row>
    <row r="146" spans="1:4" x14ac:dyDescent="0.2">
      <c r="A146" t="s">
        <v>194</v>
      </c>
      <c r="B146" s="1">
        <v>2.45889867232378E-2</v>
      </c>
      <c r="C146" s="1">
        <v>2.3714084255652398E-2</v>
      </c>
      <c r="D146" s="1">
        <v>-3.56</v>
      </c>
    </row>
    <row r="147" spans="1:4" x14ac:dyDescent="0.2">
      <c r="A147" t="s">
        <v>69</v>
      </c>
      <c r="B147" s="1">
        <v>4.9713768808596303E-4</v>
      </c>
      <c r="C147" s="1">
        <v>4.7697165500838702E-4</v>
      </c>
      <c r="D147" s="1">
        <v>-4.0599999999999996</v>
      </c>
    </row>
    <row r="148" spans="1:4" x14ac:dyDescent="0.2">
      <c r="A148" t="s">
        <v>101</v>
      </c>
      <c r="B148" s="1">
        <v>-4.9713768808596303E-4</v>
      </c>
      <c r="C148" s="1">
        <v>-4.7697165500838702E-4</v>
      </c>
      <c r="D148" s="1">
        <v>-4.0599999999999996</v>
      </c>
    </row>
    <row r="149" spans="1:4" x14ac:dyDescent="0.2">
      <c r="A149" t="s">
        <v>80</v>
      </c>
      <c r="B149" s="1">
        <v>4.4069748399533197E-5</v>
      </c>
      <c r="C149" s="1">
        <v>4.2250300124140598E-5</v>
      </c>
      <c r="D149" s="1">
        <v>-4.13</v>
      </c>
    </row>
    <row r="150" spans="1:4" x14ac:dyDescent="0.2">
      <c r="A150" t="s">
        <v>102</v>
      </c>
      <c r="B150" s="1">
        <v>-4.4069748399533197E-5</v>
      </c>
      <c r="C150" s="1">
        <v>-4.2250300124140598E-5</v>
      </c>
      <c r="D150" s="1">
        <v>-4.13</v>
      </c>
    </row>
    <row r="151" spans="1:4" x14ac:dyDescent="0.2">
      <c r="A151" t="s">
        <v>108</v>
      </c>
      <c r="B151" s="1">
        <v>-0.21154000000000001</v>
      </c>
      <c r="C151" s="1">
        <v>-0.202714127598072</v>
      </c>
      <c r="D151" s="1">
        <v>-4.17</v>
      </c>
    </row>
    <row r="152" spans="1:4" x14ac:dyDescent="0.2">
      <c r="A152" t="s">
        <v>240</v>
      </c>
      <c r="B152" s="1">
        <v>0.21154000000000001</v>
      </c>
      <c r="C152" s="1">
        <v>0.202714127598072</v>
      </c>
      <c r="D152" s="1">
        <v>-4.17</v>
      </c>
    </row>
    <row r="153" spans="1:4" x14ac:dyDescent="0.2">
      <c r="A153" t="s">
        <v>105</v>
      </c>
      <c r="B153" s="1">
        <v>-0.23335704931033499</v>
      </c>
      <c r="C153" s="1">
        <v>-0.22356638354111899</v>
      </c>
      <c r="D153" s="1">
        <v>-4.2</v>
      </c>
    </row>
    <row r="154" spans="1:4" x14ac:dyDescent="0.2">
      <c r="A154" t="s">
        <v>178</v>
      </c>
      <c r="B154" s="1">
        <v>0.23335704931033499</v>
      </c>
      <c r="C154" s="1">
        <v>0.22356638354111899</v>
      </c>
      <c r="D154" s="1">
        <v>-4.2</v>
      </c>
    </row>
    <row r="155" spans="1:4" x14ac:dyDescent="0.2">
      <c r="A155" t="s">
        <v>4</v>
      </c>
      <c r="B155" s="1">
        <v>0.264630334450909</v>
      </c>
      <c r="C155" s="1">
        <v>0.253481827904182</v>
      </c>
      <c r="D155" s="1">
        <v>-4.21</v>
      </c>
    </row>
    <row r="156" spans="1:4" x14ac:dyDescent="0.2">
      <c r="A156" t="s">
        <v>5</v>
      </c>
      <c r="B156" s="1">
        <v>6.9639480313030896E-2</v>
      </c>
      <c r="C156" s="1">
        <v>6.6705558976464602E-2</v>
      </c>
      <c r="D156" s="1">
        <v>-4.21</v>
      </c>
    </row>
    <row r="157" spans="1:4" x14ac:dyDescent="0.2">
      <c r="A157" t="s">
        <v>10</v>
      </c>
      <c r="B157" s="1">
        <v>0.1240936</v>
      </c>
      <c r="C157" s="1">
        <v>0.11886624891889599</v>
      </c>
      <c r="D157" s="1">
        <v>-4.21</v>
      </c>
    </row>
    <row r="158" spans="1:4" x14ac:dyDescent="0.2">
      <c r="A158" t="s">
        <v>11</v>
      </c>
      <c r="B158" s="1">
        <v>6.2563579657723299E-3</v>
      </c>
      <c r="C158" s="1">
        <v>5.9928657391335903E-3</v>
      </c>
      <c r="D158" s="1">
        <v>-4.21</v>
      </c>
    </row>
    <row r="159" spans="1:4" x14ac:dyDescent="0.2">
      <c r="A159" t="s">
        <v>12</v>
      </c>
      <c r="B159" s="1">
        <v>6.2563579657723299E-3</v>
      </c>
      <c r="C159" s="1">
        <v>5.9928657391335903E-3</v>
      </c>
      <c r="D159" s="1">
        <v>-4.21</v>
      </c>
    </row>
    <row r="160" spans="1:4" x14ac:dyDescent="0.2">
      <c r="A160" t="s">
        <v>26</v>
      </c>
      <c r="B160" s="1">
        <v>5.4062781618871E-2</v>
      </c>
      <c r="C160" s="1">
        <v>5.1785429023719499E-2</v>
      </c>
      <c r="D160" s="1">
        <v>-4.21</v>
      </c>
    </row>
    <row r="161" spans="1:4" x14ac:dyDescent="0.2">
      <c r="A161" t="s">
        <v>34</v>
      </c>
      <c r="B161" s="1">
        <v>5.4062781618871E-2</v>
      </c>
      <c r="C161" s="1">
        <v>5.1785429023719499E-2</v>
      </c>
      <c r="D161" s="1">
        <v>-4.21</v>
      </c>
    </row>
    <row r="162" spans="1:4" x14ac:dyDescent="0.2">
      <c r="A162" t="s">
        <v>56</v>
      </c>
      <c r="B162" s="1">
        <v>2.0682266666666602E-2</v>
      </c>
      <c r="C162" s="1">
        <v>1.9811041486482699E-2</v>
      </c>
      <c r="D162" s="1">
        <v>-4.21</v>
      </c>
    </row>
    <row r="163" spans="1:4" x14ac:dyDescent="0.2">
      <c r="A163" t="s">
        <v>57</v>
      </c>
      <c r="B163" s="1">
        <v>2.0682242185293201E-2</v>
      </c>
      <c r="C163" s="1">
        <v>1.9811041486482699E-2</v>
      </c>
      <c r="D163" s="1">
        <v>-4.21</v>
      </c>
    </row>
    <row r="164" spans="1:4" x14ac:dyDescent="0.2">
      <c r="A164" t="s">
        <v>58</v>
      </c>
      <c r="B164" s="1">
        <v>2.0682242185293201E-2</v>
      </c>
      <c r="C164" s="1">
        <v>1.9811041486482699E-2</v>
      </c>
      <c r="D164" s="1">
        <v>-4.21</v>
      </c>
    </row>
    <row r="165" spans="1:4" x14ac:dyDescent="0.2">
      <c r="A165" t="s">
        <v>59</v>
      </c>
      <c r="B165" s="1">
        <v>2.0682266666666602E-2</v>
      </c>
      <c r="C165" s="1">
        <v>1.9811041486482699E-2</v>
      </c>
      <c r="D165" s="1">
        <v>-4.21</v>
      </c>
    </row>
    <row r="166" spans="1:4" x14ac:dyDescent="0.2">
      <c r="A166" t="s">
        <v>60</v>
      </c>
      <c r="B166" s="1">
        <v>2.0682266666666602E-2</v>
      </c>
      <c r="C166" s="1">
        <v>1.9811041486482699E-2</v>
      </c>
      <c r="D166" s="1">
        <v>-4.21</v>
      </c>
    </row>
    <row r="167" spans="1:4" x14ac:dyDescent="0.2">
      <c r="A167" t="s">
        <v>61</v>
      </c>
      <c r="B167" s="1">
        <v>2.0682266666666602E-2</v>
      </c>
      <c r="C167" s="1">
        <v>1.9811041486482699E-2</v>
      </c>
      <c r="D167" s="1">
        <v>-4.21</v>
      </c>
    </row>
    <row r="168" spans="1:4" x14ac:dyDescent="0.2">
      <c r="A168" t="s">
        <v>62</v>
      </c>
      <c r="B168" s="1">
        <v>2.0682266666666602E-2</v>
      </c>
      <c r="C168" s="1">
        <v>1.9811041486482699E-2</v>
      </c>
      <c r="D168" s="1">
        <v>-4.21</v>
      </c>
    </row>
    <row r="169" spans="1:4" x14ac:dyDescent="0.2">
      <c r="A169" t="s">
        <v>63</v>
      </c>
      <c r="B169" s="1">
        <v>2.0682266666666602E-2</v>
      </c>
      <c r="C169" s="1">
        <v>1.9811041486482699E-2</v>
      </c>
      <c r="D169" s="1">
        <v>-4.21</v>
      </c>
    </row>
    <row r="170" spans="1:4" x14ac:dyDescent="0.2">
      <c r="A170" t="s">
        <v>64</v>
      </c>
      <c r="B170" s="1">
        <v>2.0682266666666602E-2</v>
      </c>
      <c r="C170" s="1">
        <v>1.9811041486482699E-2</v>
      </c>
      <c r="D170" s="1">
        <v>-4.21</v>
      </c>
    </row>
    <row r="171" spans="1:4" x14ac:dyDescent="0.2">
      <c r="A171" t="s">
        <v>65</v>
      </c>
      <c r="B171" s="1">
        <v>2.0682266666666602E-2</v>
      </c>
      <c r="C171" s="1">
        <v>1.9811041486482699E-2</v>
      </c>
      <c r="D171" s="1">
        <v>-4.21</v>
      </c>
    </row>
    <row r="172" spans="1:4" x14ac:dyDescent="0.2">
      <c r="A172" t="s">
        <v>66</v>
      </c>
      <c r="B172" s="1">
        <v>2.0682266666666602E-2</v>
      </c>
      <c r="C172" s="1">
        <v>1.9811041486482699E-2</v>
      </c>
      <c r="D172" s="1">
        <v>-4.21</v>
      </c>
    </row>
    <row r="173" spans="1:4" x14ac:dyDescent="0.2">
      <c r="A173" t="s">
        <v>67</v>
      </c>
      <c r="B173" s="1">
        <v>2.0682242185293201E-2</v>
      </c>
      <c r="C173" s="1">
        <v>1.9811041486482699E-2</v>
      </c>
      <c r="D173" s="1">
        <v>-4.21</v>
      </c>
    </row>
    <row r="174" spans="1:4" x14ac:dyDescent="0.2">
      <c r="A174" t="s">
        <v>68</v>
      </c>
      <c r="B174" s="1">
        <v>2.0682266666666602E-2</v>
      </c>
      <c r="C174" s="1">
        <v>1.9811041486482699E-2</v>
      </c>
      <c r="D174" s="1">
        <v>-4.21</v>
      </c>
    </row>
    <row r="175" spans="1:4" x14ac:dyDescent="0.2">
      <c r="A175" t="s">
        <v>74</v>
      </c>
      <c r="B175" s="1">
        <v>6.2563579657723299E-3</v>
      </c>
      <c r="C175" s="1">
        <v>5.9928657391335903E-3</v>
      </c>
      <c r="D175" s="1">
        <v>-4.21</v>
      </c>
    </row>
    <row r="176" spans="1:4" x14ac:dyDescent="0.2">
      <c r="A176" t="s">
        <v>85</v>
      </c>
      <c r="B176" s="1">
        <v>4.0567363131991403E-3</v>
      </c>
      <c r="C176" s="1">
        <v>3.8858482429287001E-3</v>
      </c>
      <c r="D176" s="1">
        <v>-4.21</v>
      </c>
    </row>
    <row r="177" spans="1:4" x14ac:dyDescent="0.2">
      <c r="A177" t="s">
        <v>88</v>
      </c>
      <c r="B177" s="1">
        <v>2.32293963274382E-3</v>
      </c>
      <c r="C177" s="1">
        <v>2.2250906812148002E-3</v>
      </c>
      <c r="D177" s="1">
        <v>-4.21</v>
      </c>
    </row>
    <row r="178" spans="1:4" x14ac:dyDescent="0.2">
      <c r="A178" t="s">
        <v>93</v>
      </c>
      <c r="B178" s="1">
        <v>4.13645333333333E-2</v>
      </c>
      <c r="C178" s="1">
        <v>3.9622082972965503E-2</v>
      </c>
      <c r="D178" s="1">
        <v>-4.21</v>
      </c>
    </row>
    <row r="179" spans="1:4" x14ac:dyDescent="0.2">
      <c r="A179" t="s">
        <v>94</v>
      </c>
      <c r="B179" s="1">
        <v>0.189480589280975</v>
      </c>
      <c r="C179" s="1">
        <v>0.18149852059721999</v>
      </c>
      <c r="D179" s="1">
        <v>-4.21</v>
      </c>
    </row>
    <row r="180" spans="1:4" x14ac:dyDescent="0.2">
      <c r="A180" t="s">
        <v>95</v>
      </c>
      <c r="B180" s="1">
        <v>0.189480589280975</v>
      </c>
      <c r="C180" s="1">
        <v>0.18149852059721999</v>
      </c>
      <c r="D180" s="1">
        <v>-4.21</v>
      </c>
    </row>
    <row r="181" spans="1:4" x14ac:dyDescent="0.2">
      <c r="A181" t="s">
        <v>96</v>
      </c>
      <c r="B181" s="1">
        <v>0.1240936</v>
      </c>
      <c r="C181" s="1">
        <v>0.11886624891889599</v>
      </c>
      <c r="D181" s="1">
        <v>-4.21</v>
      </c>
    </row>
    <row r="182" spans="1:4" x14ac:dyDescent="0.2">
      <c r="A182" t="s">
        <v>97</v>
      </c>
      <c r="B182" s="1">
        <v>2.32293963274382E-3</v>
      </c>
      <c r="C182" s="1">
        <v>2.2250906812148002E-3</v>
      </c>
      <c r="D182" s="1">
        <v>-4.21</v>
      </c>
    </row>
    <row r="183" spans="1:4" x14ac:dyDescent="0.2">
      <c r="A183" t="s">
        <v>129</v>
      </c>
      <c r="B183" s="1">
        <v>0.47827660892444301</v>
      </c>
      <c r="C183" s="1">
        <v>0.45812792433022198</v>
      </c>
      <c r="D183" s="1">
        <v>-4.21</v>
      </c>
    </row>
    <row r="184" spans="1:4" x14ac:dyDescent="0.2">
      <c r="A184" t="s">
        <v>132</v>
      </c>
      <c r="B184" s="1">
        <v>6.2563579657723299E-3</v>
      </c>
      <c r="C184" s="1">
        <v>5.9928657391335903E-3</v>
      </c>
      <c r="D184" s="1">
        <v>-4.21</v>
      </c>
    </row>
    <row r="185" spans="1:4" x14ac:dyDescent="0.2">
      <c r="A185" t="s">
        <v>142</v>
      </c>
      <c r="B185" s="1">
        <v>9.0772470977568506E-2</v>
      </c>
      <c r="C185" s="1">
        <v>8.6948774769248394E-2</v>
      </c>
      <c r="D185" s="1">
        <v>-4.21</v>
      </c>
    </row>
    <row r="186" spans="1:4" x14ac:dyDescent="0.2">
      <c r="A186" t="s">
        <v>146</v>
      </c>
      <c r="B186" s="1">
        <v>4.13645333333333E-2</v>
      </c>
      <c r="C186" s="1">
        <v>3.9622082972965503E-2</v>
      </c>
      <c r="D186" s="1">
        <v>-4.21</v>
      </c>
    </row>
    <row r="187" spans="1:4" x14ac:dyDescent="0.2">
      <c r="A187" t="s">
        <v>156</v>
      </c>
      <c r="B187" s="1">
        <v>0.1240936</v>
      </c>
      <c r="C187" s="1">
        <v>0.11886624891889599</v>
      </c>
      <c r="D187" s="1">
        <v>-4.21</v>
      </c>
    </row>
    <row r="188" spans="1:4" x14ac:dyDescent="0.2">
      <c r="A188" t="s">
        <v>157</v>
      </c>
      <c r="B188" s="1">
        <v>0.1240936</v>
      </c>
      <c r="C188" s="1">
        <v>0.11886624891889599</v>
      </c>
      <c r="D188" s="1">
        <v>-4.21</v>
      </c>
    </row>
    <row r="189" spans="1:4" x14ac:dyDescent="0.2">
      <c r="A189" t="s">
        <v>170</v>
      </c>
      <c r="B189" s="1">
        <v>4.13645333333333E-2</v>
      </c>
      <c r="C189" s="1">
        <v>3.9622082972965503E-2</v>
      </c>
      <c r="D189" s="1">
        <v>-4.21</v>
      </c>
    </row>
    <row r="190" spans="1:4" x14ac:dyDescent="0.2">
      <c r="A190" t="s">
        <v>183</v>
      </c>
      <c r="B190" s="1">
        <v>2.0682266666666602E-2</v>
      </c>
      <c r="C190" s="1">
        <v>1.9811041486482699E-2</v>
      </c>
      <c r="D190" s="1">
        <v>-4.21</v>
      </c>
    </row>
    <row r="191" spans="1:4" x14ac:dyDescent="0.2">
      <c r="A191" t="s">
        <v>184</v>
      </c>
      <c r="B191" s="1">
        <v>2.0682266666666602E-2</v>
      </c>
      <c r="C191" s="1">
        <v>1.9811041486482699E-2</v>
      </c>
      <c r="D191" s="1">
        <v>-4.21</v>
      </c>
    </row>
    <row r="192" spans="1:4" x14ac:dyDescent="0.2">
      <c r="A192" t="s">
        <v>186</v>
      </c>
      <c r="B192" s="1">
        <v>0.189480589280975</v>
      </c>
      <c r="C192" s="1">
        <v>0.18149852059721999</v>
      </c>
      <c r="D192" s="1">
        <v>-4.21</v>
      </c>
    </row>
    <row r="193" spans="1:4" x14ac:dyDescent="0.2">
      <c r="A193" t="s">
        <v>187</v>
      </c>
      <c r="B193" s="1">
        <v>-0.189480589280975</v>
      </c>
      <c r="C193" s="1">
        <v>-0.18149852059721999</v>
      </c>
      <c r="D193" s="1">
        <v>-4.21</v>
      </c>
    </row>
    <row r="194" spans="1:4" x14ac:dyDescent="0.2">
      <c r="A194" t="s">
        <v>191</v>
      </c>
      <c r="B194" s="1">
        <v>5.4062781618871E-2</v>
      </c>
      <c r="C194" s="1">
        <v>5.1785429023719499E-2</v>
      </c>
      <c r="D194" s="1">
        <v>-4.21</v>
      </c>
    </row>
    <row r="195" spans="1:4" x14ac:dyDescent="0.2">
      <c r="A195" t="s">
        <v>193</v>
      </c>
      <c r="B195" s="1">
        <v>0.1240936</v>
      </c>
      <c r="C195" s="1">
        <v>0.11886624891889599</v>
      </c>
      <c r="D195" s="1">
        <v>-4.21</v>
      </c>
    </row>
    <row r="196" spans="1:4" x14ac:dyDescent="0.2">
      <c r="A196" t="s">
        <v>208</v>
      </c>
      <c r="B196" s="1">
        <v>2.32293963274382E-3</v>
      </c>
      <c r="C196" s="1">
        <v>2.2250906812148002E-3</v>
      </c>
      <c r="D196" s="1">
        <v>-4.21</v>
      </c>
    </row>
    <row r="197" spans="1:4" x14ac:dyDescent="0.2">
      <c r="A197" t="s">
        <v>209</v>
      </c>
      <c r="B197" s="1">
        <v>3.62570324771248E-3</v>
      </c>
      <c r="C197" s="1">
        <v>3.47297287615436E-3</v>
      </c>
      <c r="D197" s="1">
        <v>-4.21</v>
      </c>
    </row>
    <row r="198" spans="1:4" x14ac:dyDescent="0.2">
      <c r="A198" t="s">
        <v>211</v>
      </c>
      <c r="B198" s="1">
        <v>3.62570324771248E-3</v>
      </c>
      <c r="C198" s="1">
        <v>3.4729687359375001E-3</v>
      </c>
      <c r="D198" s="1">
        <v>-4.21</v>
      </c>
    </row>
    <row r="199" spans="1:4" x14ac:dyDescent="0.2">
      <c r="A199" t="s">
        <v>212</v>
      </c>
      <c r="B199" s="1">
        <v>2.323E-3</v>
      </c>
      <c r="C199" s="1">
        <v>2.2251469792118599E-3</v>
      </c>
      <c r="D199" s="1">
        <v>-4.21</v>
      </c>
    </row>
    <row r="200" spans="1:4" x14ac:dyDescent="0.2">
      <c r="A200" t="s">
        <v>230</v>
      </c>
      <c r="B200" s="1">
        <v>1.11268383174014E-2</v>
      </c>
      <c r="C200" s="1">
        <v>1.06581291790789E-2</v>
      </c>
      <c r="D200" s="1">
        <v>-4.21</v>
      </c>
    </row>
    <row r="201" spans="1:4" x14ac:dyDescent="0.2">
      <c r="A201" t="s">
        <v>231</v>
      </c>
      <c r="B201" s="1">
        <v>1.11268383174014E-2</v>
      </c>
      <c r="C201" s="1">
        <v>1.06581291790789E-2</v>
      </c>
      <c r="D201" s="1">
        <v>-4.21</v>
      </c>
    </row>
    <row r="202" spans="1:4" x14ac:dyDescent="0.2">
      <c r="A202" t="s">
        <v>237</v>
      </c>
      <c r="B202" s="1">
        <v>0.47827660892444301</v>
      </c>
      <c r="C202" s="1">
        <v>0.45812792433022198</v>
      </c>
      <c r="D202" s="1">
        <v>-4.21</v>
      </c>
    </row>
    <row r="203" spans="1:4" x14ac:dyDescent="0.2">
      <c r="A203" t="s">
        <v>243</v>
      </c>
      <c r="B203" s="1">
        <v>-0.189480589280975</v>
      </c>
      <c r="C203" s="1">
        <v>-0.18149852059721999</v>
      </c>
      <c r="D203" s="1">
        <v>-4.21</v>
      </c>
    </row>
    <row r="204" spans="1:4" x14ac:dyDescent="0.2">
      <c r="A204" t="s">
        <v>244</v>
      </c>
      <c r="B204" s="1">
        <v>1.11268383174014E-2</v>
      </c>
      <c r="C204" s="1">
        <v>1.06581291790789E-2</v>
      </c>
      <c r="D204" s="1">
        <v>-4.21</v>
      </c>
    </row>
    <row r="205" spans="1:4" x14ac:dyDescent="0.2">
      <c r="A205" t="s">
        <v>245</v>
      </c>
      <c r="B205" s="1">
        <v>0.1240936</v>
      </c>
      <c r="C205" s="1">
        <v>0.11886624891889599</v>
      </c>
      <c r="D205" s="1">
        <v>-4.21</v>
      </c>
    </row>
    <row r="206" spans="1:4" x14ac:dyDescent="0.2">
      <c r="A206" t="s">
        <v>260</v>
      </c>
      <c r="B206" s="1">
        <v>1.4111210752878601E-2</v>
      </c>
      <c r="C206" s="1">
        <v>1.3516775303763001E-2</v>
      </c>
      <c r="D206" s="1">
        <v>-4.21</v>
      </c>
    </row>
    <row r="207" spans="1:4" x14ac:dyDescent="0.2">
      <c r="A207" t="s">
        <v>263</v>
      </c>
      <c r="B207" s="1">
        <v>1.6679240039002299E-2</v>
      </c>
      <c r="C207" s="1">
        <v>1.5976627341937701E-2</v>
      </c>
      <c r="D207" s="1">
        <v>-4.21</v>
      </c>
    </row>
    <row r="208" spans="1:4" x14ac:dyDescent="0.2">
      <c r="A208" t="s">
        <v>267</v>
      </c>
      <c r="B208" s="1">
        <v>2.32293963274382E-3</v>
      </c>
      <c r="C208" s="1">
        <v>2.22508661195568E-3</v>
      </c>
      <c r="D208" s="1">
        <v>-4.21</v>
      </c>
    </row>
    <row r="209" spans="1:4" x14ac:dyDescent="0.2">
      <c r="A209" t="s">
        <v>268</v>
      </c>
      <c r="B209" s="1">
        <v>3.62570324771248E-3</v>
      </c>
      <c r="C209" s="1">
        <v>3.47297287615436E-3</v>
      </c>
      <c r="D209" s="1">
        <v>-4.21</v>
      </c>
    </row>
    <row r="210" spans="1:4" x14ac:dyDescent="0.2">
      <c r="A210" t="s">
        <v>274</v>
      </c>
      <c r="B210" s="1">
        <v>2.0682266666666602E-2</v>
      </c>
      <c r="C210" s="1">
        <v>1.9811041486482699E-2</v>
      </c>
      <c r="D210" s="1">
        <v>-4.21</v>
      </c>
    </row>
    <row r="211" spans="1:4" x14ac:dyDescent="0.2">
      <c r="A211" t="s">
        <v>280</v>
      </c>
      <c r="B211" s="1">
        <v>2.0682266666666602E-2</v>
      </c>
      <c r="C211" s="1">
        <v>1.9811041486482699E-2</v>
      </c>
      <c r="D211" s="1">
        <v>-4.21</v>
      </c>
    </row>
    <row r="212" spans="1:4" x14ac:dyDescent="0.2">
      <c r="A212" t="s">
        <v>281</v>
      </c>
      <c r="B212" s="1">
        <v>2.0682266666666602E-2</v>
      </c>
      <c r="C212" s="1">
        <v>1.9811041486482699E-2</v>
      </c>
      <c r="D212" s="1">
        <v>-4.21</v>
      </c>
    </row>
    <row r="213" spans="1:4" x14ac:dyDescent="0.2">
      <c r="A213" t="s">
        <v>282</v>
      </c>
      <c r="B213" s="1">
        <v>4.1108570568476896E-3</v>
      </c>
      <c r="C213" s="1">
        <v>3.9377035398299003E-3</v>
      </c>
      <c r="D213" s="1">
        <v>-4.21</v>
      </c>
    </row>
    <row r="214" spans="1:4" x14ac:dyDescent="0.2">
      <c r="A214" t="s">
        <v>293</v>
      </c>
      <c r="B214" s="1">
        <v>2.32293963274382E-3</v>
      </c>
      <c r="C214" s="1">
        <v>2.2250906812148002E-3</v>
      </c>
      <c r="D214" s="1">
        <v>-4.21</v>
      </c>
    </row>
    <row r="215" spans="1:4" x14ac:dyDescent="0.2">
      <c r="A215" t="s">
        <v>296</v>
      </c>
      <c r="B215" s="1">
        <v>5.3234323182934397E-2</v>
      </c>
      <c r="C215" s="1">
        <v>5.0991762680326999E-2</v>
      </c>
      <c r="D215" s="1">
        <v>-4.21</v>
      </c>
    </row>
    <row r="216" spans="1:4" x14ac:dyDescent="0.2">
      <c r="A216" t="s">
        <v>297</v>
      </c>
      <c r="B216" s="1">
        <v>5.3234323182934397E-2</v>
      </c>
      <c r="C216" s="1">
        <v>5.0991762680326999E-2</v>
      </c>
      <c r="D216" s="1">
        <v>-4.21</v>
      </c>
    </row>
    <row r="217" spans="1:4" x14ac:dyDescent="0.2">
      <c r="A217" t="s">
        <v>301</v>
      </c>
      <c r="B217" s="1">
        <v>6.2563579657723299E-3</v>
      </c>
      <c r="C217" s="1">
        <v>5.9928657391335903E-3</v>
      </c>
      <c r="D217" s="1">
        <v>-4.21</v>
      </c>
    </row>
    <row r="218" spans="1:4" x14ac:dyDescent="0.2">
      <c r="A218" t="s">
        <v>206</v>
      </c>
      <c r="B218" s="1">
        <v>0.55845339802584704</v>
      </c>
      <c r="C218" s="1">
        <v>0.52954692894463196</v>
      </c>
      <c r="D218" s="1">
        <v>-5.18</v>
      </c>
    </row>
    <row r="219" spans="1:4" x14ac:dyDescent="0.2">
      <c r="A219" t="s">
        <v>135</v>
      </c>
      <c r="B219" s="1">
        <v>4.4036055855866903E-2</v>
      </c>
      <c r="C219" s="1">
        <v>4.0362475865144201E-2</v>
      </c>
      <c r="D219" s="1">
        <v>-8.34</v>
      </c>
    </row>
    <row r="220" spans="1:4" x14ac:dyDescent="0.2">
      <c r="A220" t="s">
        <v>144</v>
      </c>
      <c r="B220" s="1">
        <v>4.4036116223123097E-2</v>
      </c>
      <c r="C220" s="1">
        <v>4.0362536232400402E-2</v>
      </c>
      <c r="D220" s="1">
        <v>-8.34</v>
      </c>
    </row>
    <row r="221" spans="1:4" x14ac:dyDescent="0.2">
      <c r="A221" t="s">
        <v>169</v>
      </c>
      <c r="B221" s="1">
        <v>4.4036116223123097E-2</v>
      </c>
      <c r="C221" s="1">
        <v>4.0362536232400402E-2</v>
      </c>
      <c r="D221" s="1">
        <v>-8.34</v>
      </c>
    </row>
    <row r="222" spans="1:4" x14ac:dyDescent="0.2">
      <c r="A222" t="s">
        <v>83</v>
      </c>
      <c r="B222" s="1">
        <v>2.1671502428349001E-2</v>
      </c>
      <c r="C222" s="1">
        <v>1.9582535168693401E-2</v>
      </c>
      <c r="D222" s="1">
        <v>-9.64</v>
      </c>
    </row>
    <row r="223" spans="1:4" x14ac:dyDescent="0.2">
      <c r="A223" t="s">
        <v>118</v>
      </c>
      <c r="B223" s="1">
        <v>0.91115069999999998</v>
      </c>
      <c r="C223" s="1">
        <v>0.81663741408720103</v>
      </c>
      <c r="D223" s="1">
        <v>-10.4</v>
      </c>
    </row>
    <row r="224" spans="1:4" x14ac:dyDescent="0.2">
      <c r="A224" t="s">
        <v>120</v>
      </c>
      <c r="B224" s="1">
        <v>-0.91115069999999998</v>
      </c>
      <c r="C224" s="1">
        <v>-0.81663741408720103</v>
      </c>
      <c r="D224" s="1">
        <v>-10.4</v>
      </c>
    </row>
    <row r="225" spans="1:4" x14ac:dyDescent="0.2">
      <c r="A225" t="s">
        <v>198</v>
      </c>
      <c r="B225" s="1">
        <v>0.91115069999999998</v>
      </c>
      <c r="C225" s="1">
        <v>0.81663741408720103</v>
      </c>
      <c r="D225" s="1">
        <v>-10.4</v>
      </c>
    </row>
    <row r="226" spans="1:4" x14ac:dyDescent="0.2">
      <c r="A226" t="s">
        <v>201</v>
      </c>
      <c r="B226" s="1">
        <v>0.91115069999999998</v>
      </c>
      <c r="C226" s="1">
        <v>0.81663741408720103</v>
      </c>
      <c r="D226" s="1">
        <v>-10.4</v>
      </c>
    </row>
    <row r="227" spans="1:4" x14ac:dyDescent="0.2">
      <c r="A227" t="s">
        <v>98</v>
      </c>
      <c r="B227" s="1">
        <v>2.32293963274382E-3</v>
      </c>
      <c r="C227" s="1">
        <v>2.0723561694398298E-3</v>
      </c>
      <c r="D227" s="1">
        <v>-10.8</v>
      </c>
    </row>
    <row r="228" spans="1:4" x14ac:dyDescent="0.2">
      <c r="A228" t="s">
        <v>210</v>
      </c>
      <c r="B228" s="1">
        <v>2.32293963274382E-3</v>
      </c>
      <c r="C228" s="1">
        <v>2.0723561694398298E-3</v>
      </c>
      <c r="D228" s="1">
        <v>-10.8</v>
      </c>
    </row>
    <row r="229" spans="1:4" x14ac:dyDescent="0.2">
      <c r="A229" t="s">
        <v>269</v>
      </c>
      <c r="B229" s="1">
        <v>2.32293963274382E-3</v>
      </c>
      <c r="C229" s="1">
        <v>2.0723561694398298E-3</v>
      </c>
      <c r="D229" s="1">
        <v>-10.8</v>
      </c>
    </row>
    <row r="230" spans="1:4" x14ac:dyDescent="0.2">
      <c r="A230" t="s">
        <v>137</v>
      </c>
      <c r="B230" s="1">
        <v>0.62409609938657395</v>
      </c>
      <c r="C230" s="1">
        <v>0.55308673993388002</v>
      </c>
      <c r="D230" s="1">
        <v>-11.4</v>
      </c>
    </row>
    <row r="231" spans="1:4" x14ac:dyDescent="0.2">
      <c r="A231" t="s">
        <v>219</v>
      </c>
      <c r="B231" s="1">
        <v>0.4404266</v>
      </c>
      <c r="C231" s="1">
        <v>0.39021615084768702</v>
      </c>
      <c r="D231" s="1">
        <v>-11.4</v>
      </c>
    </row>
    <row r="232" spans="1:4" x14ac:dyDescent="0.2">
      <c r="A232" t="s">
        <v>48</v>
      </c>
      <c r="B232" s="1">
        <v>7.6243370768375104E-2</v>
      </c>
      <c r="C232" s="1">
        <v>6.7498495044715903E-2</v>
      </c>
      <c r="D232" s="1">
        <v>-11.5</v>
      </c>
    </row>
    <row r="233" spans="1:4" x14ac:dyDescent="0.2">
      <c r="A233" t="s">
        <v>89</v>
      </c>
      <c r="B233" s="1">
        <v>7.6243370768375104E-2</v>
      </c>
      <c r="C233" s="1">
        <v>6.7498495044715903E-2</v>
      </c>
      <c r="D233" s="1">
        <v>-11.5</v>
      </c>
    </row>
    <row r="234" spans="1:4" x14ac:dyDescent="0.2">
      <c r="A234" t="s">
        <v>90</v>
      </c>
      <c r="B234" s="1">
        <v>-7.6243371000000004E-2</v>
      </c>
      <c r="C234" s="1">
        <v>-6.7498495044715903E-2</v>
      </c>
      <c r="D234" s="1">
        <v>-11.5</v>
      </c>
    </row>
    <row r="235" spans="1:4" x14ac:dyDescent="0.2">
      <c r="A235" t="s">
        <v>218</v>
      </c>
      <c r="B235" s="1">
        <v>7.6243370768375104E-2</v>
      </c>
      <c r="C235" s="1">
        <v>6.7498495044715903E-2</v>
      </c>
      <c r="D235" s="1">
        <v>-11.5</v>
      </c>
    </row>
    <row r="236" spans="1:4" x14ac:dyDescent="0.2">
      <c r="A236" t="s">
        <v>223</v>
      </c>
      <c r="B236" s="1">
        <v>-7.6243370768375104E-2</v>
      </c>
      <c r="C236" s="1">
        <v>-6.7498495044715903E-2</v>
      </c>
      <c r="D236" s="1">
        <v>-11.5</v>
      </c>
    </row>
    <row r="237" spans="1:4" x14ac:dyDescent="0.2">
      <c r="A237" t="s">
        <v>284</v>
      </c>
      <c r="B237" s="1">
        <v>7.6243370768375104E-2</v>
      </c>
      <c r="C237" s="1">
        <v>6.7498495044715903E-2</v>
      </c>
      <c r="D237" s="1">
        <v>-11.5</v>
      </c>
    </row>
    <row r="238" spans="1:4" x14ac:dyDescent="0.2">
      <c r="A238" t="s">
        <v>302</v>
      </c>
      <c r="B238" s="1">
        <v>7.6243370768375104E-2</v>
      </c>
      <c r="C238" s="1">
        <v>6.7498495044715903E-2</v>
      </c>
      <c r="D238" s="1">
        <v>-11.5</v>
      </c>
    </row>
    <row r="239" spans="1:4" x14ac:dyDescent="0.2">
      <c r="A239" t="s">
        <v>207</v>
      </c>
      <c r="B239" s="1">
        <v>1.80457991806365E-2</v>
      </c>
      <c r="C239" s="1">
        <v>1.5956831920981001E-2</v>
      </c>
      <c r="D239" s="1">
        <v>-11.6</v>
      </c>
    </row>
    <row r="240" spans="1:4" x14ac:dyDescent="0.2">
      <c r="A240" t="s">
        <v>113</v>
      </c>
      <c r="B240" s="1">
        <v>4.6996860545810799</v>
      </c>
      <c r="C240" s="1">
        <v>4.0795261215151601</v>
      </c>
      <c r="D240" s="1">
        <v>-13.2</v>
      </c>
    </row>
    <row r="241" spans="1:4" x14ac:dyDescent="0.2">
      <c r="A241" t="s">
        <v>13</v>
      </c>
      <c r="B241" s="1">
        <v>0.57019117474435799</v>
      </c>
      <c r="C241" s="1">
        <v>0.48247324982825701</v>
      </c>
      <c r="D241" s="1">
        <v>-15.4</v>
      </c>
    </row>
    <row r="242" spans="1:4" x14ac:dyDescent="0.2">
      <c r="A242" t="s">
        <v>23</v>
      </c>
      <c r="B242" s="1">
        <v>0.57019117474435799</v>
      </c>
      <c r="C242" s="1">
        <v>0.48247324982825701</v>
      </c>
      <c r="D242" s="1">
        <v>-15.4</v>
      </c>
    </row>
    <row r="243" spans="1:4" x14ac:dyDescent="0.2">
      <c r="A243" t="s">
        <v>33</v>
      </c>
      <c r="B243" s="1">
        <v>0.57019117474435799</v>
      </c>
      <c r="C243" s="1">
        <v>0.48247324982825701</v>
      </c>
      <c r="D243" s="1">
        <v>-15.4</v>
      </c>
    </row>
    <row r="244" spans="1:4" x14ac:dyDescent="0.2">
      <c r="A244" t="s">
        <v>220</v>
      </c>
      <c r="B244" s="1">
        <v>0.57019117474435799</v>
      </c>
      <c r="C244" s="1">
        <v>0.48247324982825701</v>
      </c>
      <c r="D244" s="1">
        <v>-15.4</v>
      </c>
    </row>
    <row r="245" spans="1:4" x14ac:dyDescent="0.2">
      <c r="A245" t="s">
        <v>160</v>
      </c>
      <c r="B245" s="1">
        <v>0.18180230867857899</v>
      </c>
      <c r="C245" s="1">
        <v>0.150262821945052</v>
      </c>
      <c r="D245" s="1">
        <v>-17.3</v>
      </c>
    </row>
    <row r="246" spans="1:4" x14ac:dyDescent="0.2">
      <c r="A246" t="s">
        <v>289</v>
      </c>
      <c r="B246" s="1">
        <v>0.18180230867857899</v>
      </c>
      <c r="C246" s="1">
        <v>0.150262821945052</v>
      </c>
      <c r="D246" s="1">
        <v>-17.3</v>
      </c>
    </row>
    <row r="247" spans="1:4" x14ac:dyDescent="0.2">
      <c r="A247" t="s">
        <v>233</v>
      </c>
      <c r="B247" s="1">
        <v>2.9830980436383898</v>
      </c>
      <c r="C247" s="1">
        <v>2.4247949718794399</v>
      </c>
      <c r="D247" s="1">
        <v>-18.7</v>
      </c>
    </row>
    <row r="248" spans="1:4" x14ac:dyDescent="0.2">
      <c r="A248" t="s">
        <v>261</v>
      </c>
      <c r="B248" s="1">
        <v>2.9830980436383898</v>
      </c>
      <c r="C248" s="1">
        <v>2.4247949718794399</v>
      </c>
      <c r="D248" s="1">
        <v>-18.7</v>
      </c>
    </row>
    <row r="249" spans="1:4" x14ac:dyDescent="0.2">
      <c r="A249" t="s">
        <v>262</v>
      </c>
      <c r="B249" s="1">
        <v>2.9830980436383898</v>
      </c>
      <c r="C249" s="1">
        <v>2.4247949718794399</v>
      </c>
      <c r="D249" s="1">
        <v>-18.7</v>
      </c>
    </row>
    <row r="250" spans="1:4" x14ac:dyDescent="0.2">
      <c r="A250" t="s">
        <v>14</v>
      </c>
      <c r="B250" s="1">
        <v>9.4594941786117395E-2</v>
      </c>
      <c r="C250" s="1">
        <v>7.5033068738749598E-2</v>
      </c>
      <c r="D250" s="1">
        <v>-20.7</v>
      </c>
    </row>
    <row r="251" spans="1:4" x14ac:dyDescent="0.2">
      <c r="A251" t="s">
        <v>87</v>
      </c>
      <c r="B251" s="1">
        <v>9.4594941786117395E-2</v>
      </c>
      <c r="C251" s="1">
        <v>7.5033068738749598E-2</v>
      </c>
      <c r="D251" s="1">
        <v>-20.7</v>
      </c>
    </row>
    <row r="252" spans="1:4" x14ac:dyDescent="0.2">
      <c r="A252" t="s">
        <v>166</v>
      </c>
      <c r="B252" s="1">
        <v>-9.4594941786117395E-2</v>
      </c>
      <c r="C252" s="1">
        <v>-7.5033068738749598E-2</v>
      </c>
      <c r="D252" s="1">
        <v>-20.7</v>
      </c>
    </row>
    <row r="253" spans="1:4" x14ac:dyDescent="0.2">
      <c r="A253" t="s">
        <v>167</v>
      </c>
      <c r="B253" s="1">
        <v>9.4594941786117395E-2</v>
      </c>
      <c r="C253" s="1">
        <v>7.5033068738749598E-2</v>
      </c>
      <c r="D253" s="1">
        <v>-20.7</v>
      </c>
    </row>
    <row r="254" spans="1:4" x14ac:dyDescent="0.2">
      <c r="A254" t="s">
        <v>176</v>
      </c>
      <c r="B254" s="1">
        <v>9.4594941786117395E-2</v>
      </c>
      <c r="C254" s="1">
        <v>7.5033068738749598E-2</v>
      </c>
      <c r="D254" s="1">
        <v>-20.7</v>
      </c>
    </row>
    <row r="255" spans="1:4" x14ac:dyDescent="0.2">
      <c r="A255" t="s">
        <v>232</v>
      </c>
      <c r="B255" s="1">
        <v>3.8673966000000002</v>
      </c>
      <c r="C255" s="1">
        <v>2.9857797591039801</v>
      </c>
      <c r="D255" s="1">
        <v>-22.8</v>
      </c>
    </row>
    <row r="256" spans="1:4" x14ac:dyDescent="0.2">
      <c r="A256" t="s">
        <v>226</v>
      </c>
      <c r="B256" s="1">
        <v>4.9922623893467197E-3</v>
      </c>
      <c r="C256" s="1">
        <v>3.60590782675574E-3</v>
      </c>
      <c r="D256" s="1">
        <v>-27.8</v>
      </c>
    </row>
    <row r="257" spans="1:4" x14ac:dyDescent="0.2">
      <c r="A257" t="s">
        <v>222</v>
      </c>
      <c r="B257" s="1">
        <v>0.12976457474435801</v>
      </c>
      <c r="C257" s="1">
        <v>9.2257098980569399E-2</v>
      </c>
      <c r="D257" s="1">
        <v>-28.9</v>
      </c>
    </row>
    <row r="258" spans="1:4" x14ac:dyDescent="0.2">
      <c r="A258" t="s">
        <v>47</v>
      </c>
      <c r="B258" s="1">
        <v>7.45196250831687E-2</v>
      </c>
      <c r="C258" s="1">
        <v>5.1677559257816398E-2</v>
      </c>
      <c r="D258" s="1">
        <v>-30.7</v>
      </c>
    </row>
    <row r="259" spans="1:4" x14ac:dyDescent="0.2">
      <c r="A259" t="s">
        <v>79</v>
      </c>
      <c r="B259" s="1">
        <v>4.9745081524564402E-2</v>
      </c>
      <c r="C259" s="1">
        <v>3.4462385562400902E-2</v>
      </c>
      <c r="D259" s="1">
        <v>-30.7</v>
      </c>
    </row>
    <row r="260" spans="1:4" x14ac:dyDescent="0.2">
      <c r="A260" t="s">
        <v>100</v>
      </c>
      <c r="B260" s="1">
        <v>0.4404266</v>
      </c>
      <c r="C260" s="1">
        <v>0.30246814757245299</v>
      </c>
      <c r="D260" s="1">
        <v>-31.3</v>
      </c>
    </row>
    <row r="261" spans="1:4" x14ac:dyDescent="0.2">
      <c r="A261" t="s">
        <v>126</v>
      </c>
      <c r="B261" s="1">
        <v>-0.4404266</v>
      </c>
      <c r="C261" s="1">
        <v>-0.30246814757245299</v>
      </c>
      <c r="D261" s="1">
        <v>-31.3</v>
      </c>
    </row>
    <row r="262" spans="1:4" x14ac:dyDescent="0.2">
      <c r="A262" t="s">
        <v>224</v>
      </c>
      <c r="B262" s="1">
        <v>0.4404266</v>
      </c>
      <c r="C262" s="1">
        <v>0.30246814757245299</v>
      </c>
      <c r="D262" s="1">
        <v>-31.3</v>
      </c>
    </row>
    <row r="263" spans="1:4" x14ac:dyDescent="0.2">
      <c r="A263" t="s">
        <v>257</v>
      </c>
      <c r="B263" s="1">
        <v>0.4404266</v>
      </c>
      <c r="C263" s="1">
        <v>0.30246814757245299</v>
      </c>
      <c r="D263" s="1">
        <v>-31.3</v>
      </c>
    </row>
    <row r="264" spans="1:4" x14ac:dyDescent="0.2">
      <c r="A264" t="s">
        <v>128</v>
      </c>
      <c r="B264" s="1">
        <v>3.3855656850392601</v>
      </c>
      <c r="C264" s="1">
        <v>2.2646540260028898</v>
      </c>
      <c r="D264" s="1">
        <v>-33.1</v>
      </c>
    </row>
    <row r="265" spans="1:4" x14ac:dyDescent="0.2">
      <c r="A265" t="s">
        <v>145</v>
      </c>
      <c r="B265" s="1">
        <v>3.3855656850392601</v>
      </c>
      <c r="C265" s="1">
        <v>2.2646540260028898</v>
      </c>
      <c r="D265" s="1">
        <v>-33.1</v>
      </c>
    </row>
    <row r="266" spans="1:4" x14ac:dyDescent="0.2">
      <c r="A266" t="s">
        <v>236</v>
      </c>
      <c r="B266" s="1">
        <v>3.3855656850392601</v>
      </c>
      <c r="C266" s="1">
        <v>2.2646540260028898</v>
      </c>
      <c r="D266" s="1">
        <v>-33.1</v>
      </c>
    </row>
    <row r="267" spans="1:4" x14ac:dyDescent="0.2">
      <c r="A267" t="s">
        <v>288</v>
      </c>
      <c r="B267" s="1">
        <v>9.2346611464260597E-2</v>
      </c>
      <c r="C267" s="1">
        <v>6.0064067521808102E-2</v>
      </c>
      <c r="D267" s="1">
        <v>-35</v>
      </c>
    </row>
    <row r="268" spans="1:4" x14ac:dyDescent="0.2">
      <c r="A268" t="s">
        <v>290</v>
      </c>
      <c r="B268" s="1">
        <v>9.2346611464260597E-2</v>
      </c>
      <c r="C268" s="1">
        <v>6.0064067521808102E-2</v>
      </c>
      <c r="D268" s="1">
        <v>-35</v>
      </c>
    </row>
    <row r="269" spans="1:4" x14ac:dyDescent="0.2">
      <c r="A269" t="s">
        <v>286</v>
      </c>
      <c r="B269" s="1">
        <v>0.90365469576985102</v>
      </c>
      <c r="C269" s="1">
        <v>0.36725848124837202</v>
      </c>
      <c r="D269" s="1">
        <v>-59.4</v>
      </c>
    </row>
    <row r="270" spans="1:4" x14ac:dyDescent="0.2">
      <c r="A270" t="s">
        <v>291</v>
      </c>
      <c r="B270" s="1">
        <v>0.90365469576985102</v>
      </c>
      <c r="C270" s="1">
        <v>0.36725848124837202</v>
      </c>
      <c r="D270" s="1">
        <v>-59.4</v>
      </c>
    </row>
    <row r="271" spans="1:4" x14ac:dyDescent="0.2">
      <c r="A271" t="s">
        <v>199</v>
      </c>
      <c r="B271" s="1">
        <v>2.7944364509371402</v>
      </c>
      <c r="C271" s="1">
        <v>1.00363360926003</v>
      </c>
      <c r="D271" s="1">
        <v>-64.099999999999994</v>
      </c>
    </row>
    <row r="272" spans="1:4" x14ac:dyDescent="0.2">
      <c r="A272" t="s">
        <v>270</v>
      </c>
      <c r="B272" s="1">
        <v>1.68056043996309</v>
      </c>
      <c r="C272" s="1">
        <v>0.55964878092672599</v>
      </c>
      <c r="D272" s="1">
        <v>-66.7</v>
      </c>
    </row>
    <row r="273" spans="1:4" x14ac:dyDescent="0.2">
      <c r="A273" t="s">
        <v>292</v>
      </c>
      <c r="B273" s="1">
        <v>0.80135064062773798</v>
      </c>
      <c r="C273" s="1">
        <v>0.248017077205407</v>
      </c>
      <c r="D273" s="1">
        <v>-69.099999999999994</v>
      </c>
    </row>
    <row r="274" spans="1:4" x14ac:dyDescent="0.2">
      <c r="A274" t="s">
        <v>258</v>
      </c>
      <c r="B274" s="1">
        <v>0.77690574419323999</v>
      </c>
      <c r="C274" s="1">
        <v>0.192390299678354</v>
      </c>
      <c r="D274" s="1">
        <v>-75.2</v>
      </c>
    </row>
    <row r="275" spans="1:4" x14ac:dyDescent="0.2">
      <c r="A275" t="s">
        <v>204</v>
      </c>
      <c r="B275" s="1">
        <v>14.074926820622</v>
      </c>
      <c r="C275" s="1">
        <v>0.90654527306216703</v>
      </c>
      <c r="D275" s="1">
        <v>-93.6</v>
      </c>
    </row>
    <row r="276" spans="1:4" x14ac:dyDescent="0.2">
      <c r="A276" t="s">
        <v>41</v>
      </c>
      <c r="B276" s="1">
        <v>0.59688540362865705</v>
      </c>
      <c r="C276" s="1">
        <v>1.62190646219409E-2</v>
      </c>
      <c r="D276" s="1">
        <v>-97.3</v>
      </c>
    </row>
    <row r="277" spans="1:4" x14ac:dyDescent="0.2">
      <c r="A277" t="s">
        <v>165</v>
      </c>
      <c r="B277" s="1">
        <v>0.59688540362865705</v>
      </c>
      <c r="C277" s="1">
        <v>1.62190646219409E-2</v>
      </c>
      <c r="D277" s="1">
        <v>-97.3</v>
      </c>
    </row>
    <row r="278" spans="1:4" x14ac:dyDescent="0.2">
      <c r="A278" t="s">
        <v>251</v>
      </c>
      <c r="B278" s="1">
        <v>0.59688540362865705</v>
      </c>
      <c r="C278" s="1">
        <v>1.62190646219409E-2</v>
      </c>
      <c r="D278" s="1">
        <v>-97.3</v>
      </c>
    </row>
    <row r="279" spans="1:4" x14ac:dyDescent="0.2">
      <c r="A279" t="s">
        <v>299</v>
      </c>
      <c r="B279" s="1">
        <v>0.59688540362865705</v>
      </c>
      <c r="C279" s="1">
        <v>1.62190646219409E-2</v>
      </c>
      <c r="D279" s="1">
        <v>-97.3</v>
      </c>
    </row>
    <row r="280" spans="1:4" x14ac:dyDescent="0.2">
      <c r="A280" t="s">
        <v>24</v>
      </c>
      <c r="B280" s="1">
        <v>2.0556899999999999E-2</v>
      </c>
      <c r="C280" s="1">
        <v>0</v>
      </c>
      <c r="D280" s="1">
        <v>-100</v>
      </c>
    </row>
    <row r="281" spans="1:4" x14ac:dyDescent="0.2">
      <c r="A281" t="s">
        <v>43</v>
      </c>
      <c r="B281" s="1">
        <v>-7.6580606300780105E-8</v>
      </c>
      <c r="C281" s="1">
        <v>0</v>
      </c>
      <c r="D281" s="1">
        <v>-100</v>
      </c>
    </row>
    <row r="282" spans="1:4" x14ac:dyDescent="0.2">
      <c r="A282" t="s">
        <v>71</v>
      </c>
      <c r="B282" s="1">
        <v>2.1671502428349001E-2</v>
      </c>
      <c r="C282" s="1">
        <v>0</v>
      </c>
      <c r="D282" s="1">
        <v>-100</v>
      </c>
    </row>
    <row r="283" spans="1:4" x14ac:dyDescent="0.2">
      <c r="A283" t="s">
        <v>112</v>
      </c>
      <c r="B283" s="1">
        <v>0.94852799038514402</v>
      </c>
      <c r="C283" s="1">
        <v>0</v>
      </c>
      <c r="D283" s="1">
        <v>-100</v>
      </c>
    </row>
    <row r="284" spans="1:4" x14ac:dyDescent="0.2">
      <c r="A284" t="s">
        <v>117</v>
      </c>
      <c r="B284" s="1">
        <v>0.58644628533233201</v>
      </c>
      <c r="C284" s="1">
        <v>0</v>
      </c>
      <c r="D284" s="1">
        <v>-100</v>
      </c>
    </row>
    <row r="285" spans="1:4" x14ac:dyDescent="0.2">
      <c r="A285" t="s">
        <v>124</v>
      </c>
      <c r="B285" s="1">
        <v>2.37273175335132E-2</v>
      </c>
      <c r="C285" s="1">
        <v>0</v>
      </c>
      <c r="D285" s="1">
        <v>-100</v>
      </c>
    </row>
    <row r="286" spans="1:4" x14ac:dyDescent="0.2">
      <c r="A286" t="s">
        <v>125</v>
      </c>
      <c r="B286" s="1">
        <v>6.7774247540857604E-2</v>
      </c>
      <c r="C286" s="1">
        <v>0</v>
      </c>
      <c r="D286" s="1">
        <v>-100</v>
      </c>
    </row>
    <row r="287" spans="1:4" x14ac:dyDescent="0.2">
      <c r="A287" t="s">
        <v>127</v>
      </c>
      <c r="B287" s="1">
        <v>2.27860873058816E-6</v>
      </c>
      <c r="C287" s="1">
        <v>0</v>
      </c>
      <c r="D287" s="1">
        <v>-100</v>
      </c>
    </row>
    <row r="288" spans="1:4" x14ac:dyDescent="0.2">
      <c r="A288" t="s">
        <v>138</v>
      </c>
      <c r="B288" s="1">
        <v>2.27860873058816E-6</v>
      </c>
      <c r="C288" s="1">
        <v>0</v>
      </c>
      <c r="D288" s="1">
        <v>-100</v>
      </c>
    </row>
    <row r="289" spans="1:4" x14ac:dyDescent="0.2">
      <c r="A289" t="s">
        <v>158</v>
      </c>
      <c r="B289" s="1">
        <v>0.20235929999999999</v>
      </c>
      <c r="C289" s="1">
        <v>0</v>
      </c>
      <c r="D289" s="1">
        <v>-100</v>
      </c>
    </row>
    <row r="290" spans="1:4" x14ac:dyDescent="0.2">
      <c r="A290" t="s">
        <v>177</v>
      </c>
      <c r="B290" s="1">
        <v>0.58644628533233201</v>
      </c>
      <c r="C290" s="1">
        <v>0</v>
      </c>
      <c r="D290" s="1">
        <v>-100</v>
      </c>
    </row>
    <row r="291" spans="1:4" x14ac:dyDescent="0.2">
      <c r="A291" t="s">
        <v>179</v>
      </c>
      <c r="B291" s="1">
        <v>0.12055511099277801</v>
      </c>
      <c r="C291" s="1">
        <v>0</v>
      </c>
      <c r="D291" s="1">
        <v>-100</v>
      </c>
    </row>
    <row r="292" spans="1:4" x14ac:dyDescent="0.2">
      <c r="A292" t="s">
        <v>180</v>
      </c>
      <c r="B292" s="1">
        <v>0.12055511099277801</v>
      </c>
      <c r="C292" s="1">
        <v>0</v>
      </c>
      <c r="D292" s="1">
        <v>-100</v>
      </c>
    </row>
    <row r="293" spans="1:4" x14ac:dyDescent="0.2">
      <c r="A293" t="s">
        <v>182</v>
      </c>
      <c r="B293" s="1">
        <v>0.12055511099277801</v>
      </c>
      <c r="C293" s="1">
        <v>0</v>
      </c>
      <c r="D293" s="1">
        <v>-100</v>
      </c>
    </row>
    <row r="294" spans="1:4" x14ac:dyDescent="0.2">
      <c r="A294" t="s">
        <v>185</v>
      </c>
      <c r="B294" s="1">
        <v>4.9922623893467197E-3</v>
      </c>
      <c r="C294" s="1">
        <v>0</v>
      </c>
      <c r="D294" s="1">
        <v>-100</v>
      </c>
    </row>
    <row r="295" spans="1:4" x14ac:dyDescent="0.2">
      <c r="A295" t="s">
        <v>195</v>
      </c>
      <c r="B295" s="1">
        <v>0.12055511099277801</v>
      </c>
      <c r="C295" s="1">
        <v>0</v>
      </c>
      <c r="D295" s="1">
        <v>-100</v>
      </c>
    </row>
    <row r="296" spans="1:4" x14ac:dyDescent="0.2">
      <c r="A296" t="s">
        <v>196</v>
      </c>
      <c r="B296" s="1">
        <v>4.9922623893467197E-3</v>
      </c>
      <c r="C296" s="1">
        <v>0</v>
      </c>
      <c r="D296" s="1">
        <v>-100</v>
      </c>
    </row>
    <row r="297" spans="1:4" x14ac:dyDescent="0.2">
      <c r="A297" t="s">
        <v>221</v>
      </c>
      <c r="B297" s="1">
        <v>6.7771968932127002E-2</v>
      </c>
      <c r="C297" s="1">
        <v>0</v>
      </c>
      <c r="D297" s="1">
        <v>-100</v>
      </c>
    </row>
    <row r="298" spans="1:4" x14ac:dyDescent="0.2">
      <c r="A298" t="s">
        <v>225</v>
      </c>
      <c r="B298" s="1">
        <v>6.7774247540857604E-2</v>
      </c>
      <c r="C298" s="1">
        <v>0</v>
      </c>
      <c r="D298" s="1">
        <v>-100</v>
      </c>
    </row>
    <row r="299" spans="1:4" x14ac:dyDescent="0.2">
      <c r="A299" t="s">
        <v>287</v>
      </c>
      <c r="B299" s="1">
        <v>-9.3385628840980606E-8</v>
      </c>
      <c r="C299" s="1">
        <v>0</v>
      </c>
      <c r="D299" s="1">
        <v>-100</v>
      </c>
    </row>
    <row r="300" spans="1:4" x14ac:dyDescent="0.2">
      <c r="A300" t="s">
        <v>298</v>
      </c>
      <c r="B300" s="1">
        <v>0.58644628533233201</v>
      </c>
      <c r="C300" s="1">
        <v>0</v>
      </c>
      <c r="D300" s="1">
        <v>-100</v>
      </c>
    </row>
    <row r="301" spans="1:4" x14ac:dyDescent="0.2">
      <c r="A301" t="s">
        <v>308</v>
      </c>
      <c r="B301" s="1">
        <v>5.56222284370732E-2</v>
      </c>
      <c r="C301" s="1">
        <v>0</v>
      </c>
      <c r="D301" s="1">
        <v>-100</v>
      </c>
    </row>
    <row r="302" spans="1:4" x14ac:dyDescent="0.2">
      <c r="A302" t="s">
        <v>40</v>
      </c>
      <c r="B302" s="1">
        <v>0.42953749246275502</v>
      </c>
      <c r="C302" s="1">
        <v>-0.16482680559431201</v>
      </c>
      <c r="D302" s="1">
        <v>-138</v>
      </c>
    </row>
    <row r="303" spans="1:4" x14ac:dyDescent="0.2">
      <c r="A303" t="s">
        <v>306</v>
      </c>
      <c r="B303" s="1">
        <v>0.246364583469524</v>
      </c>
      <c r="C303" s="1">
        <v>-0.25913109552019398</v>
      </c>
      <c r="D303" s="1">
        <v>-205</v>
      </c>
    </row>
    <row r="304" spans="1:4" x14ac:dyDescent="0.2">
      <c r="A304" t="s">
        <v>148</v>
      </c>
      <c r="B304" s="1">
        <v>98.919888202507096</v>
      </c>
      <c r="C304" s="1">
        <v>-113.041669924036</v>
      </c>
      <c r="D304" s="1">
        <v>-214</v>
      </c>
    </row>
    <row r="305" spans="1:4" x14ac:dyDescent="0.2">
      <c r="A305" t="s">
        <v>16</v>
      </c>
      <c r="B305" s="1">
        <v>9.1321420897516603E-8</v>
      </c>
      <c r="C305" s="1">
        <v>-1.08972968662239</v>
      </c>
      <c r="D305" s="1">
        <v>-1190000000</v>
      </c>
    </row>
    <row r="306" spans="1:4" x14ac:dyDescent="0.2">
      <c r="A306" t="s">
        <v>242</v>
      </c>
      <c r="B306" s="1">
        <v>-9.1321420897516603E-8</v>
      </c>
      <c r="C306" s="1">
        <v>1.08972968662239</v>
      </c>
      <c r="D306" s="1">
        <v>-1190000000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A84A3-F0AE-3E4D-8896-0F45B2640028}">
  <dimension ref="A1:M117"/>
  <sheetViews>
    <sheetView tabSelected="1" topLeftCell="A13" zoomScale="75" zoomScaleNormal="50" workbookViewId="0">
      <selection activeCell="B24" sqref="B24:C24"/>
    </sheetView>
  </sheetViews>
  <sheetFormatPr baseColWidth="10" defaultRowHeight="15" x14ac:dyDescent="0.2"/>
  <cols>
    <col min="1" max="1" width="22.83203125" bestFit="1" customWidth="1"/>
  </cols>
  <sheetData>
    <row r="1" spans="1:8" ht="16" thickBot="1" x14ac:dyDescent="0.25"/>
    <row r="2" spans="1:8" ht="17" thickBot="1" x14ac:dyDescent="0.25">
      <c r="A2" s="2"/>
      <c r="B2" s="3" t="s">
        <v>309</v>
      </c>
      <c r="C2" s="3" t="s">
        <v>309</v>
      </c>
      <c r="D2" s="3" t="s">
        <v>310</v>
      </c>
      <c r="E2" s="3" t="s">
        <v>310</v>
      </c>
    </row>
    <row r="3" spans="1:8" ht="17" thickBot="1" x14ac:dyDescent="0.25">
      <c r="A3" s="4" t="s">
        <v>311</v>
      </c>
      <c r="B3" s="5" t="s">
        <v>312</v>
      </c>
      <c r="C3" s="5" t="s">
        <v>313</v>
      </c>
      <c r="D3" s="5" t="s">
        <v>312</v>
      </c>
      <c r="E3" s="5" t="s">
        <v>313</v>
      </c>
    </row>
    <row r="4" spans="1:8" ht="16" x14ac:dyDescent="0.2">
      <c r="A4" s="6" t="s">
        <v>314</v>
      </c>
      <c r="B4" s="7">
        <v>0.56899999999999995</v>
      </c>
      <c r="C4" s="8">
        <v>0.56699999999999995</v>
      </c>
      <c r="D4" s="7">
        <v>0.56999999999999995</v>
      </c>
      <c r="E4" s="7">
        <v>0.33</v>
      </c>
      <c r="F4" s="12"/>
      <c r="G4" s="12"/>
      <c r="H4" s="12"/>
    </row>
    <row r="5" spans="1:8" ht="16" x14ac:dyDescent="0.2">
      <c r="A5" s="6" t="s">
        <v>315</v>
      </c>
      <c r="B5" s="7">
        <v>0.35599999999999998</v>
      </c>
      <c r="C5" s="8">
        <v>0.35</v>
      </c>
      <c r="D5" s="7">
        <v>0.35599999999999998</v>
      </c>
      <c r="E5" s="7">
        <v>0.193</v>
      </c>
      <c r="F5" s="12"/>
      <c r="G5" s="12"/>
      <c r="H5" s="12"/>
    </row>
    <row r="6" spans="1:8" ht="16" x14ac:dyDescent="0.2">
      <c r="A6" s="6" t="s">
        <v>316</v>
      </c>
      <c r="B6" s="7">
        <v>0.78700000000000003</v>
      </c>
      <c r="C6" s="8">
        <v>0.77800000000000002</v>
      </c>
      <c r="D6" s="7">
        <v>0.76</v>
      </c>
      <c r="E6" s="7">
        <v>0.18099999999999999</v>
      </c>
      <c r="F6" s="12"/>
      <c r="G6" s="12"/>
      <c r="H6" s="12"/>
    </row>
    <row r="7" spans="1:8" ht="16" x14ac:dyDescent="0.2">
      <c r="A7" s="6" t="s">
        <v>317</v>
      </c>
      <c r="B7" s="7">
        <v>0.53200000000000003</v>
      </c>
      <c r="C7" s="8">
        <v>0.52100000000000002</v>
      </c>
      <c r="D7" s="7">
        <v>0.52200000000000002</v>
      </c>
      <c r="E7" s="7">
        <v>0.185</v>
      </c>
      <c r="F7" s="12"/>
      <c r="G7" s="12"/>
      <c r="H7" s="12"/>
    </row>
    <row r="8" spans="1:8" ht="16" x14ac:dyDescent="0.2">
      <c r="A8" s="6" t="s">
        <v>318</v>
      </c>
      <c r="B8" s="7">
        <v>0.28000000000000003</v>
      </c>
      <c r="C8" s="8">
        <v>0.27700000000000002</v>
      </c>
      <c r="D8" s="7">
        <v>0.28000000000000003</v>
      </c>
      <c r="E8" s="7">
        <v>0.125</v>
      </c>
      <c r="F8" s="12"/>
      <c r="G8" s="12"/>
      <c r="H8" s="12"/>
    </row>
    <row r="9" spans="1:8" ht="16" x14ac:dyDescent="0.2">
      <c r="A9" s="6" t="s">
        <v>319</v>
      </c>
      <c r="B9" s="7">
        <v>0.502</v>
      </c>
      <c r="C9" s="8">
        <v>0.501</v>
      </c>
      <c r="D9" s="7">
        <v>0.48799999999999999</v>
      </c>
      <c r="E9" s="7">
        <v>0.48699999999999999</v>
      </c>
      <c r="F9" s="12"/>
      <c r="G9" s="12"/>
      <c r="H9" s="12"/>
    </row>
    <row r="10" spans="1:8" ht="16" x14ac:dyDescent="0.2">
      <c r="A10" s="6" t="s">
        <v>320</v>
      </c>
      <c r="B10" s="7">
        <v>0.35</v>
      </c>
      <c r="C10" s="8">
        <v>0.34799999999999998</v>
      </c>
      <c r="D10" s="7">
        <v>0.34899999999999998</v>
      </c>
      <c r="E10" s="7">
        <v>0.27400000000000002</v>
      </c>
      <c r="F10" s="12"/>
      <c r="G10" s="12"/>
      <c r="H10" s="12"/>
    </row>
    <row r="11" spans="1:8" ht="16" x14ac:dyDescent="0.2">
      <c r="A11" s="6" t="s">
        <v>321</v>
      </c>
      <c r="B11" s="7">
        <v>0.90700000000000003</v>
      </c>
      <c r="C11" s="8">
        <v>0.9</v>
      </c>
      <c r="D11" s="7">
        <v>0.76700000000000002</v>
      </c>
      <c r="E11" s="7">
        <v>0.30599999999999999</v>
      </c>
      <c r="F11" s="12"/>
      <c r="G11" s="12"/>
      <c r="H11" s="12"/>
    </row>
    <row r="12" spans="1:8" ht="16" x14ac:dyDescent="0.2">
      <c r="A12" s="6" t="s">
        <v>322</v>
      </c>
      <c r="B12" s="7">
        <v>0.48799999999999999</v>
      </c>
      <c r="C12" s="8">
        <v>0.47899999999999998</v>
      </c>
      <c r="D12" s="7">
        <v>0.48599999999999999</v>
      </c>
      <c r="E12" s="7">
        <v>0.21199999999999999</v>
      </c>
      <c r="F12" s="12"/>
      <c r="G12" s="12"/>
      <c r="H12" s="12"/>
    </row>
    <row r="13" spans="1:8" ht="16" x14ac:dyDescent="0.2">
      <c r="A13" s="6" t="s">
        <v>323</v>
      </c>
      <c r="B13" s="7">
        <v>0.30299999999999999</v>
      </c>
      <c r="C13" s="8">
        <v>0.29899999999999999</v>
      </c>
      <c r="D13" s="7">
        <v>0.29799999999999999</v>
      </c>
      <c r="E13" s="7">
        <v>7.6999999999999999E-2</v>
      </c>
      <c r="F13" s="12"/>
      <c r="G13" s="12"/>
      <c r="H13" s="12"/>
    </row>
    <row r="14" spans="1:8" ht="16" x14ac:dyDescent="0.2">
      <c r="A14" s="6" t="s">
        <v>324</v>
      </c>
      <c r="B14" s="7">
        <v>0.38500000000000001</v>
      </c>
      <c r="C14" s="7">
        <v>0.38100000000000001</v>
      </c>
      <c r="D14" s="7">
        <v>0.39</v>
      </c>
      <c r="E14" s="8">
        <v>0.38500000000000001</v>
      </c>
      <c r="F14" s="12"/>
      <c r="G14" s="12"/>
      <c r="H14" s="12"/>
    </row>
    <row r="15" spans="1:8" ht="16" x14ac:dyDescent="0.2">
      <c r="A15" s="6" t="s">
        <v>325</v>
      </c>
      <c r="B15" s="7">
        <v>0.89500000000000002</v>
      </c>
      <c r="C15" s="8">
        <v>0.89400000000000002</v>
      </c>
      <c r="D15" s="7">
        <v>0.90700000000000003</v>
      </c>
      <c r="E15" s="7">
        <v>0.79200000000000004</v>
      </c>
      <c r="F15" s="12"/>
      <c r="G15" s="12"/>
      <c r="H15" s="12"/>
    </row>
    <row r="16" spans="1:8" ht="16" x14ac:dyDescent="0.2">
      <c r="A16" s="6" t="s">
        <v>326</v>
      </c>
      <c r="B16" s="7">
        <v>0.61599999999999999</v>
      </c>
      <c r="C16" s="8">
        <v>0.61199999999999999</v>
      </c>
      <c r="D16" s="7">
        <v>0.61399999999999999</v>
      </c>
      <c r="E16" s="7">
        <v>0.28299999999999997</v>
      </c>
      <c r="F16" s="12"/>
      <c r="G16" s="12"/>
      <c r="H16" s="12"/>
    </row>
    <row r="17" spans="1:13" ht="16" x14ac:dyDescent="0.2">
      <c r="A17" s="6" t="s">
        <v>327</v>
      </c>
      <c r="B17" s="7">
        <v>0.47</v>
      </c>
      <c r="C17" s="8">
        <v>0.46100000000000002</v>
      </c>
      <c r="D17" s="7">
        <v>0.45400000000000001</v>
      </c>
      <c r="E17" s="7">
        <v>0.123</v>
      </c>
      <c r="F17" s="12"/>
      <c r="G17" s="12"/>
      <c r="H17" s="12"/>
    </row>
    <row r="18" spans="1:13" ht="16" x14ac:dyDescent="0.2">
      <c r="A18" s="6" t="s">
        <v>328</v>
      </c>
      <c r="B18" s="7">
        <v>0.64300000000000002</v>
      </c>
      <c r="C18" s="8">
        <v>0.63600000000000001</v>
      </c>
      <c r="D18" s="7">
        <v>0.54100000000000004</v>
      </c>
      <c r="E18" s="7">
        <v>0.20699999999999999</v>
      </c>
      <c r="F18" s="12"/>
      <c r="G18" s="12"/>
      <c r="H18" s="12"/>
    </row>
    <row r="19" spans="1:13" ht="16" x14ac:dyDescent="0.2">
      <c r="A19" s="6" t="s">
        <v>329</v>
      </c>
      <c r="B19" s="7">
        <v>0.373</v>
      </c>
      <c r="C19" s="8">
        <v>0.33700000000000002</v>
      </c>
      <c r="D19" s="7">
        <v>0.34799999999999998</v>
      </c>
      <c r="E19" s="7">
        <v>6.8000000000000005E-2</v>
      </c>
      <c r="F19" s="12"/>
      <c r="G19" s="12"/>
      <c r="H19" s="12"/>
    </row>
    <row r="20" spans="1:13" ht="16" x14ac:dyDescent="0.2">
      <c r="A20" s="6" t="s">
        <v>330</v>
      </c>
      <c r="B20" s="7">
        <v>0.39400000000000002</v>
      </c>
      <c r="C20" s="8">
        <v>0.38700000000000001</v>
      </c>
      <c r="D20" s="7">
        <v>0.38100000000000001</v>
      </c>
      <c r="E20" s="7">
        <v>0.10299999999999999</v>
      </c>
      <c r="F20" s="12"/>
      <c r="G20" s="12"/>
      <c r="H20" s="12"/>
    </row>
    <row r="21" spans="1:13" ht="16" x14ac:dyDescent="0.2">
      <c r="A21" s="6" t="s">
        <v>331</v>
      </c>
      <c r="B21" s="7">
        <v>0.313</v>
      </c>
      <c r="C21" s="8">
        <v>0.309</v>
      </c>
      <c r="D21" s="7">
        <v>0.30599999999999999</v>
      </c>
      <c r="E21" s="7">
        <v>0.13700000000000001</v>
      </c>
      <c r="F21" s="12"/>
      <c r="G21" s="12"/>
      <c r="H21" s="12"/>
    </row>
    <row r="22" spans="1:13" ht="16" x14ac:dyDescent="0.2">
      <c r="A22" s="6" t="s">
        <v>337</v>
      </c>
      <c r="B22" s="7">
        <v>0.71399999999999997</v>
      </c>
      <c r="C22" s="8">
        <v>0.70599999999999996</v>
      </c>
      <c r="D22" s="7">
        <v>0.71199999999999997</v>
      </c>
      <c r="E22" s="7">
        <v>0.33400000000000002</v>
      </c>
      <c r="F22" s="12"/>
      <c r="G22" s="12"/>
      <c r="H22" s="12"/>
    </row>
    <row r="23" spans="1:13" ht="17" thickBot="1" x14ac:dyDescent="0.25">
      <c r="A23" s="4" t="s">
        <v>332</v>
      </c>
      <c r="B23" s="9">
        <v>0.30099999999999999</v>
      </c>
      <c r="C23" s="10">
        <v>0.29599999999999999</v>
      </c>
      <c r="D23" s="9">
        <v>0.29599999999999999</v>
      </c>
      <c r="E23" s="9">
        <v>0.13100000000000001</v>
      </c>
      <c r="F23" s="12"/>
      <c r="G23" s="12"/>
      <c r="H23" s="12"/>
    </row>
    <row r="24" spans="1:13" ht="16" x14ac:dyDescent="0.2">
      <c r="A24" s="14" t="s">
        <v>341</v>
      </c>
      <c r="B24" s="15">
        <v>0.55489133221697595</v>
      </c>
      <c r="C24" s="16">
        <v>0.30949975436445898</v>
      </c>
      <c r="D24" s="15"/>
      <c r="E24" s="15"/>
      <c r="F24" s="12"/>
      <c r="G24" s="12"/>
      <c r="H24" s="12"/>
    </row>
    <row r="25" spans="1:13" ht="17" thickBot="1" x14ac:dyDescent="0.25">
      <c r="A25" s="6" t="s">
        <v>340</v>
      </c>
      <c r="B25" s="13">
        <v>0.255</v>
      </c>
      <c r="C25" s="13">
        <v>0.255</v>
      </c>
      <c r="D25" s="13">
        <v>0.27200000000000002</v>
      </c>
      <c r="E25" s="13">
        <v>0.123</v>
      </c>
      <c r="F25" s="12"/>
      <c r="G25" s="12"/>
      <c r="H25" s="12"/>
    </row>
    <row r="26" spans="1:13" x14ac:dyDescent="0.2">
      <c r="I26" t="s">
        <v>339</v>
      </c>
    </row>
    <row r="27" spans="1:13" x14ac:dyDescent="0.2">
      <c r="C27" t="s">
        <v>334</v>
      </c>
      <c r="D27" t="s">
        <v>333</v>
      </c>
      <c r="E27" t="s">
        <v>335</v>
      </c>
      <c r="F27" t="s">
        <v>336</v>
      </c>
      <c r="J27" t="str" cm="1">
        <f t="array" ref="J27:M27">C27:F27</f>
        <v>RT RBA</v>
      </c>
      <c r="K27" t="str">
        <v>RT FBA</v>
      </c>
      <c r="L27" t="str">
        <v>SC RBA</v>
      </c>
      <c r="M27" t="str">
        <v>SC FBA</v>
      </c>
    </row>
    <row r="28" spans="1:13" x14ac:dyDescent="0.2">
      <c r="A28" s="11" t="str" cm="1">
        <f t="array" ref="A28:A115">_xlfn.LET(_xlpm.r,_xlfn.TOCOL(_xlfn.HSTACK(A4:A25,F4:H25)),IF(LEN(_xlpm.r)&lt;2,"",_xlpm.r))</f>
        <v>1,3-Propanediol</v>
      </c>
      <c r="H28" t="str" cm="1">
        <f t="array" ref="H28:H93">_xlfn.LET(_xlpm.r,_xlfn.TOCOL(_xlfn.HSTACK(A4:A25,F4:G25)),IF(LEN(_xlpm.r)&lt;2,"",_xlpm.r))</f>
        <v>1,3-Propanediol</v>
      </c>
    </row>
    <row r="29" spans="1:13" x14ac:dyDescent="0.2">
      <c r="A29" s="11" t="str">
        <v/>
      </c>
      <c r="B29" t="s">
        <v>309</v>
      </c>
      <c r="C29" cm="1">
        <f t="array" ref="C29:C116">_xlfn.TOCOL(_xlfn.HSTACK(C4:C25,F4:H25))</f>
        <v>0.56699999999999995</v>
      </c>
      <c r="D29" cm="1">
        <f t="array" ref="D29:D116">_xlfn.TOCOL(_xlfn.HSTACK(B4:B25-C4:C25,F4:H25))</f>
        <v>2.0000000000000018E-3</v>
      </c>
      <c r="H29" t="str">
        <v/>
      </c>
      <c r="I29" t="s">
        <v>309</v>
      </c>
      <c r="J29" cm="1">
        <f t="array" ref="J29:J94">_xlfn.TOCOL(_xlfn.HSTACK(C4:C25,F4:G25))</f>
        <v>0.56699999999999995</v>
      </c>
      <c r="K29" cm="1">
        <f t="array" ref="K29:K94">_xlfn.TOCOL(_xlfn.HSTACK(B4:B25-C4:C25,F4:G25))</f>
        <v>2.0000000000000018E-3</v>
      </c>
    </row>
    <row r="30" spans="1:13" x14ac:dyDescent="0.2">
      <c r="A30" s="11" t="str">
        <v/>
      </c>
      <c r="B30" t="s">
        <v>310</v>
      </c>
      <c r="C30">
        <v>0</v>
      </c>
      <c r="D30">
        <v>0</v>
      </c>
      <c r="E30" cm="1">
        <f t="array" ref="E30:E117">_xlfn.TOCOL(_xlfn.HSTACK(E4:E25,F4:H25))</f>
        <v>0.33</v>
      </c>
      <c r="F30" cm="1">
        <f t="array" ref="F30:F117">_xlfn.TOCOL(_xlfn.HSTACK(D4:D25-E4:E25,F4:H25))</f>
        <v>0.23999999999999994</v>
      </c>
      <c r="H30" t="str">
        <v/>
      </c>
      <c r="I30" t="s">
        <v>310</v>
      </c>
      <c r="J30">
        <v>0</v>
      </c>
      <c r="K30">
        <v>0</v>
      </c>
      <c r="L30" cm="1">
        <f t="array" ref="L30:L95">_xlfn.TOCOL(_xlfn.HSTACK(E4:E25,F4:G25))</f>
        <v>0.33</v>
      </c>
      <c r="M30" cm="1">
        <f t="array" ref="M30:M95">_xlfn.TOCOL(_xlfn.HSTACK(D4:D25-E4:E25,F4:G25))</f>
        <v>0.23999999999999994</v>
      </c>
    </row>
    <row r="31" spans="1:13" x14ac:dyDescent="0.2">
      <c r="A31" s="11" t="str">
        <v/>
      </c>
      <c r="B31" t="s">
        <v>338</v>
      </c>
      <c r="C31">
        <v>0</v>
      </c>
      <c r="D31">
        <v>0</v>
      </c>
      <c r="E31">
        <v>0</v>
      </c>
      <c r="F31">
        <v>0</v>
      </c>
      <c r="H31" t="str">
        <v>2-Phenylethanol</v>
      </c>
      <c r="I31" t="str" cm="1">
        <f t="array" ref="I31:I93">_xlfn.LET(_xlpm.c,_xlfn.TOCOL(IF(_xlfn.SEQUENCE(ROWS(A4:A25)-1),_xlfn.TOROW(B28:B30))),IF(LEN(_xlpm.c)&lt;2,"",_xlpm.c))</f>
        <v/>
      </c>
      <c r="J31">
        <v>0</v>
      </c>
      <c r="K31">
        <v>0</v>
      </c>
      <c r="L31">
        <v>0</v>
      </c>
      <c r="M31">
        <v>0</v>
      </c>
    </row>
    <row r="32" spans="1:13" x14ac:dyDescent="0.2">
      <c r="A32" s="11" t="str">
        <v>2-Phenylethanol</v>
      </c>
      <c r="B32" t="str" cm="1">
        <f t="array" ref="B32:B115">_xlfn.LET(_xlpm.c,_xlfn.TOCOL(IF(_xlfn.SEQUENCE(ROWS(A4:A25)-1),_xlfn.TOROW(B28:B31))),IF(LEN(_xlpm.c)&lt;2,"",_xlpm.c))</f>
        <v/>
      </c>
      <c r="C32">
        <v>0</v>
      </c>
      <c r="D32">
        <v>0</v>
      </c>
      <c r="E32">
        <v>0</v>
      </c>
      <c r="F32">
        <v>0</v>
      </c>
      <c r="H32" t="str">
        <v/>
      </c>
      <c r="I32" t="str">
        <v>RT</v>
      </c>
      <c r="J32">
        <v>0.35</v>
      </c>
      <c r="K32">
        <v>6.0000000000000053E-3</v>
      </c>
      <c r="L32">
        <v>0</v>
      </c>
      <c r="M32">
        <v>0</v>
      </c>
    </row>
    <row r="33" spans="1:13" x14ac:dyDescent="0.2">
      <c r="A33" s="11" t="str">
        <v/>
      </c>
      <c r="B33" t="str">
        <v>RT</v>
      </c>
      <c r="C33">
        <v>0.35</v>
      </c>
      <c r="D33">
        <v>6.0000000000000053E-3</v>
      </c>
      <c r="E33">
        <v>0</v>
      </c>
      <c r="F33">
        <v>0</v>
      </c>
      <c r="H33" t="str">
        <v/>
      </c>
      <c r="I33" t="str">
        <v>SC</v>
      </c>
      <c r="J33">
        <v>0</v>
      </c>
      <c r="K33">
        <v>0</v>
      </c>
      <c r="L33">
        <v>0.193</v>
      </c>
      <c r="M33">
        <v>0.16299999999999998</v>
      </c>
    </row>
    <row r="34" spans="1:13" x14ac:dyDescent="0.2">
      <c r="A34" s="11" t="str">
        <v/>
      </c>
      <c r="B34" t="str">
        <v>SC</v>
      </c>
      <c r="C34">
        <v>0</v>
      </c>
      <c r="D34">
        <v>0</v>
      </c>
      <c r="E34">
        <v>0.193</v>
      </c>
      <c r="F34">
        <v>0.16299999999999998</v>
      </c>
      <c r="H34" t="str">
        <v>3-Hydroxypropionic acid</v>
      </c>
      <c r="I34" t="str">
        <v/>
      </c>
      <c r="J34">
        <v>0</v>
      </c>
      <c r="K34">
        <v>0</v>
      </c>
      <c r="L34">
        <v>0</v>
      </c>
      <c r="M34">
        <v>0</v>
      </c>
    </row>
    <row r="35" spans="1:13" x14ac:dyDescent="0.2">
      <c r="A35" s="11" t="str">
        <v/>
      </c>
      <c r="B35" t="str">
        <v/>
      </c>
      <c r="C35">
        <v>0</v>
      </c>
      <c r="D35">
        <v>0</v>
      </c>
      <c r="E35">
        <v>0</v>
      </c>
      <c r="F35">
        <v>0</v>
      </c>
      <c r="H35" t="str">
        <v/>
      </c>
      <c r="I35" t="str">
        <v>RT</v>
      </c>
      <c r="J35">
        <v>0.77800000000000002</v>
      </c>
      <c r="K35">
        <v>9.000000000000008E-3</v>
      </c>
      <c r="L35">
        <v>0</v>
      </c>
      <c r="M35">
        <v>0</v>
      </c>
    </row>
    <row r="36" spans="1:13" x14ac:dyDescent="0.2">
      <c r="A36" s="11" t="str">
        <v>3-Hydroxypropionic acid</v>
      </c>
      <c r="B36" t="str">
        <v/>
      </c>
      <c r="C36">
        <v>0</v>
      </c>
      <c r="D36">
        <v>0</v>
      </c>
      <c r="E36">
        <v>0</v>
      </c>
      <c r="F36">
        <v>0</v>
      </c>
      <c r="H36" t="str">
        <v/>
      </c>
      <c r="I36" t="str">
        <v>SC</v>
      </c>
      <c r="J36">
        <v>0</v>
      </c>
      <c r="K36">
        <v>0</v>
      </c>
      <c r="L36">
        <v>0.18099999999999999</v>
      </c>
      <c r="M36">
        <v>0.57899999999999996</v>
      </c>
    </row>
    <row r="37" spans="1:13" x14ac:dyDescent="0.2">
      <c r="A37" s="11" t="str">
        <v/>
      </c>
      <c r="B37" t="str">
        <v>RT</v>
      </c>
      <c r="C37">
        <v>0.77800000000000002</v>
      </c>
      <c r="D37">
        <v>9.000000000000008E-3</v>
      </c>
      <c r="E37">
        <v>0</v>
      </c>
      <c r="F37">
        <v>0</v>
      </c>
      <c r="H37" t="str">
        <v>p-Hydroxybenzoate</v>
      </c>
      <c r="I37" t="str">
        <v/>
      </c>
      <c r="J37">
        <v>0</v>
      </c>
      <c r="K37">
        <v>0</v>
      </c>
      <c r="L37">
        <v>0</v>
      </c>
      <c r="M37">
        <v>0</v>
      </c>
    </row>
    <row r="38" spans="1:13" x14ac:dyDescent="0.2">
      <c r="A38" s="11" t="str">
        <v/>
      </c>
      <c r="B38" t="str">
        <v>SC</v>
      </c>
      <c r="C38">
        <v>0</v>
      </c>
      <c r="D38">
        <v>0</v>
      </c>
      <c r="E38">
        <v>0.18099999999999999</v>
      </c>
      <c r="F38">
        <v>0.57899999999999996</v>
      </c>
      <c r="H38" t="str">
        <v/>
      </c>
      <c r="I38" t="str">
        <v>RT</v>
      </c>
      <c r="J38">
        <v>0.52100000000000002</v>
      </c>
      <c r="K38">
        <v>1.100000000000001E-2</v>
      </c>
      <c r="L38">
        <v>0</v>
      </c>
      <c r="M38">
        <v>0</v>
      </c>
    </row>
    <row r="39" spans="1:13" x14ac:dyDescent="0.2">
      <c r="A39" s="11" t="str">
        <v/>
      </c>
      <c r="B39" t="str">
        <v/>
      </c>
      <c r="C39">
        <v>0</v>
      </c>
      <c r="D39">
        <v>0</v>
      </c>
      <c r="E39">
        <v>0</v>
      </c>
      <c r="F39">
        <v>0</v>
      </c>
      <c r="H39" t="str">
        <v/>
      </c>
      <c r="I39" t="str">
        <v>SC</v>
      </c>
      <c r="J39">
        <v>0</v>
      </c>
      <c r="K39">
        <v>0</v>
      </c>
      <c r="L39">
        <v>0.185</v>
      </c>
      <c r="M39">
        <v>0.33700000000000002</v>
      </c>
    </row>
    <row r="40" spans="1:13" x14ac:dyDescent="0.2">
      <c r="A40" s="11" t="str">
        <v>p-Hydroxybenzoate</v>
      </c>
      <c r="B40" t="str">
        <v/>
      </c>
      <c r="C40">
        <v>0</v>
      </c>
      <c r="D40">
        <v>0</v>
      </c>
      <c r="E40">
        <v>0</v>
      </c>
      <c r="F40">
        <v>0</v>
      </c>
      <c r="H40" t="str">
        <v>Artemisinic acid</v>
      </c>
      <c r="I40" t="str">
        <v/>
      </c>
      <c r="J40">
        <v>0</v>
      </c>
      <c r="K40">
        <v>0</v>
      </c>
      <c r="L40">
        <v>0</v>
      </c>
      <c r="M40">
        <v>0</v>
      </c>
    </row>
    <row r="41" spans="1:13" x14ac:dyDescent="0.2">
      <c r="A41" s="11" t="str">
        <v/>
      </c>
      <c r="B41" t="str">
        <v>RT</v>
      </c>
      <c r="C41">
        <v>0.52100000000000002</v>
      </c>
      <c r="D41">
        <v>1.100000000000001E-2</v>
      </c>
      <c r="E41">
        <v>0</v>
      </c>
      <c r="F41">
        <v>0</v>
      </c>
      <c r="H41" t="str">
        <v/>
      </c>
      <c r="I41" t="str">
        <v>RT</v>
      </c>
      <c r="J41">
        <v>0.27700000000000002</v>
      </c>
      <c r="K41">
        <v>3.0000000000000027E-3</v>
      </c>
      <c r="L41">
        <v>0</v>
      </c>
      <c r="M41">
        <v>0</v>
      </c>
    </row>
    <row r="42" spans="1:13" x14ac:dyDescent="0.2">
      <c r="A42" s="11" t="str">
        <v/>
      </c>
      <c r="B42" t="str">
        <v>SC</v>
      </c>
      <c r="C42">
        <v>0</v>
      </c>
      <c r="D42">
        <v>0</v>
      </c>
      <c r="E42">
        <v>0.185</v>
      </c>
      <c r="F42">
        <v>0.33700000000000002</v>
      </c>
      <c r="H42" t="str">
        <v/>
      </c>
      <c r="I42" t="str">
        <v>SC</v>
      </c>
      <c r="J42">
        <v>0</v>
      </c>
      <c r="K42">
        <v>0</v>
      </c>
      <c r="L42">
        <v>0.125</v>
      </c>
      <c r="M42">
        <v>0.15500000000000003</v>
      </c>
    </row>
    <row r="43" spans="1:13" x14ac:dyDescent="0.2">
      <c r="A43" s="11" t="str">
        <v/>
      </c>
      <c r="B43" t="str">
        <v/>
      </c>
      <c r="C43">
        <v>0</v>
      </c>
      <c r="D43">
        <v>0</v>
      </c>
      <c r="E43">
        <v>0</v>
      </c>
      <c r="F43">
        <v>0</v>
      </c>
      <c r="H43" t="str">
        <v>(2R,3R)-Butanediol</v>
      </c>
      <c r="I43" t="str">
        <v/>
      </c>
      <c r="J43">
        <v>0</v>
      </c>
      <c r="K43">
        <v>0</v>
      </c>
      <c r="L43">
        <v>0</v>
      </c>
      <c r="M43">
        <v>0</v>
      </c>
    </row>
    <row r="44" spans="1:13" x14ac:dyDescent="0.2">
      <c r="A44" s="11" t="str">
        <v>Artemisinic acid</v>
      </c>
      <c r="B44" t="str">
        <v/>
      </c>
      <c r="C44">
        <v>0</v>
      </c>
      <c r="D44">
        <v>0</v>
      </c>
      <c r="E44">
        <v>0</v>
      </c>
      <c r="F44">
        <v>0</v>
      </c>
      <c r="H44" t="str">
        <v/>
      </c>
      <c r="I44" t="str">
        <v>RT</v>
      </c>
      <c r="J44">
        <v>0.501</v>
      </c>
      <c r="K44">
        <v>1.0000000000000009E-3</v>
      </c>
      <c r="L44">
        <v>0</v>
      </c>
      <c r="M44">
        <v>0</v>
      </c>
    </row>
    <row r="45" spans="1:13" x14ac:dyDescent="0.2">
      <c r="A45" s="11" t="str">
        <v/>
      </c>
      <c r="B45" t="str">
        <v>RT</v>
      </c>
      <c r="C45">
        <v>0.27700000000000002</v>
      </c>
      <c r="D45">
        <v>3.0000000000000027E-3</v>
      </c>
      <c r="E45">
        <v>0</v>
      </c>
      <c r="F45">
        <v>0</v>
      </c>
      <c r="H45" t="str">
        <v/>
      </c>
      <c r="I45" t="str">
        <v>SC</v>
      </c>
      <c r="J45">
        <v>0</v>
      </c>
      <c r="K45">
        <v>0</v>
      </c>
      <c r="L45">
        <v>0.48699999999999999</v>
      </c>
      <c r="M45">
        <v>1.0000000000000009E-3</v>
      </c>
    </row>
    <row r="46" spans="1:13" x14ac:dyDescent="0.2">
      <c r="A46" s="11" t="str">
        <v/>
      </c>
      <c r="B46" t="str">
        <v>SC</v>
      </c>
      <c r="C46">
        <v>0</v>
      </c>
      <c r="D46">
        <v>0</v>
      </c>
      <c r="E46">
        <v>0.125</v>
      </c>
      <c r="F46">
        <v>0.15500000000000003</v>
      </c>
      <c r="H46" t="str">
        <v>n-Butanol</v>
      </c>
      <c r="I46" t="str">
        <v/>
      </c>
      <c r="J46">
        <v>0</v>
      </c>
      <c r="K46">
        <v>0</v>
      </c>
      <c r="L46">
        <v>0</v>
      </c>
      <c r="M46">
        <v>0</v>
      </c>
    </row>
    <row r="47" spans="1:13" x14ac:dyDescent="0.2">
      <c r="A47" s="11" t="str">
        <v/>
      </c>
      <c r="B47" t="str">
        <v/>
      </c>
      <c r="C47">
        <v>0</v>
      </c>
      <c r="D47">
        <v>0</v>
      </c>
      <c r="E47">
        <v>0</v>
      </c>
      <c r="F47">
        <v>0</v>
      </c>
      <c r="H47" t="str">
        <v/>
      </c>
      <c r="I47" t="str">
        <v>RT</v>
      </c>
      <c r="J47">
        <v>0.34799999999999998</v>
      </c>
      <c r="K47">
        <v>2.0000000000000018E-3</v>
      </c>
      <c r="L47">
        <v>0</v>
      </c>
      <c r="M47">
        <v>0</v>
      </c>
    </row>
    <row r="48" spans="1:13" x14ac:dyDescent="0.2">
      <c r="A48" s="11" t="str">
        <v>(2R,3R)-Butanediol</v>
      </c>
      <c r="B48" t="str">
        <v/>
      </c>
      <c r="C48">
        <v>0</v>
      </c>
      <c r="D48">
        <v>0</v>
      </c>
      <c r="E48">
        <v>0</v>
      </c>
      <c r="F48">
        <v>0</v>
      </c>
      <c r="H48" t="str">
        <v/>
      </c>
      <c r="I48" t="str">
        <v>SC</v>
      </c>
      <c r="J48">
        <v>0</v>
      </c>
      <c r="K48">
        <v>0</v>
      </c>
      <c r="L48">
        <v>0.27400000000000002</v>
      </c>
      <c r="M48">
        <v>7.4999999999999956E-2</v>
      </c>
    </row>
    <row r="49" spans="1:13" x14ac:dyDescent="0.2">
      <c r="A49" s="11" t="str">
        <v/>
      </c>
      <c r="B49" t="str">
        <v>RT</v>
      </c>
      <c r="C49">
        <v>0.501</v>
      </c>
      <c r="D49">
        <v>1.0000000000000009E-3</v>
      </c>
      <c r="E49">
        <v>0</v>
      </c>
      <c r="F49">
        <v>0</v>
      </c>
      <c r="H49" t="str">
        <v>Citramalate</v>
      </c>
      <c r="I49" t="str">
        <v/>
      </c>
      <c r="J49">
        <v>0</v>
      </c>
      <c r="K49">
        <v>0</v>
      </c>
      <c r="L49">
        <v>0</v>
      </c>
      <c r="M49">
        <v>0</v>
      </c>
    </row>
    <row r="50" spans="1:13" x14ac:dyDescent="0.2">
      <c r="A50" s="11" t="str">
        <v/>
      </c>
      <c r="B50" t="str">
        <v>SC</v>
      </c>
      <c r="C50">
        <v>0</v>
      </c>
      <c r="D50">
        <v>0</v>
      </c>
      <c r="E50">
        <v>0.48699999999999999</v>
      </c>
      <c r="F50">
        <v>1.0000000000000009E-3</v>
      </c>
      <c r="H50" t="str">
        <v/>
      </c>
      <c r="I50" t="str">
        <v>RT</v>
      </c>
      <c r="J50">
        <v>0.9</v>
      </c>
      <c r="K50">
        <v>7.0000000000000062E-3</v>
      </c>
      <c r="L50">
        <v>0</v>
      </c>
      <c r="M50">
        <v>0</v>
      </c>
    </row>
    <row r="51" spans="1:13" x14ac:dyDescent="0.2">
      <c r="A51" s="11" t="str">
        <v/>
      </c>
      <c r="B51" t="str">
        <v/>
      </c>
      <c r="C51">
        <v>0</v>
      </c>
      <c r="D51">
        <v>0</v>
      </c>
      <c r="E51">
        <v>0</v>
      </c>
      <c r="F51">
        <v>0</v>
      </c>
      <c r="H51" t="str">
        <v/>
      </c>
      <c r="I51" t="str">
        <v>SC</v>
      </c>
      <c r="J51">
        <v>0</v>
      </c>
      <c r="K51">
        <v>0</v>
      </c>
      <c r="L51">
        <v>0.30599999999999999</v>
      </c>
      <c r="M51">
        <v>0.46100000000000002</v>
      </c>
    </row>
    <row r="52" spans="1:13" x14ac:dyDescent="0.2">
      <c r="A52" s="11" t="str">
        <v>n-Butanol</v>
      </c>
      <c r="B52" t="str">
        <v/>
      </c>
      <c r="C52">
        <v>0</v>
      </c>
      <c r="D52">
        <v>0</v>
      </c>
      <c r="E52">
        <v>0</v>
      </c>
      <c r="F52">
        <v>0</v>
      </c>
      <c r="H52" t="str">
        <v>p-Coumaric acid</v>
      </c>
      <c r="I52" t="str">
        <v/>
      </c>
      <c r="J52">
        <v>0</v>
      </c>
      <c r="K52">
        <v>0</v>
      </c>
      <c r="L52">
        <v>0</v>
      </c>
      <c r="M52">
        <v>0</v>
      </c>
    </row>
    <row r="53" spans="1:13" x14ac:dyDescent="0.2">
      <c r="A53" s="11" t="str">
        <v/>
      </c>
      <c r="B53" t="str">
        <v>RT</v>
      </c>
      <c r="C53">
        <v>0.34799999999999998</v>
      </c>
      <c r="D53">
        <v>2.0000000000000018E-3</v>
      </c>
      <c r="E53">
        <v>0</v>
      </c>
      <c r="F53">
        <v>0</v>
      </c>
      <c r="H53" t="str">
        <v/>
      </c>
      <c r="I53" t="str">
        <v>RT</v>
      </c>
      <c r="J53">
        <v>0.47899999999999998</v>
      </c>
      <c r="K53">
        <v>9.000000000000008E-3</v>
      </c>
      <c r="L53">
        <v>0</v>
      </c>
      <c r="M53">
        <v>0</v>
      </c>
    </row>
    <row r="54" spans="1:13" x14ac:dyDescent="0.2">
      <c r="A54" s="11" t="str">
        <v/>
      </c>
      <c r="B54" t="str">
        <v>SC</v>
      </c>
      <c r="C54">
        <v>0</v>
      </c>
      <c r="D54">
        <v>0</v>
      </c>
      <c r="E54">
        <v>0.27400000000000002</v>
      </c>
      <c r="F54">
        <v>7.4999999999999956E-2</v>
      </c>
      <c r="H54" t="str">
        <v/>
      </c>
      <c r="I54" t="str">
        <v>SC</v>
      </c>
      <c r="J54">
        <v>0</v>
      </c>
      <c r="K54">
        <v>0</v>
      </c>
      <c r="L54">
        <v>0.21199999999999999</v>
      </c>
      <c r="M54">
        <v>0.27400000000000002</v>
      </c>
    </row>
    <row r="55" spans="1:13" x14ac:dyDescent="0.2">
      <c r="A55" s="11" t="str">
        <v/>
      </c>
      <c r="B55" t="str">
        <v/>
      </c>
      <c r="C55">
        <v>0</v>
      </c>
      <c r="D55">
        <v>0</v>
      </c>
      <c r="E55">
        <v>0</v>
      </c>
      <c r="F55">
        <v>0</v>
      </c>
      <c r="H55" t="str">
        <v>Hexadecanoic acid</v>
      </c>
      <c r="I55" t="str">
        <v/>
      </c>
      <c r="J55">
        <v>0</v>
      </c>
      <c r="K55">
        <v>0</v>
      </c>
      <c r="L55">
        <v>0</v>
      </c>
      <c r="M55">
        <v>0</v>
      </c>
    </row>
    <row r="56" spans="1:13" x14ac:dyDescent="0.2">
      <c r="A56" s="11" t="str">
        <v>Citramalate</v>
      </c>
      <c r="B56" t="str">
        <v/>
      </c>
      <c r="C56">
        <v>0</v>
      </c>
      <c r="D56">
        <v>0</v>
      </c>
      <c r="E56">
        <v>0</v>
      </c>
      <c r="F56">
        <v>0</v>
      </c>
      <c r="H56" t="str">
        <v/>
      </c>
      <c r="I56" t="str">
        <v>RT</v>
      </c>
      <c r="J56">
        <v>0.29899999999999999</v>
      </c>
      <c r="K56">
        <v>4.0000000000000036E-3</v>
      </c>
      <c r="L56">
        <v>0</v>
      </c>
      <c r="M56">
        <v>0</v>
      </c>
    </row>
    <row r="57" spans="1:13" x14ac:dyDescent="0.2">
      <c r="A57" s="11" t="str">
        <v/>
      </c>
      <c r="B57" t="str">
        <v>RT</v>
      </c>
      <c r="C57">
        <v>0.9</v>
      </c>
      <c r="D57">
        <v>7.0000000000000062E-3</v>
      </c>
      <c r="E57">
        <v>0</v>
      </c>
      <c r="F57">
        <v>0</v>
      </c>
      <c r="H57" t="str">
        <v/>
      </c>
      <c r="I57" t="str">
        <v>SC</v>
      </c>
      <c r="J57">
        <v>0</v>
      </c>
      <c r="K57">
        <v>0</v>
      </c>
      <c r="L57">
        <v>7.6999999999999999E-2</v>
      </c>
      <c r="M57">
        <v>0.22099999999999997</v>
      </c>
    </row>
    <row r="58" spans="1:13" x14ac:dyDescent="0.2">
      <c r="A58" s="11" t="str">
        <v/>
      </c>
      <c r="B58" t="str">
        <v>SC</v>
      </c>
      <c r="C58">
        <v>0</v>
      </c>
      <c r="D58">
        <v>0</v>
      </c>
      <c r="E58">
        <v>0.30599999999999999</v>
      </c>
      <c r="F58">
        <v>0.46100000000000002</v>
      </c>
      <c r="H58" t="str">
        <v>Isobutanol</v>
      </c>
      <c r="I58" t="str">
        <v/>
      </c>
      <c r="J58">
        <v>0</v>
      </c>
      <c r="K58">
        <v>0</v>
      </c>
      <c r="L58">
        <v>0</v>
      </c>
      <c r="M58">
        <v>0</v>
      </c>
    </row>
    <row r="59" spans="1:13" x14ac:dyDescent="0.2">
      <c r="A59" s="11" t="str">
        <v/>
      </c>
      <c r="B59" t="str">
        <v/>
      </c>
      <c r="C59">
        <v>0</v>
      </c>
      <c r="D59">
        <v>0</v>
      </c>
      <c r="E59">
        <v>0</v>
      </c>
      <c r="F59">
        <v>0</v>
      </c>
      <c r="H59" t="str">
        <v/>
      </c>
      <c r="I59" t="str">
        <v>RT</v>
      </c>
      <c r="J59">
        <v>0.38100000000000001</v>
      </c>
      <c r="K59">
        <v>4.0000000000000036E-3</v>
      </c>
      <c r="L59">
        <v>0</v>
      </c>
      <c r="M59">
        <v>0</v>
      </c>
    </row>
    <row r="60" spans="1:13" x14ac:dyDescent="0.2">
      <c r="A60" s="11" t="str">
        <v>p-Coumaric acid</v>
      </c>
      <c r="B60" t="str">
        <v/>
      </c>
      <c r="C60">
        <v>0</v>
      </c>
      <c r="D60">
        <v>0</v>
      </c>
      <c r="E60">
        <v>0</v>
      </c>
      <c r="F60">
        <v>0</v>
      </c>
      <c r="H60" t="str">
        <v/>
      </c>
      <c r="I60" t="str">
        <v>SC</v>
      </c>
      <c r="J60">
        <v>0</v>
      </c>
      <c r="K60">
        <v>0</v>
      </c>
      <c r="L60">
        <v>0.38500000000000001</v>
      </c>
      <c r="M60">
        <v>5.0000000000000044E-3</v>
      </c>
    </row>
    <row r="61" spans="1:13" x14ac:dyDescent="0.2">
      <c r="A61" s="11" t="str">
        <v/>
      </c>
      <c r="B61" t="str">
        <v>RT</v>
      </c>
      <c r="C61">
        <v>0.47899999999999998</v>
      </c>
      <c r="D61">
        <v>9.000000000000008E-3</v>
      </c>
      <c r="E61">
        <v>0</v>
      </c>
      <c r="F61">
        <v>0</v>
      </c>
      <c r="H61" t="str">
        <v>l-Lactate</v>
      </c>
      <c r="I61" t="str">
        <v/>
      </c>
      <c r="J61">
        <v>0</v>
      </c>
      <c r="K61">
        <v>0</v>
      </c>
      <c r="L61">
        <v>0</v>
      </c>
      <c r="M61">
        <v>0</v>
      </c>
    </row>
    <row r="62" spans="1:13" x14ac:dyDescent="0.2">
      <c r="A62" s="11" t="str">
        <v/>
      </c>
      <c r="B62" t="str">
        <v>SC</v>
      </c>
      <c r="C62">
        <v>0</v>
      </c>
      <c r="D62">
        <v>0</v>
      </c>
      <c r="E62">
        <v>0.21199999999999999</v>
      </c>
      <c r="F62">
        <v>0.27400000000000002</v>
      </c>
      <c r="H62" t="str">
        <v/>
      </c>
      <c r="I62" t="str">
        <v>RT</v>
      </c>
      <c r="J62">
        <v>0.89400000000000002</v>
      </c>
      <c r="K62">
        <v>1.0000000000000009E-3</v>
      </c>
      <c r="L62">
        <v>0</v>
      </c>
      <c r="M62">
        <v>0</v>
      </c>
    </row>
    <row r="63" spans="1:13" x14ac:dyDescent="0.2">
      <c r="A63" s="11" t="str">
        <v/>
      </c>
      <c r="B63" t="str">
        <v/>
      </c>
      <c r="C63">
        <v>0</v>
      </c>
      <c r="D63">
        <v>0</v>
      </c>
      <c r="E63">
        <v>0</v>
      </c>
      <c r="F63">
        <v>0</v>
      </c>
      <c r="H63" t="str">
        <v/>
      </c>
      <c r="I63" t="str">
        <v>SC</v>
      </c>
      <c r="J63">
        <v>0</v>
      </c>
      <c r="K63">
        <v>0</v>
      </c>
      <c r="L63">
        <v>0.79200000000000004</v>
      </c>
      <c r="M63">
        <v>0.11499999999999999</v>
      </c>
    </row>
    <row r="64" spans="1:13" x14ac:dyDescent="0.2">
      <c r="A64" s="11" t="str">
        <v>Hexadecanoic acid</v>
      </c>
      <c r="B64" t="str">
        <v/>
      </c>
      <c r="C64">
        <v>0</v>
      </c>
      <c r="D64">
        <v>0</v>
      </c>
      <c r="E64">
        <v>0</v>
      </c>
      <c r="F64">
        <v>0</v>
      </c>
      <c r="H64" t="str">
        <v>cis,cis-Muconate</v>
      </c>
      <c r="I64" t="str">
        <v/>
      </c>
      <c r="J64">
        <v>0</v>
      </c>
      <c r="K64">
        <v>0</v>
      </c>
      <c r="L64">
        <v>0</v>
      </c>
      <c r="M64">
        <v>0</v>
      </c>
    </row>
    <row r="65" spans="1:13" x14ac:dyDescent="0.2">
      <c r="A65" s="11" t="str">
        <v/>
      </c>
      <c r="B65" t="str">
        <v>RT</v>
      </c>
      <c r="C65">
        <v>0.29899999999999999</v>
      </c>
      <c r="D65">
        <v>4.0000000000000036E-3</v>
      </c>
      <c r="E65">
        <v>0</v>
      </c>
      <c r="F65">
        <v>0</v>
      </c>
      <c r="H65" t="str">
        <v/>
      </c>
      <c r="I65" t="str">
        <v>RT</v>
      </c>
      <c r="J65">
        <v>0.61199999999999999</v>
      </c>
      <c r="K65">
        <v>4.0000000000000036E-3</v>
      </c>
      <c r="L65">
        <v>0</v>
      </c>
      <c r="M65">
        <v>0</v>
      </c>
    </row>
    <row r="66" spans="1:13" x14ac:dyDescent="0.2">
      <c r="A66" s="11" t="str">
        <v/>
      </c>
      <c r="B66" t="str">
        <v>SC</v>
      </c>
      <c r="C66">
        <v>0</v>
      </c>
      <c r="D66">
        <v>0</v>
      </c>
      <c r="E66">
        <v>7.6999999999999999E-2</v>
      </c>
      <c r="F66">
        <v>0.22099999999999997</v>
      </c>
      <c r="H66" t="str">
        <v/>
      </c>
      <c r="I66" t="str">
        <v>SC</v>
      </c>
      <c r="J66">
        <v>0</v>
      </c>
      <c r="K66">
        <v>0</v>
      </c>
      <c r="L66">
        <v>0.28299999999999997</v>
      </c>
      <c r="M66">
        <v>0.33100000000000002</v>
      </c>
    </row>
    <row r="67" spans="1:13" x14ac:dyDescent="0.2">
      <c r="A67" s="11" t="str">
        <v/>
      </c>
      <c r="B67" t="str">
        <v/>
      </c>
      <c r="C67">
        <v>0</v>
      </c>
      <c r="D67">
        <v>0</v>
      </c>
      <c r="E67">
        <v>0</v>
      </c>
      <c r="F67">
        <v>0</v>
      </c>
      <c r="H67" t="str">
        <v>(2S)-Naringenin</v>
      </c>
      <c r="I67" t="str">
        <v/>
      </c>
      <c r="J67">
        <v>0</v>
      </c>
      <c r="K67">
        <v>0</v>
      </c>
      <c r="L67">
        <v>0</v>
      </c>
      <c r="M67">
        <v>0</v>
      </c>
    </row>
    <row r="68" spans="1:13" x14ac:dyDescent="0.2">
      <c r="A68" s="11" t="str">
        <v>Isobutanol</v>
      </c>
      <c r="B68" t="str">
        <v/>
      </c>
      <c r="C68">
        <v>0</v>
      </c>
      <c r="D68">
        <v>0</v>
      </c>
      <c r="E68">
        <v>0</v>
      </c>
      <c r="F68">
        <v>0</v>
      </c>
      <c r="H68" t="str">
        <v/>
      </c>
      <c r="I68" t="str">
        <v>RT</v>
      </c>
      <c r="J68">
        <v>0.46100000000000002</v>
      </c>
      <c r="K68">
        <v>8.9999999999999525E-3</v>
      </c>
      <c r="L68">
        <v>0</v>
      </c>
      <c r="M68">
        <v>0</v>
      </c>
    </row>
    <row r="69" spans="1:13" x14ac:dyDescent="0.2">
      <c r="A69" s="11" t="str">
        <v/>
      </c>
      <c r="B69" t="str">
        <v>RT</v>
      </c>
      <c r="C69">
        <v>0.38100000000000001</v>
      </c>
      <c r="D69">
        <v>4.0000000000000036E-3</v>
      </c>
      <c r="E69">
        <v>0</v>
      </c>
      <c r="F69">
        <v>0</v>
      </c>
      <c r="H69" t="str">
        <v/>
      </c>
      <c r="I69" t="str">
        <v>SC</v>
      </c>
      <c r="J69">
        <v>0</v>
      </c>
      <c r="K69">
        <v>0</v>
      </c>
      <c r="L69">
        <v>0.123</v>
      </c>
      <c r="M69">
        <v>0.33100000000000002</v>
      </c>
    </row>
    <row r="70" spans="1:13" x14ac:dyDescent="0.2">
      <c r="A70" s="11" t="str">
        <v/>
      </c>
      <c r="B70" t="str">
        <v>SC</v>
      </c>
      <c r="C70">
        <v>0</v>
      </c>
      <c r="D70">
        <v>0</v>
      </c>
      <c r="E70">
        <v>0.38500000000000001</v>
      </c>
      <c r="F70">
        <v>5.0000000000000044E-3</v>
      </c>
      <c r="H70" t="str">
        <v>Polyhydroxybutyrate</v>
      </c>
      <c r="I70" t="str">
        <v/>
      </c>
      <c r="J70">
        <v>0</v>
      </c>
      <c r="K70">
        <v>0</v>
      </c>
      <c r="L70">
        <v>0</v>
      </c>
      <c r="M70">
        <v>0</v>
      </c>
    </row>
    <row r="71" spans="1:13" x14ac:dyDescent="0.2">
      <c r="A71" s="11" t="str">
        <v/>
      </c>
      <c r="B71" t="str">
        <v/>
      </c>
      <c r="C71">
        <v>0</v>
      </c>
      <c r="D71">
        <v>0</v>
      </c>
      <c r="E71">
        <v>0</v>
      </c>
      <c r="F71">
        <v>0</v>
      </c>
      <c r="H71" t="str">
        <v/>
      </c>
      <c r="I71" t="str">
        <v>RT</v>
      </c>
      <c r="J71">
        <v>0.63600000000000001</v>
      </c>
      <c r="K71">
        <v>7.0000000000000062E-3</v>
      </c>
      <c r="L71">
        <v>0</v>
      </c>
      <c r="M71">
        <v>0</v>
      </c>
    </row>
    <row r="72" spans="1:13" x14ac:dyDescent="0.2">
      <c r="A72" s="11" t="str">
        <v>l-Lactate</v>
      </c>
      <c r="B72" t="str">
        <v/>
      </c>
      <c r="C72">
        <v>0</v>
      </c>
      <c r="D72">
        <v>0</v>
      </c>
      <c r="E72">
        <v>0</v>
      </c>
      <c r="F72">
        <v>0</v>
      </c>
      <c r="H72" t="str">
        <v/>
      </c>
      <c r="I72" t="str">
        <v>SC</v>
      </c>
      <c r="J72">
        <v>0</v>
      </c>
      <c r="K72">
        <v>0</v>
      </c>
      <c r="L72">
        <v>0.20699999999999999</v>
      </c>
      <c r="M72">
        <v>0.33400000000000007</v>
      </c>
    </row>
    <row r="73" spans="1:13" x14ac:dyDescent="0.2">
      <c r="A73" s="11" t="str">
        <v/>
      </c>
      <c r="B73" t="str">
        <v>RT</v>
      </c>
      <c r="C73">
        <v>0.89400000000000002</v>
      </c>
      <c r="D73">
        <v>1.0000000000000009E-3</v>
      </c>
      <c r="E73">
        <v>0</v>
      </c>
      <c r="F73">
        <v>0</v>
      </c>
      <c r="H73" t="str">
        <v>Reticuline</v>
      </c>
      <c r="I73" t="str">
        <v/>
      </c>
      <c r="J73">
        <v>0</v>
      </c>
      <c r="K73">
        <v>0</v>
      </c>
      <c r="L73">
        <v>0</v>
      </c>
      <c r="M73">
        <v>0</v>
      </c>
    </row>
    <row r="74" spans="1:13" x14ac:dyDescent="0.2">
      <c r="A74" s="11" t="str">
        <v/>
      </c>
      <c r="B74" t="str">
        <v>SC</v>
      </c>
      <c r="C74">
        <v>0</v>
      </c>
      <c r="D74">
        <v>0</v>
      </c>
      <c r="E74">
        <v>0.79200000000000004</v>
      </c>
      <c r="F74">
        <v>0.11499999999999999</v>
      </c>
      <c r="H74" t="str">
        <v/>
      </c>
      <c r="I74" t="str">
        <v>RT</v>
      </c>
      <c r="J74">
        <v>0.33700000000000002</v>
      </c>
      <c r="K74">
        <v>3.5999999999999976E-2</v>
      </c>
      <c r="L74">
        <v>0</v>
      </c>
      <c r="M74">
        <v>0</v>
      </c>
    </row>
    <row r="75" spans="1:13" x14ac:dyDescent="0.2">
      <c r="A75" s="11" t="str">
        <v/>
      </c>
      <c r="B75" t="str">
        <v/>
      </c>
      <c r="C75">
        <v>0</v>
      </c>
      <c r="D75">
        <v>0</v>
      </c>
      <c r="E75">
        <v>0</v>
      </c>
      <c r="F75">
        <v>0</v>
      </c>
      <c r="H75" t="str">
        <v/>
      </c>
      <c r="I75" t="str">
        <v>SC</v>
      </c>
      <c r="J75">
        <v>0</v>
      </c>
      <c r="K75">
        <v>0</v>
      </c>
      <c r="L75">
        <v>6.8000000000000005E-2</v>
      </c>
      <c r="M75">
        <v>0.27999999999999997</v>
      </c>
    </row>
    <row r="76" spans="1:13" x14ac:dyDescent="0.2">
      <c r="A76" s="11" t="str">
        <v>cis,cis-Muconate</v>
      </c>
      <c r="B76" t="str">
        <v/>
      </c>
      <c r="C76">
        <v>0</v>
      </c>
      <c r="D76">
        <v>0</v>
      </c>
      <c r="E76">
        <v>0</v>
      </c>
      <c r="F76">
        <v>0</v>
      </c>
      <c r="H76" t="str">
        <v>Resveratrol</v>
      </c>
      <c r="I76" t="str">
        <v/>
      </c>
      <c r="J76">
        <v>0</v>
      </c>
      <c r="K76">
        <v>0</v>
      </c>
      <c r="L76">
        <v>0</v>
      </c>
      <c r="M76">
        <v>0</v>
      </c>
    </row>
    <row r="77" spans="1:13" x14ac:dyDescent="0.2">
      <c r="A77" s="11" t="str">
        <v/>
      </c>
      <c r="B77" t="str">
        <v>RT</v>
      </c>
      <c r="C77">
        <v>0.61199999999999999</v>
      </c>
      <c r="D77">
        <v>4.0000000000000036E-3</v>
      </c>
      <c r="E77">
        <v>0</v>
      </c>
      <c r="F77">
        <v>0</v>
      </c>
      <c r="H77" t="str">
        <v/>
      </c>
      <c r="I77" t="str">
        <v>RT</v>
      </c>
      <c r="J77">
        <v>0.38700000000000001</v>
      </c>
      <c r="K77">
        <v>7.0000000000000062E-3</v>
      </c>
      <c r="L77">
        <v>0</v>
      </c>
      <c r="M77">
        <v>0</v>
      </c>
    </row>
    <row r="78" spans="1:13" x14ac:dyDescent="0.2">
      <c r="A78" s="11" t="str">
        <v/>
      </c>
      <c r="B78" t="str">
        <v>SC</v>
      </c>
      <c r="C78">
        <v>0</v>
      </c>
      <c r="D78">
        <v>0</v>
      </c>
      <c r="E78">
        <v>0.28299999999999997</v>
      </c>
      <c r="F78">
        <v>0.33100000000000002</v>
      </c>
      <c r="H78" t="str">
        <v/>
      </c>
      <c r="I78" t="str">
        <v>SC</v>
      </c>
      <c r="J78">
        <v>0</v>
      </c>
      <c r="K78">
        <v>0</v>
      </c>
      <c r="L78">
        <v>0.10299999999999999</v>
      </c>
      <c r="M78">
        <v>0.27800000000000002</v>
      </c>
    </row>
    <row r="79" spans="1:13" x14ac:dyDescent="0.2">
      <c r="A79" s="11" t="str">
        <v/>
      </c>
      <c r="B79" t="str">
        <v/>
      </c>
      <c r="C79">
        <v>0</v>
      </c>
      <c r="D79">
        <v>0</v>
      </c>
      <c r="E79">
        <v>0</v>
      </c>
      <c r="F79">
        <v>0</v>
      </c>
      <c r="H79" t="str">
        <v>Sesquiterpenes</v>
      </c>
      <c r="I79" t="str">
        <v/>
      </c>
      <c r="J79">
        <v>0</v>
      </c>
      <c r="K79">
        <v>0</v>
      </c>
      <c r="L79">
        <v>0</v>
      </c>
      <c r="M79">
        <v>0</v>
      </c>
    </row>
    <row r="80" spans="1:13" x14ac:dyDescent="0.2">
      <c r="A80" s="11" t="str">
        <v>(2S)-Naringenin</v>
      </c>
      <c r="B80" t="str">
        <v/>
      </c>
      <c r="C80">
        <v>0</v>
      </c>
      <c r="D80">
        <v>0</v>
      </c>
      <c r="E80">
        <v>0</v>
      </c>
      <c r="F80">
        <v>0</v>
      </c>
      <c r="H80" t="str">
        <v/>
      </c>
      <c r="I80" t="str">
        <v>RT</v>
      </c>
      <c r="J80">
        <v>0.309</v>
      </c>
      <c r="K80">
        <v>4.0000000000000036E-3</v>
      </c>
      <c r="L80">
        <v>0</v>
      </c>
      <c r="M80">
        <v>0</v>
      </c>
    </row>
    <row r="81" spans="1:13" x14ac:dyDescent="0.2">
      <c r="A81" s="11" t="str">
        <v/>
      </c>
      <c r="B81" t="str">
        <v>RT</v>
      </c>
      <c r="C81">
        <v>0.46100000000000002</v>
      </c>
      <c r="D81">
        <v>8.9999999999999525E-3</v>
      </c>
      <c r="E81">
        <v>0</v>
      </c>
      <c r="F81">
        <v>0</v>
      </c>
      <c r="H81" t="str">
        <v/>
      </c>
      <c r="I81" t="str">
        <v>SC</v>
      </c>
      <c r="J81">
        <v>0</v>
      </c>
      <c r="K81">
        <v>0</v>
      </c>
      <c r="L81">
        <v>0.13700000000000001</v>
      </c>
      <c r="M81">
        <v>0.16899999999999998</v>
      </c>
    </row>
    <row r="82" spans="1:13" x14ac:dyDescent="0.2">
      <c r="A82" s="11" t="str">
        <v/>
      </c>
      <c r="B82" t="str">
        <v>SC</v>
      </c>
      <c r="C82">
        <v>0</v>
      </c>
      <c r="D82">
        <v>0</v>
      </c>
      <c r="E82">
        <v>0.123</v>
      </c>
      <c r="F82">
        <v>0.33100000000000002</v>
      </c>
      <c r="H82" t="str">
        <v>Shikimate</v>
      </c>
      <c r="I82" t="str">
        <v/>
      </c>
      <c r="J82">
        <v>0</v>
      </c>
      <c r="K82">
        <v>0</v>
      </c>
      <c r="L82">
        <v>0</v>
      </c>
      <c r="M82">
        <v>0</v>
      </c>
    </row>
    <row r="83" spans="1:13" x14ac:dyDescent="0.2">
      <c r="A83" s="11" t="str">
        <v/>
      </c>
      <c r="B83" t="str">
        <v/>
      </c>
      <c r="C83">
        <v>0</v>
      </c>
      <c r="D83">
        <v>0</v>
      </c>
      <c r="E83">
        <v>0</v>
      </c>
      <c r="F83">
        <v>0</v>
      </c>
      <c r="H83" t="str">
        <v/>
      </c>
      <c r="I83" t="str">
        <v>RT</v>
      </c>
      <c r="J83">
        <v>0.70599999999999996</v>
      </c>
      <c r="K83">
        <v>8.0000000000000071E-3</v>
      </c>
      <c r="L83">
        <v>0</v>
      </c>
      <c r="M83">
        <v>0</v>
      </c>
    </row>
    <row r="84" spans="1:13" x14ac:dyDescent="0.2">
      <c r="A84" s="11" t="str">
        <v>Polyhydroxybutyrate</v>
      </c>
      <c r="B84" t="str">
        <v/>
      </c>
      <c r="C84">
        <v>0</v>
      </c>
      <c r="D84">
        <v>0</v>
      </c>
      <c r="E84">
        <v>0</v>
      </c>
      <c r="F84">
        <v>0</v>
      </c>
      <c r="H84" t="str">
        <v/>
      </c>
      <c r="I84" t="str">
        <v>SC</v>
      </c>
      <c r="J84">
        <v>0</v>
      </c>
      <c r="K84">
        <v>0</v>
      </c>
      <c r="L84">
        <v>0.33400000000000002</v>
      </c>
      <c r="M84">
        <v>0.37799999999999995</v>
      </c>
    </row>
    <row r="85" spans="1:13" x14ac:dyDescent="0.2">
      <c r="A85" s="11" t="str">
        <v/>
      </c>
      <c r="B85" t="str">
        <v>RT</v>
      </c>
      <c r="C85">
        <v>0.63600000000000001</v>
      </c>
      <c r="D85">
        <v>7.0000000000000062E-3</v>
      </c>
      <c r="E85">
        <v>0</v>
      </c>
      <c r="F85">
        <v>0</v>
      </c>
      <c r="H85" t="str">
        <v>Styrene</v>
      </c>
      <c r="I85" t="str">
        <v/>
      </c>
      <c r="J85">
        <v>0</v>
      </c>
      <c r="K85">
        <v>0</v>
      </c>
      <c r="L85">
        <v>0</v>
      </c>
      <c r="M85">
        <v>0</v>
      </c>
    </row>
    <row r="86" spans="1:13" x14ac:dyDescent="0.2">
      <c r="A86" s="11" t="str">
        <v/>
      </c>
      <c r="B86" t="str">
        <v>SC</v>
      </c>
      <c r="C86">
        <v>0</v>
      </c>
      <c r="D86">
        <v>0</v>
      </c>
      <c r="E86">
        <v>0.20699999999999999</v>
      </c>
      <c r="F86">
        <v>0.33400000000000007</v>
      </c>
      <c r="H86" t="str">
        <v/>
      </c>
      <c r="I86" t="str">
        <v>RT</v>
      </c>
      <c r="J86">
        <v>0.29599999999999999</v>
      </c>
      <c r="K86">
        <v>5.0000000000000044E-3</v>
      </c>
      <c r="L86">
        <v>0</v>
      </c>
      <c r="M86">
        <v>0</v>
      </c>
    </row>
    <row r="87" spans="1:13" x14ac:dyDescent="0.2">
      <c r="A87" s="11" t="str">
        <v/>
      </c>
      <c r="B87" t="str">
        <v/>
      </c>
      <c r="C87">
        <v>0</v>
      </c>
      <c r="D87">
        <v>0</v>
      </c>
      <c r="E87">
        <v>0</v>
      </c>
      <c r="F87">
        <v>0</v>
      </c>
      <c r="H87" t="str">
        <v/>
      </c>
      <c r="I87" t="str">
        <v>SC</v>
      </c>
      <c r="J87">
        <v>0</v>
      </c>
      <c r="K87">
        <v>0</v>
      </c>
      <c r="L87">
        <v>0.13100000000000001</v>
      </c>
      <c r="M87">
        <v>0.16499999999999998</v>
      </c>
    </row>
    <row r="88" spans="1:13" x14ac:dyDescent="0.2">
      <c r="A88" s="11" t="str">
        <v>Reticuline</v>
      </c>
      <c r="B88" t="str">
        <v/>
      </c>
      <c r="C88">
        <v>0</v>
      </c>
      <c r="D88">
        <v>0</v>
      </c>
      <c r="E88">
        <v>0</v>
      </c>
      <c r="F88">
        <v>0</v>
      </c>
      <c r="H88" t="str">
        <v>TAL</v>
      </c>
      <c r="I88" t="str">
        <v/>
      </c>
      <c r="J88">
        <v>0</v>
      </c>
      <c r="K88">
        <v>0</v>
      </c>
      <c r="L88">
        <v>0</v>
      </c>
      <c r="M88">
        <v>0</v>
      </c>
    </row>
    <row r="89" spans="1:13" x14ac:dyDescent="0.2">
      <c r="A89" s="11" t="str">
        <v/>
      </c>
      <c r="B89" t="str">
        <v>RT</v>
      </c>
      <c r="C89">
        <v>0.33700000000000002</v>
      </c>
      <c r="D89">
        <v>3.5999999999999976E-2</v>
      </c>
      <c r="E89">
        <v>0</v>
      </c>
      <c r="F89">
        <v>0</v>
      </c>
      <c r="H89" t="str">
        <v/>
      </c>
      <c r="I89" t="str">
        <v>RT</v>
      </c>
      <c r="J89">
        <v>0.30949975436445898</v>
      </c>
      <c r="K89">
        <v>0.24539157785251697</v>
      </c>
      <c r="L89">
        <v>0</v>
      </c>
      <c r="M89">
        <v>0</v>
      </c>
    </row>
    <row r="90" spans="1:13" x14ac:dyDescent="0.2">
      <c r="A90" s="11" t="str">
        <v/>
      </c>
      <c r="B90" t="str">
        <v>SC</v>
      </c>
      <c r="C90">
        <v>0</v>
      </c>
      <c r="D90">
        <v>0</v>
      </c>
      <c r="E90">
        <v>6.8000000000000005E-2</v>
      </c>
      <c r="F90">
        <v>0.27999999999999997</v>
      </c>
      <c r="H90" t="str">
        <v/>
      </c>
      <c r="I90" t="str">
        <v>SC</v>
      </c>
      <c r="J90">
        <v>0</v>
      </c>
      <c r="K90">
        <v>0</v>
      </c>
      <c r="L90">
        <v>0</v>
      </c>
      <c r="M90">
        <v>0</v>
      </c>
    </row>
    <row r="91" spans="1:13" x14ac:dyDescent="0.2">
      <c r="A91" s="11" t="str">
        <v/>
      </c>
      <c r="B91" t="str">
        <v/>
      </c>
      <c r="C91">
        <v>0</v>
      </c>
      <c r="D91">
        <v>0</v>
      </c>
      <c r="E91">
        <v>0</v>
      </c>
      <c r="F91">
        <v>0</v>
      </c>
      <c r="H91" t="str">
        <v>TAG</v>
      </c>
      <c r="I91" t="str">
        <v/>
      </c>
      <c r="J91">
        <v>0</v>
      </c>
      <c r="K91">
        <v>0</v>
      </c>
      <c r="L91">
        <v>0</v>
      </c>
      <c r="M91">
        <v>0</v>
      </c>
    </row>
    <row r="92" spans="1:13" x14ac:dyDescent="0.2">
      <c r="A92" s="11" t="str">
        <v>Resveratrol</v>
      </c>
      <c r="B92" t="str">
        <v/>
      </c>
      <c r="C92">
        <v>0</v>
      </c>
      <c r="D92">
        <v>0</v>
      </c>
      <c r="E92">
        <v>0</v>
      </c>
      <c r="F92">
        <v>0</v>
      </c>
      <c r="H92" t="str">
        <v/>
      </c>
      <c r="I92" t="str">
        <v>RT</v>
      </c>
      <c r="J92">
        <v>0.255</v>
      </c>
      <c r="K92">
        <v>0</v>
      </c>
      <c r="L92">
        <v>0</v>
      </c>
      <c r="M92">
        <v>0</v>
      </c>
    </row>
    <row r="93" spans="1:13" x14ac:dyDescent="0.2">
      <c r="A93" s="11" t="str">
        <v/>
      </c>
      <c r="B93" t="str">
        <v>RT</v>
      </c>
      <c r="C93">
        <v>0.38700000000000001</v>
      </c>
      <c r="D93">
        <v>7.0000000000000062E-3</v>
      </c>
      <c r="E93">
        <v>0</v>
      </c>
      <c r="F93">
        <v>0</v>
      </c>
      <c r="H93" t="str">
        <v/>
      </c>
      <c r="I93" t="str">
        <v>SC</v>
      </c>
      <c r="J93">
        <v>0</v>
      </c>
      <c r="K93">
        <v>0</v>
      </c>
      <c r="L93">
        <v>0.123</v>
      </c>
      <c r="M93">
        <v>0.14900000000000002</v>
      </c>
    </row>
    <row r="94" spans="1:13" x14ac:dyDescent="0.2">
      <c r="A94" s="11" t="str">
        <v/>
      </c>
      <c r="B94" t="str">
        <v>SC</v>
      </c>
      <c r="C94">
        <v>0</v>
      </c>
      <c r="D94">
        <v>0</v>
      </c>
      <c r="E94">
        <v>0.10299999999999999</v>
      </c>
      <c r="F94">
        <v>0.27800000000000002</v>
      </c>
      <c r="J94">
        <v>0</v>
      </c>
      <c r="K94">
        <v>0</v>
      </c>
      <c r="L94">
        <v>0</v>
      </c>
      <c r="M94">
        <v>0</v>
      </c>
    </row>
    <row r="95" spans="1:13" x14ac:dyDescent="0.2">
      <c r="A95" s="11" t="str">
        <v/>
      </c>
      <c r="B95" t="str">
        <v/>
      </c>
      <c r="C95">
        <v>0</v>
      </c>
      <c r="D95">
        <v>0</v>
      </c>
      <c r="E95">
        <v>0</v>
      </c>
      <c r="F95">
        <v>0</v>
      </c>
      <c r="L95">
        <v>0</v>
      </c>
      <c r="M95">
        <v>0</v>
      </c>
    </row>
    <row r="96" spans="1:13" x14ac:dyDescent="0.2">
      <c r="A96" s="11" t="str">
        <v>Sesquiterpenes</v>
      </c>
      <c r="B96" t="str">
        <v/>
      </c>
      <c r="C96">
        <v>0</v>
      </c>
      <c r="D96">
        <v>0</v>
      </c>
      <c r="E96">
        <v>0</v>
      </c>
      <c r="F96">
        <v>0</v>
      </c>
    </row>
    <row r="97" spans="1:6" x14ac:dyDescent="0.2">
      <c r="A97" s="11" t="str">
        <v/>
      </c>
      <c r="B97" t="str">
        <v>RT</v>
      </c>
      <c r="C97">
        <v>0.309</v>
      </c>
      <c r="D97">
        <v>4.0000000000000036E-3</v>
      </c>
      <c r="E97">
        <v>0</v>
      </c>
      <c r="F97">
        <v>0</v>
      </c>
    </row>
    <row r="98" spans="1:6" x14ac:dyDescent="0.2">
      <c r="A98" s="11" t="str">
        <v/>
      </c>
      <c r="B98" t="str">
        <v>SC</v>
      </c>
      <c r="C98">
        <v>0</v>
      </c>
      <c r="D98">
        <v>0</v>
      </c>
      <c r="E98">
        <v>0.13700000000000001</v>
      </c>
      <c r="F98">
        <v>0.16899999999999998</v>
      </c>
    </row>
    <row r="99" spans="1:6" x14ac:dyDescent="0.2">
      <c r="A99" s="11" t="str">
        <v/>
      </c>
      <c r="B99" t="str">
        <v/>
      </c>
      <c r="C99">
        <v>0</v>
      </c>
      <c r="D99">
        <v>0</v>
      </c>
      <c r="E99">
        <v>0</v>
      </c>
      <c r="F99">
        <v>0</v>
      </c>
    </row>
    <row r="100" spans="1:6" x14ac:dyDescent="0.2">
      <c r="A100" s="11" t="str">
        <v>Shikimate</v>
      </c>
      <c r="B100" t="str">
        <v/>
      </c>
      <c r="C100">
        <v>0</v>
      </c>
      <c r="D100">
        <v>0</v>
      </c>
      <c r="E100">
        <v>0</v>
      </c>
      <c r="F100">
        <v>0</v>
      </c>
    </row>
    <row r="101" spans="1:6" x14ac:dyDescent="0.2">
      <c r="A101" s="11" t="str">
        <v/>
      </c>
      <c r="B101" t="str">
        <v>RT</v>
      </c>
      <c r="C101">
        <v>0.70599999999999996</v>
      </c>
      <c r="D101">
        <v>8.0000000000000071E-3</v>
      </c>
      <c r="E101">
        <v>0</v>
      </c>
      <c r="F101">
        <v>0</v>
      </c>
    </row>
    <row r="102" spans="1:6" x14ac:dyDescent="0.2">
      <c r="A102" s="11" t="str">
        <v/>
      </c>
      <c r="B102" t="str">
        <v>SC</v>
      </c>
      <c r="C102">
        <v>0</v>
      </c>
      <c r="D102">
        <v>0</v>
      </c>
      <c r="E102">
        <v>0.33400000000000002</v>
      </c>
      <c r="F102">
        <v>0.37799999999999995</v>
      </c>
    </row>
    <row r="103" spans="1:6" x14ac:dyDescent="0.2">
      <c r="A103" s="11" t="str">
        <v/>
      </c>
      <c r="B103" t="str">
        <v/>
      </c>
      <c r="C103">
        <v>0</v>
      </c>
      <c r="D103">
        <v>0</v>
      </c>
      <c r="E103">
        <v>0</v>
      </c>
      <c r="F103">
        <v>0</v>
      </c>
    </row>
    <row r="104" spans="1:6" x14ac:dyDescent="0.2">
      <c r="A104" s="11" t="str">
        <v>Styrene</v>
      </c>
      <c r="B104" t="str">
        <v/>
      </c>
      <c r="C104">
        <v>0</v>
      </c>
      <c r="D104">
        <v>0</v>
      </c>
      <c r="E104">
        <v>0</v>
      </c>
      <c r="F104">
        <v>0</v>
      </c>
    </row>
    <row r="105" spans="1:6" x14ac:dyDescent="0.2">
      <c r="A105" s="11" t="str">
        <v/>
      </c>
      <c r="B105" t="str">
        <v>RT</v>
      </c>
      <c r="C105">
        <v>0.29599999999999999</v>
      </c>
      <c r="D105">
        <v>5.0000000000000044E-3</v>
      </c>
      <c r="E105">
        <v>0</v>
      </c>
      <c r="F105">
        <v>0</v>
      </c>
    </row>
    <row r="106" spans="1:6" x14ac:dyDescent="0.2">
      <c r="A106" s="11" t="str">
        <v/>
      </c>
      <c r="B106" t="str">
        <v>SC</v>
      </c>
      <c r="C106">
        <v>0</v>
      </c>
      <c r="D106">
        <v>0</v>
      </c>
      <c r="E106">
        <v>0.13100000000000001</v>
      </c>
      <c r="F106">
        <v>0.16499999999999998</v>
      </c>
    </row>
    <row r="107" spans="1:6" x14ac:dyDescent="0.2">
      <c r="A107" s="11" t="str">
        <v/>
      </c>
      <c r="B107" t="str">
        <v/>
      </c>
      <c r="C107">
        <v>0</v>
      </c>
      <c r="D107">
        <v>0</v>
      </c>
      <c r="E107">
        <v>0</v>
      </c>
      <c r="F107">
        <v>0</v>
      </c>
    </row>
    <row r="108" spans="1:6" x14ac:dyDescent="0.2">
      <c r="A108" t="str">
        <v>TAL</v>
      </c>
      <c r="B108" t="str">
        <v/>
      </c>
      <c r="C108">
        <v>0</v>
      </c>
      <c r="D108">
        <v>0</v>
      </c>
      <c r="E108">
        <v>0</v>
      </c>
      <c r="F108">
        <v>0</v>
      </c>
    </row>
    <row r="109" spans="1:6" x14ac:dyDescent="0.2">
      <c r="A109" t="str">
        <v/>
      </c>
      <c r="B109" t="str">
        <v>RT</v>
      </c>
      <c r="C109">
        <v>0.30949975436445898</v>
      </c>
      <c r="D109">
        <v>0.24539157785251697</v>
      </c>
      <c r="E109">
        <v>0</v>
      </c>
      <c r="F109">
        <v>0</v>
      </c>
    </row>
    <row r="110" spans="1:6" x14ac:dyDescent="0.2">
      <c r="A110" t="str">
        <v/>
      </c>
      <c r="B110" t="str">
        <v>SC</v>
      </c>
      <c r="C110">
        <v>0</v>
      </c>
      <c r="D110">
        <v>0</v>
      </c>
      <c r="E110">
        <v>0</v>
      </c>
      <c r="F110">
        <v>0</v>
      </c>
    </row>
    <row r="111" spans="1:6" x14ac:dyDescent="0.2">
      <c r="A111" t="str">
        <v/>
      </c>
      <c r="B111" t="str">
        <v/>
      </c>
      <c r="C111">
        <v>0</v>
      </c>
      <c r="D111">
        <v>0</v>
      </c>
      <c r="E111">
        <v>0</v>
      </c>
      <c r="F111">
        <v>0</v>
      </c>
    </row>
    <row r="112" spans="1:6" x14ac:dyDescent="0.2">
      <c r="A112" t="str">
        <v>TAG</v>
      </c>
      <c r="B112" t="str">
        <v/>
      </c>
      <c r="C112">
        <v>0</v>
      </c>
      <c r="D112">
        <v>0</v>
      </c>
      <c r="E112">
        <v>0</v>
      </c>
      <c r="F112">
        <v>0</v>
      </c>
    </row>
    <row r="113" spans="1:6" x14ac:dyDescent="0.2">
      <c r="A113" t="str">
        <v/>
      </c>
      <c r="B113" t="str">
        <v>RT</v>
      </c>
      <c r="C113">
        <v>0.255</v>
      </c>
      <c r="D113">
        <v>0</v>
      </c>
      <c r="E113">
        <v>0</v>
      </c>
      <c r="F113">
        <v>0</v>
      </c>
    </row>
    <row r="114" spans="1:6" x14ac:dyDescent="0.2">
      <c r="A114" t="str">
        <v/>
      </c>
      <c r="B114" t="str">
        <v>SC</v>
      </c>
      <c r="C114">
        <v>0</v>
      </c>
      <c r="D114">
        <v>0</v>
      </c>
      <c r="E114">
        <v>0.123</v>
      </c>
      <c r="F114">
        <v>0.14900000000000002</v>
      </c>
    </row>
    <row r="115" spans="1:6" x14ac:dyDescent="0.2">
      <c r="A115" t="str">
        <v/>
      </c>
      <c r="B115" t="str">
        <v/>
      </c>
      <c r="C115">
        <v>0</v>
      </c>
      <c r="D115">
        <v>0</v>
      </c>
      <c r="E115">
        <v>0</v>
      </c>
      <c r="F115">
        <v>0</v>
      </c>
    </row>
    <row r="116" spans="1:6" x14ac:dyDescent="0.2">
      <c r="C116">
        <v>0</v>
      </c>
      <c r="D116">
        <v>0</v>
      </c>
      <c r="E116">
        <v>0</v>
      </c>
      <c r="F116">
        <v>0</v>
      </c>
    </row>
    <row r="117" spans="1:6" x14ac:dyDescent="0.2">
      <c r="E117">
        <v>0</v>
      </c>
      <c r="F117">
        <v>0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Mooney, Eric James</dc:creator>
  <cp:lastModifiedBy>Mooney, Eric James</cp:lastModifiedBy>
  <cp:lastPrinted>2023-12-27T22:37:51Z</cp:lastPrinted>
  <dcterms:created xsi:type="dcterms:W3CDTF">2023-03-28T23:37:47Z</dcterms:created>
  <dcterms:modified xsi:type="dcterms:W3CDTF">2025-07-02T20:24:51Z</dcterms:modified>
</cp:coreProperties>
</file>