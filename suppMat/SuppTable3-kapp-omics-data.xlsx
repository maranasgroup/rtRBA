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jm6426/Documents/rtRBA-main/suppMat/"/>
    </mc:Choice>
  </mc:AlternateContent>
  <xr:revisionPtr revIDLastSave="0" documentId="13_ncr:1_{1BAAA984-8345-1245-89E5-00DFE96C3FF4}" xr6:coauthVersionLast="47" xr6:coauthVersionMax="47" xr10:uidLastSave="{00000000-0000-0000-0000-000000000000}"/>
  <bookViews>
    <workbookView xWindow="15200" yWindow="920" windowWidth="14880" windowHeight="17220" activeTab="1" xr2:uid="{00000000-000D-0000-FFFF-FFFF00000000}"/>
  </bookViews>
  <sheets>
    <sheet name="Notes" sheetId="1" r:id="rId1"/>
    <sheet name="MFA-derived fluxes" sheetId="2" r:id="rId2"/>
    <sheet name="Relative Protein Abundances" sheetId="3" r:id="rId3"/>
    <sheet name="$k_{app}$ Value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 a="1"/>
  <c r="T2" i="4" s="1"/>
  <c r="U2" i="4" l="1" a="1"/>
  <c r="U2" i="4" s="1"/>
  <c r="R2" i="4" a="1"/>
  <c r="R2" i="4" s="1"/>
  <c r="Q3" i="4" a="1"/>
  <c r="Q3" i="4" s="1"/>
  <c r="Q2" i="4" a="1"/>
  <c r="Q2" i="4" s="1"/>
  <c r="P2" i="4" a="1"/>
  <c r="P2" i="4" s="1"/>
  <c r="D249" i="4" l="1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F249" i="4"/>
  <c r="G249" i="4" s="1"/>
  <c r="H249" i="4" s="1"/>
  <c r="I249" i="4" s="1"/>
  <c r="F250" i="4"/>
  <c r="G250" i="4" s="1"/>
  <c r="H250" i="4" s="1"/>
  <c r="I250" i="4" s="1"/>
  <c r="F251" i="4"/>
  <c r="J251" i="4" s="1"/>
  <c r="L251" i="4" s="1"/>
  <c r="F252" i="4"/>
  <c r="J252" i="4" s="1"/>
  <c r="L252" i="4" s="1"/>
  <c r="F253" i="4"/>
  <c r="J253" i="4" s="1"/>
  <c r="F254" i="4"/>
  <c r="J254" i="4" s="1"/>
  <c r="F255" i="4"/>
  <c r="J255" i="4" s="1"/>
  <c r="F256" i="4"/>
  <c r="J256" i="4" s="1"/>
  <c r="L256" i="4" s="1"/>
  <c r="F257" i="4"/>
  <c r="J257" i="4" s="1"/>
  <c r="F258" i="4"/>
  <c r="J258" i="4" s="1"/>
  <c r="F259" i="4"/>
  <c r="J259" i="4" s="1"/>
  <c r="L259" i="4" s="1"/>
  <c r="F260" i="4"/>
  <c r="G260" i="4" s="1"/>
  <c r="H260" i="4" s="1"/>
  <c r="I260" i="4" s="1"/>
  <c r="F261" i="4"/>
  <c r="J261" i="4" s="1"/>
  <c r="F262" i="4"/>
  <c r="J262" i="4" s="1"/>
  <c r="F263" i="4"/>
  <c r="J263" i="4" s="1"/>
  <c r="K263" i="4" s="1"/>
  <c r="F264" i="4"/>
  <c r="J264" i="4" s="1"/>
  <c r="K264" i="4" s="1"/>
  <c r="F265" i="4"/>
  <c r="J265" i="4" s="1"/>
  <c r="F266" i="4"/>
  <c r="J266" i="4" s="1"/>
  <c r="F267" i="4"/>
  <c r="G267" i="4" s="1"/>
  <c r="H267" i="4" s="1"/>
  <c r="I267" i="4" s="1"/>
  <c r="F268" i="4"/>
  <c r="J268" i="4" s="1"/>
  <c r="F269" i="4"/>
  <c r="J269" i="4" s="1"/>
  <c r="K269" i="4" s="1"/>
  <c r="F270" i="4"/>
  <c r="J270" i="4" s="1"/>
  <c r="F271" i="4"/>
  <c r="G271" i="4" s="1"/>
  <c r="H271" i="4" s="1"/>
  <c r="I271" i="4" s="1"/>
  <c r="F272" i="4"/>
  <c r="J272" i="4" s="1"/>
  <c r="F273" i="4"/>
  <c r="J273" i="4" s="1"/>
  <c r="F274" i="4"/>
  <c r="J274" i="4" s="1"/>
  <c r="F275" i="4"/>
  <c r="J275" i="4" s="1"/>
  <c r="L275" i="4" s="1"/>
  <c r="F276" i="4"/>
  <c r="J276" i="4" s="1"/>
  <c r="L276" i="4" s="1"/>
  <c r="F277" i="4"/>
  <c r="J277" i="4" s="1"/>
  <c r="F278" i="4"/>
  <c r="J278" i="4" s="1"/>
  <c r="F279" i="4"/>
  <c r="G279" i="4" s="1"/>
  <c r="H279" i="4" s="1"/>
  <c r="I279" i="4" s="1"/>
  <c r="F280" i="4"/>
  <c r="J280" i="4" s="1"/>
  <c r="F281" i="4"/>
  <c r="J281" i="4" s="1"/>
  <c r="F282" i="4"/>
  <c r="J282" i="4" s="1"/>
  <c r="G253" i="4"/>
  <c r="H253" i="4" s="1"/>
  <c r="I253" i="4" s="1"/>
  <c r="G254" i="4"/>
  <c r="H254" i="4" s="1"/>
  <c r="I254" i="4" s="1"/>
  <c r="G255" i="4"/>
  <c r="H255" i="4" s="1"/>
  <c r="I255" i="4" s="1"/>
  <c r="G258" i="4"/>
  <c r="H258" i="4" s="1"/>
  <c r="I258" i="4" s="1"/>
  <c r="G266" i="4"/>
  <c r="H266" i="4" s="1"/>
  <c r="I266" i="4" s="1"/>
  <c r="M277" i="4" l="1"/>
  <c r="N277" i="4" s="1"/>
  <c r="M265" i="4"/>
  <c r="N265" i="4" s="1"/>
  <c r="M275" i="4"/>
  <c r="N275" i="4" s="1"/>
  <c r="M263" i="4"/>
  <c r="N263" i="4" s="1"/>
  <c r="G264" i="4"/>
  <c r="H264" i="4" s="1"/>
  <c r="I264" i="4" s="1"/>
  <c r="G269" i="4"/>
  <c r="H269" i="4" s="1"/>
  <c r="I269" i="4" s="1"/>
  <c r="M253" i="4"/>
  <c r="N253" i="4" s="1"/>
  <c r="G257" i="4"/>
  <c r="H257" i="4" s="1"/>
  <c r="I257" i="4" s="1"/>
  <c r="G276" i="4"/>
  <c r="H276" i="4" s="1"/>
  <c r="I276" i="4" s="1"/>
  <c r="G270" i="4"/>
  <c r="H270" i="4" s="1"/>
  <c r="I270" i="4" s="1"/>
  <c r="G275" i="4"/>
  <c r="H275" i="4" s="1"/>
  <c r="I275" i="4" s="1"/>
  <c r="G263" i="4"/>
  <c r="H263" i="4" s="1"/>
  <c r="I263" i="4" s="1"/>
  <c r="G251" i="4"/>
  <c r="H251" i="4" s="1"/>
  <c r="I251" i="4" s="1"/>
  <c r="G265" i="4"/>
  <c r="H265" i="4" s="1"/>
  <c r="I265" i="4" s="1"/>
  <c r="M251" i="4"/>
  <c r="N251" i="4" s="1"/>
  <c r="G256" i="4"/>
  <c r="H256" i="4" s="1"/>
  <c r="I256" i="4" s="1"/>
  <c r="G277" i="4"/>
  <c r="H277" i="4" s="1"/>
  <c r="I277" i="4" s="1"/>
  <c r="G252" i="4"/>
  <c r="H252" i="4" s="1"/>
  <c r="I252" i="4" s="1"/>
  <c r="M274" i="4"/>
  <c r="N274" i="4" s="1"/>
  <c r="M262" i="4"/>
  <c r="N262" i="4" s="1"/>
  <c r="M250" i="4"/>
  <c r="N250" i="4" s="1"/>
  <c r="M276" i="4"/>
  <c r="N276" i="4" s="1"/>
  <c r="M264" i="4"/>
  <c r="N264" i="4" s="1"/>
  <c r="M252" i="4"/>
  <c r="N252" i="4" s="1"/>
  <c r="M273" i="4"/>
  <c r="N273" i="4" s="1"/>
  <c r="M261" i="4"/>
  <c r="N261" i="4" s="1"/>
  <c r="M249" i="4"/>
  <c r="N249" i="4" s="1"/>
  <c r="M280" i="4"/>
  <c r="N280" i="4" s="1"/>
  <c r="M268" i="4"/>
  <c r="N268" i="4" s="1"/>
  <c r="M256" i="4"/>
  <c r="N256" i="4" s="1"/>
  <c r="M282" i="4"/>
  <c r="N282" i="4" s="1"/>
  <c r="M270" i="4"/>
  <c r="N270" i="4" s="1"/>
  <c r="M258" i="4"/>
  <c r="N258" i="4" s="1"/>
  <c r="M279" i="4"/>
  <c r="N279" i="4" s="1"/>
  <c r="M267" i="4"/>
  <c r="N267" i="4" s="1"/>
  <c r="M255" i="4"/>
  <c r="N255" i="4" s="1"/>
  <c r="M278" i="4"/>
  <c r="N278" i="4" s="1"/>
  <c r="M266" i="4"/>
  <c r="N266" i="4" s="1"/>
  <c r="M254" i="4"/>
  <c r="N254" i="4" s="1"/>
  <c r="G278" i="4"/>
  <c r="H278" i="4" s="1"/>
  <c r="I278" i="4" s="1"/>
  <c r="M272" i="4"/>
  <c r="N272" i="4" s="1"/>
  <c r="M260" i="4"/>
  <c r="N260" i="4" s="1"/>
  <c r="M271" i="4"/>
  <c r="N271" i="4" s="1"/>
  <c r="M259" i="4"/>
  <c r="N259" i="4" s="1"/>
  <c r="M281" i="4"/>
  <c r="N281" i="4" s="1"/>
  <c r="M269" i="4"/>
  <c r="N269" i="4" s="1"/>
  <c r="M257" i="4"/>
  <c r="N257" i="4" s="1"/>
  <c r="K282" i="4"/>
  <c r="L282" i="4"/>
  <c r="K270" i="4"/>
  <c r="L270" i="4"/>
  <c r="L258" i="4"/>
  <c r="K258" i="4"/>
  <c r="L281" i="4"/>
  <c r="K281" i="4"/>
  <c r="L257" i="4"/>
  <c r="K257" i="4"/>
  <c r="L280" i="4"/>
  <c r="K280" i="4"/>
  <c r="K268" i="4"/>
  <c r="L268" i="4"/>
  <c r="L255" i="4"/>
  <c r="K255" i="4"/>
  <c r="L278" i="4"/>
  <c r="K278" i="4"/>
  <c r="K266" i="4"/>
  <c r="L266" i="4"/>
  <c r="L254" i="4"/>
  <c r="K254" i="4"/>
  <c r="K277" i="4"/>
  <c r="L277" i="4"/>
  <c r="K265" i="4"/>
  <c r="L265" i="4"/>
  <c r="L253" i="4"/>
  <c r="K253" i="4"/>
  <c r="G268" i="4"/>
  <c r="H268" i="4" s="1"/>
  <c r="I268" i="4" s="1"/>
  <c r="G282" i="4"/>
  <c r="H282" i="4" s="1"/>
  <c r="I282" i="4" s="1"/>
  <c r="G281" i="4"/>
  <c r="H281" i="4" s="1"/>
  <c r="I281" i="4" s="1"/>
  <c r="J267" i="4"/>
  <c r="J279" i="4"/>
  <c r="G280" i="4"/>
  <c r="H280" i="4" s="1"/>
  <c r="I280" i="4" s="1"/>
  <c r="G259" i="4"/>
  <c r="H259" i="4" s="1"/>
  <c r="I259" i="4" s="1"/>
  <c r="J271" i="4"/>
  <c r="J260" i="4"/>
  <c r="J249" i="4"/>
  <c r="J250" i="4"/>
  <c r="K259" i="4"/>
  <c r="L264" i="4"/>
  <c r="L263" i="4"/>
  <c r="K276" i="4"/>
  <c r="K252" i="4"/>
  <c r="K275" i="4"/>
  <c r="K251" i="4"/>
  <c r="K256" i="4"/>
  <c r="G274" i="4"/>
  <c r="H274" i="4" s="1"/>
  <c r="I274" i="4" s="1"/>
  <c r="G262" i="4"/>
  <c r="H262" i="4" s="1"/>
  <c r="I262" i="4" s="1"/>
  <c r="G273" i="4"/>
  <c r="H273" i="4" s="1"/>
  <c r="I273" i="4" s="1"/>
  <c r="G261" i="4"/>
  <c r="H261" i="4" s="1"/>
  <c r="I261" i="4" s="1"/>
  <c r="G272" i="4"/>
  <c r="H272" i="4" s="1"/>
  <c r="I272" i="4" s="1"/>
  <c r="L269" i="4"/>
  <c r="L279" i="4" l="1"/>
  <c r="K279" i="4"/>
  <c r="K271" i="4"/>
  <c r="L271" i="4"/>
  <c r="K267" i="4"/>
  <c r="L267" i="4"/>
  <c r="K262" i="4"/>
  <c r="L262" i="4"/>
  <c r="L274" i="4"/>
  <c r="K274" i="4"/>
  <c r="K272" i="4"/>
  <c r="L272" i="4"/>
  <c r="K261" i="4"/>
  <c r="L261" i="4"/>
  <c r="K250" i="4"/>
  <c r="L250" i="4"/>
  <c r="L273" i="4"/>
  <c r="K273" i="4"/>
  <c r="K249" i="4"/>
  <c r="L249" i="4"/>
  <c r="L260" i="4"/>
  <c r="K260" i="4"/>
  <c r="F2" i="4" l="1"/>
  <c r="J2" i="4" s="1"/>
  <c r="F3" i="4"/>
  <c r="J3" i="4" s="1"/>
  <c r="F4" i="4"/>
  <c r="J4" i="4" s="1"/>
  <c r="F5" i="4"/>
  <c r="J5" i="4" s="1"/>
  <c r="F6" i="4"/>
  <c r="J6" i="4" s="1"/>
  <c r="F7" i="4"/>
  <c r="J7" i="4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1" i="4"/>
  <c r="J31" i="4" s="1"/>
  <c r="F32" i="4"/>
  <c r="J32" i="4" s="1"/>
  <c r="F33" i="4"/>
  <c r="J33" i="4" s="1"/>
  <c r="F34" i="4"/>
  <c r="J34" i="4" s="1"/>
  <c r="F35" i="4"/>
  <c r="J35" i="4" s="1"/>
  <c r="F36" i="4"/>
  <c r="J36" i="4" s="1"/>
  <c r="F37" i="4"/>
  <c r="J37" i="4" s="1"/>
  <c r="F38" i="4"/>
  <c r="J38" i="4" s="1"/>
  <c r="F39" i="4"/>
  <c r="J39" i="4" s="1"/>
  <c r="F40" i="4"/>
  <c r="J40" i="4" s="1"/>
  <c r="F41" i="4"/>
  <c r="J41" i="4" s="1"/>
  <c r="F42" i="4"/>
  <c r="J42" i="4" s="1"/>
  <c r="F43" i="4"/>
  <c r="J43" i="4" s="1"/>
  <c r="F44" i="4"/>
  <c r="J44" i="4" s="1"/>
  <c r="F45" i="4"/>
  <c r="J45" i="4" s="1"/>
  <c r="F46" i="4"/>
  <c r="J46" i="4" s="1"/>
  <c r="F47" i="4"/>
  <c r="J47" i="4" s="1"/>
  <c r="F48" i="4"/>
  <c r="J48" i="4" s="1"/>
  <c r="F49" i="4"/>
  <c r="J49" i="4" s="1"/>
  <c r="F50" i="4"/>
  <c r="J50" i="4" s="1"/>
  <c r="F51" i="4"/>
  <c r="J51" i="4" s="1"/>
  <c r="F52" i="4"/>
  <c r="J52" i="4" s="1"/>
  <c r="F53" i="4"/>
  <c r="J53" i="4" s="1"/>
  <c r="F54" i="4"/>
  <c r="J54" i="4" s="1"/>
  <c r="F55" i="4"/>
  <c r="J55" i="4" s="1"/>
  <c r="F56" i="4"/>
  <c r="J56" i="4" s="1"/>
  <c r="F57" i="4"/>
  <c r="J57" i="4" s="1"/>
  <c r="F58" i="4"/>
  <c r="J58" i="4" s="1"/>
  <c r="F59" i="4"/>
  <c r="J59" i="4" s="1"/>
  <c r="F60" i="4"/>
  <c r="J60" i="4" s="1"/>
  <c r="F61" i="4"/>
  <c r="J61" i="4" s="1"/>
  <c r="F62" i="4"/>
  <c r="J62" i="4" s="1"/>
  <c r="F63" i="4"/>
  <c r="J63" i="4" s="1"/>
  <c r="F64" i="4"/>
  <c r="J64" i="4" s="1"/>
  <c r="F65" i="4"/>
  <c r="J65" i="4" s="1"/>
  <c r="F66" i="4"/>
  <c r="J66" i="4" s="1"/>
  <c r="F67" i="4"/>
  <c r="J67" i="4" s="1"/>
  <c r="F68" i="4"/>
  <c r="J68" i="4" s="1"/>
  <c r="F69" i="4"/>
  <c r="J69" i="4" s="1"/>
  <c r="F70" i="4"/>
  <c r="J70" i="4" s="1"/>
  <c r="F71" i="4"/>
  <c r="J71" i="4" s="1"/>
  <c r="F72" i="4"/>
  <c r="J72" i="4" s="1"/>
  <c r="F73" i="4"/>
  <c r="J73" i="4" s="1"/>
  <c r="F74" i="4"/>
  <c r="J74" i="4" s="1"/>
  <c r="F75" i="4"/>
  <c r="J75" i="4" s="1"/>
  <c r="F76" i="4"/>
  <c r="J76" i="4" s="1"/>
  <c r="F77" i="4"/>
  <c r="J77" i="4" s="1"/>
  <c r="F78" i="4"/>
  <c r="J78" i="4" s="1"/>
  <c r="F79" i="4"/>
  <c r="J79" i="4" s="1"/>
  <c r="F80" i="4"/>
  <c r="J80" i="4" s="1"/>
  <c r="F81" i="4"/>
  <c r="J81" i="4" s="1"/>
  <c r="F82" i="4"/>
  <c r="J82" i="4" s="1"/>
  <c r="F83" i="4"/>
  <c r="J83" i="4" s="1"/>
  <c r="F84" i="4"/>
  <c r="J84" i="4" s="1"/>
  <c r="F85" i="4"/>
  <c r="J85" i="4" s="1"/>
  <c r="F86" i="4"/>
  <c r="J86" i="4" s="1"/>
  <c r="F87" i="4"/>
  <c r="J87" i="4" s="1"/>
  <c r="F88" i="4"/>
  <c r="J88" i="4" s="1"/>
  <c r="F89" i="4"/>
  <c r="J89" i="4" s="1"/>
  <c r="F90" i="4"/>
  <c r="J90" i="4" s="1"/>
  <c r="F91" i="4"/>
  <c r="J91" i="4" s="1"/>
  <c r="F92" i="4"/>
  <c r="J92" i="4" s="1"/>
  <c r="F93" i="4"/>
  <c r="J93" i="4" s="1"/>
  <c r="F94" i="4"/>
  <c r="J94" i="4" s="1"/>
  <c r="F95" i="4"/>
  <c r="J95" i="4" s="1"/>
  <c r="F96" i="4"/>
  <c r="J96" i="4" s="1"/>
  <c r="F97" i="4"/>
  <c r="J97" i="4" s="1"/>
  <c r="F98" i="4"/>
  <c r="J98" i="4" s="1"/>
  <c r="F99" i="4"/>
  <c r="J99" i="4" s="1"/>
  <c r="F100" i="4"/>
  <c r="J100" i="4" s="1"/>
  <c r="F101" i="4"/>
  <c r="J101" i="4" s="1"/>
  <c r="F102" i="4"/>
  <c r="J102" i="4" s="1"/>
  <c r="F103" i="4"/>
  <c r="J103" i="4" s="1"/>
  <c r="F104" i="4"/>
  <c r="J104" i="4" s="1"/>
  <c r="F105" i="4"/>
  <c r="J105" i="4" s="1"/>
  <c r="F106" i="4"/>
  <c r="J106" i="4" s="1"/>
  <c r="F107" i="4"/>
  <c r="J107" i="4" s="1"/>
  <c r="F108" i="4"/>
  <c r="J108" i="4" s="1"/>
  <c r="F109" i="4"/>
  <c r="J109" i="4" s="1"/>
  <c r="F110" i="4"/>
  <c r="J110" i="4" s="1"/>
  <c r="F111" i="4"/>
  <c r="J111" i="4" s="1"/>
  <c r="F112" i="4"/>
  <c r="J112" i="4" s="1"/>
  <c r="F113" i="4"/>
  <c r="J113" i="4" s="1"/>
  <c r="F114" i="4"/>
  <c r="J114" i="4" s="1"/>
  <c r="F115" i="4"/>
  <c r="J115" i="4" s="1"/>
  <c r="F116" i="4"/>
  <c r="J116" i="4" s="1"/>
  <c r="F117" i="4"/>
  <c r="J117" i="4" s="1"/>
  <c r="F118" i="4"/>
  <c r="J118" i="4" s="1"/>
  <c r="F119" i="4"/>
  <c r="J119" i="4" s="1"/>
  <c r="F120" i="4"/>
  <c r="J120" i="4" s="1"/>
  <c r="F121" i="4"/>
  <c r="J121" i="4" s="1"/>
  <c r="F122" i="4"/>
  <c r="J122" i="4" s="1"/>
  <c r="F123" i="4"/>
  <c r="J123" i="4" s="1"/>
  <c r="F124" i="4"/>
  <c r="J124" i="4" s="1"/>
  <c r="F125" i="4"/>
  <c r="J125" i="4" s="1"/>
  <c r="F126" i="4"/>
  <c r="J126" i="4" s="1"/>
  <c r="F127" i="4"/>
  <c r="J127" i="4" s="1"/>
  <c r="F128" i="4"/>
  <c r="J128" i="4" s="1"/>
  <c r="F129" i="4"/>
  <c r="J129" i="4" s="1"/>
  <c r="F130" i="4"/>
  <c r="J130" i="4" s="1"/>
  <c r="F131" i="4"/>
  <c r="J131" i="4" s="1"/>
  <c r="F132" i="4"/>
  <c r="J132" i="4" s="1"/>
  <c r="F133" i="4"/>
  <c r="J133" i="4" s="1"/>
  <c r="F134" i="4"/>
  <c r="J134" i="4" s="1"/>
  <c r="F135" i="4"/>
  <c r="J135" i="4" s="1"/>
  <c r="F136" i="4"/>
  <c r="J136" i="4" s="1"/>
  <c r="F137" i="4"/>
  <c r="J137" i="4" s="1"/>
  <c r="F138" i="4"/>
  <c r="J138" i="4" s="1"/>
  <c r="F139" i="4"/>
  <c r="J139" i="4" s="1"/>
  <c r="F140" i="4"/>
  <c r="J140" i="4" s="1"/>
  <c r="F141" i="4"/>
  <c r="J141" i="4" s="1"/>
  <c r="F142" i="4"/>
  <c r="J142" i="4" s="1"/>
  <c r="F143" i="4"/>
  <c r="J143" i="4" s="1"/>
  <c r="F144" i="4"/>
  <c r="J144" i="4" s="1"/>
  <c r="F145" i="4"/>
  <c r="J145" i="4" s="1"/>
  <c r="F146" i="4"/>
  <c r="J146" i="4" s="1"/>
  <c r="F147" i="4"/>
  <c r="J147" i="4" s="1"/>
  <c r="F148" i="4"/>
  <c r="J148" i="4" s="1"/>
  <c r="F149" i="4"/>
  <c r="J149" i="4" s="1"/>
  <c r="F150" i="4"/>
  <c r="J150" i="4" s="1"/>
  <c r="F151" i="4"/>
  <c r="J151" i="4" s="1"/>
  <c r="F152" i="4"/>
  <c r="J152" i="4" s="1"/>
  <c r="F153" i="4"/>
  <c r="J153" i="4" s="1"/>
  <c r="F154" i="4"/>
  <c r="J154" i="4" s="1"/>
  <c r="F155" i="4"/>
  <c r="J155" i="4" s="1"/>
  <c r="F156" i="4"/>
  <c r="J156" i="4" s="1"/>
  <c r="F157" i="4"/>
  <c r="J157" i="4" s="1"/>
  <c r="F158" i="4"/>
  <c r="J158" i="4" s="1"/>
  <c r="F159" i="4"/>
  <c r="J159" i="4" s="1"/>
  <c r="F160" i="4"/>
  <c r="J160" i="4" s="1"/>
  <c r="F161" i="4"/>
  <c r="J161" i="4" s="1"/>
  <c r="F162" i="4"/>
  <c r="J162" i="4" s="1"/>
  <c r="F163" i="4"/>
  <c r="J163" i="4" s="1"/>
  <c r="F164" i="4"/>
  <c r="J164" i="4" s="1"/>
  <c r="F165" i="4"/>
  <c r="J165" i="4" s="1"/>
  <c r="F166" i="4"/>
  <c r="J166" i="4" s="1"/>
  <c r="F167" i="4"/>
  <c r="J167" i="4" s="1"/>
  <c r="F168" i="4"/>
  <c r="J168" i="4" s="1"/>
  <c r="F169" i="4"/>
  <c r="J169" i="4" s="1"/>
  <c r="F170" i="4"/>
  <c r="J170" i="4" s="1"/>
  <c r="F171" i="4"/>
  <c r="J171" i="4" s="1"/>
  <c r="F172" i="4"/>
  <c r="J172" i="4" s="1"/>
  <c r="F173" i="4"/>
  <c r="J173" i="4" s="1"/>
  <c r="F174" i="4"/>
  <c r="J174" i="4" s="1"/>
  <c r="F175" i="4"/>
  <c r="J175" i="4" s="1"/>
  <c r="F176" i="4"/>
  <c r="J176" i="4" s="1"/>
  <c r="F177" i="4"/>
  <c r="J177" i="4" s="1"/>
  <c r="F178" i="4"/>
  <c r="J178" i="4" s="1"/>
  <c r="F179" i="4"/>
  <c r="J179" i="4" s="1"/>
  <c r="F180" i="4"/>
  <c r="J180" i="4" s="1"/>
  <c r="F181" i="4"/>
  <c r="F182" i="4"/>
  <c r="J182" i="4" s="1"/>
  <c r="F183" i="4"/>
  <c r="J183" i="4" s="1"/>
  <c r="F184" i="4"/>
  <c r="J184" i="4" s="1"/>
  <c r="F185" i="4"/>
  <c r="J185" i="4" s="1"/>
  <c r="F186" i="4"/>
  <c r="J186" i="4" s="1"/>
  <c r="F187" i="4"/>
  <c r="J187" i="4" s="1"/>
  <c r="F188" i="4"/>
  <c r="J188" i="4" s="1"/>
  <c r="F189" i="4"/>
  <c r="J189" i="4" s="1"/>
  <c r="F190" i="4"/>
  <c r="J190" i="4" s="1"/>
  <c r="F191" i="4"/>
  <c r="J191" i="4" s="1"/>
  <c r="F192" i="4"/>
  <c r="J192" i="4" s="1"/>
  <c r="F193" i="4"/>
  <c r="J193" i="4" s="1"/>
  <c r="F194" i="4"/>
  <c r="J194" i="4" s="1"/>
  <c r="F195" i="4"/>
  <c r="J195" i="4" s="1"/>
  <c r="F196" i="4"/>
  <c r="J196" i="4" s="1"/>
  <c r="F197" i="4"/>
  <c r="J197" i="4" s="1"/>
  <c r="F198" i="4"/>
  <c r="J198" i="4" s="1"/>
  <c r="F199" i="4"/>
  <c r="J199" i="4" s="1"/>
  <c r="F200" i="4"/>
  <c r="J200" i="4" s="1"/>
  <c r="F201" i="4"/>
  <c r="J201" i="4" s="1"/>
  <c r="F202" i="4"/>
  <c r="J202" i="4" s="1"/>
  <c r="F203" i="4"/>
  <c r="J203" i="4" s="1"/>
  <c r="F204" i="4"/>
  <c r="J204" i="4" s="1"/>
  <c r="F205" i="4"/>
  <c r="J205" i="4" s="1"/>
  <c r="F206" i="4"/>
  <c r="J206" i="4" s="1"/>
  <c r="F207" i="4"/>
  <c r="J207" i="4" s="1"/>
  <c r="F208" i="4"/>
  <c r="J208" i="4" s="1"/>
  <c r="F209" i="4"/>
  <c r="J209" i="4" s="1"/>
  <c r="F210" i="4"/>
  <c r="J210" i="4" s="1"/>
  <c r="F211" i="4"/>
  <c r="J211" i="4" s="1"/>
  <c r="F212" i="4"/>
  <c r="J212" i="4" s="1"/>
  <c r="F213" i="4"/>
  <c r="J213" i="4" s="1"/>
  <c r="F214" i="4"/>
  <c r="J214" i="4" s="1"/>
  <c r="F215" i="4"/>
  <c r="J215" i="4" s="1"/>
  <c r="F216" i="4"/>
  <c r="J216" i="4" s="1"/>
  <c r="F217" i="4"/>
  <c r="J217" i="4" s="1"/>
  <c r="F218" i="4"/>
  <c r="J218" i="4" s="1"/>
  <c r="F219" i="4"/>
  <c r="J219" i="4" s="1"/>
  <c r="F220" i="4"/>
  <c r="J220" i="4" s="1"/>
  <c r="F221" i="4"/>
  <c r="J221" i="4" s="1"/>
  <c r="F222" i="4"/>
  <c r="J222" i="4" s="1"/>
  <c r="F223" i="4"/>
  <c r="J223" i="4" s="1"/>
  <c r="F224" i="4"/>
  <c r="J224" i="4" s="1"/>
  <c r="F225" i="4"/>
  <c r="J225" i="4" s="1"/>
  <c r="F226" i="4"/>
  <c r="J226" i="4" s="1"/>
  <c r="F227" i="4"/>
  <c r="J227" i="4" s="1"/>
  <c r="F228" i="4"/>
  <c r="J228" i="4" s="1"/>
  <c r="F229" i="4"/>
  <c r="J229" i="4" s="1"/>
  <c r="F230" i="4"/>
  <c r="J230" i="4" s="1"/>
  <c r="F231" i="4"/>
  <c r="J231" i="4" s="1"/>
  <c r="F232" i="4"/>
  <c r="J232" i="4" s="1"/>
  <c r="F233" i="4"/>
  <c r="J233" i="4" s="1"/>
  <c r="F234" i="4"/>
  <c r="J234" i="4" s="1"/>
  <c r="F235" i="4"/>
  <c r="J235" i="4" s="1"/>
  <c r="F236" i="4"/>
  <c r="J236" i="4" s="1"/>
  <c r="F237" i="4"/>
  <c r="J237" i="4" s="1"/>
  <c r="F238" i="4"/>
  <c r="J238" i="4" s="1"/>
  <c r="F239" i="4"/>
  <c r="J239" i="4" s="1"/>
  <c r="F240" i="4"/>
  <c r="J240" i="4" s="1"/>
  <c r="F241" i="4"/>
  <c r="J241" i="4" s="1"/>
  <c r="F242" i="4"/>
  <c r="J242" i="4" s="1"/>
  <c r="F243" i="4"/>
  <c r="J243" i="4" s="1"/>
  <c r="F244" i="4"/>
  <c r="J244" i="4" s="1"/>
  <c r="F245" i="4"/>
  <c r="J245" i="4" s="1"/>
  <c r="F246" i="4"/>
  <c r="J246" i="4" s="1"/>
  <c r="F247" i="4"/>
  <c r="J247" i="4" s="1"/>
  <c r="F248" i="4"/>
  <c r="J248" i="4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J334" i="2"/>
  <c r="J332" i="2"/>
  <c r="J525" i="2"/>
  <c r="J1350" i="2"/>
  <c r="J1940" i="2"/>
  <c r="J296" i="2"/>
  <c r="J1130" i="2"/>
  <c r="J1126" i="2"/>
  <c r="J437" i="2"/>
  <c r="J927" i="2"/>
  <c r="J1345" i="2"/>
  <c r="J1665" i="2"/>
  <c r="J1766" i="2"/>
  <c r="J971" i="2"/>
  <c r="J1767" i="2"/>
  <c r="J1668" i="2"/>
  <c r="J2066" i="2"/>
  <c r="J900" i="2"/>
  <c r="J836" i="2"/>
  <c r="J360" i="2"/>
  <c r="J542" i="2"/>
  <c r="J878" i="2"/>
  <c r="J540" i="2"/>
  <c r="J1619" i="2"/>
  <c r="J2064" i="2"/>
  <c r="J1890" i="2"/>
  <c r="J814" i="2"/>
  <c r="J1618" i="2"/>
  <c r="J1272" i="2"/>
  <c r="J1121" i="2"/>
  <c r="J1886" i="2"/>
  <c r="J1309" i="2"/>
  <c r="J1888" i="2"/>
  <c r="J1179" i="2"/>
  <c r="J419" i="2"/>
  <c r="J425" i="2"/>
  <c r="J1249" i="2"/>
  <c r="J1653" i="2"/>
  <c r="J1304" i="2"/>
  <c r="J1153" i="2"/>
  <c r="J1187" i="2"/>
  <c r="J1887" i="2"/>
  <c r="J1869" i="2"/>
  <c r="J600" i="2"/>
  <c r="J1884" i="2"/>
  <c r="J2037" i="2"/>
  <c r="J2038" i="2"/>
  <c r="J422" i="2"/>
  <c r="J1657" i="2"/>
  <c r="J1736" i="2"/>
  <c r="J2069" i="2"/>
  <c r="J926" i="2"/>
  <c r="J1115" i="2"/>
  <c r="J1980" i="2"/>
  <c r="J1735" i="2"/>
  <c r="J968" i="2"/>
  <c r="J2209" i="2"/>
  <c r="J1295" i="2"/>
  <c r="J1492" i="2"/>
  <c r="J2103" i="2"/>
  <c r="J270" i="2"/>
  <c r="J271" i="2"/>
  <c r="J2104" i="2"/>
  <c r="J1405" i="2"/>
  <c r="J2164" i="2"/>
  <c r="J1118" i="2"/>
  <c r="J2166" i="2"/>
  <c r="J333" i="2"/>
  <c r="J1156" i="2"/>
  <c r="J199" i="2"/>
  <c r="J1250" i="2"/>
  <c r="J2121" i="2"/>
  <c r="J1882" i="2"/>
  <c r="J1853" i="2"/>
  <c r="J2198" i="2"/>
  <c r="J2174" i="2"/>
  <c r="J1142" i="2"/>
  <c r="J1656" i="2"/>
  <c r="J1654" i="2"/>
  <c r="J1154" i="2"/>
  <c r="J1989" i="2"/>
  <c r="J2199" i="2"/>
  <c r="J2031" i="2"/>
  <c r="J384" i="2"/>
  <c r="J2002" i="2"/>
  <c r="J1501" i="2"/>
  <c r="J2223" i="2"/>
  <c r="J1132" i="2"/>
  <c r="J1547" i="2"/>
  <c r="J2222" i="2"/>
  <c r="J1655" i="2"/>
  <c r="J289" i="2"/>
  <c r="J1807" i="2"/>
  <c r="J191" i="2"/>
  <c r="J272" i="2"/>
  <c r="J321" i="2"/>
  <c r="J1176" i="2"/>
  <c r="J1811" i="2"/>
  <c r="J831" i="2"/>
  <c r="J1803" i="2"/>
  <c r="J1706" i="2"/>
  <c r="J1271" i="2"/>
  <c r="J2027" i="2"/>
  <c r="J1278" i="2"/>
  <c r="J341" i="2"/>
  <c r="J340" i="2"/>
  <c r="J1891" i="2"/>
  <c r="J1185" i="2"/>
  <c r="J921" i="2"/>
  <c r="J1174" i="2"/>
  <c r="J1263" i="2"/>
  <c r="J1457" i="2"/>
  <c r="J1704" i="2"/>
  <c r="J1544" i="2"/>
  <c r="J5" i="2"/>
  <c r="J1277" i="2"/>
  <c r="J1575" i="2"/>
  <c r="J1640" i="2"/>
  <c r="J1555" i="2"/>
  <c r="J1559" i="2"/>
  <c r="J2280" i="2"/>
  <c r="J2278" i="2"/>
  <c r="J674" i="2"/>
  <c r="J201" i="2"/>
  <c r="J1542" i="2"/>
  <c r="J947" i="2"/>
  <c r="J1622" i="2"/>
  <c r="J982" i="2"/>
  <c r="J1939" i="2"/>
  <c r="J721" i="2"/>
  <c r="J1604" i="2"/>
  <c r="J1605" i="2"/>
  <c r="J1964" i="2"/>
  <c r="J421" i="2"/>
  <c r="J409" i="2"/>
  <c r="J1452" i="2"/>
  <c r="J367" i="2"/>
  <c r="J1773" i="2"/>
  <c r="J2191" i="2"/>
  <c r="J1455" i="2"/>
  <c r="J278" i="2"/>
  <c r="J1552" i="2"/>
  <c r="J1554" i="2"/>
  <c r="J523" i="2"/>
  <c r="J1155" i="2"/>
  <c r="J482" i="2"/>
  <c r="J617" i="2"/>
  <c r="J1967" i="2"/>
  <c r="J726" i="2"/>
  <c r="J1633" i="2"/>
  <c r="J172" i="2"/>
  <c r="J1442" i="2"/>
  <c r="J1443" i="2"/>
  <c r="J484" i="2"/>
  <c r="J1535" i="2"/>
  <c r="J1534" i="2"/>
  <c r="J2279" i="2"/>
  <c r="J1532" i="2"/>
  <c r="J1533" i="2"/>
  <c r="J1799" i="2"/>
  <c r="J1563" i="2"/>
  <c r="J1403" i="2"/>
  <c r="J1402" i="2"/>
  <c r="J1433" i="2"/>
  <c r="J1401" i="2"/>
  <c r="J23" i="2"/>
  <c r="J2105" i="2"/>
  <c r="J121" i="2"/>
  <c r="J2106" i="2"/>
  <c r="J120" i="2"/>
  <c r="J330" i="2"/>
  <c r="J1510" i="2"/>
  <c r="J696" i="2"/>
  <c r="J516" i="2"/>
  <c r="J659" i="2"/>
  <c r="J2033" i="2"/>
  <c r="J697" i="2"/>
  <c r="J2130" i="2"/>
  <c r="J2129" i="2"/>
  <c r="J1808" i="2"/>
  <c r="J1502" i="2"/>
  <c r="J195" i="2"/>
  <c r="J676" i="2"/>
  <c r="J1543" i="2"/>
  <c r="J1505" i="2"/>
  <c r="J2192" i="2"/>
  <c r="J2190" i="2"/>
  <c r="J515" i="2"/>
  <c r="J1300" i="2"/>
  <c r="J1658" i="2"/>
  <c r="J1628" i="2"/>
  <c r="J2256" i="2"/>
  <c r="J1801" i="2"/>
  <c r="J1810" i="2"/>
  <c r="J418" i="2"/>
  <c r="J690" i="2"/>
  <c r="J691" i="2"/>
  <c r="J412" i="2"/>
  <c r="J8" i="2"/>
  <c r="J1275" i="2"/>
  <c r="J2001" i="2"/>
  <c r="J1188" i="2"/>
  <c r="J2025" i="2"/>
  <c r="J2003" i="2"/>
  <c r="J331" i="2"/>
  <c r="J2005" i="2"/>
  <c r="J309" i="2"/>
  <c r="J2216" i="2"/>
  <c r="J2215" i="2"/>
  <c r="J1777" i="2"/>
  <c r="J401" i="2"/>
  <c r="J400" i="2"/>
  <c r="J1905" i="2"/>
  <c r="J1996" i="2"/>
  <c r="J557" i="2"/>
  <c r="J1626" i="2"/>
  <c r="J323" i="2"/>
  <c r="J294" i="2"/>
  <c r="J1546" i="2"/>
  <c r="J308" i="2"/>
  <c r="J310" i="2"/>
  <c r="J1252" i="2"/>
  <c r="J607" i="2"/>
  <c r="J1511" i="2"/>
  <c r="J1308" i="2"/>
  <c r="J1322" i="2"/>
  <c r="J704" i="2"/>
  <c r="J1525" i="2"/>
  <c r="J2212" i="2"/>
  <c r="J2028" i="2"/>
  <c r="J1175" i="2"/>
  <c r="J1812" i="2"/>
  <c r="J1806" i="2"/>
  <c r="J998" i="2"/>
  <c r="J2135" i="2"/>
  <c r="J2243" i="2"/>
  <c r="J1995" i="2"/>
  <c r="J1499" i="2"/>
  <c r="J1436" i="2"/>
  <c r="J1435" i="2"/>
  <c r="J1456" i="2"/>
  <c r="J1500" i="2"/>
  <c r="J2026" i="2"/>
  <c r="J2006" i="2"/>
  <c r="J2004" i="2"/>
  <c r="J436" i="2"/>
  <c r="J2107" i="2"/>
  <c r="J1270" i="2"/>
  <c r="J122" i="2"/>
  <c r="J2153" i="2"/>
  <c r="J2165" i="2"/>
  <c r="J959" i="2"/>
  <c r="J1638" i="2"/>
  <c r="J2150" i="2"/>
  <c r="J1577" i="2"/>
  <c r="J464" i="2"/>
  <c r="J459" i="2"/>
  <c r="J1576" i="2"/>
  <c r="J469" i="2"/>
  <c r="J462" i="2"/>
  <c r="J467" i="2"/>
  <c r="J466" i="2"/>
  <c r="J465" i="2"/>
  <c r="J463" i="2"/>
  <c r="J468" i="2"/>
  <c r="J2109" i="2"/>
  <c r="J471" i="2"/>
  <c r="J470" i="2"/>
  <c r="J460" i="2"/>
  <c r="J621" i="2"/>
  <c r="J1143" i="2"/>
  <c r="J1454" i="2"/>
  <c r="J329" i="2"/>
  <c r="J1108" i="2"/>
  <c r="J1107" i="2"/>
  <c r="J307" i="2"/>
  <c r="J450" i="2"/>
  <c r="J1844" i="2"/>
  <c r="J2133" i="2"/>
  <c r="J1707" i="2"/>
  <c r="J385" i="2"/>
  <c r="J1253" i="2"/>
  <c r="J1712" i="2"/>
  <c r="J521" i="2"/>
  <c r="J2250" i="2"/>
  <c r="J190" i="2"/>
  <c r="J187" i="2"/>
  <c r="J1246" i="2"/>
  <c r="J1593" i="2"/>
  <c r="J1644" i="2"/>
  <c r="J2096" i="2"/>
  <c r="J1709" i="2"/>
  <c r="J1711" i="2"/>
  <c r="J2098" i="2"/>
  <c r="J1494" i="2"/>
  <c r="J1599" i="2"/>
  <c r="J2100" i="2"/>
  <c r="J1710" i="2"/>
  <c r="J684" i="2"/>
  <c r="J736" i="2"/>
  <c r="J2204" i="2"/>
  <c r="J730" i="2"/>
  <c r="J1708" i="2"/>
  <c r="J2094" i="2"/>
  <c r="J2110" i="2"/>
  <c r="J1117" i="2"/>
  <c r="J20" i="2"/>
  <c r="J614" i="2"/>
  <c r="J2302" i="2"/>
  <c r="J1024" i="2"/>
  <c r="J472" i="2"/>
  <c r="J872" i="2"/>
  <c r="J902" i="2"/>
  <c r="J1122" i="2"/>
  <c r="J2163" i="2"/>
  <c r="J611" i="2"/>
  <c r="J882" i="2"/>
  <c r="J2118" i="2"/>
  <c r="J613" i="2"/>
  <c r="J961" i="2"/>
  <c r="J1649" i="2"/>
  <c r="J1568" i="2"/>
  <c r="J1302" i="2"/>
  <c r="J2267" i="2"/>
  <c r="J371" i="2"/>
  <c r="J399" i="2"/>
  <c r="J2266" i="2"/>
  <c r="J1771" i="2"/>
  <c r="J1986" i="2"/>
  <c r="J2119" i="2"/>
  <c r="J1602" i="2"/>
  <c r="J200" i="2"/>
  <c r="J179" i="2"/>
  <c r="J281" i="2"/>
  <c r="J1289" i="2"/>
  <c r="J1168" i="2"/>
  <c r="J1177" i="2"/>
  <c r="J435" i="2"/>
  <c r="J1462" i="2"/>
  <c r="J1763" i="2"/>
  <c r="J2188" i="2"/>
  <c r="J322" i="2"/>
  <c r="J1624" i="2"/>
  <c r="J1627" i="2"/>
  <c r="J1268" i="2"/>
  <c r="J681" i="2"/>
  <c r="J1493" i="2"/>
  <c r="J837" i="2"/>
  <c r="J361" i="2"/>
  <c r="J1410" i="2"/>
  <c r="J1453" i="2"/>
  <c r="J1426" i="2"/>
  <c r="J1259" i="2"/>
  <c r="J2" i="2"/>
  <c r="J3" i="2"/>
  <c r="J4" i="2"/>
  <c r="J6" i="2"/>
  <c r="J7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3" i="2"/>
  <c r="J174" i="2"/>
  <c r="J175" i="2"/>
  <c r="J176" i="2"/>
  <c r="J177" i="2"/>
  <c r="J178" i="2"/>
  <c r="J180" i="2"/>
  <c r="J181" i="2"/>
  <c r="J182" i="2"/>
  <c r="J183" i="2"/>
  <c r="J184" i="2"/>
  <c r="J185" i="2"/>
  <c r="J186" i="2"/>
  <c r="J188" i="2"/>
  <c r="J189" i="2"/>
  <c r="J192" i="2"/>
  <c r="J193" i="2"/>
  <c r="J194" i="2"/>
  <c r="J196" i="2"/>
  <c r="J197" i="2"/>
  <c r="J198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3" i="2"/>
  <c r="J274" i="2"/>
  <c r="J275" i="2"/>
  <c r="J276" i="2"/>
  <c r="J277" i="2"/>
  <c r="J279" i="2"/>
  <c r="J280" i="2"/>
  <c r="J282" i="2"/>
  <c r="J283" i="2"/>
  <c r="J284" i="2"/>
  <c r="J285" i="2"/>
  <c r="J286" i="2"/>
  <c r="J287" i="2"/>
  <c r="J288" i="2"/>
  <c r="J290" i="2"/>
  <c r="J291" i="2"/>
  <c r="J292" i="2"/>
  <c r="J293" i="2"/>
  <c r="J295" i="2"/>
  <c r="J297" i="2"/>
  <c r="J298" i="2"/>
  <c r="J299" i="2"/>
  <c r="J300" i="2"/>
  <c r="J301" i="2"/>
  <c r="J302" i="2"/>
  <c r="J303" i="2"/>
  <c r="J304" i="2"/>
  <c r="J305" i="2"/>
  <c r="J306" i="2"/>
  <c r="J311" i="2"/>
  <c r="J312" i="2"/>
  <c r="J313" i="2"/>
  <c r="J314" i="2"/>
  <c r="J315" i="2"/>
  <c r="J316" i="2"/>
  <c r="J317" i="2"/>
  <c r="J318" i="2"/>
  <c r="J319" i="2"/>
  <c r="J320" i="2"/>
  <c r="J324" i="2"/>
  <c r="J325" i="2"/>
  <c r="J326" i="2"/>
  <c r="J327" i="2"/>
  <c r="J328" i="2"/>
  <c r="J335" i="2"/>
  <c r="J336" i="2"/>
  <c r="J337" i="2"/>
  <c r="J338" i="2"/>
  <c r="J339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2" i="2"/>
  <c r="J363" i="2"/>
  <c r="J364" i="2"/>
  <c r="J365" i="2"/>
  <c r="J366" i="2"/>
  <c r="J368" i="2"/>
  <c r="J369" i="2"/>
  <c r="J370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402" i="2"/>
  <c r="J403" i="2"/>
  <c r="J404" i="2"/>
  <c r="J405" i="2"/>
  <c r="J406" i="2"/>
  <c r="J407" i="2"/>
  <c r="J408" i="2"/>
  <c r="J410" i="2"/>
  <c r="J411" i="2"/>
  <c r="J413" i="2"/>
  <c r="J414" i="2"/>
  <c r="J415" i="2"/>
  <c r="J416" i="2"/>
  <c r="J417" i="2"/>
  <c r="J420" i="2"/>
  <c r="J423" i="2"/>
  <c r="J424" i="2"/>
  <c r="J426" i="2"/>
  <c r="J427" i="2"/>
  <c r="J428" i="2"/>
  <c r="J429" i="2"/>
  <c r="J430" i="2"/>
  <c r="J431" i="2"/>
  <c r="J432" i="2"/>
  <c r="J433" i="2"/>
  <c r="J434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1" i="2"/>
  <c r="J452" i="2"/>
  <c r="J453" i="2"/>
  <c r="J454" i="2"/>
  <c r="J455" i="2"/>
  <c r="J456" i="2"/>
  <c r="J457" i="2"/>
  <c r="J458" i="2"/>
  <c r="J461" i="2"/>
  <c r="J473" i="2"/>
  <c r="J474" i="2"/>
  <c r="J475" i="2"/>
  <c r="J476" i="2"/>
  <c r="J477" i="2"/>
  <c r="J478" i="2"/>
  <c r="J479" i="2"/>
  <c r="J480" i="2"/>
  <c r="J481" i="2"/>
  <c r="J483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7" i="2"/>
  <c r="J518" i="2"/>
  <c r="J519" i="2"/>
  <c r="J520" i="2"/>
  <c r="J522" i="2"/>
  <c r="J524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1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1" i="2"/>
  <c r="J602" i="2"/>
  <c r="J603" i="2"/>
  <c r="J604" i="2"/>
  <c r="J605" i="2"/>
  <c r="J606" i="2"/>
  <c r="J608" i="2"/>
  <c r="J609" i="2"/>
  <c r="J610" i="2"/>
  <c r="J612" i="2"/>
  <c r="J615" i="2"/>
  <c r="J616" i="2"/>
  <c r="J618" i="2"/>
  <c r="J619" i="2"/>
  <c r="J620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5" i="2"/>
  <c r="J677" i="2"/>
  <c r="J678" i="2"/>
  <c r="J679" i="2"/>
  <c r="J680" i="2"/>
  <c r="J682" i="2"/>
  <c r="J683" i="2"/>
  <c r="J685" i="2"/>
  <c r="J686" i="2"/>
  <c r="J687" i="2"/>
  <c r="J688" i="2"/>
  <c r="J689" i="2"/>
  <c r="J692" i="2"/>
  <c r="J693" i="2"/>
  <c r="J694" i="2"/>
  <c r="J695" i="2"/>
  <c r="J698" i="2"/>
  <c r="J699" i="2"/>
  <c r="J700" i="2"/>
  <c r="J701" i="2"/>
  <c r="J702" i="2"/>
  <c r="J703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2" i="2"/>
  <c r="J723" i="2"/>
  <c r="J724" i="2"/>
  <c r="J725" i="2"/>
  <c r="J727" i="2"/>
  <c r="J728" i="2"/>
  <c r="J729" i="2"/>
  <c r="J731" i="2"/>
  <c r="J732" i="2"/>
  <c r="J733" i="2"/>
  <c r="J734" i="2"/>
  <c r="J735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2" i="2"/>
  <c r="J833" i="2"/>
  <c r="J834" i="2"/>
  <c r="J835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3" i="2"/>
  <c r="J874" i="2"/>
  <c r="J875" i="2"/>
  <c r="J876" i="2"/>
  <c r="J877" i="2"/>
  <c r="J879" i="2"/>
  <c r="J880" i="2"/>
  <c r="J881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1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2" i="2"/>
  <c r="J923" i="2"/>
  <c r="J924" i="2"/>
  <c r="J925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8" i="2"/>
  <c r="J949" i="2"/>
  <c r="J950" i="2"/>
  <c r="J951" i="2"/>
  <c r="J952" i="2"/>
  <c r="J953" i="2"/>
  <c r="J954" i="2"/>
  <c r="J955" i="2"/>
  <c r="J956" i="2"/>
  <c r="J957" i="2"/>
  <c r="J958" i="2"/>
  <c r="J960" i="2"/>
  <c r="J962" i="2"/>
  <c r="J963" i="2"/>
  <c r="J964" i="2"/>
  <c r="J965" i="2"/>
  <c r="J966" i="2"/>
  <c r="J967" i="2"/>
  <c r="J969" i="2"/>
  <c r="J970" i="2"/>
  <c r="J972" i="2"/>
  <c r="J973" i="2"/>
  <c r="J974" i="2"/>
  <c r="J975" i="2"/>
  <c r="J976" i="2"/>
  <c r="J977" i="2"/>
  <c r="J978" i="2"/>
  <c r="J979" i="2"/>
  <c r="J980" i="2"/>
  <c r="J981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9" i="2"/>
  <c r="J1110" i="2"/>
  <c r="J1111" i="2"/>
  <c r="J1112" i="2"/>
  <c r="J1113" i="2"/>
  <c r="J1114" i="2"/>
  <c r="J1116" i="2"/>
  <c r="J1119" i="2"/>
  <c r="J1120" i="2"/>
  <c r="J1123" i="2"/>
  <c r="J1124" i="2"/>
  <c r="J1125" i="2"/>
  <c r="J1127" i="2"/>
  <c r="J1128" i="2"/>
  <c r="J1129" i="2"/>
  <c r="J1131" i="2"/>
  <c r="J1133" i="2"/>
  <c r="J1134" i="2"/>
  <c r="J1135" i="2"/>
  <c r="J1136" i="2"/>
  <c r="J1137" i="2"/>
  <c r="J1138" i="2"/>
  <c r="J1139" i="2"/>
  <c r="J1140" i="2"/>
  <c r="J1141" i="2"/>
  <c r="J1144" i="2"/>
  <c r="J1145" i="2"/>
  <c r="J1146" i="2"/>
  <c r="J1147" i="2"/>
  <c r="J1148" i="2"/>
  <c r="J1149" i="2"/>
  <c r="J1150" i="2"/>
  <c r="J1151" i="2"/>
  <c r="J1152" i="2"/>
  <c r="J1157" i="2"/>
  <c r="J1158" i="2"/>
  <c r="J1159" i="2"/>
  <c r="J1160" i="2"/>
  <c r="J1161" i="2"/>
  <c r="J1162" i="2"/>
  <c r="J1163" i="2"/>
  <c r="J1164" i="2"/>
  <c r="J1165" i="2"/>
  <c r="J1166" i="2"/>
  <c r="J1167" i="2"/>
  <c r="J1169" i="2"/>
  <c r="J1170" i="2"/>
  <c r="J1171" i="2"/>
  <c r="J1172" i="2"/>
  <c r="J1173" i="2"/>
  <c r="J1178" i="2"/>
  <c r="J1180" i="2"/>
  <c r="J1181" i="2"/>
  <c r="J1182" i="2"/>
  <c r="J1183" i="2"/>
  <c r="J1184" i="2"/>
  <c r="J1186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7" i="2"/>
  <c r="J1248" i="2"/>
  <c r="J1251" i="2"/>
  <c r="J1254" i="2"/>
  <c r="J1255" i="2"/>
  <c r="J1256" i="2"/>
  <c r="J1257" i="2"/>
  <c r="J1258" i="2"/>
  <c r="J1260" i="2"/>
  <c r="J1261" i="2"/>
  <c r="J1262" i="2"/>
  <c r="J1264" i="2"/>
  <c r="J1265" i="2"/>
  <c r="J1266" i="2"/>
  <c r="J1267" i="2"/>
  <c r="J1269" i="2"/>
  <c r="J1273" i="2"/>
  <c r="J1274" i="2"/>
  <c r="J1276" i="2"/>
  <c r="J1279" i="2"/>
  <c r="J1280" i="2"/>
  <c r="J1281" i="2"/>
  <c r="J1282" i="2"/>
  <c r="J1283" i="2"/>
  <c r="J1284" i="2"/>
  <c r="J1285" i="2"/>
  <c r="J1286" i="2"/>
  <c r="J1287" i="2"/>
  <c r="J1288" i="2"/>
  <c r="J1290" i="2"/>
  <c r="J1291" i="2"/>
  <c r="J1292" i="2"/>
  <c r="J1293" i="2"/>
  <c r="J1294" i="2"/>
  <c r="J1296" i="2"/>
  <c r="J1297" i="2"/>
  <c r="J1298" i="2"/>
  <c r="J1299" i="2"/>
  <c r="J1301" i="2"/>
  <c r="J1303" i="2"/>
  <c r="J1305" i="2"/>
  <c r="J1306" i="2"/>
  <c r="J1307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6" i="2"/>
  <c r="J1347" i="2"/>
  <c r="J1348" i="2"/>
  <c r="J1349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4" i="2"/>
  <c r="J1406" i="2"/>
  <c r="J1407" i="2"/>
  <c r="J1408" i="2"/>
  <c r="J1409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7" i="2"/>
  <c r="J1428" i="2"/>
  <c r="J1429" i="2"/>
  <c r="J1430" i="2"/>
  <c r="J1431" i="2"/>
  <c r="J1432" i="2"/>
  <c r="J1434" i="2"/>
  <c r="J1437" i="2"/>
  <c r="J1438" i="2"/>
  <c r="J1439" i="2"/>
  <c r="J1440" i="2"/>
  <c r="J1441" i="2"/>
  <c r="J1444" i="2"/>
  <c r="J1445" i="2"/>
  <c r="J1446" i="2"/>
  <c r="J1447" i="2"/>
  <c r="J1448" i="2"/>
  <c r="J1449" i="2"/>
  <c r="J1450" i="2"/>
  <c r="J1451" i="2"/>
  <c r="J1458" i="2"/>
  <c r="J1459" i="2"/>
  <c r="J1460" i="2"/>
  <c r="J1461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5" i="2"/>
  <c r="J1496" i="2"/>
  <c r="J1497" i="2"/>
  <c r="J1498" i="2"/>
  <c r="J1503" i="2"/>
  <c r="J1504" i="2"/>
  <c r="J1506" i="2"/>
  <c r="J1507" i="2"/>
  <c r="J1508" i="2"/>
  <c r="J1509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6" i="2"/>
  <c r="J1527" i="2"/>
  <c r="J1528" i="2"/>
  <c r="J1529" i="2"/>
  <c r="J1530" i="2"/>
  <c r="J1531" i="2"/>
  <c r="J1536" i="2"/>
  <c r="J1537" i="2"/>
  <c r="J1538" i="2"/>
  <c r="J1539" i="2"/>
  <c r="J1540" i="2"/>
  <c r="J1541" i="2"/>
  <c r="J1545" i="2"/>
  <c r="J1548" i="2"/>
  <c r="J1549" i="2"/>
  <c r="J1550" i="2"/>
  <c r="J1551" i="2"/>
  <c r="J1553" i="2"/>
  <c r="J1556" i="2"/>
  <c r="J1557" i="2"/>
  <c r="J1558" i="2"/>
  <c r="J1560" i="2"/>
  <c r="J1561" i="2"/>
  <c r="J1562" i="2"/>
  <c r="J1564" i="2"/>
  <c r="J1565" i="2"/>
  <c r="J1566" i="2"/>
  <c r="J1567" i="2"/>
  <c r="J1569" i="2"/>
  <c r="J1570" i="2"/>
  <c r="J1571" i="2"/>
  <c r="J1572" i="2"/>
  <c r="J1573" i="2"/>
  <c r="J1574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4" i="2"/>
  <c r="J1595" i="2"/>
  <c r="J1596" i="2"/>
  <c r="J1597" i="2"/>
  <c r="J1598" i="2"/>
  <c r="J1600" i="2"/>
  <c r="J1601" i="2"/>
  <c r="J1603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20" i="2"/>
  <c r="J1621" i="2"/>
  <c r="J1623" i="2"/>
  <c r="J1625" i="2"/>
  <c r="J1629" i="2"/>
  <c r="J1630" i="2"/>
  <c r="J1631" i="2"/>
  <c r="J1632" i="2"/>
  <c r="J1634" i="2"/>
  <c r="J1635" i="2"/>
  <c r="J1636" i="2"/>
  <c r="J1637" i="2"/>
  <c r="J1639" i="2"/>
  <c r="J1641" i="2"/>
  <c r="J1642" i="2"/>
  <c r="J1643" i="2"/>
  <c r="J1645" i="2"/>
  <c r="J1646" i="2"/>
  <c r="J1647" i="2"/>
  <c r="J1648" i="2"/>
  <c r="J1650" i="2"/>
  <c r="J1651" i="2"/>
  <c r="J1652" i="2"/>
  <c r="J1659" i="2"/>
  <c r="J1660" i="2"/>
  <c r="J1661" i="2"/>
  <c r="J1662" i="2"/>
  <c r="J1663" i="2"/>
  <c r="J1664" i="2"/>
  <c r="J1666" i="2"/>
  <c r="J1667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5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4" i="2"/>
  <c r="J1765" i="2"/>
  <c r="J1768" i="2"/>
  <c r="J1769" i="2"/>
  <c r="J1770" i="2"/>
  <c r="J1772" i="2"/>
  <c r="J1774" i="2"/>
  <c r="J1775" i="2"/>
  <c r="J1776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800" i="2"/>
  <c r="J1802" i="2"/>
  <c r="J1804" i="2"/>
  <c r="J1805" i="2"/>
  <c r="J1809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5" i="2"/>
  <c r="J1846" i="2"/>
  <c r="J1847" i="2"/>
  <c r="J1848" i="2"/>
  <c r="J1849" i="2"/>
  <c r="J1850" i="2"/>
  <c r="J1851" i="2"/>
  <c r="J1852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3" i="2"/>
  <c r="J1885" i="2"/>
  <c r="J1889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5" i="2"/>
  <c r="J1966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1" i="2"/>
  <c r="J1982" i="2"/>
  <c r="J1983" i="2"/>
  <c r="J1984" i="2"/>
  <c r="J1985" i="2"/>
  <c r="J1987" i="2"/>
  <c r="J1988" i="2"/>
  <c r="J1990" i="2"/>
  <c r="J1991" i="2"/>
  <c r="J1992" i="2"/>
  <c r="J1993" i="2"/>
  <c r="J1994" i="2"/>
  <c r="J1997" i="2"/>
  <c r="J1998" i="2"/>
  <c r="J1999" i="2"/>
  <c r="J2000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9" i="2"/>
  <c r="J2030" i="2"/>
  <c r="J2032" i="2"/>
  <c r="J2034" i="2"/>
  <c r="J2035" i="2"/>
  <c r="J2036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5" i="2"/>
  <c r="J2067" i="2"/>
  <c r="J2068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5" i="2"/>
  <c r="J2097" i="2"/>
  <c r="J2099" i="2"/>
  <c r="J2101" i="2"/>
  <c r="J2102" i="2"/>
  <c r="J2108" i="2"/>
  <c r="J2111" i="2"/>
  <c r="J2112" i="2"/>
  <c r="J2113" i="2"/>
  <c r="J2114" i="2"/>
  <c r="J2115" i="2"/>
  <c r="J2116" i="2"/>
  <c r="J2117" i="2"/>
  <c r="J2120" i="2"/>
  <c r="J2122" i="2"/>
  <c r="J2123" i="2"/>
  <c r="J2124" i="2"/>
  <c r="J2125" i="2"/>
  <c r="J2126" i="2"/>
  <c r="J2127" i="2"/>
  <c r="J2128" i="2"/>
  <c r="J2131" i="2"/>
  <c r="J2132" i="2"/>
  <c r="J2134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1" i="2"/>
  <c r="J2152" i="2"/>
  <c r="J2154" i="2"/>
  <c r="J2155" i="2"/>
  <c r="J2156" i="2"/>
  <c r="J2157" i="2"/>
  <c r="J2158" i="2"/>
  <c r="J2159" i="2"/>
  <c r="J2160" i="2"/>
  <c r="J2161" i="2"/>
  <c r="J2162" i="2"/>
  <c r="J2167" i="2"/>
  <c r="J2168" i="2"/>
  <c r="J2169" i="2"/>
  <c r="J2170" i="2"/>
  <c r="J2171" i="2"/>
  <c r="J2172" i="2"/>
  <c r="J2173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9" i="2"/>
  <c r="J2193" i="2"/>
  <c r="J2194" i="2"/>
  <c r="J2195" i="2"/>
  <c r="J2196" i="2"/>
  <c r="J2197" i="2"/>
  <c r="J2200" i="2"/>
  <c r="J2201" i="2"/>
  <c r="J2202" i="2"/>
  <c r="J2203" i="2"/>
  <c r="J2205" i="2"/>
  <c r="J2206" i="2"/>
  <c r="J2207" i="2"/>
  <c r="J2208" i="2"/>
  <c r="J2210" i="2"/>
  <c r="J2211" i="2"/>
  <c r="J2213" i="2"/>
  <c r="J2214" i="2"/>
  <c r="J2217" i="2"/>
  <c r="J2218" i="2"/>
  <c r="J2219" i="2"/>
  <c r="J2220" i="2"/>
  <c r="J2221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4" i="2"/>
  <c r="J2245" i="2"/>
  <c r="J2246" i="2"/>
  <c r="J2247" i="2"/>
  <c r="J2248" i="2"/>
  <c r="J2249" i="2"/>
  <c r="J2251" i="2"/>
  <c r="J2252" i="2"/>
  <c r="J2253" i="2"/>
  <c r="J2254" i="2"/>
  <c r="J2255" i="2"/>
  <c r="J2257" i="2"/>
  <c r="J2258" i="2"/>
  <c r="J2259" i="2"/>
  <c r="J2260" i="2"/>
  <c r="J2261" i="2"/>
  <c r="J2262" i="2"/>
  <c r="J2263" i="2"/>
  <c r="J2264" i="2"/>
  <c r="J2265" i="2"/>
  <c r="J2268" i="2"/>
  <c r="J2269" i="2"/>
  <c r="J2270" i="2"/>
  <c r="J2271" i="2"/>
  <c r="J2272" i="2"/>
  <c r="J2273" i="2"/>
  <c r="J2274" i="2"/>
  <c r="J2275" i="2"/>
  <c r="J2276" i="2"/>
  <c r="J2277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3" i="2"/>
  <c r="J2304" i="2"/>
  <c r="J2305" i="2"/>
  <c r="J2306" i="2"/>
  <c r="J2307" i="2"/>
  <c r="J2308" i="2"/>
  <c r="J2309" i="2"/>
  <c r="I334" i="2"/>
  <c r="I332" i="2"/>
  <c r="I525" i="2"/>
  <c r="I1350" i="2"/>
  <c r="I1940" i="2"/>
  <c r="I296" i="2"/>
  <c r="I1130" i="2"/>
  <c r="I1126" i="2"/>
  <c r="I437" i="2"/>
  <c r="I927" i="2"/>
  <c r="I1345" i="2"/>
  <c r="I1665" i="2"/>
  <c r="I1766" i="2"/>
  <c r="I971" i="2"/>
  <c r="I1767" i="2"/>
  <c r="I1668" i="2"/>
  <c r="I2066" i="2"/>
  <c r="I900" i="2"/>
  <c r="I836" i="2"/>
  <c r="I360" i="2"/>
  <c r="I542" i="2"/>
  <c r="I878" i="2"/>
  <c r="I540" i="2"/>
  <c r="I1619" i="2"/>
  <c r="I2064" i="2"/>
  <c r="I1890" i="2"/>
  <c r="I814" i="2"/>
  <c r="I1618" i="2"/>
  <c r="I1272" i="2"/>
  <c r="I1121" i="2"/>
  <c r="I1886" i="2"/>
  <c r="I1309" i="2"/>
  <c r="I1888" i="2"/>
  <c r="I1179" i="2"/>
  <c r="I419" i="2"/>
  <c r="I425" i="2"/>
  <c r="I1249" i="2"/>
  <c r="I1653" i="2"/>
  <c r="I1304" i="2"/>
  <c r="I1153" i="2"/>
  <c r="I1187" i="2"/>
  <c r="I1887" i="2"/>
  <c r="I1869" i="2"/>
  <c r="I600" i="2"/>
  <c r="I1884" i="2"/>
  <c r="I2037" i="2"/>
  <c r="I2038" i="2"/>
  <c r="I422" i="2"/>
  <c r="I1657" i="2"/>
  <c r="I1736" i="2"/>
  <c r="I2069" i="2"/>
  <c r="I926" i="2"/>
  <c r="I1115" i="2"/>
  <c r="I1980" i="2"/>
  <c r="I1735" i="2"/>
  <c r="I968" i="2"/>
  <c r="I2209" i="2"/>
  <c r="I1295" i="2"/>
  <c r="I1492" i="2"/>
  <c r="I2103" i="2"/>
  <c r="I270" i="2"/>
  <c r="I271" i="2"/>
  <c r="I2104" i="2"/>
  <c r="I1405" i="2"/>
  <c r="I2164" i="2"/>
  <c r="I1118" i="2"/>
  <c r="I2166" i="2"/>
  <c r="I333" i="2"/>
  <c r="I1156" i="2"/>
  <c r="I199" i="2"/>
  <c r="I1250" i="2"/>
  <c r="I2121" i="2"/>
  <c r="I1882" i="2"/>
  <c r="I1853" i="2"/>
  <c r="I2198" i="2"/>
  <c r="I2174" i="2"/>
  <c r="I1142" i="2"/>
  <c r="I1656" i="2"/>
  <c r="I1654" i="2"/>
  <c r="I1154" i="2"/>
  <c r="I1989" i="2"/>
  <c r="I2199" i="2"/>
  <c r="I2031" i="2"/>
  <c r="I384" i="2"/>
  <c r="I2002" i="2"/>
  <c r="I1501" i="2"/>
  <c r="I2223" i="2"/>
  <c r="I1132" i="2"/>
  <c r="I1547" i="2"/>
  <c r="I2222" i="2"/>
  <c r="I1655" i="2"/>
  <c r="I289" i="2"/>
  <c r="I1807" i="2"/>
  <c r="I191" i="2"/>
  <c r="I272" i="2"/>
  <c r="I321" i="2"/>
  <c r="I1176" i="2"/>
  <c r="I1811" i="2"/>
  <c r="I831" i="2"/>
  <c r="I1803" i="2"/>
  <c r="I1706" i="2"/>
  <c r="I1271" i="2"/>
  <c r="I2027" i="2"/>
  <c r="I1278" i="2"/>
  <c r="I341" i="2"/>
  <c r="I340" i="2"/>
  <c r="I1891" i="2"/>
  <c r="I1185" i="2"/>
  <c r="I921" i="2"/>
  <c r="I1174" i="2"/>
  <c r="I1263" i="2"/>
  <c r="I1457" i="2"/>
  <c r="I1704" i="2"/>
  <c r="I1544" i="2"/>
  <c r="I5" i="2"/>
  <c r="I1277" i="2"/>
  <c r="I1575" i="2"/>
  <c r="I1640" i="2"/>
  <c r="I1555" i="2"/>
  <c r="I1559" i="2"/>
  <c r="I2280" i="2"/>
  <c r="I2278" i="2"/>
  <c r="I674" i="2"/>
  <c r="I201" i="2"/>
  <c r="I1542" i="2"/>
  <c r="I947" i="2"/>
  <c r="I1622" i="2"/>
  <c r="I982" i="2"/>
  <c r="I1939" i="2"/>
  <c r="I721" i="2"/>
  <c r="I1604" i="2"/>
  <c r="I1605" i="2"/>
  <c r="I1964" i="2"/>
  <c r="I421" i="2"/>
  <c r="I409" i="2"/>
  <c r="I1452" i="2"/>
  <c r="I367" i="2"/>
  <c r="I1773" i="2"/>
  <c r="I2191" i="2"/>
  <c r="I1455" i="2"/>
  <c r="I278" i="2"/>
  <c r="I1552" i="2"/>
  <c r="I1554" i="2"/>
  <c r="I523" i="2"/>
  <c r="I1155" i="2"/>
  <c r="I482" i="2"/>
  <c r="I617" i="2"/>
  <c r="I1967" i="2"/>
  <c r="I726" i="2"/>
  <c r="I1633" i="2"/>
  <c r="I172" i="2"/>
  <c r="I1442" i="2"/>
  <c r="I1443" i="2"/>
  <c r="I484" i="2"/>
  <c r="I1535" i="2"/>
  <c r="I1534" i="2"/>
  <c r="I2279" i="2"/>
  <c r="I1532" i="2"/>
  <c r="I1533" i="2"/>
  <c r="I1799" i="2"/>
  <c r="I1563" i="2"/>
  <c r="I1403" i="2"/>
  <c r="I1402" i="2"/>
  <c r="I1433" i="2"/>
  <c r="I1401" i="2"/>
  <c r="I23" i="2"/>
  <c r="I2105" i="2"/>
  <c r="I121" i="2"/>
  <c r="I2106" i="2"/>
  <c r="I120" i="2"/>
  <c r="I330" i="2"/>
  <c r="I1510" i="2"/>
  <c r="I696" i="2"/>
  <c r="I516" i="2"/>
  <c r="I659" i="2"/>
  <c r="I2033" i="2"/>
  <c r="I697" i="2"/>
  <c r="I2130" i="2"/>
  <c r="I2129" i="2"/>
  <c r="I1808" i="2"/>
  <c r="I1502" i="2"/>
  <c r="I195" i="2"/>
  <c r="I676" i="2"/>
  <c r="I1543" i="2"/>
  <c r="I1505" i="2"/>
  <c r="I2192" i="2"/>
  <c r="I2190" i="2"/>
  <c r="I515" i="2"/>
  <c r="I1300" i="2"/>
  <c r="I1658" i="2"/>
  <c r="I1628" i="2"/>
  <c r="I2256" i="2"/>
  <c r="I1801" i="2"/>
  <c r="I1810" i="2"/>
  <c r="I418" i="2"/>
  <c r="I690" i="2"/>
  <c r="I691" i="2"/>
  <c r="I412" i="2"/>
  <c r="I8" i="2"/>
  <c r="I1275" i="2"/>
  <c r="I2001" i="2"/>
  <c r="I1188" i="2"/>
  <c r="I2025" i="2"/>
  <c r="I2003" i="2"/>
  <c r="I331" i="2"/>
  <c r="I2005" i="2"/>
  <c r="I309" i="2"/>
  <c r="I2216" i="2"/>
  <c r="I2215" i="2"/>
  <c r="I1777" i="2"/>
  <c r="I401" i="2"/>
  <c r="I400" i="2"/>
  <c r="I1905" i="2"/>
  <c r="I1996" i="2"/>
  <c r="I557" i="2"/>
  <c r="I1626" i="2"/>
  <c r="I323" i="2"/>
  <c r="I294" i="2"/>
  <c r="I1546" i="2"/>
  <c r="I308" i="2"/>
  <c r="I310" i="2"/>
  <c r="I1252" i="2"/>
  <c r="I607" i="2"/>
  <c r="I1511" i="2"/>
  <c r="I1308" i="2"/>
  <c r="I1322" i="2"/>
  <c r="I704" i="2"/>
  <c r="I1525" i="2"/>
  <c r="I2212" i="2"/>
  <c r="I2028" i="2"/>
  <c r="I1175" i="2"/>
  <c r="I1812" i="2"/>
  <c r="I1806" i="2"/>
  <c r="I998" i="2"/>
  <c r="I2135" i="2"/>
  <c r="I2243" i="2"/>
  <c r="I1995" i="2"/>
  <c r="I1499" i="2"/>
  <c r="I1436" i="2"/>
  <c r="I1435" i="2"/>
  <c r="I1456" i="2"/>
  <c r="I1500" i="2"/>
  <c r="I2026" i="2"/>
  <c r="I2006" i="2"/>
  <c r="I2004" i="2"/>
  <c r="I436" i="2"/>
  <c r="I2107" i="2"/>
  <c r="I1270" i="2"/>
  <c r="I122" i="2"/>
  <c r="I2153" i="2"/>
  <c r="I2165" i="2"/>
  <c r="I959" i="2"/>
  <c r="I1638" i="2"/>
  <c r="I2150" i="2"/>
  <c r="I1577" i="2"/>
  <c r="I464" i="2"/>
  <c r="I459" i="2"/>
  <c r="I1576" i="2"/>
  <c r="I469" i="2"/>
  <c r="I462" i="2"/>
  <c r="I467" i="2"/>
  <c r="I466" i="2"/>
  <c r="I465" i="2"/>
  <c r="I463" i="2"/>
  <c r="I468" i="2"/>
  <c r="I2109" i="2"/>
  <c r="I471" i="2"/>
  <c r="I470" i="2"/>
  <c r="I460" i="2"/>
  <c r="I621" i="2"/>
  <c r="I1143" i="2"/>
  <c r="I1454" i="2"/>
  <c r="I329" i="2"/>
  <c r="I1108" i="2"/>
  <c r="I1107" i="2"/>
  <c r="I307" i="2"/>
  <c r="I450" i="2"/>
  <c r="I1844" i="2"/>
  <c r="I2133" i="2"/>
  <c r="I1707" i="2"/>
  <c r="I385" i="2"/>
  <c r="I1253" i="2"/>
  <c r="I1712" i="2"/>
  <c r="I521" i="2"/>
  <c r="I2250" i="2"/>
  <c r="I190" i="2"/>
  <c r="I187" i="2"/>
  <c r="I1246" i="2"/>
  <c r="I1593" i="2"/>
  <c r="I1644" i="2"/>
  <c r="I2096" i="2"/>
  <c r="I1709" i="2"/>
  <c r="I1711" i="2"/>
  <c r="I2098" i="2"/>
  <c r="I1494" i="2"/>
  <c r="I1599" i="2"/>
  <c r="I2100" i="2"/>
  <c r="I1710" i="2"/>
  <c r="I684" i="2"/>
  <c r="I736" i="2"/>
  <c r="I2204" i="2"/>
  <c r="I730" i="2"/>
  <c r="I1708" i="2"/>
  <c r="I2094" i="2"/>
  <c r="I2110" i="2"/>
  <c r="I1117" i="2"/>
  <c r="I20" i="2"/>
  <c r="I614" i="2"/>
  <c r="I2302" i="2"/>
  <c r="I1024" i="2"/>
  <c r="I472" i="2"/>
  <c r="I872" i="2"/>
  <c r="I902" i="2"/>
  <c r="I1122" i="2"/>
  <c r="I2163" i="2"/>
  <c r="I611" i="2"/>
  <c r="I882" i="2"/>
  <c r="I2118" i="2"/>
  <c r="I613" i="2"/>
  <c r="I961" i="2"/>
  <c r="I1649" i="2"/>
  <c r="I1568" i="2"/>
  <c r="I1302" i="2"/>
  <c r="I2267" i="2"/>
  <c r="I371" i="2"/>
  <c r="I399" i="2"/>
  <c r="I2266" i="2"/>
  <c r="I1771" i="2"/>
  <c r="I1986" i="2"/>
  <c r="I2119" i="2"/>
  <c r="I1602" i="2"/>
  <c r="I200" i="2"/>
  <c r="I179" i="2"/>
  <c r="I281" i="2"/>
  <c r="I1289" i="2"/>
  <c r="I1168" i="2"/>
  <c r="I1177" i="2"/>
  <c r="I435" i="2"/>
  <c r="I1462" i="2"/>
  <c r="I1763" i="2"/>
  <c r="I2188" i="2"/>
  <c r="I322" i="2"/>
  <c r="I1624" i="2"/>
  <c r="I1627" i="2"/>
  <c r="I1268" i="2"/>
  <c r="I681" i="2"/>
  <c r="I1493" i="2"/>
  <c r="I837" i="2"/>
  <c r="I361" i="2"/>
  <c r="I1410" i="2"/>
  <c r="I1453" i="2"/>
  <c r="I1426" i="2"/>
  <c r="I1259" i="2"/>
  <c r="I2" i="2"/>
  <c r="I3" i="2"/>
  <c r="I4" i="2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1" i="2"/>
  <c r="I22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8" i="2"/>
  <c r="I189" i="2"/>
  <c r="I192" i="2"/>
  <c r="I193" i="2"/>
  <c r="I194" i="2"/>
  <c r="I196" i="2"/>
  <c r="I197" i="2"/>
  <c r="I198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3" i="2"/>
  <c r="I274" i="2"/>
  <c r="I275" i="2"/>
  <c r="I276" i="2"/>
  <c r="I277" i="2"/>
  <c r="I279" i="2"/>
  <c r="I280" i="2"/>
  <c r="I282" i="2"/>
  <c r="I283" i="2"/>
  <c r="I284" i="2"/>
  <c r="I285" i="2"/>
  <c r="I286" i="2"/>
  <c r="I287" i="2"/>
  <c r="I288" i="2"/>
  <c r="I290" i="2"/>
  <c r="I291" i="2"/>
  <c r="I292" i="2"/>
  <c r="I293" i="2"/>
  <c r="I295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4" i="2"/>
  <c r="I325" i="2"/>
  <c r="I326" i="2"/>
  <c r="I327" i="2"/>
  <c r="I328" i="2"/>
  <c r="I335" i="2"/>
  <c r="I336" i="2"/>
  <c r="I337" i="2"/>
  <c r="I338" i="2"/>
  <c r="I339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2" i="2"/>
  <c r="I363" i="2"/>
  <c r="I364" i="2"/>
  <c r="I365" i="2"/>
  <c r="I366" i="2"/>
  <c r="I368" i="2"/>
  <c r="I369" i="2"/>
  <c r="I370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402" i="2"/>
  <c r="I403" i="2"/>
  <c r="I404" i="2"/>
  <c r="I405" i="2"/>
  <c r="I406" i="2"/>
  <c r="I407" i="2"/>
  <c r="I408" i="2"/>
  <c r="I410" i="2"/>
  <c r="I411" i="2"/>
  <c r="I413" i="2"/>
  <c r="I414" i="2"/>
  <c r="I415" i="2"/>
  <c r="I416" i="2"/>
  <c r="I417" i="2"/>
  <c r="I420" i="2"/>
  <c r="I423" i="2"/>
  <c r="I424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455" i="2"/>
  <c r="I456" i="2"/>
  <c r="I457" i="2"/>
  <c r="I458" i="2"/>
  <c r="I461" i="2"/>
  <c r="I473" i="2"/>
  <c r="I474" i="2"/>
  <c r="I475" i="2"/>
  <c r="I476" i="2"/>
  <c r="I477" i="2"/>
  <c r="I478" i="2"/>
  <c r="I479" i="2"/>
  <c r="I480" i="2"/>
  <c r="I481" i="2"/>
  <c r="I483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7" i="2"/>
  <c r="I518" i="2"/>
  <c r="I519" i="2"/>
  <c r="I520" i="2"/>
  <c r="I522" i="2"/>
  <c r="I524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1" i="2"/>
  <c r="I602" i="2"/>
  <c r="I603" i="2"/>
  <c r="I604" i="2"/>
  <c r="I605" i="2"/>
  <c r="I606" i="2"/>
  <c r="I608" i="2"/>
  <c r="I609" i="2"/>
  <c r="I610" i="2"/>
  <c r="I612" i="2"/>
  <c r="I615" i="2"/>
  <c r="I616" i="2"/>
  <c r="I618" i="2"/>
  <c r="I619" i="2"/>
  <c r="I620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5" i="2"/>
  <c r="I677" i="2"/>
  <c r="I678" i="2"/>
  <c r="I679" i="2"/>
  <c r="I680" i="2"/>
  <c r="I682" i="2"/>
  <c r="I683" i="2"/>
  <c r="I685" i="2"/>
  <c r="I686" i="2"/>
  <c r="I687" i="2"/>
  <c r="I688" i="2"/>
  <c r="I689" i="2"/>
  <c r="I692" i="2"/>
  <c r="I693" i="2"/>
  <c r="I694" i="2"/>
  <c r="I695" i="2"/>
  <c r="I698" i="2"/>
  <c r="I699" i="2"/>
  <c r="I700" i="2"/>
  <c r="I701" i="2"/>
  <c r="I702" i="2"/>
  <c r="I703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2" i="2"/>
  <c r="I723" i="2"/>
  <c r="I724" i="2"/>
  <c r="I725" i="2"/>
  <c r="I727" i="2"/>
  <c r="I728" i="2"/>
  <c r="I729" i="2"/>
  <c r="I731" i="2"/>
  <c r="I732" i="2"/>
  <c r="I733" i="2"/>
  <c r="I734" i="2"/>
  <c r="I735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2" i="2"/>
  <c r="I833" i="2"/>
  <c r="I834" i="2"/>
  <c r="I835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3" i="2"/>
  <c r="I874" i="2"/>
  <c r="I875" i="2"/>
  <c r="I876" i="2"/>
  <c r="I877" i="2"/>
  <c r="I879" i="2"/>
  <c r="I880" i="2"/>
  <c r="I881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1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2" i="2"/>
  <c r="I923" i="2"/>
  <c r="I924" i="2"/>
  <c r="I925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8" i="2"/>
  <c r="I949" i="2"/>
  <c r="I950" i="2"/>
  <c r="I951" i="2"/>
  <c r="I952" i="2"/>
  <c r="I953" i="2"/>
  <c r="I954" i="2"/>
  <c r="I955" i="2"/>
  <c r="I956" i="2"/>
  <c r="I957" i="2"/>
  <c r="I958" i="2"/>
  <c r="I960" i="2"/>
  <c r="I962" i="2"/>
  <c r="I963" i="2"/>
  <c r="I964" i="2"/>
  <c r="I965" i="2"/>
  <c r="I966" i="2"/>
  <c r="I967" i="2"/>
  <c r="I969" i="2"/>
  <c r="I970" i="2"/>
  <c r="I972" i="2"/>
  <c r="I973" i="2"/>
  <c r="I974" i="2"/>
  <c r="I975" i="2"/>
  <c r="I976" i="2"/>
  <c r="I977" i="2"/>
  <c r="I978" i="2"/>
  <c r="I979" i="2"/>
  <c r="I980" i="2"/>
  <c r="I981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9" i="2"/>
  <c r="I1110" i="2"/>
  <c r="I1111" i="2"/>
  <c r="I1112" i="2"/>
  <c r="I1113" i="2"/>
  <c r="I1114" i="2"/>
  <c r="I1116" i="2"/>
  <c r="I1119" i="2"/>
  <c r="I1120" i="2"/>
  <c r="I1123" i="2"/>
  <c r="I1124" i="2"/>
  <c r="I1125" i="2"/>
  <c r="I1127" i="2"/>
  <c r="I1128" i="2"/>
  <c r="I1129" i="2"/>
  <c r="I1131" i="2"/>
  <c r="I1133" i="2"/>
  <c r="I1134" i="2"/>
  <c r="I1135" i="2"/>
  <c r="I1136" i="2"/>
  <c r="I1137" i="2"/>
  <c r="I1138" i="2"/>
  <c r="I1139" i="2"/>
  <c r="I1140" i="2"/>
  <c r="I1141" i="2"/>
  <c r="I1144" i="2"/>
  <c r="I1145" i="2"/>
  <c r="I1146" i="2"/>
  <c r="I1147" i="2"/>
  <c r="I1148" i="2"/>
  <c r="I1149" i="2"/>
  <c r="I1150" i="2"/>
  <c r="I1151" i="2"/>
  <c r="I1152" i="2"/>
  <c r="I1157" i="2"/>
  <c r="I1158" i="2"/>
  <c r="I1159" i="2"/>
  <c r="I1160" i="2"/>
  <c r="I1161" i="2"/>
  <c r="I1162" i="2"/>
  <c r="I1163" i="2"/>
  <c r="I1164" i="2"/>
  <c r="I1165" i="2"/>
  <c r="I1166" i="2"/>
  <c r="I1167" i="2"/>
  <c r="I1169" i="2"/>
  <c r="I1170" i="2"/>
  <c r="I1171" i="2"/>
  <c r="I1172" i="2"/>
  <c r="I1173" i="2"/>
  <c r="I1178" i="2"/>
  <c r="I1180" i="2"/>
  <c r="I1181" i="2"/>
  <c r="I1182" i="2"/>
  <c r="I1183" i="2"/>
  <c r="I1184" i="2"/>
  <c r="I1186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7" i="2"/>
  <c r="I1248" i="2"/>
  <c r="I1251" i="2"/>
  <c r="I1254" i="2"/>
  <c r="I1255" i="2"/>
  <c r="I1256" i="2"/>
  <c r="I1257" i="2"/>
  <c r="I1258" i="2"/>
  <c r="I1260" i="2"/>
  <c r="I1261" i="2"/>
  <c r="I1262" i="2"/>
  <c r="I1264" i="2"/>
  <c r="I1265" i="2"/>
  <c r="I1266" i="2"/>
  <c r="I1267" i="2"/>
  <c r="I1269" i="2"/>
  <c r="I1273" i="2"/>
  <c r="I1274" i="2"/>
  <c r="I1276" i="2"/>
  <c r="I1279" i="2"/>
  <c r="I1280" i="2"/>
  <c r="I1281" i="2"/>
  <c r="I1282" i="2"/>
  <c r="I1283" i="2"/>
  <c r="I1284" i="2"/>
  <c r="I1285" i="2"/>
  <c r="I1286" i="2"/>
  <c r="I1287" i="2"/>
  <c r="I1288" i="2"/>
  <c r="I1290" i="2"/>
  <c r="I1291" i="2"/>
  <c r="I1292" i="2"/>
  <c r="I1293" i="2"/>
  <c r="I1294" i="2"/>
  <c r="I1296" i="2"/>
  <c r="I1297" i="2"/>
  <c r="I1298" i="2"/>
  <c r="I1299" i="2"/>
  <c r="I1301" i="2"/>
  <c r="I1303" i="2"/>
  <c r="I1305" i="2"/>
  <c r="I1306" i="2"/>
  <c r="I1307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6" i="2"/>
  <c r="I1347" i="2"/>
  <c r="I1348" i="2"/>
  <c r="I1349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4" i="2"/>
  <c r="I1406" i="2"/>
  <c r="I1407" i="2"/>
  <c r="I1408" i="2"/>
  <c r="I1409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7" i="2"/>
  <c r="I1428" i="2"/>
  <c r="I1429" i="2"/>
  <c r="I1430" i="2"/>
  <c r="I1431" i="2"/>
  <c r="I1432" i="2"/>
  <c r="I1434" i="2"/>
  <c r="I1437" i="2"/>
  <c r="I1438" i="2"/>
  <c r="I1439" i="2"/>
  <c r="I1440" i="2"/>
  <c r="I1441" i="2"/>
  <c r="I1444" i="2"/>
  <c r="I1445" i="2"/>
  <c r="I1446" i="2"/>
  <c r="I1447" i="2"/>
  <c r="I1448" i="2"/>
  <c r="I1449" i="2"/>
  <c r="I1450" i="2"/>
  <c r="I1451" i="2"/>
  <c r="I1458" i="2"/>
  <c r="I1459" i="2"/>
  <c r="I1460" i="2"/>
  <c r="I1461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5" i="2"/>
  <c r="I1496" i="2"/>
  <c r="I1497" i="2"/>
  <c r="I1498" i="2"/>
  <c r="I1503" i="2"/>
  <c r="I1504" i="2"/>
  <c r="I1506" i="2"/>
  <c r="I1507" i="2"/>
  <c r="I1508" i="2"/>
  <c r="I1509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6" i="2"/>
  <c r="I1527" i="2"/>
  <c r="I1528" i="2"/>
  <c r="I1529" i="2"/>
  <c r="I1530" i="2"/>
  <c r="I1531" i="2"/>
  <c r="I1536" i="2"/>
  <c r="I1537" i="2"/>
  <c r="I1538" i="2"/>
  <c r="I1539" i="2"/>
  <c r="I1540" i="2"/>
  <c r="I1541" i="2"/>
  <c r="I1545" i="2"/>
  <c r="I1548" i="2"/>
  <c r="I1549" i="2"/>
  <c r="I1550" i="2"/>
  <c r="I1551" i="2"/>
  <c r="I1553" i="2"/>
  <c r="I1556" i="2"/>
  <c r="I1557" i="2"/>
  <c r="I1558" i="2"/>
  <c r="I1560" i="2"/>
  <c r="I1561" i="2"/>
  <c r="I1562" i="2"/>
  <c r="I1564" i="2"/>
  <c r="I1565" i="2"/>
  <c r="I1566" i="2"/>
  <c r="I1567" i="2"/>
  <c r="I1569" i="2"/>
  <c r="I1570" i="2"/>
  <c r="I1571" i="2"/>
  <c r="I1572" i="2"/>
  <c r="I1573" i="2"/>
  <c r="I1574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4" i="2"/>
  <c r="I1595" i="2"/>
  <c r="I1596" i="2"/>
  <c r="I1597" i="2"/>
  <c r="I1598" i="2"/>
  <c r="I1600" i="2"/>
  <c r="I1601" i="2"/>
  <c r="I1603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20" i="2"/>
  <c r="I1621" i="2"/>
  <c r="I1623" i="2"/>
  <c r="I1625" i="2"/>
  <c r="I1629" i="2"/>
  <c r="I1630" i="2"/>
  <c r="I1631" i="2"/>
  <c r="I1632" i="2"/>
  <c r="I1634" i="2"/>
  <c r="I1635" i="2"/>
  <c r="I1636" i="2"/>
  <c r="I1637" i="2"/>
  <c r="I1639" i="2"/>
  <c r="I1641" i="2"/>
  <c r="I1642" i="2"/>
  <c r="I1643" i="2"/>
  <c r="I1645" i="2"/>
  <c r="I1646" i="2"/>
  <c r="I1647" i="2"/>
  <c r="I1648" i="2"/>
  <c r="I1650" i="2"/>
  <c r="I1651" i="2"/>
  <c r="I1652" i="2"/>
  <c r="I1659" i="2"/>
  <c r="I1660" i="2"/>
  <c r="I1661" i="2"/>
  <c r="I1662" i="2"/>
  <c r="I1663" i="2"/>
  <c r="I1664" i="2"/>
  <c r="I1666" i="2"/>
  <c r="I1667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5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4" i="2"/>
  <c r="I1765" i="2"/>
  <c r="I1768" i="2"/>
  <c r="I1769" i="2"/>
  <c r="I1770" i="2"/>
  <c r="I1772" i="2"/>
  <c r="I1774" i="2"/>
  <c r="I1775" i="2"/>
  <c r="I1776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800" i="2"/>
  <c r="I1802" i="2"/>
  <c r="I1804" i="2"/>
  <c r="I1805" i="2"/>
  <c r="I1809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5" i="2"/>
  <c r="I1846" i="2"/>
  <c r="I1847" i="2"/>
  <c r="I1848" i="2"/>
  <c r="I1849" i="2"/>
  <c r="I1850" i="2"/>
  <c r="I1851" i="2"/>
  <c r="I1852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3" i="2"/>
  <c r="I1885" i="2"/>
  <c r="I1889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5" i="2"/>
  <c r="I1966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1" i="2"/>
  <c r="I1982" i="2"/>
  <c r="I1983" i="2"/>
  <c r="I1984" i="2"/>
  <c r="I1985" i="2"/>
  <c r="I1987" i="2"/>
  <c r="I1988" i="2"/>
  <c r="I1990" i="2"/>
  <c r="I1991" i="2"/>
  <c r="I1992" i="2"/>
  <c r="I1993" i="2"/>
  <c r="I1994" i="2"/>
  <c r="I1997" i="2"/>
  <c r="I1998" i="2"/>
  <c r="I1999" i="2"/>
  <c r="I2000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9" i="2"/>
  <c r="I2030" i="2"/>
  <c r="I2032" i="2"/>
  <c r="I2034" i="2"/>
  <c r="I2035" i="2"/>
  <c r="I2036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5" i="2"/>
  <c r="I2067" i="2"/>
  <c r="I2068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5" i="2"/>
  <c r="I2097" i="2"/>
  <c r="I2099" i="2"/>
  <c r="I2101" i="2"/>
  <c r="I2102" i="2"/>
  <c r="I2108" i="2"/>
  <c r="I2111" i="2"/>
  <c r="I2112" i="2"/>
  <c r="I2113" i="2"/>
  <c r="I2114" i="2"/>
  <c r="I2115" i="2"/>
  <c r="I2116" i="2"/>
  <c r="I2117" i="2"/>
  <c r="I2120" i="2"/>
  <c r="I2122" i="2"/>
  <c r="I2123" i="2"/>
  <c r="I2124" i="2"/>
  <c r="I2125" i="2"/>
  <c r="I2126" i="2"/>
  <c r="I2127" i="2"/>
  <c r="I2128" i="2"/>
  <c r="I2131" i="2"/>
  <c r="I2132" i="2"/>
  <c r="I2134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1" i="2"/>
  <c r="I2152" i="2"/>
  <c r="I2154" i="2"/>
  <c r="I2155" i="2"/>
  <c r="I2156" i="2"/>
  <c r="I2157" i="2"/>
  <c r="I2158" i="2"/>
  <c r="I2159" i="2"/>
  <c r="I2160" i="2"/>
  <c r="I2161" i="2"/>
  <c r="I2162" i="2"/>
  <c r="I2167" i="2"/>
  <c r="I2168" i="2"/>
  <c r="I2169" i="2"/>
  <c r="I2170" i="2"/>
  <c r="I2171" i="2"/>
  <c r="I2172" i="2"/>
  <c r="I2173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9" i="2"/>
  <c r="I2193" i="2"/>
  <c r="I2194" i="2"/>
  <c r="I2195" i="2"/>
  <c r="I2196" i="2"/>
  <c r="I2197" i="2"/>
  <c r="I2200" i="2"/>
  <c r="I2201" i="2"/>
  <c r="I2202" i="2"/>
  <c r="I2203" i="2"/>
  <c r="I2205" i="2"/>
  <c r="I2206" i="2"/>
  <c r="I2207" i="2"/>
  <c r="I2208" i="2"/>
  <c r="I2210" i="2"/>
  <c r="I2211" i="2"/>
  <c r="I2213" i="2"/>
  <c r="I2214" i="2"/>
  <c r="I2217" i="2"/>
  <c r="I2218" i="2"/>
  <c r="I2219" i="2"/>
  <c r="I2220" i="2"/>
  <c r="I2221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4" i="2"/>
  <c r="I2245" i="2"/>
  <c r="I2246" i="2"/>
  <c r="I2247" i="2"/>
  <c r="I2248" i="2"/>
  <c r="I2249" i="2"/>
  <c r="I2251" i="2"/>
  <c r="I2252" i="2"/>
  <c r="I2253" i="2"/>
  <c r="I2254" i="2"/>
  <c r="I2255" i="2"/>
  <c r="I2257" i="2"/>
  <c r="I2258" i="2"/>
  <c r="I2259" i="2"/>
  <c r="I2260" i="2"/>
  <c r="I2261" i="2"/>
  <c r="I2262" i="2"/>
  <c r="I2263" i="2"/>
  <c r="I2264" i="2"/>
  <c r="I2265" i="2"/>
  <c r="I2268" i="2"/>
  <c r="I2269" i="2"/>
  <c r="I2270" i="2"/>
  <c r="I2271" i="2"/>
  <c r="I2272" i="2"/>
  <c r="I2273" i="2"/>
  <c r="I2274" i="2"/>
  <c r="I2275" i="2"/>
  <c r="I2276" i="2"/>
  <c r="I2277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3" i="2"/>
  <c r="I2304" i="2"/>
  <c r="I2305" i="2"/>
  <c r="I2306" i="2"/>
  <c r="I2307" i="2"/>
  <c r="I2308" i="2"/>
  <c r="I2309" i="2"/>
  <c r="M245" i="4" l="1"/>
  <c r="N245" i="4" s="1"/>
  <c r="M233" i="4"/>
  <c r="N233" i="4" s="1"/>
  <c r="M221" i="4"/>
  <c r="N221" i="4" s="1"/>
  <c r="M209" i="4"/>
  <c r="N209" i="4" s="1"/>
  <c r="M197" i="4"/>
  <c r="N197" i="4" s="1"/>
  <c r="M185" i="4"/>
  <c r="N185" i="4" s="1"/>
  <c r="M173" i="4"/>
  <c r="N173" i="4" s="1"/>
  <c r="M161" i="4"/>
  <c r="N161" i="4" s="1"/>
  <c r="M149" i="4"/>
  <c r="N149" i="4" s="1"/>
  <c r="M137" i="4"/>
  <c r="N137" i="4" s="1"/>
  <c r="M125" i="4"/>
  <c r="N125" i="4" s="1"/>
  <c r="M113" i="4"/>
  <c r="N113" i="4" s="1"/>
  <c r="M101" i="4"/>
  <c r="N101" i="4" s="1"/>
  <c r="M89" i="4"/>
  <c r="N89" i="4" s="1"/>
  <c r="M77" i="4"/>
  <c r="N77" i="4" s="1"/>
  <c r="M65" i="4"/>
  <c r="N65" i="4" s="1"/>
  <c r="M53" i="4"/>
  <c r="N53" i="4" s="1"/>
  <c r="M41" i="4"/>
  <c r="N41" i="4" s="1"/>
  <c r="M29" i="4"/>
  <c r="N29" i="4" s="1"/>
  <c r="M17" i="4"/>
  <c r="N17" i="4" s="1"/>
  <c r="M5" i="4"/>
  <c r="N5" i="4" s="1"/>
  <c r="L2" i="2" a="1"/>
  <c r="L2" i="2" s="1"/>
  <c r="Q2" i="2" s="1" a="1"/>
  <c r="Q2" i="2" s="1"/>
  <c r="M246" i="4"/>
  <c r="N246" i="4" s="1"/>
  <c r="M234" i="4"/>
  <c r="N234" i="4" s="1"/>
  <c r="M222" i="4"/>
  <c r="N222" i="4" s="1"/>
  <c r="M210" i="4"/>
  <c r="N210" i="4" s="1"/>
  <c r="M198" i="4"/>
  <c r="N198" i="4" s="1"/>
  <c r="M186" i="4"/>
  <c r="N186" i="4" s="1"/>
  <c r="M174" i="4"/>
  <c r="N174" i="4" s="1"/>
  <c r="M162" i="4"/>
  <c r="N162" i="4" s="1"/>
  <c r="M150" i="4"/>
  <c r="N150" i="4" s="1"/>
  <c r="M138" i="4"/>
  <c r="N138" i="4" s="1"/>
  <c r="M126" i="4"/>
  <c r="N126" i="4" s="1"/>
  <c r="M114" i="4"/>
  <c r="N114" i="4" s="1"/>
  <c r="M102" i="4"/>
  <c r="N102" i="4" s="1"/>
  <c r="M90" i="4"/>
  <c r="N90" i="4" s="1"/>
  <c r="M78" i="4"/>
  <c r="N78" i="4" s="1"/>
  <c r="M66" i="4"/>
  <c r="N66" i="4" s="1"/>
  <c r="M54" i="4"/>
  <c r="N54" i="4" s="1"/>
  <c r="M42" i="4"/>
  <c r="N42" i="4" s="1"/>
  <c r="M30" i="4"/>
  <c r="N30" i="4" s="1"/>
  <c r="M18" i="4"/>
  <c r="N18" i="4" s="1"/>
  <c r="M6" i="4"/>
  <c r="N6" i="4" s="1"/>
  <c r="M52" i="4"/>
  <c r="N52" i="4" s="1"/>
  <c r="M232" i="4"/>
  <c r="N232" i="4" s="1"/>
  <c r="M172" i="4"/>
  <c r="N172" i="4" s="1"/>
  <c r="M76" i="4"/>
  <c r="N76" i="4" s="1"/>
  <c r="M208" i="4"/>
  <c r="N208" i="4" s="1"/>
  <c r="M160" i="4"/>
  <c r="N160" i="4" s="1"/>
  <c r="M124" i="4"/>
  <c r="N124" i="4" s="1"/>
  <c r="M64" i="4"/>
  <c r="N64" i="4" s="1"/>
  <c r="M220" i="4"/>
  <c r="N220" i="4" s="1"/>
  <c r="M184" i="4"/>
  <c r="N184" i="4" s="1"/>
  <c r="M136" i="4"/>
  <c r="N136" i="4" s="1"/>
  <c r="M112" i="4"/>
  <c r="N112" i="4" s="1"/>
  <c r="M88" i="4"/>
  <c r="N88" i="4" s="1"/>
  <c r="M244" i="4"/>
  <c r="N244" i="4" s="1"/>
  <c r="M196" i="4"/>
  <c r="N196" i="4" s="1"/>
  <c r="M148" i="4"/>
  <c r="N148" i="4" s="1"/>
  <c r="M100" i="4"/>
  <c r="N100" i="4" s="1"/>
  <c r="M40" i="4"/>
  <c r="N40" i="4" s="1"/>
  <c r="M239" i="4"/>
  <c r="N239" i="4" s="1"/>
  <c r="M227" i="4"/>
  <c r="N227" i="4" s="1"/>
  <c r="M215" i="4"/>
  <c r="N215" i="4" s="1"/>
  <c r="M203" i="4"/>
  <c r="N203" i="4" s="1"/>
  <c r="M191" i="4"/>
  <c r="N191" i="4" s="1"/>
  <c r="M179" i="4"/>
  <c r="N179" i="4" s="1"/>
  <c r="M167" i="4"/>
  <c r="N167" i="4" s="1"/>
  <c r="M155" i="4"/>
  <c r="N155" i="4" s="1"/>
  <c r="M143" i="4"/>
  <c r="N143" i="4" s="1"/>
  <c r="M131" i="4"/>
  <c r="N131" i="4" s="1"/>
  <c r="M119" i="4"/>
  <c r="N119" i="4" s="1"/>
  <c r="M107" i="4"/>
  <c r="N107" i="4" s="1"/>
  <c r="M95" i="4"/>
  <c r="N95" i="4" s="1"/>
  <c r="M83" i="4"/>
  <c r="N83" i="4" s="1"/>
  <c r="M71" i="4"/>
  <c r="N71" i="4" s="1"/>
  <c r="M59" i="4"/>
  <c r="N59" i="4" s="1"/>
  <c r="M47" i="4"/>
  <c r="N47" i="4" s="1"/>
  <c r="M35" i="4"/>
  <c r="N35" i="4" s="1"/>
  <c r="M23" i="4"/>
  <c r="N23" i="4" s="1"/>
  <c r="M11" i="4"/>
  <c r="N11" i="4" s="1"/>
  <c r="M28" i="4"/>
  <c r="N28" i="4" s="1"/>
  <c r="M16" i="4"/>
  <c r="N16" i="4" s="1"/>
  <c r="M4" i="4"/>
  <c r="N4" i="4" s="1"/>
  <c r="M243" i="4"/>
  <c r="N243" i="4" s="1"/>
  <c r="M231" i="4"/>
  <c r="N231" i="4" s="1"/>
  <c r="M219" i="4"/>
  <c r="N219" i="4" s="1"/>
  <c r="M207" i="4"/>
  <c r="N207" i="4" s="1"/>
  <c r="M195" i="4"/>
  <c r="N195" i="4" s="1"/>
  <c r="M183" i="4"/>
  <c r="N183" i="4" s="1"/>
  <c r="M171" i="4"/>
  <c r="N171" i="4" s="1"/>
  <c r="M159" i="4"/>
  <c r="N159" i="4" s="1"/>
  <c r="M147" i="4"/>
  <c r="N147" i="4" s="1"/>
  <c r="M135" i="4"/>
  <c r="N135" i="4" s="1"/>
  <c r="M123" i="4"/>
  <c r="N123" i="4" s="1"/>
  <c r="M111" i="4"/>
  <c r="N111" i="4" s="1"/>
  <c r="M99" i="4"/>
  <c r="N99" i="4" s="1"/>
  <c r="M87" i="4"/>
  <c r="N87" i="4" s="1"/>
  <c r="M75" i="4"/>
  <c r="N75" i="4" s="1"/>
  <c r="M63" i="4"/>
  <c r="N63" i="4" s="1"/>
  <c r="M51" i="4"/>
  <c r="N51" i="4" s="1"/>
  <c r="M39" i="4"/>
  <c r="N39" i="4" s="1"/>
  <c r="M27" i="4"/>
  <c r="N27" i="4" s="1"/>
  <c r="M15" i="4"/>
  <c r="N15" i="4" s="1"/>
  <c r="M3" i="4"/>
  <c r="N3" i="4" s="1"/>
  <c r="M242" i="4"/>
  <c r="N242" i="4" s="1"/>
  <c r="M230" i="4"/>
  <c r="N230" i="4" s="1"/>
  <c r="M218" i="4"/>
  <c r="N218" i="4" s="1"/>
  <c r="M206" i="4"/>
  <c r="N206" i="4" s="1"/>
  <c r="M194" i="4"/>
  <c r="N194" i="4" s="1"/>
  <c r="M182" i="4"/>
  <c r="N182" i="4" s="1"/>
  <c r="M170" i="4"/>
  <c r="N170" i="4" s="1"/>
  <c r="M158" i="4"/>
  <c r="N158" i="4" s="1"/>
  <c r="M146" i="4"/>
  <c r="N146" i="4" s="1"/>
  <c r="M134" i="4"/>
  <c r="N134" i="4" s="1"/>
  <c r="M122" i="4"/>
  <c r="N122" i="4" s="1"/>
  <c r="M110" i="4"/>
  <c r="N110" i="4" s="1"/>
  <c r="M98" i="4"/>
  <c r="N98" i="4" s="1"/>
  <c r="M86" i="4"/>
  <c r="N86" i="4" s="1"/>
  <c r="M74" i="4"/>
  <c r="N74" i="4" s="1"/>
  <c r="M62" i="4"/>
  <c r="N62" i="4" s="1"/>
  <c r="M50" i="4"/>
  <c r="N50" i="4" s="1"/>
  <c r="M38" i="4"/>
  <c r="N38" i="4" s="1"/>
  <c r="M26" i="4"/>
  <c r="N26" i="4" s="1"/>
  <c r="M14" i="4"/>
  <c r="N14" i="4" s="1"/>
  <c r="M2" i="4"/>
  <c r="N2" i="4" s="1"/>
  <c r="M241" i="4"/>
  <c r="N241" i="4" s="1"/>
  <c r="M229" i="4"/>
  <c r="N229" i="4" s="1"/>
  <c r="M217" i="4"/>
  <c r="N217" i="4" s="1"/>
  <c r="M205" i="4"/>
  <c r="N205" i="4" s="1"/>
  <c r="M193" i="4"/>
  <c r="N193" i="4" s="1"/>
  <c r="M181" i="4"/>
  <c r="N181" i="4" s="1"/>
  <c r="M169" i="4"/>
  <c r="N169" i="4" s="1"/>
  <c r="M157" i="4"/>
  <c r="N157" i="4" s="1"/>
  <c r="M145" i="4"/>
  <c r="N145" i="4" s="1"/>
  <c r="M133" i="4"/>
  <c r="N133" i="4" s="1"/>
  <c r="M121" i="4"/>
  <c r="N121" i="4" s="1"/>
  <c r="M109" i="4"/>
  <c r="N109" i="4" s="1"/>
  <c r="M97" i="4"/>
  <c r="N97" i="4" s="1"/>
  <c r="M85" i="4"/>
  <c r="N85" i="4" s="1"/>
  <c r="M73" i="4"/>
  <c r="N73" i="4" s="1"/>
  <c r="M61" i="4"/>
  <c r="N61" i="4" s="1"/>
  <c r="M49" i="4"/>
  <c r="N49" i="4" s="1"/>
  <c r="M37" i="4"/>
  <c r="N37" i="4" s="1"/>
  <c r="M25" i="4"/>
  <c r="N25" i="4" s="1"/>
  <c r="M13" i="4"/>
  <c r="N13" i="4" s="1"/>
  <c r="M240" i="4"/>
  <c r="N240" i="4" s="1"/>
  <c r="M228" i="4"/>
  <c r="N228" i="4" s="1"/>
  <c r="M216" i="4"/>
  <c r="N216" i="4" s="1"/>
  <c r="M204" i="4"/>
  <c r="N204" i="4" s="1"/>
  <c r="M192" i="4"/>
  <c r="N192" i="4" s="1"/>
  <c r="M180" i="4"/>
  <c r="N180" i="4" s="1"/>
  <c r="M168" i="4"/>
  <c r="N168" i="4" s="1"/>
  <c r="M156" i="4"/>
  <c r="N156" i="4" s="1"/>
  <c r="M144" i="4"/>
  <c r="N144" i="4" s="1"/>
  <c r="M132" i="4"/>
  <c r="N132" i="4" s="1"/>
  <c r="M120" i="4"/>
  <c r="N120" i="4" s="1"/>
  <c r="M108" i="4"/>
  <c r="N108" i="4" s="1"/>
  <c r="M96" i="4"/>
  <c r="N96" i="4" s="1"/>
  <c r="M84" i="4"/>
  <c r="N84" i="4" s="1"/>
  <c r="M72" i="4"/>
  <c r="N72" i="4" s="1"/>
  <c r="M60" i="4"/>
  <c r="N60" i="4" s="1"/>
  <c r="M48" i="4"/>
  <c r="N48" i="4" s="1"/>
  <c r="M36" i="4"/>
  <c r="N36" i="4" s="1"/>
  <c r="M24" i="4"/>
  <c r="N24" i="4" s="1"/>
  <c r="M12" i="4"/>
  <c r="N12" i="4" s="1"/>
  <c r="M238" i="4"/>
  <c r="N238" i="4" s="1"/>
  <c r="M226" i="4"/>
  <c r="N226" i="4" s="1"/>
  <c r="M214" i="4"/>
  <c r="N214" i="4" s="1"/>
  <c r="M202" i="4"/>
  <c r="N202" i="4" s="1"/>
  <c r="M190" i="4"/>
  <c r="N190" i="4" s="1"/>
  <c r="M178" i="4"/>
  <c r="N178" i="4" s="1"/>
  <c r="M166" i="4"/>
  <c r="N166" i="4" s="1"/>
  <c r="M154" i="4"/>
  <c r="N154" i="4" s="1"/>
  <c r="M142" i="4"/>
  <c r="N142" i="4" s="1"/>
  <c r="M130" i="4"/>
  <c r="N130" i="4" s="1"/>
  <c r="M118" i="4"/>
  <c r="N118" i="4" s="1"/>
  <c r="M106" i="4"/>
  <c r="N106" i="4" s="1"/>
  <c r="M94" i="4"/>
  <c r="N94" i="4" s="1"/>
  <c r="M82" i="4"/>
  <c r="N82" i="4" s="1"/>
  <c r="M70" i="4"/>
  <c r="N70" i="4" s="1"/>
  <c r="M58" i="4"/>
  <c r="N58" i="4" s="1"/>
  <c r="M46" i="4"/>
  <c r="N46" i="4" s="1"/>
  <c r="M34" i="4"/>
  <c r="N34" i="4" s="1"/>
  <c r="M22" i="4"/>
  <c r="N22" i="4" s="1"/>
  <c r="M10" i="4"/>
  <c r="N10" i="4" s="1"/>
  <c r="M237" i="4"/>
  <c r="N237" i="4" s="1"/>
  <c r="M225" i="4"/>
  <c r="N225" i="4" s="1"/>
  <c r="M213" i="4"/>
  <c r="N213" i="4" s="1"/>
  <c r="M201" i="4"/>
  <c r="N201" i="4" s="1"/>
  <c r="M189" i="4"/>
  <c r="N189" i="4" s="1"/>
  <c r="M177" i="4"/>
  <c r="N177" i="4" s="1"/>
  <c r="M165" i="4"/>
  <c r="N165" i="4" s="1"/>
  <c r="M153" i="4"/>
  <c r="N153" i="4" s="1"/>
  <c r="M141" i="4"/>
  <c r="N141" i="4" s="1"/>
  <c r="M129" i="4"/>
  <c r="N129" i="4" s="1"/>
  <c r="M117" i="4"/>
  <c r="N117" i="4" s="1"/>
  <c r="M105" i="4"/>
  <c r="N105" i="4" s="1"/>
  <c r="M93" i="4"/>
  <c r="N93" i="4" s="1"/>
  <c r="M81" i="4"/>
  <c r="N81" i="4" s="1"/>
  <c r="M69" i="4"/>
  <c r="N69" i="4" s="1"/>
  <c r="M57" i="4"/>
  <c r="N57" i="4" s="1"/>
  <c r="M45" i="4"/>
  <c r="N45" i="4" s="1"/>
  <c r="M33" i="4"/>
  <c r="N33" i="4" s="1"/>
  <c r="M21" i="4"/>
  <c r="N21" i="4" s="1"/>
  <c r="M9" i="4"/>
  <c r="N9" i="4" s="1"/>
  <c r="M248" i="4"/>
  <c r="N248" i="4" s="1"/>
  <c r="M236" i="4"/>
  <c r="N236" i="4" s="1"/>
  <c r="M224" i="4"/>
  <c r="N224" i="4" s="1"/>
  <c r="M212" i="4"/>
  <c r="N212" i="4" s="1"/>
  <c r="M200" i="4"/>
  <c r="N200" i="4" s="1"/>
  <c r="M188" i="4"/>
  <c r="N188" i="4" s="1"/>
  <c r="M176" i="4"/>
  <c r="N176" i="4" s="1"/>
  <c r="M164" i="4"/>
  <c r="N164" i="4" s="1"/>
  <c r="M152" i="4"/>
  <c r="N152" i="4" s="1"/>
  <c r="M140" i="4"/>
  <c r="N140" i="4" s="1"/>
  <c r="M128" i="4"/>
  <c r="N128" i="4" s="1"/>
  <c r="M116" i="4"/>
  <c r="N116" i="4" s="1"/>
  <c r="M104" i="4"/>
  <c r="N104" i="4" s="1"/>
  <c r="M92" i="4"/>
  <c r="N92" i="4" s="1"/>
  <c r="M80" i="4"/>
  <c r="N80" i="4" s="1"/>
  <c r="M68" i="4"/>
  <c r="N68" i="4" s="1"/>
  <c r="M56" i="4"/>
  <c r="N56" i="4" s="1"/>
  <c r="M44" i="4"/>
  <c r="N44" i="4" s="1"/>
  <c r="M32" i="4"/>
  <c r="N32" i="4" s="1"/>
  <c r="M20" i="4"/>
  <c r="N20" i="4" s="1"/>
  <c r="M8" i="4"/>
  <c r="N8" i="4" s="1"/>
  <c r="M247" i="4"/>
  <c r="N247" i="4" s="1"/>
  <c r="M235" i="4"/>
  <c r="N235" i="4" s="1"/>
  <c r="M223" i="4"/>
  <c r="N223" i="4" s="1"/>
  <c r="M211" i="4"/>
  <c r="N211" i="4" s="1"/>
  <c r="M199" i="4"/>
  <c r="N199" i="4" s="1"/>
  <c r="M187" i="4"/>
  <c r="N187" i="4" s="1"/>
  <c r="M175" i="4"/>
  <c r="N175" i="4" s="1"/>
  <c r="M163" i="4"/>
  <c r="N163" i="4" s="1"/>
  <c r="M151" i="4"/>
  <c r="N151" i="4" s="1"/>
  <c r="M139" i="4"/>
  <c r="N139" i="4" s="1"/>
  <c r="M127" i="4"/>
  <c r="N127" i="4" s="1"/>
  <c r="M115" i="4"/>
  <c r="N115" i="4" s="1"/>
  <c r="M103" i="4"/>
  <c r="N103" i="4" s="1"/>
  <c r="M91" i="4"/>
  <c r="N91" i="4" s="1"/>
  <c r="M79" i="4"/>
  <c r="N79" i="4" s="1"/>
  <c r="M67" i="4"/>
  <c r="N67" i="4" s="1"/>
  <c r="M55" i="4"/>
  <c r="N55" i="4" s="1"/>
  <c r="M43" i="4"/>
  <c r="N43" i="4" s="1"/>
  <c r="M31" i="4"/>
  <c r="N31" i="4" s="1"/>
  <c r="M19" i="4"/>
  <c r="N19" i="4" s="1"/>
  <c r="M7" i="4"/>
  <c r="N7" i="4" s="1"/>
  <c r="J181" i="4"/>
  <c r="L181" i="4" s="1"/>
  <c r="K23" i="4"/>
  <c r="L23" i="4"/>
  <c r="K11" i="4"/>
  <c r="L11" i="4"/>
  <c r="K58" i="4"/>
  <c r="L58" i="4"/>
  <c r="K46" i="4"/>
  <c r="L46" i="4"/>
  <c r="K34" i="4"/>
  <c r="L34" i="4"/>
  <c r="K22" i="4"/>
  <c r="L22" i="4"/>
  <c r="K10" i="4"/>
  <c r="L10" i="4"/>
  <c r="K9" i="4"/>
  <c r="L9" i="4"/>
  <c r="K247" i="4"/>
  <c r="L247" i="4"/>
  <c r="K235" i="4"/>
  <c r="L235" i="4"/>
  <c r="K223" i="4"/>
  <c r="L223" i="4"/>
  <c r="K211" i="4"/>
  <c r="L211" i="4"/>
  <c r="K199" i="4"/>
  <c r="L199" i="4"/>
  <c r="K187" i="4"/>
  <c r="L187" i="4"/>
  <c r="K175" i="4"/>
  <c r="L175" i="4"/>
  <c r="K163" i="4"/>
  <c r="L163" i="4"/>
  <c r="K151" i="4"/>
  <c r="L151" i="4"/>
  <c r="K139" i="4"/>
  <c r="L139" i="4"/>
  <c r="K127" i="4"/>
  <c r="L127" i="4"/>
  <c r="K115" i="4"/>
  <c r="L115" i="4"/>
  <c r="K103" i="4"/>
  <c r="L103" i="4"/>
  <c r="K91" i="4"/>
  <c r="L91" i="4"/>
  <c r="K79" i="4"/>
  <c r="L79" i="4"/>
  <c r="K67" i="4"/>
  <c r="L67" i="4"/>
  <c r="K55" i="4"/>
  <c r="L55" i="4"/>
  <c r="K43" i="4"/>
  <c r="L43" i="4"/>
  <c r="K31" i="4"/>
  <c r="L31" i="4"/>
  <c r="K19" i="4"/>
  <c r="L19" i="4"/>
  <c r="K246" i="4"/>
  <c r="L246" i="4"/>
  <c r="K234" i="4"/>
  <c r="L234" i="4"/>
  <c r="K222" i="4"/>
  <c r="L222" i="4"/>
  <c r="K210" i="4"/>
  <c r="L210" i="4"/>
  <c r="K198" i="4"/>
  <c r="L198" i="4"/>
  <c r="K186" i="4"/>
  <c r="L186" i="4"/>
  <c r="K174" i="4"/>
  <c r="L174" i="4"/>
  <c r="K162" i="4"/>
  <c r="L162" i="4"/>
  <c r="K150" i="4"/>
  <c r="L150" i="4"/>
  <c r="K138" i="4"/>
  <c r="L138" i="4"/>
  <c r="K126" i="4"/>
  <c r="L126" i="4"/>
  <c r="K114" i="4"/>
  <c r="L114" i="4"/>
  <c r="K102" i="4"/>
  <c r="L102" i="4"/>
  <c r="K90" i="4"/>
  <c r="L90" i="4"/>
  <c r="K78" i="4"/>
  <c r="L78" i="4"/>
  <c r="K66" i="4"/>
  <c r="L66" i="4"/>
  <c r="K54" i="4"/>
  <c r="L54" i="4"/>
  <c r="K42" i="4"/>
  <c r="L42" i="4"/>
  <c r="K245" i="4"/>
  <c r="L245" i="4"/>
  <c r="K233" i="4"/>
  <c r="L233" i="4"/>
  <c r="K221" i="4"/>
  <c r="L221" i="4"/>
  <c r="K209" i="4"/>
  <c r="L209" i="4"/>
  <c r="K197" i="4"/>
  <c r="L197" i="4"/>
  <c r="K185" i="4"/>
  <c r="L185" i="4"/>
  <c r="K173" i="4"/>
  <c r="L173" i="4"/>
  <c r="K161" i="4"/>
  <c r="L161" i="4"/>
  <c r="K149" i="4"/>
  <c r="L149" i="4"/>
  <c r="K137" i="4"/>
  <c r="L137" i="4"/>
  <c r="K125" i="4"/>
  <c r="L125" i="4"/>
  <c r="K113" i="4"/>
  <c r="L113" i="4"/>
  <c r="K101" i="4"/>
  <c r="L101" i="4"/>
  <c r="K89" i="4"/>
  <c r="L89" i="4"/>
  <c r="K244" i="4"/>
  <c r="L244" i="4"/>
  <c r="K232" i="4"/>
  <c r="L232" i="4"/>
  <c r="K220" i="4"/>
  <c r="L220" i="4"/>
  <c r="K208" i="4"/>
  <c r="L208" i="4"/>
  <c r="K196" i="4"/>
  <c r="L196" i="4"/>
  <c r="K184" i="4"/>
  <c r="L184" i="4"/>
  <c r="K172" i="4"/>
  <c r="L172" i="4"/>
  <c r="K160" i="4"/>
  <c r="L160" i="4"/>
  <c r="K148" i="4"/>
  <c r="L148" i="4"/>
  <c r="K136" i="4"/>
  <c r="L136" i="4"/>
  <c r="K124" i="4"/>
  <c r="L124" i="4"/>
  <c r="K112" i="4"/>
  <c r="L112" i="4"/>
  <c r="K100" i="4"/>
  <c r="L100" i="4"/>
  <c r="K88" i="4"/>
  <c r="L88" i="4"/>
  <c r="K76" i="4"/>
  <c r="L76" i="4"/>
  <c r="K64" i="4"/>
  <c r="L64" i="4"/>
  <c r="K52" i="4"/>
  <c r="L52" i="4"/>
  <c r="K40" i="4"/>
  <c r="L40" i="4"/>
  <c r="K28" i="4"/>
  <c r="L28" i="4"/>
  <c r="K243" i="4"/>
  <c r="L243" i="4"/>
  <c r="K231" i="4"/>
  <c r="L231" i="4"/>
  <c r="K219" i="4"/>
  <c r="L219" i="4"/>
  <c r="K207" i="4"/>
  <c r="L207" i="4"/>
  <c r="K195" i="4"/>
  <c r="L195" i="4"/>
  <c r="K183" i="4"/>
  <c r="L183" i="4"/>
  <c r="K171" i="4"/>
  <c r="L171" i="4"/>
  <c r="K159" i="4"/>
  <c r="L159" i="4"/>
  <c r="K147" i="4"/>
  <c r="L147" i="4"/>
  <c r="K135" i="4"/>
  <c r="L135" i="4"/>
  <c r="K123" i="4"/>
  <c r="L123" i="4"/>
  <c r="K111" i="4"/>
  <c r="L111" i="4"/>
  <c r="K99" i="4"/>
  <c r="L99" i="4"/>
  <c r="K87" i="4"/>
  <c r="L87" i="4"/>
  <c r="K75" i="4"/>
  <c r="L75" i="4"/>
  <c r="K63" i="4"/>
  <c r="L63" i="4"/>
  <c r="K51" i="4"/>
  <c r="L51" i="4"/>
  <c r="K242" i="4"/>
  <c r="L242" i="4"/>
  <c r="K230" i="4"/>
  <c r="L230" i="4"/>
  <c r="K218" i="4"/>
  <c r="L218" i="4"/>
  <c r="K206" i="4"/>
  <c r="L206" i="4"/>
  <c r="K194" i="4"/>
  <c r="L194" i="4"/>
  <c r="K182" i="4"/>
  <c r="L182" i="4"/>
  <c r="K170" i="4"/>
  <c r="L170" i="4"/>
  <c r="K158" i="4"/>
  <c r="L158" i="4"/>
  <c r="K146" i="4"/>
  <c r="L146" i="4"/>
  <c r="K134" i="4"/>
  <c r="L134" i="4"/>
  <c r="K122" i="4"/>
  <c r="L122" i="4"/>
  <c r="K110" i="4"/>
  <c r="L110" i="4"/>
  <c r="K98" i="4"/>
  <c r="L98" i="4"/>
  <c r="K86" i="4"/>
  <c r="L86" i="4"/>
  <c r="K74" i="4"/>
  <c r="L74" i="4"/>
  <c r="K62" i="4"/>
  <c r="L62" i="4"/>
  <c r="K50" i="4"/>
  <c r="L50" i="4"/>
  <c r="K38" i="4"/>
  <c r="L38" i="4"/>
  <c r="K26" i="4"/>
  <c r="L26" i="4"/>
  <c r="K14" i="4"/>
  <c r="L14" i="4"/>
  <c r="K241" i="4"/>
  <c r="L241" i="4"/>
  <c r="K229" i="4"/>
  <c r="L229" i="4"/>
  <c r="K217" i="4"/>
  <c r="L217" i="4"/>
  <c r="K205" i="4"/>
  <c r="L205" i="4"/>
  <c r="K193" i="4"/>
  <c r="L193" i="4"/>
  <c r="K169" i="4"/>
  <c r="L169" i="4"/>
  <c r="K157" i="4"/>
  <c r="L157" i="4"/>
  <c r="K145" i="4"/>
  <c r="L145" i="4"/>
  <c r="K133" i="4"/>
  <c r="L133" i="4"/>
  <c r="K121" i="4"/>
  <c r="L121" i="4"/>
  <c r="K109" i="4"/>
  <c r="L109" i="4"/>
  <c r="K97" i="4"/>
  <c r="L97" i="4"/>
  <c r="K85" i="4"/>
  <c r="L85" i="4"/>
  <c r="K73" i="4"/>
  <c r="L73" i="4"/>
  <c r="K61" i="4"/>
  <c r="L61" i="4"/>
  <c r="K49" i="4"/>
  <c r="L49" i="4"/>
  <c r="K37" i="4"/>
  <c r="L37" i="4"/>
  <c r="K240" i="4"/>
  <c r="L240" i="4"/>
  <c r="K228" i="4"/>
  <c r="L228" i="4"/>
  <c r="K216" i="4"/>
  <c r="L216" i="4"/>
  <c r="K204" i="4"/>
  <c r="L204" i="4"/>
  <c r="K192" i="4"/>
  <c r="L192" i="4"/>
  <c r="K180" i="4"/>
  <c r="L180" i="4"/>
  <c r="K168" i="4"/>
  <c r="L168" i="4"/>
  <c r="K156" i="4"/>
  <c r="L156" i="4"/>
  <c r="K144" i="4"/>
  <c r="L144" i="4"/>
  <c r="K132" i="4"/>
  <c r="L132" i="4"/>
  <c r="K120" i="4"/>
  <c r="L120" i="4"/>
  <c r="K108" i="4"/>
  <c r="L108" i="4"/>
  <c r="K96" i="4"/>
  <c r="L96" i="4"/>
  <c r="K84" i="4"/>
  <c r="L84" i="4"/>
  <c r="K72" i="4"/>
  <c r="L72" i="4"/>
  <c r="K60" i="4"/>
  <c r="L60" i="4"/>
  <c r="K48" i="4"/>
  <c r="L48" i="4"/>
  <c r="K36" i="4"/>
  <c r="L36" i="4"/>
  <c r="K24" i="4"/>
  <c r="L24" i="4"/>
  <c r="K239" i="4"/>
  <c r="L239" i="4"/>
  <c r="K227" i="4"/>
  <c r="L227" i="4"/>
  <c r="K215" i="4"/>
  <c r="L215" i="4"/>
  <c r="K203" i="4"/>
  <c r="L203" i="4"/>
  <c r="K191" i="4"/>
  <c r="L191" i="4"/>
  <c r="K179" i="4"/>
  <c r="L179" i="4"/>
  <c r="K167" i="4"/>
  <c r="L167" i="4"/>
  <c r="K155" i="4"/>
  <c r="L155" i="4"/>
  <c r="K143" i="4"/>
  <c r="L143" i="4"/>
  <c r="K131" i="4"/>
  <c r="L131" i="4"/>
  <c r="K119" i="4"/>
  <c r="L119" i="4"/>
  <c r="K107" i="4"/>
  <c r="L107" i="4"/>
  <c r="K95" i="4"/>
  <c r="L95" i="4"/>
  <c r="K83" i="4"/>
  <c r="L83" i="4"/>
  <c r="K71" i="4"/>
  <c r="L71" i="4"/>
  <c r="K59" i="4"/>
  <c r="L59" i="4"/>
  <c r="K47" i="4"/>
  <c r="L47" i="4"/>
  <c r="K35" i="4"/>
  <c r="L35" i="4"/>
  <c r="K238" i="4"/>
  <c r="L238" i="4"/>
  <c r="K226" i="4"/>
  <c r="L226" i="4"/>
  <c r="K214" i="4"/>
  <c r="L214" i="4"/>
  <c r="K202" i="4"/>
  <c r="L202" i="4"/>
  <c r="K190" i="4"/>
  <c r="L190" i="4"/>
  <c r="K178" i="4"/>
  <c r="L178" i="4"/>
  <c r="K166" i="4"/>
  <c r="L166" i="4"/>
  <c r="K154" i="4"/>
  <c r="L154" i="4"/>
  <c r="K142" i="4"/>
  <c r="L142" i="4"/>
  <c r="K130" i="4"/>
  <c r="L130" i="4"/>
  <c r="K118" i="4"/>
  <c r="L118" i="4"/>
  <c r="K106" i="4"/>
  <c r="L106" i="4"/>
  <c r="K94" i="4"/>
  <c r="L94" i="4"/>
  <c r="K82" i="4"/>
  <c r="L82" i="4"/>
  <c r="K70" i="4"/>
  <c r="L70" i="4"/>
  <c r="K237" i="4"/>
  <c r="L237" i="4"/>
  <c r="K225" i="4"/>
  <c r="L225" i="4"/>
  <c r="K213" i="4"/>
  <c r="L213" i="4"/>
  <c r="K201" i="4"/>
  <c r="L201" i="4"/>
  <c r="K189" i="4"/>
  <c r="L189" i="4"/>
  <c r="K177" i="4"/>
  <c r="L177" i="4"/>
  <c r="K165" i="4"/>
  <c r="L165" i="4"/>
  <c r="K153" i="4"/>
  <c r="L153" i="4"/>
  <c r="K141" i="4"/>
  <c r="L141" i="4"/>
  <c r="K129" i="4"/>
  <c r="L129" i="4"/>
  <c r="K117" i="4"/>
  <c r="L117" i="4"/>
  <c r="K105" i="4"/>
  <c r="L105" i="4"/>
  <c r="K93" i="4"/>
  <c r="L93" i="4"/>
  <c r="K81" i="4"/>
  <c r="L81" i="4"/>
  <c r="K69" i="4"/>
  <c r="L69" i="4"/>
  <c r="K57" i="4"/>
  <c r="L57" i="4"/>
  <c r="K45" i="4"/>
  <c r="L45" i="4"/>
  <c r="K33" i="4"/>
  <c r="L33" i="4"/>
  <c r="K21" i="4"/>
  <c r="L21" i="4"/>
  <c r="K248" i="4"/>
  <c r="L248" i="4"/>
  <c r="K236" i="4"/>
  <c r="L236" i="4"/>
  <c r="K224" i="4"/>
  <c r="L224" i="4"/>
  <c r="K212" i="4"/>
  <c r="L212" i="4"/>
  <c r="K200" i="4"/>
  <c r="L200" i="4"/>
  <c r="K188" i="4"/>
  <c r="L188" i="4"/>
  <c r="K176" i="4"/>
  <c r="L176" i="4"/>
  <c r="K164" i="4"/>
  <c r="L164" i="4"/>
  <c r="K152" i="4"/>
  <c r="L152" i="4"/>
  <c r="K140" i="4"/>
  <c r="L140" i="4"/>
  <c r="K128" i="4"/>
  <c r="L128" i="4"/>
  <c r="K116" i="4"/>
  <c r="L116" i="4"/>
  <c r="K104" i="4"/>
  <c r="L104" i="4"/>
  <c r="K92" i="4"/>
  <c r="L92" i="4"/>
  <c r="K80" i="4"/>
  <c r="L80" i="4"/>
  <c r="K68" i="4"/>
  <c r="L68" i="4"/>
  <c r="K56" i="4"/>
  <c r="L56" i="4"/>
  <c r="K44" i="4"/>
  <c r="L44" i="4"/>
  <c r="K32" i="4"/>
  <c r="L32" i="4"/>
  <c r="K20" i="4"/>
  <c r="L20" i="4"/>
  <c r="K8" i="4"/>
  <c r="L8" i="4"/>
  <c r="K7" i="4"/>
  <c r="L7" i="4"/>
  <c r="K30" i="4"/>
  <c r="L30" i="4"/>
  <c r="K18" i="4"/>
  <c r="L18" i="4"/>
  <c r="K6" i="4"/>
  <c r="L6" i="4"/>
  <c r="K77" i="4"/>
  <c r="L77" i="4"/>
  <c r="K65" i="4"/>
  <c r="L65" i="4"/>
  <c r="K53" i="4"/>
  <c r="L53" i="4"/>
  <c r="K41" i="4"/>
  <c r="L41" i="4"/>
  <c r="K29" i="4"/>
  <c r="L29" i="4"/>
  <c r="K17" i="4"/>
  <c r="L17" i="4"/>
  <c r="K5" i="4"/>
  <c r="L5" i="4"/>
  <c r="K16" i="4"/>
  <c r="L16" i="4"/>
  <c r="K4" i="4"/>
  <c r="L4" i="4"/>
  <c r="K39" i="4"/>
  <c r="L39" i="4"/>
  <c r="K27" i="4"/>
  <c r="L27" i="4"/>
  <c r="K15" i="4"/>
  <c r="L15" i="4"/>
  <c r="K3" i="4"/>
  <c r="L3" i="4"/>
  <c r="K2" i="4"/>
  <c r="L2" i="4"/>
  <c r="K25" i="4"/>
  <c r="L25" i="4"/>
  <c r="K13" i="4"/>
  <c r="L13" i="4"/>
  <c r="K12" i="4"/>
  <c r="L12" i="4"/>
  <c r="G228" i="4"/>
  <c r="H228" i="4" s="1"/>
  <c r="I228" i="4" s="1"/>
  <c r="G199" i="4"/>
  <c r="H199" i="4" s="1"/>
  <c r="I199" i="4" s="1"/>
  <c r="G193" i="4"/>
  <c r="H193" i="4" s="1"/>
  <c r="I193" i="4" s="1"/>
  <c r="G155" i="4"/>
  <c r="H155" i="4" s="1"/>
  <c r="I155" i="4" s="1"/>
  <c r="G131" i="4"/>
  <c r="H131" i="4" s="1"/>
  <c r="I131" i="4" s="1"/>
  <c r="G130" i="4"/>
  <c r="H130" i="4" s="1"/>
  <c r="I130" i="4" s="1"/>
  <c r="G84" i="4"/>
  <c r="H84" i="4" s="1"/>
  <c r="I84" i="4" s="1"/>
  <c r="G48" i="4"/>
  <c r="H48" i="4" s="1"/>
  <c r="I48" i="4" s="1"/>
  <c r="G11" i="4"/>
  <c r="H11" i="4" s="1"/>
  <c r="I11" i="4" s="1"/>
  <c r="G10" i="4"/>
  <c r="H10" i="4" s="1"/>
  <c r="I10" i="4" s="1"/>
  <c r="G246" i="4"/>
  <c r="H246" i="4" s="1"/>
  <c r="I246" i="4" s="1"/>
  <c r="G234" i="4"/>
  <c r="H234" i="4" s="1"/>
  <c r="I234" i="4" s="1"/>
  <c r="G222" i="4"/>
  <c r="H222" i="4" s="1"/>
  <c r="I222" i="4" s="1"/>
  <c r="G210" i="4"/>
  <c r="H210" i="4" s="1"/>
  <c r="I210" i="4" s="1"/>
  <c r="G198" i="4"/>
  <c r="H198" i="4" s="1"/>
  <c r="I198" i="4" s="1"/>
  <c r="G186" i="4"/>
  <c r="H186" i="4" s="1"/>
  <c r="I186" i="4" s="1"/>
  <c r="G174" i="4"/>
  <c r="H174" i="4" s="1"/>
  <c r="I174" i="4" s="1"/>
  <c r="G162" i="4"/>
  <c r="H162" i="4" s="1"/>
  <c r="I162" i="4" s="1"/>
  <c r="G150" i="4"/>
  <c r="H150" i="4" s="1"/>
  <c r="I150" i="4" s="1"/>
  <c r="G138" i="4"/>
  <c r="H138" i="4" s="1"/>
  <c r="I138" i="4" s="1"/>
  <c r="G126" i="4"/>
  <c r="H126" i="4" s="1"/>
  <c r="I126" i="4" s="1"/>
  <c r="G114" i="4"/>
  <c r="H114" i="4" s="1"/>
  <c r="I114" i="4" s="1"/>
  <c r="G102" i="4"/>
  <c r="H102" i="4" s="1"/>
  <c r="I102" i="4" s="1"/>
  <c r="G90" i="4"/>
  <c r="H90" i="4" s="1"/>
  <c r="I90" i="4" s="1"/>
  <c r="G78" i="4"/>
  <c r="H78" i="4" s="1"/>
  <c r="I78" i="4" s="1"/>
  <c r="G66" i="4"/>
  <c r="H66" i="4" s="1"/>
  <c r="I66" i="4" s="1"/>
  <c r="G54" i="4"/>
  <c r="H54" i="4" s="1"/>
  <c r="I54" i="4" s="1"/>
  <c r="G42" i="4"/>
  <c r="H42" i="4" s="1"/>
  <c r="I42" i="4" s="1"/>
  <c r="G30" i="4"/>
  <c r="H30" i="4" s="1"/>
  <c r="I30" i="4" s="1"/>
  <c r="G18" i="4"/>
  <c r="H18" i="4" s="1"/>
  <c r="I18" i="4" s="1"/>
  <c r="G6" i="4"/>
  <c r="H6" i="4" s="1"/>
  <c r="I6" i="4" s="1"/>
  <c r="G225" i="4"/>
  <c r="H225" i="4" s="1"/>
  <c r="I225" i="4" s="1"/>
  <c r="G190" i="4"/>
  <c r="H190" i="4" s="1"/>
  <c r="I190" i="4" s="1"/>
  <c r="G152" i="4"/>
  <c r="H152" i="4" s="1"/>
  <c r="I152" i="4" s="1"/>
  <c r="G109" i="4"/>
  <c r="H109" i="4" s="1"/>
  <c r="I109" i="4" s="1"/>
  <c r="G81" i="4"/>
  <c r="H81" i="4" s="1"/>
  <c r="I81" i="4" s="1"/>
  <c r="G45" i="4"/>
  <c r="H45" i="4" s="1"/>
  <c r="I45" i="4" s="1"/>
  <c r="G245" i="4"/>
  <c r="H245" i="4" s="1"/>
  <c r="I245" i="4" s="1"/>
  <c r="G233" i="4"/>
  <c r="H233" i="4" s="1"/>
  <c r="I233" i="4" s="1"/>
  <c r="G221" i="4"/>
  <c r="H221" i="4" s="1"/>
  <c r="I221" i="4" s="1"/>
  <c r="G209" i="4"/>
  <c r="H209" i="4" s="1"/>
  <c r="I209" i="4" s="1"/>
  <c r="G197" i="4"/>
  <c r="H197" i="4" s="1"/>
  <c r="I197" i="4" s="1"/>
  <c r="G185" i="4"/>
  <c r="H185" i="4" s="1"/>
  <c r="I185" i="4" s="1"/>
  <c r="G173" i="4"/>
  <c r="H173" i="4" s="1"/>
  <c r="I173" i="4" s="1"/>
  <c r="G161" i="4"/>
  <c r="H161" i="4" s="1"/>
  <c r="I161" i="4" s="1"/>
  <c r="G149" i="4"/>
  <c r="H149" i="4" s="1"/>
  <c r="I149" i="4" s="1"/>
  <c r="G137" i="4"/>
  <c r="H137" i="4" s="1"/>
  <c r="I137" i="4" s="1"/>
  <c r="G125" i="4"/>
  <c r="H125" i="4" s="1"/>
  <c r="I125" i="4" s="1"/>
  <c r="G113" i="4"/>
  <c r="H113" i="4" s="1"/>
  <c r="I113" i="4" s="1"/>
  <c r="G101" i="4"/>
  <c r="H101" i="4" s="1"/>
  <c r="I101" i="4" s="1"/>
  <c r="G89" i="4"/>
  <c r="H89" i="4" s="1"/>
  <c r="I89" i="4" s="1"/>
  <c r="G77" i="4"/>
  <c r="H77" i="4" s="1"/>
  <c r="I77" i="4" s="1"/>
  <c r="G65" i="4"/>
  <c r="H65" i="4" s="1"/>
  <c r="I65" i="4" s="1"/>
  <c r="G53" i="4"/>
  <c r="H53" i="4" s="1"/>
  <c r="I53" i="4" s="1"/>
  <c r="G41" i="4"/>
  <c r="H41" i="4" s="1"/>
  <c r="I41" i="4" s="1"/>
  <c r="G29" i="4"/>
  <c r="H29" i="4" s="1"/>
  <c r="I29" i="4" s="1"/>
  <c r="G17" i="4"/>
  <c r="H17" i="4" s="1"/>
  <c r="I17" i="4" s="1"/>
  <c r="G5" i="4"/>
  <c r="H5" i="4" s="1"/>
  <c r="I5" i="4" s="1"/>
  <c r="G216" i="4"/>
  <c r="H216" i="4" s="1"/>
  <c r="I216" i="4" s="1"/>
  <c r="G189" i="4"/>
  <c r="H189" i="4" s="1"/>
  <c r="I189" i="4" s="1"/>
  <c r="G145" i="4"/>
  <c r="H145" i="4" s="1"/>
  <c r="I145" i="4" s="1"/>
  <c r="G108" i="4"/>
  <c r="H108" i="4" s="1"/>
  <c r="I108" i="4" s="1"/>
  <c r="G72" i="4"/>
  <c r="H72" i="4" s="1"/>
  <c r="I72" i="4" s="1"/>
  <c r="G33" i="4"/>
  <c r="H33" i="4" s="1"/>
  <c r="I33" i="4" s="1"/>
  <c r="G244" i="4"/>
  <c r="H244" i="4" s="1"/>
  <c r="I244" i="4" s="1"/>
  <c r="G232" i="4"/>
  <c r="H232" i="4" s="1"/>
  <c r="I232" i="4" s="1"/>
  <c r="G220" i="4"/>
  <c r="H220" i="4" s="1"/>
  <c r="I220" i="4" s="1"/>
  <c r="G208" i="4"/>
  <c r="H208" i="4" s="1"/>
  <c r="I208" i="4" s="1"/>
  <c r="G196" i="4"/>
  <c r="H196" i="4" s="1"/>
  <c r="I196" i="4" s="1"/>
  <c r="G184" i="4"/>
  <c r="H184" i="4" s="1"/>
  <c r="I184" i="4" s="1"/>
  <c r="G172" i="4"/>
  <c r="H172" i="4" s="1"/>
  <c r="I172" i="4" s="1"/>
  <c r="G160" i="4"/>
  <c r="H160" i="4" s="1"/>
  <c r="I160" i="4" s="1"/>
  <c r="G148" i="4"/>
  <c r="H148" i="4" s="1"/>
  <c r="I148" i="4" s="1"/>
  <c r="G136" i="4"/>
  <c r="H136" i="4" s="1"/>
  <c r="I136" i="4" s="1"/>
  <c r="G124" i="4"/>
  <c r="H124" i="4" s="1"/>
  <c r="I124" i="4" s="1"/>
  <c r="G112" i="4"/>
  <c r="H112" i="4" s="1"/>
  <c r="I112" i="4" s="1"/>
  <c r="G100" i="4"/>
  <c r="H100" i="4" s="1"/>
  <c r="I100" i="4" s="1"/>
  <c r="G88" i="4"/>
  <c r="H88" i="4" s="1"/>
  <c r="I88" i="4" s="1"/>
  <c r="G76" i="4"/>
  <c r="H76" i="4" s="1"/>
  <c r="I76" i="4" s="1"/>
  <c r="G64" i="4"/>
  <c r="H64" i="4" s="1"/>
  <c r="I64" i="4" s="1"/>
  <c r="G52" i="4"/>
  <c r="H52" i="4" s="1"/>
  <c r="I52" i="4" s="1"/>
  <c r="G40" i="4"/>
  <c r="H40" i="4" s="1"/>
  <c r="I40" i="4" s="1"/>
  <c r="G28" i="4"/>
  <c r="H28" i="4" s="1"/>
  <c r="I28" i="4" s="1"/>
  <c r="G16" i="4"/>
  <c r="H16" i="4" s="1"/>
  <c r="I16" i="4" s="1"/>
  <c r="G4" i="4"/>
  <c r="H4" i="4" s="1"/>
  <c r="I4" i="4" s="1"/>
  <c r="G215" i="4"/>
  <c r="H215" i="4" s="1"/>
  <c r="I215" i="4" s="1"/>
  <c r="G177" i="4"/>
  <c r="H177" i="4" s="1"/>
  <c r="I177" i="4" s="1"/>
  <c r="G144" i="4"/>
  <c r="H144" i="4" s="1"/>
  <c r="I144" i="4" s="1"/>
  <c r="G107" i="4"/>
  <c r="H107" i="4" s="1"/>
  <c r="I107" i="4" s="1"/>
  <c r="G71" i="4"/>
  <c r="H71" i="4" s="1"/>
  <c r="I71" i="4" s="1"/>
  <c r="G31" i="4"/>
  <c r="H31" i="4" s="1"/>
  <c r="I31" i="4" s="1"/>
  <c r="G243" i="4"/>
  <c r="H243" i="4" s="1"/>
  <c r="I243" i="4" s="1"/>
  <c r="G231" i="4"/>
  <c r="H231" i="4" s="1"/>
  <c r="I231" i="4" s="1"/>
  <c r="G219" i="4"/>
  <c r="H219" i="4" s="1"/>
  <c r="I219" i="4" s="1"/>
  <c r="G207" i="4"/>
  <c r="H207" i="4" s="1"/>
  <c r="I207" i="4" s="1"/>
  <c r="G195" i="4"/>
  <c r="H195" i="4" s="1"/>
  <c r="I195" i="4" s="1"/>
  <c r="G183" i="4"/>
  <c r="H183" i="4" s="1"/>
  <c r="I183" i="4" s="1"/>
  <c r="G171" i="4"/>
  <c r="H171" i="4" s="1"/>
  <c r="I171" i="4" s="1"/>
  <c r="G159" i="4"/>
  <c r="H159" i="4" s="1"/>
  <c r="I159" i="4" s="1"/>
  <c r="G147" i="4"/>
  <c r="H147" i="4" s="1"/>
  <c r="I147" i="4" s="1"/>
  <c r="G135" i="4"/>
  <c r="H135" i="4" s="1"/>
  <c r="I135" i="4" s="1"/>
  <c r="G123" i="4"/>
  <c r="H123" i="4" s="1"/>
  <c r="I123" i="4" s="1"/>
  <c r="G111" i="4"/>
  <c r="H111" i="4" s="1"/>
  <c r="I111" i="4" s="1"/>
  <c r="G99" i="4"/>
  <c r="H99" i="4" s="1"/>
  <c r="I99" i="4" s="1"/>
  <c r="G87" i="4"/>
  <c r="H87" i="4" s="1"/>
  <c r="I87" i="4" s="1"/>
  <c r="G75" i="4"/>
  <c r="H75" i="4" s="1"/>
  <c r="I75" i="4" s="1"/>
  <c r="G63" i="4"/>
  <c r="H63" i="4" s="1"/>
  <c r="I63" i="4" s="1"/>
  <c r="G51" i="4"/>
  <c r="H51" i="4" s="1"/>
  <c r="I51" i="4" s="1"/>
  <c r="G39" i="4"/>
  <c r="H39" i="4" s="1"/>
  <c r="I39" i="4" s="1"/>
  <c r="G27" i="4"/>
  <c r="H27" i="4" s="1"/>
  <c r="I27" i="4" s="1"/>
  <c r="G15" i="4"/>
  <c r="H15" i="4" s="1"/>
  <c r="I15" i="4" s="1"/>
  <c r="G3" i="4"/>
  <c r="H3" i="4" s="1"/>
  <c r="I3" i="4" s="1"/>
  <c r="G214" i="4"/>
  <c r="H214" i="4" s="1"/>
  <c r="I214" i="4" s="1"/>
  <c r="G175" i="4"/>
  <c r="H175" i="4" s="1"/>
  <c r="I175" i="4" s="1"/>
  <c r="G143" i="4"/>
  <c r="H143" i="4" s="1"/>
  <c r="I143" i="4" s="1"/>
  <c r="G106" i="4"/>
  <c r="H106" i="4" s="1"/>
  <c r="I106" i="4" s="1"/>
  <c r="G70" i="4"/>
  <c r="H70" i="4" s="1"/>
  <c r="I70" i="4" s="1"/>
  <c r="G25" i="4"/>
  <c r="H25" i="4" s="1"/>
  <c r="I25" i="4" s="1"/>
  <c r="G242" i="4"/>
  <c r="H242" i="4" s="1"/>
  <c r="I242" i="4" s="1"/>
  <c r="G230" i="4"/>
  <c r="H230" i="4" s="1"/>
  <c r="I230" i="4" s="1"/>
  <c r="G218" i="4"/>
  <c r="H218" i="4" s="1"/>
  <c r="I218" i="4" s="1"/>
  <c r="G206" i="4"/>
  <c r="H206" i="4" s="1"/>
  <c r="I206" i="4" s="1"/>
  <c r="G194" i="4"/>
  <c r="H194" i="4" s="1"/>
  <c r="I194" i="4" s="1"/>
  <c r="G182" i="4"/>
  <c r="H182" i="4" s="1"/>
  <c r="I182" i="4" s="1"/>
  <c r="G170" i="4"/>
  <c r="H170" i="4" s="1"/>
  <c r="I170" i="4" s="1"/>
  <c r="G158" i="4"/>
  <c r="H158" i="4" s="1"/>
  <c r="I158" i="4" s="1"/>
  <c r="G146" i="4"/>
  <c r="H146" i="4" s="1"/>
  <c r="I146" i="4" s="1"/>
  <c r="G134" i="4"/>
  <c r="H134" i="4" s="1"/>
  <c r="I134" i="4" s="1"/>
  <c r="G122" i="4"/>
  <c r="H122" i="4" s="1"/>
  <c r="I122" i="4" s="1"/>
  <c r="G110" i="4"/>
  <c r="H110" i="4" s="1"/>
  <c r="I110" i="4" s="1"/>
  <c r="G98" i="4"/>
  <c r="H98" i="4" s="1"/>
  <c r="I98" i="4" s="1"/>
  <c r="G86" i="4"/>
  <c r="H86" i="4" s="1"/>
  <c r="I86" i="4" s="1"/>
  <c r="G74" i="4"/>
  <c r="H74" i="4" s="1"/>
  <c r="I74" i="4" s="1"/>
  <c r="G62" i="4"/>
  <c r="H62" i="4" s="1"/>
  <c r="I62" i="4" s="1"/>
  <c r="G50" i="4"/>
  <c r="H50" i="4" s="1"/>
  <c r="I50" i="4" s="1"/>
  <c r="G38" i="4"/>
  <c r="H38" i="4" s="1"/>
  <c r="I38" i="4" s="1"/>
  <c r="G26" i="4"/>
  <c r="H26" i="4" s="1"/>
  <c r="I26" i="4" s="1"/>
  <c r="G14" i="4"/>
  <c r="H14" i="4" s="1"/>
  <c r="I14" i="4" s="1"/>
  <c r="G2" i="4"/>
  <c r="H2" i="4" s="1"/>
  <c r="I2" i="4" s="1"/>
  <c r="G213" i="4"/>
  <c r="H213" i="4" s="1"/>
  <c r="I213" i="4" s="1"/>
  <c r="G169" i="4"/>
  <c r="H169" i="4" s="1"/>
  <c r="I169" i="4" s="1"/>
  <c r="G142" i="4"/>
  <c r="H142" i="4" s="1"/>
  <c r="I142" i="4" s="1"/>
  <c r="G105" i="4"/>
  <c r="H105" i="4" s="1"/>
  <c r="I105" i="4" s="1"/>
  <c r="G69" i="4"/>
  <c r="H69" i="4" s="1"/>
  <c r="I69" i="4" s="1"/>
  <c r="G24" i="4"/>
  <c r="H24" i="4" s="1"/>
  <c r="I24" i="4" s="1"/>
  <c r="G241" i="4"/>
  <c r="H241" i="4" s="1"/>
  <c r="I241" i="4" s="1"/>
  <c r="G217" i="4"/>
  <c r="H217" i="4" s="1"/>
  <c r="I217" i="4" s="1"/>
  <c r="G181" i="4"/>
  <c r="H181" i="4" s="1"/>
  <c r="I181" i="4" s="1"/>
  <c r="G157" i="4"/>
  <c r="H157" i="4" s="1"/>
  <c r="I157" i="4" s="1"/>
  <c r="G121" i="4"/>
  <c r="H121" i="4" s="1"/>
  <c r="I121" i="4" s="1"/>
  <c r="G97" i="4"/>
  <c r="H97" i="4" s="1"/>
  <c r="I97" i="4" s="1"/>
  <c r="G73" i="4"/>
  <c r="H73" i="4" s="1"/>
  <c r="I73" i="4" s="1"/>
  <c r="G37" i="4"/>
  <c r="H37" i="4" s="1"/>
  <c r="I37" i="4" s="1"/>
  <c r="G13" i="4"/>
  <c r="H13" i="4" s="1"/>
  <c r="I13" i="4" s="1"/>
  <c r="G238" i="4"/>
  <c r="H238" i="4" s="1"/>
  <c r="I238" i="4" s="1"/>
  <c r="G211" i="4"/>
  <c r="H211" i="4" s="1"/>
  <c r="I211" i="4" s="1"/>
  <c r="G168" i="4"/>
  <c r="H168" i="4" s="1"/>
  <c r="I168" i="4" s="1"/>
  <c r="G141" i="4"/>
  <c r="H141" i="4" s="1"/>
  <c r="I141" i="4" s="1"/>
  <c r="G94" i="4"/>
  <c r="H94" i="4" s="1"/>
  <c r="I94" i="4" s="1"/>
  <c r="G67" i="4"/>
  <c r="H67" i="4" s="1"/>
  <c r="I67" i="4" s="1"/>
  <c r="G23" i="4"/>
  <c r="H23" i="4" s="1"/>
  <c r="I23" i="4" s="1"/>
  <c r="G240" i="4"/>
  <c r="H240" i="4" s="1"/>
  <c r="I240" i="4" s="1"/>
  <c r="G204" i="4"/>
  <c r="H204" i="4" s="1"/>
  <c r="I204" i="4" s="1"/>
  <c r="G180" i="4"/>
  <c r="H180" i="4" s="1"/>
  <c r="I180" i="4" s="1"/>
  <c r="G156" i="4"/>
  <c r="H156" i="4" s="1"/>
  <c r="I156" i="4" s="1"/>
  <c r="G120" i="4"/>
  <c r="H120" i="4" s="1"/>
  <c r="I120" i="4" s="1"/>
  <c r="G96" i="4"/>
  <c r="H96" i="4" s="1"/>
  <c r="I96" i="4" s="1"/>
  <c r="G60" i="4"/>
  <c r="H60" i="4" s="1"/>
  <c r="I60" i="4" s="1"/>
  <c r="G36" i="4"/>
  <c r="H36" i="4" s="1"/>
  <c r="I36" i="4" s="1"/>
  <c r="G12" i="4"/>
  <c r="H12" i="4" s="1"/>
  <c r="I12" i="4" s="1"/>
  <c r="G237" i="4"/>
  <c r="H237" i="4" s="1"/>
  <c r="I237" i="4" s="1"/>
  <c r="G205" i="4"/>
  <c r="H205" i="4" s="1"/>
  <c r="I205" i="4" s="1"/>
  <c r="G167" i="4"/>
  <c r="H167" i="4" s="1"/>
  <c r="I167" i="4" s="1"/>
  <c r="G133" i="4"/>
  <c r="H133" i="4" s="1"/>
  <c r="I133" i="4" s="1"/>
  <c r="G93" i="4"/>
  <c r="H93" i="4" s="1"/>
  <c r="I93" i="4" s="1"/>
  <c r="G61" i="4"/>
  <c r="H61" i="4" s="1"/>
  <c r="I61" i="4" s="1"/>
  <c r="G22" i="4"/>
  <c r="H22" i="4" s="1"/>
  <c r="I22" i="4" s="1"/>
  <c r="G239" i="4"/>
  <c r="H239" i="4" s="1"/>
  <c r="I239" i="4" s="1"/>
  <c r="G203" i="4"/>
  <c r="H203" i="4" s="1"/>
  <c r="I203" i="4" s="1"/>
  <c r="G179" i="4"/>
  <c r="H179" i="4" s="1"/>
  <c r="I179" i="4" s="1"/>
  <c r="G119" i="4"/>
  <c r="H119" i="4" s="1"/>
  <c r="I119" i="4" s="1"/>
  <c r="G95" i="4"/>
  <c r="H95" i="4" s="1"/>
  <c r="I95" i="4" s="1"/>
  <c r="G59" i="4"/>
  <c r="H59" i="4" s="1"/>
  <c r="I59" i="4" s="1"/>
  <c r="G35" i="4"/>
  <c r="H35" i="4" s="1"/>
  <c r="I35" i="4" s="1"/>
  <c r="G235" i="4"/>
  <c r="H235" i="4" s="1"/>
  <c r="I235" i="4" s="1"/>
  <c r="G202" i="4"/>
  <c r="H202" i="4" s="1"/>
  <c r="I202" i="4" s="1"/>
  <c r="G166" i="4"/>
  <c r="H166" i="4" s="1"/>
  <c r="I166" i="4" s="1"/>
  <c r="G132" i="4"/>
  <c r="H132" i="4" s="1"/>
  <c r="I132" i="4" s="1"/>
  <c r="G91" i="4"/>
  <c r="H91" i="4" s="1"/>
  <c r="I91" i="4" s="1"/>
  <c r="G55" i="4"/>
  <c r="H55" i="4" s="1"/>
  <c r="I55" i="4" s="1"/>
  <c r="G21" i="4"/>
  <c r="H21" i="4" s="1"/>
  <c r="I21" i="4" s="1"/>
  <c r="G178" i="4"/>
  <c r="H178" i="4" s="1"/>
  <c r="I178" i="4" s="1"/>
  <c r="G118" i="4"/>
  <c r="H118" i="4" s="1"/>
  <c r="I118" i="4" s="1"/>
  <c r="G58" i="4"/>
  <c r="H58" i="4" s="1"/>
  <c r="I58" i="4" s="1"/>
  <c r="G34" i="4"/>
  <c r="H34" i="4" s="1"/>
  <c r="I34" i="4" s="1"/>
  <c r="G229" i="4"/>
  <c r="H229" i="4" s="1"/>
  <c r="I229" i="4" s="1"/>
  <c r="G165" i="4"/>
  <c r="H165" i="4" s="1"/>
  <c r="I165" i="4" s="1"/>
  <c r="G85" i="4"/>
  <c r="H85" i="4" s="1"/>
  <c r="I85" i="4" s="1"/>
  <c r="G49" i="4"/>
  <c r="H49" i="4" s="1"/>
  <c r="I49" i="4" s="1"/>
  <c r="G201" i="4"/>
  <c r="H201" i="4" s="1"/>
  <c r="I201" i="4" s="1"/>
  <c r="G117" i="4"/>
  <c r="H117" i="4" s="1"/>
  <c r="I117" i="4" s="1"/>
  <c r="G57" i="4"/>
  <c r="H57" i="4" s="1"/>
  <c r="I57" i="4" s="1"/>
  <c r="G248" i="4"/>
  <c r="H248" i="4" s="1"/>
  <c r="I248" i="4" s="1"/>
  <c r="G236" i="4"/>
  <c r="H236" i="4" s="1"/>
  <c r="I236" i="4" s="1"/>
  <c r="G224" i="4"/>
  <c r="H224" i="4" s="1"/>
  <c r="I224" i="4" s="1"/>
  <c r="G212" i="4"/>
  <c r="H212" i="4" s="1"/>
  <c r="I212" i="4" s="1"/>
  <c r="G200" i="4"/>
  <c r="H200" i="4" s="1"/>
  <c r="I200" i="4" s="1"/>
  <c r="G188" i="4"/>
  <c r="H188" i="4" s="1"/>
  <c r="I188" i="4" s="1"/>
  <c r="G176" i="4"/>
  <c r="H176" i="4" s="1"/>
  <c r="I176" i="4" s="1"/>
  <c r="G164" i="4"/>
  <c r="H164" i="4" s="1"/>
  <c r="I164" i="4" s="1"/>
  <c r="G140" i="4"/>
  <c r="H140" i="4" s="1"/>
  <c r="I140" i="4" s="1"/>
  <c r="G116" i="4"/>
  <c r="H116" i="4" s="1"/>
  <c r="I116" i="4" s="1"/>
  <c r="G104" i="4"/>
  <c r="H104" i="4" s="1"/>
  <c r="I104" i="4" s="1"/>
  <c r="G92" i="4"/>
  <c r="H92" i="4" s="1"/>
  <c r="I92" i="4" s="1"/>
  <c r="G80" i="4"/>
  <c r="H80" i="4" s="1"/>
  <c r="I80" i="4" s="1"/>
  <c r="G68" i="4"/>
  <c r="H68" i="4" s="1"/>
  <c r="I68" i="4" s="1"/>
  <c r="G56" i="4"/>
  <c r="H56" i="4" s="1"/>
  <c r="I56" i="4" s="1"/>
  <c r="G44" i="4"/>
  <c r="H44" i="4" s="1"/>
  <c r="I44" i="4" s="1"/>
  <c r="G32" i="4"/>
  <c r="H32" i="4" s="1"/>
  <c r="I32" i="4" s="1"/>
  <c r="G20" i="4"/>
  <c r="H20" i="4" s="1"/>
  <c r="I20" i="4" s="1"/>
  <c r="G227" i="4"/>
  <c r="H227" i="4" s="1"/>
  <c r="I227" i="4" s="1"/>
  <c r="G192" i="4"/>
  <c r="H192" i="4" s="1"/>
  <c r="I192" i="4" s="1"/>
  <c r="G154" i="4"/>
  <c r="H154" i="4" s="1"/>
  <c r="I154" i="4" s="1"/>
  <c r="G129" i="4"/>
  <c r="H129" i="4" s="1"/>
  <c r="I129" i="4" s="1"/>
  <c r="G83" i="4"/>
  <c r="H83" i="4" s="1"/>
  <c r="I83" i="4" s="1"/>
  <c r="G47" i="4"/>
  <c r="H47" i="4" s="1"/>
  <c r="I47" i="4" s="1"/>
  <c r="G9" i="4"/>
  <c r="H9" i="4" s="1"/>
  <c r="I9" i="4" s="1"/>
  <c r="G247" i="4"/>
  <c r="H247" i="4" s="1"/>
  <c r="I247" i="4" s="1"/>
  <c r="G223" i="4"/>
  <c r="H223" i="4" s="1"/>
  <c r="I223" i="4" s="1"/>
  <c r="G187" i="4"/>
  <c r="H187" i="4" s="1"/>
  <c r="I187" i="4" s="1"/>
  <c r="G163" i="4"/>
  <c r="H163" i="4" s="1"/>
  <c r="I163" i="4" s="1"/>
  <c r="G151" i="4"/>
  <c r="H151" i="4" s="1"/>
  <c r="I151" i="4" s="1"/>
  <c r="G139" i="4"/>
  <c r="H139" i="4" s="1"/>
  <c r="I139" i="4" s="1"/>
  <c r="G127" i="4"/>
  <c r="H127" i="4" s="1"/>
  <c r="I127" i="4" s="1"/>
  <c r="G115" i="4"/>
  <c r="H115" i="4" s="1"/>
  <c r="I115" i="4" s="1"/>
  <c r="G103" i="4"/>
  <c r="H103" i="4" s="1"/>
  <c r="I103" i="4" s="1"/>
  <c r="G79" i="4"/>
  <c r="H79" i="4" s="1"/>
  <c r="I79" i="4" s="1"/>
  <c r="G43" i="4"/>
  <c r="H43" i="4" s="1"/>
  <c r="I43" i="4" s="1"/>
  <c r="G19" i="4"/>
  <c r="H19" i="4" s="1"/>
  <c r="I19" i="4" s="1"/>
  <c r="G7" i="4"/>
  <c r="H7" i="4" s="1"/>
  <c r="I7" i="4" s="1"/>
  <c r="G226" i="4"/>
  <c r="H226" i="4" s="1"/>
  <c r="I226" i="4" s="1"/>
  <c r="G191" i="4"/>
  <c r="H191" i="4" s="1"/>
  <c r="I191" i="4" s="1"/>
  <c r="G153" i="4"/>
  <c r="H153" i="4" s="1"/>
  <c r="I153" i="4" s="1"/>
  <c r="G128" i="4"/>
  <c r="H128" i="4" s="1"/>
  <c r="I128" i="4" s="1"/>
  <c r="G82" i="4"/>
  <c r="H82" i="4" s="1"/>
  <c r="I82" i="4" s="1"/>
  <c r="G46" i="4"/>
  <c r="H46" i="4" s="1"/>
  <c r="I46" i="4" s="1"/>
  <c r="G8" i="4"/>
  <c r="H8" i="4" s="1"/>
  <c r="I8" i="4" s="1"/>
  <c r="O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H334" i="2"/>
  <c r="H332" i="2"/>
  <c r="H525" i="2"/>
  <c r="H1350" i="2"/>
  <c r="H1940" i="2"/>
  <c r="H296" i="2"/>
  <c r="H1130" i="2"/>
  <c r="H1126" i="2"/>
  <c r="H437" i="2"/>
  <c r="H927" i="2"/>
  <c r="H1345" i="2"/>
  <c r="H1665" i="2"/>
  <c r="H1766" i="2"/>
  <c r="H971" i="2"/>
  <c r="H1767" i="2"/>
  <c r="H1668" i="2"/>
  <c r="H2066" i="2"/>
  <c r="H900" i="2"/>
  <c r="H836" i="2"/>
  <c r="H360" i="2"/>
  <c r="H542" i="2"/>
  <c r="H878" i="2"/>
  <c r="H540" i="2"/>
  <c r="H1619" i="2"/>
  <c r="H2064" i="2"/>
  <c r="H1890" i="2"/>
  <c r="H814" i="2"/>
  <c r="H1618" i="2"/>
  <c r="H1272" i="2"/>
  <c r="H1121" i="2"/>
  <c r="H1886" i="2"/>
  <c r="H1309" i="2"/>
  <c r="H1888" i="2"/>
  <c r="H1179" i="2"/>
  <c r="H419" i="2"/>
  <c r="H425" i="2"/>
  <c r="H1249" i="2"/>
  <c r="H1653" i="2"/>
  <c r="H1304" i="2"/>
  <c r="H1153" i="2"/>
  <c r="H1187" i="2"/>
  <c r="H1887" i="2"/>
  <c r="H1869" i="2"/>
  <c r="H600" i="2"/>
  <c r="H1884" i="2"/>
  <c r="H2037" i="2"/>
  <c r="H2038" i="2"/>
  <c r="H422" i="2"/>
  <c r="H1657" i="2"/>
  <c r="H1736" i="2"/>
  <c r="H2069" i="2"/>
  <c r="H926" i="2"/>
  <c r="H1115" i="2"/>
  <c r="H1980" i="2"/>
  <c r="H1735" i="2"/>
  <c r="H968" i="2"/>
  <c r="H2209" i="2"/>
  <c r="H1295" i="2"/>
  <c r="H1492" i="2"/>
  <c r="H2103" i="2"/>
  <c r="H270" i="2"/>
  <c r="H271" i="2"/>
  <c r="H2104" i="2"/>
  <c r="H1405" i="2"/>
  <c r="H2164" i="2"/>
  <c r="H1118" i="2"/>
  <c r="H2166" i="2"/>
  <c r="H333" i="2"/>
  <c r="H1156" i="2"/>
  <c r="H199" i="2"/>
  <c r="H1250" i="2"/>
  <c r="H2121" i="2"/>
  <c r="H1882" i="2"/>
  <c r="H1853" i="2"/>
  <c r="H2198" i="2"/>
  <c r="H2174" i="2"/>
  <c r="H1142" i="2"/>
  <c r="H1656" i="2"/>
  <c r="H1654" i="2"/>
  <c r="H1154" i="2"/>
  <c r="H1989" i="2"/>
  <c r="H2199" i="2"/>
  <c r="H2031" i="2"/>
  <c r="H384" i="2"/>
  <c r="H2002" i="2"/>
  <c r="H1501" i="2"/>
  <c r="H2223" i="2"/>
  <c r="H1132" i="2"/>
  <c r="H1547" i="2"/>
  <c r="H2222" i="2"/>
  <c r="H1655" i="2"/>
  <c r="H289" i="2"/>
  <c r="H1807" i="2"/>
  <c r="H191" i="2"/>
  <c r="H272" i="2"/>
  <c r="H321" i="2"/>
  <c r="H1176" i="2"/>
  <c r="H1811" i="2"/>
  <c r="H831" i="2"/>
  <c r="H1803" i="2"/>
  <c r="H1706" i="2"/>
  <c r="H1271" i="2"/>
  <c r="H2027" i="2"/>
  <c r="H1278" i="2"/>
  <c r="H341" i="2"/>
  <c r="H340" i="2"/>
  <c r="H1891" i="2"/>
  <c r="H1185" i="2"/>
  <c r="H921" i="2"/>
  <c r="H1174" i="2"/>
  <c r="H1263" i="2"/>
  <c r="H1457" i="2"/>
  <c r="H1704" i="2"/>
  <c r="H1544" i="2"/>
  <c r="H5" i="2"/>
  <c r="H1277" i="2"/>
  <c r="H1575" i="2"/>
  <c r="H1640" i="2"/>
  <c r="H1555" i="2"/>
  <c r="H1559" i="2"/>
  <c r="H2280" i="2"/>
  <c r="H2278" i="2"/>
  <c r="H674" i="2"/>
  <c r="H201" i="2"/>
  <c r="H1542" i="2"/>
  <c r="H947" i="2"/>
  <c r="H1622" i="2"/>
  <c r="H982" i="2"/>
  <c r="H1939" i="2"/>
  <c r="H721" i="2"/>
  <c r="H1604" i="2"/>
  <c r="H1605" i="2"/>
  <c r="H1964" i="2"/>
  <c r="H421" i="2"/>
  <c r="H409" i="2"/>
  <c r="H1452" i="2"/>
  <c r="H367" i="2"/>
  <c r="H1773" i="2"/>
  <c r="H2191" i="2"/>
  <c r="H1455" i="2"/>
  <c r="H278" i="2"/>
  <c r="H1552" i="2"/>
  <c r="H1554" i="2"/>
  <c r="H523" i="2"/>
  <c r="H1155" i="2"/>
  <c r="H482" i="2"/>
  <c r="H617" i="2"/>
  <c r="H1967" i="2"/>
  <c r="H726" i="2"/>
  <c r="H1633" i="2"/>
  <c r="H172" i="2"/>
  <c r="H1442" i="2"/>
  <c r="H1443" i="2"/>
  <c r="H484" i="2"/>
  <c r="H1535" i="2"/>
  <c r="H1534" i="2"/>
  <c r="H2279" i="2"/>
  <c r="H1532" i="2"/>
  <c r="H1533" i="2"/>
  <c r="H1799" i="2"/>
  <c r="H1563" i="2"/>
  <c r="H1403" i="2"/>
  <c r="H1402" i="2"/>
  <c r="H1433" i="2"/>
  <c r="H1401" i="2"/>
  <c r="H23" i="2"/>
  <c r="H2105" i="2"/>
  <c r="H121" i="2"/>
  <c r="H2106" i="2"/>
  <c r="H120" i="2"/>
  <c r="H330" i="2"/>
  <c r="H1510" i="2"/>
  <c r="H696" i="2"/>
  <c r="H516" i="2"/>
  <c r="H659" i="2"/>
  <c r="H2033" i="2"/>
  <c r="H697" i="2"/>
  <c r="H2130" i="2"/>
  <c r="H2129" i="2"/>
  <c r="H1808" i="2"/>
  <c r="H1502" i="2"/>
  <c r="H195" i="2"/>
  <c r="H676" i="2"/>
  <c r="H1543" i="2"/>
  <c r="H1505" i="2"/>
  <c r="H2192" i="2"/>
  <c r="H2190" i="2"/>
  <c r="H515" i="2"/>
  <c r="H1300" i="2"/>
  <c r="H1658" i="2"/>
  <c r="H1628" i="2"/>
  <c r="H2256" i="2"/>
  <c r="H1801" i="2"/>
  <c r="H1810" i="2"/>
  <c r="H418" i="2"/>
  <c r="H690" i="2"/>
  <c r="H691" i="2"/>
  <c r="H412" i="2"/>
  <c r="H8" i="2"/>
  <c r="H1275" i="2"/>
  <c r="H2001" i="2"/>
  <c r="H1188" i="2"/>
  <c r="H2025" i="2"/>
  <c r="H2003" i="2"/>
  <c r="H331" i="2"/>
  <c r="H2005" i="2"/>
  <c r="H309" i="2"/>
  <c r="H2216" i="2"/>
  <c r="H2215" i="2"/>
  <c r="H1777" i="2"/>
  <c r="H401" i="2"/>
  <c r="H400" i="2"/>
  <c r="H1905" i="2"/>
  <c r="H1996" i="2"/>
  <c r="H557" i="2"/>
  <c r="H1626" i="2"/>
  <c r="H323" i="2"/>
  <c r="H294" i="2"/>
  <c r="H1546" i="2"/>
  <c r="H308" i="2"/>
  <c r="H310" i="2"/>
  <c r="H1252" i="2"/>
  <c r="H607" i="2"/>
  <c r="H1511" i="2"/>
  <c r="H1308" i="2"/>
  <c r="H1322" i="2"/>
  <c r="H704" i="2"/>
  <c r="H1525" i="2"/>
  <c r="H2212" i="2"/>
  <c r="H2028" i="2"/>
  <c r="H1175" i="2"/>
  <c r="H1812" i="2"/>
  <c r="H1806" i="2"/>
  <c r="H998" i="2"/>
  <c r="H2135" i="2"/>
  <c r="H2243" i="2"/>
  <c r="H1995" i="2"/>
  <c r="H1499" i="2"/>
  <c r="H1436" i="2"/>
  <c r="H1435" i="2"/>
  <c r="H1456" i="2"/>
  <c r="H1500" i="2"/>
  <c r="H2026" i="2"/>
  <c r="H2006" i="2"/>
  <c r="H2004" i="2"/>
  <c r="H436" i="2"/>
  <c r="H2107" i="2"/>
  <c r="H1270" i="2"/>
  <c r="H122" i="2"/>
  <c r="H2153" i="2"/>
  <c r="H2165" i="2"/>
  <c r="H959" i="2"/>
  <c r="H1638" i="2"/>
  <c r="H2150" i="2"/>
  <c r="H1577" i="2"/>
  <c r="H464" i="2"/>
  <c r="H459" i="2"/>
  <c r="H1576" i="2"/>
  <c r="H469" i="2"/>
  <c r="H462" i="2"/>
  <c r="H467" i="2"/>
  <c r="H466" i="2"/>
  <c r="H465" i="2"/>
  <c r="H463" i="2"/>
  <c r="H468" i="2"/>
  <c r="H2109" i="2"/>
  <c r="H471" i="2"/>
  <c r="H470" i="2"/>
  <c r="H460" i="2"/>
  <c r="H621" i="2"/>
  <c r="H1143" i="2"/>
  <c r="H1454" i="2"/>
  <c r="H329" i="2"/>
  <c r="H1108" i="2"/>
  <c r="H1107" i="2"/>
  <c r="H307" i="2"/>
  <c r="H450" i="2"/>
  <c r="H1844" i="2"/>
  <c r="H2133" i="2"/>
  <c r="H1707" i="2"/>
  <c r="H385" i="2"/>
  <c r="H1253" i="2"/>
  <c r="H1712" i="2"/>
  <c r="H521" i="2"/>
  <c r="H2250" i="2"/>
  <c r="H190" i="2"/>
  <c r="H187" i="2"/>
  <c r="H1246" i="2"/>
  <c r="H1593" i="2"/>
  <c r="H1644" i="2"/>
  <c r="H2096" i="2"/>
  <c r="H1709" i="2"/>
  <c r="H1711" i="2"/>
  <c r="H2098" i="2"/>
  <c r="H1494" i="2"/>
  <c r="H1599" i="2"/>
  <c r="H2100" i="2"/>
  <c r="H1710" i="2"/>
  <c r="H684" i="2"/>
  <c r="H736" i="2"/>
  <c r="H2204" i="2"/>
  <c r="H730" i="2"/>
  <c r="H1708" i="2"/>
  <c r="H2094" i="2"/>
  <c r="H2110" i="2"/>
  <c r="H1117" i="2"/>
  <c r="H20" i="2"/>
  <c r="H614" i="2"/>
  <c r="H2302" i="2"/>
  <c r="H1024" i="2"/>
  <c r="H472" i="2"/>
  <c r="H872" i="2"/>
  <c r="H902" i="2"/>
  <c r="H1122" i="2"/>
  <c r="H2163" i="2"/>
  <c r="H611" i="2"/>
  <c r="H882" i="2"/>
  <c r="H2118" i="2"/>
  <c r="H613" i="2"/>
  <c r="H961" i="2"/>
  <c r="H1649" i="2"/>
  <c r="H1568" i="2"/>
  <c r="H1302" i="2"/>
  <c r="H2267" i="2"/>
  <c r="H371" i="2"/>
  <c r="H399" i="2"/>
  <c r="H2266" i="2"/>
  <c r="H1771" i="2"/>
  <c r="H1986" i="2"/>
  <c r="H2119" i="2"/>
  <c r="H1602" i="2"/>
  <c r="H200" i="2"/>
  <c r="H179" i="2"/>
  <c r="H281" i="2"/>
  <c r="H1289" i="2"/>
  <c r="H1168" i="2"/>
  <c r="H1177" i="2"/>
  <c r="H435" i="2"/>
  <c r="H1462" i="2"/>
  <c r="H1763" i="2"/>
  <c r="H2188" i="2"/>
  <c r="H322" i="2"/>
  <c r="H1624" i="2"/>
  <c r="H1627" i="2"/>
  <c r="H1268" i="2"/>
  <c r="H681" i="2"/>
  <c r="H1493" i="2"/>
  <c r="H837" i="2"/>
  <c r="H361" i="2"/>
  <c r="H1410" i="2"/>
  <c r="H1453" i="2"/>
  <c r="H1426" i="2"/>
  <c r="H1259" i="2"/>
  <c r="H2" i="2"/>
  <c r="H3" i="2"/>
  <c r="H4" i="2"/>
  <c r="H6" i="2"/>
  <c r="H7" i="2"/>
  <c r="H9" i="2"/>
  <c r="H10" i="2"/>
  <c r="H11" i="2"/>
  <c r="H12" i="2"/>
  <c r="H13" i="2"/>
  <c r="H14" i="2"/>
  <c r="H15" i="2"/>
  <c r="H16" i="2"/>
  <c r="H17" i="2"/>
  <c r="H18" i="2"/>
  <c r="H19" i="2"/>
  <c r="H21" i="2"/>
  <c r="H22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3" i="2"/>
  <c r="H174" i="2"/>
  <c r="H175" i="2"/>
  <c r="H176" i="2"/>
  <c r="H177" i="2"/>
  <c r="H178" i="2"/>
  <c r="H180" i="2"/>
  <c r="H181" i="2"/>
  <c r="H182" i="2"/>
  <c r="H183" i="2"/>
  <c r="H184" i="2"/>
  <c r="H185" i="2"/>
  <c r="H186" i="2"/>
  <c r="H188" i="2"/>
  <c r="H189" i="2"/>
  <c r="H192" i="2"/>
  <c r="H193" i="2"/>
  <c r="H194" i="2"/>
  <c r="H196" i="2"/>
  <c r="H197" i="2"/>
  <c r="H198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3" i="2"/>
  <c r="H274" i="2"/>
  <c r="H275" i="2"/>
  <c r="H276" i="2"/>
  <c r="H277" i="2"/>
  <c r="H279" i="2"/>
  <c r="H280" i="2"/>
  <c r="H282" i="2"/>
  <c r="H283" i="2"/>
  <c r="H284" i="2"/>
  <c r="H285" i="2"/>
  <c r="H286" i="2"/>
  <c r="H287" i="2"/>
  <c r="H288" i="2"/>
  <c r="H290" i="2"/>
  <c r="H291" i="2"/>
  <c r="H292" i="2"/>
  <c r="H293" i="2"/>
  <c r="H295" i="2"/>
  <c r="H297" i="2"/>
  <c r="H298" i="2"/>
  <c r="H299" i="2"/>
  <c r="H300" i="2"/>
  <c r="H301" i="2"/>
  <c r="H302" i="2"/>
  <c r="H303" i="2"/>
  <c r="H304" i="2"/>
  <c r="H305" i="2"/>
  <c r="H306" i="2"/>
  <c r="H311" i="2"/>
  <c r="H312" i="2"/>
  <c r="H313" i="2"/>
  <c r="H314" i="2"/>
  <c r="H315" i="2"/>
  <c r="H316" i="2"/>
  <c r="H317" i="2"/>
  <c r="H318" i="2"/>
  <c r="H319" i="2"/>
  <c r="H320" i="2"/>
  <c r="H324" i="2"/>
  <c r="H325" i="2"/>
  <c r="H326" i="2"/>
  <c r="H327" i="2"/>
  <c r="H328" i="2"/>
  <c r="H335" i="2"/>
  <c r="H336" i="2"/>
  <c r="H337" i="2"/>
  <c r="H338" i="2"/>
  <c r="H339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2" i="2"/>
  <c r="H363" i="2"/>
  <c r="H364" i="2"/>
  <c r="H365" i="2"/>
  <c r="H366" i="2"/>
  <c r="H368" i="2"/>
  <c r="H369" i="2"/>
  <c r="H370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402" i="2"/>
  <c r="H403" i="2"/>
  <c r="H404" i="2"/>
  <c r="H405" i="2"/>
  <c r="H406" i="2"/>
  <c r="H407" i="2"/>
  <c r="H408" i="2"/>
  <c r="H410" i="2"/>
  <c r="H411" i="2"/>
  <c r="H413" i="2"/>
  <c r="H414" i="2"/>
  <c r="H415" i="2"/>
  <c r="H416" i="2"/>
  <c r="H417" i="2"/>
  <c r="H420" i="2"/>
  <c r="H423" i="2"/>
  <c r="H424" i="2"/>
  <c r="H426" i="2"/>
  <c r="H427" i="2"/>
  <c r="H428" i="2"/>
  <c r="H429" i="2"/>
  <c r="H430" i="2"/>
  <c r="H431" i="2"/>
  <c r="H432" i="2"/>
  <c r="H433" i="2"/>
  <c r="H434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1" i="2"/>
  <c r="H452" i="2"/>
  <c r="H453" i="2"/>
  <c r="H454" i="2"/>
  <c r="H455" i="2"/>
  <c r="H456" i="2"/>
  <c r="H457" i="2"/>
  <c r="H458" i="2"/>
  <c r="H461" i="2"/>
  <c r="H473" i="2"/>
  <c r="H474" i="2"/>
  <c r="H475" i="2"/>
  <c r="H476" i="2"/>
  <c r="H477" i="2"/>
  <c r="H478" i="2"/>
  <c r="H479" i="2"/>
  <c r="H480" i="2"/>
  <c r="H481" i="2"/>
  <c r="H483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7" i="2"/>
  <c r="H518" i="2"/>
  <c r="H519" i="2"/>
  <c r="H520" i="2"/>
  <c r="H522" i="2"/>
  <c r="H524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1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1" i="2"/>
  <c r="H602" i="2"/>
  <c r="H603" i="2"/>
  <c r="H604" i="2"/>
  <c r="H605" i="2"/>
  <c r="H606" i="2"/>
  <c r="H608" i="2"/>
  <c r="H609" i="2"/>
  <c r="H610" i="2"/>
  <c r="H612" i="2"/>
  <c r="H615" i="2"/>
  <c r="H616" i="2"/>
  <c r="H618" i="2"/>
  <c r="H619" i="2"/>
  <c r="H620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5" i="2"/>
  <c r="H677" i="2"/>
  <c r="H678" i="2"/>
  <c r="H679" i="2"/>
  <c r="H680" i="2"/>
  <c r="H682" i="2"/>
  <c r="H683" i="2"/>
  <c r="H685" i="2"/>
  <c r="H686" i="2"/>
  <c r="H687" i="2"/>
  <c r="H688" i="2"/>
  <c r="H689" i="2"/>
  <c r="H692" i="2"/>
  <c r="H693" i="2"/>
  <c r="H694" i="2"/>
  <c r="H695" i="2"/>
  <c r="H698" i="2"/>
  <c r="H699" i="2"/>
  <c r="H700" i="2"/>
  <c r="H701" i="2"/>
  <c r="H702" i="2"/>
  <c r="H703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2" i="2"/>
  <c r="H723" i="2"/>
  <c r="H724" i="2"/>
  <c r="H725" i="2"/>
  <c r="H727" i="2"/>
  <c r="H728" i="2"/>
  <c r="H729" i="2"/>
  <c r="H731" i="2"/>
  <c r="H732" i="2"/>
  <c r="H733" i="2"/>
  <c r="H734" i="2"/>
  <c r="H735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2" i="2"/>
  <c r="H833" i="2"/>
  <c r="H834" i="2"/>
  <c r="H835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3" i="2"/>
  <c r="H874" i="2"/>
  <c r="H875" i="2"/>
  <c r="H876" i="2"/>
  <c r="H877" i="2"/>
  <c r="H879" i="2"/>
  <c r="H880" i="2"/>
  <c r="H881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1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2" i="2"/>
  <c r="H923" i="2"/>
  <c r="H924" i="2"/>
  <c r="H925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8" i="2"/>
  <c r="H949" i="2"/>
  <c r="H950" i="2"/>
  <c r="H951" i="2"/>
  <c r="H952" i="2"/>
  <c r="H953" i="2"/>
  <c r="H954" i="2"/>
  <c r="H955" i="2"/>
  <c r="H956" i="2"/>
  <c r="H957" i="2"/>
  <c r="H958" i="2"/>
  <c r="H960" i="2"/>
  <c r="H962" i="2"/>
  <c r="H963" i="2"/>
  <c r="H964" i="2"/>
  <c r="H965" i="2"/>
  <c r="H966" i="2"/>
  <c r="H967" i="2"/>
  <c r="H969" i="2"/>
  <c r="H970" i="2"/>
  <c r="H972" i="2"/>
  <c r="H973" i="2"/>
  <c r="H974" i="2"/>
  <c r="H975" i="2"/>
  <c r="H976" i="2"/>
  <c r="H977" i="2"/>
  <c r="H978" i="2"/>
  <c r="H979" i="2"/>
  <c r="H980" i="2"/>
  <c r="H981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9" i="2"/>
  <c r="H1110" i="2"/>
  <c r="H1111" i="2"/>
  <c r="H1112" i="2"/>
  <c r="H1113" i="2"/>
  <c r="H1114" i="2"/>
  <c r="H1116" i="2"/>
  <c r="H1119" i="2"/>
  <c r="H1120" i="2"/>
  <c r="H1123" i="2"/>
  <c r="H1124" i="2"/>
  <c r="H1125" i="2"/>
  <c r="H1127" i="2"/>
  <c r="H1128" i="2"/>
  <c r="H1129" i="2"/>
  <c r="H1131" i="2"/>
  <c r="H1133" i="2"/>
  <c r="H1134" i="2"/>
  <c r="H1135" i="2"/>
  <c r="H1136" i="2"/>
  <c r="H1137" i="2"/>
  <c r="H1138" i="2"/>
  <c r="H1139" i="2"/>
  <c r="H1140" i="2"/>
  <c r="H1141" i="2"/>
  <c r="H1144" i="2"/>
  <c r="H1145" i="2"/>
  <c r="H1146" i="2"/>
  <c r="H1147" i="2"/>
  <c r="H1148" i="2"/>
  <c r="H1149" i="2"/>
  <c r="H1150" i="2"/>
  <c r="H1151" i="2"/>
  <c r="H1152" i="2"/>
  <c r="H1157" i="2"/>
  <c r="H1158" i="2"/>
  <c r="H1159" i="2"/>
  <c r="H1160" i="2"/>
  <c r="H1161" i="2"/>
  <c r="H1162" i="2"/>
  <c r="H1163" i="2"/>
  <c r="H1164" i="2"/>
  <c r="H1165" i="2"/>
  <c r="H1166" i="2"/>
  <c r="H1167" i="2"/>
  <c r="H1169" i="2"/>
  <c r="H1170" i="2"/>
  <c r="H1171" i="2"/>
  <c r="H1172" i="2"/>
  <c r="H1173" i="2"/>
  <c r="H1178" i="2"/>
  <c r="H1180" i="2"/>
  <c r="H1181" i="2"/>
  <c r="H1182" i="2"/>
  <c r="H1183" i="2"/>
  <c r="H1184" i="2"/>
  <c r="H1186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7" i="2"/>
  <c r="H1248" i="2"/>
  <c r="H1251" i="2"/>
  <c r="H1254" i="2"/>
  <c r="H1255" i="2"/>
  <c r="H1256" i="2"/>
  <c r="H1257" i="2"/>
  <c r="H1258" i="2"/>
  <c r="H1260" i="2"/>
  <c r="H1261" i="2"/>
  <c r="H1262" i="2"/>
  <c r="H1264" i="2"/>
  <c r="H1265" i="2"/>
  <c r="H1266" i="2"/>
  <c r="H1267" i="2"/>
  <c r="H1269" i="2"/>
  <c r="H1273" i="2"/>
  <c r="H1274" i="2"/>
  <c r="H1276" i="2"/>
  <c r="H1279" i="2"/>
  <c r="H1280" i="2"/>
  <c r="H1281" i="2"/>
  <c r="H1282" i="2"/>
  <c r="H1283" i="2"/>
  <c r="H1284" i="2"/>
  <c r="H1285" i="2"/>
  <c r="H1286" i="2"/>
  <c r="H1287" i="2"/>
  <c r="H1288" i="2"/>
  <c r="H1290" i="2"/>
  <c r="H1291" i="2"/>
  <c r="H1292" i="2"/>
  <c r="H1293" i="2"/>
  <c r="H1294" i="2"/>
  <c r="H1296" i="2"/>
  <c r="H1297" i="2"/>
  <c r="H1298" i="2"/>
  <c r="H1299" i="2"/>
  <c r="H1301" i="2"/>
  <c r="H1303" i="2"/>
  <c r="H1305" i="2"/>
  <c r="H1306" i="2"/>
  <c r="H1307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6" i="2"/>
  <c r="H1347" i="2"/>
  <c r="H1348" i="2"/>
  <c r="H1349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4" i="2"/>
  <c r="H1406" i="2"/>
  <c r="H1407" i="2"/>
  <c r="H1408" i="2"/>
  <c r="H1409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7" i="2"/>
  <c r="H1428" i="2"/>
  <c r="H1429" i="2"/>
  <c r="H1430" i="2"/>
  <c r="H1431" i="2"/>
  <c r="H1432" i="2"/>
  <c r="H1434" i="2"/>
  <c r="H1437" i="2"/>
  <c r="H1438" i="2"/>
  <c r="H1439" i="2"/>
  <c r="H1440" i="2"/>
  <c r="H1441" i="2"/>
  <c r="H1444" i="2"/>
  <c r="H1445" i="2"/>
  <c r="H1446" i="2"/>
  <c r="H1447" i="2"/>
  <c r="H1448" i="2"/>
  <c r="H1449" i="2"/>
  <c r="H1450" i="2"/>
  <c r="H1451" i="2"/>
  <c r="H1458" i="2"/>
  <c r="H1459" i="2"/>
  <c r="H1460" i="2"/>
  <c r="H1461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5" i="2"/>
  <c r="H1496" i="2"/>
  <c r="H1497" i="2"/>
  <c r="H1498" i="2"/>
  <c r="H1503" i="2"/>
  <c r="H1504" i="2"/>
  <c r="H1506" i="2"/>
  <c r="H1507" i="2"/>
  <c r="H1508" i="2"/>
  <c r="H1509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6" i="2"/>
  <c r="H1527" i="2"/>
  <c r="H1528" i="2"/>
  <c r="H1529" i="2"/>
  <c r="H1530" i="2"/>
  <c r="H1531" i="2"/>
  <c r="H1536" i="2"/>
  <c r="H1537" i="2"/>
  <c r="H1538" i="2"/>
  <c r="H1539" i="2"/>
  <c r="H1540" i="2"/>
  <c r="H1541" i="2"/>
  <c r="H1545" i="2"/>
  <c r="H1548" i="2"/>
  <c r="H1549" i="2"/>
  <c r="H1550" i="2"/>
  <c r="H1551" i="2"/>
  <c r="H1553" i="2"/>
  <c r="H1556" i="2"/>
  <c r="H1557" i="2"/>
  <c r="H1558" i="2"/>
  <c r="H1560" i="2"/>
  <c r="H1561" i="2"/>
  <c r="H1562" i="2"/>
  <c r="H1564" i="2"/>
  <c r="H1565" i="2"/>
  <c r="H1566" i="2"/>
  <c r="H1567" i="2"/>
  <c r="H1569" i="2"/>
  <c r="H1570" i="2"/>
  <c r="H1571" i="2"/>
  <c r="H1572" i="2"/>
  <c r="H1573" i="2"/>
  <c r="H1574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4" i="2"/>
  <c r="H1595" i="2"/>
  <c r="H1596" i="2"/>
  <c r="H1597" i="2"/>
  <c r="H1598" i="2"/>
  <c r="H1600" i="2"/>
  <c r="H1601" i="2"/>
  <c r="H1603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20" i="2"/>
  <c r="H1621" i="2"/>
  <c r="H1623" i="2"/>
  <c r="H1625" i="2"/>
  <c r="H1629" i="2"/>
  <c r="H1630" i="2"/>
  <c r="H1631" i="2"/>
  <c r="H1632" i="2"/>
  <c r="H1634" i="2"/>
  <c r="H1635" i="2"/>
  <c r="H1636" i="2"/>
  <c r="H1637" i="2"/>
  <c r="H1639" i="2"/>
  <c r="H1641" i="2"/>
  <c r="H1642" i="2"/>
  <c r="H1643" i="2"/>
  <c r="H1645" i="2"/>
  <c r="H1646" i="2"/>
  <c r="H1647" i="2"/>
  <c r="H1648" i="2"/>
  <c r="H1650" i="2"/>
  <c r="H1651" i="2"/>
  <c r="H1652" i="2"/>
  <c r="H1659" i="2"/>
  <c r="H1660" i="2"/>
  <c r="H1661" i="2"/>
  <c r="H1662" i="2"/>
  <c r="H1663" i="2"/>
  <c r="H1664" i="2"/>
  <c r="H1666" i="2"/>
  <c r="H1667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5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4" i="2"/>
  <c r="H1765" i="2"/>
  <c r="H1768" i="2"/>
  <c r="H1769" i="2"/>
  <c r="H1770" i="2"/>
  <c r="H1772" i="2"/>
  <c r="H1774" i="2"/>
  <c r="H1775" i="2"/>
  <c r="H1776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800" i="2"/>
  <c r="H1802" i="2"/>
  <c r="H1804" i="2"/>
  <c r="H1805" i="2"/>
  <c r="H1809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5" i="2"/>
  <c r="H1846" i="2"/>
  <c r="H1847" i="2"/>
  <c r="H1848" i="2"/>
  <c r="H1849" i="2"/>
  <c r="H1850" i="2"/>
  <c r="H1851" i="2"/>
  <c r="H1852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3" i="2"/>
  <c r="H1885" i="2"/>
  <c r="H1889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5" i="2"/>
  <c r="H1966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1" i="2"/>
  <c r="H1982" i="2"/>
  <c r="H1983" i="2"/>
  <c r="H1984" i="2"/>
  <c r="H1985" i="2"/>
  <c r="H1987" i="2"/>
  <c r="H1988" i="2"/>
  <c r="H1990" i="2"/>
  <c r="H1991" i="2"/>
  <c r="H1992" i="2"/>
  <c r="H1993" i="2"/>
  <c r="H1994" i="2"/>
  <c r="H1997" i="2"/>
  <c r="H1998" i="2"/>
  <c r="H1999" i="2"/>
  <c r="H2000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9" i="2"/>
  <c r="H2030" i="2"/>
  <c r="H2032" i="2"/>
  <c r="H2034" i="2"/>
  <c r="H2035" i="2"/>
  <c r="H2036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5" i="2"/>
  <c r="H2067" i="2"/>
  <c r="H2068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5" i="2"/>
  <c r="H2097" i="2"/>
  <c r="H2099" i="2"/>
  <c r="H2101" i="2"/>
  <c r="H2102" i="2"/>
  <c r="H2108" i="2"/>
  <c r="H2111" i="2"/>
  <c r="H2112" i="2"/>
  <c r="H2113" i="2"/>
  <c r="H2114" i="2"/>
  <c r="H2115" i="2"/>
  <c r="H2116" i="2"/>
  <c r="H2117" i="2"/>
  <c r="H2120" i="2"/>
  <c r="H2122" i="2"/>
  <c r="H2123" i="2"/>
  <c r="H2124" i="2"/>
  <c r="H2125" i="2"/>
  <c r="H2126" i="2"/>
  <c r="H2127" i="2"/>
  <c r="H2128" i="2"/>
  <c r="H2131" i="2"/>
  <c r="H2132" i="2"/>
  <c r="H2134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1" i="2"/>
  <c r="H2152" i="2"/>
  <c r="H2154" i="2"/>
  <c r="H2155" i="2"/>
  <c r="H2156" i="2"/>
  <c r="H2157" i="2"/>
  <c r="H2158" i="2"/>
  <c r="H2159" i="2"/>
  <c r="H2160" i="2"/>
  <c r="H2161" i="2"/>
  <c r="H2162" i="2"/>
  <c r="H2167" i="2"/>
  <c r="H2168" i="2"/>
  <c r="H2169" i="2"/>
  <c r="H2170" i="2"/>
  <c r="H2171" i="2"/>
  <c r="H2172" i="2"/>
  <c r="H2173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9" i="2"/>
  <c r="H2193" i="2"/>
  <c r="H2194" i="2"/>
  <c r="H2195" i="2"/>
  <c r="H2196" i="2"/>
  <c r="H2197" i="2"/>
  <c r="H2200" i="2"/>
  <c r="H2201" i="2"/>
  <c r="H2202" i="2"/>
  <c r="H2203" i="2"/>
  <c r="H2205" i="2"/>
  <c r="H2206" i="2"/>
  <c r="H2207" i="2"/>
  <c r="H2208" i="2"/>
  <c r="H2210" i="2"/>
  <c r="H2211" i="2"/>
  <c r="H2213" i="2"/>
  <c r="H2214" i="2"/>
  <c r="H2217" i="2"/>
  <c r="H2218" i="2"/>
  <c r="H2219" i="2"/>
  <c r="H2220" i="2"/>
  <c r="H2221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4" i="2"/>
  <c r="H2245" i="2"/>
  <c r="H2246" i="2"/>
  <c r="H2247" i="2"/>
  <c r="H2248" i="2"/>
  <c r="H2249" i="2"/>
  <c r="H2251" i="2"/>
  <c r="H2252" i="2"/>
  <c r="H2253" i="2"/>
  <c r="H2254" i="2"/>
  <c r="H2255" i="2"/>
  <c r="H2257" i="2"/>
  <c r="H2258" i="2"/>
  <c r="H2259" i="2"/>
  <c r="H2260" i="2"/>
  <c r="H2261" i="2"/>
  <c r="H2262" i="2"/>
  <c r="H2263" i="2"/>
  <c r="H2264" i="2"/>
  <c r="H2265" i="2"/>
  <c r="H2268" i="2"/>
  <c r="H2269" i="2"/>
  <c r="H2270" i="2"/>
  <c r="H2271" i="2"/>
  <c r="H2272" i="2"/>
  <c r="H2273" i="2"/>
  <c r="H2274" i="2"/>
  <c r="H2275" i="2"/>
  <c r="H2276" i="2"/>
  <c r="H2277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3" i="2"/>
  <c r="H2304" i="2"/>
  <c r="H2305" i="2"/>
  <c r="H2306" i="2"/>
  <c r="H2307" i="2"/>
  <c r="H2308" i="2"/>
  <c r="H2309" i="2"/>
  <c r="G334" i="2"/>
  <c r="G332" i="2"/>
  <c r="G525" i="2"/>
  <c r="G1350" i="2"/>
  <c r="G1940" i="2"/>
  <c r="G296" i="2"/>
  <c r="G1130" i="2"/>
  <c r="G1126" i="2"/>
  <c r="G437" i="2"/>
  <c r="G927" i="2"/>
  <c r="G1345" i="2"/>
  <c r="G1665" i="2"/>
  <c r="G1766" i="2"/>
  <c r="G971" i="2"/>
  <c r="G1767" i="2"/>
  <c r="G1668" i="2"/>
  <c r="G2066" i="2"/>
  <c r="G900" i="2"/>
  <c r="G836" i="2"/>
  <c r="G360" i="2"/>
  <c r="G542" i="2"/>
  <c r="G878" i="2"/>
  <c r="G540" i="2"/>
  <c r="G1619" i="2"/>
  <c r="G2064" i="2"/>
  <c r="G1890" i="2"/>
  <c r="G814" i="2"/>
  <c r="G1618" i="2"/>
  <c r="G1272" i="2"/>
  <c r="G1121" i="2"/>
  <c r="G1886" i="2"/>
  <c r="G1309" i="2"/>
  <c r="G1888" i="2"/>
  <c r="G1179" i="2"/>
  <c r="G419" i="2"/>
  <c r="G425" i="2"/>
  <c r="G1249" i="2"/>
  <c r="G1653" i="2"/>
  <c r="G1304" i="2"/>
  <c r="G1153" i="2"/>
  <c r="G1187" i="2"/>
  <c r="G1887" i="2"/>
  <c r="G1869" i="2"/>
  <c r="G600" i="2"/>
  <c r="G1884" i="2"/>
  <c r="G2037" i="2"/>
  <c r="G2038" i="2"/>
  <c r="G422" i="2"/>
  <c r="G1657" i="2"/>
  <c r="G1736" i="2"/>
  <c r="G2069" i="2"/>
  <c r="G926" i="2"/>
  <c r="G1115" i="2"/>
  <c r="G1980" i="2"/>
  <c r="G1735" i="2"/>
  <c r="G968" i="2"/>
  <c r="G2209" i="2"/>
  <c r="G1295" i="2"/>
  <c r="G1492" i="2"/>
  <c r="G2103" i="2"/>
  <c r="G270" i="2"/>
  <c r="G271" i="2"/>
  <c r="G2104" i="2"/>
  <c r="G1405" i="2"/>
  <c r="G2164" i="2"/>
  <c r="G1118" i="2"/>
  <c r="G2166" i="2"/>
  <c r="G333" i="2"/>
  <c r="G1156" i="2"/>
  <c r="G199" i="2"/>
  <c r="G1250" i="2"/>
  <c r="G2121" i="2"/>
  <c r="G1882" i="2"/>
  <c r="G1853" i="2"/>
  <c r="G2198" i="2"/>
  <c r="G2174" i="2"/>
  <c r="G1142" i="2"/>
  <c r="G1656" i="2"/>
  <c r="G1654" i="2"/>
  <c r="G1154" i="2"/>
  <c r="G1989" i="2"/>
  <c r="G2199" i="2"/>
  <c r="G2031" i="2"/>
  <c r="G384" i="2"/>
  <c r="G2002" i="2"/>
  <c r="G1501" i="2"/>
  <c r="G2223" i="2"/>
  <c r="G1132" i="2"/>
  <c r="G1547" i="2"/>
  <c r="G2222" i="2"/>
  <c r="G1655" i="2"/>
  <c r="G289" i="2"/>
  <c r="G1807" i="2"/>
  <c r="G191" i="2"/>
  <c r="G272" i="2"/>
  <c r="G321" i="2"/>
  <c r="G1176" i="2"/>
  <c r="G1811" i="2"/>
  <c r="G831" i="2"/>
  <c r="G1803" i="2"/>
  <c r="G1706" i="2"/>
  <c r="G1271" i="2"/>
  <c r="G2027" i="2"/>
  <c r="G1278" i="2"/>
  <c r="G341" i="2"/>
  <c r="G340" i="2"/>
  <c r="G1891" i="2"/>
  <c r="G1185" i="2"/>
  <c r="G921" i="2"/>
  <c r="G1174" i="2"/>
  <c r="G1263" i="2"/>
  <c r="G1457" i="2"/>
  <c r="G1704" i="2"/>
  <c r="G1544" i="2"/>
  <c r="G5" i="2"/>
  <c r="G1277" i="2"/>
  <c r="G1575" i="2"/>
  <c r="G1640" i="2"/>
  <c r="G1555" i="2"/>
  <c r="G1559" i="2"/>
  <c r="G2280" i="2"/>
  <c r="G2278" i="2"/>
  <c r="G674" i="2"/>
  <c r="G201" i="2"/>
  <c r="G1542" i="2"/>
  <c r="G947" i="2"/>
  <c r="G1622" i="2"/>
  <c r="G982" i="2"/>
  <c r="G1939" i="2"/>
  <c r="G721" i="2"/>
  <c r="G1604" i="2"/>
  <c r="G1605" i="2"/>
  <c r="G1964" i="2"/>
  <c r="G421" i="2"/>
  <c r="G409" i="2"/>
  <c r="G1452" i="2"/>
  <c r="G367" i="2"/>
  <c r="G1773" i="2"/>
  <c r="G2191" i="2"/>
  <c r="G1455" i="2"/>
  <c r="G278" i="2"/>
  <c r="G1552" i="2"/>
  <c r="G1554" i="2"/>
  <c r="G523" i="2"/>
  <c r="G1155" i="2"/>
  <c r="G482" i="2"/>
  <c r="G617" i="2"/>
  <c r="G1967" i="2"/>
  <c r="G726" i="2"/>
  <c r="G1633" i="2"/>
  <c r="G172" i="2"/>
  <c r="G1442" i="2"/>
  <c r="G1443" i="2"/>
  <c r="G484" i="2"/>
  <c r="G1535" i="2"/>
  <c r="G1534" i="2"/>
  <c r="G2279" i="2"/>
  <c r="G1532" i="2"/>
  <c r="G1533" i="2"/>
  <c r="G1799" i="2"/>
  <c r="G1563" i="2"/>
  <c r="G1403" i="2"/>
  <c r="G1402" i="2"/>
  <c r="G1433" i="2"/>
  <c r="G1401" i="2"/>
  <c r="G23" i="2"/>
  <c r="G2105" i="2"/>
  <c r="G121" i="2"/>
  <c r="G2106" i="2"/>
  <c r="G120" i="2"/>
  <c r="G330" i="2"/>
  <c r="G1510" i="2"/>
  <c r="G696" i="2"/>
  <c r="G516" i="2"/>
  <c r="G659" i="2"/>
  <c r="G2033" i="2"/>
  <c r="G697" i="2"/>
  <c r="G2130" i="2"/>
  <c r="G2129" i="2"/>
  <c r="G1808" i="2"/>
  <c r="G1502" i="2"/>
  <c r="G195" i="2"/>
  <c r="G676" i="2"/>
  <c r="G1543" i="2"/>
  <c r="G1505" i="2"/>
  <c r="G2192" i="2"/>
  <c r="G2190" i="2"/>
  <c r="G515" i="2"/>
  <c r="G1300" i="2"/>
  <c r="G1658" i="2"/>
  <c r="G1628" i="2"/>
  <c r="G2256" i="2"/>
  <c r="G1801" i="2"/>
  <c r="G1810" i="2"/>
  <c r="G418" i="2"/>
  <c r="G690" i="2"/>
  <c r="G691" i="2"/>
  <c r="G412" i="2"/>
  <c r="G8" i="2"/>
  <c r="G1275" i="2"/>
  <c r="G2001" i="2"/>
  <c r="G1188" i="2"/>
  <c r="G2025" i="2"/>
  <c r="G2003" i="2"/>
  <c r="G331" i="2"/>
  <c r="G2005" i="2"/>
  <c r="G309" i="2"/>
  <c r="G2216" i="2"/>
  <c r="G2215" i="2"/>
  <c r="G1777" i="2"/>
  <c r="G401" i="2"/>
  <c r="G400" i="2"/>
  <c r="G1905" i="2"/>
  <c r="G1996" i="2"/>
  <c r="G557" i="2"/>
  <c r="G1626" i="2"/>
  <c r="G323" i="2"/>
  <c r="G294" i="2"/>
  <c r="G1546" i="2"/>
  <c r="G308" i="2"/>
  <c r="G310" i="2"/>
  <c r="G1252" i="2"/>
  <c r="G607" i="2"/>
  <c r="G1511" i="2"/>
  <c r="G1308" i="2"/>
  <c r="G1322" i="2"/>
  <c r="G704" i="2"/>
  <c r="G1525" i="2"/>
  <c r="G2212" i="2"/>
  <c r="G2028" i="2"/>
  <c r="G1175" i="2"/>
  <c r="G1812" i="2"/>
  <c r="G1806" i="2"/>
  <c r="G998" i="2"/>
  <c r="G2135" i="2"/>
  <c r="G2243" i="2"/>
  <c r="G1995" i="2"/>
  <c r="G1499" i="2"/>
  <c r="G1436" i="2"/>
  <c r="G1435" i="2"/>
  <c r="G1456" i="2"/>
  <c r="G1500" i="2"/>
  <c r="G2026" i="2"/>
  <c r="G2006" i="2"/>
  <c r="G2004" i="2"/>
  <c r="G436" i="2"/>
  <c r="G2107" i="2"/>
  <c r="G1270" i="2"/>
  <c r="G122" i="2"/>
  <c r="G2153" i="2"/>
  <c r="G2165" i="2"/>
  <c r="G959" i="2"/>
  <c r="G1638" i="2"/>
  <c r="G2150" i="2"/>
  <c r="G1577" i="2"/>
  <c r="G464" i="2"/>
  <c r="G459" i="2"/>
  <c r="G1576" i="2"/>
  <c r="G469" i="2"/>
  <c r="G462" i="2"/>
  <c r="G467" i="2"/>
  <c r="G466" i="2"/>
  <c r="G465" i="2"/>
  <c r="G463" i="2"/>
  <c r="G468" i="2"/>
  <c r="G2109" i="2"/>
  <c r="G471" i="2"/>
  <c r="G470" i="2"/>
  <c r="G460" i="2"/>
  <c r="G621" i="2"/>
  <c r="G1143" i="2"/>
  <c r="G1454" i="2"/>
  <c r="G329" i="2"/>
  <c r="G1108" i="2"/>
  <c r="G1107" i="2"/>
  <c r="G307" i="2"/>
  <c r="G450" i="2"/>
  <c r="G1844" i="2"/>
  <c r="G2133" i="2"/>
  <c r="G1707" i="2"/>
  <c r="G385" i="2"/>
  <c r="G1253" i="2"/>
  <c r="G1712" i="2"/>
  <c r="G521" i="2"/>
  <c r="G2250" i="2"/>
  <c r="G190" i="2"/>
  <c r="G187" i="2"/>
  <c r="G1246" i="2"/>
  <c r="G1593" i="2"/>
  <c r="G1644" i="2"/>
  <c r="G2096" i="2"/>
  <c r="G1709" i="2"/>
  <c r="G1711" i="2"/>
  <c r="G2098" i="2"/>
  <c r="G1494" i="2"/>
  <c r="G1599" i="2"/>
  <c r="G2100" i="2"/>
  <c r="G1710" i="2"/>
  <c r="G684" i="2"/>
  <c r="G736" i="2"/>
  <c r="G2204" i="2"/>
  <c r="G730" i="2"/>
  <c r="G1708" i="2"/>
  <c r="G2094" i="2"/>
  <c r="G2110" i="2"/>
  <c r="G1117" i="2"/>
  <c r="G20" i="2"/>
  <c r="G614" i="2"/>
  <c r="G2302" i="2"/>
  <c r="G1024" i="2"/>
  <c r="G472" i="2"/>
  <c r="G872" i="2"/>
  <c r="G902" i="2"/>
  <c r="G1122" i="2"/>
  <c r="G2163" i="2"/>
  <c r="G611" i="2"/>
  <c r="G882" i="2"/>
  <c r="G2118" i="2"/>
  <c r="G613" i="2"/>
  <c r="G961" i="2"/>
  <c r="G1649" i="2"/>
  <c r="G1568" i="2"/>
  <c r="G1302" i="2"/>
  <c r="G2267" i="2"/>
  <c r="G371" i="2"/>
  <c r="G399" i="2"/>
  <c r="G2266" i="2"/>
  <c r="G1771" i="2"/>
  <c r="G1986" i="2"/>
  <c r="G2119" i="2"/>
  <c r="G1602" i="2"/>
  <c r="G200" i="2"/>
  <c r="G179" i="2"/>
  <c r="G281" i="2"/>
  <c r="G1289" i="2"/>
  <c r="G1168" i="2"/>
  <c r="G1177" i="2"/>
  <c r="G435" i="2"/>
  <c r="G1462" i="2"/>
  <c r="G1763" i="2"/>
  <c r="G2188" i="2"/>
  <c r="G322" i="2"/>
  <c r="G1624" i="2"/>
  <c r="G1627" i="2"/>
  <c r="G1268" i="2"/>
  <c r="G681" i="2"/>
  <c r="G1493" i="2"/>
  <c r="G837" i="2"/>
  <c r="G361" i="2"/>
  <c r="G1410" i="2"/>
  <c r="G1453" i="2"/>
  <c r="G1426" i="2"/>
  <c r="G1259" i="2"/>
  <c r="G2" i="2"/>
  <c r="G3" i="2"/>
  <c r="G4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1" i="2"/>
  <c r="G22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3" i="2"/>
  <c r="G174" i="2"/>
  <c r="G175" i="2"/>
  <c r="G176" i="2"/>
  <c r="G177" i="2"/>
  <c r="G178" i="2"/>
  <c r="G180" i="2"/>
  <c r="G181" i="2"/>
  <c r="G182" i="2"/>
  <c r="G183" i="2"/>
  <c r="G184" i="2"/>
  <c r="G185" i="2"/>
  <c r="G186" i="2"/>
  <c r="G188" i="2"/>
  <c r="G189" i="2"/>
  <c r="G192" i="2"/>
  <c r="G193" i="2"/>
  <c r="G194" i="2"/>
  <c r="G196" i="2"/>
  <c r="G197" i="2"/>
  <c r="G198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3" i="2"/>
  <c r="G274" i="2"/>
  <c r="G275" i="2"/>
  <c r="G276" i="2"/>
  <c r="G277" i="2"/>
  <c r="G279" i="2"/>
  <c r="G280" i="2"/>
  <c r="G282" i="2"/>
  <c r="G283" i="2"/>
  <c r="G284" i="2"/>
  <c r="G285" i="2"/>
  <c r="G286" i="2"/>
  <c r="G287" i="2"/>
  <c r="G288" i="2"/>
  <c r="G290" i="2"/>
  <c r="G291" i="2"/>
  <c r="G292" i="2"/>
  <c r="G293" i="2"/>
  <c r="G295" i="2"/>
  <c r="G297" i="2"/>
  <c r="G298" i="2"/>
  <c r="G299" i="2"/>
  <c r="G300" i="2"/>
  <c r="G301" i="2"/>
  <c r="G302" i="2"/>
  <c r="G303" i="2"/>
  <c r="G304" i="2"/>
  <c r="G305" i="2"/>
  <c r="G306" i="2"/>
  <c r="G311" i="2"/>
  <c r="G312" i="2"/>
  <c r="G313" i="2"/>
  <c r="G314" i="2"/>
  <c r="G315" i="2"/>
  <c r="G316" i="2"/>
  <c r="G317" i="2"/>
  <c r="G318" i="2"/>
  <c r="G319" i="2"/>
  <c r="G320" i="2"/>
  <c r="G324" i="2"/>
  <c r="G325" i="2"/>
  <c r="G326" i="2"/>
  <c r="G327" i="2"/>
  <c r="G328" i="2"/>
  <c r="G335" i="2"/>
  <c r="G336" i="2"/>
  <c r="G337" i="2"/>
  <c r="G338" i="2"/>
  <c r="G339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2" i="2"/>
  <c r="G363" i="2"/>
  <c r="G364" i="2"/>
  <c r="G365" i="2"/>
  <c r="G366" i="2"/>
  <c r="G368" i="2"/>
  <c r="G369" i="2"/>
  <c r="G370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402" i="2"/>
  <c r="G403" i="2"/>
  <c r="G404" i="2"/>
  <c r="G405" i="2"/>
  <c r="G406" i="2"/>
  <c r="G407" i="2"/>
  <c r="G408" i="2"/>
  <c r="G410" i="2"/>
  <c r="G411" i="2"/>
  <c r="G413" i="2"/>
  <c r="G414" i="2"/>
  <c r="G415" i="2"/>
  <c r="G416" i="2"/>
  <c r="G417" i="2"/>
  <c r="G420" i="2"/>
  <c r="G423" i="2"/>
  <c r="G424" i="2"/>
  <c r="G426" i="2"/>
  <c r="G427" i="2"/>
  <c r="G428" i="2"/>
  <c r="G429" i="2"/>
  <c r="G430" i="2"/>
  <c r="G431" i="2"/>
  <c r="G432" i="2"/>
  <c r="G433" i="2"/>
  <c r="G434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1" i="2"/>
  <c r="G452" i="2"/>
  <c r="G453" i="2"/>
  <c r="G454" i="2"/>
  <c r="G455" i="2"/>
  <c r="G456" i="2"/>
  <c r="G457" i="2"/>
  <c r="G458" i="2"/>
  <c r="G461" i="2"/>
  <c r="G473" i="2"/>
  <c r="G474" i="2"/>
  <c r="G475" i="2"/>
  <c r="G476" i="2"/>
  <c r="G477" i="2"/>
  <c r="G478" i="2"/>
  <c r="G479" i="2"/>
  <c r="G480" i="2"/>
  <c r="G481" i="2"/>
  <c r="G483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7" i="2"/>
  <c r="G518" i="2"/>
  <c r="G519" i="2"/>
  <c r="G520" i="2"/>
  <c r="G522" i="2"/>
  <c r="G524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1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1" i="2"/>
  <c r="G602" i="2"/>
  <c r="G603" i="2"/>
  <c r="G604" i="2"/>
  <c r="G605" i="2"/>
  <c r="G606" i="2"/>
  <c r="G608" i="2"/>
  <c r="G609" i="2"/>
  <c r="G610" i="2"/>
  <c r="G612" i="2"/>
  <c r="G615" i="2"/>
  <c r="G616" i="2"/>
  <c r="G618" i="2"/>
  <c r="G619" i="2"/>
  <c r="G620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5" i="2"/>
  <c r="G677" i="2"/>
  <c r="G678" i="2"/>
  <c r="G679" i="2"/>
  <c r="G680" i="2"/>
  <c r="G682" i="2"/>
  <c r="G683" i="2"/>
  <c r="G685" i="2"/>
  <c r="G686" i="2"/>
  <c r="G687" i="2"/>
  <c r="G688" i="2"/>
  <c r="G689" i="2"/>
  <c r="G692" i="2"/>
  <c r="G693" i="2"/>
  <c r="G694" i="2"/>
  <c r="G695" i="2"/>
  <c r="G698" i="2"/>
  <c r="G699" i="2"/>
  <c r="G700" i="2"/>
  <c r="G701" i="2"/>
  <c r="G702" i="2"/>
  <c r="G703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2" i="2"/>
  <c r="G723" i="2"/>
  <c r="G724" i="2"/>
  <c r="G725" i="2"/>
  <c r="G727" i="2"/>
  <c r="G728" i="2"/>
  <c r="G729" i="2"/>
  <c r="G731" i="2"/>
  <c r="G732" i="2"/>
  <c r="G733" i="2"/>
  <c r="G734" i="2"/>
  <c r="G735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2" i="2"/>
  <c r="G833" i="2"/>
  <c r="G834" i="2"/>
  <c r="G835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3" i="2"/>
  <c r="G874" i="2"/>
  <c r="G875" i="2"/>
  <c r="G876" i="2"/>
  <c r="G877" i="2"/>
  <c r="G879" i="2"/>
  <c r="G880" i="2"/>
  <c r="G881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1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2" i="2"/>
  <c r="G923" i="2"/>
  <c r="G924" i="2"/>
  <c r="G925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8" i="2"/>
  <c r="G949" i="2"/>
  <c r="G950" i="2"/>
  <c r="G951" i="2"/>
  <c r="G952" i="2"/>
  <c r="G953" i="2"/>
  <c r="G954" i="2"/>
  <c r="G955" i="2"/>
  <c r="G956" i="2"/>
  <c r="G957" i="2"/>
  <c r="G958" i="2"/>
  <c r="G960" i="2"/>
  <c r="G962" i="2"/>
  <c r="G963" i="2"/>
  <c r="G964" i="2"/>
  <c r="G965" i="2"/>
  <c r="G966" i="2"/>
  <c r="G967" i="2"/>
  <c r="G969" i="2"/>
  <c r="G970" i="2"/>
  <c r="G972" i="2"/>
  <c r="G973" i="2"/>
  <c r="G974" i="2"/>
  <c r="G975" i="2"/>
  <c r="G976" i="2"/>
  <c r="G977" i="2"/>
  <c r="G978" i="2"/>
  <c r="G979" i="2"/>
  <c r="G980" i="2"/>
  <c r="G981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9" i="2"/>
  <c r="G1110" i="2"/>
  <c r="G1111" i="2"/>
  <c r="G1112" i="2"/>
  <c r="G1113" i="2"/>
  <c r="G1114" i="2"/>
  <c r="G1116" i="2"/>
  <c r="G1119" i="2"/>
  <c r="G1120" i="2"/>
  <c r="G1123" i="2"/>
  <c r="G1124" i="2"/>
  <c r="G1125" i="2"/>
  <c r="G1127" i="2"/>
  <c r="G1128" i="2"/>
  <c r="G1129" i="2"/>
  <c r="G1131" i="2"/>
  <c r="G1133" i="2"/>
  <c r="G1134" i="2"/>
  <c r="G1135" i="2"/>
  <c r="G1136" i="2"/>
  <c r="G1137" i="2"/>
  <c r="G1138" i="2"/>
  <c r="G1139" i="2"/>
  <c r="G1140" i="2"/>
  <c r="G1141" i="2"/>
  <c r="G1144" i="2"/>
  <c r="G1145" i="2"/>
  <c r="G1146" i="2"/>
  <c r="G1147" i="2"/>
  <c r="G1148" i="2"/>
  <c r="G1149" i="2"/>
  <c r="G1150" i="2"/>
  <c r="G1151" i="2"/>
  <c r="G1152" i="2"/>
  <c r="G1157" i="2"/>
  <c r="G1158" i="2"/>
  <c r="G1159" i="2"/>
  <c r="G1160" i="2"/>
  <c r="G1161" i="2"/>
  <c r="G1162" i="2"/>
  <c r="G1163" i="2"/>
  <c r="G1164" i="2"/>
  <c r="G1165" i="2"/>
  <c r="G1166" i="2"/>
  <c r="G1167" i="2"/>
  <c r="G1169" i="2"/>
  <c r="G1170" i="2"/>
  <c r="G1171" i="2"/>
  <c r="G1172" i="2"/>
  <c r="G1173" i="2"/>
  <c r="G1178" i="2"/>
  <c r="G1180" i="2"/>
  <c r="G1181" i="2"/>
  <c r="G1182" i="2"/>
  <c r="G1183" i="2"/>
  <c r="G1184" i="2"/>
  <c r="G1186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7" i="2"/>
  <c r="G1248" i="2"/>
  <c r="G1251" i="2"/>
  <c r="G1254" i="2"/>
  <c r="G1255" i="2"/>
  <c r="G1256" i="2"/>
  <c r="G1257" i="2"/>
  <c r="G1258" i="2"/>
  <c r="G1260" i="2"/>
  <c r="G1261" i="2"/>
  <c r="G1262" i="2"/>
  <c r="G1264" i="2"/>
  <c r="G1265" i="2"/>
  <c r="G1266" i="2"/>
  <c r="G1267" i="2"/>
  <c r="G1269" i="2"/>
  <c r="G1273" i="2"/>
  <c r="G1274" i="2"/>
  <c r="G1276" i="2"/>
  <c r="G1279" i="2"/>
  <c r="G1280" i="2"/>
  <c r="G1281" i="2"/>
  <c r="G1282" i="2"/>
  <c r="G1283" i="2"/>
  <c r="G1284" i="2"/>
  <c r="G1285" i="2"/>
  <c r="G1286" i="2"/>
  <c r="G1287" i="2"/>
  <c r="G1288" i="2"/>
  <c r="G1290" i="2"/>
  <c r="G1291" i="2"/>
  <c r="G1292" i="2"/>
  <c r="G1293" i="2"/>
  <c r="G1294" i="2"/>
  <c r="G1296" i="2"/>
  <c r="G1297" i="2"/>
  <c r="G1298" i="2"/>
  <c r="G1299" i="2"/>
  <c r="G1301" i="2"/>
  <c r="G1303" i="2"/>
  <c r="G1305" i="2"/>
  <c r="G1306" i="2"/>
  <c r="G1307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6" i="2"/>
  <c r="G1347" i="2"/>
  <c r="G1348" i="2"/>
  <c r="G1349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4" i="2"/>
  <c r="G1406" i="2"/>
  <c r="G1407" i="2"/>
  <c r="G1408" i="2"/>
  <c r="G1409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7" i="2"/>
  <c r="G1428" i="2"/>
  <c r="G1429" i="2"/>
  <c r="G1430" i="2"/>
  <c r="G1431" i="2"/>
  <c r="G1432" i="2"/>
  <c r="G1434" i="2"/>
  <c r="G1437" i="2"/>
  <c r="G1438" i="2"/>
  <c r="G1439" i="2"/>
  <c r="G1440" i="2"/>
  <c r="G1441" i="2"/>
  <c r="G1444" i="2"/>
  <c r="G1445" i="2"/>
  <c r="G1446" i="2"/>
  <c r="G1447" i="2"/>
  <c r="G1448" i="2"/>
  <c r="G1449" i="2"/>
  <c r="G1450" i="2"/>
  <c r="G1451" i="2"/>
  <c r="G1458" i="2"/>
  <c r="G1459" i="2"/>
  <c r="G1460" i="2"/>
  <c r="G1461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5" i="2"/>
  <c r="G1496" i="2"/>
  <c r="G1497" i="2"/>
  <c r="G1498" i="2"/>
  <c r="G1503" i="2"/>
  <c r="G1504" i="2"/>
  <c r="G1506" i="2"/>
  <c r="G1507" i="2"/>
  <c r="G1508" i="2"/>
  <c r="G1509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6" i="2"/>
  <c r="G1527" i="2"/>
  <c r="G1528" i="2"/>
  <c r="G1529" i="2"/>
  <c r="G1530" i="2"/>
  <c r="G1531" i="2"/>
  <c r="G1536" i="2"/>
  <c r="G1537" i="2"/>
  <c r="G1538" i="2"/>
  <c r="G1539" i="2"/>
  <c r="G1540" i="2"/>
  <c r="G1541" i="2"/>
  <c r="G1545" i="2"/>
  <c r="G1548" i="2"/>
  <c r="G1549" i="2"/>
  <c r="G1550" i="2"/>
  <c r="G1551" i="2"/>
  <c r="G1553" i="2"/>
  <c r="G1556" i="2"/>
  <c r="G1557" i="2"/>
  <c r="G1558" i="2"/>
  <c r="G1560" i="2"/>
  <c r="G1561" i="2"/>
  <c r="G1562" i="2"/>
  <c r="G1564" i="2"/>
  <c r="G1565" i="2"/>
  <c r="G1566" i="2"/>
  <c r="G1567" i="2"/>
  <c r="G1569" i="2"/>
  <c r="G1570" i="2"/>
  <c r="G1571" i="2"/>
  <c r="G1572" i="2"/>
  <c r="G1573" i="2"/>
  <c r="G1574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4" i="2"/>
  <c r="G1595" i="2"/>
  <c r="G1596" i="2"/>
  <c r="G1597" i="2"/>
  <c r="G1598" i="2"/>
  <c r="G1600" i="2"/>
  <c r="G1601" i="2"/>
  <c r="G1603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20" i="2"/>
  <c r="G1621" i="2"/>
  <c r="G1623" i="2"/>
  <c r="G1625" i="2"/>
  <c r="G1629" i="2"/>
  <c r="G1630" i="2"/>
  <c r="G1631" i="2"/>
  <c r="G1632" i="2"/>
  <c r="G1634" i="2"/>
  <c r="G1635" i="2"/>
  <c r="G1636" i="2"/>
  <c r="G1637" i="2"/>
  <c r="G1639" i="2"/>
  <c r="G1641" i="2"/>
  <c r="G1642" i="2"/>
  <c r="G1643" i="2"/>
  <c r="G1645" i="2"/>
  <c r="G1646" i="2"/>
  <c r="G1647" i="2"/>
  <c r="G1648" i="2"/>
  <c r="G1650" i="2"/>
  <c r="G1651" i="2"/>
  <c r="G1652" i="2"/>
  <c r="G1659" i="2"/>
  <c r="G1660" i="2"/>
  <c r="G1661" i="2"/>
  <c r="G1662" i="2"/>
  <c r="G1663" i="2"/>
  <c r="G1664" i="2"/>
  <c r="G1666" i="2"/>
  <c r="G1667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5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4" i="2"/>
  <c r="G1765" i="2"/>
  <c r="G1768" i="2"/>
  <c r="G1769" i="2"/>
  <c r="G1770" i="2"/>
  <c r="G1772" i="2"/>
  <c r="G1774" i="2"/>
  <c r="G1775" i="2"/>
  <c r="G1776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800" i="2"/>
  <c r="G1802" i="2"/>
  <c r="G1804" i="2"/>
  <c r="G1805" i="2"/>
  <c r="G1809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5" i="2"/>
  <c r="G1846" i="2"/>
  <c r="G1847" i="2"/>
  <c r="G1848" i="2"/>
  <c r="G1849" i="2"/>
  <c r="G1850" i="2"/>
  <c r="G1851" i="2"/>
  <c r="G1852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3" i="2"/>
  <c r="G1885" i="2"/>
  <c r="G1889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5" i="2"/>
  <c r="G1966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1" i="2"/>
  <c r="G1982" i="2"/>
  <c r="G1983" i="2"/>
  <c r="G1984" i="2"/>
  <c r="G1985" i="2"/>
  <c r="G1987" i="2"/>
  <c r="G1988" i="2"/>
  <c r="G1990" i="2"/>
  <c r="G1991" i="2"/>
  <c r="G1992" i="2"/>
  <c r="G1993" i="2"/>
  <c r="G1994" i="2"/>
  <c r="G1997" i="2"/>
  <c r="G1998" i="2"/>
  <c r="G1999" i="2"/>
  <c r="G2000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9" i="2"/>
  <c r="G2030" i="2"/>
  <c r="G2032" i="2"/>
  <c r="G2034" i="2"/>
  <c r="G2035" i="2"/>
  <c r="G2036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5" i="2"/>
  <c r="G2067" i="2"/>
  <c r="G2068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5" i="2"/>
  <c r="G2097" i="2"/>
  <c r="G2099" i="2"/>
  <c r="G2101" i="2"/>
  <c r="G2102" i="2"/>
  <c r="G2108" i="2"/>
  <c r="G2111" i="2"/>
  <c r="G2112" i="2"/>
  <c r="G2113" i="2"/>
  <c r="G2114" i="2"/>
  <c r="G2115" i="2"/>
  <c r="G2116" i="2"/>
  <c r="G2117" i="2"/>
  <c r="G2120" i="2"/>
  <c r="G2122" i="2"/>
  <c r="G2123" i="2"/>
  <c r="G2124" i="2"/>
  <c r="G2125" i="2"/>
  <c r="G2126" i="2"/>
  <c r="G2127" i="2"/>
  <c r="G2128" i="2"/>
  <c r="G2131" i="2"/>
  <c r="G2132" i="2"/>
  <c r="G2134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1" i="2"/>
  <c r="G2152" i="2"/>
  <c r="G2154" i="2"/>
  <c r="G2155" i="2"/>
  <c r="G2156" i="2"/>
  <c r="G2157" i="2"/>
  <c r="G2158" i="2"/>
  <c r="G2159" i="2"/>
  <c r="G2160" i="2"/>
  <c r="G2161" i="2"/>
  <c r="G2162" i="2"/>
  <c r="G2167" i="2"/>
  <c r="G2168" i="2"/>
  <c r="G2169" i="2"/>
  <c r="G2170" i="2"/>
  <c r="G2171" i="2"/>
  <c r="G2172" i="2"/>
  <c r="G2173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9" i="2"/>
  <c r="G2193" i="2"/>
  <c r="G2194" i="2"/>
  <c r="G2195" i="2"/>
  <c r="G2196" i="2"/>
  <c r="G2197" i="2"/>
  <c r="G2200" i="2"/>
  <c r="G2201" i="2"/>
  <c r="G2202" i="2"/>
  <c r="G2203" i="2"/>
  <c r="G2205" i="2"/>
  <c r="G2206" i="2"/>
  <c r="G2207" i="2"/>
  <c r="G2208" i="2"/>
  <c r="G2210" i="2"/>
  <c r="G2211" i="2"/>
  <c r="G2213" i="2"/>
  <c r="G2214" i="2"/>
  <c r="G2217" i="2"/>
  <c r="G2218" i="2"/>
  <c r="G2219" i="2"/>
  <c r="G2220" i="2"/>
  <c r="G2221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4" i="2"/>
  <c r="G2245" i="2"/>
  <c r="G2246" i="2"/>
  <c r="G2247" i="2"/>
  <c r="G2248" i="2"/>
  <c r="G2249" i="2"/>
  <c r="G2251" i="2"/>
  <c r="G2252" i="2"/>
  <c r="G2253" i="2"/>
  <c r="G2254" i="2"/>
  <c r="G2255" i="2"/>
  <c r="G2257" i="2"/>
  <c r="G2258" i="2"/>
  <c r="G2259" i="2"/>
  <c r="G2260" i="2"/>
  <c r="G2261" i="2"/>
  <c r="G2262" i="2"/>
  <c r="G2263" i="2"/>
  <c r="G2264" i="2"/>
  <c r="G2265" i="2"/>
  <c r="G2268" i="2"/>
  <c r="G2269" i="2"/>
  <c r="G2270" i="2"/>
  <c r="G2271" i="2"/>
  <c r="G2272" i="2"/>
  <c r="G2273" i="2"/>
  <c r="G2274" i="2"/>
  <c r="G2275" i="2"/>
  <c r="G2276" i="2"/>
  <c r="G2277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3" i="2"/>
  <c r="G2304" i="2"/>
  <c r="G2305" i="2"/>
  <c r="G2306" i="2"/>
  <c r="G2307" i="2"/>
  <c r="G2308" i="2"/>
  <c r="G2309" i="2"/>
  <c r="E8" i="3"/>
  <c r="E13" i="3"/>
  <c r="E23" i="3"/>
  <c r="E45" i="3"/>
  <c r="E59" i="3"/>
  <c r="E94" i="3"/>
  <c r="E105" i="3"/>
  <c r="E145" i="3"/>
  <c r="E152" i="3"/>
  <c r="E157" i="3"/>
  <c r="E190" i="3"/>
  <c r="E205" i="3"/>
  <c r="E227" i="3"/>
  <c r="E229" i="3"/>
  <c r="E296" i="3"/>
  <c r="E297" i="3"/>
  <c r="E299" i="3"/>
  <c r="E325" i="3"/>
  <c r="E358" i="3"/>
  <c r="E372" i="3"/>
  <c r="E381" i="3"/>
  <c r="E395" i="3"/>
  <c r="E397" i="3"/>
  <c r="E427" i="3"/>
  <c r="E433" i="3"/>
  <c r="E442" i="3"/>
  <c r="E457" i="3"/>
  <c r="E465" i="3"/>
  <c r="E466" i="3"/>
  <c r="E492" i="3"/>
  <c r="E503" i="3"/>
  <c r="E516" i="3"/>
  <c r="E547" i="3"/>
  <c r="E572" i="3"/>
  <c r="E576" i="3"/>
  <c r="E577" i="3"/>
  <c r="D27" i="3"/>
  <c r="E27" i="3" s="1"/>
  <c r="D512" i="3"/>
  <c r="E512" i="3" s="1"/>
  <c r="D281" i="3"/>
  <c r="E281" i="3" s="1"/>
  <c r="D4" i="3"/>
  <c r="E4" i="3" s="1"/>
  <c r="D220" i="3"/>
  <c r="E220" i="3" s="1"/>
  <c r="D247" i="3"/>
  <c r="E247" i="3" s="1"/>
  <c r="D211" i="3"/>
  <c r="E211" i="3" s="1"/>
  <c r="D328" i="3"/>
  <c r="E328" i="3" s="1"/>
  <c r="D290" i="3"/>
  <c r="E290" i="3" s="1"/>
  <c r="D170" i="3"/>
  <c r="E170" i="3" s="1"/>
  <c r="D8" i="3"/>
  <c r="D410" i="3"/>
  <c r="E410" i="3" s="1"/>
  <c r="D271" i="3"/>
  <c r="E271" i="3" s="1"/>
  <c r="D240" i="3"/>
  <c r="E240" i="3" s="1"/>
  <c r="D381" i="3"/>
  <c r="D392" i="3"/>
  <c r="E392" i="3" s="1"/>
  <c r="D10" i="3"/>
  <c r="E10" i="3" s="1"/>
  <c r="D541" i="3"/>
  <c r="E541" i="3" s="1"/>
  <c r="D378" i="3"/>
  <c r="E378" i="3" s="1"/>
  <c r="D225" i="3"/>
  <c r="E225" i="3" s="1"/>
  <c r="D71" i="3"/>
  <c r="E71" i="3" s="1"/>
  <c r="D571" i="3"/>
  <c r="E571" i="3" s="1"/>
  <c r="D476" i="3"/>
  <c r="E476" i="3" s="1"/>
  <c r="D457" i="3"/>
  <c r="D474" i="3"/>
  <c r="E474" i="3" s="1"/>
  <c r="D191" i="3"/>
  <c r="E191" i="3" s="1"/>
  <c r="D255" i="3"/>
  <c r="E255" i="3" s="1"/>
  <c r="D519" i="3"/>
  <c r="E519" i="3" s="1"/>
  <c r="D198" i="3"/>
  <c r="E198" i="3" s="1"/>
  <c r="D407" i="3"/>
  <c r="E407" i="3" s="1"/>
  <c r="D567" i="3"/>
  <c r="E567" i="3" s="1"/>
  <c r="D22" i="3"/>
  <c r="E22" i="3" s="1"/>
  <c r="D586" i="3"/>
  <c r="E586" i="3" s="1"/>
  <c r="D536" i="3"/>
  <c r="E536" i="3" s="1"/>
  <c r="D70" i="3"/>
  <c r="E70" i="3" s="1"/>
  <c r="D209" i="3"/>
  <c r="E209" i="3" s="1"/>
  <c r="D379" i="3"/>
  <c r="E379" i="3" s="1"/>
  <c r="D45" i="3"/>
  <c r="D435" i="3"/>
  <c r="E435" i="3" s="1"/>
  <c r="D573" i="3"/>
  <c r="E573" i="3" s="1"/>
  <c r="D508" i="3"/>
  <c r="E508" i="3" s="1"/>
  <c r="D376" i="3"/>
  <c r="E376" i="3" s="1"/>
  <c r="D364" i="3"/>
  <c r="E364" i="3" s="1"/>
  <c r="D394" i="3"/>
  <c r="E394" i="3" s="1"/>
  <c r="D88" i="3"/>
  <c r="E88" i="3" s="1"/>
  <c r="D363" i="3"/>
  <c r="E363" i="3" s="1"/>
  <c r="D444" i="3"/>
  <c r="E444" i="3" s="1"/>
  <c r="D20" i="3"/>
  <c r="E20" i="3" s="1"/>
  <c r="D544" i="3"/>
  <c r="E544" i="3" s="1"/>
  <c r="D140" i="3"/>
  <c r="E140" i="3" s="1"/>
  <c r="D210" i="3"/>
  <c r="E210" i="3" s="1"/>
  <c r="D143" i="3"/>
  <c r="E143" i="3" s="1"/>
  <c r="D278" i="3"/>
  <c r="E278" i="3" s="1"/>
  <c r="D334" i="3"/>
  <c r="E334" i="3" s="1"/>
  <c r="D221" i="3"/>
  <c r="E221" i="3" s="1"/>
  <c r="D582" i="3"/>
  <c r="E582" i="3" s="1"/>
  <c r="D279" i="3"/>
  <c r="E279" i="3" s="1"/>
  <c r="D122" i="3"/>
  <c r="E122" i="3" s="1"/>
  <c r="D35" i="3"/>
  <c r="E35" i="3" s="1"/>
  <c r="D205" i="3"/>
  <c r="D553" i="3"/>
  <c r="E553" i="3" s="1"/>
  <c r="D327" i="3"/>
  <c r="E327" i="3" s="1"/>
  <c r="D5" i="3"/>
  <c r="E5" i="3" s="1"/>
  <c r="D579" i="3"/>
  <c r="E579" i="3" s="1"/>
  <c r="D561" i="3"/>
  <c r="E561" i="3" s="1"/>
  <c r="D289" i="3"/>
  <c r="E289" i="3" s="1"/>
  <c r="D207" i="3"/>
  <c r="E207" i="3" s="1"/>
  <c r="D368" i="3"/>
  <c r="E368" i="3" s="1"/>
  <c r="D344" i="3"/>
  <c r="E344" i="3" s="1"/>
  <c r="D566" i="3"/>
  <c r="E566" i="3" s="1"/>
  <c r="D481" i="3"/>
  <c r="E481" i="3" s="1"/>
  <c r="D388" i="3"/>
  <c r="E388" i="3" s="1"/>
  <c r="D61" i="3"/>
  <c r="E61" i="3" s="1"/>
  <c r="D43" i="3"/>
  <c r="E43" i="3" s="1"/>
  <c r="D507" i="3"/>
  <c r="E507" i="3" s="1"/>
  <c r="D500" i="3"/>
  <c r="E500" i="3" s="1"/>
  <c r="D169" i="3"/>
  <c r="E169" i="3" s="1"/>
  <c r="D416" i="3"/>
  <c r="E416" i="3" s="1"/>
  <c r="D590" i="3"/>
  <c r="E590" i="3" s="1"/>
  <c r="D67" i="3"/>
  <c r="E67" i="3" s="1"/>
  <c r="D136" i="3"/>
  <c r="E136" i="3" s="1"/>
  <c r="D215" i="3"/>
  <c r="E215" i="3" s="1"/>
  <c r="D160" i="3"/>
  <c r="E160" i="3" s="1"/>
  <c r="D42" i="3"/>
  <c r="E42" i="3" s="1"/>
  <c r="D94" i="3"/>
  <c r="D420" i="3"/>
  <c r="E420" i="3" s="1"/>
  <c r="D458" i="3"/>
  <c r="E458" i="3" s="1"/>
  <c r="D186" i="3"/>
  <c r="E186" i="3" s="1"/>
  <c r="D460" i="3"/>
  <c r="E460" i="3" s="1"/>
  <c r="D408" i="3"/>
  <c r="E408" i="3" s="1"/>
  <c r="D455" i="3"/>
  <c r="E455" i="3" s="1"/>
  <c r="D121" i="3"/>
  <c r="E121" i="3" s="1"/>
  <c r="D256" i="3"/>
  <c r="E256" i="3" s="1"/>
  <c r="D154" i="3"/>
  <c r="E154" i="3" s="1"/>
  <c r="D490" i="3"/>
  <c r="E490" i="3" s="1"/>
  <c r="D362" i="3"/>
  <c r="E362" i="3" s="1"/>
  <c r="D13" i="3"/>
  <c r="D587" i="3"/>
  <c r="E587" i="3" s="1"/>
  <c r="D357" i="3"/>
  <c r="E357" i="3" s="1"/>
  <c r="D139" i="3"/>
  <c r="E139" i="3" s="1"/>
  <c r="D200" i="3"/>
  <c r="E200" i="3" s="1"/>
  <c r="D473" i="3"/>
  <c r="E473" i="3" s="1"/>
  <c r="D218" i="3"/>
  <c r="E218" i="3" s="1"/>
  <c r="D148" i="3"/>
  <c r="E148" i="3" s="1"/>
  <c r="D502" i="3"/>
  <c r="E502" i="3" s="1"/>
  <c r="D570" i="3"/>
  <c r="E570" i="3" s="1"/>
  <c r="D565" i="3"/>
  <c r="E565" i="3" s="1"/>
  <c r="D550" i="3"/>
  <c r="E550" i="3" s="1"/>
  <c r="D112" i="3"/>
  <c r="E112" i="3" s="1"/>
  <c r="D356" i="3"/>
  <c r="E356" i="3" s="1"/>
  <c r="D157" i="3"/>
  <c r="D212" i="3"/>
  <c r="E212" i="3" s="1"/>
  <c r="D462" i="3"/>
  <c r="E462" i="3" s="1"/>
  <c r="D429" i="3"/>
  <c r="E429" i="3" s="1"/>
  <c r="D401" i="3"/>
  <c r="E401" i="3" s="1"/>
  <c r="D365" i="3"/>
  <c r="E365" i="3" s="1"/>
  <c r="D555" i="3"/>
  <c r="E555" i="3" s="1"/>
  <c r="D44" i="3"/>
  <c r="E44" i="3" s="1"/>
  <c r="D492" i="3"/>
  <c r="D498" i="3"/>
  <c r="E498" i="3" s="1"/>
  <c r="D155" i="3"/>
  <c r="E155" i="3" s="1"/>
  <c r="D447" i="3"/>
  <c r="E447" i="3" s="1"/>
  <c r="D337" i="3"/>
  <c r="E337" i="3" s="1"/>
  <c r="D248" i="3"/>
  <c r="E248" i="3" s="1"/>
  <c r="D341" i="3"/>
  <c r="E341" i="3" s="1"/>
  <c r="D383" i="3"/>
  <c r="E383" i="3" s="1"/>
  <c r="D119" i="3"/>
  <c r="E119" i="3" s="1"/>
  <c r="D518" i="3"/>
  <c r="E518" i="3" s="1"/>
  <c r="D426" i="3"/>
  <c r="E426" i="3" s="1"/>
  <c r="D489" i="3"/>
  <c r="E489" i="3" s="1"/>
  <c r="D329" i="3"/>
  <c r="E329" i="3" s="1"/>
  <c r="D385" i="3"/>
  <c r="E385" i="3" s="1"/>
  <c r="D104" i="3"/>
  <c r="E104" i="3" s="1"/>
  <c r="D568" i="3"/>
  <c r="E568" i="3" s="1"/>
  <c r="D78" i="3"/>
  <c r="E78" i="3" s="1"/>
  <c r="D517" i="3"/>
  <c r="E517" i="3" s="1"/>
  <c r="D556" i="3"/>
  <c r="E556" i="3" s="1"/>
  <c r="D439" i="3"/>
  <c r="E439" i="3" s="1"/>
  <c r="D552" i="3"/>
  <c r="E552" i="3" s="1"/>
  <c r="D275" i="3"/>
  <c r="E275" i="3" s="1"/>
  <c r="D224" i="3"/>
  <c r="E224" i="3" s="1"/>
  <c r="D285" i="3"/>
  <c r="E285" i="3" s="1"/>
  <c r="D258" i="3"/>
  <c r="E258" i="3" s="1"/>
  <c r="D418" i="3"/>
  <c r="E418" i="3" s="1"/>
  <c r="D243" i="3"/>
  <c r="E243" i="3" s="1"/>
  <c r="D189" i="3"/>
  <c r="E189" i="3" s="1"/>
  <c r="D228" i="3"/>
  <c r="E228" i="3" s="1"/>
  <c r="D399" i="3"/>
  <c r="E399" i="3" s="1"/>
  <c r="D286" i="3"/>
  <c r="E286" i="3" s="1"/>
  <c r="D171" i="3"/>
  <c r="E171" i="3" s="1"/>
  <c r="D563" i="3"/>
  <c r="E563" i="3" s="1"/>
  <c r="D588" i="3"/>
  <c r="E588" i="3" s="1"/>
  <c r="D361" i="3"/>
  <c r="E361" i="3" s="1"/>
  <c r="D467" i="3"/>
  <c r="E467" i="3" s="1"/>
  <c r="D132" i="3"/>
  <c r="E132" i="3" s="1"/>
  <c r="D434" i="3"/>
  <c r="E434" i="3" s="1"/>
  <c r="D11" i="3"/>
  <c r="E11" i="3" s="1"/>
  <c r="D522" i="3"/>
  <c r="E522" i="3" s="1"/>
  <c r="D16" i="3"/>
  <c r="E16" i="3" s="1"/>
  <c r="D303" i="3"/>
  <c r="E303" i="3" s="1"/>
  <c r="D176" i="3"/>
  <c r="E176" i="3" s="1"/>
  <c r="D293" i="3"/>
  <c r="E293" i="3" s="1"/>
  <c r="D118" i="3"/>
  <c r="E118" i="3" s="1"/>
  <c r="D123" i="3"/>
  <c r="E123" i="3" s="1"/>
  <c r="D120" i="3"/>
  <c r="E120" i="3" s="1"/>
  <c r="D142" i="3"/>
  <c r="E142" i="3" s="1"/>
  <c r="D9" i="3"/>
  <c r="E9" i="3" s="1"/>
  <c r="D180" i="3"/>
  <c r="E180" i="3" s="1"/>
  <c r="D287" i="3"/>
  <c r="E287" i="3" s="1"/>
  <c r="D469" i="3"/>
  <c r="E469" i="3" s="1"/>
  <c r="D62" i="3"/>
  <c r="E62" i="3" s="1"/>
  <c r="D557" i="3"/>
  <c r="E557" i="3" s="1"/>
  <c r="D505" i="3"/>
  <c r="E505" i="3" s="1"/>
  <c r="D538" i="3"/>
  <c r="E538" i="3" s="1"/>
  <c r="D48" i="3"/>
  <c r="E48" i="3" s="1"/>
  <c r="D159" i="3"/>
  <c r="E159" i="3" s="1"/>
  <c r="D79" i="3"/>
  <c r="E79" i="3" s="1"/>
  <c r="D235" i="3"/>
  <c r="E235" i="3" s="1"/>
  <c r="D397" i="3"/>
  <c r="D150" i="3"/>
  <c r="E150" i="3" s="1"/>
  <c r="D572" i="3"/>
  <c r="D493" i="3"/>
  <c r="E493" i="3" s="1"/>
  <c r="D89" i="3"/>
  <c r="E89" i="3" s="1"/>
  <c r="D109" i="3"/>
  <c r="E109" i="3" s="1"/>
  <c r="D307" i="3"/>
  <c r="E307" i="3" s="1"/>
  <c r="D269" i="3"/>
  <c r="E269" i="3" s="1"/>
  <c r="D49" i="3"/>
  <c r="E49" i="3" s="1"/>
  <c r="D144" i="3"/>
  <c r="E144" i="3" s="1"/>
  <c r="D76" i="3"/>
  <c r="E76" i="3" s="1"/>
  <c r="D214" i="3"/>
  <c r="E214" i="3" s="1"/>
  <c r="D405" i="3"/>
  <c r="E405" i="3" s="1"/>
  <c r="D102" i="3"/>
  <c r="E102" i="3" s="1"/>
  <c r="D491" i="3"/>
  <c r="E491" i="3" s="1"/>
  <c r="D343" i="3"/>
  <c r="E343" i="3" s="1"/>
  <c r="D145" i="3"/>
  <c r="D163" i="3"/>
  <c r="E163" i="3" s="1"/>
  <c r="D577" i="3"/>
  <c r="D306" i="3"/>
  <c r="E306" i="3" s="1"/>
  <c r="D179" i="3"/>
  <c r="E179" i="3" s="1"/>
  <c r="D65" i="3"/>
  <c r="E65" i="3" s="1"/>
  <c r="D359" i="3"/>
  <c r="E359" i="3" s="1"/>
  <c r="D545" i="3"/>
  <c r="E545" i="3" s="1"/>
  <c r="D190" i="3"/>
  <c r="D28" i="3"/>
  <c r="E28" i="3" s="1"/>
  <c r="D162" i="3"/>
  <c r="E162" i="3" s="1"/>
  <c r="D593" i="3"/>
  <c r="E593" i="3" s="1"/>
  <c r="D41" i="3"/>
  <c r="E41" i="3" s="1"/>
  <c r="D249" i="3"/>
  <c r="E249" i="3" s="1"/>
  <c r="D406" i="3"/>
  <c r="E406" i="3" s="1"/>
  <c r="D158" i="3"/>
  <c r="E158" i="3" s="1"/>
  <c r="D409" i="3"/>
  <c r="E409" i="3" s="1"/>
  <c r="D128" i="3"/>
  <c r="E128" i="3" s="1"/>
  <c r="D366" i="3"/>
  <c r="E366" i="3" s="1"/>
  <c r="D97" i="3"/>
  <c r="E97" i="3" s="1"/>
  <c r="D59" i="3"/>
  <c r="D427" i="3"/>
  <c r="D74" i="3"/>
  <c r="E74" i="3" s="1"/>
  <c r="D234" i="3"/>
  <c r="E234" i="3" s="1"/>
  <c r="D330" i="3"/>
  <c r="E330" i="3" s="1"/>
  <c r="D309" i="3"/>
  <c r="E309" i="3" s="1"/>
  <c r="D153" i="3"/>
  <c r="E153" i="3" s="1"/>
  <c r="D549" i="3"/>
  <c r="E549" i="3" s="1"/>
  <c r="D127" i="3"/>
  <c r="E127" i="3" s="1"/>
  <c r="D262" i="3"/>
  <c r="E262" i="3" s="1"/>
  <c r="D108" i="3"/>
  <c r="E108" i="3" s="1"/>
  <c r="D36" i="3"/>
  <c r="E36" i="3" s="1"/>
  <c r="D53" i="3"/>
  <c r="E53" i="3" s="1"/>
  <c r="D15" i="3"/>
  <c r="E15" i="3" s="1"/>
  <c r="D336" i="3"/>
  <c r="E336" i="3" s="1"/>
  <c r="D19" i="3"/>
  <c r="E19" i="3" s="1"/>
  <c r="D503" i="3"/>
  <c r="D178" i="3"/>
  <c r="E178" i="3" s="1"/>
  <c r="D300" i="3"/>
  <c r="E300" i="3" s="1"/>
  <c r="D373" i="3"/>
  <c r="E373" i="3" s="1"/>
  <c r="D267" i="3"/>
  <c r="E267" i="3" s="1"/>
  <c r="D342" i="3"/>
  <c r="E342" i="3" s="1"/>
  <c r="D338" i="3"/>
  <c r="E338" i="3" s="1"/>
  <c r="D548" i="3"/>
  <c r="E548" i="3" s="1"/>
  <c r="D77" i="3"/>
  <c r="E77" i="3" s="1"/>
  <c r="D436" i="3"/>
  <c r="E436" i="3" s="1"/>
  <c r="D274" i="3"/>
  <c r="E274" i="3" s="1"/>
  <c r="D105" i="3"/>
  <c r="D38" i="3"/>
  <c r="E38" i="3" s="1"/>
  <c r="D311" i="3"/>
  <c r="E311" i="3" s="1"/>
  <c r="D428" i="3"/>
  <c r="E428" i="3" s="1"/>
  <c r="D276" i="3"/>
  <c r="E276" i="3" s="1"/>
  <c r="D280" i="3"/>
  <c r="E280" i="3" s="1"/>
  <c r="D242" i="3"/>
  <c r="E242" i="3" s="1"/>
  <c r="D113" i="3"/>
  <c r="E113" i="3" s="1"/>
  <c r="D222" i="3"/>
  <c r="E222" i="3" s="1"/>
  <c r="D98" i="3"/>
  <c r="E98" i="3" s="1"/>
  <c r="D413" i="3"/>
  <c r="E413" i="3" s="1"/>
  <c r="D478" i="3"/>
  <c r="E478" i="3" s="1"/>
  <c r="D442" i="3"/>
  <c r="D485" i="3"/>
  <c r="E485" i="3" s="1"/>
  <c r="D264" i="3"/>
  <c r="E264" i="3" s="1"/>
  <c r="D390" i="3"/>
  <c r="E390" i="3" s="1"/>
  <c r="D192" i="3"/>
  <c r="E192" i="3" s="1"/>
  <c r="D129" i="3"/>
  <c r="E129" i="3" s="1"/>
  <c r="D559" i="3"/>
  <c r="E559" i="3" s="1"/>
  <c r="D322" i="3"/>
  <c r="E322" i="3" s="1"/>
  <c r="D231" i="3"/>
  <c r="E231" i="3" s="1"/>
  <c r="D488" i="3"/>
  <c r="E488" i="3" s="1"/>
  <c r="D325" i="3"/>
  <c r="D100" i="3"/>
  <c r="E100" i="3" s="1"/>
  <c r="D229" i="3"/>
  <c r="D354" i="3"/>
  <c r="E354" i="3" s="1"/>
  <c r="D335" i="3"/>
  <c r="E335" i="3" s="1"/>
  <c r="D93" i="3"/>
  <c r="E93" i="3" s="1"/>
  <c r="D175" i="3"/>
  <c r="E175" i="3" s="1"/>
  <c r="D370" i="3"/>
  <c r="E370" i="3" s="1"/>
  <c r="D47" i="3"/>
  <c r="E47" i="3" s="1"/>
  <c r="D504" i="3"/>
  <c r="E504" i="3" s="1"/>
  <c r="D402" i="3"/>
  <c r="E402" i="3" s="1"/>
  <c r="D199" i="3"/>
  <c r="E199" i="3" s="1"/>
  <c r="D208" i="3"/>
  <c r="E208" i="3" s="1"/>
  <c r="D543" i="3"/>
  <c r="E543" i="3" s="1"/>
  <c r="D299" i="3"/>
  <c r="D138" i="3"/>
  <c r="E138" i="3" s="1"/>
  <c r="D310" i="3"/>
  <c r="E310" i="3" s="1"/>
  <c r="D126" i="3"/>
  <c r="E126" i="3" s="1"/>
  <c r="D18" i="3"/>
  <c r="E18" i="3" s="1"/>
  <c r="D172" i="3"/>
  <c r="E172" i="3" s="1"/>
  <c r="D304" i="3"/>
  <c r="E304" i="3" s="1"/>
  <c r="D324" i="3"/>
  <c r="E324" i="3" s="1"/>
  <c r="D213" i="3"/>
  <c r="E213" i="3" s="1"/>
  <c r="D347" i="3"/>
  <c r="E347" i="3" s="1"/>
  <c r="D510" i="3"/>
  <c r="E510" i="3" s="1"/>
  <c r="D350" i="3"/>
  <c r="E350" i="3" s="1"/>
  <c r="D422" i="3"/>
  <c r="E422" i="3" s="1"/>
  <c r="D21" i="3"/>
  <c r="E21" i="3" s="1"/>
  <c r="D146" i="3"/>
  <c r="E146" i="3" s="1"/>
  <c r="D318" i="3"/>
  <c r="E318" i="3" s="1"/>
  <c r="D187" i="3"/>
  <c r="E187" i="3" s="1"/>
  <c r="D110" i="3"/>
  <c r="E110" i="3" s="1"/>
  <c r="D449" i="3"/>
  <c r="E449" i="3" s="1"/>
  <c r="D106" i="3"/>
  <c r="E106" i="3" s="1"/>
  <c r="D34" i="3"/>
  <c r="E34" i="3" s="1"/>
  <c r="D438" i="3"/>
  <c r="E438" i="3" s="1"/>
  <c r="D202" i="3"/>
  <c r="E202" i="3" s="1"/>
  <c r="D421" i="3"/>
  <c r="E421" i="3" s="1"/>
  <c r="D184" i="3"/>
  <c r="E184" i="3" s="1"/>
  <c r="D31" i="3"/>
  <c r="E31" i="3" s="1"/>
  <c r="D423" i="3"/>
  <c r="E423" i="3" s="1"/>
  <c r="D56" i="3"/>
  <c r="E56" i="3" s="1"/>
  <c r="D451" i="3"/>
  <c r="E451" i="3" s="1"/>
  <c r="D24" i="3"/>
  <c r="E24" i="3" s="1"/>
  <c r="D135" i="3"/>
  <c r="E135" i="3" s="1"/>
  <c r="D181" i="3"/>
  <c r="E181" i="3" s="1"/>
  <c r="D55" i="3"/>
  <c r="E55" i="3" s="1"/>
  <c r="D51" i="3"/>
  <c r="E51" i="3" s="1"/>
  <c r="D395" i="3"/>
  <c r="D386" i="3"/>
  <c r="E386" i="3" s="1"/>
  <c r="D581" i="3"/>
  <c r="E581" i="3" s="1"/>
  <c r="D250" i="3"/>
  <c r="E250" i="3" s="1"/>
  <c r="D562" i="3"/>
  <c r="E562" i="3" s="1"/>
  <c r="D63" i="3"/>
  <c r="E63" i="3" s="1"/>
  <c r="D393" i="3"/>
  <c r="E393" i="3" s="1"/>
  <c r="D133" i="3"/>
  <c r="E133" i="3" s="1"/>
  <c r="D50" i="3"/>
  <c r="E50" i="3" s="1"/>
  <c r="D288" i="3"/>
  <c r="E288" i="3" s="1"/>
  <c r="D3" i="3"/>
  <c r="E3" i="3" s="1"/>
  <c r="D32" i="3"/>
  <c r="E32" i="3" s="1"/>
  <c r="D195" i="3"/>
  <c r="E195" i="3" s="1"/>
  <c r="D14" i="3"/>
  <c r="E14" i="3" s="1"/>
  <c r="D463" i="3"/>
  <c r="E463" i="3" s="1"/>
  <c r="D37" i="3"/>
  <c r="E37" i="3" s="1"/>
  <c r="D197" i="3"/>
  <c r="E197" i="3" s="1"/>
  <c r="D398" i="3"/>
  <c r="E398" i="3" s="1"/>
  <c r="D91" i="3"/>
  <c r="E91" i="3" s="1"/>
  <c r="D12" i="3"/>
  <c r="E12" i="3" s="1"/>
  <c r="D26" i="3"/>
  <c r="E26" i="3" s="1"/>
  <c r="D470" i="3"/>
  <c r="E470" i="3" s="1"/>
  <c r="D173" i="3"/>
  <c r="E173" i="3" s="1"/>
  <c r="D177" i="3"/>
  <c r="E177" i="3" s="1"/>
  <c r="D238" i="3"/>
  <c r="E238" i="3" s="1"/>
  <c r="D480" i="3"/>
  <c r="E480" i="3" s="1"/>
  <c r="D147" i="3"/>
  <c r="E147" i="3" s="1"/>
  <c r="D440" i="3"/>
  <c r="E440" i="3" s="1"/>
  <c r="D534" i="3"/>
  <c r="E534" i="3" s="1"/>
  <c r="D321" i="3"/>
  <c r="E321" i="3" s="1"/>
  <c r="D204" i="3"/>
  <c r="E204" i="3" s="1"/>
  <c r="D585" i="3"/>
  <c r="E585" i="3" s="1"/>
  <c r="D352" i="3"/>
  <c r="E352" i="3" s="1"/>
  <c r="D236" i="3"/>
  <c r="E236" i="3" s="1"/>
  <c r="D124" i="3"/>
  <c r="E124" i="3" s="1"/>
  <c r="D380" i="3"/>
  <c r="E380" i="3" s="1"/>
  <c r="D412" i="3"/>
  <c r="E412" i="3" s="1"/>
  <c r="D443" i="3"/>
  <c r="E443" i="3" s="1"/>
  <c r="D270" i="3"/>
  <c r="E270" i="3" s="1"/>
  <c r="D459" i="3"/>
  <c r="E459" i="3" s="1"/>
  <c r="D203" i="3"/>
  <c r="E203" i="3" s="1"/>
  <c r="D134" i="3"/>
  <c r="E134" i="3" s="1"/>
  <c r="D529" i="3"/>
  <c r="E529" i="3" s="1"/>
  <c r="D85" i="3"/>
  <c r="E85" i="3" s="1"/>
  <c r="D107" i="3"/>
  <c r="E107" i="3" s="1"/>
  <c r="D117" i="3"/>
  <c r="E117" i="3" s="1"/>
  <c r="D2" i="3"/>
  <c r="E2" i="3" s="1"/>
  <c r="D516" i="3"/>
  <c r="D25" i="3"/>
  <c r="E25" i="3" s="1"/>
  <c r="D254" i="3"/>
  <c r="E254" i="3" s="1"/>
  <c r="D23" i="3"/>
  <c r="D358" i="3"/>
  <c r="D193" i="3"/>
  <c r="E193" i="3" s="1"/>
  <c r="D477" i="3"/>
  <c r="E477" i="3" s="1"/>
  <c r="D497" i="3"/>
  <c r="E497" i="3" s="1"/>
  <c r="D273" i="3"/>
  <c r="E273" i="3" s="1"/>
  <c r="D509" i="3"/>
  <c r="E509" i="3" s="1"/>
  <c r="D360" i="3"/>
  <c r="E360" i="3" s="1"/>
  <c r="D471" i="3"/>
  <c r="E471" i="3" s="1"/>
  <c r="D576" i="3"/>
  <c r="D528" i="3"/>
  <c r="E528" i="3" s="1"/>
  <c r="D156" i="3"/>
  <c r="E156" i="3" s="1"/>
  <c r="D479" i="3"/>
  <c r="E479" i="3" s="1"/>
  <c r="D333" i="3"/>
  <c r="E333" i="3" s="1"/>
  <c r="D7" i="3"/>
  <c r="E7" i="3" s="1"/>
  <c r="D345" i="3"/>
  <c r="E345" i="3" s="1"/>
  <c r="D486" i="3"/>
  <c r="E486" i="3" s="1"/>
  <c r="D17" i="3"/>
  <c r="E17" i="3" s="1"/>
  <c r="D33" i="3"/>
  <c r="E33" i="3" s="1"/>
  <c r="D69" i="3"/>
  <c r="E69" i="3" s="1"/>
  <c r="D253" i="3"/>
  <c r="E253" i="3" s="1"/>
  <c r="D466" i="3"/>
  <c r="D166" i="3"/>
  <c r="E166" i="3" s="1"/>
  <c r="D411" i="3"/>
  <c r="E411" i="3" s="1"/>
  <c r="D196" i="3"/>
  <c r="E196" i="3" s="1"/>
  <c r="D239" i="3"/>
  <c r="E239" i="3" s="1"/>
  <c r="D292" i="3"/>
  <c r="E292" i="3" s="1"/>
  <c r="D302" i="3"/>
  <c r="E302" i="3" s="1"/>
  <c r="D75" i="3"/>
  <c r="E75" i="3" s="1"/>
  <c r="D174" i="3"/>
  <c r="E174" i="3" s="1"/>
  <c r="D226" i="3"/>
  <c r="E226" i="3" s="1"/>
  <c r="D165" i="3"/>
  <c r="E165" i="3" s="1"/>
  <c r="D533" i="3"/>
  <c r="E533" i="3" s="1"/>
  <c r="D282" i="3"/>
  <c r="E282" i="3" s="1"/>
  <c r="D472" i="3"/>
  <c r="E472" i="3" s="1"/>
  <c r="D523" i="3"/>
  <c r="E523" i="3" s="1"/>
  <c r="D296" i="3"/>
  <c r="D232" i="3"/>
  <c r="E232" i="3" s="1"/>
  <c r="D558" i="3"/>
  <c r="E558" i="3" s="1"/>
  <c r="D266" i="3"/>
  <c r="E266" i="3" s="1"/>
  <c r="D369" i="3"/>
  <c r="E369" i="3" s="1"/>
  <c r="D46" i="3"/>
  <c r="E46" i="3" s="1"/>
  <c r="D115" i="3"/>
  <c r="E115" i="3" s="1"/>
  <c r="D99" i="3"/>
  <c r="E99" i="3" s="1"/>
  <c r="D515" i="3"/>
  <c r="E515" i="3" s="1"/>
  <c r="D149" i="3"/>
  <c r="E149" i="3" s="1"/>
  <c r="D374" i="3"/>
  <c r="E374" i="3" s="1"/>
  <c r="D298" i="3"/>
  <c r="E298" i="3" s="1"/>
  <c r="D268" i="3"/>
  <c r="E268" i="3" s="1"/>
  <c r="D131" i="3"/>
  <c r="E131" i="3" s="1"/>
  <c r="D95" i="3"/>
  <c r="E95" i="3" s="1"/>
  <c r="D532" i="3"/>
  <c r="E532" i="3" s="1"/>
  <c r="D66" i="3"/>
  <c r="E66" i="3" s="1"/>
  <c r="D331" i="3"/>
  <c r="E331" i="3" s="1"/>
  <c r="D574" i="3"/>
  <c r="E574" i="3" s="1"/>
  <c r="D355" i="3"/>
  <c r="E355" i="3" s="1"/>
  <c r="D382" i="3"/>
  <c r="E382" i="3" s="1"/>
  <c r="D547" i="3"/>
  <c r="D314" i="3"/>
  <c r="E314" i="3" s="1"/>
  <c r="D167" i="3"/>
  <c r="E167" i="3" s="1"/>
  <c r="D137" i="3"/>
  <c r="E137" i="3" s="1"/>
  <c r="D319" i="3"/>
  <c r="E319" i="3" s="1"/>
  <c r="D90" i="3"/>
  <c r="E90" i="3" s="1"/>
  <c r="D219" i="3"/>
  <c r="E219" i="3" s="1"/>
  <c r="D40" i="3"/>
  <c r="E40" i="3" s="1"/>
  <c r="D217" i="3"/>
  <c r="E217" i="3" s="1"/>
  <c r="D301" i="3"/>
  <c r="E301" i="3" s="1"/>
  <c r="D554" i="3"/>
  <c r="E554" i="3" s="1"/>
  <c r="D560" i="3"/>
  <c r="E560" i="3" s="1"/>
  <c r="D272" i="3"/>
  <c r="E272" i="3" s="1"/>
  <c r="D96" i="3"/>
  <c r="E96" i="3" s="1"/>
  <c r="D251" i="3"/>
  <c r="E251" i="3" s="1"/>
  <c r="D414" i="3"/>
  <c r="E414" i="3" s="1"/>
  <c r="D372" i="3"/>
  <c r="D346" i="3"/>
  <c r="E346" i="3" s="1"/>
  <c r="D425" i="3"/>
  <c r="E425" i="3" s="1"/>
  <c r="D537" i="3"/>
  <c r="E537" i="3" s="1"/>
  <c r="D484" i="3"/>
  <c r="E484" i="3" s="1"/>
  <c r="D461" i="3"/>
  <c r="E461" i="3" s="1"/>
  <c r="D30" i="3"/>
  <c r="E30" i="3" s="1"/>
  <c r="D454" i="3"/>
  <c r="E454" i="3" s="1"/>
  <c r="D417" i="3"/>
  <c r="E417" i="3" s="1"/>
  <c r="D511" i="3"/>
  <c r="E511" i="3" s="1"/>
  <c r="D87" i="3"/>
  <c r="E87" i="3" s="1"/>
  <c r="D84" i="3"/>
  <c r="E84" i="3" s="1"/>
  <c r="D313" i="3"/>
  <c r="E313" i="3" s="1"/>
  <c r="D450" i="3"/>
  <c r="E450" i="3" s="1"/>
  <c r="D468" i="3"/>
  <c r="E468" i="3" s="1"/>
  <c r="D351" i="3"/>
  <c r="E351" i="3" s="1"/>
  <c r="D348" i="3"/>
  <c r="E348" i="3" s="1"/>
  <c r="D164" i="3"/>
  <c r="E164" i="3" s="1"/>
  <c r="D349" i="3"/>
  <c r="E349" i="3" s="1"/>
  <c r="D182" i="3"/>
  <c r="E182" i="3" s="1"/>
  <c r="D496" i="3"/>
  <c r="E496" i="3" s="1"/>
  <c r="D6" i="3"/>
  <c r="E6" i="3" s="1"/>
  <c r="D551" i="3"/>
  <c r="E551" i="3" s="1"/>
  <c r="D539" i="3"/>
  <c r="E539" i="3" s="1"/>
  <c r="D419" i="3"/>
  <c r="E419" i="3" s="1"/>
  <c r="D29" i="3"/>
  <c r="E29" i="3" s="1"/>
  <c r="D308" i="3"/>
  <c r="E308" i="3" s="1"/>
  <c r="D295" i="3"/>
  <c r="E295" i="3" s="1"/>
  <c r="D591" i="3"/>
  <c r="E591" i="3" s="1"/>
  <c r="D68" i="3"/>
  <c r="E68" i="3" s="1"/>
  <c r="D283" i="3"/>
  <c r="E283" i="3" s="1"/>
  <c r="D514" i="3"/>
  <c r="E514" i="3" s="1"/>
  <c r="D277" i="3"/>
  <c r="E277" i="3" s="1"/>
  <c r="D326" i="3"/>
  <c r="E326" i="3" s="1"/>
  <c r="D339" i="3"/>
  <c r="E339" i="3" s="1"/>
  <c r="D494" i="3"/>
  <c r="E494" i="3" s="1"/>
  <c r="D520" i="3"/>
  <c r="E520" i="3" s="1"/>
  <c r="D183" i="3"/>
  <c r="E183" i="3" s="1"/>
  <c r="D482" i="3"/>
  <c r="E482" i="3" s="1"/>
  <c r="D52" i="3"/>
  <c r="E52" i="3" s="1"/>
  <c r="D83" i="3"/>
  <c r="E83" i="3" s="1"/>
  <c r="D424" i="3"/>
  <c r="E424" i="3" s="1"/>
  <c r="D261" i="3"/>
  <c r="E261" i="3" s="1"/>
  <c r="D583" i="3"/>
  <c r="E583" i="3" s="1"/>
  <c r="D81" i="3"/>
  <c r="E81" i="3" s="1"/>
  <c r="D305" i="3"/>
  <c r="E305" i="3" s="1"/>
  <c r="D152" i="3"/>
  <c r="D569" i="3"/>
  <c r="E569" i="3" s="1"/>
  <c r="D223" i="3"/>
  <c r="E223" i="3" s="1"/>
  <c r="D448" i="3"/>
  <c r="E448" i="3" s="1"/>
  <c r="D575" i="3"/>
  <c r="E575" i="3" s="1"/>
  <c r="D499" i="3"/>
  <c r="E499" i="3" s="1"/>
  <c r="D185" i="3"/>
  <c r="E185" i="3" s="1"/>
  <c r="D263" i="3"/>
  <c r="E263" i="3" s="1"/>
  <c r="D82" i="3"/>
  <c r="E82" i="3" s="1"/>
  <c r="D60" i="3"/>
  <c r="E60" i="3" s="1"/>
  <c r="D446" i="3"/>
  <c r="E446" i="3" s="1"/>
  <c r="D116" i="3"/>
  <c r="E116" i="3" s="1"/>
  <c r="D452" i="3"/>
  <c r="E452" i="3" s="1"/>
  <c r="D216" i="3"/>
  <c r="E216" i="3" s="1"/>
  <c r="D111" i="3"/>
  <c r="E111" i="3" s="1"/>
  <c r="D80" i="3"/>
  <c r="E80" i="3" s="1"/>
  <c r="D320" i="3"/>
  <c r="E320" i="3" s="1"/>
  <c r="D524" i="3"/>
  <c r="E524" i="3" s="1"/>
  <c r="D475" i="3"/>
  <c r="E475" i="3" s="1"/>
  <c r="D391" i="3"/>
  <c r="E391" i="3" s="1"/>
  <c r="D64" i="3"/>
  <c r="E64" i="3" s="1"/>
  <c r="D265" i="3"/>
  <c r="E265" i="3" s="1"/>
  <c r="D527" i="3"/>
  <c r="E527" i="3" s="1"/>
  <c r="D464" i="3"/>
  <c r="E464" i="3" s="1"/>
  <c r="D244" i="3"/>
  <c r="E244" i="3" s="1"/>
  <c r="D389" i="3"/>
  <c r="E389" i="3" s="1"/>
  <c r="D297" i="3"/>
  <c r="D101" i="3"/>
  <c r="E101" i="3" s="1"/>
  <c r="D513" i="3"/>
  <c r="E513" i="3" s="1"/>
  <c r="D584" i="3"/>
  <c r="E584" i="3" s="1"/>
  <c r="D367" i="3"/>
  <c r="E367" i="3" s="1"/>
  <c r="D58" i="3"/>
  <c r="E58" i="3" s="1"/>
  <c r="D404" i="3"/>
  <c r="E404" i="3" s="1"/>
  <c r="D39" i="3"/>
  <c r="E39" i="3" s="1"/>
  <c r="D114" i="3"/>
  <c r="E114" i="3" s="1"/>
  <c r="D125" i="3"/>
  <c r="E125" i="3" s="1"/>
  <c r="D161" i="3"/>
  <c r="E161" i="3" s="1"/>
  <c r="D546" i="3"/>
  <c r="E546" i="3" s="1"/>
  <c r="D252" i="3"/>
  <c r="E252" i="3" s="1"/>
  <c r="D54" i="3"/>
  <c r="E54" i="3" s="1"/>
  <c r="D237" i="3"/>
  <c r="E237" i="3" s="1"/>
  <c r="D245" i="3"/>
  <c r="E245" i="3" s="1"/>
  <c r="D317" i="3"/>
  <c r="E317" i="3" s="1"/>
  <c r="D259" i="3"/>
  <c r="E259" i="3" s="1"/>
  <c r="D73" i="3"/>
  <c r="E73" i="3" s="1"/>
  <c r="D400" i="3"/>
  <c r="E400" i="3" s="1"/>
  <c r="D371" i="3"/>
  <c r="E371" i="3" s="1"/>
  <c r="D521" i="3"/>
  <c r="E521" i="3" s="1"/>
  <c r="D441" i="3"/>
  <c r="E441" i="3" s="1"/>
  <c r="D227" i="3"/>
  <c r="D437" i="3"/>
  <c r="E437" i="3" s="1"/>
  <c r="D151" i="3"/>
  <c r="E151" i="3" s="1"/>
  <c r="D141" i="3"/>
  <c r="E141" i="3" s="1"/>
  <c r="D72" i="3"/>
  <c r="E72" i="3" s="1"/>
  <c r="D86" i="3"/>
  <c r="E86" i="3" s="1"/>
  <c r="D291" i="3"/>
  <c r="E291" i="3" s="1"/>
  <c r="D526" i="3"/>
  <c r="E526" i="3" s="1"/>
  <c r="D432" i="3"/>
  <c r="E432" i="3" s="1"/>
  <c r="D260" i="3"/>
  <c r="E260" i="3" s="1"/>
  <c r="D377" i="3"/>
  <c r="E377" i="3" s="1"/>
  <c r="D294" i="3"/>
  <c r="E294" i="3" s="1"/>
  <c r="D168" i="3"/>
  <c r="E168" i="3" s="1"/>
  <c r="D284" i="3"/>
  <c r="E284" i="3" s="1"/>
  <c r="D201" i="3"/>
  <c r="E201" i="3" s="1"/>
  <c r="D589" i="3"/>
  <c r="E589" i="3" s="1"/>
  <c r="D592" i="3"/>
  <c r="E592" i="3" s="1"/>
  <c r="D525" i="3"/>
  <c r="E525" i="3" s="1"/>
  <c r="D332" i="3"/>
  <c r="E332" i="3" s="1"/>
  <c r="D188" i="3"/>
  <c r="E188" i="3" s="1"/>
  <c r="D564" i="3"/>
  <c r="E564" i="3" s="1"/>
  <c r="D57" i="3"/>
  <c r="E57" i="3" s="1"/>
  <c r="D431" i="3"/>
  <c r="E431" i="3" s="1"/>
  <c r="D506" i="3"/>
  <c r="E506" i="3" s="1"/>
  <c r="D453" i="3"/>
  <c r="E453" i="3" s="1"/>
  <c r="D433" i="3"/>
  <c r="D241" i="3"/>
  <c r="E241" i="3" s="1"/>
  <c r="D530" i="3"/>
  <c r="E530" i="3" s="1"/>
  <c r="D396" i="3"/>
  <c r="E396" i="3" s="1"/>
  <c r="D487" i="3"/>
  <c r="E487" i="3" s="1"/>
  <c r="D542" i="3"/>
  <c r="E542" i="3" s="1"/>
  <c r="D535" i="3"/>
  <c r="E535" i="3" s="1"/>
  <c r="D233" i="3"/>
  <c r="E233" i="3" s="1"/>
  <c r="D206" i="3"/>
  <c r="E206" i="3" s="1"/>
  <c r="D257" i="3"/>
  <c r="E257" i="3" s="1"/>
  <c r="D315" i="3"/>
  <c r="E315" i="3" s="1"/>
  <c r="D92" i="3"/>
  <c r="E92" i="3" s="1"/>
  <c r="D387" i="3"/>
  <c r="E387" i="3" s="1"/>
  <c r="D316" i="3"/>
  <c r="E316" i="3" s="1"/>
  <c r="D456" i="3"/>
  <c r="E456" i="3" s="1"/>
  <c r="D531" i="3"/>
  <c r="E531" i="3" s="1"/>
  <c r="D103" i="3"/>
  <c r="E103" i="3" s="1"/>
  <c r="D495" i="3"/>
  <c r="E495" i="3" s="1"/>
  <c r="D384" i="3"/>
  <c r="E384" i="3" s="1"/>
  <c r="D312" i="3"/>
  <c r="E312" i="3" s="1"/>
  <c r="D445" i="3"/>
  <c r="E445" i="3" s="1"/>
  <c r="D340" i="3"/>
  <c r="E340" i="3" s="1"/>
  <c r="D230" i="3"/>
  <c r="E230" i="3" s="1"/>
  <c r="D580" i="3"/>
  <c r="E580" i="3" s="1"/>
  <c r="D403" i="3"/>
  <c r="E403" i="3" s="1"/>
  <c r="D578" i="3"/>
  <c r="E578" i="3" s="1"/>
  <c r="D323" i="3"/>
  <c r="E323" i="3" s="1"/>
  <c r="D483" i="3"/>
  <c r="E483" i="3" s="1"/>
  <c r="D430" i="3"/>
  <c r="E430" i="3" s="1"/>
  <c r="D540" i="3"/>
  <c r="E540" i="3" s="1"/>
  <c r="D415" i="3"/>
  <c r="E415" i="3" s="1"/>
  <c r="D501" i="3"/>
  <c r="E501" i="3" s="1"/>
  <c r="D353" i="3"/>
  <c r="E353" i="3" s="1"/>
  <c r="D194" i="3"/>
  <c r="E194" i="3" s="1"/>
  <c r="D130" i="3"/>
  <c r="E130" i="3" s="1"/>
  <c r="D246" i="3"/>
  <c r="E246" i="3" s="1"/>
  <c r="D465" i="3"/>
  <c r="D375" i="3"/>
  <c r="E375" i="3" s="1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E709" i="2"/>
  <c r="F709" i="2" s="1"/>
  <c r="E710" i="2"/>
  <c r="F710" i="2" s="1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E717" i="2"/>
  <c r="F717" i="2" s="1"/>
  <c r="E718" i="2"/>
  <c r="F718" i="2" s="1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E725" i="2"/>
  <c r="F725" i="2" s="1"/>
  <c r="E726" i="2"/>
  <c r="F726" i="2" s="1"/>
  <c r="E727" i="2"/>
  <c r="F727" i="2" s="1"/>
  <c r="E728" i="2"/>
  <c r="F728" i="2" s="1"/>
  <c r="E729" i="2"/>
  <c r="F729" i="2" s="1"/>
  <c r="E730" i="2"/>
  <c r="F730" i="2" s="1"/>
  <c r="E731" i="2"/>
  <c r="F731" i="2" s="1"/>
  <c r="E732" i="2"/>
  <c r="F732" i="2" s="1"/>
  <c r="E733" i="2"/>
  <c r="F733" i="2" s="1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F739" i="2" s="1"/>
  <c r="E740" i="2"/>
  <c r="F740" i="2" s="1"/>
  <c r="E741" i="2"/>
  <c r="F741" i="2" s="1"/>
  <c r="E742" i="2"/>
  <c r="F742" i="2" s="1"/>
  <c r="E743" i="2"/>
  <c r="F743" i="2" s="1"/>
  <c r="E744" i="2"/>
  <c r="F744" i="2" s="1"/>
  <c r="E745" i="2"/>
  <c r="F745" i="2" s="1"/>
  <c r="E746" i="2"/>
  <c r="F746" i="2" s="1"/>
  <c r="E747" i="2"/>
  <c r="F747" i="2" s="1"/>
  <c r="E748" i="2"/>
  <c r="F748" i="2" s="1"/>
  <c r="E749" i="2"/>
  <c r="F749" i="2" s="1"/>
  <c r="E750" i="2"/>
  <c r="F750" i="2" s="1"/>
  <c r="E751" i="2"/>
  <c r="F751" i="2" s="1"/>
  <c r="E752" i="2"/>
  <c r="F752" i="2" s="1"/>
  <c r="E753" i="2"/>
  <c r="F753" i="2" s="1"/>
  <c r="E754" i="2"/>
  <c r="F754" i="2" s="1"/>
  <c r="E755" i="2"/>
  <c r="F755" i="2" s="1"/>
  <c r="E756" i="2"/>
  <c r="F756" i="2" s="1"/>
  <c r="E757" i="2"/>
  <c r="F757" i="2" s="1"/>
  <c r="E758" i="2"/>
  <c r="F758" i="2" s="1"/>
  <c r="E759" i="2"/>
  <c r="F759" i="2" s="1"/>
  <c r="E760" i="2"/>
  <c r="F760" i="2" s="1"/>
  <c r="E761" i="2"/>
  <c r="F761" i="2" s="1"/>
  <c r="E762" i="2"/>
  <c r="F762" i="2" s="1"/>
  <c r="E763" i="2"/>
  <c r="F763" i="2" s="1"/>
  <c r="E764" i="2"/>
  <c r="F764" i="2" s="1"/>
  <c r="E765" i="2"/>
  <c r="F765" i="2" s="1"/>
  <c r="E766" i="2"/>
  <c r="F766" i="2" s="1"/>
  <c r="E767" i="2"/>
  <c r="F767" i="2" s="1"/>
  <c r="E768" i="2"/>
  <c r="F768" i="2" s="1"/>
  <c r="E769" i="2"/>
  <c r="F769" i="2" s="1"/>
  <c r="E770" i="2"/>
  <c r="F770" i="2" s="1"/>
  <c r="E771" i="2"/>
  <c r="F771" i="2" s="1"/>
  <c r="E772" i="2"/>
  <c r="F772" i="2" s="1"/>
  <c r="E773" i="2"/>
  <c r="F773" i="2" s="1"/>
  <c r="E774" i="2"/>
  <c r="F774" i="2" s="1"/>
  <c r="E775" i="2"/>
  <c r="F775" i="2" s="1"/>
  <c r="E776" i="2"/>
  <c r="F776" i="2" s="1"/>
  <c r="E777" i="2"/>
  <c r="F777" i="2" s="1"/>
  <c r="E778" i="2"/>
  <c r="F778" i="2" s="1"/>
  <c r="E779" i="2"/>
  <c r="F779" i="2" s="1"/>
  <c r="E780" i="2"/>
  <c r="F780" i="2" s="1"/>
  <c r="E781" i="2"/>
  <c r="F781" i="2" s="1"/>
  <c r="E782" i="2"/>
  <c r="F782" i="2" s="1"/>
  <c r="E783" i="2"/>
  <c r="F783" i="2" s="1"/>
  <c r="E784" i="2"/>
  <c r="F784" i="2" s="1"/>
  <c r="E785" i="2"/>
  <c r="F785" i="2" s="1"/>
  <c r="E786" i="2"/>
  <c r="F786" i="2" s="1"/>
  <c r="E787" i="2"/>
  <c r="F787" i="2" s="1"/>
  <c r="E788" i="2"/>
  <c r="F788" i="2" s="1"/>
  <c r="E789" i="2"/>
  <c r="F789" i="2" s="1"/>
  <c r="E790" i="2"/>
  <c r="F790" i="2" s="1"/>
  <c r="E791" i="2"/>
  <c r="F791" i="2" s="1"/>
  <c r="E792" i="2"/>
  <c r="F792" i="2" s="1"/>
  <c r="E793" i="2"/>
  <c r="F793" i="2" s="1"/>
  <c r="E794" i="2"/>
  <c r="F794" i="2" s="1"/>
  <c r="E795" i="2"/>
  <c r="F795" i="2" s="1"/>
  <c r="E796" i="2"/>
  <c r="F796" i="2" s="1"/>
  <c r="E797" i="2"/>
  <c r="F797" i="2" s="1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F803" i="2" s="1"/>
  <c r="E804" i="2"/>
  <c r="F804" i="2" s="1"/>
  <c r="E805" i="2"/>
  <c r="F805" i="2" s="1"/>
  <c r="E806" i="2"/>
  <c r="F806" i="2" s="1"/>
  <c r="E807" i="2"/>
  <c r="F807" i="2" s="1"/>
  <c r="E808" i="2"/>
  <c r="F808" i="2" s="1"/>
  <c r="E809" i="2"/>
  <c r="F809" i="2" s="1"/>
  <c r="E810" i="2"/>
  <c r="F810" i="2" s="1"/>
  <c r="E811" i="2"/>
  <c r="F811" i="2" s="1"/>
  <c r="E812" i="2"/>
  <c r="F812" i="2" s="1"/>
  <c r="E813" i="2"/>
  <c r="F813" i="2" s="1"/>
  <c r="E814" i="2"/>
  <c r="F814" i="2" s="1"/>
  <c r="E815" i="2"/>
  <c r="F815" i="2" s="1"/>
  <c r="E816" i="2"/>
  <c r="F816" i="2" s="1"/>
  <c r="E817" i="2"/>
  <c r="F817" i="2" s="1"/>
  <c r="E818" i="2"/>
  <c r="F818" i="2" s="1"/>
  <c r="E819" i="2"/>
  <c r="F819" i="2" s="1"/>
  <c r="E820" i="2"/>
  <c r="F820" i="2" s="1"/>
  <c r="E821" i="2"/>
  <c r="F821" i="2" s="1"/>
  <c r="E822" i="2"/>
  <c r="F822" i="2" s="1"/>
  <c r="E823" i="2"/>
  <c r="F823" i="2" s="1"/>
  <c r="E824" i="2"/>
  <c r="F824" i="2" s="1"/>
  <c r="E825" i="2"/>
  <c r="F825" i="2" s="1"/>
  <c r="E826" i="2"/>
  <c r="F826" i="2" s="1"/>
  <c r="E827" i="2"/>
  <c r="F827" i="2" s="1"/>
  <c r="E828" i="2"/>
  <c r="F828" i="2" s="1"/>
  <c r="E829" i="2"/>
  <c r="F829" i="2" s="1"/>
  <c r="E830" i="2"/>
  <c r="F830" i="2" s="1"/>
  <c r="E831" i="2"/>
  <c r="F831" i="2" s="1"/>
  <c r="E832" i="2"/>
  <c r="F832" i="2" s="1"/>
  <c r="E833" i="2"/>
  <c r="F833" i="2" s="1"/>
  <c r="E834" i="2"/>
  <c r="F834" i="2" s="1"/>
  <c r="E835" i="2"/>
  <c r="F835" i="2" s="1"/>
  <c r="E836" i="2"/>
  <c r="F836" i="2" s="1"/>
  <c r="E837" i="2"/>
  <c r="F837" i="2" s="1"/>
  <c r="E838" i="2"/>
  <c r="F838" i="2" s="1"/>
  <c r="E839" i="2"/>
  <c r="F839" i="2" s="1"/>
  <c r="E840" i="2"/>
  <c r="F840" i="2" s="1"/>
  <c r="E841" i="2"/>
  <c r="F841" i="2" s="1"/>
  <c r="E842" i="2"/>
  <c r="F842" i="2" s="1"/>
  <c r="E843" i="2"/>
  <c r="F843" i="2" s="1"/>
  <c r="E844" i="2"/>
  <c r="F844" i="2" s="1"/>
  <c r="E845" i="2"/>
  <c r="F845" i="2" s="1"/>
  <c r="E846" i="2"/>
  <c r="F846" i="2" s="1"/>
  <c r="E847" i="2"/>
  <c r="F847" i="2" s="1"/>
  <c r="E848" i="2"/>
  <c r="F848" i="2" s="1"/>
  <c r="E849" i="2"/>
  <c r="F849" i="2" s="1"/>
  <c r="E850" i="2"/>
  <c r="F850" i="2" s="1"/>
  <c r="E851" i="2"/>
  <c r="F851" i="2" s="1"/>
  <c r="E852" i="2"/>
  <c r="F852" i="2" s="1"/>
  <c r="E853" i="2"/>
  <c r="F853" i="2" s="1"/>
  <c r="E854" i="2"/>
  <c r="F854" i="2" s="1"/>
  <c r="E855" i="2"/>
  <c r="F855" i="2" s="1"/>
  <c r="E856" i="2"/>
  <c r="F856" i="2" s="1"/>
  <c r="E857" i="2"/>
  <c r="F857" i="2" s="1"/>
  <c r="E858" i="2"/>
  <c r="F858" i="2" s="1"/>
  <c r="E859" i="2"/>
  <c r="F859" i="2" s="1"/>
  <c r="E860" i="2"/>
  <c r="F860" i="2" s="1"/>
  <c r="E861" i="2"/>
  <c r="F861" i="2" s="1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F867" i="2" s="1"/>
  <c r="E868" i="2"/>
  <c r="F868" i="2" s="1"/>
  <c r="E869" i="2"/>
  <c r="F869" i="2" s="1"/>
  <c r="E870" i="2"/>
  <c r="F870" i="2" s="1"/>
  <c r="E871" i="2"/>
  <c r="F871" i="2" s="1"/>
  <c r="E872" i="2"/>
  <c r="F872" i="2" s="1"/>
  <c r="E873" i="2"/>
  <c r="F873" i="2" s="1"/>
  <c r="E874" i="2"/>
  <c r="F874" i="2" s="1"/>
  <c r="E875" i="2"/>
  <c r="F875" i="2" s="1"/>
  <c r="E876" i="2"/>
  <c r="F876" i="2" s="1"/>
  <c r="E877" i="2"/>
  <c r="F877" i="2" s="1"/>
  <c r="E878" i="2"/>
  <c r="F878" i="2" s="1"/>
  <c r="E879" i="2"/>
  <c r="F879" i="2" s="1"/>
  <c r="E880" i="2"/>
  <c r="F880" i="2" s="1"/>
  <c r="E881" i="2"/>
  <c r="F881" i="2" s="1"/>
  <c r="E882" i="2"/>
  <c r="F882" i="2" s="1"/>
  <c r="E883" i="2"/>
  <c r="F883" i="2" s="1"/>
  <c r="E884" i="2"/>
  <c r="F884" i="2" s="1"/>
  <c r="E885" i="2"/>
  <c r="F885" i="2" s="1"/>
  <c r="E886" i="2"/>
  <c r="F886" i="2" s="1"/>
  <c r="E887" i="2"/>
  <c r="F887" i="2" s="1"/>
  <c r="E888" i="2"/>
  <c r="F888" i="2" s="1"/>
  <c r="E889" i="2"/>
  <c r="F889" i="2" s="1"/>
  <c r="E890" i="2"/>
  <c r="F890" i="2" s="1"/>
  <c r="E891" i="2"/>
  <c r="F891" i="2" s="1"/>
  <c r="E892" i="2"/>
  <c r="F892" i="2" s="1"/>
  <c r="E893" i="2"/>
  <c r="F893" i="2" s="1"/>
  <c r="E894" i="2"/>
  <c r="F894" i="2" s="1"/>
  <c r="E895" i="2"/>
  <c r="F895" i="2" s="1"/>
  <c r="E896" i="2"/>
  <c r="F896" i="2" s="1"/>
  <c r="E897" i="2"/>
  <c r="F897" i="2" s="1"/>
  <c r="E898" i="2"/>
  <c r="F898" i="2" s="1"/>
  <c r="E899" i="2"/>
  <c r="F899" i="2" s="1"/>
  <c r="E900" i="2"/>
  <c r="F900" i="2" s="1"/>
  <c r="E901" i="2"/>
  <c r="F901" i="2" s="1"/>
  <c r="E902" i="2"/>
  <c r="F902" i="2" s="1"/>
  <c r="E903" i="2"/>
  <c r="F903" i="2" s="1"/>
  <c r="E904" i="2"/>
  <c r="F904" i="2" s="1"/>
  <c r="E905" i="2"/>
  <c r="F905" i="2" s="1"/>
  <c r="E906" i="2"/>
  <c r="F906" i="2" s="1"/>
  <c r="E907" i="2"/>
  <c r="F907" i="2" s="1"/>
  <c r="E908" i="2"/>
  <c r="F908" i="2" s="1"/>
  <c r="E909" i="2"/>
  <c r="F909" i="2" s="1"/>
  <c r="E910" i="2"/>
  <c r="F910" i="2" s="1"/>
  <c r="E911" i="2"/>
  <c r="F911" i="2" s="1"/>
  <c r="E912" i="2"/>
  <c r="F912" i="2" s="1"/>
  <c r="E913" i="2"/>
  <c r="F913" i="2" s="1"/>
  <c r="E914" i="2"/>
  <c r="F914" i="2" s="1"/>
  <c r="E915" i="2"/>
  <c r="F915" i="2" s="1"/>
  <c r="E916" i="2"/>
  <c r="F916" i="2" s="1"/>
  <c r="E917" i="2"/>
  <c r="F917" i="2" s="1"/>
  <c r="E918" i="2"/>
  <c r="F918" i="2" s="1"/>
  <c r="E919" i="2"/>
  <c r="F919" i="2" s="1"/>
  <c r="E920" i="2"/>
  <c r="F920" i="2" s="1"/>
  <c r="E921" i="2"/>
  <c r="F921" i="2" s="1"/>
  <c r="E922" i="2"/>
  <c r="F922" i="2" s="1"/>
  <c r="E923" i="2"/>
  <c r="F923" i="2" s="1"/>
  <c r="E924" i="2"/>
  <c r="F924" i="2" s="1"/>
  <c r="E925" i="2"/>
  <c r="F925" i="2" s="1"/>
  <c r="E926" i="2"/>
  <c r="F926" i="2" s="1"/>
  <c r="E927" i="2"/>
  <c r="F927" i="2" s="1"/>
  <c r="E928" i="2"/>
  <c r="F928" i="2" s="1"/>
  <c r="E929" i="2"/>
  <c r="F929" i="2" s="1"/>
  <c r="E930" i="2"/>
  <c r="F930" i="2" s="1"/>
  <c r="E931" i="2"/>
  <c r="F931" i="2" s="1"/>
  <c r="E932" i="2"/>
  <c r="F932" i="2" s="1"/>
  <c r="E933" i="2"/>
  <c r="F933" i="2" s="1"/>
  <c r="E934" i="2"/>
  <c r="F934" i="2" s="1"/>
  <c r="E935" i="2"/>
  <c r="F935" i="2" s="1"/>
  <c r="E936" i="2"/>
  <c r="F936" i="2" s="1"/>
  <c r="E937" i="2"/>
  <c r="F937" i="2" s="1"/>
  <c r="E938" i="2"/>
  <c r="F938" i="2" s="1"/>
  <c r="E939" i="2"/>
  <c r="F939" i="2" s="1"/>
  <c r="E940" i="2"/>
  <c r="F940" i="2" s="1"/>
  <c r="E941" i="2"/>
  <c r="F941" i="2" s="1"/>
  <c r="E942" i="2"/>
  <c r="F942" i="2" s="1"/>
  <c r="E943" i="2"/>
  <c r="F943" i="2" s="1"/>
  <c r="E944" i="2"/>
  <c r="F944" i="2" s="1"/>
  <c r="E945" i="2"/>
  <c r="F945" i="2" s="1"/>
  <c r="E946" i="2"/>
  <c r="F946" i="2" s="1"/>
  <c r="E947" i="2"/>
  <c r="F947" i="2" s="1"/>
  <c r="E948" i="2"/>
  <c r="F948" i="2" s="1"/>
  <c r="E949" i="2"/>
  <c r="F949" i="2" s="1"/>
  <c r="E950" i="2"/>
  <c r="F950" i="2" s="1"/>
  <c r="E951" i="2"/>
  <c r="F951" i="2" s="1"/>
  <c r="E952" i="2"/>
  <c r="F952" i="2" s="1"/>
  <c r="E953" i="2"/>
  <c r="F953" i="2" s="1"/>
  <c r="E954" i="2"/>
  <c r="F954" i="2" s="1"/>
  <c r="E955" i="2"/>
  <c r="F955" i="2" s="1"/>
  <c r="E956" i="2"/>
  <c r="F956" i="2" s="1"/>
  <c r="E957" i="2"/>
  <c r="F957" i="2" s="1"/>
  <c r="E958" i="2"/>
  <c r="F958" i="2" s="1"/>
  <c r="E959" i="2"/>
  <c r="F959" i="2" s="1"/>
  <c r="E960" i="2"/>
  <c r="F960" i="2" s="1"/>
  <c r="E961" i="2"/>
  <c r="F961" i="2" s="1"/>
  <c r="E962" i="2"/>
  <c r="F962" i="2" s="1"/>
  <c r="E963" i="2"/>
  <c r="F963" i="2" s="1"/>
  <c r="E964" i="2"/>
  <c r="F964" i="2" s="1"/>
  <c r="E965" i="2"/>
  <c r="F965" i="2" s="1"/>
  <c r="E966" i="2"/>
  <c r="F966" i="2" s="1"/>
  <c r="E967" i="2"/>
  <c r="F967" i="2" s="1"/>
  <c r="E968" i="2"/>
  <c r="F968" i="2" s="1"/>
  <c r="E969" i="2"/>
  <c r="F969" i="2" s="1"/>
  <c r="E970" i="2"/>
  <c r="F970" i="2" s="1"/>
  <c r="E971" i="2"/>
  <c r="F971" i="2" s="1"/>
  <c r="E972" i="2"/>
  <c r="F972" i="2" s="1"/>
  <c r="E973" i="2"/>
  <c r="F973" i="2" s="1"/>
  <c r="E974" i="2"/>
  <c r="F974" i="2" s="1"/>
  <c r="E975" i="2"/>
  <c r="F975" i="2" s="1"/>
  <c r="E976" i="2"/>
  <c r="F976" i="2" s="1"/>
  <c r="E977" i="2"/>
  <c r="F977" i="2" s="1"/>
  <c r="E978" i="2"/>
  <c r="F978" i="2" s="1"/>
  <c r="E979" i="2"/>
  <c r="F979" i="2" s="1"/>
  <c r="E980" i="2"/>
  <c r="F980" i="2" s="1"/>
  <c r="E981" i="2"/>
  <c r="F981" i="2" s="1"/>
  <c r="E982" i="2"/>
  <c r="F982" i="2" s="1"/>
  <c r="E983" i="2"/>
  <c r="F983" i="2" s="1"/>
  <c r="E984" i="2"/>
  <c r="F984" i="2" s="1"/>
  <c r="E985" i="2"/>
  <c r="F985" i="2" s="1"/>
  <c r="E986" i="2"/>
  <c r="F986" i="2" s="1"/>
  <c r="E987" i="2"/>
  <c r="F987" i="2" s="1"/>
  <c r="E988" i="2"/>
  <c r="F988" i="2" s="1"/>
  <c r="E989" i="2"/>
  <c r="F989" i="2" s="1"/>
  <c r="E990" i="2"/>
  <c r="F990" i="2" s="1"/>
  <c r="E991" i="2"/>
  <c r="F991" i="2" s="1"/>
  <c r="E992" i="2"/>
  <c r="F992" i="2" s="1"/>
  <c r="E993" i="2"/>
  <c r="F993" i="2" s="1"/>
  <c r="E994" i="2"/>
  <c r="F994" i="2" s="1"/>
  <c r="E995" i="2"/>
  <c r="F995" i="2" s="1"/>
  <c r="E996" i="2"/>
  <c r="F996" i="2" s="1"/>
  <c r="E997" i="2"/>
  <c r="F997" i="2" s="1"/>
  <c r="E998" i="2"/>
  <c r="F998" i="2" s="1"/>
  <c r="E999" i="2"/>
  <c r="F999" i="2" s="1"/>
  <c r="E1000" i="2"/>
  <c r="F1000" i="2" s="1"/>
  <c r="E1001" i="2"/>
  <c r="F1001" i="2" s="1"/>
  <c r="E1002" i="2"/>
  <c r="F1002" i="2" s="1"/>
  <c r="E1003" i="2"/>
  <c r="F1003" i="2" s="1"/>
  <c r="E1004" i="2"/>
  <c r="F1004" i="2" s="1"/>
  <c r="E1005" i="2"/>
  <c r="F1005" i="2" s="1"/>
  <c r="E1006" i="2"/>
  <c r="F1006" i="2" s="1"/>
  <c r="E1007" i="2"/>
  <c r="F1007" i="2" s="1"/>
  <c r="E1008" i="2"/>
  <c r="F1008" i="2" s="1"/>
  <c r="E1009" i="2"/>
  <c r="F1009" i="2" s="1"/>
  <c r="E1010" i="2"/>
  <c r="F1010" i="2" s="1"/>
  <c r="E1011" i="2"/>
  <c r="F1011" i="2" s="1"/>
  <c r="E1012" i="2"/>
  <c r="F1012" i="2" s="1"/>
  <c r="E1013" i="2"/>
  <c r="F1013" i="2" s="1"/>
  <c r="E1014" i="2"/>
  <c r="F1014" i="2" s="1"/>
  <c r="E1015" i="2"/>
  <c r="F1015" i="2" s="1"/>
  <c r="E1016" i="2"/>
  <c r="F1016" i="2" s="1"/>
  <c r="E1017" i="2"/>
  <c r="F1017" i="2" s="1"/>
  <c r="E1018" i="2"/>
  <c r="F1018" i="2" s="1"/>
  <c r="E1019" i="2"/>
  <c r="F1019" i="2" s="1"/>
  <c r="E1020" i="2"/>
  <c r="F1020" i="2" s="1"/>
  <c r="E1021" i="2"/>
  <c r="F1021" i="2" s="1"/>
  <c r="E1022" i="2"/>
  <c r="F1022" i="2" s="1"/>
  <c r="E1023" i="2"/>
  <c r="F1023" i="2" s="1"/>
  <c r="E1024" i="2"/>
  <c r="F1024" i="2" s="1"/>
  <c r="E1025" i="2"/>
  <c r="F1025" i="2" s="1"/>
  <c r="E1026" i="2"/>
  <c r="F1026" i="2" s="1"/>
  <c r="E1027" i="2"/>
  <c r="F1027" i="2" s="1"/>
  <c r="E1028" i="2"/>
  <c r="F1028" i="2" s="1"/>
  <c r="E1029" i="2"/>
  <c r="F1029" i="2" s="1"/>
  <c r="E1030" i="2"/>
  <c r="F1030" i="2" s="1"/>
  <c r="E1031" i="2"/>
  <c r="F1031" i="2" s="1"/>
  <c r="E1032" i="2"/>
  <c r="F1032" i="2" s="1"/>
  <c r="E1033" i="2"/>
  <c r="F1033" i="2" s="1"/>
  <c r="E1034" i="2"/>
  <c r="F1034" i="2" s="1"/>
  <c r="E1035" i="2"/>
  <c r="F1035" i="2" s="1"/>
  <c r="E1036" i="2"/>
  <c r="F1036" i="2" s="1"/>
  <c r="E1037" i="2"/>
  <c r="F1037" i="2" s="1"/>
  <c r="E1038" i="2"/>
  <c r="F1038" i="2" s="1"/>
  <c r="E1039" i="2"/>
  <c r="F1039" i="2" s="1"/>
  <c r="E1040" i="2"/>
  <c r="F1040" i="2" s="1"/>
  <c r="E1041" i="2"/>
  <c r="F1041" i="2" s="1"/>
  <c r="E1042" i="2"/>
  <c r="F1042" i="2" s="1"/>
  <c r="E1043" i="2"/>
  <c r="F1043" i="2" s="1"/>
  <c r="E1044" i="2"/>
  <c r="F1044" i="2" s="1"/>
  <c r="E1045" i="2"/>
  <c r="F1045" i="2" s="1"/>
  <c r="E1046" i="2"/>
  <c r="F1046" i="2" s="1"/>
  <c r="E1047" i="2"/>
  <c r="F1047" i="2" s="1"/>
  <c r="E1048" i="2"/>
  <c r="F1048" i="2" s="1"/>
  <c r="E1049" i="2"/>
  <c r="F1049" i="2" s="1"/>
  <c r="E1050" i="2"/>
  <c r="F1050" i="2" s="1"/>
  <c r="E1051" i="2"/>
  <c r="F1051" i="2" s="1"/>
  <c r="E1052" i="2"/>
  <c r="F1052" i="2" s="1"/>
  <c r="E1053" i="2"/>
  <c r="F1053" i="2" s="1"/>
  <c r="E1054" i="2"/>
  <c r="F1054" i="2" s="1"/>
  <c r="E1055" i="2"/>
  <c r="F1055" i="2" s="1"/>
  <c r="E1056" i="2"/>
  <c r="F1056" i="2" s="1"/>
  <c r="E1057" i="2"/>
  <c r="F1057" i="2" s="1"/>
  <c r="E1058" i="2"/>
  <c r="F1058" i="2" s="1"/>
  <c r="E1059" i="2"/>
  <c r="F1059" i="2" s="1"/>
  <c r="E1060" i="2"/>
  <c r="F1060" i="2" s="1"/>
  <c r="E1061" i="2"/>
  <c r="F1061" i="2" s="1"/>
  <c r="E1062" i="2"/>
  <c r="F1062" i="2" s="1"/>
  <c r="E1063" i="2"/>
  <c r="F1063" i="2" s="1"/>
  <c r="E1064" i="2"/>
  <c r="F1064" i="2" s="1"/>
  <c r="E1065" i="2"/>
  <c r="F1065" i="2" s="1"/>
  <c r="E1066" i="2"/>
  <c r="F1066" i="2" s="1"/>
  <c r="E1067" i="2"/>
  <c r="F1067" i="2" s="1"/>
  <c r="E1068" i="2"/>
  <c r="F1068" i="2" s="1"/>
  <c r="E1069" i="2"/>
  <c r="F1069" i="2" s="1"/>
  <c r="E1070" i="2"/>
  <c r="F1070" i="2" s="1"/>
  <c r="E1071" i="2"/>
  <c r="F1071" i="2" s="1"/>
  <c r="E1072" i="2"/>
  <c r="F1072" i="2" s="1"/>
  <c r="E1073" i="2"/>
  <c r="F1073" i="2" s="1"/>
  <c r="E1074" i="2"/>
  <c r="F1074" i="2" s="1"/>
  <c r="E1075" i="2"/>
  <c r="F1075" i="2" s="1"/>
  <c r="E1076" i="2"/>
  <c r="F1076" i="2" s="1"/>
  <c r="E1077" i="2"/>
  <c r="F1077" i="2" s="1"/>
  <c r="E1078" i="2"/>
  <c r="F1078" i="2" s="1"/>
  <c r="E1079" i="2"/>
  <c r="F1079" i="2" s="1"/>
  <c r="E1080" i="2"/>
  <c r="F1080" i="2" s="1"/>
  <c r="E1081" i="2"/>
  <c r="F1081" i="2" s="1"/>
  <c r="E1082" i="2"/>
  <c r="F1082" i="2" s="1"/>
  <c r="E1083" i="2"/>
  <c r="F1083" i="2" s="1"/>
  <c r="E1084" i="2"/>
  <c r="F1084" i="2" s="1"/>
  <c r="E1085" i="2"/>
  <c r="F1085" i="2" s="1"/>
  <c r="E1086" i="2"/>
  <c r="F1086" i="2" s="1"/>
  <c r="E1087" i="2"/>
  <c r="F1087" i="2" s="1"/>
  <c r="E1088" i="2"/>
  <c r="F1088" i="2" s="1"/>
  <c r="E1089" i="2"/>
  <c r="F1089" i="2" s="1"/>
  <c r="E1090" i="2"/>
  <c r="F1090" i="2" s="1"/>
  <c r="E1091" i="2"/>
  <c r="F1091" i="2" s="1"/>
  <c r="E1092" i="2"/>
  <c r="F1092" i="2" s="1"/>
  <c r="E1093" i="2"/>
  <c r="F1093" i="2" s="1"/>
  <c r="E1094" i="2"/>
  <c r="F1094" i="2" s="1"/>
  <c r="E1095" i="2"/>
  <c r="F1095" i="2" s="1"/>
  <c r="E1096" i="2"/>
  <c r="F1096" i="2" s="1"/>
  <c r="E1097" i="2"/>
  <c r="F1097" i="2" s="1"/>
  <c r="E1098" i="2"/>
  <c r="F1098" i="2" s="1"/>
  <c r="E1099" i="2"/>
  <c r="F1099" i="2" s="1"/>
  <c r="E1100" i="2"/>
  <c r="F1100" i="2" s="1"/>
  <c r="E1101" i="2"/>
  <c r="F1101" i="2" s="1"/>
  <c r="E1102" i="2"/>
  <c r="F1102" i="2" s="1"/>
  <c r="E1103" i="2"/>
  <c r="F1103" i="2" s="1"/>
  <c r="E1104" i="2"/>
  <c r="F1104" i="2" s="1"/>
  <c r="E1105" i="2"/>
  <c r="F1105" i="2" s="1"/>
  <c r="E1106" i="2"/>
  <c r="F1106" i="2" s="1"/>
  <c r="E1107" i="2"/>
  <c r="F1107" i="2" s="1"/>
  <c r="E1108" i="2"/>
  <c r="F1108" i="2" s="1"/>
  <c r="E1109" i="2"/>
  <c r="F1109" i="2" s="1"/>
  <c r="E1110" i="2"/>
  <c r="F1110" i="2" s="1"/>
  <c r="E1111" i="2"/>
  <c r="F1111" i="2" s="1"/>
  <c r="E1112" i="2"/>
  <c r="F1112" i="2" s="1"/>
  <c r="E1113" i="2"/>
  <c r="F1113" i="2" s="1"/>
  <c r="E1114" i="2"/>
  <c r="F1114" i="2" s="1"/>
  <c r="E1115" i="2"/>
  <c r="F1115" i="2" s="1"/>
  <c r="E1116" i="2"/>
  <c r="F1116" i="2" s="1"/>
  <c r="E1117" i="2"/>
  <c r="F1117" i="2" s="1"/>
  <c r="E1118" i="2"/>
  <c r="F1118" i="2" s="1"/>
  <c r="E1119" i="2"/>
  <c r="F1119" i="2" s="1"/>
  <c r="E1120" i="2"/>
  <c r="F1120" i="2" s="1"/>
  <c r="E1121" i="2"/>
  <c r="F1121" i="2" s="1"/>
  <c r="E1122" i="2"/>
  <c r="F1122" i="2" s="1"/>
  <c r="E1123" i="2"/>
  <c r="F1123" i="2" s="1"/>
  <c r="E1124" i="2"/>
  <c r="F1124" i="2" s="1"/>
  <c r="E1125" i="2"/>
  <c r="F1125" i="2" s="1"/>
  <c r="E1126" i="2"/>
  <c r="F1126" i="2" s="1"/>
  <c r="E1127" i="2"/>
  <c r="F1127" i="2" s="1"/>
  <c r="E1128" i="2"/>
  <c r="F1128" i="2" s="1"/>
  <c r="E1129" i="2"/>
  <c r="F1129" i="2" s="1"/>
  <c r="E1130" i="2"/>
  <c r="F1130" i="2" s="1"/>
  <c r="E1131" i="2"/>
  <c r="F1131" i="2" s="1"/>
  <c r="E1132" i="2"/>
  <c r="F1132" i="2" s="1"/>
  <c r="E1133" i="2"/>
  <c r="F1133" i="2" s="1"/>
  <c r="E1134" i="2"/>
  <c r="F1134" i="2" s="1"/>
  <c r="E1135" i="2"/>
  <c r="F1135" i="2" s="1"/>
  <c r="E1136" i="2"/>
  <c r="F1136" i="2" s="1"/>
  <c r="E1137" i="2"/>
  <c r="F1137" i="2" s="1"/>
  <c r="E1138" i="2"/>
  <c r="F1138" i="2" s="1"/>
  <c r="E1139" i="2"/>
  <c r="F1139" i="2" s="1"/>
  <c r="E1140" i="2"/>
  <c r="F1140" i="2" s="1"/>
  <c r="E1141" i="2"/>
  <c r="F1141" i="2" s="1"/>
  <c r="E1142" i="2"/>
  <c r="F1142" i="2" s="1"/>
  <c r="E1143" i="2"/>
  <c r="F1143" i="2" s="1"/>
  <c r="E1144" i="2"/>
  <c r="F1144" i="2" s="1"/>
  <c r="E1145" i="2"/>
  <c r="F1145" i="2" s="1"/>
  <c r="E1146" i="2"/>
  <c r="F1146" i="2" s="1"/>
  <c r="E1147" i="2"/>
  <c r="F1147" i="2" s="1"/>
  <c r="E1148" i="2"/>
  <c r="F1148" i="2" s="1"/>
  <c r="E1149" i="2"/>
  <c r="F1149" i="2" s="1"/>
  <c r="E1150" i="2"/>
  <c r="F1150" i="2" s="1"/>
  <c r="E1151" i="2"/>
  <c r="F1151" i="2" s="1"/>
  <c r="E1152" i="2"/>
  <c r="F1152" i="2" s="1"/>
  <c r="E1153" i="2"/>
  <c r="F1153" i="2" s="1"/>
  <c r="E1154" i="2"/>
  <c r="F1154" i="2" s="1"/>
  <c r="E1155" i="2"/>
  <c r="F1155" i="2" s="1"/>
  <c r="E1156" i="2"/>
  <c r="F1156" i="2" s="1"/>
  <c r="E1157" i="2"/>
  <c r="F1157" i="2" s="1"/>
  <c r="E1158" i="2"/>
  <c r="F1158" i="2" s="1"/>
  <c r="E1159" i="2"/>
  <c r="F1159" i="2" s="1"/>
  <c r="E1160" i="2"/>
  <c r="F1160" i="2" s="1"/>
  <c r="E1161" i="2"/>
  <c r="F1161" i="2" s="1"/>
  <c r="E1162" i="2"/>
  <c r="F1162" i="2" s="1"/>
  <c r="E1163" i="2"/>
  <c r="F1163" i="2" s="1"/>
  <c r="E1164" i="2"/>
  <c r="F1164" i="2" s="1"/>
  <c r="E1165" i="2"/>
  <c r="F1165" i="2" s="1"/>
  <c r="E1166" i="2"/>
  <c r="F1166" i="2" s="1"/>
  <c r="E1167" i="2"/>
  <c r="F1167" i="2" s="1"/>
  <c r="E1168" i="2"/>
  <c r="F1168" i="2" s="1"/>
  <c r="E1169" i="2"/>
  <c r="F1169" i="2" s="1"/>
  <c r="E1170" i="2"/>
  <c r="F1170" i="2" s="1"/>
  <c r="E1171" i="2"/>
  <c r="F1171" i="2" s="1"/>
  <c r="E1172" i="2"/>
  <c r="F1172" i="2" s="1"/>
  <c r="E1173" i="2"/>
  <c r="F1173" i="2" s="1"/>
  <c r="E1174" i="2"/>
  <c r="F1174" i="2" s="1"/>
  <c r="E1175" i="2"/>
  <c r="F1175" i="2" s="1"/>
  <c r="E1176" i="2"/>
  <c r="F1176" i="2" s="1"/>
  <c r="E1177" i="2"/>
  <c r="F1177" i="2" s="1"/>
  <c r="E1178" i="2"/>
  <c r="F1178" i="2" s="1"/>
  <c r="E1179" i="2"/>
  <c r="F1179" i="2" s="1"/>
  <c r="E1180" i="2"/>
  <c r="F1180" i="2" s="1"/>
  <c r="E1181" i="2"/>
  <c r="F1181" i="2" s="1"/>
  <c r="E1182" i="2"/>
  <c r="F1182" i="2" s="1"/>
  <c r="E1183" i="2"/>
  <c r="F1183" i="2" s="1"/>
  <c r="E1184" i="2"/>
  <c r="F1184" i="2" s="1"/>
  <c r="E1185" i="2"/>
  <c r="F1185" i="2" s="1"/>
  <c r="E1186" i="2"/>
  <c r="F1186" i="2" s="1"/>
  <c r="E1187" i="2"/>
  <c r="F1187" i="2" s="1"/>
  <c r="E1188" i="2"/>
  <c r="F1188" i="2" s="1"/>
  <c r="E1189" i="2"/>
  <c r="F1189" i="2" s="1"/>
  <c r="E1190" i="2"/>
  <c r="F1190" i="2" s="1"/>
  <c r="E1191" i="2"/>
  <c r="F1191" i="2" s="1"/>
  <c r="E1192" i="2"/>
  <c r="F1192" i="2" s="1"/>
  <c r="E1193" i="2"/>
  <c r="F1193" i="2" s="1"/>
  <c r="E1194" i="2"/>
  <c r="F1194" i="2" s="1"/>
  <c r="E1195" i="2"/>
  <c r="F1195" i="2" s="1"/>
  <c r="E1196" i="2"/>
  <c r="F1196" i="2" s="1"/>
  <c r="E1197" i="2"/>
  <c r="F1197" i="2" s="1"/>
  <c r="E1198" i="2"/>
  <c r="F1198" i="2" s="1"/>
  <c r="E1199" i="2"/>
  <c r="F1199" i="2" s="1"/>
  <c r="E1200" i="2"/>
  <c r="F1200" i="2" s="1"/>
  <c r="E1201" i="2"/>
  <c r="F1201" i="2" s="1"/>
  <c r="E1202" i="2"/>
  <c r="F1202" i="2" s="1"/>
  <c r="E1203" i="2"/>
  <c r="F1203" i="2" s="1"/>
  <c r="E1204" i="2"/>
  <c r="F1204" i="2" s="1"/>
  <c r="E1205" i="2"/>
  <c r="F1205" i="2" s="1"/>
  <c r="E1206" i="2"/>
  <c r="F1206" i="2" s="1"/>
  <c r="E1207" i="2"/>
  <c r="F1207" i="2" s="1"/>
  <c r="E1208" i="2"/>
  <c r="F1208" i="2" s="1"/>
  <c r="E1209" i="2"/>
  <c r="F1209" i="2" s="1"/>
  <c r="E1210" i="2"/>
  <c r="F1210" i="2" s="1"/>
  <c r="E1211" i="2"/>
  <c r="F1211" i="2" s="1"/>
  <c r="E1212" i="2"/>
  <c r="F1212" i="2" s="1"/>
  <c r="E1213" i="2"/>
  <c r="F1213" i="2" s="1"/>
  <c r="E1214" i="2"/>
  <c r="F1214" i="2" s="1"/>
  <c r="E1215" i="2"/>
  <c r="F1215" i="2" s="1"/>
  <c r="E1216" i="2"/>
  <c r="F1216" i="2" s="1"/>
  <c r="E1217" i="2"/>
  <c r="F1217" i="2" s="1"/>
  <c r="E1218" i="2"/>
  <c r="F1218" i="2" s="1"/>
  <c r="E1219" i="2"/>
  <c r="F1219" i="2" s="1"/>
  <c r="E1220" i="2"/>
  <c r="F1220" i="2" s="1"/>
  <c r="E1221" i="2"/>
  <c r="F1221" i="2" s="1"/>
  <c r="E1222" i="2"/>
  <c r="F1222" i="2" s="1"/>
  <c r="E1223" i="2"/>
  <c r="F1223" i="2" s="1"/>
  <c r="E1224" i="2"/>
  <c r="F1224" i="2" s="1"/>
  <c r="E1225" i="2"/>
  <c r="F1225" i="2" s="1"/>
  <c r="E1226" i="2"/>
  <c r="F1226" i="2" s="1"/>
  <c r="E1227" i="2"/>
  <c r="F1227" i="2" s="1"/>
  <c r="E1228" i="2"/>
  <c r="F1228" i="2" s="1"/>
  <c r="E1229" i="2"/>
  <c r="F1229" i="2" s="1"/>
  <c r="E1230" i="2"/>
  <c r="F1230" i="2" s="1"/>
  <c r="E1231" i="2"/>
  <c r="F1231" i="2" s="1"/>
  <c r="E1232" i="2"/>
  <c r="F1232" i="2" s="1"/>
  <c r="E1233" i="2"/>
  <c r="F1233" i="2" s="1"/>
  <c r="E1234" i="2"/>
  <c r="F1234" i="2" s="1"/>
  <c r="E1235" i="2"/>
  <c r="F1235" i="2" s="1"/>
  <c r="E1236" i="2"/>
  <c r="F1236" i="2" s="1"/>
  <c r="E1237" i="2"/>
  <c r="F1237" i="2" s="1"/>
  <c r="E1238" i="2"/>
  <c r="F1238" i="2" s="1"/>
  <c r="E1239" i="2"/>
  <c r="F1239" i="2" s="1"/>
  <c r="E1240" i="2"/>
  <c r="F1240" i="2" s="1"/>
  <c r="E1241" i="2"/>
  <c r="F1241" i="2" s="1"/>
  <c r="E1242" i="2"/>
  <c r="F1242" i="2" s="1"/>
  <c r="E1243" i="2"/>
  <c r="F1243" i="2" s="1"/>
  <c r="E1244" i="2"/>
  <c r="F1244" i="2" s="1"/>
  <c r="E1245" i="2"/>
  <c r="F1245" i="2" s="1"/>
  <c r="E1246" i="2"/>
  <c r="F1246" i="2" s="1"/>
  <c r="E1247" i="2"/>
  <c r="F1247" i="2" s="1"/>
  <c r="E1248" i="2"/>
  <c r="F1248" i="2" s="1"/>
  <c r="E1249" i="2"/>
  <c r="F1249" i="2" s="1"/>
  <c r="E1250" i="2"/>
  <c r="F1250" i="2" s="1"/>
  <c r="E1251" i="2"/>
  <c r="F1251" i="2" s="1"/>
  <c r="E1252" i="2"/>
  <c r="F1252" i="2" s="1"/>
  <c r="E1253" i="2"/>
  <c r="F1253" i="2" s="1"/>
  <c r="E1254" i="2"/>
  <c r="F1254" i="2" s="1"/>
  <c r="E1255" i="2"/>
  <c r="F1255" i="2" s="1"/>
  <c r="E1256" i="2"/>
  <c r="F1256" i="2" s="1"/>
  <c r="E1257" i="2"/>
  <c r="F1257" i="2" s="1"/>
  <c r="E1258" i="2"/>
  <c r="F1258" i="2" s="1"/>
  <c r="E1259" i="2"/>
  <c r="F1259" i="2" s="1"/>
  <c r="E1260" i="2"/>
  <c r="F1260" i="2" s="1"/>
  <c r="E1261" i="2"/>
  <c r="F1261" i="2" s="1"/>
  <c r="E1262" i="2"/>
  <c r="F1262" i="2" s="1"/>
  <c r="E1263" i="2"/>
  <c r="F1263" i="2" s="1"/>
  <c r="E1264" i="2"/>
  <c r="F1264" i="2" s="1"/>
  <c r="E1265" i="2"/>
  <c r="F1265" i="2" s="1"/>
  <c r="E1266" i="2"/>
  <c r="F1266" i="2" s="1"/>
  <c r="E1267" i="2"/>
  <c r="F1267" i="2" s="1"/>
  <c r="E1268" i="2"/>
  <c r="F1268" i="2" s="1"/>
  <c r="E1269" i="2"/>
  <c r="F1269" i="2" s="1"/>
  <c r="E1270" i="2"/>
  <c r="F1270" i="2" s="1"/>
  <c r="E1271" i="2"/>
  <c r="F1271" i="2" s="1"/>
  <c r="E1272" i="2"/>
  <c r="F1272" i="2" s="1"/>
  <c r="E1273" i="2"/>
  <c r="F1273" i="2" s="1"/>
  <c r="E1274" i="2"/>
  <c r="F1274" i="2" s="1"/>
  <c r="E1275" i="2"/>
  <c r="F1275" i="2" s="1"/>
  <c r="E1276" i="2"/>
  <c r="F1276" i="2" s="1"/>
  <c r="E1277" i="2"/>
  <c r="F1277" i="2" s="1"/>
  <c r="E1278" i="2"/>
  <c r="F1278" i="2" s="1"/>
  <c r="E1279" i="2"/>
  <c r="F1279" i="2" s="1"/>
  <c r="E1280" i="2"/>
  <c r="F1280" i="2" s="1"/>
  <c r="E1281" i="2"/>
  <c r="F1281" i="2" s="1"/>
  <c r="E1282" i="2"/>
  <c r="F1282" i="2" s="1"/>
  <c r="E1283" i="2"/>
  <c r="F1283" i="2" s="1"/>
  <c r="E1284" i="2"/>
  <c r="F1284" i="2" s="1"/>
  <c r="E1285" i="2"/>
  <c r="F1285" i="2" s="1"/>
  <c r="E1286" i="2"/>
  <c r="F1286" i="2" s="1"/>
  <c r="E1287" i="2"/>
  <c r="F1287" i="2" s="1"/>
  <c r="E1288" i="2"/>
  <c r="F1288" i="2" s="1"/>
  <c r="E1289" i="2"/>
  <c r="F1289" i="2" s="1"/>
  <c r="E1290" i="2"/>
  <c r="F1290" i="2" s="1"/>
  <c r="E1291" i="2"/>
  <c r="F1291" i="2" s="1"/>
  <c r="E1292" i="2"/>
  <c r="F1292" i="2" s="1"/>
  <c r="E1293" i="2"/>
  <c r="F1293" i="2" s="1"/>
  <c r="E1294" i="2"/>
  <c r="F1294" i="2" s="1"/>
  <c r="E1295" i="2"/>
  <c r="F1295" i="2" s="1"/>
  <c r="E1296" i="2"/>
  <c r="F1296" i="2" s="1"/>
  <c r="E1297" i="2"/>
  <c r="F1297" i="2" s="1"/>
  <c r="E1298" i="2"/>
  <c r="F1298" i="2" s="1"/>
  <c r="E1299" i="2"/>
  <c r="F1299" i="2" s="1"/>
  <c r="E1300" i="2"/>
  <c r="F1300" i="2" s="1"/>
  <c r="E1301" i="2"/>
  <c r="F1301" i="2" s="1"/>
  <c r="E1302" i="2"/>
  <c r="F1302" i="2" s="1"/>
  <c r="E1303" i="2"/>
  <c r="F1303" i="2" s="1"/>
  <c r="E1304" i="2"/>
  <c r="F1304" i="2" s="1"/>
  <c r="E1305" i="2"/>
  <c r="F1305" i="2" s="1"/>
  <c r="E1306" i="2"/>
  <c r="F1306" i="2" s="1"/>
  <c r="E1307" i="2"/>
  <c r="F1307" i="2" s="1"/>
  <c r="E1308" i="2"/>
  <c r="F1308" i="2" s="1"/>
  <c r="E1309" i="2"/>
  <c r="F1309" i="2" s="1"/>
  <c r="E1310" i="2"/>
  <c r="F1310" i="2" s="1"/>
  <c r="E1311" i="2"/>
  <c r="F1311" i="2" s="1"/>
  <c r="E1312" i="2"/>
  <c r="F1312" i="2" s="1"/>
  <c r="E1313" i="2"/>
  <c r="F1313" i="2" s="1"/>
  <c r="E1314" i="2"/>
  <c r="F1314" i="2" s="1"/>
  <c r="E1315" i="2"/>
  <c r="F1315" i="2" s="1"/>
  <c r="E1316" i="2"/>
  <c r="F1316" i="2" s="1"/>
  <c r="E1317" i="2"/>
  <c r="F1317" i="2" s="1"/>
  <c r="E1318" i="2"/>
  <c r="F1318" i="2" s="1"/>
  <c r="E1319" i="2"/>
  <c r="F1319" i="2" s="1"/>
  <c r="E1320" i="2"/>
  <c r="F1320" i="2" s="1"/>
  <c r="E1321" i="2"/>
  <c r="F1321" i="2" s="1"/>
  <c r="E1322" i="2"/>
  <c r="F1322" i="2" s="1"/>
  <c r="E1323" i="2"/>
  <c r="F1323" i="2" s="1"/>
  <c r="E1324" i="2"/>
  <c r="F1324" i="2" s="1"/>
  <c r="E1325" i="2"/>
  <c r="F1325" i="2" s="1"/>
  <c r="E1326" i="2"/>
  <c r="F1326" i="2" s="1"/>
  <c r="E1327" i="2"/>
  <c r="F1327" i="2" s="1"/>
  <c r="E1328" i="2"/>
  <c r="F1328" i="2" s="1"/>
  <c r="E1329" i="2"/>
  <c r="F1329" i="2" s="1"/>
  <c r="E1330" i="2"/>
  <c r="F1330" i="2" s="1"/>
  <c r="E1331" i="2"/>
  <c r="F1331" i="2" s="1"/>
  <c r="E1332" i="2"/>
  <c r="F1332" i="2" s="1"/>
  <c r="E1333" i="2"/>
  <c r="F1333" i="2" s="1"/>
  <c r="E1334" i="2"/>
  <c r="F1334" i="2" s="1"/>
  <c r="E1335" i="2"/>
  <c r="F1335" i="2" s="1"/>
  <c r="E1336" i="2"/>
  <c r="F1336" i="2" s="1"/>
  <c r="E1337" i="2"/>
  <c r="F1337" i="2" s="1"/>
  <c r="E1338" i="2"/>
  <c r="F1338" i="2" s="1"/>
  <c r="E1339" i="2"/>
  <c r="F1339" i="2" s="1"/>
  <c r="E1340" i="2"/>
  <c r="F1340" i="2" s="1"/>
  <c r="E1341" i="2"/>
  <c r="F1341" i="2" s="1"/>
  <c r="E1342" i="2"/>
  <c r="F1342" i="2" s="1"/>
  <c r="E1343" i="2"/>
  <c r="F1343" i="2" s="1"/>
  <c r="E1344" i="2"/>
  <c r="F1344" i="2" s="1"/>
  <c r="E1345" i="2"/>
  <c r="F1345" i="2" s="1"/>
  <c r="E1346" i="2"/>
  <c r="F1346" i="2" s="1"/>
  <c r="E1347" i="2"/>
  <c r="F1347" i="2" s="1"/>
  <c r="E1348" i="2"/>
  <c r="F1348" i="2" s="1"/>
  <c r="E1349" i="2"/>
  <c r="F1349" i="2" s="1"/>
  <c r="E1350" i="2"/>
  <c r="F1350" i="2" s="1"/>
  <c r="E1351" i="2"/>
  <c r="F1351" i="2" s="1"/>
  <c r="E1352" i="2"/>
  <c r="F1352" i="2" s="1"/>
  <c r="E1353" i="2"/>
  <c r="F1353" i="2" s="1"/>
  <c r="E1354" i="2"/>
  <c r="F1354" i="2" s="1"/>
  <c r="E1355" i="2"/>
  <c r="F1355" i="2" s="1"/>
  <c r="E1356" i="2"/>
  <c r="F1356" i="2" s="1"/>
  <c r="E1357" i="2"/>
  <c r="F1357" i="2" s="1"/>
  <c r="E1358" i="2"/>
  <c r="F1358" i="2" s="1"/>
  <c r="E1359" i="2"/>
  <c r="F1359" i="2" s="1"/>
  <c r="E1360" i="2"/>
  <c r="F1360" i="2" s="1"/>
  <c r="E1361" i="2"/>
  <c r="F1361" i="2" s="1"/>
  <c r="E1362" i="2"/>
  <c r="F1362" i="2" s="1"/>
  <c r="E1363" i="2"/>
  <c r="F1363" i="2" s="1"/>
  <c r="E1364" i="2"/>
  <c r="F1364" i="2" s="1"/>
  <c r="E1365" i="2"/>
  <c r="F1365" i="2" s="1"/>
  <c r="E1366" i="2"/>
  <c r="F1366" i="2" s="1"/>
  <c r="E1367" i="2"/>
  <c r="F1367" i="2" s="1"/>
  <c r="E1368" i="2"/>
  <c r="F1368" i="2" s="1"/>
  <c r="E1369" i="2"/>
  <c r="F1369" i="2" s="1"/>
  <c r="E1370" i="2"/>
  <c r="F1370" i="2" s="1"/>
  <c r="E1371" i="2"/>
  <c r="F1371" i="2" s="1"/>
  <c r="E1372" i="2"/>
  <c r="F1372" i="2" s="1"/>
  <c r="E1373" i="2"/>
  <c r="F1373" i="2" s="1"/>
  <c r="E1374" i="2"/>
  <c r="F1374" i="2" s="1"/>
  <c r="E1375" i="2"/>
  <c r="F1375" i="2" s="1"/>
  <c r="E1376" i="2"/>
  <c r="F1376" i="2" s="1"/>
  <c r="E1377" i="2"/>
  <c r="F1377" i="2" s="1"/>
  <c r="E1378" i="2"/>
  <c r="F1378" i="2" s="1"/>
  <c r="E1379" i="2"/>
  <c r="F1379" i="2" s="1"/>
  <c r="E1380" i="2"/>
  <c r="F1380" i="2" s="1"/>
  <c r="E1381" i="2"/>
  <c r="F1381" i="2" s="1"/>
  <c r="E1382" i="2"/>
  <c r="F1382" i="2" s="1"/>
  <c r="E1383" i="2"/>
  <c r="F1383" i="2" s="1"/>
  <c r="E1384" i="2"/>
  <c r="F1384" i="2" s="1"/>
  <c r="E1385" i="2"/>
  <c r="F1385" i="2" s="1"/>
  <c r="E1386" i="2"/>
  <c r="F1386" i="2" s="1"/>
  <c r="E1387" i="2"/>
  <c r="F1387" i="2" s="1"/>
  <c r="E1388" i="2"/>
  <c r="F1388" i="2" s="1"/>
  <c r="E1389" i="2"/>
  <c r="F1389" i="2" s="1"/>
  <c r="E1390" i="2"/>
  <c r="F1390" i="2" s="1"/>
  <c r="E1391" i="2"/>
  <c r="F1391" i="2" s="1"/>
  <c r="E1392" i="2"/>
  <c r="F1392" i="2" s="1"/>
  <c r="E1393" i="2"/>
  <c r="F1393" i="2" s="1"/>
  <c r="E1394" i="2"/>
  <c r="F1394" i="2" s="1"/>
  <c r="E1395" i="2"/>
  <c r="F1395" i="2" s="1"/>
  <c r="E1396" i="2"/>
  <c r="F1396" i="2" s="1"/>
  <c r="E1397" i="2"/>
  <c r="F1397" i="2" s="1"/>
  <c r="E1398" i="2"/>
  <c r="F1398" i="2" s="1"/>
  <c r="E1399" i="2"/>
  <c r="F1399" i="2" s="1"/>
  <c r="E1400" i="2"/>
  <c r="F1400" i="2" s="1"/>
  <c r="E1401" i="2"/>
  <c r="F1401" i="2" s="1"/>
  <c r="E1402" i="2"/>
  <c r="F1402" i="2" s="1"/>
  <c r="E1403" i="2"/>
  <c r="F1403" i="2" s="1"/>
  <c r="E1404" i="2"/>
  <c r="F1404" i="2" s="1"/>
  <c r="E1405" i="2"/>
  <c r="F1405" i="2" s="1"/>
  <c r="E1406" i="2"/>
  <c r="F1406" i="2" s="1"/>
  <c r="E1407" i="2"/>
  <c r="F1407" i="2" s="1"/>
  <c r="E1408" i="2"/>
  <c r="F1408" i="2" s="1"/>
  <c r="E1409" i="2"/>
  <c r="F1409" i="2" s="1"/>
  <c r="E1410" i="2"/>
  <c r="F1410" i="2" s="1"/>
  <c r="E1411" i="2"/>
  <c r="F1411" i="2" s="1"/>
  <c r="E1412" i="2"/>
  <c r="F1412" i="2" s="1"/>
  <c r="E1413" i="2"/>
  <c r="F1413" i="2" s="1"/>
  <c r="E1414" i="2"/>
  <c r="F1414" i="2" s="1"/>
  <c r="E1415" i="2"/>
  <c r="F1415" i="2" s="1"/>
  <c r="E1416" i="2"/>
  <c r="F1416" i="2" s="1"/>
  <c r="E1417" i="2"/>
  <c r="F1417" i="2" s="1"/>
  <c r="E1418" i="2"/>
  <c r="F1418" i="2" s="1"/>
  <c r="E1419" i="2"/>
  <c r="F1419" i="2" s="1"/>
  <c r="E1420" i="2"/>
  <c r="F1420" i="2" s="1"/>
  <c r="E1421" i="2"/>
  <c r="F1421" i="2" s="1"/>
  <c r="E1422" i="2"/>
  <c r="F1422" i="2" s="1"/>
  <c r="E1423" i="2"/>
  <c r="F1423" i="2" s="1"/>
  <c r="E1424" i="2"/>
  <c r="F1424" i="2" s="1"/>
  <c r="E1425" i="2"/>
  <c r="F1425" i="2" s="1"/>
  <c r="E1426" i="2"/>
  <c r="F1426" i="2" s="1"/>
  <c r="E1427" i="2"/>
  <c r="F1427" i="2" s="1"/>
  <c r="E1428" i="2"/>
  <c r="F1428" i="2" s="1"/>
  <c r="E1429" i="2"/>
  <c r="F1429" i="2" s="1"/>
  <c r="E1430" i="2"/>
  <c r="F1430" i="2" s="1"/>
  <c r="E1431" i="2"/>
  <c r="F1431" i="2" s="1"/>
  <c r="E1432" i="2"/>
  <c r="F1432" i="2" s="1"/>
  <c r="E1433" i="2"/>
  <c r="F1433" i="2" s="1"/>
  <c r="E1434" i="2"/>
  <c r="F1434" i="2" s="1"/>
  <c r="E1435" i="2"/>
  <c r="F1435" i="2" s="1"/>
  <c r="E1436" i="2"/>
  <c r="F1436" i="2" s="1"/>
  <c r="E1437" i="2"/>
  <c r="F1437" i="2" s="1"/>
  <c r="E1438" i="2"/>
  <c r="F1438" i="2" s="1"/>
  <c r="E1439" i="2"/>
  <c r="F1439" i="2" s="1"/>
  <c r="E1440" i="2"/>
  <c r="F1440" i="2" s="1"/>
  <c r="E1441" i="2"/>
  <c r="F1441" i="2" s="1"/>
  <c r="E1442" i="2"/>
  <c r="F1442" i="2" s="1"/>
  <c r="E1443" i="2"/>
  <c r="F1443" i="2" s="1"/>
  <c r="E1444" i="2"/>
  <c r="F1444" i="2" s="1"/>
  <c r="E1445" i="2"/>
  <c r="F1445" i="2" s="1"/>
  <c r="E1446" i="2"/>
  <c r="F1446" i="2" s="1"/>
  <c r="E1447" i="2"/>
  <c r="F1447" i="2" s="1"/>
  <c r="E1448" i="2"/>
  <c r="F1448" i="2" s="1"/>
  <c r="E1449" i="2"/>
  <c r="F1449" i="2" s="1"/>
  <c r="E1450" i="2"/>
  <c r="F1450" i="2" s="1"/>
  <c r="E1451" i="2"/>
  <c r="F1451" i="2" s="1"/>
  <c r="E1452" i="2"/>
  <c r="F1452" i="2" s="1"/>
  <c r="E1453" i="2"/>
  <c r="F1453" i="2" s="1"/>
  <c r="E1454" i="2"/>
  <c r="F1454" i="2" s="1"/>
  <c r="E1455" i="2"/>
  <c r="F1455" i="2" s="1"/>
  <c r="E1456" i="2"/>
  <c r="F1456" i="2" s="1"/>
  <c r="E1457" i="2"/>
  <c r="F1457" i="2" s="1"/>
  <c r="E1458" i="2"/>
  <c r="F1458" i="2" s="1"/>
  <c r="E1459" i="2"/>
  <c r="F1459" i="2" s="1"/>
  <c r="E1460" i="2"/>
  <c r="F1460" i="2" s="1"/>
  <c r="E1461" i="2"/>
  <c r="F1461" i="2" s="1"/>
  <c r="E1462" i="2"/>
  <c r="F1462" i="2" s="1"/>
  <c r="E1463" i="2"/>
  <c r="F1463" i="2" s="1"/>
  <c r="E1464" i="2"/>
  <c r="F1464" i="2" s="1"/>
  <c r="E1465" i="2"/>
  <c r="F1465" i="2" s="1"/>
  <c r="E1466" i="2"/>
  <c r="F1466" i="2" s="1"/>
  <c r="E1467" i="2"/>
  <c r="F1467" i="2" s="1"/>
  <c r="E1468" i="2"/>
  <c r="F1468" i="2" s="1"/>
  <c r="E1469" i="2"/>
  <c r="F1469" i="2" s="1"/>
  <c r="E1470" i="2"/>
  <c r="F1470" i="2" s="1"/>
  <c r="E1471" i="2"/>
  <c r="F1471" i="2" s="1"/>
  <c r="E1472" i="2"/>
  <c r="F1472" i="2" s="1"/>
  <c r="E1473" i="2"/>
  <c r="F1473" i="2" s="1"/>
  <c r="E1474" i="2"/>
  <c r="F1474" i="2" s="1"/>
  <c r="E1475" i="2"/>
  <c r="F1475" i="2" s="1"/>
  <c r="E1476" i="2"/>
  <c r="F1476" i="2" s="1"/>
  <c r="E1477" i="2"/>
  <c r="F1477" i="2" s="1"/>
  <c r="E1478" i="2"/>
  <c r="F1478" i="2" s="1"/>
  <c r="E1479" i="2"/>
  <c r="F1479" i="2" s="1"/>
  <c r="E1480" i="2"/>
  <c r="F1480" i="2" s="1"/>
  <c r="E1481" i="2"/>
  <c r="F1481" i="2" s="1"/>
  <c r="E1482" i="2"/>
  <c r="F1482" i="2" s="1"/>
  <c r="E1483" i="2"/>
  <c r="F1483" i="2" s="1"/>
  <c r="E1484" i="2"/>
  <c r="F1484" i="2" s="1"/>
  <c r="E1485" i="2"/>
  <c r="F1485" i="2" s="1"/>
  <c r="E1486" i="2"/>
  <c r="F1486" i="2" s="1"/>
  <c r="E1487" i="2"/>
  <c r="F1487" i="2" s="1"/>
  <c r="E1488" i="2"/>
  <c r="F1488" i="2" s="1"/>
  <c r="E1489" i="2"/>
  <c r="F1489" i="2" s="1"/>
  <c r="E1490" i="2"/>
  <c r="F1490" i="2" s="1"/>
  <c r="E1491" i="2"/>
  <c r="F1491" i="2" s="1"/>
  <c r="E1492" i="2"/>
  <c r="F1492" i="2" s="1"/>
  <c r="E1493" i="2"/>
  <c r="F1493" i="2" s="1"/>
  <c r="E1494" i="2"/>
  <c r="F1494" i="2" s="1"/>
  <c r="E1495" i="2"/>
  <c r="F1495" i="2" s="1"/>
  <c r="E1496" i="2"/>
  <c r="F1496" i="2" s="1"/>
  <c r="E1497" i="2"/>
  <c r="F1497" i="2" s="1"/>
  <c r="E1498" i="2"/>
  <c r="F1498" i="2" s="1"/>
  <c r="E1499" i="2"/>
  <c r="F1499" i="2" s="1"/>
  <c r="E1500" i="2"/>
  <c r="F1500" i="2" s="1"/>
  <c r="E1501" i="2"/>
  <c r="F1501" i="2" s="1"/>
  <c r="E1502" i="2"/>
  <c r="F1502" i="2" s="1"/>
  <c r="E1503" i="2"/>
  <c r="F1503" i="2" s="1"/>
  <c r="E1504" i="2"/>
  <c r="F1504" i="2" s="1"/>
  <c r="E1505" i="2"/>
  <c r="F1505" i="2" s="1"/>
  <c r="E1506" i="2"/>
  <c r="F1506" i="2" s="1"/>
  <c r="E1507" i="2"/>
  <c r="F1507" i="2" s="1"/>
  <c r="E1508" i="2"/>
  <c r="F1508" i="2" s="1"/>
  <c r="E1509" i="2"/>
  <c r="F1509" i="2" s="1"/>
  <c r="E1510" i="2"/>
  <c r="F1510" i="2" s="1"/>
  <c r="E1511" i="2"/>
  <c r="F1511" i="2" s="1"/>
  <c r="E1512" i="2"/>
  <c r="F1512" i="2" s="1"/>
  <c r="E1513" i="2"/>
  <c r="F1513" i="2" s="1"/>
  <c r="E1514" i="2"/>
  <c r="F1514" i="2" s="1"/>
  <c r="E1515" i="2"/>
  <c r="F1515" i="2" s="1"/>
  <c r="E1516" i="2"/>
  <c r="F1516" i="2" s="1"/>
  <c r="E1517" i="2"/>
  <c r="F1517" i="2" s="1"/>
  <c r="E1518" i="2"/>
  <c r="F1518" i="2" s="1"/>
  <c r="E1519" i="2"/>
  <c r="F1519" i="2" s="1"/>
  <c r="E1520" i="2"/>
  <c r="F1520" i="2" s="1"/>
  <c r="E1521" i="2"/>
  <c r="F1521" i="2" s="1"/>
  <c r="E1522" i="2"/>
  <c r="F1522" i="2" s="1"/>
  <c r="E1523" i="2"/>
  <c r="F1523" i="2" s="1"/>
  <c r="E1524" i="2"/>
  <c r="F1524" i="2" s="1"/>
  <c r="E1525" i="2"/>
  <c r="F1525" i="2" s="1"/>
  <c r="E1526" i="2"/>
  <c r="F1526" i="2" s="1"/>
  <c r="E1527" i="2"/>
  <c r="F1527" i="2" s="1"/>
  <c r="E1528" i="2"/>
  <c r="F1528" i="2" s="1"/>
  <c r="E1529" i="2"/>
  <c r="F1529" i="2" s="1"/>
  <c r="E1530" i="2"/>
  <c r="F1530" i="2" s="1"/>
  <c r="E1531" i="2"/>
  <c r="F1531" i="2" s="1"/>
  <c r="E1532" i="2"/>
  <c r="F1532" i="2" s="1"/>
  <c r="E1533" i="2"/>
  <c r="F1533" i="2" s="1"/>
  <c r="E1534" i="2"/>
  <c r="F1534" i="2" s="1"/>
  <c r="E1535" i="2"/>
  <c r="F1535" i="2" s="1"/>
  <c r="E1536" i="2"/>
  <c r="F1536" i="2" s="1"/>
  <c r="E1537" i="2"/>
  <c r="F1537" i="2" s="1"/>
  <c r="E1538" i="2"/>
  <c r="F1538" i="2" s="1"/>
  <c r="E1539" i="2"/>
  <c r="F1539" i="2" s="1"/>
  <c r="E1540" i="2"/>
  <c r="F1540" i="2" s="1"/>
  <c r="E1541" i="2"/>
  <c r="F1541" i="2" s="1"/>
  <c r="E1542" i="2"/>
  <c r="F1542" i="2" s="1"/>
  <c r="E1543" i="2"/>
  <c r="F1543" i="2" s="1"/>
  <c r="E1544" i="2"/>
  <c r="F1544" i="2" s="1"/>
  <c r="E1545" i="2"/>
  <c r="F1545" i="2" s="1"/>
  <c r="E1546" i="2"/>
  <c r="F1546" i="2" s="1"/>
  <c r="E1547" i="2"/>
  <c r="F1547" i="2" s="1"/>
  <c r="E1548" i="2"/>
  <c r="F1548" i="2" s="1"/>
  <c r="E1549" i="2"/>
  <c r="F1549" i="2" s="1"/>
  <c r="E1550" i="2"/>
  <c r="F1550" i="2" s="1"/>
  <c r="E1551" i="2"/>
  <c r="F1551" i="2" s="1"/>
  <c r="E1552" i="2"/>
  <c r="F1552" i="2" s="1"/>
  <c r="E1553" i="2"/>
  <c r="F1553" i="2" s="1"/>
  <c r="E1554" i="2"/>
  <c r="F1554" i="2" s="1"/>
  <c r="E1555" i="2"/>
  <c r="F1555" i="2" s="1"/>
  <c r="E1556" i="2"/>
  <c r="F1556" i="2" s="1"/>
  <c r="E1557" i="2"/>
  <c r="F1557" i="2" s="1"/>
  <c r="E1558" i="2"/>
  <c r="F1558" i="2" s="1"/>
  <c r="E1559" i="2"/>
  <c r="F1559" i="2" s="1"/>
  <c r="E1560" i="2"/>
  <c r="F1560" i="2" s="1"/>
  <c r="E1561" i="2"/>
  <c r="F1561" i="2" s="1"/>
  <c r="E1562" i="2"/>
  <c r="F1562" i="2" s="1"/>
  <c r="E1563" i="2"/>
  <c r="F1563" i="2" s="1"/>
  <c r="E1564" i="2"/>
  <c r="F1564" i="2" s="1"/>
  <c r="E1565" i="2"/>
  <c r="F1565" i="2" s="1"/>
  <c r="E1566" i="2"/>
  <c r="F1566" i="2" s="1"/>
  <c r="E1567" i="2"/>
  <c r="F1567" i="2" s="1"/>
  <c r="E1568" i="2"/>
  <c r="F1568" i="2" s="1"/>
  <c r="E1569" i="2"/>
  <c r="F1569" i="2" s="1"/>
  <c r="E1570" i="2"/>
  <c r="F1570" i="2" s="1"/>
  <c r="E1571" i="2"/>
  <c r="F1571" i="2" s="1"/>
  <c r="E1572" i="2"/>
  <c r="F1572" i="2" s="1"/>
  <c r="E1573" i="2"/>
  <c r="F1573" i="2" s="1"/>
  <c r="E1574" i="2"/>
  <c r="F1574" i="2" s="1"/>
  <c r="E1575" i="2"/>
  <c r="F1575" i="2" s="1"/>
  <c r="E1576" i="2"/>
  <c r="F1576" i="2" s="1"/>
  <c r="E1577" i="2"/>
  <c r="F1577" i="2" s="1"/>
  <c r="E1578" i="2"/>
  <c r="F1578" i="2" s="1"/>
  <c r="E1579" i="2"/>
  <c r="F1579" i="2" s="1"/>
  <c r="E1580" i="2"/>
  <c r="F1580" i="2" s="1"/>
  <c r="E1581" i="2"/>
  <c r="F1581" i="2" s="1"/>
  <c r="E1582" i="2"/>
  <c r="F1582" i="2" s="1"/>
  <c r="E1583" i="2"/>
  <c r="F1583" i="2" s="1"/>
  <c r="E1584" i="2"/>
  <c r="F1584" i="2" s="1"/>
  <c r="E1585" i="2"/>
  <c r="F1585" i="2" s="1"/>
  <c r="E1586" i="2"/>
  <c r="F1586" i="2" s="1"/>
  <c r="E1587" i="2"/>
  <c r="F1587" i="2" s="1"/>
  <c r="E1588" i="2"/>
  <c r="F1588" i="2" s="1"/>
  <c r="E1589" i="2"/>
  <c r="F1589" i="2" s="1"/>
  <c r="E1590" i="2"/>
  <c r="F1590" i="2" s="1"/>
  <c r="E1591" i="2"/>
  <c r="F1591" i="2" s="1"/>
  <c r="E1592" i="2"/>
  <c r="F1592" i="2" s="1"/>
  <c r="E1593" i="2"/>
  <c r="F1593" i="2" s="1"/>
  <c r="E1594" i="2"/>
  <c r="F1594" i="2" s="1"/>
  <c r="E1595" i="2"/>
  <c r="F1595" i="2" s="1"/>
  <c r="E1596" i="2"/>
  <c r="F1596" i="2" s="1"/>
  <c r="E1597" i="2"/>
  <c r="F1597" i="2" s="1"/>
  <c r="E1598" i="2"/>
  <c r="F1598" i="2" s="1"/>
  <c r="E1599" i="2"/>
  <c r="F1599" i="2" s="1"/>
  <c r="E1600" i="2"/>
  <c r="F1600" i="2" s="1"/>
  <c r="E1601" i="2"/>
  <c r="F1601" i="2" s="1"/>
  <c r="E1602" i="2"/>
  <c r="F1602" i="2" s="1"/>
  <c r="E1603" i="2"/>
  <c r="F1603" i="2" s="1"/>
  <c r="E1604" i="2"/>
  <c r="F1604" i="2" s="1"/>
  <c r="E1605" i="2"/>
  <c r="F1605" i="2" s="1"/>
  <c r="E1606" i="2"/>
  <c r="F1606" i="2" s="1"/>
  <c r="E1607" i="2"/>
  <c r="F1607" i="2" s="1"/>
  <c r="E1608" i="2"/>
  <c r="F1608" i="2" s="1"/>
  <c r="E1609" i="2"/>
  <c r="F1609" i="2" s="1"/>
  <c r="E1610" i="2"/>
  <c r="F1610" i="2" s="1"/>
  <c r="E1611" i="2"/>
  <c r="F1611" i="2" s="1"/>
  <c r="E1612" i="2"/>
  <c r="F1612" i="2" s="1"/>
  <c r="E1613" i="2"/>
  <c r="F1613" i="2" s="1"/>
  <c r="E1614" i="2"/>
  <c r="F1614" i="2" s="1"/>
  <c r="E1615" i="2"/>
  <c r="F1615" i="2" s="1"/>
  <c r="E1616" i="2"/>
  <c r="F1616" i="2" s="1"/>
  <c r="E1617" i="2"/>
  <c r="F1617" i="2" s="1"/>
  <c r="E1618" i="2"/>
  <c r="F1618" i="2" s="1"/>
  <c r="E1619" i="2"/>
  <c r="F1619" i="2" s="1"/>
  <c r="E1620" i="2"/>
  <c r="F1620" i="2" s="1"/>
  <c r="E1621" i="2"/>
  <c r="F1621" i="2" s="1"/>
  <c r="E1622" i="2"/>
  <c r="F1622" i="2" s="1"/>
  <c r="E1623" i="2"/>
  <c r="F1623" i="2" s="1"/>
  <c r="E1624" i="2"/>
  <c r="F1624" i="2" s="1"/>
  <c r="E1625" i="2"/>
  <c r="F1625" i="2" s="1"/>
  <c r="E1626" i="2"/>
  <c r="F1626" i="2" s="1"/>
  <c r="E1627" i="2"/>
  <c r="F1627" i="2" s="1"/>
  <c r="E1628" i="2"/>
  <c r="F1628" i="2" s="1"/>
  <c r="E1629" i="2"/>
  <c r="F1629" i="2" s="1"/>
  <c r="E1630" i="2"/>
  <c r="F1630" i="2" s="1"/>
  <c r="E1631" i="2"/>
  <c r="F1631" i="2" s="1"/>
  <c r="E1632" i="2"/>
  <c r="F1632" i="2" s="1"/>
  <c r="E1633" i="2"/>
  <c r="F1633" i="2" s="1"/>
  <c r="E1634" i="2"/>
  <c r="F1634" i="2" s="1"/>
  <c r="E1635" i="2"/>
  <c r="F1635" i="2" s="1"/>
  <c r="E1636" i="2"/>
  <c r="F1636" i="2" s="1"/>
  <c r="E1637" i="2"/>
  <c r="F1637" i="2" s="1"/>
  <c r="E1638" i="2"/>
  <c r="F1638" i="2" s="1"/>
  <c r="E1639" i="2"/>
  <c r="F1639" i="2" s="1"/>
  <c r="E1640" i="2"/>
  <c r="F1640" i="2" s="1"/>
  <c r="E1641" i="2"/>
  <c r="F1641" i="2" s="1"/>
  <c r="E1642" i="2"/>
  <c r="F1642" i="2" s="1"/>
  <c r="E1643" i="2"/>
  <c r="F1643" i="2" s="1"/>
  <c r="E1644" i="2"/>
  <c r="F1644" i="2" s="1"/>
  <c r="E1645" i="2"/>
  <c r="F1645" i="2" s="1"/>
  <c r="E1646" i="2"/>
  <c r="F1646" i="2" s="1"/>
  <c r="E1647" i="2"/>
  <c r="F1647" i="2" s="1"/>
  <c r="E1648" i="2"/>
  <c r="F1648" i="2" s="1"/>
  <c r="E1649" i="2"/>
  <c r="F1649" i="2" s="1"/>
  <c r="E1650" i="2"/>
  <c r="F1650" i="2" s="1"/>
  <c r="E1651" i="2"/>
  <c r="F1651" i="2" s="1"/>
  <c r="E1652" i="2"/>
  <c r="F1652" i="2" s="1"/>
  <c r="E1653" i="2"/>
  <c r="F1653" i="2" s="1"/>
  <c r="E1654" i="2"/>
  <c r="F1654" i="2" s="1"/>
  <c r="E1655" i="2"/>
  <c r="F1655" i="2" s="1"/>
  <c r="E1656" i="2"/>
  <c r="F1656" i="2" s="1"/>
  <c r="E1657" i="2"/>
  <c r="F1657" i="2" s="1"/>
  <c r="E1658" i="2"/>
  <c r="F1658" i="2" s="1"/>
  <c r="E1659" i="2"/>
  <c r="F1659" i="2" s="1"/>
  <c r="E1660" i="2"/>
  <c r="F1660" i="2" s="1"/>
  <c r="E1661" i="2"/>
  <c r="F1661" i="2" s="1"/>
  <c r="E1662" i="2"/>
  <c r="F1662" i="2" s="1"/>
  <c r="E1663" i="2"/>
  <c r="F1663" i="2" s="1"/>
  <c r="E1664" i="2"/>
  <c r="F1664" i="2" s="1"/>
  <c r="E1665" i="2"/>
  <c r="F1665" i="2" s="1"/>
  <c r="E1666" i="2"/>
  <c r="F1666" i="2" s="1"/>
  <c r="E1667" i="2"/>
  <c r="F1667" i="2" s="1"/>
  <c r="E1668" i="2"/>
  <c r="F1668" i="2" s="1"/>
  <c r="E1669" i="2"/>
  <c r="F1669" i="2" s="1"/>
  <c r="E1670" i="2"/>
  <c r="F1670" i="2" s="1"/>
  <c r="E1671" i="2"/>
  <c r="F1671" i="2" s="1"/>
  <c r="E1672" i="2"/>
  <c r="F1672" i="2" s="1"/>
  <c r="E1673" i="2"/>
  <c r="F1673" i="2" s="1"/>
  <c r="E1674" i="2"/>
  <c r="F1674" i="2" s="1"/>
  <c r="E1675" i="2"/>
  <c r="F1675" i="2" s="1"/>
  <c r="E1676" i="2"/>
  <c r="F1676" i="2" s="1"/>
  <c r="E1677" i="2"/>
  <c r="F1677" i="2" s="1"/>
  <c r="E1678" i="2"/>
  <c r="F1678" i="2" s="1"/>
  <c r="E1679" i="2"/>
  <c r="F1679" i="2" s="1"/>
  <c r="E1680" i="2"/>
  <c r="F1680" i="2" s="1"/>
  <c r="E1681" i="2"/>
  <c r="F1681" i="2" s="1"/>
  <c r="E1682" i="2"/>
  <c r="F1682" i="2" s="1"/>
  <c r="E1683" i="2"/>
  <c r="F1683" i="2" s="1"/>
  <c r="E1684" i="2"/>
  <c r="F1684" i="2" s="1"/>
  <c r="E1685" i="2"/>
  <c r="F1685" i="2" s="1"/>
  <c r="E1686" i="2"/>
  <c r="F1686" i="2" s="1"/>
  <c r="E1687" i="2"/>
  <c r="F1687" i="2" s="1"/>
  <c r="E1688" i="2"/>
  <c r="F1688" i="2" s="1"/>
  <c r="E1689" i="2"/>
  <c r="F1689" i="2" s="1"/>
  <c r="E1690" i="2"/>
  <c r="F1690" i="2" s="1"/>
  <c r="E1691" i="2"/>
  <c r="F1691" i="2" s="1"/>
  <c r="E1692" i="2"/>
  <c r="F1692" i="2" s="1"/>
  <c r="E1693" i="2"/>
  <c r="F1693" i="2" s="1"/>
  <c r="E1694" i="2"/>
  <c r="F1694" i="2" s="1"/>
  <c r="E1695" i="2"/>
  <c r="F1695" i="2" s="1"/>
  <c r="E1696" i="2"/>
  <c r="F1696" i="2" s="1"/>
  <c r="E1697" i="2"/>
  <c r="F1697" i="2" s="1"/>
  <c r="E1698" i="2"/>
  <c r="F1698" i="2" s="1"/>
  <c r="E1699" i="2"/>
  <c r="F1699" i="2" s="1"/>
  <c r="E1700" i="2"/>
  <c r="F1700" i="2" s="1"/>
  <c r="E1701" i="2"/>
  <c r="F1701" i="2" s="1"/>
  <c r="E1702" i="2"/>
  <c r="F1702" i="2" s="1"/>
  <c r="E1703" i="2"/>
  <c r="F1703" i="2" s="1"/>
  <c r="E1704" i="2"/>
  <c r="F1704" i="2" s="1"/>
  <c r="E1705" i="2"/>
  <c r="F1705" i="2" s="1"/>
  <c r="E1706" i="2"/>
  <c r="F1706" i="2" s="1"/>
  <c r="E1707" i="2"/>
  <c r="F1707" i="2" s="1"/>
  <c r="E1708" i="2"/>
  <c r="F1708" i="2" s="1"/>
  <c r="E1709" i="2"/>
  <c r="F1709" i="2" s="1"/>
  <c r="E1710" i="2"/>
  <c r="F1710" i="2" s="1"/>
  <c r="E1711" i="2"/>
  <c r="F1711" i="2" s="1"/>
  <c r="E1712" i="2"/>
  <c r="F1712" i="2" s="1"/>
  <c r="E1713" i="2"/>
  <c r="F1713" i="2" s="1"/>
  <c r="E1714" i="2"/>
  <c r="F1714" i="2" s="1"/>
  <c r="E1715" i="2"/>
  <c r="F1715" i="2" s="1"/>
  <c r="E1716" i="2"/>
  <c r="F1716" i="2" s="1"/>
  <c r="E1717" i="2"/>
  <c r="F1717" i="2" s="1"/>
  <c r="E1718" i="2"/>
  <c r="F1718" i="2" s="1"/>
  <c r="E1719" i="2"/>
  <c r="F1719" i="2" s="1"/>
  <c r="E1720" i="2"/>
  <c r="F1720" i="2" s="1"/>
  <c r="E1721" i="2"/>
  <c r="F1721" i="2" s="1"/>
  <c r="E1722" i="2"/>
  <c r="F1722" i="2" s="1"/>
  <c r="E1723" i="2"/>
  <c r="F1723" i="2" s="1"/>
  <c r="E1724" i="2"/>
  <c r="F1724" i="2" s="1"/>
  <c r="E1725" i="2"/>
  <c r="F1725" i="2" s="1"/>
  <c r="E1726" i="2"/>
  <c r="F1726" i="2" s="1"/>
  <c r="E1727" i="2"/>
  <c r="F1727" i="2" s="1"/>
  <c r="E1728" i="2"/>
  <c r="F1728" i="2" s="1"/>
  <c r="E1729" i="2"/>
  <c r="F1729" i="2" s="1"/>
  <c r="E1730" i="2"/>
  <c r="F1730" i="2" s="1"/>
  <c r="E1731" i="2"/>
  <c r="F1731" i="2" s="1"/>
  <c r="E1732" i="2"/>
  <c r="F1732" i="2" s="1"/>
  <c r="E1733" i="2"/>
  <c r="F1733" i="2" s="1"/>
  <c r="E1734" i="2"/>
  <c r="F1734" i="2" s="1"/>
  <c r="E1735" i="2"/>
  <c r="F1735" i="2" s="1"/>
  <c r="E1736" i="2"/>
  <c r="F1736" i="2" s="1"/>
  <c r="E1737" i="2"/>
  <c r="F1737" i="2" s="1"/>
  <c r="E1738" i="2"/>
  <c r="F1738" i="2" s="1"/>
  <c r="E1739" i="2"/>
  <c r="F1739" i="2" s="1"/>
  <c r="E1740" i="2"/>
  <c r="F1740" i="2" s="1"/>
  <c r="E1741" i="2"/>
  <c r="F1741" i="2" s="1"/>
  <c r="E1742" i="2"/>
  <c r="F1742" i="2" s="1"/>
  <c r="E1743" i="2"/>
  <c r="F1743" i="2" s="1"/>
  <c r="E1744" i="2"/>
  <c r="F1744" i="2" s="1"/>
  <c r="E1745" i="2"/>
  <c r="F1745" i="2" s="1"/>
  <c r="E1746" i="2"/>
  <c r="F1746" i="2" s="1"/>
  <c r="E1747" i="2"/>
  <c r="F1747" i="2" s="1"/>
  <c r="E1748" i="2"/>
  <c r="F1748" i="2" s="1"/>
  <c r="E1749" i="2"/>
  <c r="F1749" i="2" s="1"/>
  <c r="E1750" i="2"/>
  <c r="F1750" i="2" s="1"/>
  <c r="E1751" i="2"/>
  <c r="F1751" i="2" s="1"/>
  <c r="E1752" i="2"/>
  <c r="F1752" i="2" s="1"/>
  <c r="E1753" i="2"/>
  <c r="F1753" i="2" s="1"/>
  <c r="E1754" i="2"/>
  <c r="F1754" i="2" s="1"/>
  <c r="E1755" i="2"/>
  <c r="F1755" i="2" s="1"/>
  <c r="E1756" i="2"/>
  <c r="F1756" i="2" s="1"/>
  <c r="E1757" i="2"/>
  <c r="F1757" i="2" s="1"/>
  <c r="E1758" i="2"/>
  <c r="F1758" i="2" s="1"/>
  <c r="E1759" i="2"/>
  <c r="F1759" i="2" s="1"/>
  <c r="E1760" i="2"/>
  <c r="F1760" i="2" s="1"/>
  <c r="E1761" i="2"/>
  <c r="F1761" i="2" s="1"/>
  <c r="E1762" i="2"/>
  <c r="F1762" i="2" s="1"/>
  <c r="E1763" i="2"/>
  <c r="F1763" i="2" s="1"/>
  <c r="E1764" i="2"/>
  <c r="F1764" i="2" s="1"/>
  <c r="E1765" i="2"/>
  <c r="F1765" i="2" s="1"/>
  <c r="E1766" i="2"/>
  <c r="F1766" i="2" s="1"/>
  <c r="E1767" i="2"/>
  <c r="F1767" i="2" s="1"/>
  <c r="E1768" i="2"/>
  <c r="F1768" i="2" s="1"/>
  <c r="E1769" i="2"/>
  <c r="F1769" i="2" s="1"/>
  <c r="E1770" i="2"/>
  <c r="F1770" i="2" s="1"/>
  <c r="E1771" i="2"/>
  <c r="F1771" i="2" s="1"/>
  <c r="E1772" i="2"/>
  <c r="F1772" i="2" s="1"/>
  <c r="E1773" i="2"/>
  <c r="F1773" i="2" s="1"/>
  <c r="E1774" i="2"/>
  <c r="F1774" i="2" s="1"/>
  <c r="E1775" i="2"/>
  <c r="F1775" i="2" s="1"/>
  <c r="E1776" i="2"/>
  <c r="F1776" i="2" s="1"/>
  <c r="E1777" i="2"/>
  <c r="F1777" i="2" s="1"/>
  <c r="E1778" i="2"/>
  <c r="F1778" i="2" s="1"/>
  <c r="E1779" i="2"/>
  <c r="F1779" i="2" s="1"/>
  <c r="E1780" i="2"/>
  <c r="F1780" i="2" s="1"/>
  <c r="E1781" i="2"/>
  <c r="F1781" i="2" s="1"/>
  <c r="E1782" i="2"/>
  <c r="F1782" i="2" s="1"/>
  <c r="E1783" i="2"/>
  <c r="F1783" i="2" s="1"/>
  <c r="E1784" i="2"/>
  <c r="F1784" i="2" s="1"/>
  <c r="E1785" i="2"/>
  <c r="F1785" i="2" s="1"/>
  <c r="E1786" i="2"/>
  <c r="F1786" i="2" s="1"/>
  <c r="E1787" i="2"/>
  <c r="F1787" i="2" s="1"/>
  <c r="E1788" i="2"/>
  <c r="F1788" i="2" s="1"/>
  <c r="E1789" i="2"/>
  <c r="F1789" i="2" s="1"/>
  <c r="E1790" i="2"/>
  <c r="F1790" i="2" s="1"/>
  <c r="E1791" i="2"/>
  <c r="F1791" i="2" s="1"/>
  <c r="E1792" i="2"/>
  <c r="F1792" i="2" s="1"/>
  <c r="E1793" i="2"/>
  <c r="F1793" i="2" s="1"/>
  <c r="E1794" i="2"/>
  <c r="F1794" i="2" s="1"/>
  <c r="E1795" i="2"/>
  <c r="F1795" i="2" s="1"/>
  <c r="E1796" i="2"/>
  <c r="F1796" i="2" s="1"/>
  <c r="E1797" i="2"/>
  <c r="F1797" i="2" s="1"/>
  <c r="E1798" i="2"/>
  <c r="F1798" i="2" s="1"/>
  <c r="E1799" i="2"/>
  <c r="F1799" i="2" s="1"/>
  <c r="E1800" i="2"/>
  <c r="F1800" i="2" s="1"/>
  <c r="E1801" i="2"/>
  <c r="F1801" i="2" s="1"/>
  <c r="E1802" i="2"/>
  <c r="F1802" i="2" s="1"/>
  <c r="E1803" i="2"/>
  <c r="F1803" i="2" s="1"/>
  <c r="E1804" i="2"/>
  <c r="F1804" i="2" s="1"/>
  <c r="E1805" i="2"/>
  <c r="F1805" i="2" s="1"/>
  <c r="E1806" i="2"/>
  <c r="F1806" i="2" s="1"/>
  <c r="E1807" i="2"/>
  <c r="F1807" i="2" s="1"/>
  <c r="E1808" i="2"/>
  <c r="F1808" i="2" s="1"/>
  <c r="E1809" i="2"/>
  <c r="F1809" i="2" s="1"/>
  <c r="E1810" i="2"/>
  <c r="F1810" i="2" s="1"/>
  <c r="E1811" i="2"/>
  <c r="F1811" i="2" s="1"/>
  <c r="E1812" i="2"/>
  <c r="F1812" i="2" s="1"/>
  <c r="E1813" i="2"/>
  <c r="F1813" i="2" s="1"/>
  <c r="E1814" i="2"/>
  <c r="F1814" i="2" s="1"/>
  <c r="E1815" i="2"/>
  <c r="F1815" i="2" s="1"/>
  <c r="E1816" i="2"/>
  <c r="F1816" i="2" s="1"/>
  <c r="E1817" i="2"/>
  <c r="F1817" i="2" s="1"/>
  <c r="E1818" i="2"/>
  <c r="F1818" i="2" s="1"/>
  <c r="E1819" i="2"/>
  <c r="F1819" i="2" s="1"/>
  <c r="E1820" i="2"/>
  <c r="F1820" i="2" s="1"/>
  <c r="E1821" i="2"/>
  <c r="F1821" i="2" s="1"/>
  <c r="E1822" i="2"/>
  <c r="F1822" i="2" s="1"/>
  <c r="E1823" i="2"/>
  <c r="F1823" i="2" s="1"/>
  <c r="E1824" i="2"/>
  <c r="F1824" i="2" s="1"/>
  <c r="E1825" i="2"/>
  <c r="F1825" i="2" s="1"/>
  <c r="E1826" i="2"/>
  <c r="F1826" i="2" s="1"/>
  <c r="E1827" i="2"/>
  <c r="F1827" i="2" s="1"/>
  <c r="E1828" i="2"/>
  <c r="F1828" i="2" s="1"/>
  <c r="E1829" i="2"/>
  <c r="F1829" i="2" s="1"/>
  <c r="E1830" i="2"/>
  <c r="F1830" i="2" s="1"/>
  <c r="E1831" i="2"/>
  <c r="F1831" i="2" s="1"/>
  <c r="E1832" i="2"/>
  <c r="F1832" i="2" s="1"/>
  <c r="E1833" i="2"/>
  <c r="F1833" i="2" s="1"/>
  <c r="E1834" i="2"/>
  <c r="F1834" i="2" s="1"/>
  <c r="E1835" i="2"/>
  <c r="F1835" i="2" s="1"/>
  <c r="E1836" i="2"/>
  <c r="F1836" i="2" s="1"/>
  <c r="E1837" i="2"/>
  <c r="F1837" i="2" s="1"/>
  <c r="E1838" i="2"/>
  <c r="F1838" i="2" s="1"/>
  <c r="E1839" i="2"/>
  <c r="F1839" i="2" s="1"/>
  <c r="E1840" i="2"/>
  <c r="F1840" i="2" s="1"/>
  <c r="E1841" i="2"/>
  <c r="F1841" i="2" s="1"/>
  <c r="E1842" i="2"/>
  <c r="F1842" i="2" s="1"/>
  <c r="E1843" i="2"/>
  <c r="F1843" i="2" s="1"/>
  <c r="E1844" i="2"/>
  <c r="F1844" i="2" s="1"/>
  <c r="E1845" i="2"/>
  <c r="F1845" i="2" s="1"/>
  <c r="E1846" i="2"/>
  <c r="F1846" i="2" s="1"/>
  <c r="E1847" i="2"/>
  <c r="F1847" i="2" s="1"/>
  <c r="E1848" i="2"/>
  <c r="F1848" i="2" s="1"/>
  <c r="E1849" i="2"/>
  <c r="F1849" i="2" s="1"/>
  <c r="E1850" i="2"/>
  <c r="F1850" i="2" s="1"/>
  <c r="E1851" i="2"/>
  <c r="F1851" i="2" s="1"/>
  <c r="E1852" i="2"/>
  <c r="F1852" i="2" s="1"/>
  <c r="E1853" i="2"/>
  <c r="F1853" i="2" s="1"/>
  <c r="E1854" i="2"/>
  <c r="F1854" i="2" s="1"/>
  <c r="E1855" i="2"/>
  <c r="F1855" i="2" s="1"/>
  <c r="E1856" i="2"/>
  <c r="F1856" i="2" s="1"/>
  <c r="E1857" i="2"/>
  <c r="F1857" i="2" s="1"/>
  <c r="E1858" i="2"/>
  <c r="F1858" i="2" s="1"/>
  <c r="E1859" i="2"/>
  <c r="F1859" i="2" s="1"/>
  <c r="E1860" i="2"/>
  <c r="F1860" i="2" s="1"/>
  <c r="E1861" i="2"/>
  <c r="F1861" i="2" s="1"/>
  <c r="E1862" i="2"/>
  <c r="F1862" i="2" s="1"/>
  <c r="E1863" i="2"/>
  <c r="F1863" i="2" s="1"/>
  <c r="E1864" i="2"/>
  <c r="F1864" i="2" s="1"/>
  <c r="E1865" i="2"/>
  <c r="F1865" i="2" s="1"/>
  <c r="E1866" i="2"/>
  <c r="F1866" i="2" s="1"/>
  <c r="E1867" i="2"/>
  <c r="F1867" i="2" s="1"/>
  <c r="E1868" i="2"/>
  <c r="F1868" i="2" s="1"/>
  <c r="E1869" i="2"/>
  <c r="F1869" i="2" s="1"/>
  <c r="E1870" i="2"/>
  <c r="F1870" i="2" s="1"/>
  <c r="E1871" i="2"/>
  <c r="F1871" i="2" s="1"/>
  <c r="E1872" i="2"/>
  <c r="F1872" i="2" s="1"/>
  <c r="E1873" i="2"/>
  <c r="F1873" i="2" s="1"/>
  <c r="E1874" i="2"/>
  <c r="F1874" i="2" s="1"/>
  <c r="E1875" i="2"/>
  <c r="F1875" i="2" s="1"/>
  <c r="E1876" i="2"/>
  <c r="F1876" i="2" s="1"/>
  <c r="E1877" i="2"/>
  <c r="F1877" i="2" s="1"/>
  <c r="E1878" i="2"/>
  <c r="F1878" i="2" s="1"/>
  <c r="E1879" i="2"/>
  <c r="F1879" i="2" s="1"/>
  <c r="E1880" i="2"/>
  <c r="F1880" i="2" s="1"/>
  <c r="E1881" i="2"/>
  <c r="F1881" i="2" s="1"/>
  <c r="E1882" i="2"/>
  <c r="F1882" i="2" s="1"/>
  <c r="E1883" i="2"/>
  <c r="F1883" i="2" s="1"/>
  <c r="E1884" i="2"/>
  <c r="F1884" i="2" s="1"/>
  <c r="E1885" i="2"/>
  <c r="F1885" i="2" s="1"/>
  <c r="E1886" i="2"/>
  <c r="F1886" i="2" s="1"/>
  <c r="E1887" i="2"/>
  <c r="F1887" i="2" s="1"/>
  <c r="E1888" i="2"/>
  <c r="F1888" i="2" s="1"/>
  <c r="E1889" i="2"/>
  <c r="F1889" i="2" s="1"/>
  <c r="E1890" i="2"/>
  <c r="F1890" i="2" s="1"/>
  <c r="E1891" i="2"/>
  <c r="F1891" i="2" s="1"/>
  <c r="E1892" i="2"/>
  <c r="F1892" i="2" s="1"/>
  <c r="E1893" i="2"/>
  <c r="F1893" i="2" s="1"/>
  <c r="E1894" i="2"/>
  <c r="F1894" i="2" s="1"/>
  <c r="E1895" i="2"/>
  <c r="F1895" i="2" s="1"/>
  <c r="E1896" i="2"/>
  <c r="F1896" i="2" s="1"/>
  <c r="E1897" i="2"/>
  <c r="F1897" i="2" s="1"/>
  <c r="E1898" i="2"/>
  <c r="F1898" i="2" s="1"/>
  <c r="E1899" i="2"/>
  <c r="F1899" i="2" s="1"/>
  <c r="E1900" i="2"/>
  <c r="F1900" i="2" s="1"/>
  <c r="E1901" i="2"/>
  <c r="F1901" i="2" s="1"/>
  <c r="E1902" i="2"/>
  <c r="F1902" i="2" s="1"/>
  <c r="E1903" i="2"/>
  <c r="F1903" i="2" s="1"/>
  <c r="E1904" i="2"/>
  <c r="F1904" i="2" s="1"/>
  <c r="E1905" i="2"/>
  <c r="F1905" i="2" s="1"/>
  <c r="E1906" i="2"/>
  <c r="F1906" i="2" s="1"/>
  <c r="E1907" i="2"/>
  <c r="F1907" i="2" s="1"/>
  <c r="E1908" i="2"/>
  <c r="F1908" i="2" s="1"/>
  <c r="E1909" i="2"/>
  <c r="F1909" i="2" s="1"/>
  <c r="E1910" i="2"/>
  <c r="F1910" i="2" s="1"/>
  <c r="E1911" i="2"/>
  <c r="F1911" i="2" s="1"/>
  <c r="E1912" i="2"/>
  <c r="F1912" i="2" s="1"/>
  <c r="E1913" i="2"/>
  <c r="F1913" i="2" s="1"/>
  <c r="E1914" i="2"/>
  <c r="F1914" i="2" s="1"/>
  <c r="E1915" i="2"/>
  <c r="F1915" i="2" s="1"/>
  <c r="E1916" i="2"/>
  <c r="F1916" i="2" s="1"/>
  <c r="E1917" i="2"/>
  <c r="F1917" i="2" s="1"/>
  <c r="E1918" i="2"/>
  <c r="F1918" i="2" s="1"/>
  <c r="E1919" i="2"/>
  <c r="F1919" i="2" s="1"/>
  <c r="E1920" i="2"/>
  <c r="F1920" i="2" s="1"/>
  <c r="E1921" i="2"/>
  <c r="F1921" i="2" s="1"/>
  <c r="E1922" i="2"/>
  <c r="F1922" i="2" s="1"/>
  <c r="E1923" i="2"/>
  <c r="F1923" i="2" s="1"/>
  <c r="E1924" i="2"/>
  <c r="F1924" i="2" s="1"/>
  <c r="E1925" i="2"/>
  <c r="F1925" i="2" s="1"/>
  <c r="E1926" i="2"/>
  <c r="F1926" i="2" s="1"/>
  <c r="E1927" i="2"/>
  <c r="F1927" i="2" s="1"/>
  <c r="E1928" i="2"/>
  <c r="F1928" i="2" s="1"/>
  <c r="E1929" i="2"/>
  <c r="F1929" i="2" s="1"/>
  <c r="E1930" i="2"/>
  <c r="F1930" i="2" s="1"/>
  <c r="E1931" i="2"/>
  <c r="F1931" i="2" s="1"/>
  <c r="E1932" i="2"/>
  <c r="F1932" i="2" s="1"/>
  <c r="E1933" i="2"/>
  <c r="F1933" i="2" s="1"/>
  <c r="E1934" i="2"/>
  <c r="F1934" i="2" s="1"/>
  <c r="E1935" i="2"/>
  <c r="F1935" i="2" s="1"/>
  <c r="E1936" i="2"/>
  <c r="F1936" i="2" s="1"/>
  <c r="E1937" i="2"/>
  <c r="F1937" i="2" s="1"/>
  <c r="E1938" i="2"/>
  <c r="F1938" i="2" s="1"/>
  <c r="E1939" i="2"/>
  <c r="F1939" i="2" s="1"/>
  <c r="E1940" i="2"/>
  <c r="F1940" i="2" s="1"/>
  <c r="E1941" i="2"/>
  <c r="F1941" i="2" s="1"/>
  <c r="E1942" i="2"/>
  <c r="F1942" i="2" s="1"/>
  <c r="E1943" i="2"/>
  <c r="F1943" i="2" s="1"/>
  <c r="E1944" i="2"/>
  <c r="F1944" i="2" s="1"/>
  <c r="E1945" i="2"/>
  <c r="F1945" i="2" s="1"/>
  <c r="E1946" i="2"/>
  <c r="F1946" i="2" s="1"/>
  <c r="E1947" i="2"/>
  <c r="F1947" i="2" s="1"/>
  <c r="E1948" i="2"/>
  <c r="F1948" i="2" s="1"/>
  <c r="E1949" i="2"/>
  <c r="F1949" i="2" s="1"/>
  <c r="E1950" i="2"/>
  <c r="F1950" i="2" s="1"/>
  <c r="E1951" i="2"/>
  <c r="F1951" i="2" s="1"/>
  <c r="E1952" i="2"/>
  <c r="F1952" i="2" s="1"/>
  <c r="E1953" i="2"/>
  <c r="F1953" i="2" s="1"/>
  <c r="E1954" i="2"/>
  <c r="F1954" i="2" s="1"/>
  <c r="E1955" i="2"/>
  <c r="F1955" i="2" s="1"/>
  <c r="E1956" i="2"/>
  <c r="F1956" i="2" s="1"/>
  <c r="E1957" i="2"/>
  <c r="F1957" i="2" s="1"/>
  <c r="E1958" i="2"/>
  <c r="F1958" i="2" s="1"/>
  <c r="E1959" i="2"/>
  <c r="F1959" i="2" s="1"/>
  <c r="E1960" i="2"/>
  <c r="F1960" i="2" s="1"/>
  <c r="E1961" i="2"/>
  <c r="F1961" i="2" s="1"/>
  <c r="E1962" i="2"/>
  <c r="F1962" i="2" s="1"/>
  <c r="E1963" i="2"/>
  <c r="F1963" i="2" s="1"/>
  <c r="E1964" i="2"/>
  <c r="F1964" i="2" s="1"/>
  <c r="E1965" i="2"/>
  <c r="F1965" i="2" s="1"/>
  <c r="E1966" i="2"/>
  <c r="F1966" i="2" s="1"/>
  <c r="E1967" i="2"/>
  <c r="F1967" i="2" s="1"/>
  <c r="E1968" i="2"/>
  <c r="F1968" i="2" s="1"/>
  <c r="E1969" i="2"/>
  <c r="F1969" i="2" s="1"/>
  <c r="E1970" i="2"/>
  <c r="F1970" i="2" s="1"/>
  <c r="E1971" i="2"/>
  <c r="F1971" i="2" s="1"/>
  <c r="E1972" i="2"/>
  <c r="F1972" i="2" s="1"/>
  <c r="E1973" i="2"/>
  <c r="F1973" i="2" s="1"/>
  <c r="E1974" i="2"/>
  <c r="F1974" i="2" s="1"/>
  <c r="E1975" i="2"/>
  <c r="F1975" i="2" s="1"/>
  <c r="E1976" i="2"/>
  <c r="F1976" i="2" s="1"/>
  <c r="E1977" i="2"/>
  <c r="F1977" i="2" s="1"/>
  <c r="E1978" i="2"/>
  <c r="F1978" i="2" s="1"/>
  <c r="E1979" i="2"/>
  <c r="F1979" i="2" s="1"/>
  <c r="E1980" i="2"/>
  <c r="F1980" i="2" s="1"/>
  <c r="E1981" i="2"/>
  <c r="F1981" i="2" s="1"/>
  <c r="E1982" i="2"/>
  <c r="F1982" i="2" s="1"/>
  <c r="E1983" i="2"/>
  <c r="F1983" i="2" s="1"/>
  <c r="E1984" i="2"/>
  <c r="F1984" i="2" s="1"/>
  <c r="E1985" i="2"/>
  <c r="F1985" i="2" s="1"/>
  <c r="E1986" i="2"/>
  <c r="F1986" i="2" s="1"/>
  <c r="E1987" i="2"/>
  <c r="F1987" i="2" s="1"/>
  <c r="E1988" i="2"/>
  <c r="F1988" i="2" s="1"/>
  <c r="E1989" i="2"/>
  <c r="F1989" i="2" s="1"/>
  <c r="E1990" i="2"/>
  <c r="F1990" i="2" s="1"/>
  <c r="E1991" i="2"/>
  <c r="F1991" i="2" s="1"/>
  <c r="E1992" i="2"/>
  <c r="F1992" i="2" s="1"/>
  <c r="E1993" i="2"/>
  <c r="F1993" i="2" s="1"/>
  <c r="E1994" i="2"/>
  <c r="F1994" i="2" s="1"/>
  <c r="E1995" i="2"/>
  <c r="F1995" i="2" s="1"/>
  <c r="E1996" i="2"/>
  <c r="F1996" i="2" s="1"/>
  <c r="E1997" i="2"/>
  <c r="F1997" i="2" s="1"/>
  <c r="E1998" i="2"/>
  <c r="F1998" i="2" s="1"/>
  <c r="E1999" i="2"/>
  <c r="F1999" i="2" s="1"/>
  <c r="E2000" i="2"/>
  <c r="F2000" i="2" s="1"/>
  <c r="E2001" i="2"/>
  <c r="F2001" i="2" s="1"/>
  <c r="E2002" i="2"/>
  <c r="F2002" i="2" s="1"/>
  <c r="E2003" i="2"/>
  <c r="F2003" i="2" s="1"/>
  <c r="E2004" i="2"/>
  <c r="F2004" i="2" s="1"/>
  <c r="E2005" i="2"/>
  <c r="F2005" i="2" s="1"/>
  <c r="E2006" i="2"/>
  <c r="F2006" i="2" s="1"/>
  <c r="E2007" i="2"/>
  <c r="F2007" i="2" s="1"/>
  <c r="E2008" i="2"/>
  <c r="F2008" i="2" s="1"/>
  <c r="E2009" i="2"/>
  <c r="F2009" i="2" s="1"/>
  <c r="E2010" i="2"/>
  <c r="F2010" i="2" s="1"/>
  <c r="E2011" i="2"/>
  <c r="F2011" i="2" s="1"/>
  <c r="E2012" i="2"/>
  <c r="F2012" i="2" s="1"/>
  <c r="E2013" i="2"/>
  <c r="F2013" i="2" s="1"/>
  <c r="E2014" i="2"/>
  <c r="F2014" i="2" s="1"/>
  <c r="E2015" i="2"/>
  <c r="F2015" i="2" s="1"/>
  <c r="E2016" i="2"/>
  <c r="F2016" i="2" s="1"/>
  <c r="E2017" i="2"/>
  <c r="F2017" i="2" s="1"/>
  <c r="E2018" i="2"/>
  <c r="F2018" i="2" s="1"/>
  <c r="E2019" i="2"/>
  <c r="F2019" i="2" s="1"/>
  <c r="E2020" i="2"/>
  <c r="F2020" i="2" s="1"/>
  <c r="E2021" i="2"/>
  <c r="F2021" i="2" s="1"/>
  <c r="E2022" i="2"/>
  <c r="F2022" i="2" s="1"/>
  <c r="E2023" i="2"/>
  <c r="F2023" i="2" s="1"/>
  <c r="E2024" i="2"/>
  <c r="F2024" i="2" s="1"/>
  <c r="E2025" i="2"/>
  <c r="F2025" i="2" s="1"/>
  <c r="E2026" i="2"/>
  <c r="F2026" i="2" s="1"/>
  <c r="E2027" i="2"/>
  <c r="F2027" i="2" s="1"/>
  <c r="E2028" i="2"/>
  <c r="F2028" i="2" s="1"/>
  <c r="E2029" i="2"/>
  <c r="F2029" i="2" s="1"/>
  <c r="E2030" i="2"/>
  <c r="F2030" i="2" s="1"/>
  <c r="E2031" i="2"/>
  <c r="F2031" i="2" s="1"/>
  <c r="E2032" i="2"/>
  <c r="F2032" i="2" s="1"/>
  <c r="E2033" i="2"/>
  <c r="F2033" i="2" s="1"/>
  <c r="E2034" i="2"/>
  <c r="F2034" i="2" s="1"/>
  <c r="E2035" i="2"/>
  <c r="F2035" i="2" s="1"/>
  <c r="E2036" i="2"/>
  <c r="F2036" i="2" s="1"/>
  <c r="E2037" i="2"/>
  <c r="F2037" i="2" s="1"/>
  <c r="E2038" i="2"/>
  <c r="F2038" i="2" s="1"/>
  <c r="E2039" i="2"/>
  <c r="F2039" i="2" s="1"/>
  <c r="E2040" i="2"/>
  <c r="F2040" i="2" s="1"/>
  <c r="E2041" i="2"/>
  <c r="F2041" i="2" s="1"/>
  <c r="E2042" i="2"/>
  <c r="F2042" i="2" s="1"/>
  <c r="E2043" i="2"/>
  <c r="F2043" i="2" s="1"/>
  <c r="E2044" i="2"/>
  <c r="F2044" i="2" s="1"/>
  <c r="E2045" i="2"/>
  <c r="F2045" i="2" s="1"/>
  <c r="E2046" i="2"/>
  <c r="F2046" i="2" s="1"/>
  <c r="E2047" i="2"/>
  <c r="F2047" i="2" s="1"/>
  <c r="E2048" i="2"/>
  <c r="F2048" i="2" s="1"/>
  <c r="E2049" i="2"/>
  <c r="F2049" i="2" s="1"/>
  <c r="E2050" i="2"/>
  <c r="F2050" i="2" s="1"/>
  <c r="E2051" i="2"/>
  <c r="F2051" i="2" s="1"/>
  <c r="E2052" i="2"/>
  <c r="F2052" i="2" s="1"/>
  <c r="E2053" i="2"/>
  <c r="F2053" i="2" s="1"/>
  <c r="E2054" i="2"/>
  <c r="F2054" i="2" s="1"/>
  <c r="E2055" i="2"/>
  <c r="F2055" i="2" s="1"/>
  <c r="E2056" i="2"/>
  <c r="F2056" i="2" s="1"/>
  <c r="E2057" i="2"/>
  <c r="F2057" i="2" s="1"/>
  <c r="E2058" i="2"/>
  <c r="F2058" i="2" s="1"/>
  <c r="E2059" i="2"/>
  <c r="F2059" i="2" s="1"/>
  <c r="E2060" i="2"/>
  <c r="F2060" i="2" s="1"/>
  <c r="E2061" i="2"/>
  <c r="F2061" i="2" s="1"/>
  <c r="E2062" i="2"/>
  <c r="F2062" i="2" s="1"/>
  <c r="E2063" i="2"/>
  <c r="F2063" i="2" s="1"/>
  <c r="E2064" i="2"/>
  <c r="F2064" i="2" s="1"/>
  <c r="E2065" i="2"/>
  <c r="F2065" i="2" s="1"/>
  <c r="E2066" i="2"/>
  <c r="F2066" i="2" s="1"/>
  <c r="E2067" i="2"/>
  <c r="F2067" i="2" s="1"/>
  <c r="E2068" i="2"/>
  <c r="F2068" i="2" s="1"/>
  <c r="E2069" i="2"/>
  <c r="F2069" i="2" s="1"/>
  <c r="E2070" i="2"/>
  <c r="F2070" i="2" s="1"/>
  <c r="E2071" i="2"/>
  <c r="F2071" i="2" s="1"/>
  <c r="E2072" i="2"/>
  <c r="F2072" i="2" s="1"/>
  <c r="E2073" i="2"/>
  <c r="F2073" i="2" s="1"/>
  <c r="E2074" i="2"/>
  <c r="F2074" i="2" s="1"/>
  <c r="E2075" i="2"/>
  <c r="F2075" i="2" s="1"/>
  <c r="E2076" i="2"/>
  <c r="F2076" i="2" s="1"/>
  <c r="E2077" i="2"/>
  <c r="F2077" i="2" s="1"/>
  <c r="E2078" i="2"/>
  <c r="F2078" i="2" s="1"/>
  <c r="E2079" i="2"/>
  <c r="F2079" i="2" s="1"/>
  <c r="E2080" i="2"/>
  <c r="F2080" i="2" s="1"/>
  <c r="E2081" i="2"/>
  <c r="F2081" i="2" s="1"/>
  <c r="E2082" i="2"/>
  <c r="F2082" i="2" s="1"/>
  <c r="E2083" i="2"/>
  <c r="F2083" i="2" s="1"/>
  <c r="E2084" i="2"/>
  <c r="F2084" i="2" s="1"/>
  <c r="E2085" i="2"/>
  <c r="F2085" i="2" s="1"/>
  <c r="E2086" i="2"/>
  <c r="F2086" i="2" s="1"/>
  <c r="E2087" i="2"/>
  <c r="F2087" i="2" s="1"/>
  <c r="E2088" i="2"/>
  <c r="F2088" i="2" s="1"/>
  <c r="E2089" i="2"/>
  <c r="F2089" i="2" s="1"/>
  <c r="E2090" i="2"/>
  <c r="F2090" i="2" s="1"/>
  <c r="E2091" i="2"/>
  <c r="F2091" i="2" s="1"/>
  <c r="E2092" i="2"/>
  <c r="F2092" i="2" s="1"/>
  <c r="E2093" i="2"/>
  <c r="F2093" i="2" s="1"/>
  <c r="E2094" i="2"/>
  <c r="F2094" i="2" s="1"/>
  <c r="E2095" i="2"/>
  <c r="F2095" i="2" s="1"/>
  <c r="E2096" i="2"/>
  <c r="F2096" i="2" s="1"/>
  <c r="E2097" i="2"/>
  <c r="F2097" i="2" s="1"/>
  <c r="E2098" i="2"/>
  <c r="F2098" i="2" s="1"/>
  <c r="E2099" i="2"/>
  <c r="F2099" i="2" s="1"/>
  <c r="E2100" i="2"/>
  <c r="F2100" i="2" s="1"/>
  <c r="E2101" i="2"/>
  <c r="F2101" i="2" s="1"/>
  <c r="E2102" i="2"/>
  <c r="F2102" i="2" s="1"/>
  <c r="E2103" i="2"/>
  <c r="F2103" i="2" s="1"/>
  <c r="E2104" i="2"/>
  <c r="F2104" i="2" s="1"/>
  <c r="E2105" i="2"/>
  <c r="F2105" i="2" s="1"/>
  <c r="E2106" i="2"/>
  <c r="F2106" i="2" s="1"/>
  <c r="E2107" i="2"/>
  <c r="F2107" i="2" s="1"/>
  <c r="E2108" i="2"/>
  <c r="F2108" i="2" s="1"/>
  <c r="E2109" i="2"/>
  <c r="F2109" i="2" s="1"/>
  <c r="E2110" i="2"/>
  <c r="F2110" i="2" s="1"/>
  <c r="E2111" i="2"/>
  <c r="F2111" i="2" s="1"/>
  <c r="E2112" i="2"/>
  <c r="F2112" i="2" s="1"/>
  <c r="E2113" i="2"/>
  <c r="F2113" i="2" s="1"/>
  <c r="E2114" i="2"/>
  <c r="F2114" i="2" s="1"/>
  <c r="E2115" i="2"/>
  <c r="F2115" i="2" s="1"/>
  <c r="E2116" i="2"/>
  <c r="F2116" i="2" s="1"/>
  <c r="E2117" i="2"/>
  <c r="F2117" i="2" s="1"/>
  <c r="E2118" i="2"/>
  <c r="F2118" i="2" s="1"/>
  <c r="E2119" i="2"/>
  <c r="F2119" i="2" s="1"/>
  <c r="E2120" i="2"/>
  <c r="F2120" i="2" s="1"/>
  <c r="E2121" i="2"/>
  <c r="F2121" i="2" s="1"/>
  <c r="E2122" i="2"/>
  <c r="F2122" i="2" s="1"/>
  <c r="E2123" i="2"/>
  <c r="F2123" i="2" s="1"/>
  <c r="E2124" i="2"/>
  <c r="F2124" i="2" s="1"/>
  <c r="E2125" i="2"/>
  <c r="F2125" i="2" s="1"/>
  <c r="E2126" i="2"/>
  <c r="F2126" i="2" s="1"/>
  <c r="E2127" i="2"/>
  <c r="F2127" i="2" s="1"/>
  <c r="E2128" i="2"/>
  <c r="F2128" i="2" s="1"/>
  <c r="E2129" i="2"/>
  <c r="F2129" i="2" s="1"/>
  <c r="E2130" i="2"/>
  <c r="F2130" i="2" s="1"/>
  <c r="E2131" i="2"/>
  <c r="F2131" i="2" s="1"/>
  <c r="E2132" i="2"/>
  <c r="F2132" i="2" s="1"/>
  <c r="E2133" i="2"/>
  <c r="F2133" i="2" s="1"/>
  <c r="E2134" i="2"/>
  <c r="F2134" i="2" s="1"/>
  <c r="E2135" i="2"/>
  <c r="F2135" i="2" s="1"/>
  <c r="E2136" i="2"/>
  <c r="F2136" i="2" s="1"/>
  <c r="E2137" i="2"/>
  <c r="F2137" i="2" s="1"/>
  <c r="E2138" i="2"/>
  <c r="F2138" i="2" s="1"/>
  <c r="E2139" i="2"/>
  <c r="F2139" i="2" s="1"/>
  <c r="E2140" i="2"/>
  <c r="F2140" i="2" s="1"/>
  <c r="E2141" i="2"/>
  <c r="F2141" i="2" s="1"/>
  <c r="E2142" i="2"/>
  <c r="F2142" i="2" s="1"/>
  <c r="E2143" i="2"/>
  <c r="F2143" i="2" s="1"/>
  <c r="E2144" i="2"/>
  <c r="F2144" i="2" s="1"/>
  <c r="E2145" i="2"/>
  <c r="F2145" i="2" s="1"/>
  <c r="E2146" i="2"/>
  <c r="F2146" i="2" s="1"/>
  <c r="E2147" i="2"/>
  <c r="F2147" i="2" s="1"/>
  <c r="E2148" i="2"/>
  <c r="F2148" i="2" s="1"/>
  <c r="E2149" i="2"/>
  <c r="F2149" i="2" s="1"/>
  <c r="E2150" i="2"/>
  <c r="F2150" i="2" s="1"/>
  <c r="E2151" i="2"/>
  <c r="F2151" i="2" s="1"/>
  <c r="E2152" i="2"/>
  <c r="F2152" i="2" s="1"/>
  <c r="E2153" i="2"/>
  <c r="F2153" i="2" s="1"/>
  <c r="E2154" i="2"/>
  <c r="F2154" i="2" s="1"/>
  <c r="E2155" i="2"/>
  <c r="F2155" i="2" s="1"/>
  <c r="E2156" i="2"/>
  <c r="F2156" i="2" s="1"/>
  <c r="E2157" i="2"/>
  <c r="F2157" i="2" s="1"/>
  <c r="E2158" i="2"/>
  <c r="F2158" i="2" s="1"/>
  <c r="E2159" i="2"/>
  <c r="F2159" i="2" s="1"/>
  <c r="E2160" i="2"/>
  <c r="F2160" i="2" s="1"/>
  <c r="E2161" i="2"/>
  <c r="F2161" i="2" s="1"/>
  <c r="E2162" i="2"/>
  <c r="F2162" i="2" s="1"/>
  <c r="E2163" i="2"/>
  <c r="F2163" i="2" s="1"/>
  <c r="E2164" i="2"/>
  <c r="F2164" i="2" s="1"/>
  <c r="E2165" i="2"/>
  <c r="F2165" i="2" s="1"/>
  <c r="E2166" i="2"/>
  <c r="F2166" i="2" s="1"/>
  <c r="E2167" i="2"/>
  <c r="F2167" i="2" s="1"/>
  <c r="E2168" i="2"/>
  <c r="F2168" i="2" s="1"/>
  <c r="E2169" i="2"/>
  <c r="F2169" i="2" s="1"/>
  <c r="E2170" i="2"/>
  <c r="F2170" i="2" s="1"/>
  <c r="E2171" i="2"/>
  <c r="F2171" i="2" s="1"/>
  <c r="E2172" i="2"/>
  <c r="F2172" i="2" s="1"/>
  <c r="E2173" i="2"/>
  <c r="F2173" i="2" s="1"/>
  <c r="E2174" i="2"/>
  <c r="F2174" i="2" s="1"/>
  <c r="E2175" i="2"/>
  <c r="F2175" i="2" s="1"/>
  <c r="E2176" i="2"/>
  <c r="F2176" i="2" s="1"/>
  <c r="E2177" i="2"/>
  <c r="F2177" i="2" s="1"/>
  <c r="E2178" i="2"/>
  <c r="F2178" i="2" s="1"/>
  <c r="E2179" i="2"/>
  <c r="F2179" i="2" s="1"/>
  <c r="E2180" i="2"/>
  <c r="F2180" i="2" s="1"/>
  <c r="E2181" i="2"/>
  <c r="F2181" i="2" s="1"/>
  <c r="E2182" i="2"/>
  <c r="F2182" i="2" s="1"/>
  <c r="E2183" i="2"/>
  <c r="F2183" i="2" s="1"/>
  <c r="E2184" i="2"/>
  <c r="F2184" i="2" s="1"/>
  <c r="E2185" i="2"/>
  <c r="F2185" i="2" s="1"/>
  <c r="E2186" i="2"/>
  <c r="F2186" i="2" s="1"/>
  <c r="E2187" i="2"/>
  <c r="F2187" i="2" s="1"/>
  <c r="E2188" i="2"/>
  <c r="F2188" i="2" s="1"/>
  <c r="E2189" i="2"/>
  <c r="F2189" i="2" s="1"/>
  <c r="E2190" i="2"/>
  <c r="F2190" i="2" s="1"/>
  <c r="E2191" i="2"/>
  <c r="F2191" i="2" s="1"/>
  <c r="E2192" i="2"/>
  <c r="F2192" i="2" s="1"/>
  <c r="E2193" i="2"/>
  <c r="F2193" i="2" s="1"/>
  <c r="E2194" i="2"/>
  <c r="F2194" i="2" s="1"/>
  <c r="E2195" i="2"/>
  <c r="F2195" i="2" s="1"/>
  <c r="E2196" i="2"/>
  <c r="F2196" i="2" s="1"/>
  <c r="E2197" i="2"/>
  <c r="F2197" i="2" s="1"/>
  <c r="E2198" i="2"/>
  <c r="F2198" i="2" s="1"/>
  <c r="E2199" i="2"/>
  <c r="F2199" i="2" s="1"/>
  <c r="E2200" i="2"/>
  <c r="F2200" i="2" s="1"/>
  <c r="E2201" i="2"/>
  <c r="F2201" i="2" s="1"/>
  <c r="E2202" i="2"/>
  <c r="F2202" i="2" s="1"/>
  <c r="E2203" i="2"/>
  <c r="F2203" i="2" s="1"/>
  <c r="E2204" i="2"/>
  <c r="F2204" i="2" s="1"/>
  <c r="E2205" i="2"/>
  <c r="F2205" i="2" s="1"/>
  <c r="E2206" i="2"/>
  <c r="F2206" i="2" s="1"/>
  <c r="E2207" i="2"/>
  <c r="F2207" i="2" s="1"/>
  <c r="E2208" i="2"/>
  <c r="F2208" i="2" s="1"/>
  <c r="E2209" i="2"/>
  <c r="F2209" i="2" s="1"/>
  <c r="E2210" i="2"/>
  <c r="F2210" i="2" s="1"/>
  <c r="E2211" i="2"/>
  <c r="F2211" i="2" s="1"/>
  <c r="E2212" i="2"/>
  <c r="F2212" i="2" s="1"/>
  <c r="E2213" i="2"/>
  <c r="F2213" i="2" s="1"/>
  <c r="E2214" i="2"/>
  <c r="F2214" i="2" s="1"/>
  <c r="E2215" i="2"/>
  <c r="F2215" i="2" s="1"/>
  <c r="E2216" i="2"/>
  <c r="F2216" i="2" s="1"/>
  <c r="E2217" i="2"/>
  <c r="F2217" i="2" s="1"/>
  <c r="E2218" i="2"/>
  <c r="F2218" i="2" s="1"/>
  <c r="E2219" i="2"/>
  <c r="F2219" i="2" s="1"/>
  <c r="E2220" i="2"/>
  <c r="F2220" i="2" s="1"/>
  <c r="E2221" i="2"/>
  <c r="F2221" i="2" s="1"/>
  <c r="E2222" i="2"/>
  <c r="F2222" i="2" s="1"/>
  <c r="E2223" i="2"/>
  <c r="F2223" i="2" s="1"/>
  <c r="E2224" i="2"/>
  <c r="F2224" i="2" s="1"/>
  <c r="E2225" i="2"/>
  <c r="F2225" i="2" s="1"/>
  <c r="E2226" i="2"/>
  <c r="F2226" i="2" s="1"/>
  <c r="E2227" i="2"/>
  <c r="F2227" i="2" s="1"/>
  <c r="E2228" i="2"/>
  <c r="F2228" i="2" s="1"/>
  <c r="E2229" i="2"/>
  <c r="F2229" i="2" s="1"/>
  <c r="E2230" i="2"/>
  <c r="F2230" i="2" s="1"/>
  <c r="E2231" i="2"/>
  <c r="F2231" i="2" s="1"/>
  <c r="E2232" i="2"/>
  <c r="F2232" i="2" s="1"/>
  <c r="E2233" i="2"/>
  <c r="F2233" i="2" s="1"/>
  <c r="E2234" i="2"/>
  <c r="F2234" i="2" s="1"/>
  <c r="E2235" i="2"/>
  <c r="F2235" i="2" s="1"/>
  <c r="E2236" i="2"/>
  <c r="F2236" i="2" s="1"/>
  <c r="E2237" i="2"/>
  <c r="F2237" i="2" s="1"/>
  <c r="E2238" i="2"/>
  <c r="F2238" i="2" s="1"/>
  <c r="E2239" i="2"/>
  <c r="F2239" i="2" s="1"/>
  <c r="E2240" i="2"/>
  <c r="F2240" i="2" s="1"/>
  <c r="E2241" i="2"/>
  <c r="F2241" i="2" s="1"/>
  <c r="E2242" i="2"/>
  <c r="F2242" i="2" s="1"/>
  <c r="E2243" i="2"/>
  <c r="F2243" i="2" s="1"/>
  <c r="E2244" i="2"/>
  <c r="F2244" i="2" s="1"/>
  <c r="E2245" i="2"/>
  <c r="F2245" i="2" s="1"/>
  <c r="E2246" i="2"/>
  <c r="F2246" i="2" s="1"/>
  <c r="E2247" i="2"/>
  <c r="F2247" i="2" s="1"/>
  <c r="E2248" i="2"/>
  <c r="F2248" i="2" s="1"/>
  <c r="E2249" i="2"/>
  <c r="F2249" i="2" s="1"/>
  <c r="E2250" i="2"/>
  <c r="F2250" i="2" s="1"/>
  <c r="E2251" i="2"/>
  <c r="F2251" i="2" s="1"/>
  <c r="E2252" i="2"/>
  <c r="F2252" i="2" s="1"/>
  <c r="E2253" i="2"/>
  <c r="F2253" i="2" s="1"/>
  <c r="E2254" i="2"/>
  <c r="F2254" i="2" s="1"/>
  <c r="E2255" i="2"/>
  <c r="F2255" i="2" s="1"/>
  <c r="E2256" i="2"/>
  <c r="F2256" i="2" s="1"/>
  <c r="E2257" i="2"/>
  <c r="F2257" i="2" s="1"/>
  <c r="E2258" i="2"/>
  <c r="F2258" i="2" s="1"/>
  <c r="E2259" i="2"/>
  <c r="F2259" i="2" s="1"/>
  <c r="E2260" i="2"/>
  <c r="F2260" i="2" s="1"/>
  <c r="E2261" i="2"/>
  <c r="F2261" i="2" s="1"/>
  <c r="E2262" i="2"/>
  <c r="F2262" i="2" s="1"/>
  <c r="E2263" i="2"/>
  <c r="F2263" i="2" s="1"/>
  <c r="E2264" i="2"/>
  <c r="F2264" i="2" s="1"/>
  <c r="E2265" i="2"/>
  <c r="F2265" i="2" s="1"/>
  <c r="E2266" i="2"/>
  <c r="F2266" i="2" s="1"/>
  <c r="E2267" i="2"/>
  <c r="F2267" i="2" s="1"/>
  <c r="E2268" i="2"/>
  <c r="F2268" i="2" s="1"/>
  <c r="E2269" i="2"/>
  <c r="F2269" i="2" s="1"/>
  <c r="E2270" i="2"/>
  <c r="F2270" i="2" s="1"/>
  <c r="E2271" i="2"/>
  <c r="F2271" i="2" s="1"/>
  <c r="E2272" i="2"/>
  <c r="F2272" i="2" s="1"/>
  <c r="E2273" i="2"/>
  <c r="F2273" i="2" s="1"/>
  <c r="E2274" i="2"/>
  <c r="F2274" i="2" s="1"/>
  <c r="E2275" i="2"/>
  <c r="F2275" i="2" s="1"/>
  <c r="E2276" i="2"/>
  <c r="F2276" i="2" s="1"/>
  <c r="E2277" i="2"/>
  <c r="F2277" i="2" s="1"/>
  <c r="E2278" i="2"/>
  <c r="F2278" i="2" s="1"/>
  <c r="E2279" i="2"/>
  <c r="F2279" i="2" s="1"/>
  <c r="E2280" i="2"/>
  <c r="F2280" i="2" s="1"/>
  <c r="E2281" i="2"/>
  <c r="F2281" i="2" s="1"/>
  <c r="E2282" i="2"/>
  <c r="F2282" i="2" s="1"/>
  <c r="E2283" i="2"/>
  <c r="F2283" i="2" s="1"/>
  <c r="E2284" i="2"/>
  <c r="F2284" i="2" s="1"/>
  <c r="E2285" i="2"/>
  <c r="F2285" i="2" s="1"/>
  <c r="E2286" i="2"/>
  <c r="F2286" i="2" s="1"/>
  <c r="E2287" i="2"/>
  <c r="F2287" i="2" s="1"/>
  <c r="E2288" i="2"/>
  <c r="F2288" i="2" s="1"/>
  <c r="E2289" i="2"/>
  <c r="F2289" i="2" s="1"/>
  <c r="E2290" i="2"/>
  <c r="F2290" i="2" s="1"/>
  <c r="E2291" i="2"/>
  <c r="F2291" i="2" s="1"/>
  <c r="E2292" i="2"/>
  <c r="F2292" i="2" s="1"/>
  <c r="E2293" i="2"/>
  <c r="F2293" i="2" s="1"/>
  <c r="E2294" i="2"/>
  <c r="F2294" i="2" s="1"/>
  <c r="E2295" i="2"/>
  <c r="F2295" i="2" s="1"/>
  <c r="E2296" i="2"/>
  <c r="F2296" i="2" s="1"/>
  <c r="E2297" i="2"/>
  <c r="F2297" i="2" s="1"/>
  <c r="E2298" i="2"/>
  <c r="F2298" i="2" s="1"/>
  <c r="E2299" i="2"/>
  <c r="F2299" i="2" s="1"/>
  <c r="E2300" i="2"/>
  <c r="F2300" i="2" s="1"/>
  <c r="E2301" i="2"/>
  <c r="F2301" i="2" s="1"/>
  <c r="E2302" i="2"/>
  <c r="F2302" i="2" s="1"/>
  <c r="E2303" i="2"/>
  <c r="F2303" i="2" s="1"/>
  <c r="E2304" i="2"/>
  <c r="F2304" i="2" s="1"/>
  <c r="E2305" i="2"/>
  <c r="F2305" i="2" s="1"/>
  <c r="E2306" i="2"/>
  <c r="F2306" i="2" s="1"/>
  <c r="E2307" i="2"/>
  <c r="F2307" i="2" s="1"/>
  <c r="E2308" i="2"/>
  <c r="F2308" i="2" s="1"/>
  <c r="E2309" i="2"/>
  <c r="F2309" i="2" s="1"/>
  <c r="K181" i="4" l="1"/>
  <c r="K1" i="3"/>
  <c r="K1" i="2"/>
  <c r="Q38" i="4" l="1" a="1"/>
  <c r="Q38" i="4" s="1"/>
  <c r="Q26" i="4" a="1"/>
  <c r="Q26" i="4" s="1"/>
  <c r="Q36" i="4" a="1"/>
  <c r="Q36" i="4" s="1"/>
  <c r="Q32" i="4" a="1"/>
  <c r="Q32" i="4" s="1"/>
  <c r="Q18" i="4" a="1"/>
  <c r="Q18" i="4" s="1"/>
  <c r="Q17" i="4" a="1"/>
  <c r="Q17" i="4" s="1"/>
  <c r="Q16" i="4" a="1"/>
  <c r="Q16" i="4" s="1"/>
  <c r="Q4" i="4" a="1"/>
  <c r="Q4" i="4" s="1"/>
  <c r="Q42" i="4" a="1"/>
  <c r="Q42" i="4" s="1"/>
  <c r="Q39" i="4" a="1"/>
  <c r="Q39" i="4" s="1"/>
  <c r="Q14" i="4" a="1"/>
  <c r="Q14" i="4" s="1"/>
  <c r="Q24" i="4" a="1"/>
  <c r="Q24" i="4" s="1"/>
  <c r="Q8" i="4" a="1"/>
  <c r="Q8" i="4" s="1"/>
  <c r="Q5" i="4" a="1"/>
  <c r="Q5" i="4" s="1"/>
  <c r="Q23" i="4" a="1"/>
  <c r="Q23" i="4" s="1"/>
  <c r="Q11" i="4" a="1"/>
  <c r="Q11" i="4" s="1"/>
  <c r="Q22" i="4" a="1"/>
  <c r="Q22" i="4" s="1"/>
  <c r="Q41" i="4" a="1"/>
  <c r="Q41" i="4" s="1"/>
  <c r="Q19" i="4" a="1"/>
  <c r="Q19" i="4" s="1"/>
  <c r="Q12" i="4" a="1"/>
  <c r="Q12" i="4" s="1"/>
  <c r="Q31" i="4" a="1"/>
  <c r="Q31" i="4" s="1"/>
  <c r="Q27" i="4" a="1"/>
  <c r="Q27" i="4" s="1"/>
  <c r="Q44" i="4" a="1"/>
  <c r="Q44" i="4" s="1"/>
  <c r="Q29" i="4" a="1"/>
  <c r="Q29" i="4" s="1"/>
  <c r="Q10" i="4" a="1"/>
  <c r="Q10" i="4" s="1"/>
  <c r="Q9" i="4" a="1"/>
  <c r="Q9" i="4" s="1"/>
  <c r="Q7" i="4" a="1"/>
  <c r="Q7" i="4" s="1"/>
  <c r="Q35" i="4" a="1"/>
  <c r="Q35" i="4" s="1"/>
  <c r="Q30" i="4" a="1"/>
  <c r="Q30" i="4" s="1"/>
  <c r="Q45" i="4" a="1"/>
  <c r="Q45" i="4" s="1"/>
  <c r="Q6" i="4" a="1"/>
  <c r="Q6" i="4" s="1"/>
  <c r="Q43" i="4" a="1"/>
  <c r="Q43" i="4" s="1"/>
  <c r="Q48" i="4" a="1"/>
  <c r="Q48" i="4" s="1"/>
  <c r="Q47" i="4" a="1"/>
  <c r="Q47" i="4" s="1"/>
  <c r="Q28" i="4" a="1"/>
  <c r="Q28" i="4" s="1"/>
  <c r="Q46" i="4" a="1"/>
  <c r="Q46" i="4" s="1"/>
  <c r="Q15" i="4" a="1"/>
  <c r="Q15" i="4" s="1"/>
  <c r="Q34" i="4" a="1"/>
  <c r="Q34" i="4" s="1"/>
  <c r="Q49" i="4" a="1"/>
  <c r="Q49" i="4" s="1"/>
  <c r="Q37" i="4" a="1"/>
  <c r="Q37" i="4" s="1"/>
  <c r="Q25" i="4" a="1"/>
  <c r="Q25" i="4" s="1"/>
  <c r="Q33" i="4" a="1"/>
  <c r="Q33" i="4" s="1"/>
  <c r="Q13" i="4" a="1"/>
  <c r="Q13" i="4" s="1"/>
  <c r="Q21" i="4" a="1"/>
  <c r="Q21" i="4" s="1"/>
  <c r="Q20" i="4" a="1"/>
  <c r="Q20" i="4" s="1"/>
  <c r="Q40" i="4" a="1"/>
  <c r="Q4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<sst xmlns="http://schemas.openxmlformats.org/spreadsheetml/2006/main" count="5480" uniqueCount="3310">
  <si>
    <t>Message</t>
  </si>
  <si>
    <t>This file contains data used by kapp_plot.ipynb for generating plots</t>
  </si>
  <si>
    <t>id</t>
  </si>
  <si>
    <t>Flux in SC / glucose uptake ($mmol/mmol\ glc$)</t>
  </si>
  <si>
    <t>Flux in RT / glucose uptake ($mmol/mmol\ glc$)</t>
  </si>
  <si>
    <t>12AMANTF_g</t>
  </si>
  <si>
    <t>13BDGLUCANt_c_en</t>
  </si>
  <si>
    <t>13BGH_e</t>
  </si>
  <si>
    <t>13GS_c</t>
  </si>
  <si>
    <t>14BMANTF_c</t>
  </si>
  <si>
    <t>14DMLANOSTt_c_e</t>
  </si>
  <si>
    <t>16GS_c</t>
  </si>
  <si>
    <t>1AGPCt_l_rm</t>
  </si>
  <si>
    <t>1AGPEt_l_rm</t>
  </si>
  <si>
    <t>1MLCLAT_mm</t>
  </si>
  <si>
    <t>2DDA7Pt_c_m</t>
  </si>
  <si>
    <t>2DHPt_c_m</t>
  </si>
  <si>
    <t>2DOXG6PP_c</t>
  </si>
  <si>
    <t>2MBACt_c_e</t>
  </si>
  <si>
    <t>2MBALDt_c_e</t>
  </si>
  <si>
    <t>2MBALDt_c_m</t>
  </si>
  <si>
    <t>2MBTOHt_c_e</t>
  </si>
  <si>
    <t>2MBTOHt_c_m</t>
  </si>
  <si>
    <t>2OBUTt_c_m</t>
  </si>
  <si>
    <t>2OGMAH_c</t>
  </si>
  <si>
    <t>2OSUCAH_c</t>
  </si>
  <si>
    <t>2OXOADPt_c_m</t>
  </si>
  <si>
    <t>2PHETOHt_c_e</t>
  </si>
  <si>
    <t>2PHETOHt_c_m</t>
  </si>
  <si>
    <t>3C3HMPt_c_e</t>
  </si>
  <si>
    <t>3C3HMPt_c_m</t>
  </si>
  <si>
    <t>3C4MOPt_c_m</t>
  </si>
  <si>
    <t>3DHSKD_c</t>
  </si>
  <si>
    <t>3DSPHR_r</t>
  </si>
  <si>
    <t>3HACD200_rm</t>
  </si>
  <si>
    <t>3HACD220_rm</t>
  </si>
  <si>
    <t>3HACD240_rm</t>
  </si>
  <si>
    <t>3HACD260_rm</t>
  </si>
  <si>
    <t>3HAD100_c</t>
  </si>
  <si>
    <t>3HAD120_c</t>
  </si>
  <si>
    <t>3HAD140_c</t>
  </si>
  <si>
    <t>3HAD160_c</t>
  </si>
  <si>
    <t>3HAD180_c</t>
  </si>
  <si>
    <t>3HAD40_c</t>
  </si>
  <si>
    <t>3HAD40_m</t>
  </si>
  <si>
    <t>3HAD60_c</t>
  </si>
  <si>
    <t>3HAD60_m</t>
  </si>
  <si>
    <t>3HAD80_c</t>
  </si>
  <si>
    <t>3HAD80_m</t>
  </si>
  <si>
    <t>3HAO_c</t>
  </si>
  <si>
    <t>3HBHYOX_c</t>
  </si>
  <si>
    <t>3HBRDH_c</t>
  </si>
  <si>
    <t>3HCINNMH_c</t>
  </si>
  <si>
    <t>3HPPPNH_c</t>
  </si>
  <si>
    <t>3HXPHBt_c_m</t>
  </si>
  <si>
    <t>3INDACNLAH_c</t>
  </si>
  <si>
    <t>3IPM3MT_c</t>
  </si>
  <si>
    <t>3MBALDt_c_e</t>
  </si>
  <si>
    <t>3MBALDt_c_m</t>
  </si>
  <si>
    <t>3MLCLAT_mm</t>
  </si>
  <si>
    <t>3MOBDC_c</t>
  </si>
  <si>
    <t>3MOBR_m</t>
  </si>
  <si>
    <t>3MOPDC_c</t>
  </si>
  <si>
    <t>3MOPR_m</t>
  </si>
  <si>
    <t>3MOPt_c_e</t>
  </si>
  <si>
    <t>3NP4H5MOBCL_m</t>
  </si>
  <si>
    <t>3NPDHBZH_m</t>
  </si>
  <si>
    <t>3NPDHMT_m</t>
  </si>
  <si>
    <t>3OACE200_rm</t>
  </si>
  <si>
    <t>3OACE220_rm</t>
  </si>
  <si>
    <t>3OACE240_rm</t>
  </si>
  <si>
    <t>3OACE260_rm</t>
  </si>
  <si>
    <t>3OACR200_rm</t>
  </si>
  <si>
    <t>3OACR220_rm</t>
  </si>
  <si>
    <t>3OACR240_rm</t>
  </si>
  <si>
    <t>3OACR260_rm</t>
  </si>
  <si>
    <t>3OADPCOAT_m</t>
  </si>
  <si>
    <t>3OAR100_c</t>
  </si>
  <si>
    <t>3OAR120_c</t>
  </si>
  <si>
    <t>3OAR140_c</t>
  </si>
  <si>
    <t>3OAR160_c</t>
  </si>
  <si>
    <t>3OAR180_c</t>
  </si>
  <si>
    <t>3OAR40_c</t>
  </si>
  <si>
    <t>3OAR40_m</t>
  </si>
  <si>
    <t>3OAR60_c</t>
  </si>
  <si>
    <t>3OAR60_m</t>
  </si>
  <si>
    <t>3OAR80_c</t>
  </si>
  <si>
    <t>3OAR80_m</t>
  </si>
  <si>
    <t>3OAS100_c</t>
  </si>
  <si>
    <t>3OAS120_c</t>
  </si>
  <si>
    <t>3OAS140_c</t>
  </si>
  <si>
    <t>3OAS160_c</t>
  </si>
  <si>
    <t>3OAS180_c</t>
  </si>
  <si>
    <t>3OAS40_c</t>
  </si>
  <si>
    <t>3OAS60_c</t>
  </si>
  <si>
    <t>3OAS80_c</t>
  </si>
  <si>
    <t>4ABUTNt_c_m</t>
  </si>
  <si>
    <t>4ABUTt_c_m</t>
  </si>
  <si>
    <t>4ABUTtps_e</t>
  </si>
  <si>
    <t>4ABZt_c_e</t>
  </si>
  <si>
    <t>4ABZt_c_m</t>
  </si>
  <si>
    <t>4AMPMS_c</t>
  </si>
  <si>
    <t>4CMCOAL_c</t>
  </si>
  <si>
    <t>4CMCOAL_x</t>
  </si>
  <si>
    <t>4DPMIPPH_c</t>
  </si>
  <si>
    <t>4H2OGLTt_c_m</t>
  </si>
  <si>
    <t>4H2OGLTt_c_x</t>
  </si>
  <si>
    <t>4HBZCOAS_c</t>
  </si>
  <si>
    <t>4HBZF_c</t>
  </si>
  <si>
    <t>4HBZNPT_m</t>
  </si>
  <si>
    <t>4HBZt_c_m</t>
  </si>
  <si>
    <t>4HGLSD_m</t>
  </si>
  <si>
    <t>4HPEOR_c</t>
  </si>
  <si>
    <t>4HPLH_c</t>
  </si>
  <si>
    <t>4HPPCL_c</t>
  </si>
  <si>
    <t>4HPPR_c</t>
  </si>
  <si>
    <t>4HTHRS_c</t>
  </si>
  <si>
    <t>4MOPR_m</t>
  </si>
  <si>
    <t>5AOPt_c_m</t>
  </si>
  <si>
    <t>5AOPtps_e</t>
  </si>
  <si>
    <t>5FTHFt_c_e</t>
  </si>
  <si>
    <t>6DPMIPPH_c</t>
  </si>
  <si>
    <t>AACTOOR_c</t>
  </si>
  <si>
    <t>AASADy_c</t>
  </si>
  <si>
    <t>AATA_c</t>
  </si>
  <si>
    <t>ABTA_c</t>
  </si>
  <si>
    <t>ABTD2Dx_c</t>
  </si>
  <si>
    <t>ABTD2Dy_c</t>
  </si>
  <si>
    <t>ABTD4Dx_c</t>
  </si>
  <si>
    <t>ABTD4Dy_c</t>
  </si>
  <si>
    <t>ABTDt_c_e</t>
  </si>
  <si>
    <t>ABTLD_c</t>
  </si>
  <si>
    <t>ABTt_c_e</t>
  </si>
  <si>
    <t>ABUTD_m</t>
  </si>
  <si>
    <t>ACACT100i_m</t>
  </si>
  <si>
    <t>ACACT100i_x</t>
  </si>
  <si>
    <t>ACACT101ei_x</t>
  </si>
  <si>
    <t>ACACT120i_m</t>
  </si>
  <si>
    <t>ACACT120i_x</t>
  </si>
  <si>
    <t>ACACT121ai_m</t>
  </si>
  <si>
    <t>ACACT121ai_x</t>
  </si>
  <si>
    <t>ACACT121di_x</t>
  </si>
  <si>
    <t>ACACT122ei_x</t>
  </si>
  <si>
    <t>ACACT140i_m</t>
  </si>
  <si>
    <t>ACACT140i_x</t>
  </si>
  <si>
    <t>ACACT141ai_m</t>
  </si>
  <si>
    <t>ACACT141ai_x</t>
  </si>
  <si>
    <t>ACACT141bi_m</t>
  </si>
  <si>
    <t>ACACT141bi_x</t>
  </si>
  <si>
    <t>ACACT142i_x</t>
  </si>
  <si>
    <t>ACACT143i_x</t>
  </si>
  <si>
    <t>ACACT160i_m</t>
  </si>
  <si>
    <t>ACACT160i_x</t>
  </si>
  <si>
    <t>ACACT161ai_m</t>
  </si>
  <si>
    <t>ACACT161ai_x</t>
  </si>
  <si>
    <t>ACACT161bi_m</t>
  </si>
  <si>
    <t>ACACT161bi_x</t>
  </si>
  <si>
    <t>ACACT162i_x</t>
  </si>
  <si>
    <t>ACACT163i_x</t>
  </si>
  <si>
    <t>ACACT180i_m</t>
  </si>
  <si>
    <t>ACACT180i_x</t>
  </si>
  <si>
    <t>ACACT181ai_m</t>
  </si>
  <si>
    <t>ACACT181ai_x</t>
  </si>
  <si>
    <t>ACACT182i_x</t>
  </si>
  <si>
    <t>ACACT183i_x</t>
  </si>
  <si>
    <t>ACACT200i_m</t>
  </si>
  <si>
    <t>ACACT200i_x</t>
  </si>
  <si>
    <t>ACACT220i_m</t>
  </si>
  <si>
    <t>ACACT220i_x</t>
  </si>
  <si>
    <t>ACACT240i_m</t>
  </si>
  <si>
    <t>ACACT240i_x</t>
  </si>
  <si>
    <t>ACACT260i_m</t>
  </si>
  <si>
    <t>ACACT260i_x</t>
  </si>
  <si>
    <t>ACACT40i_m</t>
  </si>
  <si>
    <t>ACACT40i_x</t>
  </si>
  <si>
    <t>ACACT40ir_c</t>
  </si>
  <si>
    <t>ACACT60i_m</t>
  </si>
  <si>
    <t>ACACT60i_x</t>
  </si>
  <si>
    <t>ACACT80i_m</t>
  </si>
  <si>
    <t>ACACT80i_x</t>
  </si>
  <si>
    <t>ACALDCD_c</t>
  </si>
  <si>
    <t>ACALDt_c_e</t>
  </si>
  <si>
    <t>ACALDt_c_m</t>
  </si>
  <si>
    <t>ACCOAC_c</t>
  </si>
  <si>
    <t>ACCOAt_c_n</t>
  </si>
  <si>
    <t>ACCOAt_c_r</t>
  </si>
  <si>
    <t>ACCOATsucac_m</t>
  </si>
  <si>
    <t>ACCOATsucpp_m</t>
  </si>
  <si>
    <t>ACEST1_m</t>
  </si>
  <si>
    <t>ACEST1_x</t>
  </si>
  <si>
    <t>ACGAM6PS_c</t>
  </si>
  <si>
    <t>ACGAM6S1_r</t>
  </si>
  <si>
    <t>ACGAM6S2_r</t>
  </si>
  <si>
    <t>ACGAMPM_c</t>
  </si>
  <si>
    <t>ACGK_m</t>
  </si>
  <si>
    <t>ACGS_m</t>
  </si>
  <si>
    <t>ACHAH_c</t>
  </si>
  <si>
    <t>ACHAH_e</t>
  </si>
  <si>
    <t>ACHBS_m</t>
  </si>
  <si>
    <t>ACHLE1_c</t>
  </si>
  <si>
    <t>ACHLE2_c</t>
  </si>
  <si>
    <t>ACHLE3_c</t>
  </si>
  <si>
    <t>ACITL_c</t>
  </si>
  <si>
    <t>ACKr_c</t>
  </si>
  <si>
    <t>ACLS_m</t>
  </si>
  <si>
    <t>ACOAD100f_m</t>
  </si>
  <si>
    <t>ACOAD100f_x</t>
  </si>
  <si>
    <t>ACOAD101df_x</t>
  </si>
  <si>
    <t>ACOAD102ef_x</t>
  </si>
  <si>
    <t>ACOAD120f_m</t>
  </si>
  <si>
    <t>ACOAD120f_x</t>
  </si>
  <si>
    <t>ACOAD121af_x</t>
  </si>
  <si>
    <t>ACOAD140f_x</t>
  </si>
  <si>
    <t>ACOAD141af_x</t>
  </si>
  <si>
    <t>ACOAD141bf_x</t>
  </si>
  <si>
    <t>ACOAD142f_x</t>
  </si>
  <si>
    <t>ACOAD143f_x</t>
  </si>
  <si>
    <t>ACOAD160f_x</t>
  </si>
  <si>
    <t>ACOAD161af_x</t>
  </si>
  <si>
    <t>ACOAD161bf_x</t>
  </si>
  <si>
    <t>ACOAD162f_x</t>
  </si>
  <si>
    <t>ACOAD163f_x</t>
  </si>
  <si>
    <t>ACOAD180f_x</t>
  </si>
  <si>
    <t>ACOAD181af_x</t>
  </si>
  <si>
    <t>ACOAD182f_x</t>
  </si>
  <si>
    <t>ACOAD183f_x</t>
  </si>
  <si>
    <t>ACOAD40f_m</t>
  </si>
  <si>
    <t>ACOAD40f_x</t>
  </si>
  <si>
    <t>ACOAD60f_m</t>
  </si>
  <si>
    <t>ACOAD60f_x</t>
  </si>
  <si>
    <t>ACOAD80f_m</t>
  </si>
  <si>
    <t>ACOAD80f_x</t>
  </si>
  <si>
    <t>ACOAD82ef_x</t>
  </si>
  <si>
    <t>ACOADm30f_m</t>
  </si>
  <si>
    <t>ACOADm40f_m</t>
  </si>
  <si>
    <t>ACOADm50f_m</t>
  </si>
  <si>
    <t>ACOADS160_rm</t>
  </si>
  <si>
    <t>ACOADS180_rm</t>
  </si>
  <si>
    <t>ACOADS181_rm</t>
  </si>
  <si>
    <t>ACOADS182_rm</t>
  </si>
  <si>
    <t>ACOAO100_x</t>
  </si>
  <si>
    <t>ACOAO101d_x</t>
  </si>
  <si>
    <t>ACOAO102e_x</t>
  </si>
  <si>
    <t>ACOAO120_x</t>
  </si>
  <si>
    <t>ACOAO121a_x</t>
  </si>
  <si>
    <t>ACOAO140_x</t>
  </si>
  <si>
    <t>ACOAO141a_x</t>
  </si>
  <si>
    <t>ACOAO141b_x</t>
  </si>
  <si>
    <t>ACOAO142_x</t>
  </si>
  <si>
    <t>ACOAO143_x</t>
  </si>
  <si>
    <t>ACOAO160_x</t>
  </si>
  <si>
    <t>ACOAO161a_x</t>
  </si>
  <si>
    <t>ACOAO161b_x</t>
  </si>
  <si>
    <t>ACOAO162_x</t>
  </si>
  <si>
    <t>ACOAO163_x</t>
  </si>
  <si>
    <t>ACOAO180_x</t>
  </si>
  <si>
    <t>ACOAO181a_x</t>
  </si>
  <si>
    <t>ACOAO182_x</t>
  </si>
  <si>
    <t>ACOAO183_x</t>
  </si>
  <si>
    <t>ACOAO200_x</t>
  </si>
  <si>
    <t>ACOAO220_x</t>
  </si>
  <si>
    <t>ACOAO240_x</t>
  </si>
  <si>
    <t>ACOAO260_x</t>
  </si>
  <si>
    <t>ACOAO40_x</t>
  </si>
  <si>
    <t>ACOAO60_x</t>
  </si>
  <si>
    <t>ACOAO80_x</t>
  </si>
  <si>
    <t>ACOAO82e_x</t>
  </si>
  <si>
    <t>ACOATA_c</t>
  </si>
  <si>
    <t>ACOATA_m</t>
  </si>
  <si>
    <t>ACONIs_c</t>
  </si>
  <si>
    <t>ACONIs_m</t>
  </si>
  <si>
    <t>ACONMT_c</t>
  </si>
  <si>
    <t>ACONT2_m</t>
  </si>
  <si>
    <t>ACONTa_m</t>
  </si>
  <si>
    <t>ACONTb_m</t>
  </si>
  <si>
    <t>ACOTAi_m</t>
  </si>
  <si>
    <t>ACP1_e</t>
  </si>
  <si>
    <t>ACPCS_c</t>
  </si>
  <si>
    <t>ACRNAH_x</t>
  </si>
  <si>
    <t>ACRNt_c_m</t>
  </si>
  <si>
    <t>ACRNt_c_x</t>
  </si>
  <si>
    <t>ACS_c</t>
  </si>
  <si>
    <t>ACS_n</t>
  </si>
  <si>
    <t>ACt_c_e</t>
  </si>
  <si>
    <t>ACt_c_m</t>
  </si>
  <si>
    <t>ACt_c_n</t>
  </si>
  <si>
    <t>ADA_c</t>
  </si>
  <si>
    <t>ADCL_c</t>
  </si>
  <si>
    <t>ADCS_c</t>
  </si>
  <si>
    <t>ADD_c</t>
  </si>
  <si>
    <t>ADEt_c_m</t>
  </si>
  <si>
    <t>ADEtps_e</t>
  </si>
  <si>
    <t>ADK1_c</t>
  </si>
  <si>
    <t>ADK1_m</t>
  </si>
  <si>
    <t>ADK3_m</t>
  </si>
  <si>
    <t>ADMDC_c</t>
  </si>
  <si>
    <t>ADNCYC_c</t>
  </si>
  <si>
    <t>ADNK1_c</t>
  </si>
  <si>
    <t>ADNtps_e</t>
  </si>
  <si>
    <t>ADPATPt_c_m</t>
  </si>
  <si>
    <t>ADPATPt_c_x</t>
  </si>
  <si>
    <t>ADPh_c</t>
  </si>
  <si>
    <t>ADPh_m</t>
  </si>
  <si>
    <t>ADPRDP_m</t>
  </si>
  <si>
    <t>ADPT_c</t>
  </si>
  <si>
    <t>ADPt_c_en</t>
  </si>
  <si>
    <t>ADPt_c_gm</t>
  </si>
  <si>
    <t>ADPt_c_n</t>
  </si>
  <si>
    <t>ADPt_c_r</t>
  </si>
  <si>
    <t>ADPt_c_vm</t>
  </si>
  <si>
    <t>ADSK_c</t>
  </si>
  <si>
    <t>ADSL1r_c</t>
  </si>
  <si>
    <t>ADSL2i_c</t>
  </si>
  <si>
    <t>ADSS_c</t>
  </si>
  <si>
    <t>AEPI1_c</t>
  </si>
  <si>
    <t>AEPI2_c</t>
  </si>
  <si>
    <t>AFAT_c</t>
  </si>
  <si>
    <t>AFLTXNB1S_c</t>
  </si>
  <si>
    <t>AFLTXNB2S_c</t>
  </si>
  <si>
    <t>AGMT_e</t>
  </si>
  <si>
    <t>AGNPR_l</t>
  </si>
  <si>
    <t>AGNPR_rm</t>
  </si>
  <si>
    <t>AGPAT_l</t>
  </si>
  <si>
    <t>AGPAT_rm</t>
  </si>
  <si>
    <t>AGPRi_m</t>
  </si>
  <si>
    <t>AGTi_c</t>
  </si>
  <si>
    <t>AHCi_c</t>
  </si>
  <si>
    <t>AHCYSt_c_m</t>
  </si>
  <si>
    <t>AHCYSt_c_rm</t>
  </si>
  <si>
    <t>AHGDf_m</t>
  </si>
  <si>
    <t>AHMMPS4_c</t>
  </si>
  <si>
    <t>AHSERL_c</t>
  </si>
  <si>
    <t>AHSERL2_c</t>
  </si>
  <si>
    <t>AICART_c</t>
  </si>
  <si>
    <t>AIRC1_c</t>
  </si>
  <si>
    <t>AKGCITta_m</t>
  </si>
  <si>
    <t>AKGDH_m</t>
  </si>
  <si>
    <t>AKGMALta_m</t>
  </si>
  <si>
    <t>AKGt_c_e</t>
  </si>
  <si>
    <t>AKGt_c_n</t>
  </si>
  <si>
    <t>AKGt_c_x</t>
  </si>
  <si>
    <t>AKP1_c</t>
  </si>
  <si>
    <t>ALAS_m</t>
  </si>
  <si>
    <t>ALAt_c_m</t>
  </si>
  <si>
    <t>ALATA_L_m</t>
  </si>
  <si>
    <t>ALAtps_e</t>
  </si>
  <si>
    <t>ALATRS_c</t>
  </si>
  <si>
    <t>ALCD19y_c</t>
  </si>
  <si>
    <t>ALCD22xi_c</t>
  </si>
  <si>
    <t>ALCD22xi_m</t>
  </si>
  <si>
    <t>ALCD22yi_c</t>
  </si>
  <si>
    <t>ALCD23xi_c</t>
  </si>
  <si>
    <t>ALCD23xi_m</t>
  </si>
  <si>
    <t>ALCD23yi_c</t>
  </si>
  <si>
    <t>ALCD24xi_c</t>
  </si>
  <si>
    <t>ALCD24xi_m</t>
  </si>
  <si>
    <t>ALCD24yi_c</t>
  </si>
  <si>
    <t>ALCD25xi_c</t>
  </si>
  <si>
    <t>ALCD25xi_m</t>
  </si>
  <si>
    <t>ALCD25yi_c</t>
  </si>
  <si>
    <t>ALCD26xi_c</t>
  </si>
  <si>
    <t>ALCD26xi_m</t>
  </si>
  <si>
    <t>ALCD2i1_c</t>
  </si>
  <si>
    <t>ALCD2i2_c</t>
  </si>
  <si>
    <t>ALCD2i2_m</t>
  </si>
  <si>
    <t>ALDD20x_m</t>
  </si>
  <si>
    <t>ALDD20y_c</t>
  </si>
  <si>
    <t>ALDD20y_m</t>
  </si>
  <si>
    <t>ALDD22x_c</t>
  </si>
  <si>
    <t>ALDD2x_c</t>
  </si>
  <si>
    <t>ALDD2y_c</t>
  </si>
  <si>
    <t>ALLTN_c</t>
  </si>
  <si>
    <t>ALLTNt_c</t>
  </si>
  <si>
    <t>ALLTTt_c</t>
  </si>
  <si>
    <t>ALPHNH_c</t>
  </si>
  <si>
    <t>AMAOTr_c</t>
  </si>
  <si>
    <t>AMETt_c_e</t>
  </si>
  <si>
    <t>AMETt_c_m</t>
  </si>
  <si>
    <t>AMETt_c_rm</t>
  </si>
  <si>
    <t>AMID_c</t>
  </si>
  <si>
    <t>AMPATPt_c_x</t>
  </si>
  <si>
    <t>AMPDA_c</t>
  </si>
  <si>
    <t>AMPt_c_l</t>
  </si>
  <si>
    <t>AMPt_c_n</t>
  </si>
  <si>
    <t>AMPt_c_rm</t>
  </si>
  <si>
    <t>ANNAT_c</t>
  </si>
  <si>
    <t>ANNAT_n</t>
  </si>
  <si>
    <t>ANPRT_c</t>
  </si>
  <si>
    <t>ANS_c</t>
  </si>
  <si>
    <t>AOBUTDs_c</t>
  </si>
  <si>
    <t>AOXS_c</t>
  </si>
  <si>
    <t>AP4AH_c</t>
  </si>
  <si>
    <t>ARAB14LO_c</t>
  </si>
  <si>
    <t>ARAB14LO_x</t>
  </si>
  <si>
    <t>ARAB1Dx_c</t>
  </si>
  <si>
    <t>ARABDt_c</t>
  </si>
  <si>
    <t>ARABLt_c</t>
  </si>
  <si>
    <t>ARABRy_c</t>
  </si>
  <si>
    <t>ARACHt_c_e</t>
  </si>
  <si>
    <t>ARACHt_c_rm</t>
  </si>
  <si>
    <t>ARAI2_c</t>
  </si>
  <si>
    <t>ARAK_c</t>
  </si>
  <si>
    <t>ARGN_c</t>
  </si>
  <si>
    <t>ARGSL_c</t>
  </si>
  <si>
    <t>ARGSS_c</t>
  </si>
  <si>
    <t>ARGtpa_v</t>
  </si>
  <si>
    <t>ARGtps_e</t>
  </si>
  <si>
    <t>ARGtps_m</t>
  </si>
  <si>
    <t>ARGTRS_c</t>
  </si>
  <si>
    <t>ARMT_c</t>
  </si>
  <si>
    <t>AROHL_c</t>
  </si>
  <si>
    <t>ARSO4H_c</t>
  </si>
  <si>
    <t>ASAD_c</t>
  </si>
  <si>
    <t>ASCBOX_c</t>
  </si>
  <si>
    <t>ASNN_e</t>
  </si>
  <si>
    <t>ASNS1_c</t>
  </si>
  <si>
    <t>ASNt_c_m</t>
  </si>
  <si>
    <t>ASNtpa_v</t>
  </si>
  <si>
    <t>ASNtps_v</t>
  </si>
  <si>
    <t>ASNTRS_c</t>
  </si>
  <si>
    <t>ASNTRS_m</t>
  </si>
  <si>
    <t>ASPCT_c</t>
  </si>
  <si>
    <t>ASPGLUt_c_m</t>
  </si>
  <si>
    <t>ASPGLUt_c_x</t>
  </si>
  <si>
    <t>ASPK_c</t>
  </si>
  <si>
    <t>ASPTA_c</t>
  </si>
  <si>
    <t>ASPTA_x</t>
  </si>
  <si>
    <t>ASPTA4_c</t>
  </si>
  <si>
    <t>ASPTAi_m</t>
  </si>
  <si>
    <t>ASPtps_e</t>
  </si>
  <si>
    <t>ASPtps_v</t>
  </si>
  <si>
    <t>ASPTRS_c</t>
  </si>
  <si>
    <t>ATAH_c</t>
  </si>
  <si>
    <t>ATHRDHr_c</t>
  </si>
  <si>
    <t>ATPASEP2e_c</t>
  </si>
  <si>
    <t>ATPASEV_v</t>
  </si>
  <si>
    <t>ATPATF1_c</t>
  </si>
  <si>
    <t>ATPHs_c</t>
  </si>
  <si>
    <t>ATPM_c</t>
  </si>
  <si>
    <t>ATPPRT_c</t>
  </si>
  <si>
    <t>ATPS_m</t>
  </si>
  <si>
    <t>ATPt_c_en</t>
  </si>
  <si>
    <t>ATPt_c_gm</t>
  </si>
  <si>
    <t>ATPt_c_l</t>
  </si>
  <si>
    <t>ATPt_c_n</t>
  </si>
  <si>
    <t>ATPt_c_r</t>
  </si>
  <si>
    <t>ATPt_c_rm</t>
  </si>
  <si>
    <t>ATPt_c_vm</t>
  </si>
  <si>
    <t>AVNORy_c</t>
  </si>
  <si>
    <t>BACCL_c</t>
  </si>
  <si>
    <t>BBOX_m</t>
  </si>
  <si>
    <t>BETALDHx_x</t>
  </si>
  <si>
    <t>BIOMASS_RT_CLIM</t>
  </si>
  <si>
    <t>BPNT_c</t>
  </si>
  <si>
    <t>BTDDH_c</t>
  </si>
  <si>
    <t>BTDt_c_e</t>
  </si>
  <si>
    <t>BTS1_c</t>
  </si>
  <si>
    <t>BTS1_m</t>
  </si>
  <si>
    <t>BUTt_c_e</t>
  </si>
  <si>
    <t>BUTt_c_x</t>
  </si>
  <si>
    <t>BZHYOX_c</t>
  </si>
  <si>
    <t>BZHYOX_r</t>
  </si>
  <si>
    <t>C14STR_c</t>
  </si>
  <si>
    <t>C22STDSy_c</t>
  </si>
  <si>
    <t>C24STR_r</t>
  </si>
  <si>
    <t>C3STDH1_c</t>
  </si>
  <si>
    <t>C3STDH2_c</t>
  </si>
  <si>
    <t>C3STKR1_c</t>
  </si>
  <si>
    <t>C3STKR2_c</t>
  </si>
  <si>
    <t>C4STMO1_c</t>
  </si>
  <si>
    <t>C4STMO2_c</t>
  </si>
  <si>
    <t>C4STMO3_c</t>
  </si>
  <si>
    <t>C4STMO4_c</t>
  </si>
  <si>
    <t>C5STDS_c</t>
  </si>
  <si>
    <t>C8STI_c</t>
  </si>
  <si>
    <t>CA2t_c_e</t>
  </si>
  <si>
    <t>CAROL1_c</t>
  </si>
  <si>
    <t>CAROL2_c</t>
  </si>
  <si>
    <t>CAROL3_c</t>
  </si>
  <si>
    <t>CAROMOX1_c</t>
  </si>
  <si>
    <t>CAROMOX2_c</t>
  </si>
  <si>
    <t>CAT_c</t>
  </si>
  <si>
    <t>CAT_x</t>
  </si>
  <si>
    <t>CATDOX_c</t>
  </si>
  <si>
    <t>CATOX_e</t>
  </si>
  <si>
    <t>CBL_c</t>
  </si>
  <si>
    <t>CBMHL_c</t>
  </si>
  <si>
    <t>CBPS_c</t>
  </si>
  <si>
    <t>CDPCHOLt_c_rm</t>
  </si>
  <si>
    <t>CDPDAGS_mm</t>
  </si>
  <si>
    <t>CDPDAGS_rm</t>
  </si>
  <si>
    <t>CDPEAt_c_rm</t>
  </si>
  <si>
    <t>CDPt_c_n</t>
  </si>
  <si>
    <t>CDPt_c_rm</t>
  </si>
  <si>
    <t>CELLBH_e</t>
  </si>
  <si>
    <t>CEPHSCOX_x</t>
  </si>
  <si>
    <t>CERH124A_r</t>
  </si>
  <si>
    <t>CERH124B_r</t>
  </si>
  <si>
    <t>CERH126A_r</t>
  </si>
  <si>
    <t>CERH126B_r</t>
  </si>
  <si>
    <t>CERH2A24_r</t>
  </si>
  <si>
    <t>CERH2A26_r</t>
  </si>
  <si>
    <t>CERH324_r</t>
  </si>
  <si>
    <t>CERH326_r</t>
  </si>
  <si>
    <t>CERS124_c</t>
  </si>
  <si>
    <t>CERS126_c</t>
  </si>
  <si>
    <t>CERS2A24_r</t>
  </si>
  <si>
    <t>CERS2A26_r</t>
  </si>
  <si>
    <t>CERt_g_r</t>
  </si>
  <si>
    <t>CFCOAMT_c</t>
  </si>
  <si>
    <t>CHITOSNSE_c</t>
  </si>
  <si>
    <t>CHLPCTD_c</t>
  </si>
  <si>
    <t>CHLSTI2_c</t>
  </si>
  <si>
    <t>CHOLD_c</t>
  </si>
  <si>
    <t>CHOLK_c</t>
  </si>
  <si>
    <t>CHOLPT_rm</t>
  </si>
  <si>
    <t>CHOLt_c_en</t>
  </si>
  <si>
    <t>CHOLtps_e</t>
  </si>
  <si>
    <t>CHORM_c</t>
  </si>
  <si>
    <t>CHORS_c</t>
  </si>
  <si>
    <t>CHRPL_c</t>
  </si>
  <si>
    <t>CHTNDA_c</t>
  </si>
  <si>
    <t>CHTNH_e</t>
  </si>
  <si>
    <t>CHTNH_v</t>
  </si>
  <si>
    <t>CHTNS_c</t>
  </si>
  <si>
    <t>CITCOAL_c</t>
  </si>
  <si>
    <t>CITICITta_m</t>
  </si>
  <si>
    <t>CITICTta_x</t>
  </si>
  <si>
    <t>CITMALta_m</t>
  </si>
  <si>
    <t>CITMALta_x</t>
  </si>
  <si>
    <t>CITt_c_e</t>
  </si>
  <si>
    <t>CITt3_m</t>
  </si>
  <si>
    <t>CLAH1_mm</t>
  </si>
  <si>
    <t>CLAH3_mm</t>
  </si>
  <si>
    <t>CLPNS_mm</t>
  </si>
  <si>
    <t>CLt_c_e</t>
  </si>
  <si>
    <t>CMBOLHcis_c</t>
  </si>
  <si>
    <t>CMBOLHtrans_c</t>
  </si>
  <si>
    <t>CMPA_c</t>
  </si>
  <si>
    <t>CMPN_c</t>
  </si>
  <si>
    <t>CMPt_c_rm</t>
  </si>
  <si>
    <t>CMPt_m_mm</t>
  </si>
  <si>
    <t>CMUCOC_c</t>
  </si>
  <si>
    <t>CO2t_c_e</t>
  </si>
  <si>
    <t>CO2t_c_gm</t>
  </si>
  <si>
    <t>CO2t_c_m</t>
  </si>
  <si>
    <t>CO2t_c_mm</t>
  </si>
  <si>
    <t>CO2t_c_n</t>
  </si>
  <si>
    <t>CO2t_c_r</t>
  </si>
  <si>
    <t>CO2t_c_rm</t>
  </si>
  <si>
    <t>CO2t_c_vm</t>
  </si>
  <si>
    <t>CO2t_c_x</t>
  </si>
  <si>
    <t>COAt_c_l</t>
  </si>
  <si>
    <t>COAt_c_m</t>
  </si>
  <si>
    <t>COAt_c_mm</t>
  </si>
  <si>
    <t>COAt_c_n</t>
  </si>
  <si>
    <t>COAt_c_r</t>
  </si>
  <si>
    <t>COAt_c_rm</t>
  </si>
  <si>
    <t>COAt_c_x</t>
  </si>
  <si>
    <t>COBALT2t_c_e</t>
  </si>
  <si>
    <t>compACYLCOA_c</t>
  </si>
  <si>
    <t>compACYLCOA_l</t>
  </si>
  <si>
    <t>compACYLCOA_m</t>
  </si>
  <si>
    <t>compACYLCOA_r</t>
  </si>
  <si>
    <t>compACYLCOA_rm</t>
  </si>
  <si>
    <t>compACYLCOA_x</t>
  </si>
  <si>
    <t>compCER_g</t>
  </si>
  <si>
    <t>compCER_m</t>
  </si>
  <si>
    <t>compCER_r</t>
  </si>
  <si>
    <t>compFALPD_c</t>
  </si>
  <si>
    <t>compFALPD_en</t>
  </si>
  <si>
    <t>compFALPD_m</t>
  </si>
  <si>
    <t>compFALPD_mm</t>
  </si>
  <si>
    <t>compFALPD_rm</t>
  </si>
  <si>
    <t>CPLSPNEST_e</t>
  </si>
  <si>
    <t>CPPPGO_c</t>
  </si>
  <si>
    <t>CRN100t_c_m</t>
  </si>
  <si>
    <t>CRN100t_c_x</t>
  </si>
  <si>
    <t>CRN120t_c_m</t>
  </si>
  <si>
    <t>CRN120t_c_x</t>
  </si>
  <si>
    <t>CRN40t_c_m</t>
  </si>
  <si>
    <t>CRN40t_c_x</t>
  </si>
  <si>
    <t>CRN60t_c_m</t>
  </si>
  <si>
    <t>CRN60t_c_x</t>
  </si>
  <si>
    <t>CRN80t_c_m</t>
  </si>
  <si>
    <t>CRN80t_c_x</t>
  </si>
  <si>
    <t>CRNACRNt_c_m</t>
  </si>
  <si>
    <t>CRNAT100_m</t>
  </si>
  <si>
    <t>CRNAT100_x</t>
  </si>
  <si>
    <t>CRNAT120_m</t>
  </si>
  <si>
    <t>CRNAT120_x</t>
  </si>
  <si>
    <t>CRNAT40_m</t>
  </si>
  <si>
    <t>CRNAT40_x</t>
  </si>
  <si>
    <t>CRNAT60_m</t>
  </si>
  <si>
    <t>CRNAT60_x</t>
  </si>
  <si>
    <t>CRNAT80_m</t>
  </si>
  <si>
    <t>CRNAT80_x</t>
  </si>
  <si>
    <t>CRNCARt_c_x</t>
  </si>
  <si>
    <t>CRNOAT_c</t>
  </si>
  <si>
    <t>CRNOAT_m</t>
  </si>
  <si>
    <t>CRNOAT_x</t>
  </si>
  <si>
    <t>CRNt_c_m</t>
  </si>
  <si>
    <t>CRNt_c_x</t>
  </si>
  <si>
    <t>CS_m</t>
  </si>
  <si>
    <t>CS_x</t>
  </si>
  <si>
    <t>CSND_c</t>
  </si>
  <si>
    <t>CSNPURt_c_e</t>
  </si>
  <si>
    <t>CSNtps_e</t>
  </si>
  <si>
    <t>CTPCMPt_c_m</t>
  </si>
  <si>
    <t>CTPS1_c</t>
  </si>
  <si>
    <t>CTPS2_c</t>
  </si>
  <si>
    <t>CTPt_c_rm</t>
  </si>
  <si>
    <t>CTPt_m_mm</t>
  </si>
  <si>
    <t>CTPt2_m</t>
  </si>
  <si>
    <t>CU2t_c_e</t>
  </si>
  <si>
    <t>CYSItps_v</t>
  </si>
  <si>
    <t>CYSS_c</t>
  </si>
  <si>
    <t>CYSTGL_c</t>
  </si>
  <si>
    <t>CYStps_e</t>
  </si>
  <si>
    <t>CYSTRS_c</t>
  </si>
  <si>
    <t>CYSTS_c</t>
  </si>
  <si>
    <t>CYTD_c</t>
  </si>
  <si>
    <t>CYTDK2_c</t>
  </si>
  <si>
    <t>CYTDtps_e</t>
  </si>
  <si>
    <t>CYTK1_c</t>
  </si>
  <si>
    <t>CYTK2_c</t>
  </si>
  <si>
    <t>DADA_c</t>
  </si>
  <si>
    <t>DADK_c</t>
  </si>
  <si>
    <t>DADPt_c_n</t>
  </si>
  <si>
    <t>DADt_c_e</t>
  </si>
  <si>
    <t>DAG3Pabct_c_m</t>
  </si>
  <si>
    <t>DAGK_rm</t>
  </si>
  <si>
    <t>DAGL_l</t>
  </si>
  <si>
    <t>DAGL_m</t>
  </si>
  <si>
    <t>DAGt_c_l</t>
  </si>
  <si>
    <t>DAGt_c_mm</t>
  </si>
  <si>
    <t>DAGt_c_n</t>
  </si>
  <si>
    <t>DAGt_c_r</t>
  </si>
  <si>
    <t>DAGt_c_rm</t>
  </si>
  <si>
    <t>DAGt_gm_rm</t>
  </si>
  <si>
    <t>DANNt_c_e</t>
  </si>
  <si>
    <t>DAO4hpro_x</t>
  </si>
  <si>
    <t>DAOala_x</t>
  </si>
  <si>
    <t>DAOarg_x</t>
  </si>
  <si>
    <t>DAOgly_x</t>
  </si>
  <si>
    <t>DAOorn_x</t>
  </si>
  <si>
    <t>DAOpro_x</t>
  </si>
  <si>
    <t>DB4PS_c</t>
  </si>
  <si>
    <t>DBTS_c</t>
  </si>
  <si>
    <t>DCAt_c_e</t>
  </si>
  <si>
    <t>DCAt_c_x</t>
  </si>
  <si>
    <t>DCDPt_c_n</t>
  </si>
  <si>
    <t>DCMPDA_c</t>
  </si>
  <si>
    <t>DCTPD_c</t>
  </si>
  <si>
    <t>DCYTD_c</t>
  </si>
  <si>
    <t>DCYTt_c_e</t>
  </si>
  <si>
    <t>DDCACOAt_c_l</t>
  </si>
  <si>
    <t>DDCACOAt_c_rm</t>
  </si>
  <si>
    <t>DDCAt_c_e</t>
  </si>
  <si>
    <t>DDCAt_c_rm</t>
  </si>
  <si>
    <t>DDCAt_c_x</t>
  </si>
  <si>
    <t>DDCAt_l_rm</t>
  </si>
  <si>
    <t>DDPA_c</t>
  </si>
  <si>
    <t>DDPA_m</t>
  </si>
  <si>
    <t>DECOAI82e_x</t>
  </si>
  <si>
    <t>DECOAR102d_x</t>
  </si>
  <si>
    <t>DECOAR103e_x</t>
  </si>
  <si>
    <t>DECOAR82e_x</t>
  </si>
  <si>
    <t>DGAT_l</t>
  </si>
  <si>
    <t>DGAT_rm</t>
  </si>
  <si>
    <t>DGDPt_c_n</t>
  </si>
  <si>
    <t>DGK1_c</t>
  </si>
  <si>
    <t>DGLCND3H_c</t>
  </si>
  <si>
    <t>DGLCND5H_c</t>
  </si>
  <si>
    <t>DGPP_vm</t>
  </si>
  <si>
    <t>DGSNt_c_e</t>
  </si>
  <si>
    <t>DHAD1_c</t>
  </si>
  <si>
    <t>DHAD1_m</t>
  </si>
  <si>
    <t>DHAD2_c</t>
  </si>
  <si>
    <t>DHAD2_m</t>
  </si>
  <si>
    <t>DHAK_c</t>
  </si>
  <si>
    <t>DHAPAT_l</t>
  </si>
  <si>
    <t>DHAPAT_rm</t>
  </si>
  <si>
    <t>DHAPt_c_l</t>
  </si>
  <si>
    <t>DHAPt_c_m</t>
  </si>
  <si>
    <t>DHAPt_c_rm</t>
  </si>
  <si>
    <t>DHAPt_c_x</t>
  </si>
  <si>
    <t>DHFRi_c</t>
  </si>
  <si>
    <t>DHFRi_m</t>
  </si>
  <si>
    <t>DHFS_1_c</t>
  </si>
  <si>
    <t>DHFt_c_m</t>
  </si>
  <si>
    <t>DHNPA2i_m</t>
  </si>
  <si>
    <t>DHNPTt_c_m</t>
  </si>
  <si>
    <t>DHORDfum_c</t>
  </si>
  <si>
    <t>DHORTS_c</t>
  </si>
  <si>
    <t>DHPM2_c</t>
  </si>
  <si>
    <t>DHPPDA2_c</t>
  </si>
  <si>
    <t>DHPTS_m</t>
  </si>
  <si>
    <t>DHPTt_c_m</t>
  </si>
  <si>
    <t>DHQS_c</t>
  </si>
  <si>
    <t>DHQTi_c</t>
  </si>
  <si>
    <t>DINt_c_e</t>
  </si>
  <si>
    <t>DIPS_c</t>
  </si>
  <si>
    <t>DKMEOX_c</t>
  </si>
  <si>
    <t>DKMPPH_c</t>
  </si>
  <si>
    <t>DM_5mta_c</t>
  </si>
  <si>
    <t>DM_gcald_c</t>
  </si>
  <si>
    <t>DMATT_c</t>
  </si>
  <si>
    <t>DNADt_c_n</t>
  </si>
  <si>
    <t>DNMPPA_c</t>
  </si>
  <si>
    <t>DNTP_c</t>
  </si>
  <si>
    <t>DNTPPA_c</t>
  </si>
  <si>
    <t>DOCOSAt_c_e</t>
  </si>
  <si>
    <t>DOCOSAt_c_l</t>
  </si>
  <si>
    <t>DOCOSAt_c_rm</t>
  </si>
  <si>
    <t>DOCOSCOAt_c_en</t>
  </si>
  <si>
    <t>DOCOSCOAt_c_l</t>
  </si>
  <si>
    <t>DOCOSCOAt_c_rm</t>
  </si>
  <si>
    <t>DOLDPP_c</t>
  </si>
  <si>
    <t>DOLDPt_c_l</t>
  </si>
  <si>
    <t>DOLDPt_c_r</t>
  </si>
  <si>
    <t>DOLGLCPt_c_r</t>
  </si>
  <si>
    <t>DOLK_c</t>
  </si>
  <si>
    <t>DOLPMMT_r</t>
  </si>
  <si>
    <t>DOLPMT_c</t>
  </si>
  <si>
    <t>DOLPt_c_r</t>
  </si>
  <si>
    <t>DPCOAK_c</t>
  </si>
  <si>
    <t>DPGM_c</t>
  </si>
  <si>
    <t>DPGT_c</t>
  </si>
  <si>
    <t>DPMVD_c</t>
  </si>
  <si>
    <t>DPR_c</t>
  </si>
  <si>
    <t>DRAPPRy_c</t>
  </si>
  <si>
    <t>DRBK_c</t>
  </si>
  <si>
    <t>DTMPK_c</t>
  </si>
  <si>
    <t>DTTPt_c</t>
  </si>
  <si>
    <t>DUDPt_c_n</t>
  </si>
  <si>
    <t>DUMPt_c_n</t>
  </si>
  <si>
    <t>DURIK1_c</t>
  </si>
  <si>
    <t>DURIt_c_e</t>
  </si>
  <si>
    <t>DUTPDP_c</t>
  </si>
  <si>
    <t>DXHPSq9_c</t>
  </si>
  <si>
    <t>E4HGLUt_c_m</t>
  </si>
  <si>
    <t>E4HGLUt_c_x</t>
  </si>
  <si>
    <t>E4Pt_c_m</t>
  </si>
  <si>
    <t>EAR100y_c</t>
  </si>
  <si>
    <t>EAR120y_c</t>
  </si>
  <si>
    <t>EAR140y_c</t>
  </si>
  <si>
    <t>EAR160y_c</t>
  </si>
  <si>
    <t>EAR180y_c</t>
  </si>
  <si>
    <t>EAR40y_c</t>
  </si>
  <si>
    <t>EAR40y_m</t>
  </si>
  <si>
    <t>EAR60y_c</t>
  </si>
  <si>
    <t>EAR60y_m</t>
  </si>
  <si>
    <t>EAR80y_c</t>
  </si>
  <si>
    <t>EAR80y_m</t>
  </si>
  <si>
    <t>ECOAH100_m</t>
  </si>
  <si>
    <t>ECOAH100_x</t>
  </si>
  <si>
    <t>ECOAH101e_x</t>
  </si>
  <si>
    <t>ECOAH120_m</t>
  </si>
  <si>
    <t>ECOAH120_x</t>
  </si>
  <si>
    <t>ECOAH121a_m</t>
  </si>
  <si>
    <t>ECOAH121a_x</t>
  </si>
  <si>
    <t>ECOAH121d_x</t>
  </si>
  <si>
    <t>ECOAH122e_x</t>
  </si>
  <si>
    <t>ECOAH140_m</t>
  </si>
  <si>
    <t>ECOAH140_x</t>
  </si>
  <si>
    <t>ECOAH141b_m</t>
  </si>
  <si>
    <t>ECOAH141b_x</t>
  </si>
  <si>
    <t>ECOAH141c_m</t>
  </si>
  <si>
    <t>ECOAH141c_x</t>
  </si>
  <si>
    <t>ECOAH142_x</t>
  </si>
  <si>
    <t>ECOAH143_x</t>
  </si>
  <si>
    <t>ECOAH160_m</t>
  </si>
  <si>
    <t>ECOAH160_x</t>
  </si>
  <si>
    <t>ECOAH161b_m</t>
  </si>
  <si>
    <t>ECOAH161b_x</t>
  </si>
  <si>
    <t>ECOAH161c_m</t>
  </si>
  <si>
    <t>ECOAH161c_x</t>
  </si>
  <si>
    <t>ECOAH162_x</t>
  </si>
  <si>
    <t>ECOAH163_x</t>
  </si>
  <si>
    <t>ECOAH180_m</t>
  </si>
  <si>
    <t>ECOAH180_x</t>
  </si>
  <si>
    <t>ECOAH181a_m</t>
  </si>
  <si>
    <t>ECOAH181a_x</t>
  </si>
  <si>
    <t>ECOAH182_x</t>
  </si>
  <si>
    <t>ECOAH183_x</t>
  </si>
  <si>
    <t>ECOAH200_x</t>
  </si>
  <si>
    <t>ECOAH220_x</t>
  </si>
  <si>
    <t>ECOAH240_x</t>
  </si>
  <si>
    <t>ECOAH260_x</t>
  </si>
  <si>
    <t>ECOAH40_m</t>
  </si>
  <si>
    <t>ECOAH40_x</t>
  </si>
  <si>
    <t>ECOAH60_m</t>
  </si>
  <si>
    <t>ECOAH60_x</t>
  </si>
  <si>
    <t>ECOAH80_m</t>
  </si>
  <si>
    <t>ECOAH80_x</t>
  </si>
  <si>
    <t>ECOAI101a_x</t>
  </si>
  <si>
    <t>ECOAI101d_x</t>
  </si>
  <si>
    <t>ECOAI102e_x</t>
  </si>
  <si>
    <t>ECOAI121a_x</t>
  </si>
  <si>
    <t>ECOAI121b_x</t>
  </si>
  <si>
    <t>ECOAI122c_x</t>
  </si>
  <si>
    <t>ECOAI122d_x</t>
  </si>
  <si>
    <t>ECOAI123e_x</t>
  </si>
  <si>
    <t>ECOAI141a_x</t>
  </si>
  <si>
    <t>ECOAI142c_x</t>
  </si>
  <si>
    <t>ECOAI81e_x</t>
  </si>
  <si>
    <t>ECOAI82e_x</t>
  </si>
  <si>
    <t>ECOAR122_x</t>
  </si>
  <si>
    <t>ECOAR142_x</t>
  </si>
  <si>
    <t>ECOAR200_rm</t>
  </si>
  <si>
    <t>ECOAR220_rm</t>
  </si>
  <si>
    <t>ECOAR240_rm</t>
  </si>
  <si>
    <t>ECOAR260_rm</t>
  </si>
  <si>
    <t>EGHLAT_c</t>
  </si>
  <si>
    <t>EGHLAT_m</t>
  </si>
  <si>
    <t>EGHLAT_x</t>
  </si>
  <si>
    <t>ENO_c</t>
  </si>
  <si>
    <t>EPGALURS_e</t>
  </si>
  <si>
    <t>EPISTt_c_e</t>
  </si>
  <si>
    <t>EPISTt_c_rm</t>
  </si>
  <si>
    <t>EPISTt_l_rm</t>
  </si>
  <si>
    <t>ERGSTESTt_c_rm</t>
  </si>
  <si>
    <t>ERGSTESTt_l_rm</t>
  </si>
  <si>
    <t>ERGSTGLCT_c</t>
  </si>
  <si>
    <t>ERGSTt_c_e</t>
  </si>
  <si>
    <t>ERGSTt_c_en</t>
  </si>
  <si>
    <t>ERGSTt_c_l</t>
  </si>
  <si>
    <t>ERGSTt_c_r</t>
  </si>
  <si>
    <t>ERGSTt_c_rm</t>
  </si>
  <si>
    <t>ERGTETROLt_c_e</t>
  </si>
  <si>
    <t>ERGTETROLt_c_r</t>
  </si>
  <si>
    <t>ETACt_c_e</t>
  </si>
  <si>
    <t>ETFOXRq9_c</t>
  </si>
  <si>
    <t>ETFOXRq9_m</t>
  </si>
  <si>
    <t>ETHAK_c</t>
  </si>
  <si>
    <t>ETHAPT_rm</t>
  </si>
  <si>
    <t>ETHAt_c_e</t>
  </si>
  <si>
    <t>ETNO2OX_c</t>
  </si>
  <si>
    <t>ETOHt_c_e</t>
  </si>
  <si>
    <t>ETOHt_c_m</t>
  </si>
  <si>
    <t>EX_13BDglucan_e</t>
  </si>
  <si>
    <t>EX_14dmlanost_e</t>
  </si>
  <si>
    <t>EX_2mbac_e</t>
  </si>
  <si>
    <t>EX_2mbald_e</t>
  </si>
  <si>
    <t>EX_2mbtoh_e</t>
  </si>
  <si>
    <t>EX_2phetoh_e</t>
  </si>
  <si>
    <t>EX_3c3hmp_e</t>
  </si>
  <si>
    <t>EX_3mbald_e</t>
  </si>
  <si>
    <t>EX_3mop_e</t>
  </si>
  <si>
    <t>EX_4abut_e</t>
  </si>
  <si>
    <t>EX_4abz_e</t>
  </si>
  <si>
    <t>EX_5aop_e</t>
  </si>
  <si>
    <t>EX_5fthf_e</t>
  </si>
  <si>
    <t>EX_8aonn_e</t>
  </si>
  <si>
    <t>EX_abt__D_e</t>
  </si>
  <si>
    <t>EX_abt__L_e</t>
  </si>
  <si>
    <t>EX_ac_e</t>
  </si>
  <si>
    <t>EX_acald_e</t>
  </si>
  <si>
    <t>EX_ade_e</t>
  </si>
  <si>
    <t>EX_adn_e</t>
  </si>
  <si>
    <t>EX_akg_e</t>
  </si>
  <si>
    <t>EX_ala__L_e</t>
  </si>
  <si>
    <t>EX_alltn_e</t>
  </si>
  <si>
    <t>EX_alltt_e</t>
  </si>
  <si>
    <t>EX_amet_e</t>
  </si>
  <si>
    <t>EX_arab__D_e</t>
  </si>
  <si>
    <t>EX_arab__L_e</t>
  </si>
  <si>
    <t>EX_arach_e</t>
  </si>
  <si>
    <t>EX_arg__L_e</t>
  </si>
  <si>
    <t>EX_asn__L_e</t>
  </si>
  <si>
    <t>EX_asp__L_e</t>
  </si>
  <si>
    <t>EX_btd_e</t>
  </si>
  <si>
    <t>EX_btn_c</t>
  </si>
  <si>
    <t>EX_but_e</t>
  </si>
  <si>
    <t>EX_ca2_e</t>
  </si>
  <si>
    <t>EX_caro_c</t>
  </si>
  <si>
    <t>EX_cellb_e</t>
  </si>
  <si>
    <t>EX_chol_e</t>
  </si>
  <si>
    <t>EX_cit_e</t>
  </si>
  <si>
    <t>EX_cl_e</t>
  </si>
  <si>
    <t>EX_co2_e</t>
  </si>
  <si>
    <t>EX_cobalt2_e</t>
  </si>
  <si>
    <t>EX_crn_e</t>
  </si>
  <si>
    <t>EX_csn_e</t>
  </si>
  <si>
    <t>EX_cu2_e</t>
  </si>
  <si>
    <t>EX_cys__L_e</t>
  </si>
  <si>
    <t>EX_cytd_e</t>
  </si>
  <si>
    <t>EX_dad_2_e</t>
  </si>
  <si>
    <t>EX_dann_e</t>
  </si>
  <si>
    <t>EX_dca_e</t>
  </si>
  <si>
    <t>EX_dcyt_e</t>
  </si>
  <si>
    <t>EX_ddca_e</t>
  </si>
  <si>
    <t>EX_dgsn_e</t>
  </si>
  <si>
    <t>EX_din_e</t>
  </si>
  <si>
    <t>EX_docosa_e</t>
  </si>
  <si>
    <t>EX_dttp_e</t>
  </si>
  <si>
    <t>EX_duri_e</t>
  </si>
  <si>
    <t>EX_epist_e</t>
  </si>
  <si>
    <t>EX_ergst_e</t>
  </si>
  <si>
    <t>EX_ergtetrol_e</t>
  </si>
  <si>
    <t>EX_etac_e</t>
  </si>
  <si>
    <t>EX_etha_e</t>
  </si>
  <si>
    <t>EX_etoh_e</t>
  </si>
  <si>
    <t>EX_fald_e</t>
  </si>
  <si>
    <t>EX_fe2_e</t>
  </si>
  <si>
    <t>EX_fe3_e</t>
  </si>
  <si>
    <t>EX_fecost_e</t>
  </si>
  <si>
    <t>EX_fmn_e</t>
  </si>
  <si>
    <t>EX_fol_e</t>
  </si>
  <si>
    <t>EX_for_e</t>
  </si>
  <si>
    <t>EX_fru_e</t>
  </si>
  <si>
    <t>EX_fum_e</t>
  </si>
  <si>
    <t>EX_g3pc_e</t>
  </si>
  <si>
    <t>EX_g3pi_e</t>
  </si>
  <si>
    <t>EX_gal_e</t>
  </si>
  <si>
    <t>EX_galur_e</t>
  </si>
  <si>
    <t>EX_gam6p_e</t>
  </si>
  <si>
    <t>EX_gcald_e</t>
  </si>
  <si>
    <t>EX_glc__D_e</t>
  </si>
  <si>
    <t>EX_gln__L_e</t>
  </si>
  <si>
    <t>EX_glu__L_e</t>
  </si>
  <si>
    <t>EX_glx_e</t>
  </si>
  <si>
    <t>EX_gly_e</t>
  </si>
  <si>
    <t>EX_glyc_e</t>
  </si>
  <si>
    <t>EX_gsn_e</t>
  </si>
  <si>
    <t>EX_gthox_e</t>
  </si>
  <si>
    <t>EX_gthrd_e</t>
  </si>
  <si>
    <t>EX_gua_e</t>
  </si>
  <si>
    <t>EX_h_e</t>
  </si>
  <si>
    <t>EX_h2o_e</t>
  </si>
  <si>
    <t>EX_hco3_e</t>
  </si>
  <si>
    <t>EX_hdca_e</t>
  </si>
  <si>
    <t>EX_hdcea_e</t>
  </si>
  <si>
    <t>EX_his__L_e</t>
  </si>
  <si>
    <t>EX_hom__L_e</t>
  </si>
  <si>
    <t>EX_hxa_e</t>
  </si>
  <si>
    <t>EX_hxan_e</t>
  </si>
  <si>
    <t>EX_hxca_e</t>
  </si>
  <si>
    <t>EX_hxdcal_e</t>
  </si>
  <si>
    <t>EX_iamac_e</t>
  </si>
  <si>
    <t>EX_iamoh_e</t>
  </si>
  <si>
    <t>EX_ibtald_e</t>
  </si>
  <si>
    <t>EX_ibutac_e</t>
  </si>
  <si>
    <t>EX_ibutoh_e</t>
  </si>
  <si>
    <t>EX_id3acald_e</t>
  </si>
  <si>
    <t>EX_ile__L_e</t>
  </si>
  <si>
    <t>EX_ind3eth_e</t>
  </si>
  <si>
    <t>EX_inost_e</t>
  </si>
  <si>
    <t>EX_ins_e</t>
  </si>
  <si>
    <t>EX_k_e</t>
  </si>
  <si>
    <t>EX_lac__D_e</t>
  </si>
  <si>
    <t>EX_lac__L_e</t>
  </si>
  <si>
    <t>EX_lanost_e</t>
  </si>
  <si>
    <t>EX_leu__L_e</t>
  </si>
  <si>
    <t>EX_lys__L_e</t>
  </si>
  <si>
    <t>EX_mal__L_e</t>
  </si>
  <si>
    <t>EX_malt_e</t>
  </si>
  <si>
    <t>EX_man_e</t>
  </si>
  <si>
    <t>EX_melib_e</t>
  </si>
  <si>
    <t>EX_met__L_e</t>
  </si>
  <si>
    <t>EX_mev__R_e</t>
  </si>
  <si>
    <t>EX_mg2_e</t>
  </si>
  <si>
    <t>EX_mmet_e</t>
  </si>
  <si>
    <t>EX_mn2_e</t>
  </si>
  <si>
    <t>EX_mobd_e</t>
  </si>
  <si>
    <t>EX_na1_e</t>
  </si>
  <si>
    <t>EX_nac_e</t>
  </si>
  <si>
    <t>EX_nad_e</t>
  </si>
  <si>
    <t>EX_nadp_e</t>
  </si>
  <si>
    <t>EX_Nfortyr2_e</t>
  </si>
  <si>
    <t>EX_nh4_e</t>
  </si>
  <si>
    <t>EX_ni2_e</t>
  </si>
  <si>
    <t>EX_nmn_e</t>
  </si>
  <si>
    <t>EX_o2_e</t>
  </si>
  <si>
    <t>EX_oaa_e</t>
  </si>
  <si>
    <t>EX_ocdca_e</t>
  </si>
  <si>
    <t>EX_ocdcea_e</t>
  </si>
  <si>
    <t>EX_octa_e</t>
  </si>
  <si>
    <t>EX_orn_e</t>
  </si>
  <si>
    <t>EX_pacald_e</t>
  </si>
  <si>
    <t>EX_pap_e</t>
  </si>
  <si>
    <t>EX_pectin_e</t>
  </si>
  <si>
    <t>EX_phe__L_e</t>
  </si>
  <si>
    <t>EX_pheac_e</t>
  </si>
  <si>
    <t>EX_pi_e</t>
  </si>
  <si>
    <t>EX_pnto__R_e</t>
  </si>
  <si>
    <t>EX_ppa_e</t>
  </si>
  <si>
    <t>EX_pro__L_e</t>
  </si>
  <si>
    <t>EX_ptrc_e</t>
  </si>
  <si>
    <t>EX_pydx5p_e</t>
  </si>
  <si>
    <t>EX_pydxn_e</t>
  </si>
  <si>
    <t>EX_pyr_e</t>
  </si>
  <si>
    <t>EX_q9h2_e</t>
  </si>
  <si>
    <t>EX_raffin_e</t>
  </si>
  <si>
    <t>EX_rib__D_e</t>
  </si>
  <si>
    <t>EX_ribflv_e</t>
  </si>
  <si>
    <t>EX_sbt__D_e</t>
  </si>
  <si>
    <t>EX_sbt__L_e</t>
  </si>
  <si>
    <t>EX_ser__L_e</t>
  </si>
  <si>
    <t>EX_so3_e</t>
  </si>
  <si>
    <t>EX_so4_e</t>
  </si>
  <si>
    <t>EX_spmd_e</t>
  </si>
  <si>
    <t>EX_sprm_e</t>
  </si>
  <si>
    <t>EX_srb__L_e</t>
  </si>
  <si>
    <t>EX_succ_e</t>
  </si>
  <si>
    <t>EX_sucr_e</t>
  </si>
  <si>
    <t>EX_tag_c</t>
  </si>
  <si>
    <t>EX_taur_e</t>
  </si>
  <si>
    <t>EX_thm_e</t>
  </si>
  <si>
    <t>EX_thmmp_e</t>
  </si>
  <si>
    <t>EX_thmpp_e</t>
  </si>
  <si>
    <t>EX_thr__L_e</t>
  </si>
  <si>
    <t>EX_thymd_e</t>
  </si>
  <si>
    <t>EX_tre_e</t>
  </si>
  <si>
    <t>EX_trp__L_e</t>
  </si>
  <si>
    <t>EX_ttcosa_e</t>
  </si>
  <si>
    <t>EX_ttdca_e</t>
  </si>
  <si>
    <t>EX_tyr__L_e</t>
  </si>
  <si>
    <t>EX_ura_e</t>
  </si>
  <si>
    <t>EX_urea_e</t>
  </si>
  <si>
    <t>EX_uri_e</t>
  </si>
  <si>
    <t>EX_val__L_e</t>
  </si>
  <si>
    <t>EX_xan_e</t>
  </si>
  <si>
    <t>EX_xtsn_e</t>
  </si>
  <si>
    <t>EX_xyl__D_e</t>
  </si>
  <si>
    <t>EX_xylt_e</t>
  </si>
  <si>
    <t>EX_zn2_e</t>
  </si>
  <si>
    <t>EX_zymst_e</t>
  </si>
  <si>
    <t>F1PP_c</t>
  </si>
  <si>
    <t>FACOA120tabc_x</t>
  </si>
  <si>
    <t>FACOA140tabc_x</t>
  </si>
  <si>
    <t>FACOA160tabc_x</t>
  </si>
  <si>
    <t>FACOA161tabc_x</t>
  </si>
  <si>
    <t>FACOA180tabc_x</t>
  </si>
  <si>
    <t>FACOA181tabc_x</t>
  </si>
  <si>
    <t>FACOA182tabc_x</t>
  </si>
  <si>
    <t>FACOA183tabc_x</t>
  </si>
  <si>
    <t>FACOA200tabc_x</t>
  </si>
  <si>
    <t>FACOA220tabc_x</t>
  </si>
  <si>
    <t>FACOA240tabc_x</t>
  </si>
  <si>
    <t>FACOA260tabc_x</t>
  </si>
  <si>
    <t>FACOAE100_x</t>
  </si>
  <si>
    <t>FACOAE120_c</t>
  </si>
  <si>
    <t>FACOAE120_x</t>
  </si>
  <si>
    <t>FACOAE140_c</t>
  </si>
  <si>
    <t>FACOAE140_x</t>
  </si>
  <si>
    <t>FACOAE160_c</t>
  </si>
  <si>
    <t>FACOAE160_x</t>
  </si>
  <si>
    <t>FACOAE161_c</t>
  </si>
  <si>
    <t>FACOAE161_x</t>
  </si>
  <si>
    <t>FACOAE180_c</t>
  </si>
  <si>
    <t>FACOAE180_x</t>
  </si>
  <si>
    <t>FACOAE181_c</t>
  </si>
  <si>
    <t>FACOAE181_x</t>
  </si>
  <si>
    <t>FACOAE182_c</t>
  </si>
  <si>
    <t>FACOAE182_x</t>
  </si>
  <si>
    <t>FACOAE183_c</t>
  </si>
  <si>
    <t>FACOAE183_x</t>
  </si>
  <si>
    <t>FACOAE40_x</t>
  </si>
  <si>
    <t>FACOAE60_x</t>
  </si>
  <si>
    <t>FACOAE80_x</t>
  </si>
  <si>
    <t>FACOAL100_c</t>
  </si>
  <si>
    <t>FACOAL100_x</t>
  </si>
  <si>
    <t>FACOAL120_c</t>
  </si>
  <si>
    <t>FACOAL120_l</t>
  </si>
  <si>
    <t>FACOAL120_rm</t>
  </si>
  <si>
    <t>FACOAL120_x</t>
  </si>
  <si>
    <t>FACOAL140_l</t>
  </si>
  <si>
    <t>FACOAL140_rm</t>
  </si>
  <si>
    <t>FACOAL140_x</t>
  </si>
  <si>
    <t>FACOAL160_l</t>
  </si>
  <si>
    <t>FACOAL160_rm</t>
  </si>
  <si>
    <t>FACOAL160_x</t>
  </si>
  <si>
    <t>FACOAL161_l</t>
  </si>
  <si>
    <t>FACOAL161_rm</t>
  </si>
  <si>
    <t>FACOAL161_x</t>
  </si>
  <si>
    <t>FACOAL180_l</t>
  </si>
  <si>
    <t>FACOAL180_rm</t>
  </si>
  <si>
    <t>FACOAL180_x</t>
  </si>
  <si>
    <t>FACOAL181_l</t>
  </si>
  <si>
    <t>FACOAL181_rm</t>
  </si>
  <si>
    <t>FACOAL181_x</t>
  </si>
  <si>
    <t>FACOAL182_l</t>
  </si>
  <si>
    <t>FACOAL182_rm</t>
  </si>
  <si>
    <t>FACOAL182_x</t>
  </si>
  <si>
    <t>FACOAL183_l</t>
  </si>
  <si>
    <t>FACOAL183_rm</t>
  </si>
  <si>
    <t>FACOAL183_x</t>
  </si>
  <si>
    <t>FACOAL200_en</t>
  </si>
  <si>
    <t>FACOAL200_l</t>
  </si>
  <si>
    <t>FACOAL200_rm</t>
  </si>
  <si>
    <t>FACOAL200_x</t>
  </si>
  <si>
    <t>FACOAL220_en</t>
  </si>
  <si>
    <t>FACOAL220_l</t>
  </si>
  <si>
    <t>FACOAL220_rm</t>
  </si>
  <si>
    <t>FACOAL220_x</t>
  </si>
  <si>
    <t>FACOAL240_en</t>
  </si>
  <si>
    <t>FACOAL240_l</t>
  </si>
  <si>
    <t>FACOAL240_rm</t>
  </si>
  <si>
    <t>FACOAL240_x</t>
  </si>
  <si>
    <t>FACOAL260_en</t>
  </si>
  <si>
    <t>FACOAL260_l</t>
  </si>
  <si>
    <t>FACOAL260_rm</t>
  </si>
  <si>
    <t>FACOAL260_x</t>
  </si>
  <si>
    <t>FACOAL40_c</t>
  </si>
  <si>
    <t>FACOAL40o_x</t>
  </si>
  <si>
    <t>FACOAL60_c</t>
  </si>
  <si>
    <t>FACOAL80_c</t>
  </si>
  <si>
    <t>FACOAL80_x</t>
  </si>
  <si>
    <t>FADH2t_c_m</t>
  </si>
  <si>
    <t>FADt_c_m</t>
  </si>
  <si>
    <t>FALDH_c</t>
  </si>
  <si>
    <t>FALPDt_c_en</t>
  </si>
  <si>
    <t>FALPDt_c_l</t>
  </si>
  <si>
    <t>FALPDt_c_m</t>
  </si>
  <si>
    <t>FALPDt_c_mm</t>
  </si>
  <si>
    <t>FALPDt_c_rm</t>
  </si>
  <si>
    <t>FBA_c</t>
  </si>
  <si>
    <t>FBA2_c</t>
  </si>
  <si>
    <t>FBA3_c</t>
  </si>
  <si>
    <t>FBP_c</t>
  </si>
  <si>
    <t>FBP2_c</t>
  </si>
  <si>
    <t>FCLT_m</t>
  </si>
  <si>
    <t>FDH_c</t>
  </si>
  <si>
    <t>FE2t_c_e</t>
  </si>
  <si>
    <t>FE2t_c_m</t>
  </si>
  <si>
    <t>FE3t_c_e</t>
  </si>
  <si>
    <t>FE3t_c_m</t>
  </si>
  <si>
    <t>FECOOR_m</t>
  </si>
  <si>
    <t>FECOSTt_c_rm</t>
  </si>
  <si>
    <t>FECOSTt_l_rm</t>
  </si>
  <si>
    <t>FECPOR_m</t>
  </si>
  <si>
    <t>FECRq9_m</t>
  </si>
  <si>
    <t>FER_c</t>
  </si>
  <si>
    <t>FKYNH_c</t>
  </si>
  <si>
    <t>FMETTRS_m</t>
  </si>
  <si>
    <t>FMNAT_m</t>
  </si>
  <si>
    <t>FMNRx_c</t>
  </si>
  <si>
    <t>FMNRx2_c</t>
  </si>
  <si>
    <t>FOLD3_m</t>
  </si>
  <si>
    <t>FOLR_c</t>
  </si>
  <si>
    <t>FOLR_m</t>
  </si>
  <si>
    <t>FOLt_c_e</t>
  </si>
  <si>
    <t>FORt_c_e</t>
  </si>
  <si>
    <t>FORt_c_m</t>
  </si>
  <si>
    <t>FRD_c</t>
  </si>
  <si>
    <t>FRDPt_c_l</t>
  </si>
  <si>
    <t>FRDPt_c_m</t>
  </si>
  <si>
    <t>FRMDAH_c</t>
  </si>
  <si>
    <t>FRMDH_c</t>
  </si>
  <si>
    <t>FRTT_c</t>
  </si>
  <si>
    <t>FRTT_l</t>
  </si>
  <si>
    <t>FRUK_c</t>
  </si>
  <si>
    <t>FRUtps_e</t>
  </si>
  <si>
    <t>FTHFCL_c</t>
  </si>
  <si>
    <t>FTHFL_c</t>
  </si>
  <si>
    <t>FTHFL_m</t>
  </si>
  <si>
    <t>FUM_c</t>
  </si>
  <si>
    <t>FUM_m</t>
  </si>
  <si>
    <t>FUMACACH_c</t>
  </si>
  <si>
    <t>FUMACACH_m</t>
  </si>
  <si>
    <t>FUMt_c_e</t>
  </si>
  <si>
    <t>G00006t_c_r</t>
  </si>
  <si>
    <t>G00011t_g_r</t>
  </si>
  <si>
    <t>G13027t_g_r</t>
  </si>
  <si>
    <t>G3PAT_l</t>
  </si>
  <si>
    <t>G3PAT_rm</t>
  </si>
  <si>
    <t>G3PCt_c_e</t>
  </si>
  <si>
    <t>G3PCt_c_en</t>
  </si>
  <si>
    <t>G3PCt_c_rm</t>
  </si>
  <si>
    <t>G3PD1i_m</t>
  </si>
  <si>
    <t>G3PD1i_x</t>
  </si>
  <si>
    <t>G3PD1r_c</t>
  </si>
  <si>
    <t>G3PDf_m</t>
  </si>
  <si>
    <t>G3PIt_c_e</t>
  </si>
  <si>
    <t>G3PIt_c_en</t>
  </si>
  <si>
    <t>G3PT_c</t>
  </si>
  <si>
    <t>G5SADr_c</t>
  </si>
  <si>
    <t>G5SADr_m</t>
  </si>
  <si>
    <t>G5SDy_c</t>
  </si>
  <si>
    <t>G6PDA_c</t>
  </si>
  <si>
    <t>G6PDH2i_c</t>
  </si>
  <si>
    <t>G6PE_c</t>
  </si>
  <si>
    <t>GALKi_c</t>
  </si>
  <si>
    <t>GALOX_e</t>
  </si>
  <si>
    <t>GALT_c</t>
  </si>
  <si>
    <t>GALtps_e</t>
  </si>
  <si>
    <t>GALUi_c</t>
  </si>
  <si>
    <t>GAM6Pt_c</t>
  </si>
  <si>
    <t>GAPD_c</t>
  </si>
  <si>
    <t>GARFT_c</t>
  </si>
  <si>
    <t>GBBOX_c</t>
  </si>
  <si>
    <t>GCALDt_c_e</t>
  </si>
  <si>
    <t>GCALDt_c_m</t>
  </si>
  <si>
    <t>GDPMANNt_c_g</t>
  </si>
  <si>
    <t>GDPMANt_c_g</t>
  </si>
  <si>
    <t>GDPt_c_g</t>
  </si>
  <si>
    <t>GDPt_c_n</t>
  </si>
  <si>
    <t>GENERIC_ca2metal2_c</t>
  </si>
  <si>
    <t>GENERIC_ca2metal2_e</t>
  </si>
  <si>
    <t>GENERIC_cobalt2metal2_c</t>
  </si>
  <si>
    <t>GENERIC_cobalt2metal2_e</t>
  </si>
  <si>
    <t>GENERIC_cu2metal2_c</t>
  </si>
  <si>
    <t>GENERIC_cu2metal2_e</t>
  </si>
  <si>
    <t>GENERIC_fe2feCATION_c</t>
  </si>
  <si>
    <t>GENERIC_fe2feCATION_e</t>
  </si>
  <si>
    <t>GENERIC_fe2feCATION_m</t>
  </si>
  <si>
    <t>GENERIC_fe2metal2_c</t>
  </si>
  <si>
    <t>GENERIC_fe2metal2_e</t>
  </si>
  <si>
    <t>GENERIC_fe2metal2_m</t>
  </si>
  <si>
    <t>GENERIC_fe3feCATION_c</t>
  </si>
  <si>
    <t>GENERIC_fe3feCATION_e</t>
  </si>
  <si>
    <t>GENERIC_hCATION1_c</t>
  </si>
  <si>
    <t>GENERIC_hCATION1_e</t>
  </si>
  <si>
    <t>GENERIC_hCATION1_en</t>
  </si>
  <si>
    <t>GENERIC_hCATION1_g</t>
  </si>
  <si>
    <t>GENERIC_hCATION1_gm</t>
  </si>
  <si>
    <t>GENERIC_hCATION1_l</t>
  </si>
  <si>
    <t>GENERIC_hCATION1_m</t>
  </si>
  <si>
    <t>GENERIC_hCATION1_mm</t>
  </si>
  <si>
    <t>GENERIC_hCATION1_n</t>
  </si>
  <si>
    <t>GENERIC_hCATION1_r</t>
  </si>
  <si>
    <t>GENERIC_hCATION1_rm</t>
  </si>
  <si>
    <t>GENERIC_hCATION1_v</t>
  </si>
  <si>
    <t>GENERIC_hCATION1_vm</t>
  </si>
  <si>
    <t>GENERIC_hCATION1_x</t>
  </si>
  <si>
    <t>GENERIC_hemeAheme_c</t>
  </si>
  <si>
    <t>GENERIC_hemeAheme_m</t>
  </si>
  <si>
    <t>GENERIC_hemeOheme_m</t>
  </si>
  <si>
    <t>GENERIC_kCATION1_c</t>
  </si>
  <si>
    <t>GENERIC_kCATION1_e</t>
  </si>
  <si>
    <t>GENERIC_kCATION1_m</t>
  </si>
  <si>
    <t>GENERIC_mg2metal2_c</t>
  </si>
  <si>
    <t>GENERIC_mg2metal2_e</t>
  </si>
  <si>
    <t>GENERIC_mg2mg2ormn2_c</t>
  </si>
  <si>
    <t>GENERIC_mg2mg2ormn2_e</t>
  </si>
  <si>
    <t>GENERIC_mn2metal2_c</t>
  </si>
  <si>
    <t>GENERIC_mn2metal2_e</t>
  </si>
  <si>
    <t>GENERIC_mn2mg2ormn2_c</t>
  </si>
  <si>
    <t>GENERIC_mn2mg2ormn2_e</t>
  </si>
  <si>
    <t>GENERIC_na1CATION1_c</t>
  </si>
  <si>
    <t>GENERIC_na1CATION1_e</t>
  </si>
  <si>
    <t>GENERIC_ni2metal2_c</t>
  </si>
  <si>
    <t>GENERIC_ni2metal2_e</t>
  </si>
  <si>
    <t>GENERIC_phemeheme_m</t>
  </si>
  <si>
    <t>GENERIC_shemeheme_c</t>
  </si>
  <si>
    <t>GENERIC_zn2metal2_c</t>
  </si>
  <si>
    <t>GENERIC_zn2metal2_e</t>
  </si>
  <si>
    <t>GF6PTA_c</t>
  </si>
  <si>
    <t>GGTT_c</t>
  </si>
  <si>
    <t>GGTT_l</t>
  </si>
  <si>
    <t>GHMT2r_c</t>
  </si>
  <si>
    <t>GHMT2r_m</t>
  </si>
  <si>
    <t>GHMT3_m</t>
  </si>
  <si>
    <t>GK1_c</t>
  </si>
  <si>
    <t>GK2_c</t>
  </si>
  <si>
    <t>GLCDx_c</t>
  </si>
  <si>
    <t>GLCGSD_c</t>
  </si>
  <si>
    <t>GLCGSD_v</t>
  </si>
  <si>
    <t>GLCNtps_e</t>
  </si>
  <si>
    <t>GLCP_c</t>
  </si>
  <si>
    <t>GLCt_c_e</t>
  </si>
  <si>
    <t>GLCt_c_r</t>
  </si>
  <si>
    <t>GLCt_c_v</t>
  </si>
  <si>
    <t>GLCtps_e</t>
  </si>
  <si>
    <t>GLNS_c</t>
  </si>
  <si>
    <t>GLNt_c_n</t>
  </si>
  <si>
    <t>GLNtpa_v</t>
  </si>
  <si>
    <t>GLNtps_v</t>
  </si>
  <si>
    <t>GLNTRS_c</t>
  </si>
  <si>
    <t>GLU5K_c</t>
  </si>
  <si>
    <t>GLUCYS_c</t>
  </si>
  <si>
    <t>GLUDC_c</t>
  </si>
  <si>
    <t>GLUDxi_c</t>
  </si>
  <si>
    <t>GLUDy_c</t>
  </si>
  <si>
    <t>GLUN_c</t>
  </si>
  <si>
    <t>GLUN_e</t>
  </si>
  <si>
    <t>GLUPRT_c</t>
  </si>
  <si>
    <t>GLUR_c</t>
  </si>
  <si>
    <t>GLUSx_c</t>
  </si>
  <si>
    <t>GLUt_c_m</t>
  </si>
  <si>
    <t>GLUt_c_n</t>
  </si>
  <si>
    <t>GLUTCOADH_m</t>
  </si>
  <si>
    <t>GLUtps_e</t>
  </si>
  <si>
    <t>GLUtps_v</t>
  </si>
  <si>
    <t>GLUTRS_c</t>
  </si>
  <si>
    <t>GLUTRS_m</t>
  </si>
  <si>
    <t>GLXt_c_e</t>
  </si>
  <si>
    <t>GLXt_c_x</t>
  </si>
  <si>
    <t>GLYAT_c</t>
  </si>
  <si>
    <t>GLYC3Pt_c_l</t>
  </si>
  <si>
    <t>GLYC3Pt_c_m</t>
  </si>
  <si>
    <t>GLYC3Pt_c_rm</t>
  </si>
  <si>
    <t>GLYC3Pt_c_x</t>
  </si>
  <si>
    <t>GLYC3Pt_m_mm</t>
  </si>
  <si>
    <t>GLYCDy_c</t>
  </si>
  <si>
    <t>GLYCK_c</t>
  </si>
  <si>
    <t>GLYCL_m</t>
  </si>
  <si>
    <t>GLYCOGENt_c_v</t>
  </si>
  <si>
    <t>GLYCt_c_l</t>
  </si>
  <si>
    <t>GLYCt_c_m</t>
  </si>
  <si>
    <t>GLYCtps_e</t>
  </si>
  <si>
    <t>GLYGS_c</t>
  </si>
  <si>
    <t>GLYK_c</t>
  </si>
  <si>
    <t>GLYOX_c</t>
  </si>
  <si>
    <t>GLYOX_m</t>
  </si>
  <si>
    <t>GLYt_c_m</t>
  </si>
  <si>
    <t>GLYtps_e</t>
  </si>
  <si>
    <t>GLYTRS_c</t>
  </si>
  <si>
    <t>GMAND_c</t>
  </si>
  <si>
    <t>GMPS2_c</t>
  </si>
  <si>
    <t>GND_c</t>
  </si>
  <si>
    <t>GNK_c</t>
  </si>
  <si>
    <t>GPIA1_c</t>
  </si>
  <si>
    <t>GPIA10a_r</t>
  </si>
  <si>
    <t>GPIA2_c</t>
  </si>
  <si>
    <t>GPIA3_c_r</t>
  </si>
  <si>
    <t>GPIA4_r</t>
  </si>
  <si>
    <t>GPIA5_r</t>
  </si>
  <si>
    <t>GPIA6_r</t>
  </si>
  <si>
    <t>GPIA7_r</t>
  </si>
  <si>
    <t>GPIA8a_r</t>
  </si>
  <si>
    <t>GPIA8b_r</t>
  </si>
  <si>
    <t>GPIA9a_r</t>
  </si>
  <si>
    <t>GRTT_c</t>
  </si>
  <si>
    <t>GSNK_c</t>
  </si>
  <si>
    <t>GSNt_c_e</t>
  </si>
  <si>
    <t>GSNt_c_m</t>
  </si>
  <si>
    <t>GTHO_c</t>
  </si>
  <si>
    <t>GTHO_m</t>
  </si>
  <si>
    <t>GTHOXt_c</t>
  </si>
  <si>
    <t>GTHP_c</t>
  </si>
  <si>
    <t>GTHP_m</t>
  </si>
  <si>
    <t>GTHRDt_c_e</t>
  </si>
  <si>
    <t>GTHRDt_c_v</t>
  </si>
  <si>
    <t>GTHRDtabc_v</t>
  </si>
  <si>
    <t>GTHS_c</t>
  </si>
  <si>
    <t>GTMLT_c</t>
  </si>
  <si>
    <t>GTPCI_c</t>
  </si>
  <si>
    <t>GTPCII2_c</t>
  </si>
  <si>
    <t>GTPDPDP_c</t>
  </si>
  <si>
    <t>GTPGDPtp_m</t>
  </si>
  <si>
    <t>GUAD_1_c</t>
  </si>
  <si>
    <t>GUAPRT_c</t>
  </si>
  <si>
    <t>GUAt_c_m</t>
  </si>
  <si>
    <t>GUAtps_e</t>
  </si>
  <si>
    <t>H2O2t_c_n</t>
  </si>
  <si>
    <t>H2Ot_c_e</t>
  </si>
  <si>
    <t>H2Ot_c_en</t>
  </si>
  <si>
    <t>H2Ot_c_g</t>
  </si>
  <si>
    <t>H2Ot_c_gm</t>
  </si>
  <si>
    <t>H2Ot_c_l</t>
  </si>
  <si>
    <t>H2Ot_c_m</t>
  </si>
  <si>
    <t>H2Ot_c_mm</t>
  </si>
  <si>
    <t>H2Ot_c_n</t>
  </si>
  <si>
    <t>H2Ot_c_r</t>
  </si>
  <si>
    <t>H2Ot_c_rm</t>
  </si>
  <si>
    <t>H2Ot_c_v</t>
  </si>
  <si>
    <t>H2Ot_c_vm</t>
  </si>
  <si>
    <t>H2Ot_c_x</t>
  </si>
  <si>
    <t>HACD100i_m</t>
  </si>
  <si>
    <t>HACD100i_x</t>
  </si>
  <si>
    <t>HACD101ei_x</t>
  </si>
  <si>
    <t>HACD120i_m</t>
  </si>
  <si>
    <t>HACD120i_x</t>
  </si>
  <si>
    <t>HACD121ai_m</t>
  </si>
  <si>
    <t>HACD121ai_x</t>
  </si>
  <si>
    <t>HACD121di_x</t>
  </si>
  <si>
    <t>HACD122ei_x</t>
  </si>
  <si>
    <t>HACD140i_m</t>
  </si>
  <si>
    <t>HACD140i_x</t>
  </si>
  <si>
    <t>HACD141ai_m</t>
  </si>
  <si>
    <t>HACD141ai_x</t>
  </si>
  <si>
    <t>HACD141bi_m</t>
  </si>
  <si>
    <t>HACD141bi_x</t>
  </si>
  <si>
    <t>HACD142i_x</t>
  </si>
  <si>
    <t>HACD143i_x</t>
  </si>
  <si>
    <t>HACD160i_m</t>
  </si>
  <si>
    <t>HACD160i_x</t>
  </si>
  <si>
    <t>HACD161ai_m</t>
  </si>
  <si>
    <t>HACD161ai_x</t>
  </si>
  <si>
    <t>HACD161bi_m</t>
  </si>
  <si>
    <t>HACD161bi_x</t>
  </si>
  <si>
    <t>HACD162i_x</t>
  </si>
  <si>
    <t>HACD163i_x</t>
  </si>
  <si>
    <t>HACD180i_m</t>
  </si>
  <si>
    <t>HACD180i_x</t>
  </si>
  <si>
    <t>HACD181ai_m</t>
  </si>
  <si>
    <t>HACD181ai_x</t>
  </si>
  <si>
    <t>HACD182i_x</t>
  </si>
  <si>
    <t>HACD183i_x</t>
  </si>
  <si>
    <t>HACD200i_x</t>
  </si>
  <si>
    <t>HACD220i_x</t>
  </si>
  <si>
    <t>HACD240i_x</t>
  </si>
  <si>
    <t>HACD260i_x</t>
  </si>
  <si>
    <t>HACD40i_m</t>
  </si>
  <si>
    <t>HACD40i_x</t>
  </si>
  <si>
    <t>HACD40y_c</t>
  </si>
  <si>
    <t>HACD60i_m</t>
  </si>
  <si>
    <t>HACD60i_x</t>
  </si>
  <si>
    <t>HACD80i_m</t>
  </si>
  <si>
    <t>HACD80i_x</t>
  </si>
  <si>
    <t>HACDm40_c</t>
  </si>
  <si>
    <t>HACNH_m</t>
  </si>
  <si>
    <t>HCITR_m</t>
  </si>
  <si>
    <t>HCITS_m</t>
  </si>
  <si>
    <t>HCITS_n</t>
  </si>
  <si>
    <t>HCO3E_c</t>
  </si>
  <si>
    <t>HCO3E_e</t>
  </si>
  <si>
    <t>HCO3E_m</t>
  </si>
  <si>
    <t>HCO3E_n</t>
  </si>
  <si>
    <t>HCO3t_c_n</t>
  </si>
  <si>
    <t>HCYSMT_c</t>
  </si>
  <si>
    <t>HDCAt_c_e</t>
  </si>
  <si>
    <t>HDCAt_c_en</t>
  </si>
  <si>
    <t>HDCAt_c_l</t>
  </si>
  <si>
    <t>HDCAt_c_mm</t>
  </si>
  <si>
    <t>HDCAt_c_rm</t>
  </si>
  <si>
    <t>HDCEAt_c_e</t>
  </si>
  <si>
    <t>HDCEAt_c_en</t>
  </si>
  <si>
    <t>HDCEAt_c_l</t>
  </si>
  <si>
    <t>HDCEAt_c_rm</t>
  </si>
  <si>
    <t>HDCOAt_c_l</t>
  </si>
  <si>
    <t>HDCOAt_c_mm</t>
  </si>
  <si>
    <t>HDCOAt_c_rm</t>
  </si>
  <si>
    <t>HEMEAt_c_m</t>
  </si>
  <si>
    <t>HEMEOS_m</t>
  </si>
  <si>
    <t>HETZK_c</t>
  </si>
  <si>
    <t>HEX1_c</t>
  </si>
  <si>
    <t>HEX4_c</t>
  </si>
  <si>
    <t>HEX7_c</t>
  </si>
  <si>
    <t>HEX7b_c</t>
  </si>
  <si>
    <t>HGENDO_c</t>
  </si>
  <si>
    <t>HIBH_m</t>
  </si>
  <si>
    <t>HIBTD_c</t>
  </si>
  <si>
    <t>HICITD_m</t>
  </si>
  <si>
    <t>HISt_c_m</t>
  </si>
  <si>
    <t>HISTD_c</t>
  </si>
  <si>
    <t>HISTP_c</t>
  </si>
  <si>
    <t>HIStpa_v</t>
  </si>
  <si>
    <t>HISTRS_c</t>
  </si>
  <si>
    <t>HISTRS_m</t>
  </si>
  <si>
    <t>HKYNH_c</t>
  </si>
  <si>
    <t>HLYSMT_m</t>
  </si>
  <si>
    <t>HMGCOAR_c</t>
  </si>
  <si>
    <t>HMGCOAS_c</t>
  </si>
  <si>
    <t>HMGCOAS_m</t>
  </si>
  <si>
    <t>HMGCOAt_c_m</t>
  </si>
  <si>
    <t>HMPK1_c</t>
  </si>
  <si>
    <t>HOMOX_m</t>
  </si>
  <si>
    <t>HOMt_c_e</t>
  </si>
  <si>
    <t>HPPK2_m</t>
  </si>
  <si>
    <t>HPRORy_c</t>
  </si>
  <si>
    <t>HQLOR_c</t>
  </si>
  <si>
    <t>HSDx_c</t>
  </si>
  <si>
    <t>HSDy_c</t>
  </si>
  <si>
    <t>HSERTA_c</t>
  </si>
  <si>
    <t>HSK_c</t>
  </si>
  <si>
    <t>HSTPT_c</t>
  </si>
  <si>
    <t>Ht_c_e</t>
  </si>
  <si>
    <t>Ht_c_en</t>
  </si>
  <si>
    <t>Ht_c_g</t>
  </si>
  <si>
    <t>Ht_c_gm</t>
  </si>
  <si>
    <t>Ht_c_l</t>
  </si>
  <si>
    <t>Ht_c_m</t>
  </si>
  <si>
    <t>Ht_c_n</t>
  </si>
  <si>
    <t>Ht_c_r</t>
  </si>
  <si>
    <t>Ht_c_rm</t>
  </si>
  <si>
    <t>Ht_c_v</t>
  </si>
  <si>
    <t>Ht_c_vm</t>
  </si>
  <si>
    <t>Ht_c_x</t>
  </si>
  <si>
    <t>Ht_m_mm</t>
  </si>
  <si>
    <t>HXAND_c</t>
  </si>
  <si>
    <t>HXANt_c_e</t>
  </si>
  <si>
    <t>HXAt_c_e</t>
  </si>
  <si>
    <t>HXAt_c_x</t>
  </si>
  <si>
    <t>HXCAt_c_e</t>
  </si>
  <si>
    <t>HXCAt_c_rm</t>
  </si>
  <si>
    <t>HXCAt_en_rm</t>
  </si>
  <si>
    <t>HXCAt_l_rm</t>
  </si>
  <si>
    <t>HXCAt_r_rm</t>
  </si>
  <si>
    <t>HXCCOAt_c_en</t>
  </si>
  <si>
    <t>HXCCOAt_c_l</t>
  </si>
  <si>
    <t>HXCCOAt_c_r</t>
  </si>
  <si>
    <t>HXCCOAt_c_rm</t>
  </si>
  <si>
    <t>HYPOE_c</t>
  </si>
  <si>
    <t>IAMACt_c_e</t>
  </si>
  <si>
    <t>IAMOHt_c_e</t>
  </si>
  <si>
    <t>IAMOHt_c_m</t>
  </si>
  <si>
    <t>IBTALDt_c_e</t>
  </si>
  <si>
    <t>IBTALDt_c_m</t>
  </si>
  <si>
    <t>IBUTACt_c_e</t>
  </si>
  <si>
    <t>IBUTOHt_c_e</t>
  </si>
  <si>
    <t>IBUTOHt_c_m</t>
  </si>
  <si>
    <t>ICDHx_m</t>
  </si>
  <si>
    <t>ICDHyi_m</t>
  </si>
  <si>
    <t>ICL_1_c</t>
  </si>
  <si>
    <t>ICOSCOAt_c_en</t>
  </si>
  <si>
    <t>ICOSCOAt_c_rm</t>
  </si>
  <si>
    <t>ID3ACALDt_c_e</t>
  </si>
  <si>
    <t>ID3ACALDt_c_m</t>
  </si>
  <si>
    <t>IG3PS_c</t>
  </si>
  <si>
    <t>IGPDH_c</t>
  </si>
  <si>
    <t>IGPS_c</t>
  </si>
  <si>
    <t>ILEt_c_m</t>
  </si>
  <si>
    <t>ILEt_c_v</t>
  </si>
  <si>
    <t>ILETA_c</t>
  </si>
  <si>
    <t>ILETA_m</t>
  </si>
  <si>
    <t>ILEtpa_v</t>
  </si>
  <si>
    <t>ILEtps_v</t>
  </si>
  <si>
    <t>ILETRS_c</t>
  </si>
  <si>
    <t>ILETRS_m</t>
  </si>
  <si>
    <t>IMPC_c</t>
  </si>
  <si>
    <t>IMPD_c</t>
  </si>
  <si>
    <t>IND3ACt_c_m</t>
  </si>
  <si>
    <t>IND3ETHt_c_e</t>
  </si>
  <si>
    <t>IND3ETHt_c_m</t>
  </si>
  <si>
    <t>INDPYRD_c</t>
  </si>
  <si>
    <t>INO3GALT_c</t>
  </si>
  <si>
    <t>INOSHP3H_v</t>
  </si>
  <si>
    <t>INOSHPt_c_n</t>
  </si>
  <si>
    <t>INOSTt_c_rm</t>
  </si>
  <si>
    <t>INOSTtps_e</t>
  </si>
  <si>
    <t>INSK_c</t>
  </si>
  <si>
    <t>INSt_c_e</t>
  </si>
  <si>
    <t>IPCS_g</t>
  </si>
  <si>
    <t>IPCt_g_r</t>
  </si>
  <si>
    <t>IPDDI_c</t>
  </si>
  <si>
    <t>IPDPt_c_l</t>
  </si>
  <si>
    <t>IPDPt_c_m</t>
  </si>
  <si>
    <t>IPK2_n</t>
  </si>
  <si>
    <t>IPK3_n</t>
  </si>
  <si>
    <t>IPK4_n</t>
  </si>
  <si>
    <t>IPK5_n</t>
  </si>
  <si>
    <t>IPMD_c</t>
  </si>
  <si>
    <t>IPPMIa_c</t>
  </si>
  <si>
    <t>IPPMIb_c</t>
  </si>
  <si>
    <t>IPPS_c</t>
  </si>
  <si>
    <t>IPPYP1_c</t>
  </si>
  <si>
    <t>IPPYP2_c</t>
  </si>
  <si>
    <t>IPPYP3_c</t>
  </si>
  <si>
    <t>IPPYP4_c</t>
  </si>
  <si>
    <t>IPT_g</t>
  </si>
  <si>
    <t>ITCOAL_m</t>
  </si>
  <si>
    <t>KARA1i_m</t>
  </si>
  <si>
    <t>KARA2i_m</t>
  </si>
  <si>
    <t>Kt_c_e</t>
  </si>
  <si>
    <t>Kt_c_m</t>
  </si>
  <si>
    <t>Ktps_e</t>
  </si>
  <si>
    <t>KYN_c</t>
  </si>
  <si>
    <t>KYN3OX_c</t>
  </si>
  <si>
    <t>KYNAT2_c</t>
  </si>
  <si>
    <t>LACDtps_c</t>
  </si>
  <si>
    <t>LACLtps_c</t>
  </si>
  <si>
    <t>LACPYRt_c_m</t>
  </si>
  <si>
    <t>LACt_c_m</t>
  </si>
  <si>
    <t>LACtps_m</t>
  </si>
  <si>
    <t>LALDO3_c</t>
  </si>
  <si>
    <t>LANOSTt_c_e</t>
  </si>
  <si>
    <t>LANOSTt_c_rm</t>
  </si>
  <si>
    <t>LANOSTt_l_rm</t>
  </si>
  <si>
    <t>LCADi_c</t>
  </si>
  <si>
    <t>LCYSTAT_c</t>
  </si>
  <si>
    <t>LDH_L_x</t>
  </si>
  <si>
    <t>LEUt_c_v</t>
  </si>
  <si>
    <t>LEUTA_c</t>
  </si>
  <si>
    <t>LEUTA_m</t>
  </si>
  <si>
    <t>LEUtpa_v</t>
  </si>
  <si>
    <t>LEUtps_v</t>
  </si>
  <si>
    <t>LEUTRS_c</t>
  </si>
  <si>
    <t>LGTHL_c</t>
  </si>
  <si>
    <t>LINOCOAt_c_l</t>
  </si>
  <si>
    <t>LINOCOAt_c_rm</t>
  </si>
  <si>
    <t>LINOEAt_c_l</t>
  </si>
  <si>
    <t>LINOLENt_c_l</t>
  </si>
  <si>
    <t>LINOLNCOAt_c_l</t>
  </si>
  <si>
    <t>LINOLNCOAt_c_rm</t>
  </si>
  <si>
    <t>LLFC2O_c</t>
  </si>
  <si>
    <t>LNS14DMy_c</t>
  </si>
  <si>
    <t>LNSTLS_c</t>
  </si>
  <si>
    <t>LPAP_vm</t>
  </si>
  <si>
    <t>LPCAT_mm</t>
  </si>
  <si>
    <t>LPIAT_rm</t>
  </si>
  <si>
    <t>LSERDHi_c</t>
  </si>
  <si>
    <t>LTA4H_c</t>
  </si>
  <si>
    <t>LTA4H_n</t>
  </si>
  <si>
    <t>LTA4H2_c</t>
  </si>
  <si>
    <t>LTA4H2_n</t>
  </si>
  <si>
    <t>LTA4H3_c</t>
  </si>
  <si>
    <t>LTA4H3_n</t>
  </si>
  <si>
    <t>LYSN6MOX_c</t>
  </si>
  <si>
    <t>LYSt_c_m</t>
  </si>
  <si>
    <t>LYStpa_v</t>
  </si>
  <si>
    <t>LYStps_e</t>
  </si>
  <si>
    <t>LYSTRS_c</t>
  </si>
  <si>
    <t>M1PS_c</t>
  </si>
  <si>
    <t>MACACI_c</t>
  </si>
  <si>
    <t>MAGL_l</t>
  </si>
  <si>
    <t>MAGL_m</t>
  </si>
  <si>
    <t>MALCOAt_c_rm</t>
  </si>
  <si>
    <t>MALOAAta_x</t>
  </si>
  <si>
    <t>MALS_c</t>
  </si>
  <si>
    <t>MALT_c</t>
  </si>
  <si>
    <t>MALt_c_e</t>
  </si>
  <si>
    <t>MALt2_m</t>
  </si>
  <si>
    <t>MALTtps_e</t>
  </si>
  <si>
    <t>MAN1PT_c</t>
  </si>
  <si>
    <t>MAN6PI_c</t>
  </si>
  <si>
    <t>MANNAN14H_c</t>
  </si>
  <si>
    <t>MANNANH_c</t>
  </si>
  <si>
    <t>MANNANH_e</t>
  </si>
  <si>
    <t>MANNANt_c_r</t>
  </si>
  <si>
    <t>MANt_c_g</t>
  </si>
  <si>
    <t>MANtps_e</t>
  </si>
  <si>
    <t>MASCBRx_c</t>
  </si>
  <si>
    <t>MCCC_m</t>
  </si>
  <si>
    <t>MCITL2_m</t>
  </si>
  <si>
    <t>MCITS_m</t>
  </si>
  <si>
    <t>MCOATA_c</t>
  </si>
  <si>
    <t>MCOATA_m</t>
  </si>
  <si>
    <t>MDH_c</t>
  </si>
  <si>
    <t>MDH_m</t>
  </si>
  <si>
    <t>MDLDH_x</t>
  </si>
  <si>
    <t>MDRPD_c</t>
  </si>
  <si>
    <t>ME1_m</t>
  </si>
  <si>
    <t>ME2_c</t>
  </si>
  <si>
    <t>ME2_m</t>
  </si>
  <si>
    <t>MERLACOR_c</t>
  </si>
  <si>
    <t>METAT_c</t>
  </si>
  <si>
    <t>METB1_c</t>
  </si>
  <si>
    <t>METS_c</t>
  </si>
  <si>
    <t>METt_c_m</t>
  </si>
  <si>
    <t>METtps_e</t>
  </si>
  <si>
    <t>METTRS_c</t>
  </si>
  <si>
    <t>METTRS_m</t>
  </si>
  <si>
    <t>MEVK1_c</t>
  </si>
  <si>
    <t>MEVK2_c</t>
  </si>
  <si>
    <t>MEVK3_c</t>
  </si>
  <si>
    <t>MEVK4_c</t>
  </si>
  <si>
    <t>MEVt_c_e</t>
  </si>
  <si>
    <t>MG2t_c_e</t>
  </si>
  <si>
    <t>MGCH_m</t>
  </si>
  <si>
    <t>MGSA_c</t>
  </si>
  <si>
    <t>MHPGLUT_c</t>
  </si>
  <si>
    <t>MI13456Pt_c_n</t>
  </si>
  <si>
    <t>MI134PPH_c</t>
  </si>
  <si>
    <t>MI1PP_c</t>
  </si>
  <si>
    <t>MI1Pt_c_r</t>
  </si>
  <si>
    <t>MIP2Ct_g_r</t>
  </si>
  <si>
    <t>MIPCS_g</t>
  </si>
  <si>
    <t>MIPCt_g_r</t>
  </si>
  <si>
    <t>MN2t_c_e</t>
  </si>
  <si>
    <t>MOBDt_c_e</t>
  </si>
  <si>
    <t>MPYRCNST_c</t>
  </si>
  <si>
    <t>MTAP_c</t>
  </si>
  <si>
    <t>MTHFC_c</t>
  </si>
  <si>
    <t>MTHFC_m</t>
  </si>
  <si>
    <t>MTHFD_c</t>
  </si>
  <si>
    <t>MTHFD_m</t>
  </si>
  <si>
    <t>MTHFD2i_c</t>
  </si>
  <si>
    <t>MTHFR3_c</t>
  </si>
  <si>
    <t>MTMOHT_m</t>
  </si>
  <si>
    <t>MTRI_c</t>
  </si>
  <si>
    <t>MUCOCI_c</t>
  </si>
  <si>
    <t>MUCOCI_e</t>
  </si>
  <si>
    <t>NACt_c_e</t>
  </si>
  <si>
    <t>NADDP_x</t>
  </si>
  <si>
    <t>NADHcplxI_c_m</t>
  </si>
  <si>
    <t>NADHK1_c</t>
  </si>
  <si>
    <t>NADHK1_m</t>
  </si>
  <si>
    <t>NADHq9_c</t>
  </si>
  <si>
    <t>NADHt_c_rm</t>
  </si>
  <si>
    <t>NADK_c</t>
  </si>
  <si>
    <t>NADK_m</t>
  </si>
  <si>
    <t>NADN_n</t>
  </si>
  <si>
    <t>NADPHt_c_l</t>
  </si>
  <si>
    <t>NADPHt_c_r</t>
  </si>
  <si>
    <t>NADPHt_c_rm</t>
  </si>
  <si>
    <t>NADPHt_c_x</t>
  </si>
  <si>
    <t>NADPt_c_e</t>
  </si>
  <si>
    <t>NADPt_c_l</t>
  </si>
  <si>
    <t>NADPt_c_r</t>
  </si>
  <si>
    <t>NADPt_c_rm</t>
  </si>
  <si>
    <t>NADPt_c_x</t>
  </si>
  <si>
    <t>NADS2_c</t>
  </si>
  <si>
    <t>NADS2_n</t>
  </si>
  <si>
    <t>NADt_c_e</t>
  </si>
  <si>
    <t>NADt_c_m</t>
  </si>
  <si>
    <t>NADt_c_rm</t>
  </si>
  <si>
    <t>NADt1_m</t>
  </si>
  <si>
    <t>NADt2_m</t>
  </si>
  <si>
    <t>NADt3_m</t>
  </si>
  <si>
    <t>NAMNPP_c</t>
  </si>
  <si>
    <t>NAMNPP_m</t>
  </si>
  <si>
    <t>NAtpa_c</t>
  </si>
  <si>
    <t>NCAMt_c_n</t>
  </si>
  <si>
    <t>NDP1_c</t>
  </si>
  <si>
    <t>NDP10_c</t>
  </si>
  <si>
    <t>NDP3_c</t>
  </si>
  <si>
    <t>NDP3_g</t>
  </si>
  <si>
    <t>NDP4_c</t>
  </si>
  <si>
    <t>NDP5_c</t>
  </si>
  <si>
    <t>NDP7_c</t>
  </si>
  <si>
    <t>NDP7_g</t>
  </si>
  <si>
    <t>NDPDA1_c</t>
  </si>
  <si>
    <t>NDPDA2_c</t>
  </si>
  <si>
    <t>NDPK1_c</t>
  </si>
  <si>
    <t>NDPK10_c</t>
  </si>
  <si>
    <t>NDPK2_c</t>
  </si>
  <si>
    <t>NDPK3_c</t>
  </si>
  <si>
    <t>NDPK4_c</t>
  </si>
  <si>
    <t>NDPK5_c</t>
  </si>
  <si>
    <t>NDPK6_c</t>
  </si>
  <si>
    <t>NDPK7_c</t>
  </si>
  <si>
    <t>NDPK8_c</t>
  </si>
  <si>
    <t>NDPK9_c</t>
  </si>
  <si>
    <t>NFORTYR2t_c_e</t>
  </si>
  <si>
    <t>NFTYROX_c</t>
  </si>
  <si>
    <t>NGLYCANS1_c</t>
  </si>
  <si>
    <t>NGLYCANS10_r</t>
  </si>
  <si>
    <t>NGLYCANS11_r</t>
  </si>
  <si>
    <t>NGLYCANS12_r</t>
  </si>
  <si>
    <t>NGLYCANS13_r</t>
  </si>
  <si>
    <t>NGLYCANS14_r</t>
  </si>
  <si>
    <t>NGLYCANS15_r</t>
  </si>
  <si>
    <t>NGLYCANS16_r</t>
  </si>
  <si>
    <t>NGLYCANS17_r</t>
  </si>
  <si>
    <t>NGLYCANS18_r</t>
  </si>
  <si>
    <t>NGLYCANS19_g</t>
  </si>
  <si>
    <t>NGLYCANS2_c</t>
  </si>
  <si>
    <t>NGLYCANS3_c</t>
  </si>
  <si>
    <t>NGLYCANS4_c</t>
  </si>
  <si>
    <t>NGLYCANS5_c</t>
  </si>
  <si>
    <t>NGLYCANS6_c</t>
  </si>
  <si>
    <t>NGLYCANS7_c</t>
  </si>
  <si>
    <t>NGLYCANS8_r</t>
  </si>
  <si>
    <t>NGLYCANS9_r</t>
  </si>
  <si>
    <t>NH4t_c_e</t>
  </si>
  <si>
    <t>NH4t_c_m</t>
  </si>
  <si>
    <t>NI2t_c_e</t>
  </si>
  <si>
    <t>NITROPP_c</t>
  </si>
  <si>
    <t>NITRx_c</t>
  </si>
  <si>
    <t>NITRy_c</t>
  </si>
  <si>
    <t>NMNt_c_e</t>
  </si>
  <si>
    <t>NMNt_c_n</t>
  </si>
  <si>
    <t>NMNt_c_x</t>
  </si>
  <si>
    <t>NNAM_c</t>
  </si>
  <si>
    <t>NNATi_c</t>
  </si>
  <si>
    <t>NNDPR_c</t>
  </si>
  <si>
    <t>NNDPR_m</t>
  </si>
  <si>
    <t>NNMT_c</t>
  </si>
  <si>
    <t>NO3t_c_e</t>
  </si>
  <si>
    <t>NOX_c</t>
  </si>
  <si>
    <t>NTD10pp_c</t>
  </si>
  <si>
    <t>NTD1pp_c</t>
  </si>
  <si>
    <t>NTD2pp_c</t>
  </si>
  <si>
    <t>NTD3pp_c</t>
  </si>
  <si>
    <t>NTD4pp_c</t>
  </si>
  <si>
    <t>NTD5_c</t>
  </si>
  <si>
    <t>NTD6pp_c</t>
  </si>
  <si>
    <t>NTD7pp_c</t>
  </si>
  <si>
    <t>NTD8_c</t>
  </si>
  <si>
    <t>NTP10_c</t>
  </si>
  <si>
    <t>NTP3_c</t>
  </si>
  <si>
    <t>NTP4_c</t>
  </si>
  <si>
    <t>NTP5_c</t>
  </si>
  <si>
    <t>NTP7_c</t>
  </si>
  <si>
    <t>NTPDA2_c</t>
  </si>
  <si>
    <t>O2t_c_e</t>
  </si>
  <si>
    <t>O2t_c_m</t>
  </si>
  <si>
    <t>O2t_c_r</t>
  </si>
  <si>
    <t>O2t_c_rm</t>
  </si>
  <si>
    <t>O2t_c_x</t>
  </si>
  <si>
    <t>OAADC_c</t>
  </si>
  <si>
    <t>OAAt_c_e</t>
  </si>
  <si>
    <t>OAAtps_m</t>
  </si>
  <si>
    <t>OAR1_c</t>
  </si>
  <si>
    <t>OAR2_c</t>
  </si>
  <si>
    <t>OAR3_m</t>
  </si>
  <si>
    <t>OCBT_c</t>
  </si>
  <si>
    <t>OCDCAt_c_e</t>
  </si>
  <si>
    <t>OCDCAt_c_en</t>
  </si>
  <si>
    <t>OCDCAt_c_l</t>
  </si>
  <si>
    <t>OCDCAt_c_mm</t>
  </si>
  <si>
    <t>OCDCAt_c_rm</t>
  </si>
  <si>
    <t>OCDCEAt_c_e</t>
  </si>
  <si>
    <t>OCDCEAt_c_en</t>
  </si>
  <si>
    <t>OCDCEAt_c_l</t>
  </si>
  <si>
    <t>OCDCEAt_c_rm</t>
  </si>
  <si>
    <t>OCOAT1_m</t>
  </si>
  <si>
    <t>OCTAt_c_e</t>
  </si>
  <si>
    <t>OCTAt_c_x</t>
  </si>
  <si>
    <t>ODECOAt_c_l</t>
  </si>
  <si>
    <t>ODECOAt_c_mm</t>
  </si>
  <si>
    <t>ODECOAt_c_rm</t>
  </si>
  <si>
    <t>OGLYCANS_B3GAT1_r</t>
  </si>
  <si>
    <t>OGLYCANS1_r</t>
  </si>
  <si>
    <t>OGLYCANS2_g</t>
  </si>
  <si>
    <t>OGLYCANS3_g</t>
  </si>
  <si>
    <t>OGLYCANS4_g</t>
  </si>
  <si>
    <t>OGLYCANS5_g</t>
  </si>
  <si>
    <t>OMCDC_c</t>
  </si>
  <si>
    <t>OMCDC_m</t>
  </si>
  <si>
    <t>OMPDC_c</t>
  </si>
  <si>
    <t>OPAH_c</t>
  </si>
  <si>
    <t>ORNCD_m</t>
  </si>
  <si>
    <t>ORNDC_c</t>
  </si>
  <si>
    <t>ORNN5MOX_c</t>
  </si>
  <si>
    <t>ORNTA_c</t>
  </si>
  <si>
    <t>ORNTACi_m</t>
  </si>
  <si>
    <t>ORNtpa_m</t>
  </si>
  <si>
    <t>ORNtps_e</t>
  </si>
  <si>
    <t>ORPT_c</t>
  </si>
  <si>
    <t>P5CD2_m</t>
  </si>
  <si>
    <t>P5CR_c</t>
  </si>
  <si>
    <t>PACALDt_c_e</t>
  </si>
  <si>
    <t>PACALDt_c_m</t>
  </si>
  <si>
    <t>PACCOAE_c</t>
  </si>
  <si>
    <t>PACCOAE_x</t>
  </si>
  <si>
    <t>PACCOAL_x</t>
  </si>
  <si>
    <t>PACt_c_x</t>
  </si>
  <si>
    <t>PADAH_c</t>
  </si>
  <si>
    <t>PAFH_c</t>
  </si>
  <si>
    <t>PAIL35Pt_c_vm</t>
  </si>
  <si>
    <t>PAIL35Pt_en_vm</t>
  </si>
  <si>
    <t>PAIL3K_vm</t>
  </si>
  <si>
    <t>PAIL3Pt_gm_vm</t>
  </si>
  <si>
    <t>PAIL3Pt_rm_vm</t>
  </si>
  <si>
    <t>PAIL45Pt_c_en</t>
  </si>
  <si>
    <t>PAIL45Pt_c_n</t>
  </si>
  <si>
    <t>PAIL45Pt_en_rm</t>
  </si>
  <si>
    <t>PAIL4K_en</t>
  </si>
  <si>
    <t>PAIL4K_gm</t>
  </si>
  <si>
    <t>PAIL4K_n</t>
  </si>
  <si>
    <t>PAIL4K_vm</t>
  </si>
  <si>
    <t>PAIL4Pt_c_en</t>
  </si>
  <si>
    <t>PAIL4Pt_en_rm</t>
  </si>
  <si>
    <t>PAILS_rm</t>
  </si>
  <si>
    <t>PAILt_c_rm</t>
  </si>
  <si>
    <t>PAILt_en_rm</t>
  </si>
  <si>
    <t>PAILt_gm_rm</t>
  </si>
  <si>
    <t>PAILt_n_rm</t>
  </si>
  <si>
    <t>PAILt_rm_vm</t>
  </si>
  <si>
    <t>PAN4Pt_c_m</t>
  </si>
  <si>
    <t>PAP_rm</t>
  </si>
  <si>
    <t>PAP_vm</t>
  </si>
  <si>
    <t>PAPSR_c</t>
  </si>
  <si>
    <t>PAPt_c</t>
  </si>
  <si>
    <t>PAPt_c_m</t>
  </si>
  <si>
    <t>PAt_en_rm</t>
  </si>
  <si>
    <t>PAt_gm_rm</t>
  </si>
  <si>
    <t>PAt_l_rm</t>
  </si>
  <si>
    <t>PAt_mm_rm</t>
  </si>
  <si>
    <t>PAt_rm_vm</t>
  </si>
  <si>
    <t>PBAL_c</t>
  </si>
  <si>
    <t>PC_c</t>
  </si>
  <si>
    <t>PCLAD_c</t>
  </si>
  <si>
    <t>PCOATA140_c</t>
  </si>
  <si>
    <t>PCOATA160_c</t>
  </si>
  <si>
    <t>PCOATA180_c</t>
  </si>
  <si>
    <t>PCt_c_rm</t>
  </si>
  <si>
    <t>PCt_en_rm</t>
  </si>
  <si>
    <t>PCt_l_rm</t>
  </si>
  <si>
    <t>PCt_mm_rm</t>
  </si>
  <si>
    <t>PDAGATpc_rm</t>
  </si>
  <si>
    <t>PDAGATpe_rm</t>
  </si>
  <si>
    <t>PDE1_c</t>
  </si>
  <si>
    <t>PDE2_c</t>
  </si>
  <si>
    <t>PDE3_c</t>
  </si>
  <si>
    <t>PDE4_c</t>
  </si>
  <si>
    <t>PDE5_c</t>
  </si>
  <si>
    <t>PDH_m</t>
  </si>
  <si>
    <t>PDMEMT_rm</t>
  </si>
  <si>
    <t>PDX5POi_c</t>
  </si>
  <si>
    <t>PEMT_rm</t>
  </si>
  <si>
    <t>PENDPt_c_m</t>
  </si>
  <si>
    <t>PEt_c_r</t>
  </si>
  <si>
    <t>PEt_c_rm</t>
  </si>
  <si>
    <t>PEt_en_rm</t>
  </si>
  <si>
    <t>PEt_gm_rm</t>
  </si>
  <si>
    <t>PEt_l_rm</t>
  </si>
  <si>
    <t>PEt_mm_rm</t>
  </si>
  <si>
    <t>PEt_rm_vm</t>
  </si>
  <si>
    <t>PEtabc_m</t>
  </si>
  <si>
    <t>PFK_c</t>
  </si>
  <si>
    <t>PGAMT_c</t>
  </si>
  <si>
    <t>PGCD_c</t>
  </si>
  <si>
    <t>PGCPH_c</t>
  </si>
  <si>
    <t>PGI_c</t>
  </si>
  <si>
    <t>PGK_c</t>
  </si>
  <si>
    <t>PGL_c</t>
  </si>
  <si>
    <t>PGLYCP_c</t>
  </si>
  <si>
    <t>PGM_c</t>
  </si>
  <si>
    <t>PGMT_c</t>
  </si>
  <si>
    <t>PGPP_mm</t>
  </si>
  <si>
    <t>PGPS_mm</t>
  </si>
  <si>
    <t>PGS_x</t>
  </si>
  <si>
    <t>PGt_c_m</t>
  </si>
  <si>
    <t>PHACRDC1_c</t>
  </si>
  <si>
    <t>PHACRDC2_c</t>
  </si>
  <si>
    <t>PHACRDC3_c</t>
  </si>
  <si>
    <t>PHACRDC4_c</t>
  </si>
  <si>
    <t>PHCD_m</t>
  </si>
  <si>
    <t>PHCHGS_m</t>
  </si>
  <si>
    <t>PHEACt_c_e</t>
  </si>
  <si>
    <t>PHEN2MOXy_c</t>
  </si>
  <si>
    <t>PHEt_c_m</t>
  </si>
  <si>
    <t>PHETA1_c</t>
  </si>
  <si>
    <t>PHETA1_m</t>
  </si>
  <si>
    <t>PHEtps_e</t>
  </si>
  <si>
    <t>PHETRS_c</t>
  </si>
  <si>
    <t>PHETRS_m</t>
  </si>
  <si>
    <t>PHYTOED1_c</t>
  </si>
  <si>
    <t>PHYTOED2_c</t>
  </si>
  <si>
    <t>PHYTOED3_c</t>
  </si>
  <si>
    <t>PHYTOED4_c</t>
  </si>
  <si>
    <t>PHYTOED5_c</t>
  </si>
  <si>
    <t>PHYTOES_c</t>
  </si>
  <si>
    <t>PI35P5P_c</t>
  </si>
  <si>
    <t>PI35P5P_en</t>
  </si>
  <si>
    <t>PI35P5P_vm</t>
  </si>
  <si>
    <t>PI3P5K_vm</t>
  </si>
  <si>
    <t>PI3PP_c</t>
  </si>
  <si>
    <t>PI3PP_en</t>
  </si>
  <si>
    <t>PI3PP_gm</t>
  </si>
  <si>
    <t>PI3PP_rm</t>
  </si>
  <si>
    <t>PI45P5P_c</t>
  </si>
  <si>
    <t>PI45P5P_en</t>
  </si>
  <si>
    <t>PI4P5K_en</t>
  </si>
  <si>
    <t>PI4P5K_n</t>
  </si>
  <si>
    <t>PI4PP_c</t>
  </si>
  <si>
    <t>PI4PP_en</t>
  </si>
  <si>
    <t>PI4PP_gm</t>
  </si>
  <si>
    <t>PI4PP_rm</t>
  </si>
  <si>
    <t>PIt_c_en</t>
  </si>
  <si>
    <t>PIt_c_gm</t>
  </si>
  <si>
    <t>PIt_c_rm</t>
  </si>
  <si>
    <t>PIt_c_v</t>
  </si>
  <si>
    <t>PIt_c_vm</t>
  </si>
  <si>
    <t>PIt_m_mm</t>
  </si>
  <si>
    <t>PIt_r_rm</t>
  </si>
  <si>
    <t>PItps_e</t>
  </si>
  <si>
    <t>PItps_m</t>
  </si>
  <si>
    <t>PKETF_c</t>
  </si>
  <si>
    <t>PKETX_c</t>
  </si>
  <si>
    <t>PLAA1lpc_en</t>
  </si>
  <si>
    <t>PLAA1lpc_mm</t>
  </si>
  <si>
    <t>PLAA1lpc_rm</t>
  </si>
  <si>
    <t>PLAA1lpe_en</t>
  </si>
  <si>
    <t>PLAA1lpe_mm</t>
  </si>
  <si>
    <t>PLAA2pc_en</t>
  </si>
  <si>
    <t>PLAA2pc_mm</t>
  </si>
  <si>
    <t>PLAA2pc_rm</t>
  </si>
  <si>
    <t>PLAA2pe_en</t>
  </si>
  <si>
    <t>PLAA2pe_mm</t>
  </si>
  <si>
    <t>PLACipc_m</t>
  </si>
  <si>
    <t>PLACipc_r</t>
  </si>
  <si>
    <t>PLACmip2c_m</t>
  </si>
  <si>
    <t>PLACmip2c_r</t>
  </si>
  <si>
    <t>PLACmipc_m</t>
  </si>
  <si>
    <t>PLACmipc_r</t>
  </si>
  <si>
    <t>PLACpail_c</t>
  </si>
  <si>
    <t>PLACpail45p_c</t>
  </si>
  <si>
    <t>PLACpail45p_n</t>
  </si>
  <si>
    <t>PLACpg_mm</t>
  </si>
  <si>
    <t>PLADpc_en</t>
  </si>
  <si>
    <t>PMANM_c</t>
  </si>
  <si>
    <t>PMDPHT_c</t>
  </si>
  <si>
    <t>PMEMT_rm</t>
  </si>
  <si>
    <t>PMEVK_c</t>
  </si>
  <si>
    <t>PMI12346PS_c</t>
  </si>
  <si>
    <t>PMI1346PS_c</t>
  </si>
  <si>
    <t>PMPK_c</t>
  </si>
  <si>
    <t>PMTCOAt_c_l</t>
  </si>
  <si>
    <t>PMTCOAt_c_r</t>
  </si>
  <si>
    <t>PMTCOAt_c_rm</t>
  </si>
  <si>
    <t>PNP_c</t>
  </si>
  <si>
    <t>PNTK_c</t>
  </si>
  <si>
    <t>PNTOtps_e</t>
  </si>
  <si>
    <t>POLYAO1_c</t>
  </si>
  <si>
    <t>POLYAO2_c</t>
  </si>
  <si>
    <t>POLYAO3_c</t>
  </si>
  <si>
    <t>PPA_c</t>
  </si>
  <si>
    <t>PPAt_c_e</t>
  </si>
  <si>
    <t>PPAt_c_m</t>
  </si>
  <si>
    <t>PPBNGD_c</t>
  </si>
  <si>
    <t>PPBNGS_1_c</t>
  </si>
  <si>
    <t>PPCDC_c</t>
  </si>
  <si>
    <t>PPCK_c</t>
  </si>
  <si>
    <t>PPGPPDP_c</t>
  </si>
  <si>
    <t>PPIt_c_l</t>
  </si>
  <si>
    <t>PPIt_c_m</t>
  </si>
  <si>
    <t>PPIt_c_rm</t>
  </si>
  <si>
    <t>PPIt_c_x</t>
  </si>
  <si>
    <t>PPIt_m_mm</t>
  </si>
  <si>
    <t>PPM_c</t>
  </si>
  <si>
    <t>PPNCL2_c</t>
  </si>
  <si>
    <t>PPND2_c</t>
  </si>
  <si>
    <t>PPNDH_c</t>
  </si>
  <si>
    <t>PPPG9t_c_m</t>
  </si>
  <si>
    <t>PPPGO_m</t>
  </si>
  <si>
    <t>PPTT_l</t>
  </si>
  <si>
    <t>PPTT_m</t>
  </si>
  <si>
    <t>PRAGSi_c</t>
  </si>
  <si>
    <t>PRAIi_c</t>
  </si>
  <si>
    <t>PRAIS_c</t>
  </si>
  <si>
    <t>PRAMPC_c</t>
  </si>
  <si>
    <t>PRASCSi_c</t>
  </si>
  <si>
    <t>PRATPP_c</t>
  </si>
  <si>
    <t>PREN9DPt_c_l</t>
  </si>
  <si>
    <t>PREN9DPt_c_m</t>
  </si>
  <si>
    <t>PRENT10_l</t>
  </si>
  <si>
    <t>PRENT11_l</t>
  </si>
  <si>
    <t>PRENT12_l</t>
  </si>
  <si>
    <t>PRENT13_l</t>
  </si>
  <si>
    <t>PRENT14_l</t>
  </si>
  <si>
    <t>PRENT15_l</t>
  </si>
  <si>
    <t>PRENT16_l</t>
  </si>
  <si>
    <t>PRENT17_l</t>
  </si>
  <si>
    <t>PRENT18_l</t>
  </si>
  <si>
    <t>PRENT19_l</t>
  </si>
  <si>
    <t>PRENT20_l</t>
  </si>
  <si>
    <t>PRENT21_l</t>
  </si>
  <si>
    <t>PRENT6_l</t>
  </si>
  <si>
    <t>PRENT7_l</t>
  </si>
  <si>
    <t>PRENT8_l</t>
  </si>
  <si>
    <t>PRENT9_l</t>
  </si>
  <si>
    <t>PRFGS_c</t>
  </si>
  <si>
    <t>PRMICI_c</t>
  </si>
  <si>
    <t>PROD2_m</t>
  </si>
  <si>
    <t>PROt_c_m</t>
  </si>
  <si>
    <t>PROtps_e</t>
  </si>
  <si>
    <t>PROTRS_c</t>
  </si>
  <si>
    <t>PRPPS_c</t>
  </si>
  <si>
    <t>PRPPt_c_m</t>
  </si>
  <si>
    <t>PSCIT_c</t>
  </si>
  <si>
    <t>PSD_gm</t>
  </si>
  <si>
    <t>PSD_mm</t>
  </si>
  <si>
    <t>PSD_vm</t>
  </si>
  <si>
    <t>PSERT_c</t>
  </si>
  <si>
    <t>PSP_L_c</t>
  </si>
  <si>
    <t>PSPHPL_r</t>
  </si>
  <si>
    <t>PSPHS_r</t>
  </si>
  <si>
    <t>PSSA_rm</t>
  </si>
  <si>
    <t>PSt_c_m</t>
  </si>
  <si>
    <t>PSt_c_rm</t>
  </si>
  <si>
    <t>PSt_en_rm</t>
  </si>
  <si>
    <t>PSt_gm_rm</t>
  </si>
  <si>
    <t>PSt_mm_rm</t>
  </si>
  <si>
    <t>PSt_rm_vm</t>
  </si>
  <si>
    <t>PTPAT_c</t>
  </si>
  <si>
    <t>PTRCAT1_c</t>
  </si>
  <si>
    <t>PTRCtpa_e</t>
  </si>
  <si>
    <t>PTRCtpa_v</t>
  </si>
  <si>
    <t>PUNP3_c</t>
  </si>
  <si>
    <t>PUNP3_m</t>
  </si>
  <si>
    <t>PUNP5_c</t>
  </si>
  <si>
    <t>PYAM5PO_c</t>
  </si>
  <si>
    <t>PYDAMK_c</t>
  </si>
  <si>
    <t>PYDX5PS_c</t>
  </si>
  <si>
    <t>PYDX5Pt_c_e</t>
  </si>
  <si>
    <t>PYDXK_c</t>
  </si>
  <si>
    <t>PYDXNK_c</t>
  </si>
  <si>
    <t>PYDXNO_c</t>
  </si>
  <si>
    <t>PYDXNOR_c</t>
  </si>
  <si>
    <t>PYDXO_c</t>
  </si>
  <si>
    <t>PYK_c</t>
  </si>
  <si>
    <t>PYNP2r_c</t>
  </si>
  <si>
    <t>PYRDC_c</t>
  </si>
  <si>
    <t>PYRDC2_c</t>
  </si>
  <si>
    <t>PYRtps_e</t>
  </si>
  <si>
    <t>PYRtps_m</t>
  </si>
  <si>
    <t>Q9H2t_c_e</t>
  </si>
  <si>
    <t>Q9H2t_c_m</t>
  </si>
  <si>
    <t>Q9MO_m</t>
  </si>
  <si>
    <t>Q9MT1_m</t>
  </si>
  <si>
    <t>Q9MT2_m</t>
  </si>
  <si>
    <t>Q9OR_m</t>
  </si>
  <si>
    <t>QUILSYN_c</t>
  </si>
  <si>
    <t>QUINDH_c</t>
  </si>
  <si>
    <t>QUINt_c_e</t>
  </si>
  <si>
    <t>QULNt_c_m</t>
  </si>
  <si>
    <t>RADHx_m</t>
  </si>
  <si>
    <t>RAFH_e</t>
  </si>
  <si>
    <t>RBFK_c</t>
  </si>
  <si>
    <t>RBFK_m</t>
  </si>
  <si>
    <t>RBFSa_c</t>
  </si>
  <si>
    <t>RBFSb_c</t>
  </si>
  <si>
    <t>RBK_c</t>
  </si>
  <si>
    <t>RBK_D_c</t>
  </si>
  <si>
    <t>RDH_c</t>
  </si>
  <si>
    <t>RHMND2_c</t>
  </si>
  <si>
    <t>RIBFLVt_c_m</t>
  </si>
  <si>
    <t>RIBt_c_e</t>
  </si>
  <si>
    <t>RLFC2O_c</t>
  </si>
  <si>
    <t>RLFC2O_m</t>
  </si>
  <si>
    <t>RNDR1_c</t>
  </si>
  <si>
    <t>RNDR1_n</t>
  </si>
  <si>
    <t>RNDR2_c</t>
  </si>
  <si>
    <t>RNDR2_n</t>
  </si>
  <si>
    <t>RNDR3_c</t>
  </si>
  <si>
    <t>RNDR3_n</t>
  </si>
  <si>
    <t>RNDR4_c</t>
  </si>
  <si>
    <t>RNDR4_n</t>
  </si>
  <si>
    <t>RNMK_c</t>
  </si>
  <si>
    <t>RPE_c</t>
  </si>
  <si>
    <t>RPI_c</t>
  </si>
  <si>
    <t>SACCD1_c</t>
  </si>
  <si>
    <t>SACCD2_c</t>
  </si>
  <si>
    <t>SADT_c</t>
  </si>
  <si>
    <t>SALCMOX_x</t>
  </si>
  <si>
    <t>SAM24MT_c</t>
  </si>
  <si>
    <t>SBP_c</t>
  </si>
  <si>
    <t>SBPP1_r</t>
  </si>
  <si>
    <t>SBPP2_r</t>
  </si>
  <si>
    <t>SBTD_D2_c</t>
  </si>
  <si>
    <t>SBTD_L_c</t>
  </si>
  <si>
    <t>SBTDt_c</t>
  </si>
  <si>
    <t>SBTLt_c</t>
  </si>
  <si>
    <t>SDPDS_c</t>
  </si>
  <si>
    <t>SERAT_c</t>
  </si>
  <si>
    <t>SERD_L_c</t>
  </si>
  <si>
    <t>SERPT_r</t>
  </si>
  <si>
    <t>SERt_c_m</t>
  </si>
  <si>
    <t>SERt_c_r</t>
  </si>
  <si>
    <t>SERt_c_rm</t>
  </si>
  <si>
    <t>SERtps_e</t>
  </si>
  <si>
    <t>SERTRS_c</t>
  </si>
  <si>
    <t>SFGTHi_c</t>
  </si>
  <si>
    <t>SHCHD2_c</t>
  </si>
  <si>
    <t>SHCHF_c</t>
  </si>
  <si>
    <t>SHK3Di_c</t>
  </si>
  <si>
    <t>SHKK_c</t>
  </si>
  <si>
    <t>SHSL1_c</t>
  </si>
  <si>
    <t>SLCBK1_r</t>
  </si>
  <si>
    <t>SO3R_c</t>
  </si>
  <si>
    <t>SO3t_c_e</t>
  </si>
  <si>
    <t>SO4t_c_e</t>
  </si>
  <si>
    <t>SPHGAT181_c</t>
  </si>
  <si>
    <t>SPHGLpK_r</t>
  </si>
  <si>
    <t>SPHINGSt_c_e</t>
  </si>
  <si>
    <t>SPHPL_r</t>
  </si>
  <si>
    <t>SPMDAT_c</t>
  </si>
  <si>
    <t>SPMDtpa_e</t>
  </si>
  <si>
    <t>SPMDtpa_v</t>
  </si>
  <si>
    <t>SPMS_c</t>
  </si>
  <si>
    <t>SPRMAT_c</t>
  </si>
  <si>
    <t>SPRMS_c</t>
  </si>
  <si>
    <t>SPRMtpa_e</t>
  </si>
  <si>
    <t>SPRMtpa_v</t>
  </si>
  <si>
    <t>SQLEx_r</t>
  </si>
  <si>
    <t>SQLEy_r</t>
  </si>
  <si>
    <t>SQLS_c</t>
  </si>
  <si>
    <t>SQLt_c_r</t>
  </si>
  <si>
    <t>SRBt_c_e</t>
  </si>
  <si>
    <t>SSALy_c</t>
  </si>
  <si>
    <t>SSQ23EPXt_c_r</t>
  </si>
  <si>
    <t>STATg_rm</t>
  </si>
  <si>
    <t>STCOAt_c_l</t>
  </si>
  <si>
    <t>STCOAt_c_rm</t>
  </si>
  <si>
    <t>STEHz161_en</t>
  </si>
  <si>
    <t>STEHz161_rm</t>
  </si>
  <si>
    <t>STEHz181_en</t>
  </si>
  <si>
    <t>STEHz181_rm</t>
  </si>
  <si>
    <t>SUCCt_c_e</t>
  </si>
  <si>
    <t>SUCCt2_m</t>
  </si>
  <si>
    <t>SUCDq9_m</t>
  </si>
  <si>
    <t>SUCFUMt_c_m</t>
  </si>
  <si>
    <t>SUCOAS_m</t>
  </si>
  <si>
    <t>SUCR_e</t>
  </si>
  <si>
    <t>SULFOX2_c</t>
  </si>
  <si>
    <t>TAGL_l</t>
  </si>
  <si>
    <t>TAGL_m</t>
  </si>
  <si>
    <t>TAGt_c_m</t>
  </si>
  <si>
    <t>TAGt_c_rm</t>
  </si>
  <si>
    <t>TAGt_l_rm</t>
  </si>
  <si>
    <t>TALA_c</t>
  </si>
  <si>
    <t>TAUDO_c</t>
  </si>
  <si>
    <t>TAURt_c_e</t>
  </si>
  <si>
    <t>TCHOLAtabc_v</t>
  </si>
  <si>
    <t>TDCOAt_c_l</t>
  </si>
  <si>
    <t>TDCOAt_c_rm</t>
  </si>
  <si>
    <t>TDPDRR_c</t>
  </si>
  <si>
    <t>THFAT_m</t>
  </si>
  <si>
    <t>THFGLUS_c</t>
  </si>
  <si>
    <t>THIORDXi_m</t>
  </si>
  <si>
    <t>THIORDXi_n</t>
  </si>
  <si>
    <t>THIORDXi_x</t>
  </si>
  <si>
    <t>THMP_c</t>
  </si>
  <si>
    <t>THMtps_e</t>
  </si>
  <si>
    <t>THRA_c</t>
  </si>
  <si>
    <t>THRA2_c</t>
  </si>
  <si>
    <t>THRD_L_m</t>
  </si>
  <si>
    <t>THRS_c</t>
  </si>
  <si>
    <t>THRt_c_m</t>
  </si>
  <si>
    <t>THRtps_e</t>
  </si>
  <si>
    <t>THRTRS_c</t>
  </si>
  <si>
    <t>THYMDt_c_e</t>
  </si>
  <si>
    <t>THZPSN1_c</t>
  </si>
  <si>
    <t>THZPSN2_c</t>
  </si>
  <si>
    <t>TKT1_c</t>
  </si>
  <si>
    <t>TKT2_c</t>
  </si>
  <si>
    <t>TMABADH_m</t>
  </si>
  <si>
    <t>TMDK1_c</t>
  </si>
  <si>
    <t>TMDPK_c</t>
  </si>
  <si>
    <t>TMDPPK_c</t>
  </si>
  <si>
    <t>TMDS_c</t>
  </si>
  <si>
    <t>TMLYSOX_m</t>
  </si>
  <si>
    <t>TMN_c</t>
  </si>
  <si>
    <t>TMPK_c</t>
  </si>
  <si>
    <t>TMPPP_c</t>
  </si>
  <si>
    <t>TPI_c</t>
  </si>
  <si>
    <t>tpscu2_c_m</t>
  </si>
  <si>
    <t>TRDOXt_c_x</t>
  </si>
  <si>
    <t>TRDR_c</t>
  </si>
  <si>
    <t>TRDR_m</t>
  </si>
  <si>
    <t>TRDRDt_c_x</t>
  </si>
  <si>
    <t>TRE6PP_c</t>
  </si>
  <si>
    <t>TRE6PS_c</t>
  </si>
  <si>
    <t>TREH_v</t>
  </si>
  <si>
    <t>TREt_c_v</t>
  </si>
  <si>
    <t>TREtps_e</t>
  </si>
  <si>
    <t>TROPNDH_c</t>
  </si>
  <si>
    <t>TRPDC_c</t>
  </si>
  <si>
    <t>TRPO2_c</t>
  </si>
  <si>
    <t>TRPS1_c</t>
  </si>
  <si>
    <t>TRPt_c_m</t>
  </si>
  <si>
    <t>TRPTA_c</t>
  </si>
  <si>
    <t>TRPTRS_c</t>
  </si>
  <si>
    <t>TRPTRS_m</t>
  </si>
  <si>
    <t>TTCCOAt_c_en</t>
  </si>
  <si>
    <t>TTCCOAt_c_l</t>
  </si>
  <si>
    <t>TTCCOAt_c_r</t>
  </si>
  <si>
    <t>TTCCOAt_c_rm</t>
  </si>
  <si>
    <t>TTCOSAt_c_e</t>
  </si>
  <si>
    <t>TTCOSAt_c_l</t>
  </si>
  <si>
    <t>TTCOSAt_c_rm</t>
  </si>
  <si>
    <t>TTDCAt_c_e</t>
  </si>
  <si>
    <t>TTDCAt_c_rm</t>
  </si>
  <si>
    <t>TTDCAt_c_x</t>
  </si>
  <si>
    <t>TTDCAt_l_rm</t>
  </si>
  <si>
    <t>TYRCBOX_x</t>
  </si>
  <si>
    <t>TYRt_c_m</t>
  </si>
  <si>
    <t>TYRt_c_v</t>
  </si>
  <si>
    <t>TYRt_c_x</t>
  </si>
  <si>
    <t>TYRTA_c</t>
  </si>
  <si>
    <t>TYRTA_m</t>
  </si>
  <si>
    <t>TYRTAi_x</t>
  </si>
  <si>
    <t>TYRtpa_v</t>
  </si>
  <si>
    <t>TYRtps_v</t>
  </si>
  <si>
    <t>TYRTRS_c</t>
  </si>
  <si>
    <t>TYRTRS_m</t>
  </si>
  <si>
    <t>UAGDP_c</t>
  </si>
  <si>
    <t>UDPG4E_c</t>
  </si>
  <si>
    <t>UDPGALt_c_g</t>
  </si>
  <si>
    <t>UDPGD_c</t>
  </si>
  <si>
    <t>UDPGLDC_c</t>
  </si>
  <si>
    <t>UGLT_c</t>
  </si>
  <si>
    <t>UMPK_c</t>
  </si>
  <si>
    <t>UMPK_n</t>
  </si>
  <si>
    <t>UMPt_c_n</t>
  </si>
  <si>
    <t>uniDOLDP_l</t>
  </si>
  <si>
    <t>UNK3_c</t>
  </si>
  <si>
    <t>UPP3MT_2_c</t>
  </si>
  <si>
    <t>UPP3S_c</t>
  </si>
  <si>
    <t>UPPDC1_c</t>
  </si>
  <si>
    <t>UPPRT_c</t>
  </si>
  <si>
    <t>URAtps_e</t>
  </si>
  <si>
    <t>UREA_c</t>
  </si>
  <si>
    <t>UREASE_c</t>
  </si>
  <si>
    <t>UREAtps_e</t>
  </si>
  <si>
    <t>URIDK2_n</t>
  </si>
  <si>
    <t>URIDK2i_c</t>
  </si>
  <si>
    <t>URIH_c</t>
  </si>
  <si>
    <t>URIK1_c</t>
  </si>
  <si>
    <t>URIK2_c</t>
  </si>
  <si>
    <t>URItps_e</t>
  </si>
  <si>
    <t>URO_c</t>
  </si>
  <si>
    <t>UTPt_c_m</t>
  </si>
  <si>
    <t>UTPUMPtp_m</t>
  </si>
  <si>
    <t>VALt_c_m</t>
  </si>
  <si>
    <t>VALTA_c</t>
  </si>
  <si>
    <t>VALTA_m</t>
  </si>
  <si>
    <t>VALtps_e</t>
  </si>
  <si>
    <t>VALTRS_c</t>
  </si>
  <si>
    <t>VALTRS_m</t>
  </si>
  <si>
    <t>VANLLOX_x</t>
  </si>
  <si>
    <t>XAND_c</t>
  </si>
  <si>
    <t>XANt_c_e</t>
  </si>
  <si>
    <t>XPPT_c</t>
  </si>
  <si>
    <t>XTSNt_c_e</t>
  </si>
  <si>
    <t>XU5PFGT_x</t>
  </si>
  <si>
    <t>XYLI1_c</t>
  </si>
  <si>
    <t>XYLI2_c</t>
  </si>
  <si>
    <t>XYLK_c</t>
  </si>
  <si>
    <t>XYLRy_c</t>
  </si>
  <si>
    <t>XYLt_c_e</t>
  </si>
  <si>
    <t>XYLTOR_c</t>
  </si>
  <si>
    <t>XYLTt_c_e</t>
  </si>
  <si>
    <t>XYLURx_c</t>
  </si>
  <si>
    <t>XYLURy_c</t>
  </si>
  <si>
    <t>YUMPS_c</t>
  </si>
  <si>
    <t>ZEAEPOX1_c</t>
  </si>
  <si>
    <t>ZEAEPOX2_c</t>
  </si>
  <si>
    <t>ZN2t_c_e</t>
  </si>
  <si>
    <t>ZYM161t_en_rm</t>
  </si>
  <si>
    <t>ZYM161t_l_rm</t>
  </si>
  <si>
    <t>ZYM181t_en_rm</t>
  </si>
  <si>
    <t>ZYM181t_l_rm</t>
  </si>
  <si>
    <t>ZYMSTt_c_en</t>
  </si>
  <si>
    <t>ZYMSTt_c_rm</t>
  </si>
  <si>
    <t>ZYMSTt_l_rm</t>
  </si>
  <si>
    <t>Abundance in SC (g protein/g all proteins)</t>
  </si>
  <si>
    <t>Abundance in RT (g protein/g all proteins)</t>
  </si>
  <si>
    <t>Q0045</t>
  </si>
  <si>
    <t>Q0080</t>
  </si>
  <si>
    <t>Q0085</t>
  </si>
  <si>
    <t>Q0105</t>
  </si>
  <si>
    <t>Q0250</t>
  </si>
  <si>
    <t>Q0275</t>
  </si>
  <si>
    <t>YAL012W</t>
  </si>
  <si>
    <t>YAL022C</t>
  </si>
  <si>
    <t>YAL023C</t>
  </si>
  <si>
    <t>YAL038W</t>
  </si>
  <si>
    <t>YAL044C</t>
  </si>
  <si>
    <t>YAL060W</t>
  </si>
  <si>
    <t>YAL062W</t>
  </si>
  <si>
    <t>YAR015W</t>
  </si>
  <si>
    <t>YAR035W</t>
  </si>
  <si>
    <t>YAR071W</t>
  </si>
  <si>
    <t>YBL011W</t>
  </si>
  <si>
    <t>YBL013W</t>
  </si>
  <si>
    <t>YBL015W</t>
  </si>
  <si>
    <t>YBL030C</t>
  </si>
  <si>
    <t>YBL033C</t>
  </si>
  <si>
    <t>YBL039C</t>
  </si>
  <si>
    <t>YBL042C</t>
  </si>
  <si>
    <t>YBL076C</t>
  </si>
  <si>
    <t>YBL098W</t>
  </si>
  <si>
    <t>YBL099W</t>
  </si>
  <si>
    <t>YBR002C</t>
  </si>
  <si>
    <t>YBR003W</t>
  </si>
  <si>
    <t>YBR004C</t>
  </si>
  <si>
    <t>YBR006W</t>
  </si>
  <si>
    <t>YBR011C</t>
  </si>
  <si>
    <t>YBR018C</t>
  </si>
  <si>
    <t>YBR019C</t>
  </si>
  <si>
    <t>YBR020W</t>
  </si>
  <si>
    <t>YBR021W</t>
  </si>
  <si>
    <t>YBR023C</t>
  </si>
  <si>
    <t>YBR026C</t>
  </si>
  <si>
    <t>YBR029C</t>
  </si>
  <si>
    <t>YBR034C</t>
  </si>
  <si>
    <t>YBR035C</t>
  </si>
  <si>
    <t>YBR038W</t>
  </si>
  <si>
    <t>YBR039W</t>
  </si>
  <si>
    <t>YBR041W</t>
  </si>
  <si>
    <t>YBR042C</t>
  </si>
  <si>
    <t>YBR084W</t>
  </si>
  <si>
    <t>YBR097W</t>
  </si>
  <si>
    <t>YBR110W</t>
  </si>
  <si>
    <t>YBR115C</t>
  </si>
  <si>
    <t>YBR121C</t>
  </si>
  <si>
    <t>YBR126C</t>
  </si>
  <si>
    <t>YBR127C</t>
  </si>
  <si>
    <t>YBR145W</t>
  </si>
  <si>
    <t>YBR153W</t>
  </si>
  <si>
    <t>YBR159W</t>
  </si>
  <si>
    <t>YBR166C</t>
  </si>
  <si>
    <t>YBR176W</t>
  </si>
  <si>
    <t>YBR180W</t>
  </si>
  <si>
    <t>YBR192W</t>
  </si>
  <si>
    <t>YBR196C</t>
  </si>
  <si>
    <t>YBR208C</t>
  </si>
  <si>
    <t>YBR213W</t>
  </si>
  <si>
    <t>YBR218C</t>
  </si>
  <si>
    <t>YBR221C</t>
  </si>
  <si>
    <t>YBR248C</t>
  </si>
  <si>
    <t>YBR249C</t>
  </si>
  <si>
    <t>YBR252W</t>
  </si>
  <si>
    <t>YBR256C</t>
  </si>
  <si>
    <t>YBR265W</t>
  </si>
  <si>
    <t>YBR291C</t>
  </si>
  <si>
    <t>YBR294W</t>
  </si>
  <si>
    <t>YBR296C</t>
  </si>
  <si>
    <t>YCL004W</t>
  </si>
  <si>
    <t>YCL009C</t>
  </si>
  <si>
    <t>YCL018W</t>
  </si>
  <si>
    <t>YCL030C</t>
  </si>
  <si>
    <t>YCL035C</t>
  </si>
  <si>
    <t>YCL038C</t>
  </si>
  <si>
    <t>YCR005C</t>
  </si>
  <si>
    <t>YCR012W</t>
  </si>
  <si>
    <t>YCR024C</t>
  </si>
  <si>
    <t>YCR028C</t>
  </si>
  <si>
    <t>YCR036W</t>
  </si>
  <si>
    <t>YCR053W</t>
  </si>
  <si>
    <t>YCR075C</t>
  </si>
  <si>
    <t>YCR098C</t>
  </si>
  <si>
    <t>YCR105W</t>
  </si>
  <si>
    <t>YDL004W</t>
  </si>
  <si>
    <t>YDL015C</t>
  </si>
  <si>
    <t>YDL022W</t>
  </si>
  <si>
    <t>YDL042C</t>
  </si>
  <si>
    <t>YDL045C</t>
  </si>
  <si>
    <t>YDL052C</t>
  </si>
  <si>
    <t>YDL055C</t>
  </si>
  <si>
    <t>YDL066W</t>
  </si>
  <si>
    <t>YDL085W</t>
  </si>
  <si>
    <t>YDL095W</t>
  </si>
  <si>
    <t>YDL100C</t>
  </si>
  <si>
    <t>YDL103C</t>
  </si>
  <si>
    <t>YDL141W</t>
  </si>
  <si>
    <t>YDL142C</t>
  </si>
  <si>
    <t>YDL168W</t>
  </si>
  <si>
    <t>YDL171C</t>
  </si>
  <si>
    <t>YDL174C</t>
  </si>
  <si>
    <t>YDL178W</t>
  </si>
  <si>
    <t>YDL185W</t>
  </si>
  <si>
    <t>YDL198C</t>
  </si>
  <si>
    <t>YDL205C</t>
  </si>
  <si>
    <t>YDL210W</t>
  </si>
  <si>
    <t>YDL215C</t>
  </si>
  <si>
    <t>YDL238C</t>
  </si>
  <si>
    <t>YDR017C</t>
  </si>
  <si>
    <t>YDR019C</t>
  </si>
  <si>
    <t>YDR023W</t>
  </si>
  <si>
    <t>YDR035W</t>
  </si>
  <si>
    <t>YDR037W</t>
  </si>
  <si>
    <t>YDR044W</t>
  </si>
  <si>
    <t>YDR047W</t>
  </si>
  <si>
    <t>YDR050C</t>
  </si>
  <si>
    <t>YDR058C</t>
  </si>
  <si>
    <t>YDR062W</t>
  </si>
  <si>
    <t>YDR072C</t>
  </si>
  <si>
    <t>YDR074W</t>
  </si>
  <si>
    <t>YDR127W</t>
  </si>
  <si>
    <t>YDR135C</t>
  </si>
  <si>
    <t>YDR148C</t>
  </si>
  <si>
    <t>YDR158W</t>
  </si>
  <si>
    <t>YDR173C</t>
  </si>
  <si>
    <t>YDR196C</t>
  </si>
  <si>
    <t>YDR204W</t>
  </si>
  <si>
    <t>YDR208W</t>
  </si>
  <si>
    <t>YDR226W</t>
  </si>
  <si>
    <t>YDR232W</t>
  </si>
  <si>
    <t>YDR234W</t>
  </si>
  <si>
    <t>YDR236C</t>
  </si>
  <si>
    <t>YDR256C</t>
  </si>
  <si>
    <t>YDR268W</t>
  </si>
  <si>
    <t>YDR272W</t>
  </si>
  <si>
    <t>YDR284C</t>
  </si>
  <si>
    <t>YDR287W</t>
  </si>
  <si>
    <t>YDR294C</t>
  </si>
  <si>
    <t>YDR297W</t>
  </si>
  <si>
    <t>YDR298C</t>
  </si>
  <si>
    <t>YDR300C</t>
  </si>
  <si>
    <t>YDR302W</t>
  </si>
  <si>
    <t>YDR305C</t>
  </si>
  <si>
    <t>YDR322C-A</t>
  </si>
  <si>
    <t>YDR341C</t>
  </si>
  <si>
    <t>YDR353W</t>
  </si>
  <si>
    <t>YDR354W</t>
  </si>
  <si>
    <t>YDR368W</t>
  </si>
  <si>
    <t>YDR373W</t>
  </si>
  <si>
    <t>YDR376W</t>
  </si>
  <si>
    <t>YDR377W</t>
  </si>
  <si>
    <t>YDR400W</t>
  </si>
  <si>
    <t>YDR402C</t>
  </si>
  <si>
    <t>YDR408C</t>
  </si>
  <si>
    <t>YDR428C</t>
  </si>
  <si>
    <t>YDR454C</t>
  </si>
  <si>
    <t>YDR481C</t>
  </si>
  <si>
    <t>YDR483W</t>
  </si>
  <si>
    <t>YDR487C</t>
  </si>
  <si>
    <t>YDR497C</t>
  </si>
  <si>
    <t>YDR502C</t>
  </si>
  <si>
    <t>YDR513W</t>
  </si>
  <si>
    <t>YDR529C</t>
  </si>
  <si>
    <t>YDR530C</t>
  </si>
  <si>
    <t>YDR531W</t>
  </si>
  <si>
    <t>YDR536W</t>
  </si>
  <si>
    <t>YEL021W</t>
  </si>
  <si>
    <t>YEL024W</t>
  </si>
  <si>
    <t>YEL027W</t>
  </si>
  <si>
    <t>YEL029C</t>
  </si>
  <si>
    <t>YEL039C</t>
  </si>
  <si>
    <t>YEL041W</t>
  </si>
  <si>
    <t>YEL042W</t>
  </si>
  <si>
    <t>YEL046C</t>
  </si>
  <si>
    <t>YEL047C</t>
  </si>
  <si>
    <t>YEL051W</t>
  </si>
  <si>
    <t>YEL058W</t>
  </si>
  <si>
    <t>YER003C</t>
  </si>
  <si>
    <t>YER005W</t>
  </si>
  <si>
    <t>YER014W</t>
  </si>
  <si>
    <t>YER015W</t>
  </si>
  <si>
    <t>YER019W</t>
  </si>
  <si>
    <t>YER023W</t>
  </si>
  <si>
    <t>YER026C</t>
  </si>
  <si>
    <t>YER043C</t>
  </si>
  <si>
    <t>YER052C</t>
  </si>
  <si>
    <t>YER053C</t>
  </si>
  <si>
    <t>YER055C</t>
  </si>
  <si>
    <t>YER056C</t>
  </si>
  <si>
    <t>YER065C</t>
  </si>
  <si>
    <t>YER069W</t>
  </si>
  <si>
    <t>YER070W</t>
  </si>
  <si>
    <t>YER073W</t>
  </si>
  <si>
    <t>YER090W</t>
  </si>
  <si>
    <t>YER091C</t>
  </si>
  <si>
    <t>YER099C</t>
  </si>
  <si>
    <t>YER119C</t>
  </si>
  <si>
    <t>YER170W</t>
  </si>
  <si>
    <t>YER175C</t>
  </si>
  <si>
    <t>YER178W</t>
  </si>
  <si>
    <t>YER183C</t>
  </si>
  <si>
    <t>YFL001W</t>
  </si>
  <si>
    <t>YFL017C</t>
  </si>
  <si>
    <t>YFL018C</t>
  </si>
  <si>
    <t>YFL022C</t>
  </si>
  <si>
    <t>YFL030W</t>
  </si>
  <si>
    <t>YFL045C</t>
  </si>
  <si>
    <t>YFL053W</t>
  </si>
  <si>
    <t>YFR015C</t>
  </si>
  <si>
    <t>YFR019W</t>
  </si>
  <si>
    <t>YFR025C</t>
  </si>
  <si>
    <t>YFR030W</t>
  </si>
  <si>
    <t>YFR033C</t>
  </si>
  <si>
    <t>YFR047C</t>
  </si>
  <si>
    <t>YGL001C</t>
  </si>
  <si>
    <t>YGL008C</t>
  </si>
  <si>
    <t>YGL009C</t>
  </si>
  <si>
    <t>YGL012W</t>
  </si>
  <si>
    <t>YGL026C</t>
  </si>
  <si>
    <t>YGL037C</t>
  </si>
  <si>
    <t>YGL040C</t>
  </si>
  <si>
    <t>YGL055W</t>
  </si>
  <si>
    <t>YGL062W</t>
  </si>
  <si>
    <t>YGL067W</t>
  </si>
  <si>
    <t>YGL077C</t>
  </si>
  <si>
    <t>YGL080W</t>
  </si>
  <si>
    <t>YGL119W</t>
  </si>
  <si>
    <t>YGL125W</t>
  </si>
  <si>
    <t>YGL142C</t>
  </si>
  <si>
    <t>YGL148W</t>
  </si>
  <si>
    <t>YGL154C</t>
  </si>
  <si>
    <t>YGL184C</t>
  </si>
  <si>
    <t>YGL187C</t>
  </si>
  <si>
    <t>YGL191W</t>
  </si>
  <si>
    <t>YGL202W</t>
  </si>
  <si>
    <t>YGL205W</t>
  </si>
  <si>
    <t>YGL224C</t>
  </si>
  <si>
    <t>YGL225W</t>
  </si>
  <si>
    <t>YGL234W</t>
  </si>
  <si>
    <t>YGL245W</t>
  </si>
  <si>
    <t>YGL248W</t>
  </si>
  <si>
    <t>YGL253W</t>
  </si>
  <si>
    <t>YGL256W</t>
  </si>
  <si>
    <t>YGR019W</t>
  </si>
  <si>
    <t>YGR020C</t>
  </si>
  <si>
    <t>YGR032W</t>
  </si>
  <si>
    <t>YGR055W</t>
  </si>
  <si>
    <t>YGR060W</t>
  </si>
  <si>
    <t>YGR061C</t>
  </si>
  <si>
    <t>YGR088W</t>
  </si>
  <si>
    <t>YGR094W</t>
  </si>
  <si>
    <t>YGR124W</t>
  </si>
  <si>
    <t>YGR138C</t>
  </si>
  <si>
    <t>YGR143W</t>
  </si>
  <si>
    <t>YGR155W</t>
  </si>
  <si>
    <t>YGR157W</t>
  </si>
  <si>
    <t>YGR170W</t>
  </si>
  <si>
    <t>YGR171C</t>
  </si>
  <si>
    <t>YGR175C</t>
  </si>
  <si>
    <t>YGR183C</t>
  </si>
  <si>
    <t>YGR185C</t>
  </si>
  <si>
    <t>YGR193C</t>
  </si>
  <si>
    <t>YGR194C</t>
  </si>
  <si>
    <t>YGR202C</t>
  </si>
  <si>
    <t>YGR209C</t>
  </si>
  <si>
    <t>YGR240C</t>
  </si>
  <si>
    <t>YGR243W</t>
  </si>
  <si>
    <t>YGR244C</t>
  </si>
  <si>
    <t>YGR254W</t>
  </si>
  <si>
    <t>YGR255C</t>
  </si>
  <si>
    <t>YGR256W</t>
  </si>
  <si>
    <t>YGR260W</t>
  </si>
  <si>
    <t>YGR264C</t>
  </si>
  <si>
    <t>YGR267C</t>
  </si>
  <si>
    <t>YGR277C</t>
  </si>
  <si>
    <t>YGR286C</t>
  </si>
  <si>
    <t>YGR289C</t>
  </si>
  <si>
    <t>YHL011C</t>
  </si>
  <si>
    <t>YHL016C</t>
  </si>
  <si>
    <t>YHL032C</t>
  </si>
  <si>
    <t>YHR001W-A</t>
  </si>
  <si>
    <t>YHR002W</t>
  </si>
  <si>
    <t>YHR007C</t>
  </si>
  <si>
    <t>YHR011W</t>
  </si>
  <si>
    <t>YHR018C</t>
  </si>
  <si>
    <t>YHR019C</t>
  </si>
  <si>
    <t>YHR020W</t>
  </si>
  <si>
    <t>YHR025W</t>
  </si>
  <si>
    <t>YHR026W</t>
  </si>
  <si>
    <t>YHR037W</t>
  </si>
  <si>
    <t>YHR039C-A</t>
  </si>
  <si>
    <t>YHR042W</t>
  </si>
  <si>
    <t>YHR046C</t>
  </si>
  <si>
    <t>YHR051W</t>
  </si>
  <si>
    <t>YHR063C</t>
  </si>
  <si>
    <t>YHR068W</t>
  </si>
  <si>
    <t>YHR072W</t>
  </si>
  <si>
    <t>YHR074W</t>
  </si>
  <si>
    <t>YHR100C</t>
  </si>
  <si>
    <t>YHR123W</t>
  </si>
  <si>
    <t>YHR128W</t>
  </si>
  <si>
    <t>YHR144C</t>
  </si>
  <si>
    <t>YHR190W</t>
  </si>
  <si>
    <t>YHR208W</t>
  </si>
  <si>
    <t>YIL002C</t>
  </si>
  <si>
    <t>YIL006W</t>
  </si>
  <si>
    <t>YIL009W</t>
  </si>
  <si>
    <t>YIL010W</t>
  </si>
  <si>
    <t>YIL020C</t>
  </si>
  <si>
    <t>YIL074C</t>
  </si>
  <si>
    <t>YIL078W</t>
  </si>
  <si>
    <t>YIL083C</t>
  </si>
  <si>
    <t>YIL094C</t>
  </si>
  <si>
    <t>YIL099W</t>
  </si>
  <si>
    <t>YIL111W</t>
  </si>
  <si>
    <t>YIL116W</t>
  </si>
  <si>
    <t>YIL124W</t>
  </si>
  <si>
    <t>YIL125W</t>
  </si>
  <si>
    <t>YIL134W</t>
  </si>
  <si>
    <t>YIL145C</t>
  </si>
  <si>
    <t>YIL155C</t>
  </si>
  <si>
    <t>YIL160C</t>
  </si>
  <si>
    <t>YIL162W</t>
  </si>
  <si>
    <t>YIR027C</t>
  </si>
  <si>
    <t>YIR028W</t>
  </si>
  <si>
    <t>YIR029W</t>
  </si>
  <si>
    <t>YIR034C</t>
  </si>
  <si>
    <t>YJL005W</t>
  </si>
  <si>
    <t>YJL026W</t>
  </si>
  <si>
    <t>YJL052W</t>
  </si>
  <si>
    <t>YJL060W</t>
  </si>
  <si>
    <t>YJL068C</t>
  </si>
  <si>
    <t>YJL071W</t>
  </si>
  <si>
    <t>YJL088W</t>
  </si>
  <si>
    <t>YJL091C</t>
  </si>
  <si>
    <t>YJL097W</t>
  </si>
  <si>
    <t>YJL100W</t>
  </si>
  <si>
    <t>YJL101C</t>
  </si>
  <si>
    <t>YJL121C</t>
  </si>
  <si>
    <t>YJL130C</t>
  </si>
  <si>
    <t>YJL153C</t>
  </si>
  <si>
    <t>YJL155C</t>
  </si>
  <si>
    <t>YJL166W</t>
  </si>
  <si>
    <t>YJL167W</t>
  </si>
  <si>
    <t>YJL212C</t>
  </si>
  <si>
    <t>YJR001W</t>
  </si>
  <si>
    <t>YJR010W</t>
  </si>
  <si>
    <t>YJR013W</t>
  </si>
  <si>
    <t>YJR016C</t>
  </si>
  <si>
    <t>YJR019C</t>
  </si>
  <si>
    <t>YJR025C</t>
  </si>
  <si>
    <t>YJR057W</t>
  </si>
  <si>
    <t>YJR073C</t>
  </si>
  <si>
    <t>YJR077C</t>
  </si>
  <si>
    <t>YJR078W</t>
  </si>
  <si>
    <t>YJR095W</t>
  </si>
  <si>
    <t>YJR105W</t>
  </si>
  <si>
    <t>YJR110W</t>
  </si>
  <si>
    <t>YJR121W</t>
  </si>
  <si>
    <t>YJR130C</t>
  </si>
  <si>
    <t>YJR133W</t>
  </si>
  <si>
    <t>YJR137C</t>
  </si>
  <si>
    <t>YJR139C</t>
  </si>
  <si>
    <t>YJR143C</t>
  </si>
  <si>
    <t>YJR148W</t>
  </si>
  <si>
    <t>YJR152W</t>
  </si>
  <si>
    <t>YJR153W</t>
  </si>
  <si>
    <t>YJR159W</t>
  </si>
  <si>
    <t>YKL001C</t>
  </si>
  <si>
    <t>YKL004W</t>
  </si>
  <si>
    <t>YKL016C</t>
  </si>
  <si>
    <t>YKL024C</t>
  </si>
  <si>
    <t>YKL029C</t>
  </si>
  <si>
    <t>YKL035W</t>
  </si>
  <si>
    <t>YKL055C</t>
  </si>
  <si>
    <t>YKL060C</t>
  </si>
  <si>
    <t>YKL067W</t>
  </si>
  <si>
    <t>YKL080W</t>
  </si>
  <si>
    <t>YKL085W</t>
  </si>
  <si>
    <t>YKL088W</t>
  </si>
  <si>
    <t>YKL094W</t>
  </si>
  <si>
    <t>YKL104C</t>
  </si>
  <si>
    <t>YKL106W</t>
  </si>
  <si>
    <t>YKL120W</t>
  </si>
  <si>
    <t>YKL146W</t>
  </si>
  <si>
    <t>YKL148C</t>
  </si>
  <si>
    <t>YKL152C</t>
  </si>
  <si>
    <t>YKL165C</t>
  </si>
  <si>
    <t>YKL182W</t>
  </si>
  <si>
    <t>YKL184W</t>
  </si>
  <si>
    <t>YKL188C</t>
  </si>
  <si>
    <t>YKL192C</t>
  </si>
  <si>
    <t>YKL211C</t>
  </si>
  <si>
    <t>YKL212W</t>
  </si>
  <si>
    <t>YKL216W</t>
  </si>
  <si>
    <t>YKL217W</t>
  </si>
  <si>
    <t>YKR009C</t>
  </si>
  <si>
    <t>YKR031C</t>
  </si>
  <si>
    <t>YKR039W</t>
  </si>
  <si>
    <t>YKR043C</t>
  </si>
  <si>
    <t>YKR053C</t>
  </si>
  <si>
    <t>YKR058W</t>
  </si>
  <si>
    <t>YKR066C</t>
  </si>
  <si>
    <t>YKR067W</t>
  </si>
  <si>
    <t>YKR069W</t>
  </si>
  <si>
    <t>YKR080W</t>
  </si>
  <si>
    <t>YKR097W</t>
  </si>
  <si>
    <t>YLL018C</t>
  </si>
  <si>
    <t>YLL028W</t>
  </si>
  <si>
    <t>YLL031C</t>
  </si>
  <si>
    <t>YLL041C</t>
  </si>
  <si>
    <t>YLL057C</t>
  </si>
  <si>
    <t>YLL062C</t>
  </si>
  <si>
    <t>YLR011W</t>
  </si>
  <si>
    <t>YLR017W</t>
  </si>
  <si>
    <t>YLR020C</t>
  </si>
  <si>
    <t>YLR027C</t>
  </si>
  <si>
    <t>YLR038C</t>
  </si>
  <si>
    <t>YLR043C</t>
  </si>
  <si>
    <t>YLR044C</t>
  </si>
  <si>
    <t>YLR056W</t>
  </si>
  <si>
    <t>YLR058C</t>
  </si>
  <si>
    <t>YLR060W</t>
  </si>
  <si>
    <t>YLR070C</t>
  </si>
  <si>
    <t>YLR109W</t>
  </si>
  <si>
    <t>YLR133W</t>
  </si>
  <si>
    <t>YLR138W</t>
  </si>
  <si>
    <t>YLR142W</t>
  </si>
  <si>
    <t>YLR146C</t>
  </si>
  <si>
    <t>YLR172C</t>
  </si>
  <si>
    <t>YLR189C</t>
  </si>
  <si>
    <t>YLR209C</t>
  </si>
  <si>
    <t>YLR231C</t>
  </si>
  <si>
    <t>YLR240W</t>
  </si>
  <si>
    <t>YLR245C</t>
  </si>
  <si>
    <t>YLR260W</t>
  </si>
  <si>
    <t>YLR284C</t>
  </si>
  <si>
    <t>YLR285W</t>
  </si>
  <si>
    <t>YLR295C</t>
  </si>
  <si>
    <t>YLR299W</t>
  </si>
  <si>
    <t>YLR300W</t>
  </si>
  <si>
    <t>YLR303W</t>
  </si>
  <si>
    <t>YLR305C</t>
  </si>
  <si>
    <t>YLR307W</t>
  </si>
  <si>
    <t>YLR308W</t>
  </si>
  <si>
    <t>YLR348C</t>
  </si>
  <si>
    <t>YLR354C</t>
  </si>
  <si>
    <t>YLR355C</t>
  </si>
  <si>
    <t>YLR359W</t>
  </si>
  <si>
    <t>YLR372W</t>
  </si>
  <si>
    <t>YLR377C</t>
  </si>
  <si>
    <t>YLR386W</t>
  </si>
  <si>
    <t>YLR395C</t>
  </si>
  <si>
    <t>YLR410W</t>
  </si>
  <si>
    <t>YLR420W</t>
  </si>
  <si>
    <t>YLR438W</t>
  </si>
  <si>
    <t>YLR447C</t>
  </si>
  <si>
    <t>YLR450W</t>
  </si>
  <si>
    <t>YML004C</t>
  </si>
  <si>
    <t>YML008C</t>
  </si>
  <si>
    <t>YML022W</t>
  </si>
  <si>
    <t>YML035C</t>
  </si>
  <si>
    <t>YML042W</t>
  </si>
  <si>
    <t>YML054C</t>
  </si>
  <si>
    <t>YML059C</t>
  </si>
  <si>
    <t>YML081C-A</t>
  </si>
  <si>
    <t>YML086C</t>
  </si>
  <si>
    <t>YML106W</t>
  </si>
  <si>
    <t>YML110C</t>
  </si>
  <si>
    <t>YML123C</t>
  </si>
  <si>
    <t>YML126C</t>
  </si>
  <si>
    <t>YMR008C</t>
  </si>
  <si>
    <t>YMR009W</t>
  </si>
  <si>
    <t>YMR013C</t>
  </si>
  <si>
    <t>YMR015C</t>
  </si>
  <si>
    <t>YMR020W</t>
  </si>
  <si>
    <t>YMR041C</t>
  </si>
  <si>
    <t>YMR062C</t>
  </si>
  <si>
    <t>YMR083W</t>
  </si>
  <si>
    <t>YMR088C</t>
  </si>
  <si>
    <t>YMR108W</t>
  </si>
  <si>
    <t>YMR113W</t>
  </si>
  <si>
    <t>YMR145C</t>
  </si>
  <si>
    <t>YMR165C</t>
  </si>
  <si>
    <t>YMR189W</t>
  </si>
  <si>
    <t>YMR202W</t>
  </si>
  <si>
    <t>YMR205C</t>
  </si>
  <si>
    <t>YMR208W</t>
  </si>
  <si>
    <t>YMR217W</t>
  </si>
  <si>
    <t>YMR220W</t>
  </si>
  <si>
    <t>YMR226C</t>
  </si>
  <si>
    <t>YMR241W</t>
  </si>
  <si>
    <t>YMR250W</t>
  </si>
  <si>
    <t>YMR256C</t>
  </si>
  <si>
    <t>YMR272C</t>
  </si>
  <si>
    <t>YMR278W</t>
  </si>
  <si>
    <t>YMR281W</t>
  </si>
  <si>
    <t>YMR289W</t>
  </si>
  <si>
    <t>YMR296C</t>
  </si>
  <si>
    <t>YMR300C</t>
  </si>
  <si>
    <t>YMR303C</t>
  </si>
  <si>
    <t>YMR318C</t>
  </si>
  <si>
    <t>YMR319C</t>
  </si>
  <si>
    <t>YNL003C</t>
  </si>
  <si>
    <t>YNL037C</t>
  </si>
  <si>
    <t>YNL045W</t>
  </si>
  <si>
    <t>YNL071W</t>
  </si>
  <si>
    <t>YNL106C</t>
  </si>
  <si>
    <t>YNL129W</t>
  </si>
  <si>
    <t>YNL130C</t>
  </si>
  <si>
    <t>YNL141W</t>
  </si>
  <si>
    <t>YNL142W</t>
  </si>
  <si>
    <t>YNL169C</t>
  </si>
  <si>
    <t>YNL202W</t>
  </si>
  <si>
    <t>YNL220W</t>
  </si>
  <si>
    <t>YNL241C</t>
  </si>
  <si>
    <t>YNL247W</t>
  </si>
  <si>
    <t>YNL256W</t>
  </si>
  <si>
    <t>YNL267W</t>
  </si>
  <si>
    <t>YNL277W</t>
  </si>
  <si>
    <t>YNL280C</t>
  </si>
  <si>
    <t>YNL292W</t>
  </si>
  <si>
    <t>YNL316C</t>
  </si>
  <si>
    <t>YNL325C</t>
  </si>
  <si>
    <t>YNR001C</t>
  </si>
  <si>
    <t>YNR008W</t>
  </si>
  <si>
    <t>YNR012W</t>
  </si>
  <si>
    <t>YNR019W</t>
  </si>
  <si>
    <t>YNR033W</t>
  </si>
  <si>
    <t>YNR041C</t>
  </si>
  <si>
    <t>YNR043W</t>
  </si>
  <si>
    <t>YNR050C</t>
  </si>
  <si>
    <t>YNR058W</t>
  </si>
  <si>
    <t>YOL033W</t>
  </si>
  <si>
    <t>YOL049W</t>
  </si>
  <si>
    <t>YOL052C</t>
  </si>
  <si>
    <t>YOL055C</t>
  </si>
  <si>
    <t>YOL058W</t>
  </si>
  <si>
    <t>YOL059W</t>
  </si>
  <si>
    <t>YOL064C</t>
  </si>
  <si>
    <t>YOL066C</t>
  </si>
  <si>
    <t>YOL086C</t>
  </si>
  <si>
    <t>YOL096C</t>
  </si>
  <si>
    <t>YOL097C</t>
  </si>
  <si>
    <t>YOL103W</t>
  </si>
  <si>
    <t>YOL126C</t>
  </si>
  <si>
    <t>YOL140W</t>
  </si>
  <si>
    <t>YOL143C</t>
  </si>
  <si>
    <t>YOL151W</t>
  </si>
  <si>
    <t>YOR025W</t>
  </si>
  <si>
    <t>YOR065W</t>
  </si>
  <si>
    <t>YOR074C</t>
  </si>
  <si>
    <t>YOR081C</t>
  </si>
  <si>
    <t>YOR095C</t>
  </si>
  <si>
    <t>YOR099W</t>
  </si>
  <si>
    <t>YOR100C</t>
  </si>
  <si>
    <t>YOR109W</t>
  </si>
  <si>
    <t>YOR120W</t>
  </si>
  <si>
    <t>YOR125C</t>
  </si>
  <si>
    <t>YOR126C</t>
  </si>
  <si>
    <t>YOR128C</t>
  </si>
  <si>
    <t>YOR130C</t>
  </si>
  <si>
    <t>YOR136W</t>
  </si>
  <si>
    <t>YOR142W</t>
  </si>
  <si>
    <t>YOR143C</t>
  </si>
  <si>
    <t>YOR168W</t>
  </si>
  <si>
    <t>YOR175C</t>
  </si>
  <si>
    <t>YOR184W</t>
  </si>
  <si>
    <t>YOR202W</t>
  </si>
  <si>
    <t>YOR209C</t>
  </si>
  <si>
    <t>YOR222W</t>
  </si>
  <si>
    <t>YOR236W</t>
  </si>
  <si>
    <t>YOR241W</t>
  </si>
  <si>
    <t>YOR245C</t>
  </si>
  <si>
    <t>YOR278W</t>
  </si>
  <si>
    <t>YOR303W</t>
  </si>
  <si>
    <t>YOR311C</t>
  </si>
  <si>
    <t>YOR317W</t>
  </si>
  <si>
    <t>YOR323C</t>
  </si>
  <si>
    <t>YOR332W</t>
  </si>
  <si>
    <t>YOR335C</t>
  </si>
  <si>
    <t>YOR360C</t>
  </si>
  <si>
    <t>YOR374W</t>
  </si>
  <si>
    <t>YOR388C</t>
  </si>
  <si>
    <t>YPL015C</t>
  </si>
  <si>
    <t>YPL023C</t>
  </si>
  <si>
    <t>YPL028W</t>
  </si>
  <si>
    <t>YPL036W</t>
  </si>
  <si>
    <t>YPL040C</t>
  </si>
  <si>
    <t>YPL057C</t>
  </si>
  <si>
    <t>scRBA $k_{app}$ ($h^{-1}$)</t>
  </si>
  <si>
    <t>rtRBA $k_{app}$ ($h^{-1}$)</t>
  </si>
  <si>
    <t>13GS_c_FWD-rt7616</t>
  </si>
  <si>
    <t>16GS_c_FWD-rt0150</t>
  </si>
  <si>
    <t>3HACD260_rm_FWD-rt2309</t>
  </si>
  <si>
    <t>3OACR260_rm_FWD-rt8327</t>
  </si>
  <si>
    <t>AASADy_c_FWD-LYS25</t>
  </si>
  <si>
    <t>AATA_c_FWD-rt7471</t>
  </si>
  <si>
    <t>ACACT40ir_c_FWD-rt0310</t>
  </si>
  <si>
    <t>ACCOAC_c_FWD-rt0271</t>
  </si>
  <si>
    <t>ACGAM6PS_c_FWD-rt4107</t>
  </si>
  <si>
    <t>ACGAMPM_c_FWD-rt4597</t>
  </si>
  <si>
    <t>ACGK_m_FWD-rt1009</t>
  </si>
  <si>
    <t>ACOADS180_rm_FWD-rt1362</t>
  </si>
  <si>
    <t>ACOTAi_m_FWD-rt6510</t>
  </si>
  <si>
    <t>ADK1_c_FWD-rt3932</t>
  </si>
  <si>
    <t>ADNK1_c_FWD-rt0017</t>
  </si>
  <si>
    <t>ADPATPt_c_m_FWD-rt4336</t>
  </si>
  <si>
    <t>ADSK_c_FWD-rt0341</t>
  </si>
  <si>
    <t>ADSL1r_c_FWD-rt7437</t>
  </si>
  <si>
    <t>ADSL2i_c_FWD-rt7437</t>
  </si>
  <si>
    <t>ADSS_c_FWD-rt3802</t>
  </si>
  <si>
    <t>AFAT_c_FWD-rt3174_c</t>
  </si>
  <si>
    <t>AGPRi_m_FWD-rt1009</t>
  </si>
  <si>
    <t>AHCi_c_FWD-rt4544</t>
  </si>
  <si>
    <t>AHSERL2_c_FWD-rt8250</t>
  </si>
  <si>
    <t>AIRC1_c_FWD-rt3764</t>
  </si>
  <si>
    <t>AKGDH_m_FWD-KGDCPLX2</t>
  </si>
  <si>
    <t>ALAS_m_FWD-rt0309</t>
  </si>
  <si>
    <t>ALATRS_c_FWD-rt3605</t>
  </si>
  <si>
    <t>ANPRT_c_FWD-rt1532</t>
  </si>
  <si>
    <t>ANS_c_FWD-TRP23</t>
  </si>
  <si>
    <t>ARGSL_c_FWD-rt3236</t>
  </si>
  <si>
    <t>ARGTRS_c_FWD-rt1711</t>
  </si>
  <si>
    <t>ASAD_c_FWD-rt1962</t>
  </si>
  <si>
    <t>ASNS1_c_FWD-rt6769</t>
  </si>
  <si>
    <t>ASNTRS_c_FWD-rt0799</t>
  </si>
  <si>
    <t>ASPK_c_FWD-rt6294</t>
  </si>
  <si>
    <t>ASPTRS_c_FWD-rt5890</t>
  </si>
  <si>
    <t>ATPASEP2e_c_FWD-rt0602_c</t>
  </si>
  <si>
    <t>ATPPRT_c_FWD-rt1520</t>
  </si>
  <si>
    <t>BPNT_c_FWD-rt2305</t>
  </si>
  <si>
    <t>C24STR_r_FWD-rt2613</t>
  </si>
  <si>
    <t>CDPDAGS_rm_FWD-rt4513_rm</t>
  </si>
  <si>
    <t>CHORM_c_FWD-rt1336</t>
  </si>
  <si>
    <t>CHORS_c_FWD-rt5669</t>
  </si>
  <si>
    <t>CITMALta_m_FWD-rt2146</t>
  </si>
  <si>
    <t>CYSTGL_c_FWD-rt1131</t>
  </si>
  <si>
    <t>CYSTRS_c_FWD-rt1487</t>
  </si>
  <si>
    <t>CYSTS_c_FWD-rt7344</t>
  </si>
  <si>
    <t>DGAT_rm_FWD-rt8092_rm</t>
  </si>
  <si>
    <t>DHAD1_m_FWD-rt1321</t>
  </si>
  <si>
    <t>DHAD2_m_FWD-rt1321</t>
  </si>
  <si>
    <t>DHFRi_c_FWD-rt3791_c</t>
  </si>
  <si>
    <t>DHORDfum_c_FWD-rt6498</t>
  </si>
  <si>
    <t>DHORTS_c_REV-rt3923</t>
  </si>
  <si>
    <t>DHQS_c_FWD-rt5884</t>
  </si>
  <si>
    <t>DHQTi_c_FWD-rt5884</t>
  </si>
  <si>
    <t>DMATT_c_FWD-rt4576</t>
  </si>
  <si>
    <t>DOLPMMT_r_FWD-PMT12</t>
  </si>
  <si>
    <t>DOLPMT_c_FWD-rt5116</t>
  </si>
  <si>
    <t>DPMVD_c_FWD-rt3542</t>
  </si>
  <si>
    <t>DTMPK_c_FWD-rt6884</t>
  </si>
  <si>
    <t>ECOAR260_rm_FWD-rt7873</t>
  </si>
  <si>
    <t>ENO_c_FWD-rt0669</t>
  </si>
  <si>
    <t>FBA_c_FWD-rt7052</t>
  </si>
  <si>
    <t>FE2t_c_e_FWD-rt0996</t>
  </si>
  <si>
    <t>FTHFL_m_REV-rt6998</t>
  </si>
  <si>
    <t>FUM_m_FWD-rt5633_m</t>
  </si>
  <si>
    <t>G3PD1r_c_FWD-rt3786_c</t>
  </si>
  <si>
    <t>GALUi_c_FWD-rt3384</t>
  </si>
  <si>
    <t>GAPD_c_FWD-rt2245</t>
  </si>
  <si>
    <t>GARFT_c_FWD-rt5227</t>
  </si>
  <si>
    <t>GF6PTA_c_FWD-rt3731</t>
  </si>
  <si>
    <t>GK1_c_FWD-rt3157</t>
  </si>
  <si>
    <t>GLNS_c_FWD-rt3476</t>
  </si>
  <si>
    <t>GLNTRS_c_FWD-rt5012</t>
  </si>
  <si>
    <t>GLUPRT_c_FWD-rt6932</t>
  </si>
  <si>
    <t>GLUt_c_m_FWD-rt4150</t>
  </si>
  <si>
    <t>GLUTRS_c_FWD-rt2385</t>
  </si>
  <si>
    <t>GLYCL_m_FWD-GCV123LPD1</t>
  </si>
  <si>
    <t>GLYGS_c_FWD-rt12285634</t>
  </si>
  <si>
    <t>GLYt_c_m_FWD-rt4150</t>
  </si>
  <si>
    <t>GLYTRS_c_FWD-rt7136</t>
  </si>
  <si>
    <t>GRTT_c_FWD-rt4576</t>
  </si>
  <si>
    <t>HCITS_m_FWD-rt6488_m</t>
  </si>
  <si>
    <t>HCO3E_c_FWD-rt4213</t>
  </si>
  <si>
    <t>HEX1_c_FWD-rt1896</t>
  </si>
  <si>
    <t>HICITD_m_FWD-rt2060</t>
  </si>
  <si>
    <t>HISTD_c_FWD-rt3278</t>
  </si>
  <si>
    <t>HISTP_c_FWD-rt1838</t>
  </si>
  <si>
    <t>HISTRS_c_FWD-rt0207_c</t>
  </si>
  <si>
    <t>HMGCOAR_c_FWD-rt1206</t>
  </si>
  <si>
    <t>HMGCOAS_c_FWD-rt3754_c</t>
  </si>
  <si>
    <t>HSERTA_c_FWD-rt4145</t>
  </si>
  <si>
    <t>HSK_c_FWD-rt0283</t>
  </si>
  <si>
    <t>HSTPT_c_FWD-rt4862</t>
  </si>
  <si>
    <t>IG3PS_c_FWD-rt0716</t>
  </si>
  <si>
    <t>IGPDH_c_FWD-rt0339</t>
  </si>
  <si>
    <t>IGPS_c_FWD-rt8196</t>
  </si>
  <si>
    <t>ILETRS_c_FWD-rt5078</t>
  </si>
  <si>
    <t>IMPD_c_FWD-rt0027</t>
  </si>
  <si>
    <t>IPDDI_c_FWD-rt7835</t>
  </si>
  <si>
    <t>IPMD_c_FWD-rt5526</t>
  </si>
  <si>
    <t>IPPMIa_c_REV-rt6546</t>
  </si>
  <si>
    <t>IPPMIb_c_REV-rt6546</t>
  </si>
  <si>
    <t>KARA1i_m_FWD-rt0808</t>
  </si>
  <si>
    <t>KARA2i_m_FWD-rt0808</t>
  </si>
  <si>
    <t>LEUTA_c_REV-rt5646</t>
  </si>
  <si>
    <t>LEUTRS_c_FWD-rt1776</t>
  </si>
  <si>
    <t>LYSTRS_c_FWD-rt3577</t>
  </si>
  <si>
    <t>MAN1PT_c_FWD-rt6588</t>
  </si>
  <si>
    <t>MAN6PI_c_REV-rt0239</t>
  </si>
  <si>
    <t>MDH_c_REV-rt2246</t>
  </si>
  <si>
    <t>MDH_m_FWD-rt2810</t>
  </si>
  <si>
    <t>METAT_c_FWD-rt5403</t>
  </si>
  <si>
    <t>METS_c_FWD-rt1457</t>
  </si>
  <si>
    <t>METTRS_c_FWD-rt4772</t>
  </si>
  <si>
    <t>MEVK1_c_FWD-rt0390</t>
  </si>
  <si>
    <t>MTHFC_m_FWD-rt6998</t>
  </si>
  <si>
    <t>MTHFD_c_FWD-rt6998</t>
  </si>
  <si>
    <t>MTHFD_m_FWD-rt6998</t>
  </si>
  <si>
    <t>MTHFR3_c_FWD-MET1213</t>
  </si>
  <si>
    <t>NACt_c_e_FWD-rt3853</t>
  </si>
  <si>
    <t>NADS2_c_FWD-rt0915_c</t>
  </si>
  <si>
    <t>NAMNPP_c_FWD-rt1924_c</t>
  </si>
  <si>
    <t>NDPK1_c_FWD-rt7311</t>
  </si>
  <si>
    <t>NDPK2_c_FWD-rt7311</t>
  </si>
  <si>
    <t>NDPK3_c_FWD-rt7311</t>
  </si>
  <si>
    <t>NDPK4_c_FWD-rt7311</t>
  </si>
  <si>
    <t>NDPK5_c_FWD-rt7311</t>
  </si>
  <si>
    <t>NDPK7_c_FWD-rt7311</t>
  </si>
  <si>
    <t>NH4t_c_e_FWD-rt4558</t>
  </si>
  <si>
    <t>NNATi_c_FWD-rt2062_c</t>
  </si>
  <si>
    <t>OCBT_c_FWD-rt4934</t>
  </si>
  <si>
    <t>OMCDC_c_FWD-rt5646</t>
  </si>
  <si>
    <t>OMPDC_c_FWD-rt3750</t>
  </si>
  <si>
    <t>ORNTACi_m_FWD-rt7840</t>
  </si>
  <si>
    <t>ORNtpa_m_FWD-rt4951</t>
  </si>
  <si>
    <t>ORPT_c_REV-rt2348</t>
  </si>
  <si>
    <t>P5CR_c_FWD-rt5064</t>
  </si>
  <si>
    <t>PAILS_rm_FWD-rt6753</t>
  </si>
  <si>
    <t>PAP_rm_FWD-rt4117</t>
  </si>
  <si>
    <t>PAPSR_c_FWD-MET16TRX1</t>
  </si>
  <si>
    <t>PDH_m_FWD-PDHCPLX</t>
  </si>
  <si>
    <t>PEMT_rm_FWD-rt4380</t>
  </si>
  <si>
    <t>PFK_c_FWD-rt0499</t>
  </si>
  <si>
    <t>PGCD_c_FWD-rt3683</t>
  </si>
  <si>
    <t>PGI_c_FWD-rt1221</t>
  </si>
  <si>
    <t>PGK_c_FWD-rt7353</t>
  </si>
  <si>
    <t>PGM_c_FWD-rt1542</t>
  </si>
  <si>
    <t>PGMT_c_FWD-rt1591</t>
  </si>
  <si>
    <t>PHETRS_c_FWD-FRS12</t>
  </si>
  <si>
    <t>PItps_e_FWD-rt1948</t>
  </si>
  <si>
    <t>PMANM_c_REV-rt0873</t>
  </si>
  <si>
    <t>PMEVK_c_FWD-rt0334</t>
  </si>
  <si>
    <t>PNTK_c_FWD-rt5817</t>
  </si>
  <si>
    <t>PNTOtps_e_FWD-rt3985</t>
  </si>
  <si>
    <t>PPA_c_FWD-rt7511</t>
  </si>
  <si>
    <t>PPCDC_c_FWD-rt0168</t>
  </si>
  <si>
    <t>PPNCL2_c_FWD-rt0510</t>
  </si>
  <si>
    <t>PPND2_c_FWD-rt7857</t>
  </si>
  <si>
    <t>PPNDH_c_FWD-rt5827</t>
  </si>
  <si>
    <t>PRAGSi_c_FWD-rt5891</t>
  </si>
  <si>
    <t>PRAIi_c_FWD-rt8196</t>
  </si>
  <si>
    <t>PRAIS_c_FWD-rt5891</t>
  </si>
  <si>
    <t>PRAMPC_c_FWD-rt3278</t>
  </si>
  <si>
    <t>PRASCSi_c_FWD-rt0852</t>
  </si>
  <si>
    <t>PRATPP_c_FWD-rt3278</t>
  </si>
  <si>
    <t>PRFGS_c_FWD-rt6665</t>
  </si>
  <si>
    <t>PRMICI_c_FWD-rt3242_c</t>
  </si>
  <si>
    <t>PROTRS_c_FWD-rt3118</t>
  </si>
  <si>
    <t>PRPPS_c_FWD-PRS23</t>
  </si>
  <si>
    <t>PSERT_c_FWD-rt7036</t>
  </si>
  <si>
    <t>PSP_L_c_FWD-rt3683</t>
  </si>
  <si>
    <t>PSSA_rm_FWD-rt3215</t>
  </si>
  <si>
    <t>PYK_c_FWD-rt4634</t>
  </si>
  <si>
    <t>RBFK_c_FWD-rt0930_c</t>
  </si>
  <si>
    <t>RPE_c_FWD-rt3505</t>
  </si>
  <si>
    <t>RPI_c_FWD-rt4920</t>
  </si>
  <si>
    <t>SACCD1_c_FWD-rt8465</t>
  </si>
  <si>
    <t>SACCD2_c_FWD-rt8465</t>
  </si>
  <si>
    <t>SADT_c_FWD-rt5075</t>
  </si>
  <si>
    <t>SO3R_c_FWD-rt20063076</t>
  </si>
  <si>
    <t>SO4t_c_e_FWD-rt7368</t>
  </si>
  <si>
    <t>TALA_c_FWD-rt1805</t>
  </si>
  <si>
    <t>THRS_c_FWD-rt1374</t>
  </si>
  <si>
    <t>THRTRS_c_FWD-rt7480</t>
  </si>
  <si>
    <t>TMDS_c_FWD-rt2477</t>
  </si>
  <si>
    <t>TPI_c_FWD-rt0932</t>
  </si>
  <si>
    <t>TRDR_c_FWD-rt1320</t>
  </si>
  <si>
    <t>TRPS1_c_FWD-rt0894</t>
  </si>
  <si>
    <t>TRPTRS_c_FWD-rt6341</t>
  </si>
  <si>
    <t>TYRTRS_c_FWD-rt8273</t>
  </si>
  <si>
    <t>UAGDP_c_FWD-rt0711</t>
  </si>
  <si>
    <t>UMPK_c_FWD-rt4822_c</t>
  </si>
  <si>
    <t>UPP3S_c_FWD-rt2147</t>
  </si>
  <si>
    <t>VALTA_m_REV-rt6242_m</t>
  </si>
  <si>
    <t>VALTRS_c_FWD-rt8160_c</t>
  </si>
  <si>
    <t>distance from 45-degree line</t>
  </si>
  <si>
    <t>distance from 45-degree line / max value of all points</t>
  </si>
  <si>
    <t>x rank</t>
  </si>
  <si>
    <t>y rank</t>
  </si>
  <si>
    <t>log(x)</t>
  </si>
  <si>
    <t>log(y)</t>
  </si>
  <si>
    <t>subsystem</t>
  </si>
  <si>
    <t>N-Glycan biosynthesis</t>
  </si>
  <si>
    <t>Transport</t>
  </si>
  <si>
    <t>Starch and sucrose metabolism</t>
  </si>
  <si>
    <t>Cell wall biosynthesis</t>
  </si>
  <si>
    <t>Glycerophospholipid biosynthesis</t>
  </si>
  <si>
    <t>Alternative carbon metabolism</t>
  </si>
  <si>
    <t>Alanine, aspartate and glutamate metabolism</t>
  </si>
  <si>
    <t>Phenylalanine, tyrosine and tryptophan metabolism</t>
  </si>
  <si>
    <t>Sphingolipid biosynthesis</t>
  </si>
  <si>
    <t>Fatty acid elongation</t>
  </si>
  <si>
    <t>Fatty acid biosynthesis</t>
  </si>
  <si>
    <t>Tryptophan metabolism</t>
  </si>
  <si>
    <t>Unassigned</t>
  </si>
  <si>
    <t>Synthesis and degradation of ketone bodies</t>
  </si>
  <si>
    <t>Ubiquinone biosynthesis</t>
  </si>
  <si>
    <t>Benzoate degradation</t>
  </si>
  <si>
    <t>Thiamine metabolism</t>
  </si>
  <si>
    <t>Tyrosine metabolism</t>
  </si>
  <si>
    <t>Glycine, serine and threonine metabolism</t>
  </si>
  <si>
    <t>Methylglyoxal metabolism</t>
  </si>
  <si>
    <t>Lysine metabolism</t>
  </si>
  <si>
    <t>Arginine and proline metabolism</t>
  </si>
  <si>
    <t>Fatty acid degradation</t>
  </si>
  <si>
    <t>Terpenoid backbone biosynthesis</t>
  </si>
  <si>
    <t>Acetyl-CoA synthesis</t>
  </si>
  <si>
    <t>Propanoate metabolism</t>
  </si>
  <si>
    <t>Amino sugar and nucleotide sugar metabolism</t>
  </si>
  <si>
    <t>Glycosaminoglycan degradation</t>
  </si>
  <si>
    <t>Glycerophospholipid metabolism</t>
  </si>
  <si>
    <t>Valine, leucine and isoleucine metabolism</t>
  </si>
  <si>
    <t>Pyruvate metabolism</t>
  </si>
  <si>
    <t>Biosynthesis of unsaturated fatty acids</t>
  </si>
  <si>
    <t>C5-Branched dibasic acid metabolism</t>
  </si>
  <si>
    <t>Citric acid cycle</t>
  </si>
  <si>
    <t>Riboflavin metabolism</t>
  </si>
  <si>
    <t>Cysteine and methionine metabolism</t>
  </si>
  <si>
    <t>Styrene degradation</t>
  </si>
  <si>
    <t>Purine metabolism</t>
  </si>
  <si>
    <t>Folate metabolism</t>
  </si>
  <si>
    <t>Aflatoxin biosynthesis</t>
  </si>
  <si>
    <t>Butanoate metabolism</t>
  </si>
  <si>
    <t>Aminoacyl-tRNA biosynthesis</t>
  </si>
  <si>
    <t>Pentose and glucuronate interconversions</t>
  </si>
  <si>
    <t>beta-Alanine metabolism</t>
  </si>
  <si>
    <t>Biotin metabolism</t>
  </si>
  <si>
    <t>Nicotinate and nicotinamide metabolism</t>
  </si>
  <si>
    <t>Histidine metabolism</t>
  </si>
  <si>
    <t>Steroid hormone biosynthesis</t>
  </si>
  <si>
    <t>Ascorbate and aldarate metabolism</t>
  </si>
  <si>
    <t>Pyrimidine metabolism</t>
  </si>
  <si>
    <t>Oxidative phosphorylation</t>
  </si>
  <si>
    <t>Carnitine biosynthesis</t>
  </si>
  <si>
    <t>Pseudoreaction</t>
  </si>
  <si>
    <t>Sulfur metabolism</t>
  </si>
  <si>
    <t>Ergosterol biosynthesis</t>
  </si>
  <si>
    <t>Carotenoid biosynthesis</t>
  </si>
  <si>
    <t>Penicillin and cephalosporin biosynthesis</t>
  </si>
  <si>
    <t>Phosphonate and phosphinate metabolism</t>
  </si>
  <si>
    <t>Steroid biosynthesis</t>
  </si>
  <si>
    <t>Carbon fixation pathways in prokaryotes</t>
  </si>
  <si>
    <t>Chlorocyclohexane and chlorobenzene degradation</t>
  </si>
  <si>
    <t>Heme metabolism</t>
  </si>
  <si>
    <t>Triacylglycerol degradation</t>
  </si>
  <si>
    <t>D-Arginine and D-ornithine metabolism</t>
  </si>
  <si>
    <t>Triacylglycerol biosynthesis</t>
  </si>
  <si>
    <t>Glycerolipid metabolism</t>
  </si>
  <si>
    <t>O-Glycan biosynthesis</t>
  </si>
  <si>
    <t>Pantothenate and CoA biosynthesis</t>
  </si>
  <si>
    <t>Glycolysis / Gluconeogenesis</t>
  </si>
  <si>
    <t>Pentose phosphate pathway</t>
  </si>
  <si>
    <t>Nitrogen metabolism</t>
  </si>
  <si>
    <t>Exchange</t>
  </si>
  <si>
    <t>Detoxification</t>
  </si>
  <si>
    <t>Fructose and mannose metabolism</t>
  </si>
  <si>
    <t>Cofactors and prosthetic groups biosynthesis</t>
  </si>
  <si>
    <t>Glyoxylate metabolism</t>
  </si>
  <si>
    <t>Cyanoamino acid metabolism</t>
  </si>
  <si>
    <t>Phospholipid biosynthesis</t>
  </si>
  <si>
    <t>Galactose metabolism</t>
  </si>
  <si>
    <t>D-Glutamine and D-glutamate metabolism</t>
  </si>
  <si>
    <t>GPI biosynthesis</t>
  </si>
  <si>
    <t>Glutathione metabolism</t>
  </si>
  <si>
    <t>Taurine and hypotaurine metabolism</t>
  </si>
  <si>
    <t>Vitamin B6 metabolism</t>
  </si>
  <si>
    <t>Inositol phosphate metabolism</t>
  </si>
  <si>
    <t>Arachidonic acid metabolism</t>
  </si>
  <si>
    <t>Nucleotide metabolism</t>
  </si>
  <si>
    <t>Aminobenzoate degradation</t>
  </si>
  <si>
    <t>Glycosaminoglycan biosynthesis - chondroitin sulfate / dermatan sulfate</t>
  </si>
  <si>
    <t>Ether lipid metabolism</t>
  </si>
  <si>
    <t>Glyoxylate and dicarboxylate metabolism</t>
  </si>
  <si>
    <t>Phenylpropanoid biosynthesis</t>
  </si>
  <si>
    <t>Sphingolipid metabolism</t>
  </si>
  <si>
    <t>Retinol metabolism</t>
  </si>
  <si>
    <t>Dioxin degradation</t>
  </si>
  <si>
    <t>Lipid metabolism</t>
  </si>
  <si>
    <t>Streptomycin biosynthesis</t>
  </si>
  <si>
    <t>One-carbon metabolism</t>
  </si>
  <si>
    <t>Tropane, piperidine and pyridine alkaloid biosynthesis</t>
  </si>
  <si>
    <t>Methane metabolism</t>
  </si>
  <si>
    <t>folate met. Rxns only</t>
  </si>
  <si>
    <t>rxns with log values</t>
  </si>
  <si>
    <t>rxn</t>
  </si>
  <si>
    <t>enz</t>
  </si>
  <si>
    <t>dir</t>
  </si>
  <si>
    <t>subsystem:</t>
  </si>
  <si>
    <t>SC enz</t>
  </si>
  <si>
    <t>RT enz abundance</t>
  </si>
  <si>
    <t>SC enz abundance</t>
  </si>
  <si>
    <t>2OXOADPt_c_m_FWD-rt2267</t>
  </si>
  <si>
    <t>3OACE240_rm_FWD-rt8287</t>
  </si>
  <si>
    <t>3OACE260_rm_FWD-rt8287</t>
  </si>
  <si>
    <t>ACHBS_m_FWD-rt7317</t>
  </si>
  <si>
    <t>ACLS_m_FWD-rt7317</t>
  </si>
  <si>
    <t>ACONTa_m_FWD-rt6232</t>
  </si>
  <si>
    <t>ACONTb_m_FWD-rt6232</t>
  </si>
  <si>
    <t>ACS_c_FWD-rt6229_c</t>
  </si>
  <si>
    <t>AGPAT_rm_FWD-rt2059_rm</t>
  </si>
  <si>
    <t>AICART_c_FWD-rt4053</t>
  </si>
  <si>
    <t>AKGCITta_m_FWD-rt8378</t>
  </si>
  <si>
    <t>AKGMALta_m_FWD-rt2267</t>
  </si>
  <si>
    <t>ARGSS_c_FWD-rt7828</t>
  </si>
  <si>
    <t>ASPCT_c_FWD-rt8313</t>
  </si>
  <si>
    <t>C22STDSy_c_FWD-rt3348</t>
  </si>
  <si>
    <t>C5STDS_c_FWD-rt0413</t>
  </si>
  <si>
    <t>C8STI_c_FWD-rt1745</t>
  </si>
  <si>
    <t>CBPS_c_FWD-rt3934</t>
  </si>
  <si>
    <t>CHTNS_c_FWD-rt0073</t>
  </si>
  <si>
    <t>CS_m_FWD-CIT13</t>
  </si>
  <si>
    <t>CTPS2_c_FWD-rt8107</t>
  </si>
  <si>
    <t>CYSS_c_FWD-rt3663</t>
  </si>
  <si>
    <t>DDPA_c_FWD-rt2234_c</t>
  </si>
  <si>
    <t>DUTPDP_c_FWD-rt5532</t>
  </si>
  <si>
    <t>FDH_c_FWD-rt3584</t>
  </si>
  <si>
    <t>FUM_c_FWD-rt5633_c</t>
  </si>
  <si>
    <t>G3PAT_rm_FWD-rt7067</t>
  </si>
  <si>
    <t>G5SDy_c_FWD-rt7905</t>
  </si>
  <si>
    <t>G6PDH2i_c_FWD-rt1632</t>
  </si>
  <si>
    <t>GHMT2r_c_FWD-rt1299</t>
  </si>
  <si>
    <t>GLCt_c_e_FWD-rt4674</t>
  </si>
  <si>
    <t>GLU5K_c_FWD-rt6820</t>
  </si>
  <si>
    <t>GLUDy_c_FWD-rt3880</t>
  </si>
  <si>
    <t>GND_c_FWD-rt2224</t>
  </si>
  <si>
    <t>HACNH_m_FWD-rt6232</t>
  </si>
  <si>
    <t>HCITR_m_FWD-rt7648</t>
  </si>
  <si>
    <t>ICDHx_m_FWD-IDH12</t>
  </si>
  <si>
    <t>IMPC_c_FWD-rt4053</t>
  </si>
  <si>
    <t>IPPS_c_FWD-rt7120</t>
  </si>
  <si>
    <t>ME1_m_FWD-rt5549</t>
  </si>
  <si>
    <t>MTHFD2i_c_FWD-rt4257</t>
  </si>
  <si>
    <t>NADK_c_FWD-rt1814_c</t>
  </si>
  <si>
    <t>ORNTA_c_FWD-rt6698</t>
  </si>
  <si>
    <t>PC_c_FWD-rt7325</t>
  </si>
  <si>
    <t>PDMEMT_rm_FWD-rt4380</t>
  </si>
  <si>
    <t>PGL_c_FWD-rt6131</t>
  </si>
  <si>
    <t>PHETA1_c_REV-rt7471</t>
  </si>
  <si>
    <t>PItps_m_FWD-rt0521</t>
  </si>
  <si>
    <t>PMEMT_rm_FWD-rt4380</t>
  </si>
  <si>
    <t>PSCIT_c_FWD-rt5884</t>
  </si>
  <si>
    <t>PSD_mm_FWD-rt2136</t>
  </si>
  <si>
    <t>PYRtps_m_FWD-MPC13</t>
  </si>
  <si>
    <t>RNDR1_c_FWD-RNR124</t>
  </si>
  <si>
    <t>RNDR2_c_FWD-RNR124</t>
  </si>
  <si>
    <t>RNDR3_c_FWD-RNR124</t>
  </si>
  <si>
    <t>SAM24MT_c_FWD-rt4692</t>
  </si>
  <si>
    <t>SERAT_c_FWD-rt6880</t>
  </si>
  <si>
    <t>SERTRS_c_FWD-rt1878</t>
  </si>
  <si>
    <t>SHK3Di_c_FWD-rt5884</t>
  </si>
  <si>
    <t>SHKK_c_FWD-rt5884</t>
  </si>
  <si>
    <t>SUCOAS_m_FWD-LSC12</t>
  </si>
  <si>
    <t>THRD_L_m_FWD-rt3541</t>
  </si>
  <si>
    <t>TKT1_c_FWD-rt7263_c</t>
  </si>
  <si>
    <t>TKT2_c_FWD-rt7263_c</t>
  </si>
  <si>
    <t>TRE6PP_c_FWD-TPS12TSL1</t>
  </si>
  <si>
    <t>TRE6PS_c_FWD-TPS12TSL1</t>
  </si>
  <si>
    <t>TYRTA_c_FWD-rt7471</t>
  </si>
  <si>
    <t>VALTA_c_FWD-rt5646</t>
  </si>
  <si>
    <t>dist from 45-degree (RT - SC)</t>
  </si>
  <si>
    <t>median dist.</t>
  </si>
  <si>
    <t>subsystems that differ most</t>
  </si>
  <si>
    <t>abs. dist from 45-degree (RT - SC)</t>
  </si>
  <si>
    <t>ATPS_m_FWD-ATPSCPLX</t>
  </si>
  <si>
    <t>CPPPGO_c_FWD-rt5829</t>
  </si>
  <si>
    <t>ECOAH100_x_FWD-rt8147</t>
  </si>
  <si>
    <t>FCLT_m_FWD-rt7907</t>
  </si>
  <si>
    <t>HACD100i_x_FWD-rt2994</t>
  </si>
  <si>
    <t>HEMEOS_m_FWD-rt2735</t>
  </si>
  <si>
    <t>INOSTtps_e_FWD-rt4674</t>
  </si>
  <si>
    <t>NDPK6_c_FWD-rt7311</t>
  </si>
  <si>
    <t>PPBNGD_c_FWD-rt6350</t>
  </si>
  <si>
    <t>PPBNGS_1_c_FWD-rt5026</t>
  </si>
  <si>
    <t>PPPGO_m_FWD-rt3499</t>
  </si>
  <si>
    <t>SHCHD2_c_FWD-rt5201</t>
  </si>
  <si>
    <t>SHCHF_c_FWD-rt5201</t>
  </si>
  <si>
    <t>UPP3MT_2_c_FWD-rt2682</t>
  </si>
  <si>
    <t>UPPDC1_c_FWD-rt5811</t>
  </si>
  <si>
    <t>YUMPS_c_FWD-rt6068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</si>
</sst>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Rank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'MFA-derived fluxes'!$G$2:$G$2309</c:f>
              <c:numCache>
                <c:formatCode>General</c:formatCode>
                <c:ptCount val="2308"/>
                <c:pt idx="0">
                  <c:v>1310.5</c:v>
                </c:pt>
                <c:pt idx="1">
                  <c:v>1310.5</c:v>
                </c:pt>
                <c:pt idx="2">
                  <c:v>1310.5</c:v>
                </c:pt>
                <c:pt idx="3">
                  <c:v>87</c:v>
                </c:pt>
                <c:pt idx="4">
                  <c:v>1310.5</c:v>
                </c:pt>
                <c:pt idx="5">
                  <c:v>1310.5</c:v>
                </c:pt>
                <c:pt idx="6">
                  <c:v>192</c:v>
                </c:pt>
                <c:pt idx="7">
                  <c:v>1310.5</c:v>
                </c:pt>
                <c:pt idx="8">
                  <c:v>1310.5</c:v>
                </c:pt>
                <c:pt idx="9">
                  <c:v>1310.5</c:v>
                </c:pt>
                <c:pt idx="10">
                  <c:v>1310.5</c:v>
                </c:pt>
                <c:pt idx="11">
                  <c:v>1310.5</c:v>
                </c:pt>
                <c:pt idx="12">
                  <c:v>1310.5</c:v>
                </c:pt>
                <c:pt idx="13">
                  <c:v>1310.5</c:v>
                </c:pt>
                <c:pt idx="14">
                  <c:v>1310.5</c:v>
                </c:pt>
                <c:pt idx="15">
                  <c:v>1310.5</c:v>
                </c:pt>
                <c:pt idx="16">
                  <c:v>1310.5</c:v>
                </c:pt>
                <c:pt idx="17">
                  <c:v>1310.5</c:v>
                </c:pt>
                <c:pt idx="18">
                  <c:v>264</c:v>
                </c:pt>
                <c:pt idx="19">
                  <c:v>1310.5</c:v>
                </c:pt>
                <c:pt idx="20">
                  <c:v>1310.5</c:v>
                </c:pt>
                <c:pt idx="21">
                  <c:v>124</c:v>
                </c:pt>
                <c:pt idx="22">
                  <c:v>1310.5</c:v>
                </c:pt>
                <c:pt idx="23">
                  <c:v>1310.5</c:v>
                </c:pt>
                <c:pt idx="24">
                  <c:v>1310.5</c:v>
                </c:pt>
                <c:pt idx="25">
                  <c:v>1310.5</c:v>
                </c:pt>
                <c:pt idx="26">
                  <c:v>1310.5</c:v>
                </c:pt>
                <c:pt idx="27">
                  <c:v>1310.5</c:v>
                </c:pt>
                <c:pt idx="28">
                  <c:v>1310.5</c:v>
                </c:pt>
                <c:pt idx="29">
                  <c:v>1310.5</c:v>
                </c:pt>
                <c:pt idx="30">
                  <c:v>1310.5</c:v>
                </c:pt>
                <c:pt idx="31">
                  <c:v>1310.5</c:v>
                </c:pt>
                <c:pt idx="32">
                  <c:v>1310.5</c:v>
                </c:pt>
                <c:pt idx="33">
                  <c:v>1310.5</c:v>
                </c:pt>
                <c:pt idx="34">
                  <c:v>1310.5</c:v>
                </c:pt>
                <c:pt idx="35">
                  <c:v>1310.5</c:v>
                </c:pt>
                <c:pt idx="36">
                  <c:v>1310.5</c:v>
                </c:pt>
                <c:pt idx="37">
                  <c:v>1310.5</c:v>
                </c:pt>
                <c:pt idx="38">
                  <c:v>1310.5</c:v>
                </c:pt>
                <c:pt idx="39">
                  <c:v>1310.5</c:v>
                </c:pt>
                <c:pt idx="40">
                  <c:v>1310.5</c:v>
                </c:pt>
                <c:pt idx="41">
                  <c:v>1310.5</c:v>
                </c:pt>
                <c:pt idx="42">
                  <c:v>1310.5</c:v>
                </c:pt>
                <c:pt idx="43">
                  <c:v>1310.5</c:v>
                </c:pt>
                <c:pt idx="44">
                  <c:v>1310.5</c:v>
                </c:pt>
                <c:pt idx="45">
                  <c:v>1310.5</c:v>
                </c:pt>
                <c:pt idx="46">
                  <c:v>1310.5</c:v>
                </c:pt>
                <c:pt idx="47">
                  <c:v>1310.5</c:v>
                </c:pt>
                <c:pt idx="48">
                  <c:v>1310.5</c:v>
                </c:pt>
                <c:pt idx="49">
                  <c:v>1310.5</c:v>
                </c:pt>
                <c:pt idx="50">
                  <c:v>1310.5</c:v>
                </c:pt>
                <c:pt idx="51">
                  <c:v>1310.5</c:v>
                </c:pt>
                <c:pt idx="52">
                  <c:v>1310.5</c:v>
                </c:pt>
                <c:pt idx="53">
                  <c:v>1310.5</c:v>
                </c:pt>
                <c:pt idx="54">
                  <c:v>1310.5</c:v>
                </c:pt>
                <c:pt idx="55">
                  <c:v>1310.5</c:v>
                </c:pt>
                <c:pt idx="56">
                  <c:v>1310.5</c:v>
                </c:pt>
                <c:pt idx="57">
                  <c:v>1310.5</c:v>
                </c:pt>
                <c:pt idx="58">
                  <c:v>1310.5</c:v>
                </c:pt>
                <c:pt idx="59">
                  <c:v>1310.5</c:v>
                </c:pt>
                <c:pt idx="60">
                  <c:v>1310.5</c:v>
                </c:pt>
                <c:pt idx="61">
                  <c:v>1310.5</c:v>
                </c:pt>
                <c:pt idx="62">
                  <c:v>1310.5</c:v>
                </c:pt>
                <c:pt idx="63">
                  <c:v>1310.5</c:v>
                </c:pt>
                <c:pt idx="64">
                  <c:v>1310.5</c:v>
                </c:pt>
                <c:pt idx="65">
                  <c:v>1310.5</c:v>
                </c:pt>
                <c:pt idx="66">
                  <c:v>1310.5</c:v>
                </c:pt>
                <c:pt idx="67">
                  <c:v>1310.5</c:v>
                </c:pt>
                <c:pt idx="68">
                  <c:v>1310.5</c:v>
                </c:pt>
                <c:pt idx="69">
                  <c:v>1310.5</c:v>
                </c:pt>
                <c:pt idx="70">
                  <c:v>1310.5</c:v>
                </c:pt>
                <c:pt idx="71">
                  <c:v>1310.5</c:v>
                </c:pt>
                <c:pt idx="72">
                  <c:v>1310.5</c:v>
                </c:pt>
                <c:pt idx="73">
                  <c:v>1310.5</c:v>
                </c:pt>
                <c:pt idx="74">
                  <c:v>1310.5</c:v>
                </c:pt>
                <c:pt idx="75">
                  <c:v>1310.5</c:v>
                </c:pt>
                <c:pt idx="76">
                  <c:v>1310.5</c:v>
                </c:pt>
                <c:pt idx="77">
                  <c:v>1310.5</c:v>
                </c:pt>
                <c:pt idx="78">
                  <c:v>1310.5</c:v>
                </c:pt>
                <c:pt idx="79">
                  <c:v>1310.5</c:v>
                </c:pt>
                <c:pt idx="80">
                  <c:v>1310.5</c:v>
                </c:pt>
                <c:pt idx="81">
                  <c:v>1310.5</c:v>
                </c:pt>
                <c:pt idx="82">
                  <c:v>1310.5</c:v>
                </c:pt>
                <c:pt idx="83">
                  <c:v>1310.5</c:v>
                </c:pt>
                <c:pt idx="84">
                  <c:v>1310.5</c:v>
                </c:pt>
                <c:pt idx="85">
                  <c:v>1310.5</c:v>
                </c:pt>
                <c:pt idx="86">
                  <c:v>1310.5</c:v>
                </c:pt>
                <c:pt idx="87">
                  <c:v>1310.5</c:v>
                </c:pt>
                <c:pt idx="88">
                  <c:v>1310.5</c:v>
                </c:pt>
                <c:pt idx="89">
                  <c:v>1310.5</c:v>
                </c:pt>
                <c:pt idx="90">
                  <c:v>1310.5</c:v>
                </c:pt>
                <c:pt idx="91">
                  <c:v>1310.5</c:v>
                </c:pt>
                <c:pt idx="92">
                  <c:v>1310.5</c:v>
                </c:pt>
                <c:pt idx="93">
                  <c:v>1310.5</c:v>
                </c:pt>
                <c:pt idx="94">
                  <c:v>1310.5</c:v>
                </c:pt>
                <c:pt idx="95">
                  <c:v>1310.5</c:v>
                </c:pt>
                <c:pt idx="96">
                  <c:v>1310.5</c:v>
                </c:pt>
                <c:pt idx="97">
                  <c:v>1310.5</c:v>
                </c:pt>
                <c:pt idx="98">
                  <c:v>1310.5</c:v>
                </c:pt>
                <c:pt idx="99">
                  <c:v>1310.5</c:v>
                </c:pt>
                <c:pt idx="100">
                  <c:v>1310.5</c:v>
                </c:pt>
                <c:pt idx="101">
                  <c:v>1310.5</c:v>
                </c:pt>
                <c:pt idx="102">
                  <c:v>1310.5</c:v>
                </c:pt>
                <c:pt idx="103">
                  <c:v>1310.5</c:v>
                </c:pt>
                <c:pt idx="104">
                  <c:v>1310.5</c:v>
                </c:pt>
                <c:pt idx="105">
                  <c:v>1310.5</c:v>
                </c:pt>
                <c:pt idx="106">
                  <c:v>1310.5</c:v>
                </c:pt>
                <c:pt idx="107">
                  <c:v>1310.5</c:v>
                </c:pt>
                <c:pt idx="108">
                  <c:v>1310.5</c:v>
                </c:pt>
                <c:pt idx="109">
                  <c:v>1310.5</c:v>
                </c:pt>
                <c:pt idx="110">
                  <c:v>1310.5</c:v>
                </c:pt>
                <c:pt idx="111">
                  <c:v>1310.5</c:v>
                </c:pt>
                <c:pt idx="112">
                  <c:v>1310.5</c:v>
                </c:pt>
                <c:pt idx="113">
                  <c:v>1310.5</c:v>
                </c:pt>
                <c:pt idx="114">
                  <c:v>1310.5</c:v>
                </c:pt>
                <c:pt idx="115">
                  <c:v>1310.5</c:v>
                </c:pt>
                <c:pt idx="116">
                  <c:v>1310.5</c:v>
                </c:pt>
                <c:pt idx="117">
                  <c:v>1310.5</c:v>
                </c:pt>
                <c:pt idx="118">
                  <c:v>124</c:v>
                </c:pt>
                <c:pt idx="119">
                  <c:v>124</c:v>
                </c:pt>
                <c:pt idx="120">
                  <c:v>142</c:v>
                </c:pt>
                <c:pt idx="121">
                  <c:v>1310.5</c:v>
                </c:pt>
                <c:pt idx="122">
                  <c:v>1310.5</c:v>
                </c:pt>
                <c:pt idx="123">
                  <c:v>1310.5</c:v>
                </c:pt>
                <c:pt idx="124">
                  <c:v>1310.5</c:v>
                </c:pt>
                <c:pt idx="125">
                  <c:v>1310.5</c:v>
                </c:pt>
                <c:pt idx="126">
                  <c:v>1310.5</c:v>
                </c:pt>
                <c:pt idx="127">
                  <c:v>1310.5</c:v>
                </c:pt>
                <c:pt idx="128">
                  <c:v>1310.5</c:v>
                </c:pt>
                <c:pt idx="129">
                  <c:v>1310.5</c:v>
                </c:pt>
                <c:pt idx="130">
                  <c:v>1310.5</c:v>
                </c:pt>
                <c:pt idx="131">
                  <c:v>1310.5</c:v>
                </c:pt>
                <c:pt idx="132">
                  <c:v>1310.5</c:v>
                </c:pt>
                <c:pt idx="133">
                  <c:v>1310.5</c:v>
                </c:pt>
                <c:pt idx="134">
                  <c:v>1310.5</c:v>
                </c:pt>
                <c:pt idx="135">
                  <c:v>1310.5</c:v>
                </c:pt>
                <c:pt idx="136">
                  <c:v>1310.5</c:v>
                </c:pt>
                <c:pt idx="137">
                  <c:v>1310.5</c:v>
                </c:pt>
                <c:pt idx="138">
                  <c:v>1310.5</c:v>
                </c:pt>
                <c:pt idx="139">
                  <c:v>1310.5</c:v>
                </c:pt>
                <c:pt idx="140">
                  <c:v>1310.5</c:v>
                </c:pt>
                <c:pt idx="141">
                  <c:v>1310.5</c:v>
                </c:pt>
                <c:pt idx="142">
                  <c:v>1310.5</c:v>
                </c:pt>
                <c:pt idx="143">
                  <c:v>1310.5</c:v>
                </c:pt>
                <c:pt idx="144">
                  <c:v>1310.5</c:v>
                </c:pt>
                <c:pt idx="145">
                  <c:v>1310.5</c:v>
                </c:pt>
                <c:pt idx="146">
                  <c:v>1310.5</c:v>
                </c:pt>
                <c:pt idx="147">
                  <c:v>1310.5</c:v>
                </c:pt>
                <c:pt idx="148">
                  <c:v>1310.5</c:v>
                </c:pt>
                <c:pt idx="149">
                  <c:v>1310.5</c:v>
                </c:pt>
                <c:pt idx="150">
                  <c:v>1310.5</c:v>
                </c:pt>
                <c:pt idx="151">
                  <c:v>1310.5</c:v>
                </c:pt>
                <c:pt idx="152">
                  <c:v>1310.5</c:v>
                </c:pt>
                <c:pt idx="153">
                  <c:v>1310.5</c:v>
                </c:pt>
                <c:pt idx="154">
                  <c:v>1310.5</c:v>
                </c:pt>
                <c:pt idx="155">
                  <c:v>1310.5</c:v>
                </c:pt>
                <c:pt idx="156">
                  <c:v>1310.5</c:v>
                </c:pt>
                <c:pt idx="157">
                  <c:v>1310.5</c:v>
                </c:pt>
                <c:pt idx="158">
                  <c:v>1310.5</c:v>
                </c:pt>
                <c:pt idx="159">
                  <c:v>1310.5</c:v>
                </c:pt>
                <c:pt idx="160">
                  <c:v>1310.5</c:v>
                </c:pt>
                <c:pt idx="161">
                  <c:v>1310.5</c:v>
                </c:pt>
                <c:pt idx="162">
                  <c:v>1310.5</c:v>
                </c:pt>
                <c:pt idx="163">
                  <c:v>1310.5</c:v>
                </c:pt>
                <c:pt idx="164">
                  <c:v>1310.5</c:v>
                </c:pt>
                <c:pt idx="165">
                  <c:v>1310.5</c:v>
                </c:pt>
                <c:pt idx="166">
                  <c:v>1310.5</c:v>
                </c:pt>
                <c:pt idx="167">
                  <c:v>1310.5</c:v>
                </c:pt>
                <c:pt idx="168">
                  <c:v>1310.5</c:v>
                </c:pt>
                <c:pt idx="169">
                  <c:v>1310.5</c:v>
                </c:pt>
                <c:pt idx="170">
                  <c:v>177.5</c:v>
                </c:pt>
                <c:pt idx="171">
                  <c:v>1310.5</c:v>
                </c:pt>
                <c:pt idx="172">
                  <c:v>1310.5</c:v>
                </c:pt>
                <c:pt idx="173">
                  <c:v>1310.5</c:v>
                </c:pt>
                <c:pt idx="174">
                  <c:v>1310.5</c:v>
                </c:pt>
                <c:pt idx="175">
                  <c:v>1310.5</c:v>
                </c:pt>
                <c:pt idx="176">
                  <c:v>1310.5</c:v>
                </c:pt>
                <c:pt idx="177">
                  <c:v>291.5</c:v>
                </c:pt>
                <c:pt idx="178">
                  <c:v>1310.5</c:v>
                </c:pt>
                <c:pt idx="179">
                  <c:v>1310.5</c:v>
                </c:pt>
                <c:pt idx="180">
                  <c:v>1310.5</c:v>
                </c:pt>
                <c:pt idx="181">
                  <c:v>1310.5</c:v>
                </c:pt>
                <c:pt idx="182">
                  <c:v>1310.5</c:v>
                </c:pt>
                <c:pt idx="183">
                  <c:v>1310.5</c:v>
                </c:pt>
                <c:pt idx="184">
                  <c:v>1310.5</c:v>
                </c:pt>
                <c:pt idx="185">
                  <c:v>258</c:v>
                </c:pt>
                <c:pt idx="186">
                  <c:v>1310.5</c:v>
                </c:pt>
                <c:pt idx="187">
                  <c:v>1310.5</c:v>
                </c:pt>
                <c:pt idx="188">
                  <c:v>258</c:v>
                </c:pt>
                <c:pt idx="189">
                  <c:v>154</c:v>
                </c:pt>
                <c:pt idx="190">
                  <c:v>1310.5</c:v>
                </c:pt>
                <c:pt idx="191">
                  <c:v>1310.5</c:v>
                </c:pt>
                <c:pt idx="192">
                  <c:v>1310.5</c:v>
                </c:pt>
                <c:pt idx="193">
                  <c:v>146</c:v>
                </c:pt>
                <c:pt idx="194">
                  <c:v>1310.5</c:v>
                </c:pt>
                <c:pt idx="195">
                  <c:v>1310.5</c:v>
                </c:pt>
                <c:pt idx="196">
                  <c:v>1310.5</c:v>
                </c:pt>
                <c:pt idx="197">
                  <c:v>1310.5</c:v>
                </c:pt>
                <c:pt idx="198">
                  <c:v>1310.5</c:v>
                </c:pt>
                <c:pt idx="199">
                  <c:v>80</c:v>
                </c:pt>
                <c:pt idx="200">
                  <c:v>1310.5</c:v>
                </c:pt>
                <c:pt idx="201">
                  <c:v>1310.5</c:v>
                </c:pt>
                <c:pt idx="202">
                  <c:v>1310.5</c:v>
                </c:pt>
                <c:pt idx="203">
                  <c:v>1310.5</c:v>
                </c:pt>
                <c:pt idx="204">
                  <c:v>1310.5</c:v>
                </c:pt>
                <c:pt idx="205">
                  <c:v>1310.5</c:v>
                </c:pt>
                <c:pt idx="206">
                  <c:v>1310.5</c:v>
                </c:pt>
                <c:pt idx="207">
                  <c:v>1310.5</c:v>
                </c:pt>
                <c:pt idx="208">
                  <c:v>1310.5</c:v>
                </c:pt>
                <c:pt idx="209">
                  <c:v>1310.5</c:v>
                </c:pt>
                <c:pt idx="210">
                  <c:v>1310.5</c:v>
                </c:pt>
                <c:pt idx="211">
                  <c:v>1310.5</c:v>
                </c:pt>
                <c:pt idx="212">
                  <c:v>1310.5</c:v>
                </c:pt>
                <c:pt idx="213">
                  <c:v>1310.5</c:v>
                </c:pt>
                <c:pt idx="214">
                  <c:v>1310.5</c:v>
                </c:pt>
                <c:pt idx="215">
                  <c:v>1310.5</c:v>
                </c:pt>
                <c:pt idx="216">
                  <c:v>1310.5</c:v>
                </c:pt>
                <c:pt idx="217">
                  <c:v>1310.5</c:v>
                </c:pt>
                <c:pt idx="218">
                  <c:v>1310.5</c:v>
                </c:pt>
                <c:pt idx="219">
                  <c:v>1310.5</c:v>
                </c:pt>
                <c:pt idx="220">
                  <c:v>1310.5</c:v>
                </c:pt>
                <c:pt idx="221">
                  <c:v>1310.5</c:v>
                </c:pt>
                <c:pt idx="222">
                  <c:v>1310.5</c:v>
                </c:pt>
                <c:pt idx="223">
                  <c:v>1310.5</c:v>
                </c:pt>
                <c:pt idx="224">
                  <c:v>1310.5</c:v>
                </c:pt>
                <c:pt idx="225">
                  <c:v>1310.5</c:v>
                </c:pt>
                <c:pt idx="226">
                  <c:v>1310.5</c:v>
                </c:pt>
                <c:pt idx="227">
                  <c:v>1310.5</c:v>
                </c:pt>
                <c:pt idx="228">
                  <c:v>1310.5</c:v>
                </c:pt>
                <c:pt idx="229">
                  <c:v>1310.5</c:v>
                </c:pt>
                <c:pt idx="230">
                  <c:v>1310.5</c:v>
                </c:pt>
                <c:pt idx="231">
                  <c:v>1310.5</c:v>
                </c:pt>
                <c:pt idx="232">
                  <c:v>1310.5</c:v>
                </c:pt>
                <c:pt idx="233">
                  <c:v>1310.5</c:v>
                </c:pt>
                <c:pt idx="234">
                  <c:v>1310.5</c:v>
                </c:pt>
                <c:pt idx="235">
                  <c:v>1310.5</c:v>
                </c:pt>
                <c:pt idx="236">
                  <c:v>1310.5</c:v>
                </c:pt>
                <c:pt idx="237">
                  <c:v>1310.5</c:v>
                </c:pt>
                <c:pt idx="238">
                  <c:v>1310.5</c:v>
                </c:pt>
                <c:pt idx="239">
                  <c:v>1310.5</c:v>
                </c:pt>
                <c:pt idx="240">
                  <c:v>1310.5</c:v>
                </c:pt>
                <c:pt idx="241">
                  <c:v>1310.5</c:v>
                </c:pt>
                <c:pt idx="242">
                  <c:v>1310.5</c:v>
                </c:pt>
                <c:pt idx="243">
                  <c:v>1310.5</c:v>
                </c:pt>
                <c:pt idx="244">
                  <c:v>1310.5</c:v>
                </c:pt>
                <c:pt idx="245">
                  <c:v>1310.5</c:v>
                </c:pt>
                <c:pt idx="246">
                  <c:v>1310.5</c:v>
                </c:pt>
                <c:pt idx="247">
                  <c:v>1310.5</c:v>
                </c:pt>
                <c:pt idx="248">
                  <c:v>1310.5</c:v>
                </c:pt>
                <c:pt idx="249">
                  <c:v>1310.5</c:v>
                </c:pt>
                <c:pt idx="250">
                  <c:v>1310.5</c:v>
                </c:pt>
                <c:pt idx="251">
                  <c:v>1310.5</c:v>
                </c:pt>
                <c:pt idx="252">
                  <c:v>1310.5</c:v>
                </c:pt>
                <c:pt idx="253">
                  <c:v>1310.5</c:v>
                </c:pt>
                <c:pt idx="254">
                  <c:v>1310.5</c:v>
                </c:pt>
                <c:pt idx="255">
                  <c:v>1310.5</c:v>
                </c:pt>
                <c:pt idx="256">
                  <c:v>1310.5</c:v>
                </c:pt>
                <c:pt idx="257">
                  <c:v>1310.5</c:v>
                </c:pt>
                <c:pt idx="258">
                  <c:v>1310.5</c:v>
                </c:pt>
                <c:pt idx="259">
                  <c:v>1310.5</c:v>
                </c:pt>
                <c:pt idx="260">
                  <c:v>1310.5</c:v>
                </c:pt>
                <c:pt idx="261">
                  <c:v>1310.5</c:v>
                </c:pt>
                <c:pt idx="262">
                  <c:v>1310.5</c:v>
                </c:pt>
                <c:pt idx="263">
                  <c:v>1310.5</c:v>
                </c:pt>
                <c:pt idx="264">
                  <c:v>1310.5</c:v>
                </c:pt>
                <c:pt idx="265">
                  <c:v>1310.5</c:v>
                </c:pt>
                <c:pt idx="266">
                  <c:v>1310.5</c:v>
                </c:pt>
                <c:pt idx="267">
                  <c:v>1310.5</c:v>
                </c:pt>
                <c:pt idx="268">
                  <c:v>60</c:v>
                </c:pt>
                <c:pt idx="269">
                  <c:v>60</c:v>
                </c:pt>
                <c:pt idx="270">
                  <c:v>154</c:v>
                </c:pt>
                <c:pt idx="271">
                  <c:v>1310.5</c:v>
                </c:pt>
                <c:pt idx="272">
                  <c:v>1310.5</c:v>
                </c:pt>
                <c:pt idx="273">
                  <c:v>1310.5</c:v>
                </c:pt>
                <c:pt idx="274">
                  <c:v>1310.5</c:v>
                </c:pt>
                <c:pt idx="275">
                  <c:v>1310.5</c:v>
                </c:pt>
                <c:pt idx="276">
                  <c:v>56</c:v>
                </c:pt>
                <c:pt idx="277">
                  <c:v>1310.5</c:v>
                </c:pt>
                <c:pt idx="278">
                  <c:v>1310.5</c:v>
                </c:pt>
                <c:pt idx="279">
                  <c:v>2296</c:v>
                </c:pt>
                <c:pt idx="280">
                  <c:v>1310.5</c:v>
                </c:pt>
                <c:pt idx="281">
                  <c:v>1310.5</c:v>
                </c:pt>
                <c:pt idx="282">
                  <c:v>1310.5</c:v>
                </c:pt>
                <c:pt idx="283">
                  <c:v>1310.5</c:v>
                </c:pt>
                <c:pt idx="284">
                  <c:v>1310.5</c:v>
                </c:pt>
                <c:pt idx="285">
                  <c:v>1310.5</c:v>
                </c:pt>
                <c:pt idx="286">
                  <c:v>1310.5</c:v>
                </c:pt>
                <c:pt idx="287">
                  <c:v>31</c:v>
                </c:pt>
                <c:pt idx="288">
                  <c:v>1310.5</c:v>
                </c:pt>
                <c:pt idx="289">
                  <c:v>1310.5</c:v>
                </c:pt>
                <c:pt idx="290">
                  <c:v>1310.5</c:v>
                </c:pt>
                <c:pt idx="291">
                  <c:v>1310.5</c:v>
                </c:pt>
                <c:pt idx="292">
                  <c:v>195</c:v>
                </c:pt>
                <c:pt idx="293">
                  <c:v>1310.5</c:v>
                </c:pt>
                <c:pt idx="294">
                  <c:v>20</c:v>
                </c:pt>
                <c:pt idx="295">
                  <c:v>1310.5</c:v>
                </c:pt>
                <c:pt idx="296">
                  <c:v>1310.5</c:v>
                </c:pt>
                <c:pt idx="297">
                  <c:v>1310.5</c:v>
                </c:pt>
                <c:pt idx="298">
                  <c:v>1310.5</c:v>
                </c:pt>
                <c:pt idx="299">
                  <c:v>1310.5</c:v>
                </c:pt>
                <c:pt idx="300">
                  <c:v>1310.5</c:v>
                </c:pt>
                <c:pt idx="301">
                  <c:v>1310.5</c:v>
                </c:pt>
                <c:pt idx="302">
                  <c:v>1310.5</c:v>
                </c:pt>
                <c:pt idx="303">
                  <c:v>1310.5</c:v>
                </c:pt>
                <c:pt idx="304">
                  <c:v>1310.5</c:v>
                </c:pt>
                <c:pt idx="305">
                  <c:v>223</c:v>
                </c:pt>
                <c:pt idx="306">
                  <c:v>181.5</c:v>
                </c:pt>
                <c:pt idx="307">
                  <c:v>170.5</c:v>
                </c:pt>
                <c:pt idx="308">
                  <c:v>181.5</c:v>
                </c:pt>
                <c:pt idx="309">
                  <c:v>1310.5</c:v>
                </c:pt>
                <c:pt idx="310">
                  <c:v>1310.5</c:v>
                </c:pt>
                <c:pt idx="311">
                  <c:v>1310.5</c:v>
                </c:pt>
                <c:pt idx="312">
                  <c:v>1310.5</c:v>
                </c:pt>
                <c:pt idx="313">
                  <c:v>1310.5</c:v>
                </c:pt>
                <c:pt idx="314">
                  <c:v>1310.5</c:v>
                </c:pt>
                <c:pt idx="315">
                  <c:v>1310.5</c:v>
                </c:pt>
                <c:pt idx="316">
                  <c:v>1310.5</c:v>
                </c:pt>
                <c:pt idx="317">
                  <c:v>1310.5</c:v>
                </c:pt>
                <c:pt idx="318">
                  <c:v>1310.5</c:v>
                </c:pt>
                <c:pt idx="319">
                  <c:v>154</c:v>
                </c:pt>
                <c:pt idx="320">
                  <c:v>310</c:v>
                </c:pt>
                <c:pt idx="321">
                  <c:v>195</c:v>
                </c:pt>
                <c:pt idx="322">
                  <c:v>1310.5</c:v>
                </c:pt>
                <c:pt idx="323">
                  <c:v>1310.5</c:v>
                </c:pt>
                <c:pt idx="324">
                  <c:v>1310.5</c:v>
                </c:pt>
                <c:pt idx="325">
                  <c:v>1310.5</c:v>
                </c:pt>
                <c:pt idx="326">
                  <c:v>1310.5</c:v>
                </c:pt>
                <c:pt idx="327">
                  <c:v>226.5</c:v>
                </c:pt>
                <c:pt idx="328">
                  <c:v>137.5</c:v>
                </c:pt>
                <c:pt idx="329">
                  <c:v>170.5</c:v>
                </c:pt>
                <c:pt idx="330">
                  <c:v>310</c:v>
                </c:pt>
                <c:pt idx="331">
                  <c:v>228.5</c:v>
                </c:pt>
                <c:pt idx="332">
                  <c:v>71</c:v>
                </c:pt>
                <c:pt idx="333">
                  <c:v>1310.5</c:v>
                </c:pt>
                <c:pt idx="334">
                  <c:v>1310.5</c:v>
                </c:pt>
                <c:pt idx="335">
                  <c:v>1310.5</c:v>
                </c:pt>
                <c:pt idx="336">
                  <c:v>1310.5</c:v>
                </c:pt>
                <c:pt idx="337">
                  <c:v>1310.5</c:v>
                </c:pt>
                <c:pt idx="338">
                  <c:v>230.5</c:v>
                </c:pt>
                <c:pt idx="339">
                  <c:v>230.5</c:v>
                </c:pt>
                <c:pt idx="340">
                  <c:v>1310.5</c:v>
                </c:pt>
                <c:pt idx="341">
                  <c:v>1310.5</c:v>
                </c:pt>
                <c:pt idx="342">
                  <c:v>1310.5</c:v>
                </c:pt>
                <c:pt idx="343">
                  <c:v>1310.5</c:v>
                </c:pt>
                <c:pt idx="344">
                  <c:v>1310.5</c:v>
                </c:pt>
                <c:pt idx="345">
                  <c:v>1310.5</c:v>
                </c:pt>
                <c:pt idx="346">
                  <c:v>1310.5</c:v>
                </c:pt>
                <c:pt idx="347">
                  <c:v>1310.5</c:v>
                </c:pt>
                <c:pt idx="348">
                  <c:v>1310.5</c:v>
                </c:pt>
                <c:pt idx="349">
                  <c:v>1310.5</c:v>
                </c:pt>
                <c:pt idx="350">
                  <c:v>1310.5</c:v>
                </c:pt>
                <c:pt idx="351">
                  <c:v>1310.5</c:v>
                </c:pt>
                <c:pt idx="352">
                  <c:v>1310.5</c:v>
                </c:pt>
                <c:pt idx="353">
                  <c:v>1310.5</c:v>
                </c:pt>
                <c:pt idx="354">
                  <c:v>1310.5</c:v>
                </c:pt>
                <c:pt idx="355">
                  <c:v>1310.5</c:v>
                </c:pt>
                <c:pt idx="356">
                  <c:v>1310.5</c:v>
                </c:pt>
                <c:pt idx="357">
                  <c:v>1310.5</c:v>
                </c:pt>
                <c:pt idx="358">
                  <c:v>11</c:v>
                </c:pt>
                <c:pt idx="359">
                  <c:v>310</c:v>
                </c:pt>
                <c:pt idx="360">
                  <c:v>1310.5</c:v>
                </c:pt>
                <c:pt idx="361">
                  <c:v>1310.5</c:v>
                </c:pt>
                <c:pt idx="362">
                  <c:v>1310.5</c:v>
                </c:pt>
                <c:pt idx="363">
                  <c:v>1310.5</c:v>
                </c:pt>
                <c:pt idx="364">
                  <c:v>1310.5</c:v>
                </c:pt>
                <c:pt idx="365">
                  <c:v>58</c:v>
                </c:pt>
                <c:pt idx="366">
                  <c:v>1310.5</c:v>
                </c:pt>
                <c:pt idx="367">
                  <c:v>1310.5</c:v>
                </c:pt>
                <c:pt idx="368">
                  <c:v>1310.5</c:v>
                </c:pt>
                <c:pt idx="369">
                  <c:v>2300</c:v>
                </c:pt>
                <c:pt idx="370">
                  <c:v>1310.5</c:v>
                </c:pt>
                <c:pt idx="371">
                  <c:v>1310.5</c:v>
                </c:pt>
                <c:pt idx="372">
                  <c:v>1310.5</c:v>
                </c:pt>
                <c:pt idx="373">
                  <c:v>1310.5</c:v>
                </c:pt>
                <c:pt idx="374">
                  <c:v>1310.5</c:v>
                </c:pt>
                <c:pt idx="375">
                  <c:v>1310.5</c:v>
                </c:pt>
                <c:pt idx="376">
                  <c:v>1310.5</c:v>
                </c:pt>
                <c:pt idx="377">
                  <c:v>1310.5</c:v>
                </c:pt>
                <c:pt idx="378">
                  <c:v>1310.5</c:v>
                </c:pt>
                <c:pt idx="379">
                  <c:v>1310.5</c:v>
                </c:pt>
                <c:pt idx="380">
                  <c:v>1310.5</c:v>
                </c:pt>
                <c:pt idx="381">
                  <c:v>1310.5</c:v>
                </c:pt>
                <c:pt idx="382">
                  <c:v>99.5</c:v>
                </c:pt>
                <c:pt idx="383">
                  <c:v>252</c:v>
                </c:pt>
                <c:pt idx="384">
                  <c:v>1310.5</c:v>
                </c:pt>
                <c:pt idx="385">
                  <c:v>1310.5</c:v>
                </c:pt>
                <c:pt idx="386">
                  <c:v>1310.5</c:v>
                </c:pt>
                <c:pt idx="387">
                  <c:v>1310.5</c:v>
                </c:pt>
                <c:pt idx="388">
                  <c:v>1310.5</c:v>
                </c:pt>
                <c:pt idx="389">
                  <c:v>1310.5</c:v>
                </c:pt>
                <c:pt idx="390">
                  <c:v>1310.5</c:v>
                </c:pt>
                <c:pt idx="391">
                  <c:v>1310.5</c:v>
                </c:pt>
                <c:pt idx="392">
                  <c:v>1310.5</c:v>
                </c:pt>
                <c:pt idx="393">
                  <c:v>1310.5</c:v>
                </c:pt>
                <c:pt idx="394">
                  <c:v>1310.5</c:v>
                </c:pt>
                <c:pt idx="395">
                  <c:v>1310.5</c:v>
                </c:pt>
                <c:pt idx="396">
                  <c:v>1310.5</c:v>
                </c:pt>
                <c:pt idx="397">
                  <c:v>2300</c:v>
                </c:pt>
                <c:pt idx="398">
                  <c:v>184</c:v>
                </c:pt>
                <c:pt idx="399">
                  <c:v>184</c:v>
                </c:pt>
                <c:pt idx="400">
                  <c:v>1310.5</c:v>
                </c:pt>
                <c:pt idx="401">
                  <c:v>1310.5</c:v>
                </c:pt>
                <c:pt idx="402">
                  <c:v>1310.5</c:v>
                </c:pt>
                <c:pt idx="403">
                  <c:v>1310.5</c:v>
                </c:pt>
                <c:pt idx="404">
                  <c:v>1310.5</c:v>
                </c:pt>
                <c:pt idx="405">
                  <c:v>1310.5</c:v>
                </c:pt>
                <c:pt idx="406">
                  <c:v>1310.5</c:v>
                </c:pt>
                <c:pt idx="407">
                  <c:v>88.5</c:v>
                </c:pt>
                <c:pt idx="408">
                  <c:v>1310.5</c:v>
                </c:pt>
                <c:pt idx="409">
                  <c:v>1310.5</c:v>
                </c:pt>
                <c:pt idx="410">
                  <c:v>165</c:v>
                </c:pt>
                <c:pt idx="411">
                  <c:v>1310.5</c:v>
                </c:pt>
                <c:pt idx="412">
                  <c:v>1310.5</c:v>
                </c:pt>
                <c:pt idx="413">
                  <c:v>1310.5</c:v>
                </c:pt>
                <c:pt idx="414">
                  <c:v>1310.5</c:v>
                </c:pt>
                <c:pt idx="415">
                  <c:v>1310.5</c:v>
                </c:pt>
                <c:pt idx="416">
                  <c:v>161.5</c:v>
                </c:pt>
                <c:pt idx="417">
                  <c:v>310</c:v>
                </c:pt>
                <c:pt idx="418">
                  <c:v>1310.5</c:v>
                </c:pt>
                <c:pt idx="419">
                  <c:v>88.5</c:v>
                </c:pt>
                <c:pt idx="420">
                  <c:v>2303</c:v>
                </c:pt>
                <c:pt idx="421">
                  <c:v>1310.5</c:v>
                </c:pt>
                <c:pt idx="422">
                  <c:v>1310.5</c:v>
                </c:pt>
                <c:pt idx="423">
                  <c:v>310</c:v>
                </c:pt>
                <c:pt idx="424">
                  <c:v>1310.5</c:v>
                </c:pt>
                <c:pt idx="425">
                  <c:v>1310.5</c:v>
                </c:pt>
                <c:pt idx="426">
                  <c:v>1310.5</c:v>
                </c:pt>
                <c:pt idx="427">
                  <c:v>1310.5</c:v>
                </c:pt>
                <c:pt idx="428">
                  <c:v>1310.5</c:v>
                </c:pt>
                <c:pt idx="429">
                  <c:v>1310.5</c:v>
                </c:pt>
                <c:pt idx="430">
                  <c:v>1310.5</c:v>
                </c:pt>
                <c:pt idx="431">
                  <c:v>1310.5</c:v>
                </c:pt>
                <c:pt idx="432">
                  <c:v>1310.5</c:v>
                </c:pt>
                <c:pt idx="433">
                  <c:v>310</c:v>
                </c:pt>
                <c:pt idx="434">
                  <c:v>209</c:v>
                </c:pt>
                <c:pt idx="435">
                  <c:v>25</c:v>
                </c:pt>
                <c:pt idx="436">
                  <c:v>1310.5</c:v>
                </c:pt>
                <c:pt idx="437">
                  <c:v>1310.5</c:v>
                </c:pt>
                <c:pt idx="438">
                  <c:v>1310.5</c:v>
                </c:pt>
                <c:pt idx="439">
                  <c:v>1310.5</c:v>
                </c:pt>
                <c:pt idx="440">
                  <c:v>1310.5</c:v>
                </c:pt>
                <c:pt idx="441">
                  <c:v>1310.5</c:v>
                </c:pt>
                <c:pt idx="442">
                  <c:v>1310.5</c:v>
                </c:pt>
                <c:pt idx="443">
                  <c:v>1310.5</c:v>
                </c:pt>
                <c:pt idx="444">
                  <c:v>1310.5</c:v>
                </c:pt>
                <c:pt idx="445">
                  <c:v>1310.5</c:v>
                </c:pt>
                <c:pt idx="446">
                  <c:v>1310.5</c:v>
                </c:pt>
                <c:pt idx="447">
                  <c:v>1310.5</c:v>
                </c:pt>
                <c:pt idx="448">
                  <c:v>223</c:v>
                </c:pt>
                <c:pt idx="449">
                  <c:v>1310.5</c:v>
                </c:pt>
                <c:pt idx="450">
                  <c:v>1310.5</c:v>
                </c:pt>
                <c:pt idx="451">
                  <c:v>1310.5</c:v>
                </c:pt>
                <c:pt idx="452">
                  <c:v>1310.5</c:v>
                </c:pt>
                <c:pt idx="453">
                  <c:v>1310.5</c:v>
                </c:pt>
                <c:pt idx="454">
                  <c:v>1310.5</c:v>
                </c:pt>
                <c:pt idx="455">
                  <c:v>1310.5</c:v>
                </c:pt>
                <c:pt idx="456">
                  <c:v>1310.5</c:v>
                </c:pt>
                <c:pt idx="457">
                  <c:v>243.5</c:v>
                </c:pt>
                <c:pt idx="458">
                  <c:v>243.5</c:v>
                </c:pt>
                <c:pt idx="459">
                  <c:v>1310.5</c:v>
                </c:pt>
                <c:pt idx="460">
                  <c:v>243.5</c:v>
                </c:pt>
                <c:pt idx="461">
                  <c:v>243.5</c:v>
                </c:pt>
                <c:pt idx="462">
                  <c:v>243.5</c:v>
                </c:pt>
                <c:pt idx="463">
                  <c:v>243.5</c:v>
                </c:pt>
                <c:pt idx="464">
                  <c:v>243.5</c:v>
                </c:pt>
                <c:pt idx="465">
                  <c:v>243.5</c:v>
                </c:pt>
                <c:pt idx="466">
                  <c:v>243.5</c:v>
                </c:pt>
                <c:pt idx="467">
                  <c:v>243.5</c:v>
                </c:pt>
                <c:pt idx="468">
                  <c:v>243.5</c:v>
                </c:pt>
                <c:pt idx="469">
                  <c:v>243.5</c:v>
                </c:pt>
                <c:pt idx="470">
                  <c:v>281.5</c:v>
                </c:pt>
                <c:pt idx="471">
                  <c:v>1310.5</c:v>
                </c:pt>
                <c:pt idx="472">
                  <c:v>1310.5</c:v>
                </c:pt>
                <c:pt idx="473">
                  <c:v>1310.5</c:v>
                </c:pt>
                <c:pt idx="474">
                  <c:v>1310.5</c:v>
                </c:pt>
                <c:pt idx="475">
                  <c:v>1310.5</c:v>
                </c:pt>
                <c:pt idx="476">
                  <c:v>1310.5</c:v>
                </c:pt>
                <c:pt idx="477">
                  <c:v>1310.5</c:v>
                </c:pt>
                <c:pt idx="478">
                  <c:v>1310.5</c:v>
                </c:pt>
                <c:pt idx="479">
                  <c:v>1310.5</c:v>
                </c:pt>
                <c:pt idx="480">
                  <c:v>310</c:v>
                </c:pt>
                <c:pt idx="481">
                  <c:v>1310.5</c:v>
                </c:pt>
                <c:pt idx="482">
                  <c:v>102</c:v>
                </c:pt>
                <c:pt idx="483">
                  <c:v>1310.5</c:v>
                </c:pt>
                <c:pt idx="484">
                  <c:v>1310.5</c:v>
                </c:pt>
                <c:pt idx="485">
                  <c:v>1310.5</c:v>
                </c:pt>
                <c:pt idx="486">
                  <c:v>1310.5</c:v>
                </c:pt>
                <c:pt idx="487">
                  <c:v>1310.5</c:v>
                </c:pt>
                <c:pt idx="488">
                  <c:v>1310.5</c:v>
                </c:pt>
                <c:pt idx="489">
                  <c:v>1310.5</c:v>
                </c:pt>
                <c:pt idx="490">
                  <c:v>1310.5</c:v>
                </c:pt>
                <c:pt idx="491">
                  <c:v>1310.5</c:v>
                </c:pt>
                <c:pt idx="492">
                  <c:v>1310.5</c:v>
                </c:pt>
                <c:pt idx="493">
                  <c:v>1310.5</c:v>
                </c:pt>
                <c:pt idx="494">
                  <c:v>1310.5</c:v>
                </c:pt>
                <c:pt idx="495">
                  <c:v>1310.5</c:v>
                </c:pt>
                <c:pt idx="496">
                  <c:v>1310.5</c:v>
                </c:pt>
                <c:pt idx="497">
                  <c:v>1310.5</c:v>
                </c:pt>
                <c:pt idx="498">
                  <c:v>1310.5</c:v>
                </c:pt>
                <c:pt idx="499">
                  <c:v>1310.5</c:v>
                </c:pt>
                <c:pt idx="500">
                  <c:v>1310.5</c:v>
                </c:pt>
                <c:pt idx="501">
                  <c:v>1310.5</c:v>
                </c:pt>
                <c:pt idx="502">
                  <c:v>1310.5</c:v>
                </c:pt>
                <c:pt idx="503">
                  <c:v>1310.5</c:v>
                </c:pt>
                <c:pt idx="504">
                  <c:v>1310.5</c:v>
                </c:pt>
                <c:pt idx="505">
                  <c:v>1310.5</c:v>
                </c:pt>
                <c:pt idx="506">
                  <c:v>1310.5</c:v>
                </c:pt>
                <c:pt idx="507">
                  <c:v>1310.5</c:v>
                </c:pt>
                <c:pt idx="508">
                  <c:v>1310.5</c:v>
                </c:pt>
                <c:pt idx="509">
                  <c:v>1310.5</c:v>
                </c:pt>
                <c:pt idx="510">
                  <c:v>1310.5</c:v>
                </c:pt>
                <c:pt idx="511">
                  <c:v>1310.5</c:v>
                </c:pt>
                <c:pt idx="512">
                  <c:v>1310.5</c:v>
                </c:pt>
                <c:pt idx="513">
                  <c:v>151</c:v>
                </c:pt>
                <c:pt idx="514">
                  <c:v>133</c:v>
                </c:pt>
                <c:pt idx="515">
                  <c:v>1310.5</c:v>
                </c:pt>
                <c:pt idx="516">
                  <c:v>1310.5</c:v>
                </c:pt>
                <c:pt idx="517">
                  <c:v>1310.5</c:v>
                </c:pt>
                <c:pt idx="518">
                  <c:v>1310.5</c:v>
                </c:pt>
                <c:pt idx="519">
                  <c:v>258</c:v>
                </c:pt>
                <c:pt idx="520">
                  <c:v>1310.5</c:v>
                </c:pt>
                <c:pt idx="521">
                  <c:v>62</c:v>
                </c:pt>
                <c:pt idx="522">
                  <c:v>1310.5</c:v>
                </c:pt>
                <c:pt idx="523">
                  <c:v>63</c:v>
                </c:pt>
                <c:pt idx="524">
                  <c:v>1310.5</c:v>
                </c:pt>
                <c:pt idx="525">
                  <c:v>1310.5</c:v>
                </c:pt>
                <c:pt idx="526">
                  <c:v>1310.5</c:v>
                </c:pt>
                <c:pt idx="527">
                  <c:v>1310.5</c:v>
                </c:pt>
                <c:pt idx="528">
                  <c:v>1310.5</c:v>
                </c:pt>
                <c:pt idx="529">
                  <c:v>1310.5</c:v>
                </c:pt>
                <c:pt idx="530">
                  <c:v>1310.5</c:v>
                </c:pt>
                <c:pt idx="531">
                  <c:v>1310.5</c:v>
                </c:pt>
                <c:pt idx="532">
                  <c:v>1310.5</c:v>
                </c:pt>
                <c:pt idx="533">
                  <c:v>1310.5</c:v>
                </c:pt>
                <c:pt idx="534">
                  <c:v>1310.5</c:v>
                </c:pt>
                <c:pt idx="535">
                  <c:v>1310.5</c:v>
                </c:pt>
                <c:pt idx="536">
                  <c:v>1310.5</c:v>
                </c:pt>
                <c:pt idx="537">
                  <c:v>1310.5</c:v>
                </c:pt>
                <c:pt idx="538">
                  <c:v>1.5</c:v>
                </c:pt>
                <c:pt idx="539">
                  <c:v>1310.5</c:v>
                </c:pt>
                <c:pt idx="540">
                  <c:v>2308</c:v>
                </c:pt>
                <c:pt idx="541">
                  <c:v>1310.5</c:v>
                </c:pt>
                <c:pt idx="542">
                  <c:v>1310.5</c:v>
                </c:pt>
                <c:pt idx="543">
                  <c:v>1310.5</c:v>
                </c:pt>
                <c:pt idx="544">
                  <c:v>1310.5</c:v>
                </c:pt>
                <c:pt idx="545">
                  <c:v>1310.5</c:v>
                </c:pt>
                <c:pt idx="546">
                  <c:v>1310.5</c:v>
                </c:pt>
                <c:pt idx="547">
                  <c:v>1310.5</c:v>
                </c:pt>
                <c:pt idx="548">
                  <c:v>1310.5</c:v>
                </c:pt>
                <c:pt idx="549">
                  <c:v>1310.5</c:v>
                </c:pt>
                <c:pt idx="550">
                  <c:v>1310.5</c:v>
                </c:pt>
                <c:pt idx="551">
                  <c:v>1310.5</c:v>
                </c:pt>
                <c:pt idx="552">
                  <c:v>1310.5</c:v>
                </c:pt>
                <c:pt idx="553">
                  <c:v>1310.5</c:v>
                </c:pt>
                <c:pt idx="554">
                  <c:v>1310.5</c:v>
                </c:pt>
                <c:pt idx="555">
                  <c:v>193</c:v>
                </c:pt>
                <c:pt idx="556">
                  <c:v>1310.5</c:v>
                </c:pt>
                <c:pt idx="557">
                  <c:v>1310.5</c:v>
                </c:pt>
                <c:pt idx="558">
                  <c:v>1310.5</c:v>
                </c:pt>
                <c:pt idx="559">
                  <c:v>1310.5</c:v>
                </c:pt>
                <c:pt idx="560">
                  <c:v>1310.5</c:v>
                </c:pt>
                <c:pt idx="561">
                  <c:v>1310.5</c:v>
                </c:pt>
                <c:pt idx="562">
                  <c:v>1310.5</c:v>
                </c:pt>
                <c:pt idx="563">
                  <c:v>1310.5</c:v>
                </c:pt>
                <c:pt idx="564">
                  <c:v>1310.5</c:v>
                </c:pt>
                <c:pt idx="565">
                  <c:v>1310.5</c:v>
                </c:pt>
                <c:pt idx="566">
                  <c:v>1310.5</c:v>
                </c:pt>
                <c:pt idx="567">
                  <c:v>1310.5</c:v>
                </c:pt>
                <c:pt idx="568">
                  <c:v>1310.5</c:v>
                </c:pt>
                <c:pt idx="569">
                  <c:v>1310.5</c:v>
                </c:pt>
                <c:pt idx="570">
                  <c:v>1310.5</c:v>
                </c:pt>
                <c:pt idx="571">
                  <c:v>1310.5</c:v>
                </c:pt>
                <c:pt idx="572">
                  <c:v>1310.5</c:v>
                </c:pt>
                <c:pt idx="573">
                  <c:v>1310.5</c:v>
                </c:pt>
                <c:pt idx="574">
                  <c:v>1310.5</c:v>
                </c:pt>
                <c:pt idx="575">
                  <c:v>1310.5</c:v>
                </c:pt>
                <c:pt idx="576">
                  <c:v>1310.5</c:v>
                </c:pt>
                <c:pt idx="577">
                  <c:v>1310.5</c:v>
                </c:pt>
                <c:pt idx="578">
                  <c:v>1310.5</c:v>
                </c:pt>
                <c:pt idx="579">
                  <c:v>1310.5</c:v>
                </c:pt>
                <c:pt idx="580">
                  <c:v>1310.5</c:v>
                </c:pt>
                <c:pt idx="581">
                  <c:v>1310.5</c:v>
                </c:pt>
                <c:pt idx="582">
                  <c:v>1310.5</c:v>
                </c:pt>
                <c:pt idx="583">
                  <c:v>1310.5</c:v>
                </c:pt>
                <c:pt idx="584">
                  <c:v>1310.5</c:v>
                </c:pt>
                <c:pt idx="585">
                  <c:v>1310.5</c:v>
                </c:pt>
                <c:pt idx="586">
                  <c:v>1310.5</c:v>
                </c:pt>
                <c:pt idx="587">
                  <c:v>1310.5</c:v>
                </c:pt>
                <c:pt idx="588">
                  <c:v>1310.5</c:v>
                </c:pt>
                <c:pt idx="589">
                  <c:v>1310.5</c:v>
                </c:pt>
                <c:pt idx="590">
                  <c:v>1310.5</c:v>
                </c:pt>
                <c:pt idx="591">
                  <c:v>1310.5</c:v>
                </c:pt>
                <c:pt idx="592">
                  <c:v>1310.5</c:v>
                </c:pt>
                <c:pt idx="593">
                  <c:v>1310.5</c:v>
                </c:pt>
                <c:pt idx="594">
                  <c:v>1310.5</c:v>
                </c:pt>
                <c:pt idx="595">
                  <c:v>1310.5</c:v>
                </c:pt>
                <c:pt idx="596">
                  <c:v>1310.5</c:v>
                </c:pt>
                <c:pt idx="597">
                  <c:v>1310.5</c:v>
                </c:pt>
                <c:pt idx="598">
                  <c:v>60</c:v>
                </c:pt>
                <c:pt idx="599">
                  <c:v>1310.5</c:v>
                </c:pt>
                <c:pt idx="600">
                  <c:v>1310.5</c:v>
                </c:pt>
                <c:pt idx="601">
                  <c:v>1310.5</c:v>
                </c:pt>
                <c:pt idx="602">
                  <c:v>1310.5</c:v>
                </c:pt>
                <c:pt idx="603">
                  <c:v>1310.5</c:v>
                </c:pt>
                <c:pt idx="604">
                  <c:v>1310.5</c:v>
                </c:pt>
                <c:pt idx="605">
                  <c:v>200</c:v>
                </c:pt>
                <c:pt idx="606">
                  <c:v>1310.5</c:v>
                </c:pt>
                <c:pt idx="607">
                  <c:v>1310.5</c:v>
                </c:pt>
                <c:pt idx="608">
                  <c:v>1310.5</c:v>
                </c:pt>
                <c:pt idx="609">
                  <c:v>285.5</c:v>
                </c:pt>
                <c:pt idx="610">
                  <c:v>1310.5</c:v>
                </c:pt>
                <c:pt idx="611">
                  <c:v>310</c:v>
                </c:pt>
                <c:pt idx="612">
                  <c:v>264</c:v>
                </c:pt>
                <c:pt idx="613">
                  <c:v>1310.5</c:v>
                </c:pt>
                <c:pt idx="614">
                  <c:v>1310.5</c:v>
                </c:pt>
                <c:pt idx="615">
                  <c:v>264</c:v>
                </c:pt>
                <c:pt idx="616">
                  <c:v>1310.5</c:v>
                </c:pt>
                <c:pt idx="617">
                  <c:v>1310.5</c:v>
                </c:pt>
                <c:pt idx="618">
                  <c:v>1310.5</c:v>
                </c:pt>
                <c:pt idx="619">
                  <c:v>234</c:v>
                </c:pt>
                <c:pt idx="620">
                  <c:v>1310.5</c:v>
                </c:pt>
                <c:pt idx="621">
                  <c:v>1310.5</c:v>
                </c:pt>
                <c:pt idx="622">
                  <c:v>1310.5</c:v>
                </c:pt>
                <c:pt idx="623">
                  <c:v>1310.5</c:v>
                </c:pt>
                <c:pt idx="624">
                  <c:v>1310.5</c:v>
                </c:pt>
                <c:pt idx="625">
                  <c:v>1310.5</c:v>
                </c:pt>
                <c:pt idx="626">
                  <c:v>1310.5</c:v>
                </c:pt>
                <c:pt idx="627">
                  <c:v>1310.5</c:v>
                </c:pt>
                <c:pt idx="628">
                  <c:v>1310.5</c:v>
                </c:pt>
                <c:pt idx="629">
                  <c:v>1310.5</c:v>
                </c:pt>
                <c:pt idx="630">
                  <c:v>1310.5</c:v>
                </c:pt>
                <c:pt idx="631">
                  <c:v>1310.5</c:v>
                </c:pt>
                <c:pt idx="632">
                  <c:v>1310.5</c:v>
                </c:pt>
                <c:pt idx="633">
                  <c:v>1310.5</c:v>
                </c:pt>
                <c:pt idx="634">
                  <c:v>1310.5</c:v>
                </c:pt>
                <c:pt idx="635">
                  <c:v>1310.5</c:v>
                </c:pt>
                <c:pt idx="636">
                  <c:v>1310.5</c:v>
                </c:pt>
                <c:pt idx="637">
                  <c:v>1310.5</c:v>
                </c:pt>
                <c:pt idx="638">
                  <c:v>1310.5</c:v>
                </c:pt>
                <c:pt idx="639">
                  <c:v>1310.5</c:v>
                </c:pt>
                <c:pt idx="640">
                  <c:v>1310.5</c:v>
                </c:pt>
                <c:pt idx="641">
                  <c:v>1310.5</c:v>
                </c:pt>
                <c:pt idx="642">
                  <c:v>1310.5</c:v>
                </c:pt>
                <c:pt idx="643">
                  <c:v>1310.5</c:v>
                </c:pt>
                <c:pt idx="644">
                  <c:v>1310.5</c:v>
                </c:pt>
                <c:pt idx="645">
                  <c:v>1310.5</c:v>
                </c:pt>
                <c:pt idx="646">
                  <c:v>1310.5</c:v>
                </c:pt>
                <c:pt idx="647">
                  <c:v>1310.5</c:v>
                </c:pt>
                <c:pt idx="648">
                  <c:v>1310.5</c:v>
                </c:pt>
                <c:pt idx="649">
                  <c:v>1310.5</c:v>
                </c:pt>
                <c:pt idx="650">
                  <c:v>1310.5</c:v>
                </c:pt>
                <c:pt idx="651">
                  <c:v>1310.5</c:v>
                </c:pt>
                <c:pt idx="652">
                  <c:v>1310.5</c:v>
                </c:pt>
                <c:pt idx="653">
                  <c:v>1310.5</c:v>
                </c:pt>
                <c:pt idx="654">
                  <c:v>1310.5</c:v>
                </c:pt>
                <c:pt idx="655">
                  <c:v>1310.5</c:v>
                </c:pt>
                <c:pt idx="656">
                  <c:v>1310.5</c:v>
                </c:pt>
                <c:pt idx="657">
                  <c:v>133</c:v>
                </c:pt>
                <c:pt idx="658">
                  <c:v>1310.5</c:v>
                </c:pt>
                <c:pt idx="659">
                  <c:v>1310.5</c:v>
                </c:pt>
                <c:pt idx="660">
                  <c:v>1310.5</c:v>
                </c:pt>
                <c:pt idx="661">
                  <c:v>1310.5</c:v>
                </c:pt>
                <c:pt idx="662">
                  <c:v>1310.5</c:v>
                </c:pt>
                <c:pt idx="663">
                  <c:v>1310.5</c:v>
                </c:pt>
                <c:pt idx="664">
                  <c:v>1310.5</c:v>
                </c:pt>
                <c:pt idx="665">
                  <c:v>1310.5</c:v>
                </c:pt>
                <c:pt idx="666">
                  <c:v>1310.5</c:v>
                </c:pt>
                <c:pt idx="667">
                  <c:v>1310.5</c:v>
                </c:pt>
                <c:pt idx="668">
                  <c:v>1310.5</c:v>
                </c:pt>
                <c:pt idx="669">
                  <c:v>1310.5</c:v>
                </c:pt>
                <c:pt idx="670">
                  <c:v>1310.5</c:v>
                </c:pt>
                <c:pt idx="671">
                  <c:v>1310.5</c:v>
                </c:pt>
                <c:pt idx="672">
                  <c:v>80</c:v>
                </c:pt>
                <c:pt idx="673">
                  <c:v>1310.5</c:v>
                </c:pt>
                <c:pt idx="674">
                  <c:v>146</c:v>
                </c:pt>
                <c:pt idx="675">
                  <c:v>1310.5</c:v>
                </c:pt>
                <c:pt idx="676">
                  <c:v>1310.5</c:v>
                </c:pt>
                <c:pt idx="677">
                  <c:v>1310.5</c:v>
                </c:pt>
                <c:pt idx="678">
                  <c:v>1310.5</c:v>
                </c:pt>
                <c:pt idx="679">
                  <c:v>310</c:v>
                </c:pt>
                <c:pt idx="680">
                  <c:v>1310.5</c:v>
                </c:pt>
                <c:pt idx="681">
                  <c:v>1310.5</c:v>
                </c:pt>
                <c:pt idx="682">
                  <c:v>270</c:v>
                </c:pt>
                <c:pt idx="683">
                  <c:v>1310.5</c:v>
                </c:pt>
                <c:pt idx="684">
                  <c:v>1310.5</c:v>
                </c:pt>
                <c:pt idx="685">
                  <c:v>1310.5</c:v>
                </c:pt>
                <c:pt idx="686">
                  <c:v>1310.5</c:v>
                </c:pt>
                <c:pt idx="687">
                  <c:v>1310.5</c:v>
                </c:pt>
                <c:pt idx="688">
                  <c:v>161.5</c:v>
                </c:pt>
                <c:pt idx="689">
                  <c:v>161.5</c:v>
                </c:pt>
                <c:pt idx="690">
                  <c:v>1310.5</c:v>
                </c:pt>
                <c:pt idx="691">
                  <c:v>1310.5</c:v>
                </c:pt>
                <c:pt idx="692">
                  <c:v>1310.5</c:v>
                </c:pt>
                <c:pt idx="693">
                  <c:v>1310.5</c:v>
                </c:pt>
                <c:pt idx="694">
                  <c:v>133</c:v>
                </c:pt>
                <c:pt idx="695">
                  <c:v>133</c:v>
                </c:pt>
                <c:pt idx="696">
                  <c:v>1310.5</c:v>
                </c:pt>
                <c:pt idx="697">
                  <c:v>1310.5</c:v>
                </c:pt>
                <c:pt idx="698">
                  <c:v>1310.5</c:v>
                </c:pt>
                <c:pt idx="699">
                  <c:v>1310.5</c:v>
                </c:pt>
                <c:pt idx="700">
                  <c:v>1310.5</c:v>
                </c:pt>
                <c:pt idx="701">
                  <c:v>1310.5</c:v>
                </c:pt>
                <c:pt idx="702">
                  <c:v>217</c:v>
                </c:pt>
                <c:pt idx="703">
                  <c:v>1310.5</c:v>
                </c:pt>
                <c:pt idx="704">
                  <c:v>1310.5</c:v>
                </c:pt>
                <c:pt idx="705">
                  <c:v>1310.5</c:v>
                </c:pt>
                <c:pt idx="706">
                  <c:v>1310.5</c:v>
                </c:pt>
                <c:pt idx="707">
                  <c:v>1310.5</c:v>
                </c:pt>
                <c:pt idx="708">
                  <c:v>1310.5</c:v>
                </c:pt>
                <c:pt idx="709">
                  <c:v>1310.5</c:v>
                </c:pt>
                <c:pt idx="710">
                  <c:v>1310.5</c:v>
                </c:pt>
                <c:pt idx="711">
                  <c:v>1310.5</c:v>
                </c:pt>
                <c:pt idx="712">
                  <c:v>1310.5</c:v>
                </c:pt>
                <c:pt idx="713">
                  <c:v>1310.5</c:v>
                </c:pt>
                <c:pt idx="714">
                  <c:v>1310.5</c:v>
                </c:pt>
                <c:pt idx="715">
                  <c:v>1310.5</c:v>
                </c:pt>
                <c:pt idx="716">
                  <c:v>1310.5</c:v>
                </c:pt>
                <c:pt idx="717">
                  <c:v>1310.5</c:v>
                </c:pt>
                <c:pt idx="718">
                  <c:v>1310.5</c:v>
                </c:pt>
                <c:pt idx="719">
                  <c:v>107.5</c:v>
                </c:pt>
                <c:pt idx="720">
                  <c:v>1310.5</c:v>
                </c:pt>
                <c:pt idx="721">
                  <c:v>1310.5</c:v>
                </c:pt>
                <c:pt idx="722">
                  <c:v>1310.5</c:v>
                </c:pt>
                <c:pt idx="723">
                  <c:v>1310.5</c:v>
                </c:pt>
                <c:pt idx="724">
                  <c:v>177.5</c:v>
                </c:pt>
                <c:pt idx="725">
                  <c:v>1310.5</c:v>
                </c:pt>
                <c:pt idx="726">
                  <c:v>1310.5</c:v>
                </c:pt>
                <c:pt idx="727">
                  <c:v>1310.5</c:v>
                </c:pt>
                <c:pt idx="728">
                  <c:v>270</c:v>
                </c:pt>
                <c:pt idx="729">
                  <c:v>1310.5</c:v>
                </c:pt>
                <c:pt idx="730">
                  <c:v>1310.5</c:v>
                </c:pt>
                <c:pt idx="731">
                  <c:v>1310.5</c:v>
                </c:pt>
                <c:pt idx="732">
                  <c:v>1310.5</c:v>
                </c:pt>
                <c:pt idx="733">
                  <c:v>1310.5</c:v>
                </c:pt>
                <c:pt idx="734">
                  <c:v>270</c:v>
                </c:pt>
                <c:pt idx="735">
                  <c:v>1310.5</c:v>
                </c:pt>
                <c:pt idx="736">
                  <c:v>1310.5</c:v>
                </c:pt>
                <c:pt idx="737">
                  <c:v>1310.5</c:v>
                </c:pt>
                <c:pt idx="738">
                  <c:v>1310.5</c:v>
                </c:pt>
                <c:pt idx="739">
                  <c:v>1310.5</c:v>
                </c:pt>
                <c:pt idx="740">
                  <c:v>1310.5</c:v>
                </c:pt>
                <c:pt idx="741">
                  <c:v>1310.5</c:v>
                </c:pt>
                <c:pt idx="742">
                  <c:v>1310.5</c:v>
                </c:pt>
                <c:pt idx="743">
                  <c:v>1310.5</c:v>
                </c:pt>
                <c:pt idx="744">
                  <c:v>1310.5</c:v>
                </c:pt>
                <c:pt idx="745">
                  <c:v>1310.5</c:v>
                </c:pt>
                <c:pt idx="746">
                  <c:v>1310.5</c:v>
                </c:pt>
                <c:pt idx="747">
                  <c:v>1310.5</c:v>
                </c:pt>
                <c:pt idx="748">
                  <c:v>1310.5</c:v>
                </c:pt>
                <c:pt idx="749">
                  <c:v>1310.5</c:v>
                </c:pt>
                <c:pt idx="750">
                  <c:v>1310.5</c:v>
                </c:pt>
                <c:pt idx="751">
                  <c:v>1310.5</c:v>
                </c:pt>
                <c:pt idx="752">
                  <c:v>1310.5</c:v>
                </c:pt>
                <c:pt idx="753">
                  <c:v>1310.5</c:v>
                </c:pt>
                <c:pt idx="754">
                  <c:v>1310.5</c:v>
                </c:pt>
                <c:pt idx="755">
                  <c:v>1310.5</c:v>
                </c:pt>
                <c:pt idx="756">
                  <c:v>1310.5</c:v>
                </c:pt>
                <c:pt idx="757">
                  <c:v>1310.5</c:v>
                </c:pt>
                <c:pt idx="758">
                  <c:v>1310.5</c:v>
                </c:pt>
                <c:pt idx="759">
                  <c:v>1310.5</c:v>
                </c:pt>
                <c:pt idx="760">
                  <c:v>1310.5</c:v>
                </c:pt>
                <c:pt idx="761">
                  <c:v>1310.5</c:v>
                </c:pt>
                <c:pt idx="762">
                  <c:v>1310.5</c:v>
                </c:pt>
                <c:pt idx="763">
                  <c:v>1310.5</c:v>
                </c:pt>
                <c:pt idx="764">
                  <c:v>1310.5</c:v>
                </c:pt>
                <c:pt idx="765">
                  <c:v>1310.5</c:v>
                </c:pt>
                <c:pt idx="766">
                  <c:v>1310.5</c:v>
                </c:pt>
                <c:pt idx="767">
                  <c:v>1310.5</c:v>
                </c:pt>
                <c:pt idx="768">
                  <c:v>1310.5</c:v>
                </c:pt>
                <c:pt idx="769">
                  <c:v>1310.5</c:v>
                </c:pt>
                <c:pt idx="770">
                  <c:v>1310.5</c:v>
                </c:pt>
                <c:pt idx="771">
                  <c:v>1310.5</c:v>
                </c:pt>
                <c:pt idx="772">
                  <c:v>1310.5</c:v>
                </c:pt>
                <c:pt idx="773">
                  <c:v>1310.5</c:v>
                </c:pt>
                <c:pt idx="774">
                  <c:v>1310.5</c:v>
                </c:pt>
                <c:pt idx="775">
                  <c:v>1310.5</c:v>
                </c:pt>
                <c:pt idx="776">
                  <c:v>1310.5</c:v>
                </c:pt>
                <c:pt idx="777">
                  <c:v>1310.5</c:v>
                </c:pt>
                <c:pt idx="778">
                  <c:v>1310.5</c:v>
                </c:pt>
                <c:pt idx="779">
                  <c:v>1310.5</c:v>
                </c:pt>
                <c:pt idx="780">
                  <c:v>1310.5</c:v>
                </c:pt>
                <c:pt idx="781">
                  <c:v>1310.5</c:v>
                </c:pt>
                <c:pt idx="782">
                  <c:v>1310.5</c:v>
                </c:pt>
                <c:pt idx="783">
                  <c:v>1310.5</c:v>
                </c:pt>
                <c:pt idx="784">
                  <c:v>1310.5</c:v>
                </c:pt>
                <c:pt idx="785">
                  <c:v>1310.5</c:v>
                </c:pt>
                <c:pt idx="786">
                  <c:v>1310.5</c:v>
                </c:pt>
                <c:pt idx="787">
                  <c:v>1310.5</c:v>
                </c:pt>
                <c:pt idx="788">
                  <c:v>1310.5</c:v>
                </c:pt>
                <c:pt idx="789">
                  <c:v>1310.5</c:v>
                </c:pt>
                <c:pt idx="790">
                  <c:v>1310.5</c:v>
                </c:pt>
                <c:pt idx="791">
                  <c:v>1310.5</c:v>
                </c:pt>
                <c:pt idx="792">
                  <c:v>1310.5</c:v>
                </c:pt>
                <c:pt idx="793">
                  <c:v>1310.5</c:v>
                </c:pt>
                <c:pt idx="794">
                  <c:v>1310.5</c:v>
                </c:pt>
                <c:pt idx="795">
                  <c:v>1310.5</c:v>
                </c:pt>
                <c:pt idx="796">
                  <c:v>1310.5</c:v>
                </c:pt>
                <c:pt idx="797">
                  <c:v>1310.5</c:v>
                </c:pt>
                <c:pt idx="798">
                  <c:v>1310.5</c:v>
                </c:pt>
                <c:pt idx="799">
                  <c:v>1310.5</c:v>
                </c:pt>
                <c:pt idx="800">
                  <c:v>1310.5</c:v>
                </c:pt>
                <c:pt idx="801">
                  <c:v>1310.5</c:v>
                </c:pt>
                <c:pt idx="802">
                  <c:v>1310.5</c:v>
                </c:pt>
                <c:pt idx="803">
                  <c:v>1310.5</c:v>
                </c:pt>
                <c:pt idx="804">
                  <c:v>1310.5</c:v>
                </c:pt>
                <c:pt idx="805">
                  <c:v>1310.5</c:v>
                </c:pt>
                <c:pt idx="806">
                  <c:v>1310.5</c:v>
                </c:pt>
                <c:pt idx="807">
                  <c:v>1310.5</c:v>
                </c:pt>
                <c:pt idx="808">
                  <c:v>1310.5</c:v>
                </c:pt>
                <c:pt idx="809">
                  <c:v>1310.5</c:v>
                </c:pt>
                <c:pt idx="810">
                  <c:v>1310.5</c:v>
                </c:pt>
                <c:pt idx="811">
                  <c:v>1310.5</c:v>
                </c:pt>
                <c:pt idx="812">
                  <c:v>5.5</c:v>
                </c:pt>
                <c:pt idx="813">
                  <c:v>1310.5</c:v>
                </c:pt>
                <c:pt idx="814">
                  <c:v>1310.5</c:v>
                </c:pt>
                <c:pt idx="815">
                  <c:v>1310.5</c:v>
                </c:pt>
                <c:pt idx="816">
                  <c:v>1310.5</c:v>
                </c:pt>
                <c:pt idx="817">
                  <c:v>1310.5</c:v>
                </c:pt>
                <c:pt idx="818">
                  <c:v>1310.5</c:v>
                </c:pt>
                <c:pt idx="819">
                  <c:v>1310.5</c:v>
                </c:pt>
                <c:pt idx="820">
                  <c:v>1310.5</c:v>
                </c:pt>
                <c:pt idx="821">
                  <c:v>1310.5</c:v>
                </c:pt>
                <c:pt idx="822">
                  <c:v>1310.5</c:v>
                </c:pt>
                <c:pt idx="823">
                  <c:v>1310.5</c:v>
                </c:pt>
                <c:pt idx="824">
                  <c:v>1310.5</c:v>
                </c:pt>
                <c:pt idx="825">
                  <c:v>1310.5</c:v>
                </c:pt>
                <c:pt idx="826">
                  <c:v>1310.5</c:v>
                </c:pt>
                <c:pt idx="827">
                  <c:v>1310.5</c:v>
                </c:pt>
                <c:pt idx="828">
                  <c:v>1310.5</c:v>
                </c:pt>
                <c:pt idx="829">
                  <c:v>1310.5</c:v>
                </c:pt>
                <c:pt idx="830">
                  <c:v>1310.5</c:v>
                </c:pt>
                <c:pt idx="831">
                  <c:v>1310.5</c:v>
                </c:pt>
                <c:pt idx="832">
                  <c:v>1310.5</c:v>
                </c:pt>
                <c:pt idx="833">
                  <c:v>1310.5</c:v>
                </c:pt>
                <c:pt idx="834">
                  <c:v>9.5</c:v>
                </c:pt>
                <c:pt idx="835">
                  <c:v>310</c:v>
                </c:pt>
                <c:pt idx="836">
                  <c:v>1310.5</c:v>
                </c:pt>
                <c:pt idx="837">
                  <c:v>1310.5</c:v>
                </c:pt>
                <c:pt idx="838">
                  <c:v>1310.5</c:v>
                </c:pt>
                <c:pt idx="839">
                  <c:v>1310.5</c:v>
                </c:pt>
                <c:pt idx="840">
                  <c:v>1310.5</c:v>
                </c:pt>
                <c:pt idx="841">
                  <c:v>1310.5</c:v>
                </c:pt>
                <c:pt idx="842">
                  <c:v>1310.5</c:v>
                </c:pt>
                <c:pt idx="843">
                  <c:v>1310.5</c:v>
                </c:pt>
                <c:pt idx="844">
                  <c:v>1310.5</c:v>
                </c:pt>
                <c:pt idx="845">
                  <c:v>1310.5</c:v>
                </c:pt>
                <c:pt idx="846">
                  <c:v>1310.5</c:v>
                </c:pt>
                <c:pt idx="847">
                  <c:v>1310.5</c:v>
                </c:pt>
                <c:pt idx="848">
                  <c:v>1310.5</c:v>
                </c:pt>
                <c:pt idx="849">
                  <c:v>1310.5</c:v>
                </c:pt>
                <c:pt idx="850">
                  <c:v>1310.5</c:v>
                </c:pt>
                <c:pt idx="851">
                  <c:v>1310.5</c:v>
                </c:pt>
                <c:pt idx="852">
                  <c:v>1310.5</c:v>
                </c:pt>
                <c:pt idx="853">
                  <c:v>1310.5</c:v>
                </c:pt>
                <c:pt idx="854">
                  <c:v>1310.5</c:v>
                </c:pt>
                <c:pt idx="855">
                  <c:v>1310.5</c:v>
                </c:pt>
                <c:pt idx="856">
                  <c:v>1310.5</c:v>
                </c:pt>
                <c:pt idx="857">
                  <c:v>1310.5</c:v>
                </c:pt>
                <c:pt idx="858">
                  <c:v>1310.5</c:v>
                </c:pt>
                <c:pt idx="859">
                  <c:v>1310.5</c:v>
                </c:pt>
                <c:pt idx="860">
                  <c:v>1310.5</c:v>
                </c:pt>
                <c:pt idx="861">
                  <c:v>1310.5</c:v>
                </c:pt>
                <c:pt idx="862">
                  <c:v>1310.5</c:v>
                </c:pt>
                <c:pt idx="863">
                  <c:v>1310.5</c:v>
                </c:pt>
                <c:pt idx="864">
                  <c:v>1310.5</c:v>
                </c:pt>
                <c:pt idx="865">
                  <c:v>1310.5</c:v>
                </c:pt>
                <c:pt idx="866">
                  <c:v>1310.5</c:v>
                </c:pt>
                <c:pt idx="867">
                  <c:v>1310.5</c:v>
                </c:pt>
                <c:pt idx="868">
                  <c:v>1310.5</c:v>
                </c:pt>
                <c:pt idx="869">
                  <c:v>1310.5</c:v>
                </c:pt>
                <c:pt idx="870">
                  <c:v>281.5</c:v>
                </c:pt>
                <c:pt idx="871">
                  <c:v>1310.5</c:v>
                </c:pt>
                <c:pt idx="872">
                  <c:v>1310.5</c:v>
                </c:pt>
                <c:pt idx="873">
                  <c:v>1310.5</c:v>
                </c:pt>
                <c:pt idx="874">
                  <c:v>1310.5</c:v>
                </c:pt>
                <c:pt idx="875">
                  <c:v>1310.5</c:v>
                </c:pt>
                <c:pt idx="876">
                  <c:v>1.5</c:v>
                </c:pt>
                <c:pt idx="877">
                  <c:v>1310.5</c:v>
                </c:pt>
                <c:pt idx="878">
                  <c:v>1310.5</c:v>
                </c:pt>
                <c:pt idx="879">
                  <c:v>1310.5</c:v>
                </c:pt>
                <c:pt idx="880">
                  <c:v>285.5</c:v>
                </c:pt>
                <c:pt idx="881">
                  <c:v>1310.5</c:v>
                </c:pt>
                <c:pt idx="882">
                  <c:v>1310.5</c:v>
                </c:pt>
                <c:pt idx="883">
                  <c:v>1310.5</c:v>
                </c:pt>
                <c:pt idx="884">
                  <c:v>1310.5</c:v>
                </c:pt>
                <c:pt idx="885">
                  <c:v>1310.5</c:v>
                </c:pt>
                <c:pt idx="886">
                  <c:v>1310.5</c:v>
                </c:pt>
                <c:pt idx="887">
                  <c:v>1310.5</c:v>
                </c:pt>
                <c:pt idx="888">
                  <c:v>1310.5</c:v>
                </c:pt>
                <c:pt idx="889">
                  <c:v>1310.5</c:v>
                </c:pt>
                <c:pt idx="890">
                  <c:v>1310.5</c:v>
                </c:pt>
                <c:pt idx="891">
                  <c:v>1310.5</c:v>
                </c:pt>
                <c:pt idx="892">
                  <c:v>1310.5</c:v>
                </c:pt>
                <c:pt idx="893">
                  <c:v>1310.5</c:v>
                </c:pt>
                <c:pt idx="894">
                  <c:v>1310.5</c:v>
                </c:pt>
                <c:pt idx="895">
                  <c:v>1310.5</c:v>
                </c:pt>
                <c:pt idx="896">
                  <c:v>1310.5</c:v>
                </c:pt>
                <c:pt idx="897">
                  <c:v>1310.5</c:v>
                </c:pt>
                <c:pt idx="898">
                  <c:v>9.5</c:v>
                </c:pt>
                <c:pt idx="899">
                  <c:v>1310.5</c:v>
                </c:pt>
                <c:pt idx="900">
                  <c:v>283.5</c:v>
                </c:pt>
                <c:pt idx="901">
                  <c:v>1310.5</c:v>
                </c:pt>
                <c:pt idx="902">
                  <c:v>1310.5</c:v>
                </c:pt>
                <c:pt idx="903">
                  <c:v>1310.5</c:v>
                </c:pt>
                <c:pt idx="904">
                  <c:v>1310.5</c:v>
                </c:pt>
                <c:pt idx="905">
                  <c:v>1310.5</c:v>
                </c:pt>
                <c:pt idx="906">
                  <c:v>1310.5</c:v>
                </c:pt>
                <c:pt idx="907">
                  <c:v>1310.5</c:v>
                </c:pt>
                <c:pt idx="908">
                  <c:v>1310.5</c:v>
                </c:pt>
                <c:pt idx="909">
                  <c:v>1310.5</c:v>
                </c:pt>
                <c:pt idx="910">
                  <c:v>1310.5</c:v>
                </c:pt>
                <c:pt idx="911">
                  <c:v>1310.5</c:v>
                </c:pt>
                <c:pt idx="912">
                  <c:v>1310.5</c:v>
                </c:pt>
                <c:pt idx="913">
                  <c:v>1310.5</c:v>
                </c:pt>
                <c:pt idx="914">
                  <c:v>13</c:v>
                </c:pt>
                <c:pt idx="915">
                  <c:v>1310.5</c:v>
                </c:pt>
                <c:pt idx="916">
                  <c:v>1310.5</c:v>
                </c:pt>
                <c:pt idx="917">
                  <c:v>1310.5</c:v>
                </c:pt>
                <c:pt idx="918">
                  <c:v>1310.5</c:v>
                </c:pt>
                <c:pt idx="919">
                  <c:v>40.5</c:v>
                </c:pt>
                <c:pt idx="920">
                  <c:v>1310.5</c:v>
                </c:pt>
                <c:pt idx="921">
                  <c:v>1310.5</c:v>
                </c:pt>
                <c:pt idx="922">
                  <c:v>1310.5</c:v>
                </c:pt>
                <c:pt idx="923">
                  <c:v>1310.5</c:v>
                </c:pt>
                <c:pt idx="924">
                  <c:v>52</c:v>
                </c:pt>
                <c:pt idx="925">
                  <c:v>21.5</c:v>
                </c:pt>
                <c:pt idx="926">
                  <c:v>1310.5</c:v>
                </c:pt>
                <c:pt idx="927">
                  <c:v>1310.5</c:v>
                </c:pt>
                <c:pt idx="928">
                  <c:v>1310.5</c:v>
                </c:pt>
                <c:pt idx="929">
                  <c:v>1310.5</c:v>
                </c:pt>
                <c:pt idx="930">
                  <c:v>1310.5</c:v>
                </c:pt>
                <c:pt idx="931">
                  <c:v>1310.5</c:v>
                </c:pt>
                <c:pt idx="932">
                  <c:v>1310.5</c:v>
                </c:pt>
                <c:pt idx="933">
                  <c:v>1310.5</c:v>
                </c:pt>
                <c:pt idx="934">
                  <c:v>1310.5</c:v>
                </c:pt>
                <c:pt idx="935">
                  <c:v>1310.5</c:v>
                </c:pt>
                <c:pt idx="936">
                  <c:v>1310.5</c:v>
                </c:pt>
                <c:pt idx="937">
                  <c:v>1310.5</c:v>
                </c:pt>
                <c:pt idx="938">
                  <c:v>1310.5</c:v>
                </c:pt>
                <c:pt idx="939">
                  <c:v>1310.5</c:v>
                </c:pt>
                <c:pt idx="940">
                  <c:v>1310.5</c:v>
                </c:pt>
                <c:pt idx="941">
                  <c:v>1310.5</c:v>
                </c:pt>
                <c:pt idx="942">
                  <c:v>1310.5</c:v>
                </c:pt>
                <c:pt idx="943">
                  <c:v>1310.5</c:v>
                </c:pt>
                <c:pt idx="944">
                  <c:v>1310.5</c:v>
                </c:pt>
                <c:pt idx="945">
                  <c:v>85.5</c:v>
                </c:pt>
                <c:pt idx="946">
                  <c:v>1310.5</c:v>
                </c:pt>
                <c:pt idx="947">
                  <c:v>1310.5</c:v>
                </c:pt>
                <c:pt idx="948">
                  <c:v>1310.5</c:v>
                </c:pt>
                <c:pt idx="949">
                  <c:v>1310.5</c:v>
                </c:pt>
                <c:pt idx="950">
                  <c:v>1310.5</c:v>
                </c:pt>
                <c:pt idx="951">
                  <c:v>1310.5</c:v>
                </c:pt>
                <c:pt idx="952">
                  <c:v>1310.5</c:v>
                </c:pt>
                <c:pt idx="953">
                  <c:v>1310.5</c:v>
                </c:pt>
                <c:pt idx="954">
                  <c:v>1310.5</c:v>
                </c:pt>
                <c:pt idx="955">
                  <c:v>1310.5</c:v>
                </c:pt>
                <c:pt idx="956">
                  <c:v>1310.5</c:v>
                </c:pt>
                <c:pt idx="957">
                  <c:v>219.5</c:v>
                </c:pt>
                <c:pt idx="958">
                  <c:v>1310.5</c:v>
                </c:pt>
                <c:pt idx="959">
                  <c:v>287.5</c:v>
                </c:pt>
                <c:pt idx="960">
                  <c:v>1310.5</c:v>
                </c:pt>
                <c:pt idx="961">
                  <c:v>1310.5</c:v>
                </c:pt>
                <c:pt idx="962">
                  <c:v>1310.5</c:v>
                </c:pt>
                <c:pt idx="963">
                  <c:v>1310.5</c:v>
                </c:pt>
                <c:pt idx="964">
                  <c:v>1310.5</c:v>
                </c:pt>
                <c:pt idx="965">
                  <c:v>1310.5</c:v>
                </c:pt>
                <c:pt idx="966">
                  <c:v>33.5</c:v>
                </c:pt>
                <c:pt idx="967">
                  <c:v>1310.5</c:v>
                </c:pt>
                <c:pt idx="968">
                  <c:v>1310.5</c:v>
                </c:pt>
                <c:pt idx="969">
                  <c:v>26.5</c:v>
                </c:pt>
                <c:pt idx="970">
                  <c:v>1310.5</c:v>
                </c:pt>
                <c:pt idx="971">
                  <c:v>1310.5</c:v>
                </c:pt>
                <c:pt idx="972">
                  <c:v>1310.5</c:v>
                </c:pt>
                <c:pt idx="973">
                  <c:v>1310.5</c:v>
                </c:pt>
                <c:pt idx="974">
                  <c:v>1310.5</c:v>
                </c:pt>
                <c:pt idx="975">
                  <c:v>1310.5</c:v>
                </c:pt>
                <c:pt idx="976">
                  <c:v>1310.5</c:v>
                </c:pt>
                <c:pt idx="977">
                  <c:v>1310.5</c:v>
                </c:pt>
                <c:pt idx="978">
                  <c:v>1310.5</c:v>
                </c:pt>
                <c:pt idx="979">
                  <c:v>1310.5</c:v>
                </c:pt>
                <c:pt idx="980">
                  <c:v>93.5</c:v>
                </c:pt>
                <c:pt idx="981">
                  <c:v>1310.5</c:v>
                </c:pt>
                <c:pt idx="982">
                  <c:v>1310.5</c:v>
                </c:pt>
                <c:pt idx="983">
                  <c:v>1310.5</c:v>
                </c:pt>
                <c:pt idx="984">
                  <c:v>1310.5</c:v>
                </c:pt>
                <c:pt idx="985">
                  <c:v>1310.5</c:v>
                </c:pt>
                <c:pt idx="986">
                  <c:v>1310.5</c:v>
                </c:pt>
                <c:pt idx="987">
                  <c:v>1310.5</c:v>
                </c:pt>
                <c:pt idx="988">
                  <c:v>1310.5</c:v>
                </c:pt>
                <c:pt idx="989">
                  <c:v>1310.5</c:v>
                </c:pt>
                <c:pt idx="990">
                  <c:v>1310.5</c:v>
                </c:pt>
                <c:pt idx="991">
                  <c:v>1310.5</c:v>
                </c:pt>
                <c:pt idx="992">
                  <c:v>1310.5</c:v>
                </c:pt>
                <c:pt idx="993">
                  <c:v>1310.5</c:v>
                </c:pt>
                <c:pt idx="994">
                  <c:v>1310.5</c:v>
                </c:pt>
                <c:pt idx="995">
                  <c:v>1310.5</c:v>
                </c:pt>
                <c:pt idx="996">
                  <c:v>203.5</c:v>
                </c:pt>
                <c:pt idx="997">
                  <c:v>1310.5</c:v>
                </c:pt>
                <c:pt idx="998">
                  <c:v>1310.5</c:v>
                </c:pt>
                <c:pt idx="999">
                  <c:v>1310.5</c:v>
                </c:pt>
                <c:pt idx="1000">
                  <c:v>1310.5</c:v>
                </c:pt>
                <c:pt idx="1001">
                  <c:v>1310.5</c:v>
                </c:pt>
                <c:pt idx="1002">
                  <c:v>1310.5</c:v>
                </c:pt>
                <c:pt idx="1003">
                  <c:v>1310.5</c:v>
                </c:pt>
                <c:pt idx="1004">
                  <c:v>1310.5</c:v>
                </c:pt>
                <c:pt idx="1005">
                  <c:v>1310.5</c:v>
                </c:pt>
                <c:pt idx="1006">
                  <c:v>1310.5</c:v>
                </c:pt>
                <c:pt idx="1007">
                  <c:v>1310.5</c:v>
                </c:pt>
                <c:pt idx="1008">
                  <c:v>1310.5</c:v>
                </c:pt>
                <c:pt idx="1009">
                  <c:v>1310.5</c:v>
                </c:pt>
                <c:pt idx="1010">
                  <c:v>1310.5</c:v>
                </c:pt>
                <c:pt idx="1011">
                  <c:v>1310.5</c:v>
                </c:pt>
                <c:pt idx="1012">
                  <c:v>1310.5</c:v>
                </c:pt>
                <c:pt idx="1013">
                  <c:v>1310.5</c:v>
                </c:pt>
                <c:pt idx="1014">
                  <c:v>1310.5</c:v>
                </c:pt>
                <c:pt idx="1015">
                  <c:v>1310.5</c:v>
                </c:pt>
                <c:pt idx="1016">
                  <c:v>1310.5</c:v>
                </c:pt>
                <c:pt idx="1017">
                  <c:v>1310.5</c:v>
                </c:pt>
                <c:pt idx="1018">
                  <c:v>1310.5</c:v>
                </c:pt>
                <c:pt idx="1019">
                  <c:v>1310.5</c:v>
                </c:pt>
                <c:pt idx="1020">
                  <c:v>1310.5</c:v>
                </c:pt>
                <c:pt idx="1021">
                  <c:v>1310.5</c:v>
                </c:pt>
                <c:pt idx="1022">
                  <c:v>279.5</c:v>
                </c:pt>
                <c:pt idx="1023">
                  <c:v>1310.5</c:v>
                </c:pt>
                <c:pt idx="1024">
                  <c:v>1310.5</c:v>
                </c:pt>
                <c:pt idx="1025">
                  <c:v>1310.5</c:v>
                </c:pt>
                <c:pt idx="1026">
                  <c:v>1310.5</c:v>
                </c:pt>
                <c:pt idx="1027">
                  <c:v>1310.5</c:v>
                </c:pt>
                <c:pt idx="1028">
                  <c:v>1310.5</c:v>
                </c:pt>
                <c:pt idx="1029">
                  <c:v>1310.5</c:v>
                </c:pt>
                <c:pt idx="1030">
                  <c:v>1310.5</c:v>
                </c:pt>
                <c:pt idx="1031">
                  <c:v>1310.5</c:v>
                </c:pt>
                <c:pt idx="1032">
                  <c:v>1310.5</c:v>
                </c:pt>
                <c:pt idx="1033">
                  <c:v>1310.5</c:v>
                </c:pt>
                <c:pt idx="1034">
                  <c:v>1310.5</c:v>
                </c:pt>
                <c:pt idx="1035">
                  <c:v>1310.5</c:v>
                </c:pt>
                <c:pt idx="1036">
                  <c:v>1310.5</c:v>
                </c:pt>
                <c:pt idx="1037">
                  <c:v>1310.5</c:v>
                </c:pt>
                <c:pt idx="1038">
                  <c:v>1310.5</c:v>
                </c:pt>
                <c:pt idx="1039">
                  <c:v>1310.5</c:v>
                </c:pt>
                <c:pt idx="1040">
                  <c:v>1310.5</c:v>
                </c:pt>
                <c:pt idx="1041">
                  <c:v>1310.5</c:v>
                </c:pt>
                <c:pt idx="1042">
                  <c:v>1310.5</c:v>
                </c:pt>
                <c:pt idx="1043">
                  <c:v>1310.5</c:v>
                </c:pt>
                <c:pt idx="1044">
                  <c:v>1310.5</c:v>
                </c:pt>
                <c:pt idx="1045">
                  <c:v>1310.5</c:v>
                </c:pt>
                <c:pt idx="1046">
                  <c:v>1310.5</c:v>
                </c:pt>
                <c:pt idx="1047">
                  <c:v>1310.5</c:v>
                </c:pt>
                <c:pt idx="1048">
                  <c:v>1310.5</c:v>
                </c:pt>
                <c:pt idx="1049">
                  <c:v>1310.5</c:v>
                </c:pt>
                <c:pt idx="1050">
                  <c:v>1310.5</c:v>
                </c:pt>
                <c:pt idx="1051">
                  <c:v>1310.5</c:v>
                </c:pt>
                <c:pt idx="1052">
                  <c:v>1310.5</c:v>
                </c:pt>
                <c:pt idx="1053">
                  <c:v>1310.5</c:v>
                </c:pt>
                <c:pt idx="1054">
                  <c:v>1310.5</c:v>
                </c:pt>
                <c:pt idx="1055">
                  <c:v>1310.5</c:v>
                </c:pt>
                <c:pt idx="1056">
                  <c:v>1310.5</c:v>
                </c:pt>
                <c:pt idx="1057">
                  <c:v>1310.5</c:v>
                </c:pt>
                <c:pt idx="1058">
                  <c:v>1310.5</c:v>
                </c:pt>
                <c:pt idx="1059">
                  <c:v>1310.5</c:v>
                </c:pt>
                <c:pt idx="1060">
                  <c:v>1310.5</c:v>
                </c:pt>
                <c:pt idx="1061">
                  <c:v>1310.5</c:v>
                </c:pt>
                <c:pt idx="1062">
                  <c:v>1310.5</c:v>
                </c:pt>
                <c:pt idx="1063">
                  <c:v>1310.5</c:v>
                </c:pt>
                <c:pt idx="1064">
                  <c:v>1310.5</c:v>
                </c:pt>
                <c:pt idx="1065">
                  <c:v>1310.5</c:v>
                </c:pt>
                <c:pt idx="1066">
                  <c:v>1310.5</c:v>
                </c:pt>
                <c:pt idx="1067">
                  <c:v>1310.5</c:v>
                </c:pt>
                <c:pt idx="1068">
                  <c:v>1310.5</c:v>
                </c:pt>
                <c:pt idx="1069">
                  <c:v>1310.5</c:v>
                </c:pt>
                <c:pt idx="1070">
                  <c:v>1310.5</c:v>
                </c:pt>
                <c:pt idx="1071">
                  <c:v>1310.5</c:v>
                </c:pt>
                <c:pt idx="1072">
                  <c:v>1310.5</c:v>
                </c:pt>
                <c:pt idx="1073">
                  <c:v>1310.5</c:v>
                </c:pt>
                <c:pt idx="1074">
                  <c:v>1310.5</c:v>
                </c:pt>
                <c:pt idx="1075">
                  <c:v>1310.5</c:v>
                </c:pt>
                <c:pt idx="1076">
                  <c:v>1310.5</c:v>
                </c:pt>
                <c:pt idx="1077">
                  <c:v>1310.5</c:v>
                </c:pt>
                <c:pt idx="1078">
                  <c:v>1310.5</c:v>
                </c:pt>
                <c:pt idx="1079">
                  <c:v>1310.5</c:v>
                </c:pt>
                <c:pt idx="1080">
                  <c:v>1310.5</c:v>
                </c:pt>
                <c:pt idx="1081">
                  <c:v>1310.5</c:v>
                </c:pt>
                <c:pt idx="1082">
                  <c:v>1310.5</c:v>
                </c:pt>
                <c:pt idx="1083">
                  <c:v>1310.5</c:v>
                </c:pt>
                <c:pt idx="1084">
                  <c:v>1310.5</c:v>
                </c:pt>
                <c:pt idx="1085">
                  <c:v>1310.5</c:v>
                </c:pt>
                <c:pt idx="1086">
                  <c:v>1310.5</c:v>
                </c:pt>
                <c:pt idx="1087">
                  <c:v>1310.5</c:v>
                </c:pt>
                <c:pt idx="1088">
                  <c:v>1310.5</c:v>
                </c:pt>
                <c:pt idx="1089">
                  <c:v>1310.5</c:v>
                </c:pt>
                <c:pt idx="1090">
                  <c:v>1310.5</c:v>
                </c:pt>
                <c:pt idx="1091">
                  <c:v>1310.5</c:v>
                </c:pt>
                <c:pt idx="1092">
                  <c:v>1310.5</c:v>
                </c:pt>
                <c:pt idx="1093">
                  <c:v>1310.5</c:v>
                </c:pt>
                <c:pt idx="1094">
                  <c:v>1310.5</c:v>
                </c:pt>
                <c:pt idx="1095">
                  <c:v>1310.5</c:v>
                </c:pt>
                <c:pt idx="1096">
                  <c:v>1310.5</c:v>
                </c:pt>
                <c:pt idx="1097">
                  <c:v>1310.5</c:v>
                </c:pt>
                <c:pt idx="1098">
                  <c:v>1310.5</c:v>
                </c:pt>
                <c:pt idx="1099">
                  <c:v>1310.5</c:v>
                </c:pt>
                <c:pt idx="1100">
                  <c:v>1310.5</c:v>
                </c:pt>
                <c:pt idx="1101">
                  <c:v>1310.5</c:v>
                </c:pt>
                <c:pt idx="1102">
                  <c:v>1310.5</c:v>
                </c:pt>
                <c:pt idx="1103">
                  <c:v>1310.5</c:v>
                </c:pt>
                <c:pt idx="1104">
                  <c:v>1310.5</c:v>
                </c:pt>
                <c:pt idx="1105">
                  <c:v>291.5</c:v>
                </c:pt>
                <c:pt idx="1106">
                  <c:v>291.5</c:v>
                </c:pt>
                <c:pt idx="1107">
                  <c:v>1310.5</c:v>
                </c:pt>
                <c:pt idx="1108">
                  <c:v>1310.5</c:v>
                </c:pt>
                <c:pt idx="1109">
                  <c:v>1310.5</c:v>
                </c:pt>
                <c:pt idx="1110">
                  <c:v>1310.5</c:v>
                </c:pt>
                <c:pt idx="1111">
                  <c:v>1310.5</c:v>
                </c:pt>
                <c:pt idx="1112">
                  <c:v>1310.5</c:v>
                </c:pt>
                <c:pt idx="1113">
                  <c:v>16</c:v>
                </c:pt>
                <c:pt idx="1114">
                  <c:v>1310.5</c:v>
                </c:pt>
                <c:pt idx="1115">
                  <c:v>2296</c:v>
                </c:pt>
                <c:pt idx="1116">
                  <c:v>117</c:v>
                </c:pt>
                <c:pt idx="1117">
                  <c:v>1310.5</c:v>
                </c:pt>
                <c:pt idx="1118">
                  <c:v>1310.5</c:v>
                </c:pt>
                <c:pt idx="1119">
                  <c:v>36</c:v>
                </c:pt>
                <c:pt idx="1120">
                  <c:v>283.5</c:v>
                </c:pt>
                <c:pt idx="1121">
                  <c:v>1310.5</c:v>
                </c:pt>
                <c:pt idx="1122">
                  <c:v>1310.5</c:v>
                </c:pt>
                <c:pt idx="1123">
                  <c:v>1310.5</c:v>
                </c:pt>
                <c:pt idx="1124">
                  <c:v>24</c:v>
                </c:pt>
                <c:pt idx="1125">
                  <c:v>1310.5</c:v>
                </c:pt>
                <c:pt idx="1126">
                  <c:v>1310.5</c:v>
                </c:pt>
                <c:pt idx="1127">
                  <c:v>1310.5</c:v>
                </c:pt>
                <c:pt idx="1128">
                  <c:v>1310.5</c:v>
                </c:pt>
                <c:pt idx="1129">
                  <c:v>1310.5</c:v>
                </c:pt>
                <c:pt idx="1130">
                  <c:v>104</c:v>
                </c:pt>
                <c:pt idx="1131">
                  <c:v>1310.5</c:v>
                </c:pt>
                <c:pt idx="1132">
                  <c:v>1310.5</c:v>
                </c:pt>
                <c:pt idx="1133">
                  <c:v>1310.5</c:v>
                </c:pt>
                <c:pt idx="1134">
                  <c:v>1310.5</c:v>
                </c:pt>
                <c:pt idx="1135">
                  <c:v>1310.5</c:v>
                </c:pt>
                <c:pt idx="1136">
                  <c:v>1310.5</c:v>
                </c:pt>
                <c:pt idx="1137">
                  <c:v>1310.5</c:v>
                </c:pt>
                <c:pt idx="1138">
                  <c:v>1310.5</c:v>
                </c:pt>
                <c:pt idx="1139">
                  <c:v>1310.5</c:v>
                </c:pt>
                <c:pt idx="1140">
                  <c:v>69</c:v>
                </c:pt>
                <c:pt idx="1141">
                  <c:v>289</c:v>
                </c:pt>
                <c:pt idx="1142">
                  <c:v>1310.5</c:v>
                </c:pt>
                <c:pt idx="1143">
                  <c:v>1310.5</c:v>
                </c:pt>
                <c:pt idx="1144">
                  <c:v>1310.5</c:v>
                </c:pt>
                <c:pt idx="1145">
                  <c:v>1310.5</c:v>
                </c:pt>
                <c:pt idx="1146">
                  <c:v>1310.5</c:v>
                </c:pt>
                <c:pt idx="1147">
                  <c:v>1310.5</c:v>
                </c:pt>
                <c:pt idx="1148">
                  <c:v>1310.5</c:v>
                </c:pt>
                <c:pt idx="1149">
                  <c:v>1310.5</c:v>
                </c:pt>
                <c:pt idx="1150">
                  <c:v>1310.5</c:v>
                </c:pt>
                <c:pt idx="1151">
                  <c:v>2307</c:v>
                </c:pt>
                <c:pt idx="1152">
                  <c:v>2302</c:v>
                </c:pt>
                <c:pt idx="1153">
                  <c:v>95</c:v>
                </c:pt>
                <c:pt idx="1154">
                  <c:v>118</c:v>
                </c:pt>
                <c:pt idx="1155">
                  <c:v>1310.5</c:v>
                </c:pt>
                <c:pt idx="1156">
                  <c:v>1310.5</c:v>
                </c:pt>
                <c:pt idx="1157">
                  <c:v>1310.5</c:v>
                </c:pt>
                <c:pt idx="1158">
                  <c:v>1310.5</c:v>
                </c:pt>
                <c:pt idx="1159">
                  <c:v>1310.5</c:v>
                </c:pt>
                <c:pt idx="1160">
                  <c:v>1310.5</c:v>
                </c:pt>
                <c:pt idx="1161">
                  <c:v>1310.5</c:v>
                </c:pt>
                <c:pt idx="1162">
                  <c:v>1310.5</c:v>
                </c:pt>
                <c:pt idx="1163">
                  <c:v>1310.5</c:v>
                </c:pt>
                <c:pt idx="1164">
                  <c:v>1310.5</c:v>
                </c:pt>
                <c:pt idx="1165">
                  <c:v>1310.5</c:v>
                </c:pt>
                <c:pt idx="1166">
                  <c:v>310</c:v>
                </c:pt>
                <c:pt idx="1167">
                  <c:v>1310.5</c:v>
                </c:pt>
                <c:pt idx="1168">
                  <c:v>1310.5</c:v>
                </c:pt>
                <c:pt idx="1169">
                  <c:v>1310.5</c:v>
                </c:pt>
                <c:pt idx="1170">
                  <c:v>1310.5</c:v>
                </c:pt>
                <c:pt idx="1171">
                  <c:v>1310.5</c:v>
                </c:pt>
                <c:pt idx="1172">
                  <c:v>40.5</c:v>
                </c:pt>
                <c:pt idx="1173">
                  <c:v>157.5</c:v>
                </c:pt>
                <c:pt idx="1174">
                  <c:v>310</c:v>
                </c:pt>
                <c:pt idx="1175">
                  <c:v>188.5</c:v>
                </c:pt>
                <c:pt idx="1176">
                  <c:v>1310.5</c:v>
                </c:pt>
                <c:pt idx="1177">
                  <c:v>54</c:v>
                </c:pt>
                <c:pt idx="1178">
                  <c:v>1310.5</c:v>
                </c:pt>
                <c:pt idx="1179">
                  <c:v>1310.5</c:v>
                </c:pt>
                <c:pt idx="1180">
                  <c:v>1310.5</c:v>
                </c:pt>
                <c:pt idx="1181">
                  <c:v>1310.5</c:v>
                </c:pt>
                <c:pt idx="1182">
                  <c:v>1310.5</c:v>
                </c:pt>
                <c:pt idx="1183">
                  <c:v>72.5</c:v>
                </c:pt>
                <c:pt idx="1184">
                  <c:v>1310.5</c:v>
                </c:pt>
                <c:pt idx="1185">
                  <c:v>3.5</c:v>
                </c:pt>
                <c:pt idx="1186">
                  <c:v>170.5</c:v>
                </c:pt>
                <c:pt idx="1187">
                  <c:v>1310.5</c:v>
                </c:pt>
                <c:pt idx="1188">
                  <c:v>1310.5</c:v>
                </c:pt>
                <c:pt idx="1189">
                  <c:v>1310.5</c:v>
                </c:pt>
                <c:pt idx="1190">
                  <c:v>1310.5</c:v>
                </c:pt>
                <c:pt idx="1191">
                  <c:v>1310.5</c:v>
                </c:pt>
                <c:pt idx="1192">
                  <c:v>1310.5</c:v>
                </c:pt>
                <c:pt idx="1193">
                  <c:v>1310.5</c:v>
                </c:pt>
                <c:pt idx="1194">
                  <c:v>1310.5</c:v>
                </c:pt>
                <c:pt idx="1195">
                  <c:v>1310.5</c:v>
                </c:pt>
                <c:pt idx="1196">
                  <c:v>1310.5</c:v>
                </c:pt>
                <c:pt idx="1197">
                  <c:v>1310.5</c:v>
                </c:pt>
                <c:pt idx="1198">
                  <c:v>1310.5</c:v>
                </c:pt>
                <c:pt idx="1199">
                  <c:v>1310.5</c:v>
                </c:pt>
                <c:pt idx="1200">
                  <c:v>1310.5</c:v>
                </c:pt>
                <c:pt idx="1201">
                  <c:v>1310.5</c:v>
                </c:pt>
                <c:pt idx="1202">
                  <c:v>1310.5</c:v>
                </c:pt>
                <c:pt idx="1203">
                  <c:v>1310.5</c:v>
                </c:pt>
                <c:pt idx="1204">
                  <c:v>1310.5</c:v>
                </c:pt>
                <c:pt idx="1205">
                  <c:v>1310.5</c:v>
                </c:pt>
                <c:pt idx="1206">
                  <c:v>1310.5</c:v>
                </c:pt>
                <c:pt idx="1207">
                  <c:v>1310.5</c:v>
                </c:pt>
                <c:pt idx="1208">
                  <c:v>1310.5</c:v>
                </c:pt>
                <c:pt idx="1209">
                  <c:v>1310.5</c:v>
                </c:pt>
                <c:pt idx="1210">
                  <c:v>1310.5</c:v>
                </c:pt>
                <c:pt idx="1211">
                  <c:v>1310.5</c:v>
                </c:pt>
                <c:pt idx="1212">
                  <c:v>1310.5</c:v>
                </c:pt>
                <c:pt idx="1213">
                  <c:v>1310.5</c:v>
                </c:pt>
                <c:pt idx="1214">
                  <c:v>1310.5</c:v>
                </c:pt>
                <c:pt idx="1215">
                  <c:v>1310.5</c:v>
                </c:pt>
                <c:pt idx="1216">
                  <c:v>1310.5</c:v>
                </c:pt>
                <c:pt idx="1217">
                  <c:v>1310.5</c:v>
                </c:pt>
                <c:pt idx="1218">
                  <c:v>1310.5</c:v>
                </c:pt>
                <c:pt idx="1219">
                  <c:v>1310.5</c:v>
                </c:pt>
                <c:pt idx="1220">
                  <c:v>1310.5</c:v>
                </c:pt>
                <c:pt idx="1221">
                  <c:v>1310.5</c:v>
                </c:pt>
                <c:pt idx="1222">
                  <c:v>1310.5</c:v>
                </c:pt>
                <c:pt idx="1223">
                  <c:v>1310.5</c:v>
                </c:pt>
                <c:pt idx="1224">
                  <c:v>1310.5</c:v>
                </c:pt>
                <c:pt idx="1225">
                  <c:v>1310.5</c:v>
                </c:pt>
                <c:pt idx="1226">
                  <c:v>1310.5</c:v>
                </c:pt>
                <c:pt idx="1227">
                  <c:v>1310.5</c:v>
                </c:pt>
                <c:pt idx="1228">
                  <c:v>1310.5</c:v>
                </c:pt>
                <c:pt idx="1229">
                  <c:v>1310.5</c:v>
                </c:pt>
                <c:pt idx="1230">
                  <c:v>1310.5</c:v>
                </c:pt>
                <c:pt idx="1231">
                  <c:v>1310.5</c:v>
                </c:pt>
                <c:pt idx="1232">
                  <c:v>1310.5</c:v>
                </c:pt>
                <c:pt idx="1233">
                  <c:v>1310.5</c:v>
                </c:pt>
                <c:pt idx="1234">
                  <c:v>1310.5</c:v>
                </c:pt>
                <c:pt idx="1235">
                  <c:v>1310.5</c:v>
                </c:pt>
                <c:pt idx="1236">
                  <c:v>1310.5</c:v>
                </c:pt>
                <c:pt idx="1237">
                  <c:v>1310.5</c:v>
                </c:pt>
                <c:pt idx="1238">
                  <c:v>1310.5</c:v>
                </c:pt>
                <c:pt idx="1239">
                  <c:v>1310.5</c:v>
                </c:pt>
                <c:pt idx="1240">
                  <c:v>1310.5</c:v>
                </c:pt>
                <c:pt idx="1241">
                  <c:v>1310.5</c:v>
                </c:pt>
                <c:pt idx="1242">
                  <c:v>1310.5</c:v>
                </c:pt>
                <c:pt idx="1243">
                  <c:v>1310.5</c:v>
                </c:pt>
                <c:pt idx="1244">
                  <c:v>258</c:v>
                </c:pt>
                <c:pt idx="1245">
                  <c:v>1310.5</c:v>
                </c:pt>
                <c:pt idx="1246">
                  <c:v>1310.5</c:v>
                </c:pt>
                <c:pt idx="1247">
                  <c:v>38</c:v>
                </c:pt>
                <c:pt idx="1248">
                  <c:v>2304.5</c:v>
                </c:pt>
                <c:pt idx="1249">
                  <c:v>1310.5</c:v>
                </c:pt>
                <c:pt idx="1250">
                  <c:v>198</c:v>
                </c:pt>
                <c:pt idx="1251">
                  <c:v>1310.5</c:v>
                </c:pt>
                <c:pt idx="1252">
                  <c:v>1310.5</c:v>
                </c:pt>
                <c:pt idx="1253">
                  <c:v>1310.5</c:v>
                </c:pt>
                <c:pt idx="1254">
                  <c:v>1310.5</c:v>
                </c:pt>
                <c:pt idx="1255">
                  <c:v>1310.5</c:v>
                </c:pt>
                <c:pt idx="1256">
                  <c:v>1310.5</c:v>
                </c:pt>
                <c:pt idx="1257">
                  <c:v>13</c:v>
                </c:pt>
                <c:pt idx="1258">
                  <c:v>1310.5</c:v>
                </c:pt>
                <c:pt idx="1259">
                  <c:v>1310.5</c:v>
                </c:pt>
                <c:pt idx="1260">
                  <c:v>1310.5</c:v>
                </c:pt>
                <c:pt idx="1261">
                  <c:v>51</c:v>
                </c:pt>
                <c:pt idx="1262">
                  <c:v>1310.5</c:v>
                </c:pt>
                <c:pt idx="1263">
                  <c:v>1310.5</c:v>
                </c:pt>
                <c:pt idx="1264">
                  <c:v>1310.5</c:v>
                </c:pt>
                <c:pt idx="1265">
                  <c:v>1310.5</c:v>
                </c:pt>
                <c:pt idx="1266">
                  <c:v>188.5</c:v>
                </c:pt>
                <c:pt idx="1267">
                  <c:v>1310.5</c:v>
                </c:pt>
                <c:pt idx="1268">
                  <c:v>142</c:v>
                </c:pt>
                <c:pt idx="1269">
                  <c:v>310</c:v>
                </c:pt>
                <c:pt idx="1270">
                  <c:v>32</c:v>
                </c:pt>
                <c:pt idx="1271">
                  <c:v>1310.5</c:v>
                </c:pt>
                <c:pt idx="1272">
                  <c:v>1310.5</c:v>
                </c:pt>
                <c:pt idx="1273">
                  <c:v>170.5</c:v>
                </c:pt>
                <c:pt idx="1274">
                  <c:v>1310.5</c:v>
                </c:pt>
                <c:pt idx="1275">
                  <c:v>75</c:v>
                </c:pt>
                <c:pt idx="1276">
                  <c:v>65</c:v>
                </c:pt>
                <c:pt idx="1277">
                  <c:v>1310.5</c:v>
                </c:pt>
                <c:pt idx="1278">
                  <c:v>1310.5</c:v>
                </c:pt>
                <c:pt idx="1279">
                  <c:v>1310.5</c:v>
                </c:pt>
                <c:pt idx="1280">
                  <c:v>1310.5</c:v>
                </c:pt>
                <c:pt idx="1281">
                  <c:v>1310.5</c:v>
                </c:pt>
                <c:pt idx="1282">
                  <c:v>1310.5</c:v>
                </c:pt>
                <c:pt idx="1283">
                  <c:v>1310.5</c:v>
                </c:pt>
                <c:pt idx="1284">
                  <c:v>1310.5</c:v>
                </c:pt>
                <c:pt idx="1285">
                  <c:v>1310.5</c:v>
                </c:pt>
                <c:pt idx="1286">
                  <c:v>1310.5</c:v>
                </c:pt>
                <c:pt idx="1287">
                  <c:v>310</c:v>
                </c:pt>
                <c:pt idx="1288">
                  <c:v>1310.5</c:v>
                </c:pt>
                <c:pt idx="1289">
                  <c:v>1310.5</c:v>
                </c:pt>
                <c:pt idx="1290">
                  <c:v>1310.5</c:v>
                </c:pt>
                <c:pt idx="1291">
                  <c:v>1310.5</c:v>
                </c:pt>
                <c:pt idx="1292">
                  <c:v>1310.5</c:v>
                </c:pt>
                <c:pt idx="1293">
                  <c:v>49</c:v>
                </c:pt>
                <c:pt idx="1294">
                  <c:v>1310.5</c:v>
                </c:pt>
                <c:pt idx="1295">
                  <c:v>1310.5</c:v>
                </c:pt>
                <c:pt idx="1296">
                  <c:v>1310.5</c:v>
                </c:pt>
                <c:pt idx="1297">
                  <c:v>1310.5</c:v>
                </c:pt>
                <c:pt idx="1298">
                  <c:v>139</c:v>
                </c:pt>
                <c:pt idx="1299">
                  <c:v>1310.5</c:v>
                </c:pt>
                <c:pt idx="1300">
                  <c:v>310</c:v>
                </c:pt>
                <c:pt idx="1301">
                  <c:v>1310.5</c:v>
                </c:pt>
                <c:pt idx="1302">
                  <c:v>42</c:v>
                </c:pt>
                <c:pt idx="1303">
                  <c:v>1310.5</c:v>
                </c:pt>
                <c:pt idx="1304">
                  <c:v>1310.5</c:v>
                </c:pt>
                <c:pt idx="1305">
                  <c:v>1310.5</c:v>
                </c:pt>
                <c:pt idx="1306">
                  <c:v>198</c:v>
                </c:pt>
                <c:pt idx="1307">
                  <c:v>54</c:v>
                </c:pt>
                <c:pt idx="1308">
                  <c:v>1310.5</c:v>
                </c:pt>
                <c:pt idx="1309">
                  <c:v>1310.5</c:v>
                </c:pt>
                <c:pt idx="1310">
                  <c:v>1310.5</c:v>
                </c:pt>
                <c:pt idx="1311">
                  <c:v>1310.5</c:v>
                </c:pt>
                <c:pt idx="1312">
                  <c:v>1310.5</c:v>
                </c:pt>
                <c:pt idx="1313">
                  <c:v>1310.5</c:v>
                </c:pt>
                <c:pt idx="1314">
                  <c:v>1310.5</c:v>
                </c:pt>
                <c:pt idx="1315">
                  <c:v>1310.5</c:v>
                </c:pt>
                <c:pt idx="1316">
                  <c:v>1310.5</c:v>
                </c:pt>
                <c:pt idx="1317">
                  <c:v>1310.5</c:v>
                </c:pt>
                <c:pt idx="1318">
                  <c:v>1310.5</c:v>
                </c:pt>
                <c:pt idx="1319">
                  <c:v>1310.5</c:v>
                </c:pt>
                <c:pt idx="1320">
                  <c:v>217</c:v>
                </c:pt>
                <c:pt idx="1321">
                  <c:v>1310.5</c:v>
                </c:pt>
                <c:pt idx="1322">
                  <c:v>1310.5</c:v>
                </c:pt>
                <c:pt idx="1323">
                  <c:v>1310.5</c:v>
                </c:pt>
                <c:pt idx="1324">
                  <c:v>1310.5</c:v>
                </c:pt>
                <c:pt idx="1325">
                  <c:v>1310.5</c:v>
                </c:pt>
                <c:pt idx="1326">
                  <c:v>1310.5</c:v>
                </c:pt>
                <c:pt idx="1327">
                  <c:v>1310.5</c:v>
                </c:pt>
                <c:pt idx="1328">
                  <c:v>1310.5</c:v>
                </c:pt>
                <c:pt idx="1329">
                  <c:v>1310.5</c:v>
                </c:pt>
                <c:pt idx="1330">
                  <c:v>1310.5</c:v>
                </c:pt>
                <c:pt idx="1331">
                  <c:v>1310.5</c:v>
                </c:pt>
                <c:pt idx="1332">
                  <c:v>1310.5</c:v>
                </c:pt>
                <c:pt idx="1333">
                  <c:v>1310.5</c:v>
                </c:pt>
                <c:pt idx="1334">
                  <c:v>1310.5</c:v>
                </c:pt>
                <c:pt idx="1335">
                  <c:v>1310.5</c:v>
                </c:pt>
                <c:pt idx="1336">
                  <c:v>1310.5</c:v>
                </c:pt>
                <c:pt idx="1337">
                  <c:v>1310.5</c:v>
                </c:pt>
                <c:pt idx="1338">
                  <c:v>1310.5</c:v>
                </c:pt>
                <c:pt idx="1339">
                  <c:v>1310.5</c:v>
                </c:pt>
                <c:pt idx="1340">
                  <c:v>1310.5</c:v>
                </c:pt>
                <c:pt idx="1341">
                  <c:v>1310.5</c:v>
                </c:pt>
                <c:pt idx="1342">
                  <c:v>1310.5</c:v>
                </c:pt>
                <c:pt idx="1343">
                  <c:v>21.5</c:v>
                </c:pt>
                <c:pt idx="1344">
                  <c:v>1310.5</c:v>
                </c:pt>
                <c:pt idx="1345">
                  <c:v>1310.5</c:v>
                </c:pt>
                <c:pt idx="1346">
                  <c:v>1310.5</c:v>
                </c:pt>
                <c:pt idx="1347">
                  <c:v>1310.5</c:v>
                </c:pt>
                <c:pt idx="1348">
                  <c:v>19</c:v>
                </c:pt>
                <c:pt idx="1349">
                  <c:v>1310.5</c:v>
                </c:pt>
                <c:pt idx="1350">
                  <c:v>1310.5</c:v>
                </c:pt>
                <c:pt idx="1351">
                  <c:v>1310.5</c:v>
                </c:pt>
                <c:pt idx="1352">
                  <c:v>1310.5</c:v>
                </c:pt>
                <c:pt idx="1353">
                  <c:v>1310.5</c:v>
                </c:pt>
                <c:pt idx="1354">
                  <c:v>1310.5</c:v>
                </c:pt>
                <c:pt idx="1355">
                  <c:v>1310.5</c:v>
                </c:pt>
                <c:pt idx="1356">
                  <c:v>1310.5</c:v>
                </c:pt>
                <c:pt idx="1357">
                  <c:v>1310.5</c:v>
                </c:pt>
                <c:pt idx="1358">
                  <c:v>1310.5</c:v>
                </c:pt>
                <c:pt idx="1359">
                  <c:v>1310.5</c:v>
                </c:pt>
                <c:pt idx="1360">
                  <c:v>1310.5</c:v>
                </c:pt>
                <c:pt idx="1361">
                  <c:v>1310.5</c:v>
                </c:pt>
                <c:pt idx="1362">
                  <c:v>1310.5</c:v>
                </c:pt>
                <c:pt idx="1363">
                  <c:v>1310.5</c:v>
                </c:pt>
                <c:pt idx="1364">
                  <c:v>1310.5</c:v>
                </c:pt>
                <c:pt idx="1365">
                  <c:v>1310.5</c:v>
                </c:pt>
                <c:pt idx="1366">
                  <c:v>1310.5</c:v>
                </c:pt>
                <c:pt idx="1367">
                  <c:v>1310.5</c:v>
                </c:pt>
                <c:pt idx="1368">
                  <c:v>1310.5</c:v>
                </c:pt>
                <c:pt idx="1369">
                  <c:v>1310.5</c:v>
                </c:pt>
                <c:pt idx="1370">
                  <c:v>1310.5</c:v>
                </c:pt>
                <c:pt idx="1371">
                  <c:v>1310.5</c:v>
                </c:pt>
                <c:pt idx="1372">
                  <c:v>1310.5</c:v>
                </c:pt>
                <c:pt idx="1373">
                  <c:v>1310.5</c:v>
                </c:pt>
                <c:pt idx="1374">
                  <c:v>1310.5</c:v>
                </c:pt>
                <c:pt idx="1375">
                  <c:v>1310.5</c:v>
                </c:pt>
                <c:pt idx="1376">
                  <c:v>1310.5</c:v>
                </c:pt>
                <c:pt idx="1377">
                  <c:v>1310.5</c:v>
                </c:pt>
                <c:pt idx="1378">
                  <c:v>1310.5</c:v>
                </c:pt>
                <c:pt idx="1379">
                  <c:v>1310.5</c:v>
                </c:pt>
                <c:pt idx="1380">
                  <c:v>1310.5</c:v>
                </c:pt>
                <c:pt idx="1381">
                  <c:v>1310.5</c:v>
                </c:pt>
                <c:pt idx="1382">
                  <c:v>1310.5</c:v>
                </c:pt>
                <c:pt idx="1383">
                  <c:v>1310.5</c:v>
                </c:pt>
                <c:pt idx="1384">
                  <c:v>1310.5</c:v>
                </c:pt>
                <c:pt idx="1385">
                  <c:v>1310.5</c:v>
                </c:pt>
                <c:pt idx="1386">
                  <c:v>1310.5</c:v>
                </c:pt>
                <c:pt idx="1387">
                  <c:v>1310.5</c:v>
                </c:pt>
                <c:pt idx="1388">
                  <c:v>1310.5</c:v>
                </c:pt>
                <c:pt idx="1389">
                  <c:v>1310.5</c:v>
                </c:pt>
                <c:pt idx="1390">
                  <c:v>1310.5</c:v>
                </c:pt>
                <c:pt idx="1391">
                  <c:v>1310.5</c:v>
                </c:pt>
                <c:pt idx="1392">
                  <c:v>1310.5</c:v>
                </c:pt>
                <c:pt idx="1393">
                  <c:v>1310.5</c:v>
                </c:pt>
                <c:pt idx="1394">
                  <c:v>1310.5</c:v>
                </c:pt>
                <c:pt idx="1395">
                  <c:v>1310.5</c:v>
                </c:pt>
                <c:pt idx="1396">
                  <c:v>1310.5</c:v>
                </c:pt>
                <c:pt idx="1397">
                  <c:v>1310.5</c:v>
                </c:pt>
                <c:pt idx="1398">
                  <c:v>1310.5</c:v>
                </c:pt>
                <c:pt idx="1399">
                  <c:v>124</c:v>
                </c:pt>
                <c:pt idx="1400">
                  <c:v>124</c:v>
                </c:pt>
                <c:pt idx="1401">
                  <c:v>124</c:v>
                </c:pt>
                <c:pt idx="1402">
                  <c:v>1310.5</c:v>
                </c:pt>
                <c:pt idx="1403">
                  <c:v>35</c:v>
                </c:pt>
                <c:pt idx="1404">
                  <c:v>1310.5</c:v>
                </c:pt>
                <c:pt idx="1405">
                  <c:v>1310.5</c:v>
                </c:pt>
                <c:pt idx="1406">
                  <c:v>1310.5</c:v>
                </c:pt>
                <c:pt idx="1407">
                  <c:v>1310.5</c:v>
                </c:pt>
                <c:pt idx="1408">
                  <c:v>310</c:v>
                </c:pt>
                <c:pt idx="1409">
                  <c:v>1310.5</c:v>
                </c:pt>
                <c:pt idx="1410">
                  <c:v>1310.5</c:v>
                </c:pt>
                <c:pt idx="1411">
                  <c:v>1310.5</c:v>
                </c:pt>
                <c:pt idx="1412">
                  <c:v>1310.5</c:v>
                </c:pt>
                <c:pt idx="1413">
                  <c:v>1310.5</c:v>
                </c:pt>
                <c:pt idx="1414">
                  <c:v>1310.5</c:v>
                </c:pt>
                <c:pt idx="1415">
                  <c:v>1310.5</c:v>
                </c:pt>
                <c:pt idx="1416">
                  <c:v>1310.5</c:v>
                </c:pt>
                <c:pt idx="1417">
                  <c:v>1310.5</c:v>
                </c:pt>
                <c:pt idx="1418">
                  <c:v>1310.5</c:v>
                </c:pt>
                <c:pt idx="1419">
                  <c:v>1310.5</c:v>
                </c:pt>
                <c:pt idx="1420">
                  <c:v>1310.5</c:v>
                </c:pt>
                <c:pt idx="1421">
                  <c:v>1310.5</c:v>
                </c:pt>
                <c:pt idx="1422">
                  <c:v>1310.5</c:v>
                </c:pt>
                <c:pt idx="1423">
                  <c:v>1310.5</c:v>
                </c:pt>
                <c:pt idx="1424">
                  <c:v>13</c:v>
                </c:pt>
                <c:pt idx="1425">
                  <c:v>1310.5</c:v>
                </c:pt>
                <c:pt idx="1426">
                  <c:v>1310.5</c:v>
                </c:pt>
                <c:pt idx="1427">
                  <c:v>1310.5</c:v>
                </c:pt>
                <c:pt idx="1428">
                  <c:v>1310.5</c:v>
                </c:pt>
                <c:pt idx="1429">
                  <c:v>1310.5</c:v>
                </c:pt>
                <c:pt idx="1430">
                  <c:v>1310.5</c:v>
                </c:pt>
                <c:pt idx="1431">
                  <c:v>124</c:v>
                </c:pt>
                <c:pt idx="1432">
                  <c:v>1310.5</c:v>
                </c:pt>
                <c:pt idx="1433">
                  <c:v>209</c:v>
                </c:pt>
                <c:pt idx="1434">
                  <c:v>209</c:v>
                </c:pt>
                <c:pt idx="1435">
                  <c:v>1310.5</c:v>
                </c:pt>
                <c:pt idx="1436">
                  <c:v>1310.5</c:v>
                </c:pt>
                <c:pt idx="1437">
                  <c:v>1310.5</c:v>
                </c:pt>
                <c:pt idx="1438">
                  <c:v>1310.5</c:v>
                </c:pt>
                <c:pt idx="1439">
                  <c:v>1310.5</c:v>
                </c:pt>
                <c:pt idx="1440">
                  <c:v>177.5</c:v>
                </c:pt>
                <c:pt idx="1441">
                  <c:v>177.5</c:v>
                </c:pt>
                <c:pt idx="1442">
                  <c:v>1310.5</c:v>
                </c:pt>
                <c:pt idx="1443">
                  <c:v>1310.5</c:v>
                </c:pt>
                <c:pt idx="1444">
                  <c:v>1310.5</c:v>
                </c:pt>
                <c:pt idx="1445">
                  <c:v>1310.5</c:v>
                </c:pt>
                <c:pt idx="1446">
                  <c:v>1310.5</c:v>
                </c:pt>
                <c:pt idx="1447">
                  <c:v>1310.5</c:v>
                </c:pt>
                <c:pt idx="1448">
                  <c:v>1310.5</c:v>
                </c:pt>
                <c:pt idx="1449">
                  <c:v>1310.5</c:v>
                </c:pt>
                <c:pt idx="1450">
                  <c:v>90</c:v>
                </c:pt>
                <c:pt idx="1451">
                  <c:v>310</c:v>
                </c:pt>
                <c:pt idx="1452">
                  <c:v>223</c:v>
                </c:pt>
                <c:pt idx="1453">
                  <c:v>96.5</c:v>
                </c:pt>
                <c:pt idx="1454">
                  <c:v>209</c:v>
                </c:pt>
                <c:pt idx="1455">
                  <c:v>47</c:v>
                </c:pt>
                <c:pt idx="1456">
                  <c:v>1310.5</c:v>
                </c:pt>
                <c:pt idx="1457">
                  <c:v>1310.5</c:v>
                </c:pt>
                <c:pt idx="1458">
                  <c:v>1310.5</c:v>
                </c:pt>
                <c:pt idx="1459">
                  <c:v>1310.5</c:v>
                </c:pt>
                <c:pt idx="1460">
                  <c:v>29</c:v>
                </c:pt>
                <c:pt idx="1461">
                  <c:v>1310.5</c:v>
                </c:pt>
                <c:pt idx="1462">
                  <c:v>1310.5</c:v>
                </c:pt>
                <c:pt idx="1463">
                  <c:v>1310.5</c:v>
                </c:pt>
                <c:pt idx="1464">
                  <c:v>1310.5</c:v>
                </c:pt>
                <c:pt idx="1465">
                  <c:v>1310.5</c:v>
                </c:pt>
                <c:pt idx="1466">
                  <c:v>1310.5</c:v>
                </c:pt>
                <c:pt idx="1467">
                  <c:v>1310.5</c:v>
                </c:pt>
                <c:pt idx="1468">
                  <c:v>1310.5</c:v>
                </c:pt>
                <c:pt idx="1469">
                  <c:v>1310.5</c:v>
                </c:pt>
                <c:pt idx="1470">
                  <c:v>1310.5</c:v>
                </c:pt>
                <c:pt idx="1471">
                  <c:v>1310.5</c:v>
                </c:pt>
                <c:pt idx="1472">
                  <c:v>1310.5</c:v>
                </c:pt>
                <c:pt idx="1473">
                  <c:v>1310.5</c:v>
                </c:pt>
                <c:pt idx="1474">
                  <c:v>1310.5</c:v>
                </c:pt>
                <c:pt idx="1475">
                  <c:v>1310.5</c:v>
                </c:pt>
                <c:pt idx="1476">
                  <c:v>1310.5</c:v>
                </c:pt>
                <c:pt idx="1477">
                  <c:v>1310.5</c:v>
                </c:pt>
                <c:pt idx="1478">
                  <c:v>1310.5</c:v>
                </c:pt>
                <c:pt idx="1479">
                  <c:v>1310.5</c:v>
                </c:pt>
                <c:pt idx="1480">
                  <c:v>1310.5</c:v>
                </c:pt>
                <c:pt idx="1481">
                  <c:v>1310.5</c:v>
                </c:pt>
                <c:pt idx="1482">
                  <c:v>1310.5</c:v>
                </c:pt>
                <c:pt idx="1483">
                  <c:v>1310.5</c:v>
                </c:pt>
                <c:pt idx="1484">
                  <c:v>1310.5</c:v>
                </c:pt>
                <c:pt idx="1485">
                  <c:v>1310.5</c:v>
                </c:pt>
                <c:pt idx="1486">
                  <c:v>1310.5</c:v>
                </c:pt>
                <c:pt idx="1487">
                  <c:v>1310.5</c:v>
                </c:pt>
                <c:pt idx="1488">
                  <c:v>1310.5</c:v>
                </c:pt>
                <c:pt idx="1489">
                  <c:v>1310.5</c:v>
                </c:pt>
                <c:pt idx="1490">
                  <c:v>310</c:v>
                </c:pt>
                <c:pt idx="1491">
                  <c:v>310</c:v>
                </c:pt>
                <c:pt idx="1492">
                  <c:v>291.5</c:v>
                </c:pt>
                <c:pt idx="1493">
                  <c:v>1310.5</c:v>
                </c:pt>
                <c:pt idx="1494">
                  <c:v>1310.5</c:v>
                </c:pt>
                <c:pt idx="1495">
                  <c:v>1310.5</c:v>
                </c:pt>
                <c:pt idx="1496">
                  <c:v>1310.5</c:v>
                </c:pt>
                <c:pt idx="1497">
                  <c:v>209</c:v>
                </c:pt>
                <c:pt idx="1498">
                  <c:v>209</c:v>
                </c:pt>
                <c:pt idx="1499">
                  <c:v>99.5</c:v>
                </c:pt>
                <c:pt idx="1500">
                  <c:v>146</c:v>
                </c:pt>
                <c:pt idx="1501">
                  <c:v>1310.5</c:v>
                </c:pt>
                <c:pt idx="1502">
                  <c:v>1310.5</c:v>
                </c:pt>
                <c:pt idx="1503">
                  <c:v>146</c:v>
                </c:pt>
                <c:pt idx="1504">
                  <c:v>1310.5</c:v>
                </c:pt>
                <c:pt idx="1505">
                  <c:v>1310.5</c:v>
                </c:pt>
                <c:pt idx="1506">
                  <c:v>1310.5</c:v>
                </c:pt>
                <c:pt idx="1507">
                  <c:v>1310.5</c:v>
                </c:pt>
                <c:pt idx="1508">
                  <c:v>137.5</c:v>
                </c:pt>
                <c:pt idx="1509">
                  <c:v>198</c:v>
                </c:pt>
                <c:pt idx="1510">
                  <c:v>1310.5</c:v>
                </c:pt>
                <c:pt idx="1511">
                  <c:v>1310.5</c:v>
                </c:pt>
                <c:pt idx="1512">
                  <c:v>1310.5</c:v>
                </c:pt>
                <c:pt idx="1513">
                  <c:v>1310.5</c:v>
                </c:pt>
                <c:pt idx="1514">
                  <c:v>1310.5</c:v>
                </c:pt>
                <c:pt idx="1515">
                  <c:v>1310.5</c:v>
                </c:pt>
                <c:pt idx="1516">
                  <c:v>1310.5</c:v>
                </c:pt>
                <c:pt idx="1517">
                  <c:v>1310.5</c:v>
                </c:pt>
                <c:pt idx="1518">
                  <c:v>1310.5</c:v>
                </c:pt>
                <c:pt idx="1519">
                  <c:v>1310.5</c:v>
                </c:pt>
                <c:pt idx="1520">
                  <c:v>1310.5</c:v>
                </c:pt>
                <c:pt idx="1521">
                  <c:v>1310.5</c:v>
                </c:pt>
                <c:pt idx="1522">
                  <c:v>1310.5</c:v>
                </c:pt>
                <c:pt idx="1523">
                  <c:v>217</c:v>
                </c:pt>
                <c:pt idx="1524">
                  <c:v>1310.5</c:v>
                </c:pt>
                <c:pt idx="1525">
                  <c:v>1310.5</c:v>
                </c:pt>
                <c:pt idx="1526">
                  <c:v>1310.5</c:v>
                </c:pt>
                <c:pt idx="1527">
                  <c:v>1310.5</c:v>
                </c:pt>
                <c:pt idx="1528">
                  <c:v>1310.5</c:v>
                </c:pt>
                <c:pt idx="1529">
                  <c:v>1310.5</c:v>
                </c:pt>
                <c:pt idx="1530">
                  <c:v>113</c:v>
                </c:pt>
                <c:pt idx="1531">
                  <c:v>113</c:v>
                </c:pt>
                <c:pt idx="1532">
                  <c:v>113</c:v>
                </c:pt>
                <c:pt idx="1533">
                  <c:v>113</c:v>
                </c:pt>
                <c:pt idx="1534">
                  <c:v>1310.5</c:v>
                </c:pt>
                <c:pt idx="1535">
                  <c:v>1310.5</c:v>
                </c:pt>
                <c:pt idx="1536">
                  <c:v>1310.5</c:v>
                </c:pt>
                <c:pt idx="1537">
                  <c:v>1310.5</c:v>
                </c:pt>
                <c:pt idx="1538">
                  <c:v>1310.5</c:v>
                </c:pt>
                <c:pt idx="1539">
                  <c:v>1310.5</c:v>
                </c:pt>
                <c:pt idx="1540">
                  <c:v>80</c:v>
                </c:pt>
                <c:pt idx="1541">
                  <c:v>146</c:v>
                </c:pt>
                <c:pt idx="1542">
                  <c:v>1310.5</c:v>
                </c:pt>
                <c:pt idx="1543">
                  <c:v>1310.5</c:v>
                </c:pt>
                <c:pt idx="1544">
                  <c:v>85.5</c:v>
                </c:pt>
                <c:pt idx="1545">
                  <c:v>104</c:v>
                </c:pt>
                <c:pt idx="1546">
                  <c:v>1310.5</c:v>
                </c:pt>
                <c:pt idx="1547">
                  <c:v>1310.5</c:v>
                </c:pt>
                <c:pt idx="1548">
                  <c:v>1310.5</c:v>
                </c:pt>
                <c:pt idx="1549">
                  <c:v>1310.5</c:v>
                </c:pt>
                <c:pt idx="1550">
                  <c:v>2296</c:v>
                </c:pt>
                <c:pt idx="1551">
                  <c:v>1310.5</c:v>
                </c:pt>
                <c:pt idx="1552">
                  <c:v>310</c:v>
                </c:pt>
                <c:pt idx="1553">
                  <c:v>1310.5</c:v>
                </c:pt>
                <c:pt idx="1554">
                  <c:v>1310.5</c:v>
                </c:pt>
                <c:pt idx="1555">
                  <c:v>1310.5</c:v>
                </c:pt>
                <c:pt idx="1556">
                  <c:v>1310.5</c:v>
                </c:pt>
                <c:pt idx="1557">
                  <c:v>1310.5</c:v>
                </c:pt>
                <c:pt idx="1558">
                  <c:v>1310.5</c:v>
                </c:pt>
                <c:pt idx="1559">
                  <c:v>1310.5</c:v>
                </c:pt>
                <c:pt idx="1560">
                  <c:v>1310.5</c:v>
                </c:pt>
                <c:pt idx="1561">
                  <c:v>113</c:v>
                </c:pt>
                <c:pt idx="1562">
                  <c:v>1310.5</c:v>
                </c:pt>
                <c:pt idx="1563">
                  <c:v>1310.5</c:v>
                </c:pt>
                <c:pt idx="1564">
                  <c:v>1310.5</c:v>
                </c:pt>
                <c:pt idx="1565">
                  <c:v>1310.5</c:v>
                </c:pt>
                <c:pt idx="1566">
                  <c:v>310</c:v>
                </c:pt>
                <c:pt idx="1567">
                  <c:v>1310.5</c:v>
                </c:pt>
                <c:pt idx="1568">
                  <c:v>1310.5</c:v>
                </c:pt>
                <c:pt idx="1569">
                  <c:v>1310.5</c:v>
                </c:pt>
                <c:pt idx="1570">
                  <c:v>1310.5</c:v>
                </c:pt>
                <c:pt idx="1571">
                  <c:v>1310.5</c:v>
                </c:pt>
                <c:pt idx="1572">
                  <c:v>1310.5</c:v>
                </c:pt>
                <c:pt idx="1573">
                  <c:v>1310.5</c:v>
                </c:pt>
                <c:pt idx="1574">
                  <c:v>243.5</c:v>
                </c:pt>
                <c:pt idx="1575">
                  <c:v>243.5</c:v>
                </c:pt>
                <c:pt idx="1576">
                  <c:v>1310.5</c:v>
                </c:pt>
                <c:pt idx="1577">
                  <c:v>1310.5</c:v>
                </c:pt>
                <c:pt idx="1578">
                  <c:v>1310.5</c:v>
                </c:pt>
                <c:pt idx="1579">
                  <c:v>1310.5</c:v>
                </c:pt>
                <c:pt idx="1580">
                  <c:v>1310.5</c:v>
                </c:pt>
                <c:pt idx="1581">
                  <c:v>1310.5</c:v>
                </c:pt>
                <c:pt idx="1582">
                  <c:v>1310.5</c:v>
                </c:pt>
                <c:pt idx="1583">
                  <c:v>1310.5</c:v>
                </c:pt>
                <c:pt idx="1584">
                  <c:v>1310.5</c:v>
                </c:pt>
                <c:pt idx="1585">
                  <c:v>1310.5</c:v>
                </c:pt>
                <c:pt idx="1586">
                  <c:v>1310.5</c:v>
                </c:pt>
                <c:pt idx="1587">
                  <c:v>1310.5</c:v>
                </c:pt>
                <c:pt idx="1588">
                  <c:v>1310.5</c:v>
                </c:pt>
                <c:pt idx="1589">
                  <c:v>1310.5</c:v>
                </c:pt>
                <c:pt idx="1590">
                  <c:v>1310.5</c:v>
                </c:pt>
                <c:pt idx="1591">
                  <c:v>261.5</c:v>
                </c:pt>
                <c:pt idx="1592">
                  <c:v>1310.5</c:v>
                </c:pt>
                <c:pt idx="1593">
                  <c:v>1310.5</c:v>
                </c:pt>
                <c:pt idx="1594">
                  <c:v>1310.5</c:v>
                </c:pt>
                <c:pt idx="1595">
                  <c:v>1310.5</c:v>
                </c:pt>
                <c:pt idx="1596">
                  <c:v>1310.5</c:v>
                </c:pt>
                <c:pt idx="1597">
                  <c:v>310</c:v>
                </c:pt>
                <c:pt idx="1598">
                  <c:v>1310.5</c:v>
                </c:pt>
                <c:pt idx="1599">
                  <c:v>1310.5</c:v>
                </c:pt>
                <c:pt idx="1600">
                  <c:v>310</c:v>
                </c:pt>
                <c:pt idx="1601">
                  <c:v>1310.5</c:v>
                </c:pt>
                <c:pt idx="1602">
                  <c:v>107.5</c:v>
                </c:pt>
                <c:pt idx="1603">
                  <c:v>107.5</c:v>
                </c:pt>
                <c:pt idx="1604">
                  <c:v>1310.5</c:v>
                </c:pt>
                <c:pt idx="1605">
                  <c:v>1310.5</c:v>
                </c:pt>
                <c:pt idx="1606">
                  <c:v>1310.5</c:v>
                </c:pt>
                <c:pt idx="1607">
                  <c:v>1310.5</c:v>
                </c:pt>
                <c:pt idx="1608">
                  <c:v>1310.5</c:v>
                </c:pt>
                <c:pt idx="1609">
                  <c:v>1310.5</c:v>
                </c:pt>
                <c:pt idx="1610">
                  <c:v>1310.5</c:v>
                </c:pt>
                <c:pt idx="1611">
                  <c:v>1310.5</c:v>
                </c:pt>
                <c:pt idx="1612">
                  <c:v>1310.5</c:v>
                </c:pt>
                <c:pt idx="1613">
                  <c:v>1310.5</c:v>
                </c:pt>
                <c:pt idx="1614">
                  <c:v>1310.5</c:v>
                </c:pt>
                <c:pt idx="1615">
                  <c:v>1310.5</c:v>
                </c:pt>
                <c:pt idx="1616">
                  <c:v>2306</c:v>
                </c:pt>
                <c:pt idx="1617">
                  <c:v>119</c:v>
                </c:pt>
                <c:pt idx="1618">
                  <c:v>1310.5</c:v>
                </c:pt>
                <c:pt idx="1619">
                  <c:v>1310.5</c:v>
                </c:pt>
                <c:pt idx="1620">
                  <c:v>50</c:v>
                </c:pt>
                <c:pt idx="1621">
                  <c:v>1310.5</c:v>
                </c:pt>
                <c:pt idx="1622">
                  <c:v>310</c:v>
                </c:pt>
                <c:pt idx="1623">
                  <c:v>1310.5</c:v>
                </c:pt>
                <c:pt idx="1624">
                  <c:v>195</c:v>
                </c:pt>
                <c:pt idx="1625">
                  <c:v>310</c:v>
                </c:pt>
                <c:pt idx="1626">
                  <c:v>190.5</c:v>
                </c:pt>
                <c:pt idx="1627">
                  <c:v>1310.5</c:v>
                </c:pt>
                <c:pt idx="1628">
                  <c:v>1310.5</c:v>
                </c:pt>
                <c:pt idx="1629">
                  <c:v>1310.5</c:v>
                </c:pt>
                <c:pt idx="1630">
                  <c:v>1310.5</c:v>
                </c:pt>
                <c:pt idx="1631">
                  <c:v>177.5</c:v>
                </c:pt>
                <c:pt idx="1632">
                  <c:v>1310.5</c:v>
                </c:pt>
                <c:pt idx="1633">
                  <c:v>1310.5</c:v>
                </c:pt>
                <c:pt idx="1634">
                  <c:v>1310.5</c:v>
                </c:pt>
                <c:pt idx="1635">
                  <c:v>1310.5</c:v>
                </c:pt>
                <c:pt idx="1636">
                  <c:v>219.5</c:v>
                </c:pt>
                <c:pt idx="1637">
                  <c:v>1310.5</c:v>
                </c:pt>
                <c:pt idx="1638">
                  <c:v>310</c:v>
                </c:pt>
                <c:pt idx="1639">
                  <c:v>1310.5</c:v>
                </c:pt>
                <c:pt idx="1640">
                  <c:v>1310.5</c:v>
                </c:pt>
                <c:pt idx="1641">
                  <c:v>1310.5</c:v>
                </c:pt>
                <c:pt idx="1642">
                  <c:v>261.5</c:v>
                </c:pt>
                <c:pt idx="1643">
                  <c:v>1310.5</c:v>
                </c:pt>
                <c:pt idx="1644">
                  <c:v>1310.5</c:v>
                </c:pt>
                <c:pt idx="1645">
                  <c:v>1310.5</c:v>
                </c:pt>
                <c:pt idx="1646">
                  <c:v>1310.5</c:v>
                </c:pt>
                <c:pt idx="1647">
                  <c:v>287.5</c:v>
                </c:pt>
                <c:pt idx="1648">
                  <c:v>1310.5</c:v>
                </c:pt>
                <c:pt idx="1649">
                  <c:v>1310.5</c:v>
                </c:pt>
                <c:pt idx="1650">
                  <c:v>1310.5</c:v>
                </c:pt>
                <c:pt idx="1651">
                  <c:v>39</c:v>
                </c:pt>
                <c:pt idx="1652">
                  <c:v>69</c:v>
                </c:pt>
                <c:pt idx="1653">
                  <c:v>43</c:v>
                </c:pt>
                <c:pt idx="1654">
                  <c:v>69</c:v>
                </c:pt>
                <c:pt idx="1655">
                  <c:v>84</c:v>
                </c:pt>
                <c:pt idx="1656">
                  <c:v>190.5</c:v>
                </c:pt>
                <c:pt idx="1657">
                  <c:v>1310.5</c:v>
                </c:pt>
                <c:pt idx="1658">
                  <c:v>1310.5</c:v>
                </c:pt>
                <c:pt idx="1659">
                  <c:v>1310.5</c:v>
                </c:pt>
                <c:pt idx="1660">
                  <c:v>1310.5</c:v>
                </c:pt>
                <c:pt idx="1661">
                  <c:v>1310.5</c:v>
                </c:pt>
                <c:pt idx="1662">
                  <c:v>1310.5</c:v>
                </c:pt>
                <c:pt idx="1663">
                  <c:v>1310.5</c:v>
                </c:pt>
                <c:pt idx="1664">
                  <c:v>1310.5</c:v>
                </c:pt>
                <c:pt idx="1665">
                  <c:v>1310.5</c:v>
                </c:pt>
                <c:pt idx="1666">
                  <c:v>1310.5</c:v>
                </c:pt>
                <c:pt idx="1667">
                  <c:v>1310.5</c:v>
                </c:pt>
                <c:pt idx="1668">
                  <c:v>1310.5</c:v>
                </c:pt>
                <c:pt idx="1669">
                  <c:v>1310.5</c:v>
                </c:pt>
                <c:pt idx="1670">
                  <c:v>1310.5</c:v>
                </c:pt>
                <c:pt idx="1671">
                  <c:v>1310.5</c:v>
                </c:pt>
                <c:pt idx="1672">
                  <c:v>1310.5</c:v>
                </c:pt>
                <c:pt idx="1673">
                  <c:v>1310.5</c:v>
                </c:pt>
                <c:pt idx="1674">
                  <c:v>1310.5</c:v>
                </c:pt>
                <c:pt idx="1675">
                  <c:v>1310.5</c:v>
                </c:pt>
                <c:pt idx="1676">
                  <c:v>1310.5</c:v>
                </c:pt>
                <c:pt idx="1677">
                  <c:v>1310.5</c:v>
                </c:pt>
                <c:pt idx="1678">
                  <c:v>1310.5</c:v>
                </c:pt>
                <c:pt idx="1679">
                  <c:v>1310.5</c:v>
                </c:pt>
                <c:pt idx="1680">
                  <c:v>1310.5</c:v>
                </c:pt>
                <c:pt idx="1681">
                  <c:v>1310.5</c:v>
                </c:pt>
                <c:pt idx="1682">
                  <c:v>1310.5</c:v>
                </c:pt>
                <c:pt idx="1683">
                  <c:v>1310.5</c:v>
                </c:pt>
                <c:pt idx="1684">
                  <c:v>1310.5</c:v>
                </c:pt>
                <c:pt idx="1685">
                  <c:v>1310.5</c:v>
                </c:pt>
                <c:pt idx="1686">
                  <c:v>1310.5</c:v>
                </c:pt>
                <c:pt idx="1687">
                  <c:v>1310.5</c:v>
                </c:pt>
                <c:pt idx="1688">
                  <c:v>1310.5</c:v>
                </c:pt>
                <c:pt idx="1689">
                  <c:v>1310.5</c:v>
                </c:pt>
                <c:pt idx="1690">
                  <c:v>1310.5</c:v>
                </c:pt>
                <c:pt idx="1691">
                  <c:v>1310.5</c:v>
                </c:pt>
                <c:pt idx="1692">
                  <c:v>1310.5</c:v>
                </c:pt>
                <c:pt idx="1693">
                  <c:v>1310.5</c:v>
                </c:pt>
                <c:pt idx="1694">
                  <c:v>1310.5</c:v>
                </c:pt>
                <c:pt idx="1695">
                  <c:v>1310.5</c:v>
                </c:pt>
                <c:pt idx="1696">
                  <c:v>1310.5</c:v>
                </c:pt>
                <c:pt idx="1697">
                  <c:v>1310.5</c:v>
                </c:pt>
                <c:pt idx="1698">
                  <c:v>1310.5</c:v>
                </c:pt>
                <c:pt idx="1699">
                  <c:v>1310.5</c:v>
                </c:pt>
                <c:pt idx="1700">
                  <c:v>1310.5</c:v>
                </c:pt>
                <c:pt idx="1701">
                  <c:v>1310.5</c:v>
                </c:pt>
                <c:pt idx="1702">
                  <c:v>83</c:v>
                </c:pt>
                <c:pt idx="1703">
                  <c:v>1310.5</c:v>
                </c:pt>
                <c:pt idx="1704">
                  <c:v>67</c:v>
                </c:pt>
                <c:pt idx="1705">
                  <c:v>235</c:v>
                </c:pt>
                <c:pt idx="1706">
                  <c:v>270</c:v>
                </c:pt>
                <c:pt idx="1707">
                  <c:v>276.5</c:v>
                </c:pt>
                <c:pt idx="1708">
                  <c:v>270</c:v>
                </c:pt>
                <c:pt idx="1709">
                  <c:v>276.5</c:v>
                </c:pt>
                <c:pt idx="1710">
                  <c:v>270</c:v>
                </c:pt>
                <c:pt idx="1711">
                  <c:v>1310.5</c:v>
                </c:pt>
                <c:pt idx="1712">
                  <c:v>1310.5</c:v>
                </c:pt>
                <c:pt idx="1713">
                  <c:v>1310.5</c:v>
                </c:pt>
                <c:pt idx="1714">
                  <c:v>1310.5</c:v>
                </c:pt>
                <c:pt idx="1715">
                  <c:v>1310.5</c:v>
                </c:pt>
                <c:pt idx="1716">
                  <c:v>1310.5</c:v>
                </c:pt>
                <c:pt idx="1717">
                  <c:v>1310.5</c:v>
                </c:pt>
                <c:pt idx="1718">
                  <c:v>1310.5</c:v>
                </c:pt>
                <c:pt idx="1719">
                  <c:v>1310.5</c:v>
                </c:pt>
                <c:pt idx="1720">
                  <c:v>1310.5</c:v>
                </c:pt>
                <c:pt idx="1721">
                  <c:v>1310.5</c:v>
                </c:pt>
                <c:pt idx="1722">
                  <c:v>1310.5</c:v>
                </c:pt>
                <c:pt idx="1723">
                  <c:v>1310.5</c:v>
                </c:pt>
                <c:pt idx="1724">
                  <c:v>1310.5</c:v>
                </c:pt>
                <c:pt idx="1725">
                  <c:v>1310.5</c:v>
                </c:pt>
                <c:pt idx="1726">
                  <c:v>1310.5</c:v>
                </c:pt>
                <c:pt idx="1727">
                  <c:v>1310.5</c:v>
                </c:pt>
                <c:pt idx="1728">
                  <c:v>1310.5</c:v>
                </c:pt>
                <c:pt idx="1729">
                  <c:v>1310.5</c:v>
                </c:pt>
                <c:pt idx="1730">
                  <c:v>1310.5</c:v>
                </c:pt>
                <c:pt idx="1731">
                  <c:v>1310.5</c:v>
                </c:pt>
                <c:pt idx="1732">
                  <c:v>1310.5</c:v>
                </c:pt>
                <c:pt idx="1733">
                  <c:v>33.5</c:v>
                </c:pt>
                <c:pt idx="1734">
                  <c:v>48</c:v>
                </c:pt>
                <c:pt idx="1735">
                  <c:v>1310.5</c:v>
                </c:pt>
                <c:pt idx="1736">
                  <c:v>1310.5</c:v>
                </c:pt>
                <c:pt idx="1737">
                  <c:v>1310.5</c:v>
                </c:pt>
                <c:pt idx="1738">
                  <c:v>1310.5</c:v>
                </c:pt>
                <c:pt idx="1739">
                  <c:v>1310.5</c:v>
                </c:pt>
                <c:pt idx="1740">
                  <c:v>1310.5</c:v>
                </c:pt>
                <c:pt idx="1741">
                  <c:v>1310.5</c:v>
                </c:pt>
                <c:pt idx="1742">
                  <c:v>1310.5</c:v>
                </c:pt>
                <c:pt idx="1743">
                  <c:v>1310.5</c:v>
                </c:pt>
                <c:pt idx="1744">
                  <c:v>1310.5</c:v>
                </c:pt>
                <c:pt idx="1745">
                  <c:v>1310.5</c:v>
                </c:pt>
                <c:pt idx="1746">
                  <c:v>1310.5</c:v>
                </c:pt>
                <c:pt idx="1747">
                  <c:v>1310.5</c:v>
                </c:pt>
                <c:pt idx="1748">
                  <c:v>1310.5</c:v>
                </c:pt>
                <c:pt idx="1749">
                  <c:v>1310.5</c:v>
                </c:pt>
                <c:pt idx="1750">
                  <c:v>1310.5</c:v>
                </c:pt>
                <c:pt idx="1751">
                  <c:v>1310.5</c:v>
                </c:pt>
                <c:pt idx="1752">
                  <c:v>1310.5</c:v>
                </c:pt>
                <c:pt idx="1753">
                  <c:v>1310.5</c:v>
                </c:pt>
                <c:pt idx="1754">
                  <c:v>1310.5</c:v>
                </c:pt>
                <c:pt idx="1755">
                  <c:v>1310.5</c:v>
                </c:pt>
                <c:pt idx="1756">
                  <c:v>1310.5</c:v>
                </c:pt>
                <c:pt idx="1757">
                  <c:v>1310.5</c:v>
                </c:pt>
                <c:pt idx="1758">
                  <c:v>1310.5</c:v>
                </c:pt>
                <c:pt idx="1759">
                  <c:v>1310.5</c:v>
                </c:pt>
                <c:pt idx="1760">
                  <c:v>1310.5</c:v>
                </c:pt>
                <c:pt idx="1761">
                  <c:v>310</c:v>
                </c:pt>
                <c:pt idx="1762">
                  <c:v>1310.5</c:v>
                </c:pt>
                <c:pt idx="1763">
                  <c:v>1310.5</c:v>
                </c:pt>
                <c:pt idx="1764">
                  <c:v>26.5</c:v>
                </c:pt>
                <c:pt idx="1765">
                  <c:v>28</c:v>
                </c:pt>
                <c:pt idx="1766">
                  <c:v>1310.5</c:v>
                </c:pt>
                <c:pt idx="1767">
                  <c:v>1310.5</c:v>
                </c:pt>
                <c:pt idx="1768">
                  <c:v>1310.5</c:v>
                </c:pt>
                <c:pt idx="1769">
                  <c:v>253</c:v>
                </c:pt>
                <c:pt idx="1770">
                  <c:v>1310.5</c:v>
                </c:pt>
                <c:pt idx="1771">
                  <c:v>66</c:v>
                </c:pt>
                <c:pt idx="1772">
                  <c:v>1310.5</c:v>
                </c:pt>
                <c:pt idx="1773">
                  <c:v>1310.5</c:v>
                </c:pt>
                <c:pt idx="1774">
                  <c:v>1310.5</c:v>
                </c:pt>
                <c:pt idx="1775">
                  <c:v>184</c:v>
                </c:pt>
                <c:pt idx="1776">
                  <c:v>1310.5</c:v>
                </c:pt>
                <c:pt idx="1777">
                  <c:v>1310.5</c:v>
                </c:pt>
                <c:pt idx="1778">
                  <c:v>1310.5</c:v>
                </c:pt>
                <c:pt idx="1779">
                  <c:v>1310.5</c:v>
                </c:pt>
                <c:pt idx="1780">
                  <c:v>1310.5</c:v>
                </c:pt>
                <c:pt idx="1781">
                  <c:v>1310.5</c:v>
                </c:pt>
                <c:pt idx="1782">
                  <c:v>1310.5</c:v>
                </c:pt>
                <c:pt idx="1783">
                  <c:v>1310.5</c:v>
                </c:pt>
                <c:pt idx="1784">
                  <c:v>1310.5</c:v>
                </c:pt>
                <c:pt idx="1785">
                  <c:v>1310.5</c:v>
                </c:pt>
                <c:pt idx="1786">
                  <c:v>1310.5</c:v>
                </c:pt>
                <c:pt idx="1787">
                  <c:v>1310.5</c:v>
                </c:pt>
                <c:pt idx="1788">
                  <c:v>1310.5</c:v>
                </c:pt>
                <c:pt idx="1789">
                  <c:v>1310.5</c:v>
                </c:pt>
                <c:pt idx="1790">
                  <c:v>1310.5</c:v>
                </c:pt>
                <c:pt idx="1791">
                  <c:v>1310.5</c:v>
                </c:pt>
                <c:pt idx="1792">
                  <c:v>1310.5</c:v>
                </c:pt>
                <c:pt idx="1793">
                  <c:v>1310.5</c:v>
                </c:pt>
                <c:pt idx="1794">
                  <c:v>1310.5</c:v>
                </c:pt>
                <c:pt idx="1795">
                  <c:v>1310.5</c:v>
                </c:pt>
                <c:pt idx="1796">
                  <c:v>1310.5</c:v>
                </c:pt>
                <c:pt idx="1797">
                  <c:v>113</c:v>
                </c:pt>
                <c:pt idx="1798">
                  <c:v>1310.5</c:v>
                </c:pt>
                <c:pt idx="1799">
                  <c:v>161.5</c:v>
                </c:pt>
                <c:pt idx="1800">
                  <c:v>1310.5</c:v>
                </c:pt>
                <c:pt idx="1801">
                  <c:v>1310.5</c:v>
                </c:pt>
                <c:pt idx="1802">
                  <c:v>1310.5</c:v>
                </c:pt>
                <c:pt idx="1803">
                  <c:v>1310.5</c:v>
                </c:pt>
                <c:pt idx="1804">
                  <c:v>215</c:v>
                </c:pt>
                <c:pt idx="1805">
                  <c:v>154</c:v>
                </c:pt>
                <c:pt idx="1806">
                  <c:v>154</c:v>
                </c:pt>
                <c:pt idx="1807">
                  <c:v>1310.5</c:v>
                </c:pt>
                <c:pt idx="1808">
                  <c:v>161.5</c:v>
                </c:pt>
                <c:pt idx="1809">
                  <c:v>310</c:v>
                </c:pt>
                <c:pt idx="1810">
                  <c:v>157.5</c:v>
                </c:pt>
                <c:pt idx="1811">
                  <c:v>1310.5</c:v>
                </c:pt>
                <c:pt idx="1812">
                  <c:v>1310.5</c:v>
                </c:pt>
                <c:pt idx="1813">
                  <c:v>1310.5</c:v>
                </c:pt>
                <c:pt idx="1814">
                  <c:v>1310.5</c:v>
                </c:pt>
                <c:pt idx="1815">
                  <c:v>1310.5</c:v>
                </c:pt>
                <c:pt idx="1816">
                  <c:v>1310.5</c:v>
                </c:pt>
                <c:pt idx="1817">
                  <c:v>1310.5</c:v>
                </c:pt>
                <c:pt idx="1818">
                  <c:v>1310.5</c:v>
                </c:pt>
                <c:pt idx="1819">
                  <c:v>1310.5</c:v>
                </c:pt>
                <c:pt idx="1820">
                  <c:v>1310.5</c:v>
                </c:pt>
                <c:pt idx="1821">
                  <c:v>1310.5</c:v>
                </c:pt>
                <c:pt idx="1822">
                  <c:v>1310.5</c:v>
                </c:pt>
                <c:pt idx="1823">
                  <c:v>1310.5</c:v>
                </c:pt>
                <c:pt idx="1824">
                  <c:v>1310.5</c:v>
                </c:pt>
                <c:pt idx="1825">
                  <c:v>1310.5</c:v>
                </c:pt>
                <c:pt idx="1826">
                  <c:v>1310.5</c:v>
                </c:pt>
                <c:pt idx="1827">
                  <c:v>1310.5</c:v>
                </c:pt>
                <c:pt idx="1828">
                  <c:v>1310.5</c:v>
                </c:pt>
                <c:pt idx="1829">
                  <c:v>1310.5</c:v>
                </c:pt>
                <c:pt idx="1830">
                  <c:v>1310.5</c:v>
                </c:pt>
                <c:pt idx="1831">
                  <c:v>1310.5</c:v>
                </c:pt>
                <c:pt idx="1832">
                  <c:v>1310.5</c:v>
                </c:pt>
                <c:pt idx="1833">
                  <c:v>1310.5</c:v>
                </c:pt>
                <c:pt idx="1834">
                  <c:v>1310.5</c:v>
                </c:pt>
                <c:pt idx="1835">
                  <c:v>1310.5</c:v>
                </c:pt>
                <c:pt idx="1836">
                  <c:v>1310.5</c:v>
                </c:pt>
                <c:pt idx="1837">
                  <c:v>1310.5</c:v>
                </c:pt>
                <c:pt idx="1838">
                  <c:v>1310.5</c:v>
                </c:pt>
                <c:pt idx="1839">
                  <c:v>1310.5</c:v>
                </c:pt>
                <c:pt idx="1840">
                  <c:v>1310.5</c:v>
                </c:pt>
                <c:pt idx="1841">
                  <c:v>1310.5</c:v>
                </c:pt>
                <c:pt idx="1842">
                  <c:v>223</c:v>
                </c:pt>
                <c:pt idx="1843">
                  <c:v>1310.5</c:v>
                </c:pt>
                <c:pt idx="1844">
                  <c:v>1310.5</c:v>
                </c:pt>
                <c:pt idx="1845">
                  <c:v>1310.5</c:v>
                </c:pt>
                <c:pt idx="1846">
                  <c:v>1310.5</c:v>
                </c:pt>
                <c:pt idx="1847">
                  <c:v>1310.5</c:v>
                </c:pt>
                <c:pt idx="1848">
                  <c:v>1310.5</c:v>
                </c:pt>
                <c:pt idx="1849">
                  <c:v>1310.5</c:v>
                </c:pt>
                <c:pt idx="1850">
                  <c:v>1310.5</c:v>
                </c:pt>
                <c:pt idx="1851">
                  <c:v>37</c:v>
                </c:pt>
                <c:pt idx="1852">
                  <c:v>1310.5</c:v>
                </c:pt>
                <c:pt idx="1853">
                  <c:v>1310.5</c:v>
                </c:pt>
                <c:pt idx="1854">
                  <c:v>1310.5</c:v>
                </c:pt>
                <c:pt idx="1855">
                  <c:v>1310.5</c:v>
                </c:pt>
                <c:pt idx="1856">
                  <c:v>1310.5</c:v>
                </c:pt>
                <c:pt idx="1857">
                  <c:v>1310.5</c:v>
                </c:pt>
                <c:pt idx="1858">
                  <c:v>1310.5</c:v>
                </c:pt>
                <c:pt idx="1859">
                  <c:v>1310.5</c:v>
                </c:pt>
                <c:pt idx="1860">
                  <c:v>1310.5</c:v>
                </c:pt>
                <c:pt idx="1861">
                  <c:v>1310.5</c:v>
                </c:pt>
                <c:pt idx="1862">
                  <c:v>1310.5</c:v>
                </c:pt>
                <c:pt idx="1863">
                  <c:v>1310.5</c:v>
                </c:pt>
                <c:pt idx="1864">
                  <c:v>1310.5</c:v>
                </c:pt>
                <c:pt idx="1865">
                  <c:v>1310.5</c:v>
                </c:pt>
                <c:pt idx="1866">
                  <c:v>1310.5</c:v>
                </c:pt>
                <c:pt idx="1867">
                  <c:v>57</c:v>
                </c:pt>
                <c:pt idx="1868">
                  <c:v>1310.5</c:v>
                </c:pt>
                <c:pt idx="1869">
                  <c:v>1310.5</c:v>
                </c:pt>
                <c:pt idx="1870">
                  <c:v>1310.5</c:v>
                </c:pt>
                <c:pt idx="1871">
                  <c:v>1310.5</c:v>
                </c:pt>
                <c:pt idx="1872">
                  <c:v>1310.5</c:v>
                </c:pt>
                <c:pt idx="1873">
                  <c:v>1310.5</c:v>
                </c:pt>
                <c:pt idx="1874">
                  <c:v>1310.5</c:v>
                </c:pt>
                <c:pt idx="1875">
                  <c:v>1310.5</c:v>
                </c:pt>
                <c:pt idx="1876">
                  <c:v>1310.5</c:v>
                </c:pt>
                <c:pt idx="1877">
                  <c:v>1310.5</c:v>
                </c:pt>
                <c:pt idx="1878">
                  <c:v>1310.5</c:v>
                </c:pt>
                <c:pt idx="1879">
                  <c:v>1310.5</c:v>
                </c:pt>
                <c:pt idx="1880">
                  <c:v>15</c:v>
                </c:pt>
                <c:pt idx="1881">
                  <c:v>1310.5</c:v>
                </c:pt>
                <c:pt idx="1882">
                  <c:v>45</c:v>
                </c:pt>
                <c:pt idx="1883">
                  <c:v>1310.5</c:v>
                </c:pt>
                <c:pt idx="1884">
                  <c:v>17</c:v>
                </c:pt>
                <c:pt idx="1885">
                  <c:v>3.5</c:v>
                </c:pt>
                <c:pt idx="1886">
                  <c:v>54</c:v>
                </c:pt>
                <c:pt idx="1887">
                  <c:v>1310.5</c:v>
                </c:pt>
                <c:pt idx="1888">
                  <c:v>5.5</c:v>
                </c:pt>
                <c:pt idx="1889">
                  <c:v>72.5</c:v>
                </c:pt>
                <c:pt idx="1890">
                  <c:v>1310.5</c:v>
                </c:pt>
                <c:pt idx="1891">
                  <c:v>1310.5</c:v>
                </c:pt>
                <c:pt idx="1892">
                  <c:v>1310.5</c:v>
                </c:pt>
                <c:pt idx="1893">
                  <c:v>1310.5</c:v>
                </c:pt>
                <c:pt idx="1894">
                  <c:v>1310.5</c:v>
                </c:pt>
                <c:pt idx="1895">
                  <c:v>1310.5</c:v>
                </c:pt>
                <c:pt idx="1896">
                  <c:v>1310.5</c:v>
                </c:pt>
                <c:pt idx="1897">
                  <c:v>1310.5</c:v>
                </c:pt>
                <c:pt idx="1898">
                  <c:v>1310.5</c:v>
                </c:pt>
                <c:pt idx="1899">
                  <c:v>1310.5</c:v>
                </c:pt>
                <c:pt idx="1900">
                  <c:v>1310.5</c:v>
                </c:pt>
                <c:pt idx="1901">
                  <c:v>1310.5</c:v>
                </c:pt>
                <c:pt idx="1902">
                  <c:v>1310.5</c:v>
                </c:pt>
                <c:pt idx="1903">
                  <c:v>186.5</c:v>
                </c:pt>
                <c:pt idx="1904">
                  <c:v>1310.5</c:v>
                </c:pt>
                <c:pt idx="1905">
                  <c:v>1310.5</c:v>
                </c:pt>
                <c:pt idx="1906">
                  <c:v>1310.5</c:v>
                </c:pt>
                <c:pt idx="1907">
                  <c:v>1310.5</c:v>
                </c:pt>
                <c:pt idx="1908">
                  <c:v>1310.5</c:v>
                </c:pt>
                <c:pt idx="1909">
                  <c:v>1310.5</c:v>
                </c:pt>
                <c:pt idx="1910">
                  <c:v>1310.5</c:v>
                </c:pt>
                <c:pt idx="1911">
                  <c:v>1310.5</c:v>
                </c:pt>
                <c:pt idx="1912">
                  <c:v>1310.5</c:v>
                </c:pt>
                <c:pt idx="1913">
                  <c:v>1310.5</c:v>
                </c:pt>
                <c:pt idx="1914">
                  <c:v>1310.5</c:v>
                </c:pt>
                <c:pt idx="1915">
                  <c:v>1310.5</c:v>
                </c:pt>
                <c:pt idx="1916">
                  <c:v>1310.5</c:v>
                </c:pt>
                <c:pt idx="1917">
                  <c:v>1310.5</c:v>
                </c:pt>
                <c:pt idx="1918">
                  <c:v>1310.5</c:v>
                </c:pt>
                <c:pt idx="1919">
                  <c:v>1310.5</c:v>
                </c:pt>
                <c:pt idx="1920">
                  <c:v>1310.5</c:v>
                </c:pt>
                <c:pt idx="1921">
                  <c:v>1310.5</c:v>
                </c:pt>
                <c:pt idx="1922">
                  <c:v>1310.5</c:v>
                </c:pt>
                <c:pt idx="1923">
                  <c:v>1310.5</c:v>
                </c:pt>
                <c:pt idx="1924">
                  <c:v>1310.5</c:v>
                </c:pt>
                <c:pt idx="1925">
                  <c:v>1310.5</c:v>
                </c:pt>
                <c:pt idx="1926">
                  <c:v>1310.5</c:v>
                </c:pt>
                <c:pt idx="1927">
                  <c:v>1310.5</c:v>
                </c:pt>
                <c:pt idx="1928">
                  <c:v>1310.5</c:v>
                </c:pt>
                <c:pt idx="1929">
                  <c:v>1310.5</c:v>
                </c:pt>
                <c:pt idx="1930">
                  <c:v>1310.5</c:v>
                </c:pt>
                <c:pt idx="1931">
                  <c:v>1310.5</c:v>
                </c:pt>
                <c:pt idx="1932">
                  <c:v>1310.5</c:v>
                </c:pt>
                <c:pt idx="1933">
                  <c:v>1310.5</c:v>
                </c:pt>
                <c:pt idx="1934">
                  <c:v>1310.5</c:v>
                </c:pt>
                <c:pt idx="1935">
                  <c:v>1310.5</c:v>
                </c:pt>
                <c:pt idx="1936">
                  <c:v>1310.5</c:v>
                </c:pt>
                <c:pt idx="1937">
                  <c:v>93.5</c:v>
                </c:pt>
                <c:pt idx="1938">
                  <c:v>23</c:v>
                </c:pt>
                <c:pt idx="1939">
                  <c:v>1310.5</c:v>
                </c:pt>
                <c:pt idx="1940">
                  <c:v>1310.5</c:v>
                </c:pt>
                <c:pt idx="1941">
                  <c:v>1310.5</c:v>
                </c:pt>
                <c:pt idx="1942">
                  <c:v>1310.5</c:v>
                </c:pt>
                <c:pt idx="1943">
                  <c:v>1310.5</c:v>
                </c:pt>
                <c:pt idx="1944">
                  <c:v>1310.5</c:v>
                </c:pt>
                <c:pt idx="1945">
                  <c:v>1310.5</c:v>
                </c:pt>
                <c:pt idx="1946">
                  <c:v>1310.5</c:v>
                </c:pt>
                <c:pt idx="1947">
                  <c:v>1310.5</c:v>
                </c:pt>
                <c:pt idx="1948">
                  <c:v>1310.5</c:v>
                </c:pt>
                <c:pt idx="1949">
                  <c:v>1310.5</c:v>
                </c:pt>
                <c:pt idx="1950">
                  <c:v>1310.5</c:v>
                </c:pt>
                <c:pt idx="1951">
                  <c:v>1310.5</c:v>
                </c:pt>
                <c:pt idx="1952">
                  <c:v>1310.5</c:v>
                </c:pt>
                <c:pt idx="1953">
                  <c:v>1310.5</c:v>
                </c:pt>
                <c:pt idx="1954">
                  <c:v>1310.5</c:v>
                </c:pt>
                <c:pt idx="1955">
                  <c:v>1310.5</c:v>
                </c:pt>
                <c:pt idx="1956">
                  <c:v>1310.5</c:v>
                </c:pt>
                <c:pt idx="1957">
                  <c:v>1310.5</c:v>
                </c:pt>
                <c:pt idx="1958">
                  <c:v>1310.5</c:v>
                </c:pt>
                <c:pt idx="1959">
                  <c:v>1310.5</c:v>
                </c:pt>
                <c:pt idx="1960">
                  <c:v>1310.5</c:v>
                </c:pt>
                <c:pt idx="1961">
                  <c:v>1310.5</c:v>
                </c:pt>
                <c:pt idx="1962">
                  <c:v>107.5</c:v>
                </c:pt>
                <c:pt idx="1963">
                  <c:v>1310.5</c:v>
                </c:pt>
                <c:pt idx="1964">
                  <c:v>1310.5</c:v>
                </c:pt>
                <c:pt idx="1965">
                  <c:v>177.5</c:v>
                </c:pt>
                <c:pt idx="1966">
                  <c:v>1310.5</c:v>
                </c:pt>
                <c:pt idx="1967">
                  <c:v>1310.5</c:v>
                </c:pt>
                <c:pt idx="1968">
                  <c:v>1310.5</c:v>
                </c:pt>
                <c:pt idx="1969">
                  <c:v>1310.5</c:v>
                </c:pt>
                <c:pt idx="1970">
                  <c:v>1310.5</c:v>
                </c:pt>
                <c:pt idx="1971">
                  <c:v>1310.5</c:v>
                </c:pt>
                <c:pt idx="1972">
                  <c:v>1310.5</c:v>
                </c:pt>
                <c:pt idx="1973">
                  <c:v>1310.5</c:v>
                </c:pt>
                <c:pt idx="1974">
                  <c:v>1310.5</c:v>
                </c:pt>
                <c:pt idx="1975">
                  <c:v>1310.5</c:v>
                </c:pt>
                <c:pt idx="1976">
                  <c:v>1310.5</c:v>
                </c:pt>
                <c:pt idx="1977">
                  <c:v>1310.5</c:v>
                </c:pt>
                <c:pt idx="1978">
                  <c:v>310</c:v>
                </c:pt>
                <c:pt idx="1979">
                  <c:v>1310.5</c:v>
                </c:pt>
                <c:pt idx="1980">
                  <c:v>1310.5</c:v>
                </c:pt>
                <c:pt idx="1981">
                  <c:v>1310.5</c:v>
                </c:pt>
                <c:pt idx="1982">
                  <c:v>1310.5</c:v>
                </c:pt>
                <c:pt idx="1983">
                  <c:v>1310.5</c:v>
                </c:pt>
                <c:pt idx="1984">
                  <c:v>310</c:v>
                </c:pt>
                <c:pt idx="1985">
                  <c:v>1310.5</c:v>
                </c:pt>
                <c:pt idx="1986">
                  <c:v>1310.5</c:v>
                </c:pt>
                <c:pt idx="1987">
                  <c:v>30</c:v>
                </c:pt>
                <c:pt idx="1988">
                  <c:v>1310.5</c:v>
                </c:pt>
                <c:pt idx="1989">
                  <c:v>1310.5</c:v>
                </c:pt>
                <c:pt idx="1990">
                  <c:v>1310.5</c:v>
                </c:pt>
                <c:pt idx="1991">
                  <c:v>1310.5</c:v>
                </c:pt>
                <c:pt idx="1992">
                  <c:v>1310.5</c:v>
                </c:pt>
                <c:pt idx="1993">
                  <c:v>201.5</c:v>
                </c:pt>
                <c:pt idx="1994">
                  <c:v>186.5</c:v>
                </c:pt>
                <c:pt idx="1995">
                  <c:v>1310.5</c:v>
                </c:pt>
                <c:pt idx="1996">
                  <c:v>1310.5</c:v>
                </c:pt>
                <c:pt idx="1997">
                  <c:v>1310.5</c:v>
                </c:pt>
                <c:pt idx="1998">
                  <c:v>1310.5</c:v>
                </c:pt>
                <c:pt idx="1999">
                  <c:v>170.5</c:v>
                </c:pt>
                <c:pt idx="2000">
                  <c:v>99.5</c:v>
                </c:pt>
                <c:pt idx="2001">
                  <c:v>170.5</c:v>
                </c:pt>
                <c:pt idx="2002">
                  <c:v>209</c:v>
                </c:pt>
                <c:pt idx="2003">
                  <c:v>170.5</c:v>
                </c:pt>
                <c:pt idx="2004">
                  <c:v>209</c:v>
                </c:pt>
                <c:pt idx="2005">
                  <c:v>1310.5</c:v>
                </c:pt>
                <c:pt idx="2006">
                  <c:v>1310.5</c:v>
                </c:pt>
                <c:pt idx="2007">
                  <c:v>1310.5</c:v>
                </c:pt>
                <c:pt idx="2008">
                  <c:v>1310.5</c:v>
                </c:pt>
                <c:pt idx="2009">
                  <c:v>1310.5</c:v>
                </c:pt>
                <c:pt idx="2010">
                  <c:v>1310.5</c:v>
                </c:pt>
                <c:pt idx="2011">
                  <c:v>1310.5</c:v>
                </c:pt>
                <c:pt idx="2012">
                  <c:v>1310.5</c:v>
                </c:pt>
                <c:pt idx="2013">
                  <c:v>1310.5</c:v>
                </c:pt>
                <c:pt idx="2014">
                  <c:v>1310.5</c:v>
                </c:pt>
                <c:pt idx="2015">
                  <c:v>1310.5</c:v>
                </c:pt>
                <c:pt idx="2016">
                  <c:v>1310.5</c:v>
                </c:pt>
                <c:pt idx="2017">
                  <c:v>1310.5</c:v>
                </c:pt>
                <c:pt idx="2018">
                  <c:v>1310.5</c:v>
                </c:pt>
                <c:pt idx="2019">
                  <c:v>1310.5</c:v>
                </c:pt>
                <c:pt idx="2020">
                  <c:v>1310.5</c:v>
                </c:pt>
                <c:pt idx="2021">
                  <c:v>1310.5</c:v>
                </c:pt>
                <c:pt idx="2022">
                  <c:v>1310.5</c:v>
                </c:pt>
                <c:pt idx="2023">
                  <c:v>170.5</c:v>
                </c:pt>
                <c:pt idx="2024">
                  <c:v>209</c:v>
                </c:pt>
                <c:pt idx="2025">
                  <c:v>232.5</c:v>
                </c:pt>
                <c:pt idx="2026">
                  <c:v>232.5</c:v>
                </c:pt>
                <c:pt idx="2027">
                  <c:v>1310.5</c:v>
                </c:pt>
                <c:pt idx="2028">
                  <c:v>1310.5</c:v>
                </c:pt>
                <c:pt idx="2029">
                  <c:v>74</c:v>
                </c:pt>
                <c:pt idx="2030">
                  <c:v>1310.5</c:v>
                </c:pt>
                <c:pt idx="2031">
                  <c:v>133</c:v>
                </c:pt>
                <c:pt idx="2032">
                  <c:v>1310.5</c:v>
                </c:pt>
                <c:pt idx="2033">
                  <c:v>1310.5</c:v>
                </c:pt>
                <c:pt idx="2034">
                  <c:v>1310.5</c:v>
                </c:pt>
                <c:pt idx="2035">
                  <c:v>45</c:v>
                </c:pt>
                <c:pt idx="2036">
                  <c:v>45</c:v>
                </c:pt>
                <c:pt idx="2037">
                  <c:v>1310.5</c:v>
                </c:pt>
                <c:pt idx="2038">
                  <c:v>1310.5</c:v>
                </c:pt>
                <c:pt idx="2039">
                  <c:v>1310.5</c:v>
                </c:pt>
                <c:pt idx="2040">
                  <c:v>1310.5</c:v>
                </c:pt>
                <c:pt idx="2041">
                  <c:v>1310.5</c:v>
                </c:pt>
                <c:pt idx="2042">
                  <c:v>1310.5</c:v>
                </c:pt>
                <c:pt idx="2043">
                  <c:v>1310.5</c:v>
                </c:pt>
                <c:pt idx="2044">
                  <c:v>1310.5</c:v>
                </c:pt>
                <c:pt idx="2045">
                  <c:v>1310.5</c:v>
                </c:pt>
                <c:pt idx="2046">
                  <c:v>1310.5</c:v>
                </c:pt>
                <c:pt idx="2047">
                  <c:v>1310.5</c:v>
                </c:pt>
                <c:pt idx="2048">
                  <c:v>1310.5</c:v>
                </c:pt>
                <c:pt idx="2049">
                  <c:v>1310.5</c:v>
                </c:pt>
                <c:pt idx="2050">
                  <c:v>1310.5</c:v>
                </c:pt>
                <c:pt idx="2051">
                  <c:v>1310.5</c:v>
                </c:pt>
                <c:pt idx="2052">
                  <c:v>1310.5</c:v>
                </c:pt>
                <c:pt idx="2053">
                  <c:v>1310.5</c:v>
                </c:pt>
                <c:pt idx="2054">
                  <c:v>1310.5</c:v>
                </c:pt>
                <c:pt idx="2055">
                  <c:v>1310.5</c:v>
                </c:pt>
                <c:pt idx="2056">
                  <c:v>1310.5</c:v>
                </c:pt>
                <c:pt idx="2057">
                  <c:v>1310.5</c:v>
                </c:pt>
                <c:pt idx="2058">
                  <c:v>1310.5</c:v>
                </c:pt>
                <c:pt idx="2059">
                  <c:v>1310.5</c:v>
                </c:pt>
                <c:pt idx="2060">
                  <c:v>1310.5</c:v>
                </c:pt>
                <c:pt idx="2061">
                  <c:v>1310.5</c:v>
                </c:pt>
                <c:pt idx="2062">
                  <c:v>7</c:v>
                </c:pt>
                <c:pt idx="2063">
                  <c:v>1310.5</c:v>
                </c:pt>
                <c:pt idx="2064">
                  <c:v>8</c:v>
                </c:pt>
                <c:pt idx="2065">
                  <c:v>1310.5</c:v>
                </c:pt>
                <c:pt idx="2066">
                  <c:v>1310.5</c:v>
                </c:pt>
                <c:pt idx="2067">
                  <c:v>77</c:v>
                </c:pt>
                <c:pt idx="2068">
                  <c:v>1310.5</c:v>
                </c:pt>
                <c:pt idx="2069">
                  <c:v>1310.5</c:v>
                </c:pt>
                <c:pt idx="2070">
                  <c:v>1310.5</c:v>
                </c:pt>
                <c:pt idx="2071">
                  <c:v>1310.5</c:v>
                </c:pt>
                <c:pt idx="2072">
                  <c:v>1310.5</c:v>
                </c:pt>
                <c:pt idx="2073">
                  <c:v>1310.5</c:v>
                </c:pt>
                <c:pt idx="2074">
                  <c:v>1310.5</c:v>
                </c:pt>
                <c:pt idx="2075">
                  <c:v>1310.5</c:v>
                </c:pt>
                <c:pt idx="2076">
                  <c:v>1310.5</c:v>
                </c:pt>
                <c:pt idx="2077">
                  <c:v>1310.5</c:v>
                </c:pt>
                <c:pt idx="2078">
                  <c:v>1310.5</c:v>
                </c:pt>
                <c:pt idx="2079">
                  <c:v>1310.5</c:v>
                </c:pt>
                <c:pt idx="2080">
                  <c:v>1310.5</c:v>
                </c:pt>
                <c:pt idx="2081">
                  <c:v>1310.5</c:v>
                </c:pt>
                <c:pt idx="2082">
                  <c:v>1310.5</c:v>
                </c:pt>
                <c:pt idx="2083">
                  <c:v>1310.5</c:v>
                </c:pt>
                <c:pt idx="2084">
                  <c:v>1310.5</c:v>
                </c:pt>
                <c:pt idx="2085">
                  <c:v>1310.5</c:v>
                </c:pt>
                <c:pt idx="2086">
                  <c:v>1310.5</c:v>
                </c:pt>
                <c:pt idx="2087">
                  <c:v>1310.5</c:v>
                </c:pt>
                <c:pt idx="2088">
                  <c:v>1310.5</c:v>
                </c:pt>
                <c:pt idx="2089">
                  <c:v>1310.5</c:v>
                </c:pt>
                <c:pt idx="2090">
                  <c:v>1310.5</c:v>
                </c:pt>
                <c:pt idx="2091">
                  <c:v>1310.5</c:v>
                </c:pt>
                <c:pt idx="2092">
                  <c:v>270</c:v>
                </c:pt>
                <c:pt idx="2093">
                  <c:v>1310.5</c:v>
                </c:pt>
                <c:pt idx="2094">
                  <c:v>276.5</c:v>
                </c:pt>
                <c:pt idx="2095">
                  <c:v>1310.5</c:v>
                </c:pt>
                <c:pt idx="2096">
                  <c:v>276.5</c:v>
                </c:pt>
                <c:pt idx="2097">
                  <c:v>1310.5</c:v>
                </c:pt>
                <c:pt idx="2098">
                  <c:v>270</c:v>
                </c:pt>
                <c:pt idx="2099">
                  <c:v>1310.5</c:v>
                </c:pt>
                <c:pt idx="2100">
                  <c:v>1310.5</c:v>
                </c:pt>
                <c:pt idx="2101">
                  <c:v>76</c:v>
                </c:pt>
                <c:pt idx="2102">
                  <c:v>64</c:v>
                </c:pt>
                <c:pt idx="2103">
                  <c:v>124</c:v>
                </c:pt>
                <c:pt idx="2104">
                  <c:v>124</c:v>
                </c:pt>
                <c:pt idx="2105">
                  <c:v>226.5</c:v>
                </c:pt>
                <c:pt idx="2106">
                  <c:v>1310.5</c:v>
                </c:pt>
                <c:pt idx="2107">
                  <c:v>243.5</c:v>
                </c:pt>
                <c:pt idx="2108">
                  <c:v>310</c:v>
                </c:pt>
                <c:pt idx="2109">
                  <c:v>1310.5</c:v>
                </c:pt>
                <c:pt idx="2110">
                  <c:v>1310.5</c:v>
                </c:pt>
                <c:pt idx="2111">
                  <c:v>1310.5</c:v>
                </c:pt>
                <c:pt idx="2112">
                  <c:v>1310.5</c:v>
                </c:pt>
                <c:pt idx="2113">
                  <c:v>1310.5</c:v>
                </c:pt>
                <c:pt idx="2114">
                  <c:v>1310.5</c:v>
                </c:pt>
                <c:pt idx="2115">
                  <c:v>1310.5</c:v>
                </c:pt>
                <c:pt idx="2116">
                  <c:v>310</c:v>
                </c:pt>
                <c:pt idx="2117">
                  <c:v>2298</c:v>
                </c:pt>
                <c:pt idx="2118">
                  <c:v>1310.5</c:v>
                </c:pt>
                <c:pt idx="2119">
                  <c:v>2304.5</c:v>
                </c:pt>
                <c:pt idx="2120">
                  <c:v>1310.5</c:v>
                </c:pt>
                <c:pt idx="2121">
                  <c:v>1310.5</c:v>
                </c:pt>
                <c:pt idx="2122">
                  <c:v>1310.5</c:v>
                </c:pt>
                <c:pt idx="2123">
                  <c:v>1310.5</c:v>
                </c:pt>
                <c:pt idx="2124">
                  <c:v>1310.5</c:v>
                </c:pt>
                <c:pt idx="2125">
                  <c:v>1310.5</c:v>
                </c:pt>
                <c:pt idx="2126">
                  <c:v>1310.5</c:v>
                </c:pt>
                <c:pt idx="2127">
                  <c:v>133</c:v>
                </c:pt>
                <c:pt idx="2128">
                  <c:v>133</c:v>
                </c:pt>
                <c:pt idx="2129">
                  <c:v>1310.5</c:v>
                </c:pt>
                <c:pt idx="2130">
                  <c:v>1310.5</c:v>
                </c:pt>
                <c:pt idx="2131">
                  <c:v>223</c:v>
                </c:pt>
                <c:pt idx="2132">
                  <c:v>1310.5</c:v>
                </c:pt>
                <c:pt idx="2133">
                  <c:v>203.5</c:v>
                </c:pt>
                <c:pt idx="2134">
                  <c:v>1310.5</c:v>
                </c:pt>
                <c:pt idx="2135">
                  <c:v>1310.5</c:v>
                </c:pt>
                <c:pt idx="2136">
                  <c:v>1310.5</c:v>
                </c:pt>
                <c:pt idx="2137">
                  <c:v>1310.5</c:v>
                </c:pt>
                <c:pt idx="2138">
                  <c:v>1310.5</c:v>
                </c:pt>
                <c:pt idx="2139">
                  <c:v>1310.5</c:v>
                </c:pt>
                <c:pt idx="2140">
                  <c:v>1310.5</c:v>
                </c:pt>
                <c:pt idx="2141">
                  <c:v>1310.5</c:v>
                </c:pt>
                <c:pt idx="2142">
                  <c:v>1310.5</c:v>
                </c:pt>
                <c:pt idx="2143">
                  <c:v>1310.5</c:v>
                </c:pt>
                <c:pt idx="2144">
                  <c:v>1310.5</c:v>
                </c:pt>
                <c:pt idx="2145">
                  <c:v>1310.5</c:v>
                </c:pt>
                <c:pt idx="2146">
                  <c:v>1310.5</c:v>
                </c:pt>
                <c:pt idx="2147">
                  <c:v>1310.5</c:v>
                </c:pt>
                <c:pt idx="2148">
                  <c:v>243.5</c:v>
                </c:pt>
                <c:pt idx="2149">
                  <c:v>1310.5</c:v>
                </c:pt>
                <c:pt idx="2150">
                  <c:v>1310.5</c:v>
                </c:pt>
                <c:pt idx="2151">
                  <c:v>142</c:v>
                </c:pt>
                <c:pt idx="2152">
                  <c:v>1310.5</c:v>
                </c:pt>
                <c:pt idx="2153">
                  <c:v>1310.5</c:v>
                </c:pt>
                <c:pt idx="2154">
                  <c:v>1310.5</c:v>
                </c:pt>
                <c:pt idx="2155">
                  <c:v>1310.5</c:v>
                </c:pt>
                <c:pt idx="2156">
                  <c:v>1310.5</c:v>
                </c:pt>
                <c:pt idx="2157">
                  <c:v>1310.5</c:v>
                </c:pt>
                <c:pt idx="2158">
                  <c:v>1310.5</c:v>
                </c:pt>
                <c:pt idx="2159">
                  <c:v>1310.5</c:v>
                </c:pt>
                <c:pt idx="2160">
                  <c:v>1310.5</c:v>
                </c:pt>
                <c:pt idx="2161">
                  <c:v>129</c:v>
                </c:pt>
                <c:pt idx="2162">
                  <c:v>1310.5</c:v>
                </c:pt>
                <c:pt idx="2163">
                  <c:v>166</c:v>
                </c:pt>
                <c:pt idx="2164">
                  <c:v>228.5</c:v>
                </c:pt>
                <c:pt idx="2165">
                  <c:v>1310.5</c:v>
                </c:pt>
                <c:pt idx="2166">
                  <c:v>1310.5</c:v>
                </c:pt>
                <c:pt idx="2167">
                  <c:v>1310.5</c:v>
                </c:pt>
                <c:pt idx="2168">
                  <c:v>1310.5</c:v>
                </c:pt>
                <c:pt idx="2169">
                  <c:v>1310.5</c:v>
                </c:pt>
                <c:pt idx="2170">
                  <c:v>1310.5</c:v>
                </c:pt>
                <c:pt idx="2171">
                  <c:v>1310.5</c:v>
                </c:pt>
                <c:pt idx="2172">
                  <c:v>91</c:v>
                </c:pt>
                <c:pt idx="2173">
                  <c:v>1310.5</c:v>
                </c:pt>
                <c:pt idx="2174">
                  <c:v>1310.5</c:v>
                </c:pt>
                <c:pt idx="2175">
                  <c:v>1310.5</c:v>
                </c:pt>
                <c:pt idx="2176">
                  <c:v>1310.5</c:v>
                </c:pt>
                <c:pt idx="2177">
                  <c:v>1310.5</c:v>
                </c:pt>
                <c:pt idx="2178">
                  <c:v>1310.5</c:v>
                </c:pt>
                <c:pt idx="2179">
                  <c:v>1310.5</c:v>
                </c:pt>
                <c:pt idx="2180">
                  <c:v>1310.5</c:v>
                </c:pt>
                <c:pt idx="2181">
                  <c:v>1310.5</c:v>
                </c:pt>
                <c:pt idx="2182">
                  <c:v>1310.5</c:v>
                </c:pt>
                <c:pt idx="2183">
                  <c:v>1310.5</c:v>
                </c:pt>
                <c:pt idx="2184">
                  <c:v>1310.5</c:v>
                </c:pt>
                <c:pt idx="2185">
                  <c:v>1310.5</c:v>
                </c:pt>
                <c:pt idx="2186">
                  <c:v>310</c:v>
                </c:pt>
                <c:pt idx="2187">
                  <c:v>1310.5</c:v>
                </c:pt>
                <c:pt idx="2188">
                  <c:v>149.5</c:v>
                </c:pt>
                <c:pt idx="2189">
                  <c:v>96.5</c:v>
                </c:pt>
                <c:pt idx="2190">
                  <c:v>149.5</c:v>
                </c:pt>
                <c:pt idx="2191">
                  <c:v>1310.5</c:v>
                </c:pt>
                <c:pt idx="2192">
                  <c:v>1310.5</c:v>
                </c:pt>
                <c:pt idx="2193">
                  <c:v>1310.5</c:v>
                </c:pt>
                <c:pt idx="2194">
                  <c:v>1310.5</c:v>
                </c:pt>
                <c:pt idx="2195">
                  <c:v>1310.5</c:v>
                </c:pt>
                <c:pt idx="2196">
                  <c:v>92</c:v>
                </c:pt>
                <c:pt idx="2197">
                  <c:v>140</c:v>
                </c:pt>
                <c:pt idx="2198">
                  <c:v>1310.5</c:v>
                </c:pt>
                <c:pt idx="2199">
                  <c:v>1310.5</c:v>
                </c:pt>
                <c:pt idx="2200">
                  <c:v>1310.5</c:v>
                </c:pt>
                <c:pt idx="2201">
                  <c:v>1310.5</c:v>
                </c:pt>
                <c:pt idx="2202">
                  <c:v>270</c:v>
                </c:pt>
                <c:pt idx="2203">
                  <c:v>1310.5</c:v>
                </c:pt>
                <c:pt idx="2204">
                  <c:v>1310.5</c:v>
                </c:pt>
                <c:pt idx="2205">
                  <c:v>1310.5</c:v>
                </c:pt>
                <c:pt idx="2206">
                  <c:v>1310.5</c:v>
                </c:pt>
                <c:pt idx="2207">
                  <c:v>18</c:v>
                </c:pt>
                <c:pt idx="2208">
                  <c:v>1310.5</c:v>
                </c:pt>
                <c:pt idx="2209">
                  <c:v>1310.5</c:v>
                </c:pt>
                <c:pt idx="2210">
                  <c:v>214</c:v>
                </c:pt>
                <c:pt idx="2211">
                  <c:v>1310.5</c:v>
                </c:pt>
                <c:pt idx="2212">
                  <c:v>1310.5</c:v>
                </c:pt>
                <c:pt idx="2213">
                  <c:v>254.5</c:v>
                </c:pt>
                <c:pt idx="2214">
                  <c:v>254.5</c:v>
                </c:pt>
                <c:pt idx="2215">
                  <c:v>1310.5</c:v>
                </c:pt>
                <c:pt idx="2216">
                  <c:v>1310.5</c:v>
                </c:pt>
                <c:pt idx="2217">
                  <c:v>1310.5</c:v>
                </c:pt>
                <c:pt idx="2218">
                  <c:v>1310.5</c:v>
                </c:pt>
                <c:pt idx="2219">
                  <c:v>1310.5</c:v>
                </c:pt>
                <c:pt idx="2220">
                  <c:v>104</c:v>
                </c:pt>
                <c:pt idx="2221">
                  <c:v>99.5</c:v>
                </c:pt>
                <c:pt idx="2222">
                  <c:v>1310.5</c:v>
                </c:pt>
                <c:pt idx="2223">
                  <c:v>1310.5</c:v>
                </c:pt>
                <c:pt idx="2224">
                  <c:v>1310.5</c:v>
                </c:pt>
                <c:pt idx="2225">
                  <c:v>1310.5</c:v>
                </c:pt>
                <c:pt idx="2226">
                  <c:v>1310.5</c:v>
                </c:pt>
                <c:pt idx="2227">
                  <c:v>1310.5</c:v>
                </c:pt>
                <c:pt idx="2228">
                  <c:v>1310.5</c:v>
                </c:pt>
                <c:pt idx="2229">
                  <c:v>1310.5</c:v>
                </c:pt>
                <c:pt idx="2230">
                  <c:v>1310.5</c:v>
                </c:pt>
                <c:pt idx="2231">
                  <c:v>1310.5</c:v>
                </c:pt>
                <c:pt idx="2232">
                  <c:v>1310.5</c:v>
                </c:pt>
                <c:pt idx="2233">
                  <c:v>1310.5</c:v>
                </c:pt>
                <c:pt idx="2234">
                  <c:v>1310.5</c:v>
                </c:pt>
                <c:pt idx="2235">
                  <c:v>1310.5</c:v>
                </c:pt>
                <c:pt idx="2236">
                  <c:v>1310.5</c:v>
                </c:pt>
                <c:pt idx="2237">
                  <c:v>1310.5</c:v>
                </c:pt>
                <c:pt idx="2238">
                  <c:v>1310.5</c:v>
                </c:pt>
                <c:pt idx="2239">
                  <c:v>1310.5</c:v>
                </c:pt>
                <c:pt idx="2240">
                  <c:v>1310.5</c:v>
                </c:pt>
                <c:pt idx="2241">
                  <c:v>201.5</c:v>
                </c:pt>
                <c:pt idx="2242">
                  <c:v>1310.5</c:v>
                </c:pt>
                <c:pt idx="2243">
                  <c:v>1310.5</c:v>
                </c:pt>
                <c:pt idx="2244">
                  <c:v>1310.5</c:v>
                </c:pt>
                <c:pt idx="2245">
                  <c:v>1310.5</c:v>
                </c:pt>
                <c:pt idx="2246">
                  <c:v>1310.5</c:v>
                </c:pt>
                <c:pt idx="2247">
                  <c:v>1310.5</c:v>
                </c:pt>
                <c:pt idx="2248">
                  <c:v>258</c:v>
                </c:pt>
                <c:pt idx="2249">
                  <c:v>1310.5</c:v>
                </c:pt>
                <c:pt idx="2250">
                  <c:v>1310.5</c:v>
                </c:pt>
                <c:pt idx="2251">
                  <c:v>1310.5</c:v>
                </c:pt>
                <c:pt idx="2252">
                  <c:v>1310.5</c:v>
                </c:pt>
                <c:pt idx="2253">
                  <c:v>1310.5</c:v>
                </c:pt>
                <c:pt idx="2254">
                  <c:v>161.5</c:v>
                </c:pt>
                <c:pt idx="2255">
                  <c:v>1310.5</c:v>
                </c:pt>
                <c:pt idx="2256">
                  <c:v>1310.5</c:v>
                </c:pt>
                <c:pt idx="2257">
                  <c:v>1310.5</c:v>
                </c:pt>
                <c:pt idx="2258">
                  <c:v>1310.5</c:v>
                </c:pt>
                <c:pt idx="2259">
                  <c:v>1310.5</c:v>
                </c:pt>
                <c:pt idx="2260">
                  <c:v>1310.5</c:v>
                </c:pt>
                <c:pt idx="2261">
                  <c:v>1310.5</c:v>
                </c:pt>
                <c:pt idx="2262">
                  <c:v>1310.5</c:v>
                </c:pt>
                <c:pt idx="2263">
                  <c:v>1310.5</c:v>
                </c:pt>
                <c:pt idx="2264">
                  <c:v>1310.5</c:v>
                </c:pt>
                <c:pt idx="2265">
                  <c:v>2300</c:v>
                </c:pt>
                <c:pt idx="2266">
                  <c:v>1310.5</c:v>
                </c:pt>
                <c:pt idx="2267">
                  <c:v>1310.5</c:v>
                </c:pt>
                <c:pt idx="2268">
                  <c:v>1310.5</c:v>
                </c:pt>
                <c:pt idx="2269">
                  <c:v>1310.5</c:v>
                </c:pt>
                <c:pt idx="2270">
                  <c:v>1310.5</c:v>
                </c:pt>
                <c:pt idx="2271">
                  <c:v>1310.5</c:v>
                </c:pt>
                <c:pt idx="2272">
                  <c:v>1310.5</c:v>
                </c:pt>
                <c:pt idx="2273">
                  <c:v>1310.5</c:v>
                </c:pt>
                <c:pt idx="2274">
                  <c:v>1310.5</c:v>
                </c:pt>
                <c:pt idx="2275">
                  <c:v>1310.5</c:v>
                </c:pt>
                <c:pt idx="2276">
                  <c:v>80</c:v>
                </c:pt>
                <c:pt idx="2277">
                  <c:v>113</c:v>
                </c:pt>
                <c:pt idx="2278">
                  <c:v>80</c:v>
                </c:pt>
                <c:pt idx="2279">
                  <c:v>1310.5</c:v>
                </c:pt>
                <c:pt idx="2280">
                  <c:v>1310.5</c:v>
                </c:pt>
                <c:pt idx="2281">
                  <c:v>1310.5</c:v>
                </c:pt>
                <c:pt idx="2282">
                  <c:v>1310.5</c:v>
                </c:pt>
                <c:pt idx="2283">
                  <c:v>1310.5</c:v>
                </c:pt>
                <c:pt idx="2284">
                  <c:v>1310.5</c:v>
                </c:pt>
                <c:pt idx="2285">
                  <c:v>1310.5</c:v>
                </c:pt>
                <c:pt idx="2286">
                  <c:v>1310.5</c:v>
                </c:pt>
                <c:pt idx="2287">
                  <c:v>1310.5</c:v>
                </c:pt>
                <c:pt idx="2288">
                  <c:v>1310.5</c:v>
                </c:pt>
                <c:pt idx="2289">
                  <c:v>1310.5</c:v>
                </c:pt>
                <c:pt idx="2290">
                  <c:v>1310.5</c:v>
                </c:pt>
                <c:pt idx="2291">
                  <c:v>1310.5</c:v>
                </c:pt>
                <c:pt idx="2292">
                  <c:v>1310.5</c:v>
                </c:pt>
                <c:pt idx="2293">
                  <c:v>1310.5</c:v>
                </c:pt>
                <c:pt idx="2294">
                  <c:v>1310.5</c:v>
                </c:pt>
                <c:pt idx="2295">
                  <c:v>1310.5</c:v>
                </c:pt>
                <c:pt idx="2296">
                  <c:v>1310.5</c:v>
                </c:pt>
                <c:pt idx="2297">
                  <c:v>1310.5</c:v>
                </c:pt>
                <c:pt idx="2298">
                  <c:v>1310.5</c:v>
                </c:pt>
                <c:pt idx="2299">
                  <c:v>1310.5</c:v>
                </c:pt>
                <c:pt idx="2300">
                  <c:v>279.5</c:v>
                </c:pt>
                <c:pt idx="2301">
                  <c:v>1310.5</c:v>
                </c:pt>
                <c:pt idx="2302">
                  <c:v>1310.5</c:v>
                </c:pt>
                <c:pt idx="2303">
                  <c:v>1310.5</c:v>
                </c:pt>
                <c:pt idx="2304">
                  <c:v>1310.5</c:v>
                </c:pt>
                <c:pt idx="2305">
                  <c:v>1310.5</c:v>
                </c:pt>
                <c:pt idx="2306">
                  <c:v>1310.5</c:v>
                </c:pt>
                <c:pt idx="2307">
                  <c:v>1310.5</c:v>
                </c:pt>
              </c:numCache>
            </c:numRef>
          </c:xVal>
          <c:yVal>
            <c:numRef>
              <c:f>'MFA-derived fluxes'!$H$2:$H$2309</c:f>
              <c:numCache>
                <c:formatCode>General</c:formatCode>
                <c:ptCount val="2308"/>
                <c:pt idx="0">
                  <c:v>1290.5</c:v>
                </c:pt>
                <c:pt idx="1">
                  <c:v>1290.5</c:v>
                </c:pt>
                <c:pt idx="2">
                  <c:v>1290.5</c:v>
                </c:pt>
                <c:pt idx="3">
                  <c:v>100</c:v>
                </c:pt>
                <c:pt idx="4">
                  <c:v>1290.5</c:v>
                </c:pt>
                <c:pt idx="5">
                  <c:v>1290.5</c:v>
                </c:pt>
                <c:pt idx="6">
                  <c:v>184</c:v>
                </c:pt>
                <c:pt idx="7">
                  <c:v>1290.5</c:v>
                </c:pt>
                <c:pt idx="8">
                  <c:v>1290.5</c:v>
                </c:pt>
                <c:pt idx="9">
                  <c:v>1290.5</c:v>
                </c:pt>
                <c:pt idx="10">
                  <c:v>1290.5</c:v>
                </c:pt>
                <c:pt idx="11">
                  <c:v>1290.5</c:v>
                </c:pt>
                <c:pt idx="12">
                  <c:v>1290.5</c:v>
                </c:pt>
                <c:pt idx="13">
                  <c:v>1290.5</c:v>
                </c:pt>
                <c:pt idx="14">
                  <c:v>1290.5</c:v>
                </c:pt>
                <c:pt idx="15">
                  <c:v>1290.5</c:v>
                </c:pt>
                <c:pt idx="16">
                  <c:v>1290.5</c:v>
                </c:pt>
                <c:pt idx="17">
                  <c:v>1290.5</c:v>
                </c:pt>
                <c:pt idx="18">
                  <c:v>273</c:v>
                </c:pt>
                <c:pt idx="19">
                  <c:v>1290.5</c:v>
                </c:pt>
                <c:pt idx="20">
                  <c:v>1290.5</c:v>
                </c:pt>
                <c:pt idx="21">
                  <c:v>143</c:v>
                </c:pt>
                <c:pt idx="22">
                  <c:v>1290.5</c:v>
                </c:pt>
                <c:pt idx="23">
                  <c:v>1290.5</c:v>
                </c:pt>
                <c:pt idx="24">
                  <c:v>1290.5</c:v>
                </c:pt>
                <c:pt idx="25">
                  <c:v>1290.5</c:v>
                </c:pt>
                <c:pt idx="26">
                  <c:v>1290.5</c:v>
                </c:pt>
                <c:pt idx="27">
                  <c:v>1290.5</c:v>
                </c:pt>
                <c:pt idx="28">
                  <c:v>1290.5</c:v>
                </c:pt>
                <c:pt idx="29">
                  <c:v>1290.5</c:v>
                </c:pt>
                <c:pt idx="30">
                  <c:v>1290.5</c:v>
                </c:pt>
                <c:pt idx="31">
                  <c:v>1290.5</c:v>
                </c:pt>
                <c:pt idx="32">
                  <c:v>1290.5</c:v>
                </c:pt>
                <c:pt idx="33">
                  <c:v>1290.5</c:v>
                </c:pt>
                <c:pt idx="34">
                  <c:v>1290.5</c:v>
                </c:pt>
                <c:pt idx="35">
                  <c:v>1290.5</c:v>
                </c:pt>
                <c:pt idx="36">
                  <c:v>1290.5</c:v>
                </c:pt>
                <c:pt idx="37">
                  <c:v>1290.5</c:v>
                </c:pt>
                <c:pt idx="38">
                  <c:v>1290.5</c:v>
                </c:pt>
                <c:pt idx="39">
                  <c:v>1290.5</c:v>
                </c:pt>
                <c:pt idx="40">
                  <c:v>1290.5</c:v>
                </c:pt>
                <c:pt idx="41">
                  <c:v>1290.5</c:v>
                </c:pt>
                <c:pt idx="42">
                  <c:v>1290.5</c:v>
                </c:pt>
                <c:pt idx="43">
                  <c:v>1290.5</c:v>
                </c:pt>
                <c:pt idx="44">
                  <c:v>1290.5</c:v>
                </c:pt>
                <c:pt idx="45">
                  <c:v>1290.5</c:v>
                </c:pt>
                <c:pt idx="46">
                  <c:v>1290.5</c:v>
                </c:pt>
                <c:pt idx="47">
                  <c:v>1290.5</c:v>
                </c:pt>
                <c:pt idx="48">
                  <c:v>1290.5</c:v>
                </c:pt>
                <c:pt idx="49">
                  <c:v>1290.5</c:v>
                </c:pt>
                <c:pt idx="50">
                  <c:v>1290.5</c:v>
                </c:pt>
                <c:pt idx="51">
                  <c:v>1290.5</c:v>
                </c:pt>
                <c:pt idx="52">
                  <c:v>1290.5</c:v>
                </c:pt>
                <c:pt idx="53">
                  <c:v>1290.5</c:v>
                </c:pt>
                <c:pt idx="54">
                  <c:v>1290.5</c:v>
                </c:pt>
                <c:pt idx="55">
                  <c:v>1290.5</c:v>
                </c:pt>
                <c:pt idx="56">
                  <c:v>1290.5</c:v>
                </c:pt>
                <c:pt idx="57">
                  <c:v>1290.5</c:v>
                </c:pt>
                <c:pt idx="58">
                  <c:v>1290.5</c:v>
                </c:pt>
                <c:pt idx="59">
                  <c:v>1290.5</c:v>
                </c:pt>
                <c:pt idx="60">
                  <c:v>1290.5</c:v>
                </c:pt>
                <c:pt idx="61">
                  <c:v>1290.5</c:v>
                </c:pt>
                <c:pt idx="62">
                  <c:v>1290.5</c:v>
                </c:pt>
                <c:pt idx="63">
                  <c:v>1290.5</c:v>
                </c:pt>
                <c:pt idx="64">
                  <c:v>1290.5</c:v>
                </c:pt>
                <c:pt idx="65">
                  <c:v>1290.5</c:v>
                </c:pt>
                <c:pt idx="66">
                  <c:v>1290.5</c:v>
                </c:pt>
                <c:pt idx="67">
                  <c:v>1290.5</c:v>
                </c:pt>
                <c:pt idx="68">
                  <c:v>1290.5</c:v>
                </c:pt>
                <c:pt idx="69">
                  <c:v>1290.5</c:v>
                </c:pt>
                <c:pt idx="70">
                  <c:v>1290.5</c:v>
                </c:pt>
                <c:pt idx="71">
                  <c:v>1290.5</c:v>
                </c:pt>
                <c:pt idx="72">
                  <c:v>1290.5</c:v>
                </c:pt>
                <c:pt idx="73">
                  <c:v>1290.5</c:v>
                </c:pt>
                <c:pt idx="74">
                  <c:v>1290.5</c:v>
                </c:pt>
                <c:pt idx="75">
                  <c:v>1290.5</c:v>
                </c:pt>
                <c:pt idx="76">
                  <c:v>1290.5</c:v>
                </c:pt>
                <c:pt idx="77">
                  <c:v>1290.5</c:v>
                </c:pt>
                <c:pt idx="78">
                  <c:v>1290.5</c:v>
                </c:pt>
                <c:pt idx="79">
                  <c:v>1290.5</c:v>
                </c:pt>
                <c:pt idx="80">
                  <c:v>1290.5</c:v>
                </c:pt>
                <c:pt idx="81">
                  <c:v>1290.5</c:v>
                </c:pt>
                <c:pt idx="82">
                  <c:v>1290.5</c:v>
                </c:pt>
                <c:pt idx="83">
                  <c:v>1290.5</c:v>
                </c:pt>
                <c:pt idx="84">
                  <c:v>1290.5</c:v>
                </c:pt>
                <c:pt idx="85">
                  <c:v>1290.5</c:v>
                </c:pt>
                <c:pt idx="86">
                  <c:v>1290.5</c:v>
                </c:pt>
                <c:pt idx="87">
                  <c:v>1290.5</c:v>
                </c:pt>
                <c:pt idx="88">
                  <c:v>1290.5</c:v>
                </c:pt>
                <c:pt idx="89">
                  <c:v>1290.5</c:v>
                </c:pt>
                <c:pt idx="90">
                  <c:v>1290.5</c:v>
                </c:pt>
                <c:pt idx="91">
                  <c:v>1290.5</c:v>
                </c:pt>
                <c:pt idx="92">
                  <c:v>1290.5</c:v>
                </c:pt>
                <c:pt idx="93">
                  <c:v>1290.5</c:v>
                </c:pt>
                <c:pt idx="94">
                  <c:v>1290.5</c:v>
                </c:pt>
                <c:pt idx="95">
                  <c:v>1290.5</c:v>
                </c:pt>
                <c:pt idx="96">
                  <c:v>1290.5</c:v>
                </c:pt>
                <c:pt idx="97">
                  <c:v>1290.5</c:v>
                </c:pt>
                <c:pt idx="98">
                  <c:v>1290.5</c:v>
                </c:pt>
                <c:pt idx="99">
                  <c:v>1290.5</c:v>
                </c:pt>
                <c:pt idx="100">
                  <c:v>1290.5</c:v>
                </c:pt>
                <c:pt idx="101">
                  <c:v>1290.5</c:v>
                </c:pt>
                <c:pt idx="102">
                  <c:v>1290.5</c:v>
                </c:pt>
                <c:pt idx="103">
                  <c:v>1290.5</c:v>
                </c:pt>
                <c:pt idx="104">
                  <c:v>1290.5</c:v>
                </c:pt>
                <c:pt idx="105">
                  <c:v>1290.5</c:v>
                </c:pt>
                <c:pt idx="106">
                  <c:v>1290.5</c:v>
                </c:pt>
                <c:pt idx="107">
                  <c:v>1290.5</c:v>
                </c:pt>
                <c:pt idx="108">
                  <c:v>1290.5</c:v>
                </c:pt>
                <c:pt idx="109">
                  <c:v>1290.5</c:v>
                </c:pt>
                <c:pt idx="110">
                  <c:v>1290.5</c:v>
                </c:pt>
                <c:pt idx="111">
                  <c:v>1290.5</c:v>
                </c:pt>
                <c:pt idx="112">
                  <c:v>1290.5</c:v>
                </c:pt>
                <c:pt idx="113">
                  <c:v>1290.5</c:v>
                </c:pt>
                <c:pt idx="114">
                  <c:v>1290.5</c:v>
                </c:pt>
                <c:pt idx="115">
                  <c:v>1290.5</c:v>
                </c:pt>
                <c:pt idx="116">
                  <c:v>1290.5</c:v>
                </c:pt>
                <c:pt idx="117">
                  <c:v>1290.5</c:v>
                </c:pt>
                <c:pt idx="118">
                  <c:v>143</c:v>
                </c:pt>
                <c:pt idx="119">
                  <c:v>143</c:v>
                </c:pt>
                <c:pt idx="120">
                  <c:v>1290.5</c:v>
                </c:pt>
                <c:pt idx="121">
                  <c:v>1290.5</c:v>
                </c:pt>
                <c:pt idx="122">
                  <c:v>1290.5</c:v>
                </c:pt>
                <c:pt idx="123">
                  <c:v>1290.5</c:v>
                </c:pt>
                <c:pt idx="124">
                  <c:v>1290.5</c:v>
                </c:pt>
                <c:pt idx="125">
                  <c:v>1290.5</c:v>
                </c:pt>
                <c:pt idx="126">
                  <c:v>1290.5</c:v>
                </c:pt>
                <c:pt idx="127">
                  <c:v>1290.5</c:v>
                </c:pt>
                <c:pt idx="128">
                  <c:v>1290.5</c:v>
                </c:pt>
                <c:pt idx="129">
                  <c:v>1290.5</c:v>
                </c:pt>
                <c:pt idx="130">
                  <c:v>1290.5</c:v>
                </c:pt>
                <c:pt idx="131">
                  <c:v>1290.5</c:v>
                </c:pt>
                <c:pt idx="132">
                  <c:v>1290.5</c:v>
                </c:pt>
                <c:pt idx="133">
                  <c:v>1290.5</c:v>
                </c:pt>
                <c:pt idx="134">
                  <c:v>1290.5</c:v>
                </c:pt>
                <c:pt idx="135">
                  <c:v>1290.5</c:v>
                </c:pt>
                <c:pt idx="136">
                  <c:v>1290.5</c:v>
                </c:pt>
                <c:pt idx="137">
                  <c:v>1290.5</c:v>
                </c:pt>
                <c:pt idx="138">
                  <c:v>1290.5</c:v>
                </c:pt>
                <c:pt idx="139">
                  <c:v>1290.5</c:v>
                </c:pt>
                <c:pt idx="140">
                  <c:v>1290.5</c:v>
                </c:pt>
                <c:pt idx="141">
                  <c:v>1290.5</c:v>
                </c:pt>
                <c:pt idx="142">
                  <c:v>1290.5</c:v>
                </c:pt>
                <c:pt idx="143">
                  <c:v>1290.5</c:v>
                </c:pt>
                <c:pt idx="144">
                  <c:v>1290.5</c:v>
                </c:pt>
                <c:pt idx="145">
                  <c:v>1290.5</c:v>
                </c:pt>
                <c:pt idx="146">
                  <c:v>1290.5</c:v>
                </c:pt>
                <c:pt idx="147">
                  <c:v>1290.5</c:v>
                </c:pt>
                <c:pt idx="148">
                  <c:v>1290.5</c:v>
                </c:pt>
                <c:pt idx="149">
                  <c:v>1290.5</c:v>
                </c:pt>
                <c:pt idx="150">
                  <c:v>1290.5</c:v>
                </c:pt>
                <c:pt idx="151">
                  <c:v>1290.5</c:v>
                </c:pt>
                <c:pt idx="152">
                  <c:v>1290.5</c:v>
                </c:pt>
                <c:pt idx="153">
                  <c:v>1290.5</c:v>
                </c:pt>
                <c:pt idx="154">
                  <c:v>1290.5</c:v>
                </c:pt>
                <c:pt idx="155">
                  <c:v>1290.5</c:v>
                </c:pt>
                <c:pt idx="156">
                  <c:v>1290.5</c:v>
                </c:pt>
                <c:pt idx="157">
                  <c:v>1290.5</c:v>
                </c:pt>
                <c:pt idx="158">
                  <c:v>1290.5</c:v>
                </c:pt>
                <c:pt idx="159">
                  <c:v>1290.5</c:v>
                </c:pt>
                <c:pt idx="160">
                  <c:v>1290.5</c:v>
                </c:pt>
                <c:pt idx="161">
                  <c:v>1290.5</c:v>
                </c:pt>
                <c:pt idx="162">
                  <c:v>1290.5</c:v>
                </c:pt>
                <c:pt idx="163">
                  <c:v>1290.5</c:v>
                </c:pt>
                <c:pt idx="164">
                  <c:v>1290.5</c:v>
                </c:pt>
                <c:pt idx="165">
                  <c:v>1290.5</c:v>
                </c:pt>
                <c:pt idx="166">
                  <c:v>1290.5</c:v>
                </c:pt>
                <c:pt idx="167">
                  <c:v>1290.5</c:v>
                </c:pt>
                <c:pt idx="168">
                  <c:v>1290.5</c:v>
                </c:pt>
                <c:pt idx="169">
                  <c:v>1290.5</c:v>
                </c:pt>
                <c:pt idx="170">
                  <c:v>131.5</c:v>
                </c:pt>
                <c:pt idx="171">
                  <c:v>1290.5</c:v>
                </c:pt>
                <c:pt idx="172">
                  <c:v>1290.5</c:v>
                </c:pt>
                <c:pt idx="173">
                  <c:v>1290.5</c:v>
                </c:pt>
                <c:pt idx="174">
                  <c:v>1290.5</c:v>
                </c:pt>
                <c:pt idx="175">
                  <c:v>1290.5</c:v>
                </c:pt>
                <c:pt idx="176">
                  <c:v>1290.5</c:v>
                </c:pt>
                <c:pt idx="177">
                  <c:v>1290.5</c:v>
                </c:pt>
                <c:pt idx="178">
                  <c:v>1290.5</c:v>
                </c:pt>
                <c:pt idx="179">
                  <c:v>1290.5</c:v>
                </c:pt>
                <c:pt idx="180">
                  <c:v>1290.5</c:v>
                </c:pt>
                <c:pt idx="181">
                  <c:v>1290.5</c:v>
                </c:pt>
                <c:pt idx="182">
                  <c:v>1290.5</c:v>
                </c:pt>
                <c:pt idx="183">
                  <c:v>1290.5</c:v>
                </c:pt>
                <c:pt idx="184">
                  <c:v>1290.5</c:v>
                </c:pt>
                <c:pt idx="185">
                  <c:v>254</c:v>
                </c:pt>
                <c:pt idx="186">
                  <c:v>1290.5</c:v>
                </c:pt>
                <c:pt idx="187">
                  <c:v>1290.5</c:v>
                </c:pt>
                <c:pt idx="188">
                  <c:v>254</c:v>
                </c:pt>
                <c:pt idx="189">
                  <c:v>85.5</c:v>
                </c:pt>
                <c:pt idx="190">
                  <c:v>1290.5</c:v>
                </c:pt>
                <c:pt idx="191">
                  <c:v>1290.5</c:v>
                </c:pt>
                <c:pt idx="192">
                  <c:v>1290.5</c:v>
                </c:pt>
                <c:pt idx="193">
                  <c:v>159</c:v>
                </c:pt>
                <c:pt idx="194">
                  <c:v>1290.5</c:v>
                </c:pt>
                <c:pt idx="195">
                  <c:v>1290.5</c:v>
                </c:pt>
                <c:pt idx="196">
                  <c:v>1290.5</c:v>
                </c:pt>
                <c:pt idx="197">
                  <c:v>65.5</c:v>
                </c:pt>
                <c:pt idx="198">
                  <c:v>2297.5</c:v>
                </c:pt>
                <c:pt idx="199">
                  <c:v>103</c:v>
                </c:pt>
                <c:pt idx="200">
                  <c:v>1290.5</c:v>
                </c:pt>
                <c:pt idx="201">
                  <c:v>1290.5</c:v>
                </c:pt>
                <c:pt idx="202">
                  <c:v>1290.5</c:v>
                </c:pt>
                <c:pt idx="203">
                  <c:v>1290.5</c:v>
                </c:pt>
                <c:pt idx="204">
                  <c:v>1290.5</c:v>
                </c:pt>
                <c:pt idx="205">
                  <c:v>1290.5</c:v>
                </c:pt>
                <c:pt idx="206">
                  <c:v>1290.5</c:v>
                </c:pt>
                <c:pt idx="207">
                  <c:v>1290.5</c:v>
                </c:pt>
                <c:pt idx="208">
                  <c:v>1290.5</c:v>
                </c:pt>
                <c:pt idx="209">
                  <c:v>1290.5</c:v>
                </c:pt>
                <c:pt idx="210">
                  <c:v>1290.5</c:v>
                </c:pt>
                <c:pt idx="211">
                  <c:v>1290.5</c:v>
                </c:pt>
                <c:pt idx="212">
                  <c:v>1290.5</c:v>
                </c:pt>
                <c:pt idx="213">
                  <c:v>1290.5</c:v>
                </c:pt>
                <c:pt idx="214">
                  <c:v>1290.5</c:v>
                </c:pt>
                <c:pt idx="215">
                  <c:v>1290.5</c:v>
                </c:pt>
                <c:pt idx="216">
                  <c:v>1290.5</c:v>
                </c:pt>
                <c:pt idx="217">
                  <c:v>1290.5</c:v>
                </c:pt>
                <c:pt idx="218">
                  <c:v>1290.5</c:v>
                </c:pt>
                <c:pt idx="219">
                  <c:v>1290.5</c:v>
                </c:pt>
                <c:pt idx="220">
                  <c:v>1290.5</c:v>
                </c:pt>
                <c:pt idx="221">
                  <c:v>1290.5</c:v>
                </c:pt>
                <c:pt idx="222">
                  <c:v>1290.5</c:v>
                </c:pt>
                <c:pt idx="223">
                  <c:v>1290.5</c:v>
                </c:pt>
                <c:pt idx="224">
                  <c:v>1290.5</c:v>
                </c:pt>
                <c:pt idx="225">
                  <c:v>1290.5</c:v>
                </c:pt>
                <c:pt idx="226">
                  <c:v>1290.5</c:v>
                </c:pt>
                <c:pt idx="227">
                  <c:v>1290.5</c:v>
                </c:pt>
                <c:pt idx="228">
                  <c:v>1290.5</c:v>
                </c:pt>
                <c:pt idx="229">
                  <c:v>1290.5</c:v>
                </c:pt>
                <c:pt idx="230">
                  <c:v>1290.5</c:v>
                </c:pt>
                <c:pt idx="231">
                  <c:v>1290.5</c:v>
                </c:pt>
                <c:pt idx="232">
                  <c:v>1290.5</c:v>
                </c:pt>
                <c:pt idx="233">
                  <c:v>1290.5</c:v>
                </c:pt>
                <c:pt idx="234">
                  <c:v>1290.5</c:v>
                </c:pt>
                <c:pt idx="235">
                  <c:v>1290.5</c:v>
                </c:pt>
                <c:pt idx="236">
                  <c:v>1290.5</c:v>
                </c:pt>
                <c:pt idx="237">
                  <c:v>1290.5</c:v>
                </c:pt>
                <c:pt idx="238">
                  <c:v>1290.5</c:v>
                </c:pt>
                <c:pt idx="239">
                  <c:v>1290.5</c:v>
                </c:pt>
                <c:pt idx="240">
                  <c:v>1290.5</c:v>
                </c:pt>
                <c:pt idx="241">
                  <c:v>1290.5</c:v>
                </c:pt>
                <c:pt idx="242">
                  <c:v>1290.5</c:v>
                </c:pt>
                <c:pt idx="243">
                  <c:v>1290.5</c:v>
                </c:pt>
                <c:pt idx="244">
                  <c:v>1290.5</c:v>
                </c:pt>
                <c:pt idx="245">
                  <c:v>1290.5</c:v>
                </c:pt>
                <c:pt idx="246">
                  <c:v>1290.5</c:v>
                </c:pt>
                <c:pt idx="247">
                  <c:v>1290.5</c:v>
                </c:pt>
                <c:pt idx="248">
                  <c:v>1290.5</c:v>
                </c:pt>
                <c:pt idx="249">
                  <c:v>1290.5</c:v>
                </c:pt>
                <c:pt idx="250">
                  <c:v>1290.5</c:v>
                </c:pt>
                <c:pt idx="251">
                  <c:v>1290.5</c:v>
                </c:pt>
                <c:pt idx="252">
                  <c:v>1290.5</c:v>
                </c:pt>
                <c:pt idx="253">
                  <c:v>1290.5</c:v>
                </c:pt>
                <c:pt idx="254">
                  <c:v>1290.5</c:v>
                </c:pt>
                <c:pt idx="255">
                  <c:v>1290.5</c:v>
                </c:pt>
                <c:pt idx="256">
                  <c:v>1290.5</c:v>
                </c:pt>
                <c:pt idx="257">
                  <c:v>1290.5</c:v>
                </c:pt>
                <c:pt idx="258">
                  <c:v>1290.5</c:v>
                </c:pt>
                <c:pt idx="259">
                  <c:v>1290.5</c:v>
                </c:pt>
                <c:pt idx="260">
                  <c:v>1290.5</c:v>
                </c:pt>
                <c:pt idx="261">
                  <c:v>1290.5</c:v>
                </c:pt>
                <c:pt idx="262">
                  <c:v>1290.5</c:v>
                </c:pt>
                <c:pt idx="263">
                  <c:v>1290.5</c:v>
                </c:pt>
                <c:pt idx="264">
                  <c:v>1290.5</c:v>
                </c:pt>
                <c:pt idx="265">
                  <c:v>1290.5</c:v>
                </c:pt>
                <c:pt idx="266">
                  <c:v>1290.5</c:v>
                </c:pt>
                <c:pt idx="267">
                  <c:v>1290.5</c:v>
                </c:pt>
                <c:pt idx="268">
                  <c:v>53</c:v>
                </c:pt>
                <c:pt idx="269">
                  <c:v>53</c:v>
                </c:pt>
                <c:pt idx="270">
                  <c:v>85.5</c:v>
                </c:pt>
                <c:pt idx="271">
                  <c:v>1290.5</c:v>
                </c:pt>
                <c:pt idx="272">
                  <c:v>1290.5</c:v>
                </c:pt>
                <c:pt idx="273">
                  <c:v>1290.5</c:v>
                </c:pt>
                <c:pt idx="274">
                  <c:v>1290.5</c:v>
                </c:pt>
                <c:pt idx="275">
                  <c:v>1290.5</c:v>
                </c:pt>
                <c:pt idx="276">
                  <c:v>249</c:v>
                </c:pt>
                <c:pt idx="277">
                  <c:v>1290.5</c:v>
                </c:pt>
                <c:pt idx="278">
                  <c:v>1290.5</c:v>
                </c:pt>
                <c:pt idx="279">
                  <c:v>1290.5</c:v>
                </c:pt>
                <c:pt idx="280">
                  <c:v>1290.5</c:v>
                </c:pt>
                <c:pt idx="281">
                  <c:v>1290.5</c:v>
                </c:pt>
                <c:pt idx="282">
                  <c:v>1290.5</c:v>
                </c:pt>
                <c:pt idx="283">
                  <c:v>1290.5</c:v>
                </c:pt>
                <c:pt idx="284">
                  <c:v>1290.5</c:v>
                </c:pt>
                <c:pt idx="285">
                  <c:v>1290.5</c:v>
                </c:pt>
                <c:pt idx="286">
                  <c:v>1290.5</c:v>
                </c:pt>
                <c:pt idx="287">
                  <c:v>64</c:v>
                </c:pt>
                <c:pt idx="288">
                  <c:v>1290.5</c:v>
                </c:pt>
                <c:pt idx="289">
                  <c:v>1290.5</c:v>
                </c:pt>
                <c:pt idx="290">
                  <c:v>1290.5</c:v>
                </c:pt>
                <c:pt idx="291">
                  <c:v>1290.5</c:v>
                </c:pt>
                <c:pt idx="292">
                  <c:v>197</c:v>
                </c:pt>
                <c:pt idx="293">
                  <c:v>1290.5</c:v>
                </c:pt>
                <c:pt idx="294">
                  <c:v>2</c:v>
                </c:pt>
                <c:pt idx="295">
                  <c:v>1290.5</c:v>
                </c:pt>
                <c:pt idx="296">
                  <c:v>1290.5</c:v>
                </c:pt>
                <c:pt idx="297">
                  <c:v>1290.5</c:v>
                </c:pt>
                <c:pt idx="298">
                  <c:v>1290.5</c:v>
                </c:pt>
                <c:pt idx="299">
                  <c:v>1290.5</c:v>
                </c:pt>
                <c:pt idx="300">
                  <c:v>1290.5</c:v>
                </c:pt>
                <c:pt idx="301">
                  <c:v>1290.5</c:v>
                </c:pt>
                <c:pt idx="302">
                  <c:v>1290.5</c:v>
                </c:pt>
                <c:pt idx="303">
                  <c:v>1290.5</c:v>
                </c:pt>
                <c:pt idx="304">
                  <c:v>1290.5</c:v>
                </c:pt>
                <c:pt idx="305">
                  <c:v>245</c:v>
                </c:pt>
                <c:pt idx="306">
                  <c:v>193.5</c:v>
                </c:pt>
                <c:pt idx="307">
                  <c:v>177.5</c:v>
                </c:pt>
                <c:pt idx="308">
                  <c:v>193.5</c:v>
                </c:pt>
                <c:pt idx="309">
                  <c:v>1290.5</c:v>
                </c:pt>
                <c:pt idx="310">
                  <c:v>1290.5</c:v>
                </c:pt>
                <c:pt idx="311">
                  <c:v>1290.5</c:v>
                </c:pt>
                <c:pt idx="312">
                  <c:v>1290.5</c:v>
                </c:pt>
                <c:pt idx="313">
                  <c:v>1290.5</c:v>
                </c:pt>
                <c:pt idx="314">
                  <c:v>1290.5</c:v>
                </c:pt>
                <c:pt idx="315">
                  <c:v>1290.5</c:v>
                </c:pt>
                <c:pt idx="316">
                  <c:v>1290.5</c:v>
                </c:pt>
                <c:pt idx="317">
                  <c:v>1290.5</c:v>
                </c:pt>
                <c:pt idx="318">
                  <c:v>1290.5</c:v>
                </c:pt>
                <c:pt idx="319">
                  <c:v>85.5</c:v>
                </c:pt>
                <c:pt idx="320">
                  <c:v>1290.5</c:v>
                </c:pt>
                <c:pt idx="321">
                  <c:v>197</c:v>
                </c:pt>
                <c:pt idx="322">
                  <c:v>1290.5</c:v>
                </c:pt>
                <c:pt idx="323">
                  <c:v>1290.5</c:v>
                </c:pt>
                <c:pt idx="324">
                  <c:v>1290.5</c:v>
                </c:pt>
                <c:pt idx="325">
                  <c:v>1290.5</c:v>
                </c:pt>
                <c:pt idx="326">
                  <c:v>1290.5</c:v>
                </c:pt>
                <c:pt idx="327">
                  <c:v>245</c:v>
                </c:pt>
                <c:pt idx="328">
                  <c:v>148.5</c:v>
                </c:pt>
                <c:pt idx="329">
                  <c:v>177.5</c:v>
                </c:pt>
                <c:pt idx="330">
                  <c:v>1290.5</c:v>
                </c:pt>
                <c:pt idx="331">
                  <c:v>62</c:v>
                </c:pt>
                <c:pt idx="332">
                  <c:v>34</c:v>
                </c:pt>
                <c:pt idx="333">
                  <c:v>1290.5</c:v>
                </c:pt>
                <c:pt idx="334">
                  <c:v>1290.5</c:v>
                </c:pt>
                <c:pt idx="335">
                  <c:v>1290.5</c:v>
                </c:pt>
                <c:pt idx="336">
                  <c:v>1290.5</c:v>
                </c:pt>
                <c:pt idx="337">
                  <c:v>1290.5</c:v>
                </c:pt>
                <c:pt idx="338">
                  <c:v>2301</c:v>
                </c:pt>
                <c:pt idx="339">
                  <c:v>98</c:v>
                </c:pt>
                <c:pt idx="340">
                  <c:v>1290.5</c:v>
                </c:pt>
                <c:pt idx="341">
                  <c:v>1290.5</c:v>
                </c:pt>
                <c:pt idx="342">
                  <c:v>1290.5</c:v>
                </c:pt>
                <c:pt idx="343">
                  <c:v>1290.5</c:v>
                </c:pt>
                <c:pt idx="344">
                  <c:v>1290.5</c:v>
                </c:pt>
                <c:pt idx="345">
                  <c:v>1290.5</c:v>
                </c:pt>
                <c:pt idx="346">
                  <c:v>1290.5</c:v>
                </c:pt>
                <c:pt idx="347">
                  <c:v>1290.5</c:v>
                </c:pt>
                <c:pt idx="348">
                  <c:v>1290.5</c:v>
                </c:pt>
                <c:pt idx="349">
                  <c:v>1290.5</c:v>
                </c:pt>
                <c:pt idx="350">
                  <c:v>1290.5</c:v>
                </c:pt>
                <c:pt idx="351">
                  <c:v>1290.5</c:v>
                </c:pt>
                <c:pt idx="352">
                  <c:v>1290.5</c:v>
                </c:pt>
                <c:pt idx="353">
                  <c:v>1290.5</c:v>
                </c:pt>
                <c:pt idx="354">
                  <c:v>1290.5</c:v>
                </c:pt>
                <c:pt idx="355">
                  <c:v>1290.5</c:v>
                </c:pt>
                <c:pt idx="356">
                  <c:v>1290.5</c:v>
                </c:pt>
                <c:pt idx="357">
                  <c:v>1290.5</c:v>
                </c:pt>
                <c:pt idx="358">
                  <c:v>1290.5</c:v>
                </c:pt>
                <c:pt idx="359">
                  <c:v>1290.5</c:v>
                </c:pt>
                <c:pt idx="360">
                  <c:v>1290.5</c:v>
                </c:pt>
                <c:pt idx="361">
                  <c:v>1290.5</c:v>
                </c:pt>
                <c:pt idx="362">
                  <c:v>1290.5</c:v>
                </c:pt>
                <c:pt idx="363">
                  <c:v>1290.5</c:v>
                </c:pt>
                <c:pt idx="364">
                  <c:v>1290.5</c:v>
                </c:pt>
                <c:pt idx="365">
                  <c:v>1290.5</c:v>
                </c:pt>
                <c:pt idx="366">
                  <c:v>1290.5</c:v>
                </c:pt>
                <c:pt idx="367">
                  <c:v>1290.5</c:v>
                </c:pt>
                <c:pt idx="368">
                  <c:v>1290.5</c:v>
                </c:pt>
                <c:pt idx="369">
                  <c:v>1290.5</c:v>
                </c:pt>
                <c:pt idx="370">
                  <c:v>1290.5</c:v>
                </c:pt>
                <c:pt idx="371">
                  <c:v>1290.5</c:v>
                </c:pt>
                <c:pt idx="372">
                  <c:v>1290.5</c:v>
                </c:pt>
                <c:pt idx="373">
                  <c:v>1290.5</c:v>
                </c:pt>
                <c:pt idx="374">
                  <c:v>1290.5</c:v>
                </c:pt>
                <c:pt idx="375">
                  <c:v>1290.5</c:v>
                </c:pt>
                <c:pt idx="376">
                  <c:v>1290.5</c:v>
                </c:pt>
                <c:pt idx="377">
                  <c:v>1290.5</c:v>
                </c:pt>
                <c:pt idx="378">
                  <c:v>1290.5</c:v>
                </c:pt>
                <c:pt idx="379">
                  <c:v>1290.5</c:v>
                </c:pt>
                <c:pt idx="380">
                  <c:v>1290.5</c:v>
                </c:pt>
                <c:pt idx="381">
                  <c:v>1290.5</c:v>
                </c:pt>
                <c:pt idx="382">
                  <c:v>78.5</c:v>
                </c:pt>
                <c:pt idx="383">
                  <c:v>251</c:v>
                </c:pt>
                <c:pt idx="384">
                  <c:v>1290.5</c:v>
                </c:pt>
                <c:pt idx="385">
                  <c:v>1290.5</c:v>
                </c:pt>
                <c:pt idx="386">
                  <c:v>1290.5</c:v>
                </c:pt>
                <c:pt idx="387">
                  <c:v>1290.5</c:v>
                </c:pt>
                <c:pt idx="388">
                  <c:v>1290.5</c:v>
                </c:pt>
                <c:pt idx="389">
                  <c:v>1290.5</c:v>
                </c:pt>
                <c:pt idx="390">
                  <c:v>1290.5</c:v>
                </c:pt>
                <c:pt idx="391">
                  <c:v>1290.5</c:v>
                </c:pt>
                <c:pt idx="392">
                  <c:v>1290.5</c:v>
                </c:pt>
                <c:pt idx="393">
                  <c:v>1290.5</c:v>
                </c:pt>
                <c:pt idx="394">
                  <c:v>1290.5</c:v>
                </c:pt>
                <c:pt idx="395">
                  <c:v>1290.5</c:v>
                </c:pt>
                <c:pt idx="396">
                  <c:v>1290.5</c:v>
                </c:pt>
                <c:pt idx="397">
                  <c:v>2295.5</c:v>
                </c:pt>
                <c:pt idx="398">
                  <c:v>189</c:v>
                </c:pt>
                <c:pt idx="399">
                  <c:v>189</c:v>
                </c:pt>
                <c:pt idx="400">
                  <c:v>1290.5</c:v>
                </c:pt>
                <c:pt idx="401">
                  <c:v>1290.5</c:v>
                </c:pt>
                <c:pt idx="402">
                  <c:v>1290.5</c:v>
                </c:pt>
                <c:pt idx="403">
                  <c:v>1290.5</c:v>
                </c:pt>
                <c:pt idx="404">
                  <c:v>1290.5</c:v>
                </c:pt>
                <c:pt idx="405">
                  <c:v>1290.5</c:v>
                </c:pt>
                <c:pt idx="406">
                  <c:v>1290.5</c:v>
                </c:pt>
                <c:pt idx="407">
                  <c:v>111</c:v>
                </c:pt>
                <c:pt idx="408">
                  <c:v>1290.5</c:v>
                </c:pt>
                <c:pt idx="409">
                  <c:v>1290.5</c:v>
                </c:pt>
                <c:pt idx="410">
                  <c:v>173</c:v>
                </c:pt>
                <c:pt idx="411">
                  <c:v>1290.5</c:v>
                </c:pt>
                <c:pt idx="412">
                  <c:v>1290.5</c:v>
                </c:pt>
                <c:pt idx="413">
                  <c:v>1290.5</c:v>
                </c:pt>
                <c:pt idx="414">
                  <c:v>1290.5</c:v>
                </c:pt>
                <c:pt idx="415">
                  <c:v>1290.5</c:v>
                </c:pt>
                <c:pt idx="416">
                  <c:v>169</c:v>
                </c:pt>
                <c:pt idx="417">
                  <c:v>49.5</c:v>
                </c:pt>
                <c:pt idx="418">
                  <c:v>1290.5</c:v>
                </c:pt>
                <c:pt idx="419">
                  <c:v>111</c:v>
                </c:pt>
                <c:pt idx="420">
                  <c:v>57</c:v>
                </c:pt>
                <c:pt idx="421">
                  <c:v>1290.5</c:v>
                </c:pt>
                <c:pt idx="422">
                  <c:v>1290.5</c:v>
                </c:pt>
                <c:pt idx="423">
                  <c:v>49.5</c:v>
                </c:pt>
                <c:pt idx="424">
                  <c:v>1290.5</c:v>
                </c:pt>
                <c:pt idx="425">
                  <c:v>1290.5</c:v>
                </c:pt>
                <c:pt idx="426">
                  <c:v>1290.5</c:v>
                </c:pt>
                <c:pt idx="427">
                  <c:v>1290.5</c:v>
                </c:pt>
                <c:pt idx="428">
                  <c:v>1290.5</c:v>
                </c:pt>
                <c:pt idx="429">
                  <c:v>1290.5</c:v>
                </c:pt>
                <c:pt idx="430">
                  <c:v>1290.5</c:v>
                </c:pt>
                <c:pt idx="431">
                  <c:v>1290.5</c:v>
                </c:pt>
                <c:pt idx="432">
                  <c:v>1290.5</c:v>
                </c:pt>
                <c:pt idx="433">
                  <c:v>1290.5</c:v>
                </c:pt>
                <c:pt idx="434">
                  <c:v>218</c:v>
                </c:pt>
                <c:pt idx="435">
                  <c:v>6</c:v>
                </c:pt>
                <c:pt idx="436">
                  <c:v>1290.5</c:v>
                </c:pt>
                <c:pt idx="437">
                  <c:v>1290.5</c:v>
                </c:pt>
                <c:pt idx="438">
                  <c:v>1290.5</c:v>
                </c:pt>
                <c:pt idx="439">
                  <c:v>1290.5</c:v>
                </c:pt>
                <c:pt idx="440">
                  <c:v>1290.5</c:v>
                </c:pt>
                <c:pt idx="441">
                  <c:v>1290.5</c:v>
                </c:pt>
                <c:pt idx="442">
                  <c:v>1290.5</c:v>
                </c:pt>
                <c:pt idx="443">
                  <c:v>1290.5</c:v>
                </c:pt>
                <c:pt idx="444">
                  <c:v>1290.5</c:v>
                </c:pt>
                <c:pt idx="445">
                  <c:v>1290.5</c:v>
                </c:pt>
                <c:pt idx="446">
                  <c:v>1290.5</c:v>
                </c:pt>
                <c:pt idx="447">
                  <c:v>1290.5</c:v>
                </c:pt>
                <c:pt idx="448">
                  <c:v>245</c:v>
                </c:pt>
                <c:pt idx="449">
                  <c:v>1290.5</c:v>
                </c:pt>
                <c:pt idx="450">
                  <c:v>1290.5</c:v>
                </c:pt>
                <c:pt idx="451">
                  <c:v>1290.5</c:v>
                </c:pt>
                <c:pt idx="452">
                  <c:v>1290.5</c:v>
                </c:pt>
                <c:pt idx="453">
                  <c:v>1290.5</c:v>
                </c:pt>
                <c:pt idx="454">
                  <c:v>1290.5</c:v>
                </c:pt>
                <c:pt idx="455">
                  <c:v>1290.5</c:v>
                </c:pt>
                <c:pt idx="456">
                  <c:v>1290.5</c:v>
                </c:pt>
                <c:pt idx="457">
                  <c:v>232.5</c:v>
                </c:pt>
                <c:pt idx="458">
                  <c:v>240.5</c:v>
                </c:pt>
                <c:pt idx="459">
                  <c:v>1290.5</c:v>
                </c:pt>
                <c:pt idx="460">
                  <c:v>232.5</c:v>
                </c:pt>
                <c:pt idx="461">
                  <c:v>232.5</c:v>
                </c:pt>
                <c:pt idx="462">
                  <c:v>232.5</c:v>
                </c:pt>
                <c:pt idx="463">
                  <c:v>232.5</c:v>
                </c:pt>
                <c:pt idx="464">
                  <c:v>232.5</c:v>
                </c:pt>
                <c:pt idx="465">
                  <c:v>232.5</c:v>
                </c:pt>
                <c:pt idx="466">
                  <c:v>232.5</c:v>
                </c:pt>
                <c:pt idx="467">
                  <c:v>232.5</c:v>
                </c:pt>
                <c:pt idx="468">
                  <c:v>240.5</c:v>
                </c:pt>
                <c:pt idx="469">
                  <c:v>232.5</c:v>
                </c:pt>
                <c:pt idx="470">
                  <c:v>277.5</c:v>
                </c:pt>
                <c:pt idx="471">
                  <c:v>1290.5</c:v>
                </c:pt>
                <c:pt idx="472">
                  <c:v>1290.5</c:v>
                </c:pt>
                <c:pt idx="473">
                  <c:v>1290.5</c:v>
                </c:pt>
                <c:pt idx="474">
                  <c:v>1290.5</c:v>
                </c:pt>
                <c:pt idx="475">
                  <c:v>1290.5</c:v>
                </c:pt>
                <c:pt idx="476">
                  <c:v>1290.5</c:v>
                </c:pt>
                <c:pt idx="477">
                  <c:v>1290.5</c:v>
                </c:pt>
                <c:pt idx="478">
                  <c:v>1290.5</c:v>
                </c:pt>
                <c:pt idx="479">
                  <c:v>1290.5</c:v>
                </c:pt>
                <c:pt idx="480">
                  <c:v>1290.5</c:v>
                </c:pt>
                <c:pt idx="481">
                  <c:v>1290.5</c:v>
                </c:pt>
                <c:pt idx="482">
                  <c:v>120</c:v>
                </c:pt>
                <c:pt idx="483">
                  <c:v>1290.5</c:v>
                </c:pt>
                <c:pt idx="484">
                  <c:v>1290.5</c:v>
                </c:pt>
                <c:pt idx="485">
                  <c:v>1290.5</c:v>
                </c:pt>
                <c:pt idx="486">
                  <c:v>1290.5</c:v>
                </c:pt>
                <c:pt idx="487">
                  <c:v>1290.5</c:v>
                </c:pt>
                <c:pt idx="488">
                  <c:v>1290.5</c:v>
                </c:pt>
                <c:pt idx="489">
                  <c:v>1290.5</c:v>
                </c:pt>
                <c:pt idx="490">
                  <c:v>1290.5</c:v>
                </c:pt>
                <c:pt idx="491">
                  <c:v>1290.5</c:v>
                </c:pt>
                <c:pt idx="492">
                  <c:v>1290.5</c:v>
                </c:pt>
                <c:pt idx="493">
                  <c:v>1290.5</c:v>
                </c:pt>
                <c:pt idx="494">
                  <c:v>1290.5</c:v>
                </c:pt>
                <c:pt idx="495">
                  <c:v>1290.5</c:v>
                </c:pt>
                <c:pt idx="496">
                  <c:v>1290.5</c:v>
                </c:pt>
                <c:pt idx="497">
                  <c:v>1290.5</c:v>
                </c:pt>
                <c:pt idx="498">
                  <c:v>1290.5</c:v>
                </c:pt>
                <c:pt idx="499">
                  <c:v>1290.5</c:v>
                </c:pt>
                <c:pt idx="500">
                  <c:v>1290.5</c:v>
                </c:pt>
                <c:pt idx="501">
                  <c:v>1290.5</c:v>
                </c:pt>
                <c:pt idx="502">
                  <c:v>1290.5</c:v>
                </c:pt>
                <c:pt idx="503">
                  <c:v>1290.5</c:v>
                </c:pt>
                <c:pt idx="504">
                  <c:v>1290.5</c:v>
                </c:pt>
                <c:pt idx="505">
                  <c:v>1290.5</c:v>
                </c:pt>
                <c:pt idx="506">
                  <c:v>1290.5</c:v>
                </c:pt>
                <c:pt idx="507">
                  <c:v>1290.5</c:v>
                </c:pt>
                <c:pt idx="508">
                  <c:v>1290.5</c:v>
                </c:pt>
                <c:pt idx="509">
                  <c:v>1290.5</c:v>
                </c:pt>
                <c:pt idx="510">
                  <c:v>1290.5</c:v>
                </c:pt>
                <c:pt idx="511">
                  <c:v>1290.5</c:v>
                </c:pt>
                <c:pt idx="512">
                  <c:v>1290.5</c:v>
                </c:pt>
                <c:pt idx="513">
                  <c:v>164</c:v>
                </c:pt>
                <c:pt idx="514">
                  <c:v>153</c:v>
                </c:pt>
                <c:pt idx="515">
                  <c:v>1290.5</c:v>
                </c:pt>
                <c:pt idx="516">
                  <c:v>1290.5</c:v>
                </c:pt>
                <c:pt idx="517">
                  <c:v>1290.5</c:v>
                </c:pt>
                <c:pt idx="518">
                  <c:v>1290.5</c:v>
                </c:pt>
                <c:pt idx="519">
                  <c:v>254</c:v>
                </c:pt>
                <c:pt idx="520">
                  <c:v>1290.5</c:v>
                </c:pt>
                <c:pt idx="521">
                  <c:v>1290.5</c:v>
                </c:pt>
                <c:pt idx="522">
                  <c:v>1290.5</c:v>
                </c:pt>
                <c:pt idx="523">
                  <c:v>65.5</c:v>
                </c:pt>
                <c:pt idx="524">
                  <c:v>1290.5</c:v>
                </c:pt>
                <c:pt idx="525">
                  <c:v>1290.5</c:v>
                </c:pt>
                <c:pt idx="526">
                  <c:v>1290.5</c:v>
                </c:pt>
                <c:pt idx="527">
                  <c:v>1290.5</c:v>
                </c:pt>
                <c:pt idx="528">
                  <c:v>1290.5</c:v>
                </c:pt>
                <c:pt idx="529">
                  <c:v>1290.5</c:v>
                </c:pt>
                <c:pt idx="530">
                  <c:v>1290.5</c:v>
                </c:pt>
                <c:pt idx="531">
                  <c:v>1290.5</c:v>
                </c:pt>
                <c:pt idx="532">
                  <c:v>1290.5</c:v>
                </c:pt>
                <c:pt idx="533">
                  <c:v>1290.5</c:v>
                </c:pt>
                <c:pt idx="534">
                  <c:v>1290.5</c:v>
                </c:pt>
                <c:pt idx="535">
                  <c:v>1290.5</c:v>
                </c:pt>
                <c:pt idx="536">
                  <c:v>1290.5</c:v>
                </c:pt>
                <c:pt idx="537">
                  <c:v>1290.5</c:v>
                </c:pt>
                <c:pt idx="538">
                  <c:v>9.5</c:v>
                </c:pt>
                <c:pt idx="539">
                  <c:v>1290.5</c:v>
                </c:pt>
                <c:pt idx="540">
                  <c:v>2308</c:v>
                </c:pt>
                <c:pt idx="541">
                  <c:v>1290.5</c:v>
                </c:pt>
                <c:pt idx="542">
                  <c:v>1290.5</c:v>
                </c:pt>
                <c:pt idx="543">
                  <c:v>1290.5</c:v>
                </c:pt>
                <c:pt idx="544">
                  <c:v>1290.5</c:v>
                </c:pt>
                <c:pt idx="545">
                  <c:v>1290.5</c:v>
                </c:pt>
                <c:pt idx="546">
                  <c:v>1290.5</c:v>
                </c:pt>
                <c:pt idx="547">
                  <c:v>1290.5</c:v>
                </c:pt>
                <c:pt idx="548">
                  <c:v>1290.5</c:v>
                </c:pt>
                <c:pt idx="549">
                  <c:v>1290.5</c:v>
                </c:pt>
                <c:pt idx="550">
                  <c:v>1290.5</c:v>
                </c:pt>
                <c:pt idx="551">
                  <c:v>1290.5</c:v>
                </c:pt>
                <c:pt idx="552">
                  <c:v>1290.5</c:v>
                </c:pt>
                <c:pt idx="553">
                  <c:v>1290.5</c:v>
                </c:pt>
                <c:pt idx="554">
                  <c:v>1290.5</c:v>
                </c:pt>
                <c:pt idx="555">
                  <c:v>195</c:v>
                </c:pt>
                <c:pt idx="556">
                  <c:v>1290.5</c:v>
                </c:pt>
                <c:pt idx="557">
                  <c:v>1290.5</c:v>
                </c:pt>
                <c:pt idx="558">
                  <c:v>1290.5</c:v>
                </c:pt>
                <c:pt idx="559">
                  <c:v>1290.5</c:v>
                </c:pt>
                <c:pt idx="560">
                  <c:v>1290.5</c:v>
                </c:pt>
                <c:pt idx="561">
                  <c:v>1290.5</c:v>
                </c:pt>
                <c:pt idx="562">
                  <c:v>1290.5</c:v>
                </c:pt>
                <c:pt idx="563">
                  <c:v>1290.5</c:v>
                </c:pt>
                <c:pt idx="564">
                  <c:v>1290.5</c:v>
                </c:pt>
                <c:pt idx="565">
                  <c:v>1290.5</c:v>
                </c:pt>
                <c:pt idx="566">
                  <c:v>1290.5</c:v>
                </c:pt>
                <c:pt idx="567">
                  <c:v>1290.5</c:v>
                </c:pt>
                <c:pt idx="568">
                  <c:v>1290.5</c:v>
                </c:pt>
                <c:pt idx="569">
                  <c:v>1290.5</c:v>
                </c:pt>
                <c:pt idx="570">
                  <c:v>1290.5</c:v>
                </c:pt>
                <c:pt idx="571">
                  <c:v>1290.5</c:v>
                </c:pt>
                <c:pt idx="572">
                  <c:v>1290.5</c:v>
                </c:pt>
                <c:pt idx="573">
                  <c:v>1290.5</c:v>
                </c:pt>
                <c:pt idx="574">
                  <c:v>1290.5</c:v>
                </c:pt>
                <c:pt idx="575">
                  <c:v>1290.5</c:v>
                </c:pt>
                <c:pt idx="576">
                  <c:v>1290.5</c:v>
                </c:pt>
                <c:pt idx="577">
                  <c:v>1290.5</c:v>
                </c:pt>
                <c:pt idx="578">
                  <c:v>1290.5</c:v>
                </c:pt>
                <c:pt idx="579">
                  <c:v>1290.5</c:v>
                </c:pt>
                <c:pt idx="580">
                  <c:v>1290.5</c:v>
                </c:pt>
                <c:pt idx="581">
                  <c:v>1290.5</c:v>
                </c:pt>
                <c:pt idx="582">
                  <c:v>1290.5</c:v>
                </c:pt>
                <c:pt idx="583">
                  <c:v>1290.5</c:v>
                </c:pt>
                <c:pt idx="584">
                  <c:v>1290.5</c:v>
                </c:pt>
                <c:pt idx="585">
                  <c:v>1290.5</c:v>
                </c:pt>
                <c:pt idx="586">
                  <c:v>1290.5</c:v>
                </c:pt>
                <c:pt idx="587">
                  <c:v>1290.5</c:v>
                </c:pt>
                <c:pt idx="588">
                  <c:v>1290.5</c:v>
                </c:pt>
                <c:pt idx="589">
                  <c:v>1290.5</c:v>
                </c:pt>
                <c:pt idx="590">
                  <c:v>1290.5</c:v>
                </c:pt>
                <c:pt idx="591">
                  <c:v>1290.5</c:v>
                </c:pt>
                <c:pt idx="592">
                  <c:v>1290.5</c:v>
                </c:pt>
                <c:pt idx="593">
                  <c:v>1290.5</c:v>
                </c:pt>
                <c:pt idx="594">
                  <c:v>1290.5</c:v>
                </c:pt>
                <c:pt idx="595">
                  <c:v>1290.5</c:v>
                </c:pt>
                <c:pt idx="596">
                  <c:v>1290.5</c:v>
                </c:pt>
                <c:pt idx="597">
                  <c:v>1290.5</c:v>
                </c:pt>
                <c:pt idx="598">
                  <c:v>40</c:v>
                </c:pt>
                <c:pt idx="599">
                  <c:v>1290.5</c:v>
                </c:pt>
                <c:pt idx="600">
                  <c:v>1290.5</c:v>
                </c:pt>
                <c:pt idx="601">
                  <c:v>1290.5</c:v>
                </c:pt>
                <c:pt idx="602">
                  <c:v>1290.5</c:v>
                </c:pt>
                <c:pt idx="603">
                  <c:v>1290.5</c:v>
                </c:pt>
                <c:pt idx="604">
                  <c:v>1290.5</c:v>
                </c:pt>
                <c:pt idx="605">
                  <c:v>201</c:v>
                </c:pt>
                <c:pt idx="606">
                  <c:v>1290.5</c:v>
                </c:pt>
                <c:pt idx="607">
                  <c:v>1290.5</c:v>
                </c:pt>
                <c:pt idx="608">
                  <c:v>1290.5</c:v>
                </c:pt>
                <c:pt idx="609">
                  <c:v>281.5</c:v>
                </c:pt>
                <c:pt idx="610">
                  <c:v>1290.5</c:v>
                </c:pt>
                <c:pt idx="611">
                  <c:v>1290.5</c:v>
                </c:pt>
                <c:pt idx="612">
                  <c:v>273</c:v>
                </c:pt>
                <c:pt idx="613">
                  <c:v>1290.5</c:v>
                </c:pt>
                <c:pt idx="614">
                  <c:v>1290.5</c:v>
                </c:pt>
                <c:pt idx="615">
                  <c:v>273</c:v>
                </c:pt>
                <c:pt idx="616">
                  <c:v>1290.5</c:v>
                </c:pt>
                <c:pt idx="617">
                  <c:v>1290.5</c:v>
                </c:pt>
                <c:pt idx="618">
                  <c:v>1290.5</c:v>
                </c:pt>
                <c:pt idx="619">
                  <c:v>225</c:v>
                </c:pt>
                <c:pt idx="620">
                  <c:v>1290.5</c:v>
                </c:pt>
                <c:pt idx="621">
                  <c:v>1290.5</c:v>
                </c:pt>
                <c:pt idx="622">
                  <c:v>1290.5</c:v>
                </c:pt>
                <c:pt idx="623">
                  <c:v>1290.5</c:v>
                </c:pt>
                <c:pt idx="624">
                  <c:v>1290.5</c:v>
                </c:pt>
                <c:pt idx="625">
                  <c:v>1290.5</c:v>
                </c:pt>
                <c:pt idx="626">
                  <c:v>1290.5</c:v>
                </c:pt>
                <c:pt idx="627">
                  <c:v>1290.5</c:v>
                </c:pt>
                <c:pt idx="628">
                  <c:v>1290.5</c:v>
                </c:pt>
                <c:pt idx="629">
                  <c:v>1290.5</c:v>
                </c:pt>
                <c:pt idx="630">
                  <c:v>1290.5</c:v>
                </c:pt>
                <c:pt idx="631">
                  <c:v>1290.5</c:v>
                </c:pt>
                <c:pt idx="632">
                  <c:v>1290.5</c:v>
                </c:pt>
                <c:pt idx="633">
                  <c:v>1290.5</c:v>
                </c:pt>
                <c:pt idx="634">
                  <c:v>1290.5</c:v>
                </c:pt>
                <c:pt idx="635">
                  <c:v>1290.5</c:v>
                </c:pt>
                <c:pt idx="636">
                  <c:v>1290.5</c:v>
                </c:pt>
                <c:pt idx="637">
                  <c:v>1290.5</c:v>
                </c:pt>
                <c:pt idx="638">
                  <c:v>1290.5</c:v>
                </c:pt>
                <c:pt idx="639">
                  <c:v>1290.5</c:v>
                </c:pt>
                <c:pt idx="640">
                  <c:v>1290.5</c:v>
                </c:pt>
                <c:pt idx="641">
                  <c:v>1290.5</c:v>
                </c:pt>
                <c:pt idx="642">
                  <c:v>1290.5</c:v>
                </c:pt>
                <c:pt idx="643">
                  <c:v>1290.5</c:v>
                </c:pt>
                <c:pt idx="644">
                  <c:v>1290.5</c:v>
                </c:pt>
                <c:pt idx="645">
                  <c:v>1290.5</c:v>
                </c:pt>
                <c:pt idx="646">
                  <c:v>1290.5</c:v>
                </c:pt>
                <c:pt idx="647">
                  <c:v>1290.5</c:v>
                </c:pt>
                <c:pt idx="648">
                  <c:v>1290.5</c:v>
                </c:pt>
                <c:pt idx="649">
                  <c:v>1290.5</c:v>
                </c:pt>
                <c:pt idx="650">
                  <c:v>1290.5</c:v>
                </c:pt>
                <c:pt idx="651">
                  <c:v>1290.5</c:v>
                </c:pt>
                <c:pt idx="652">
                  <c:v>1290.5</c:v>
                </c:pt>
                <c:pt idx="653">
                  <c:v>1290.5</c:v>
                </c:pt>
                <c:pt idx="654">
                  <c:v>1290.5</c:v>
                </c:pt>
                <c:pt idx="655">
                  <c:v>1290.5</c:v>
                </c:pt>
                <c:pt idx="656">
                  <c:v>1290.5</c:v>
                </c:pt>
                <c:pt idx="657">
                  <c:v>153</c:v>
                </c:pt>
                <c:pt idx="658">
                  <c:v>1290.5</c:v>
                </c:pt>
                <c:pt idx="659">
                  <c:v>1290.5</c:v>
                </c:pt>
                <c:pt idx="660">
                  <c:v>1290.5</c:v>
                </c:pt>
                <c:pt idx="661">
                  <c:v>1290.5</c:v>
                </c:pt>
                <c:pt idx="662">
                  <c:v>1290.5</c:v>
                </c:pt>
                <c:pt idx="663">
                  <c:v>1290.5</c:v>
                </c:pt>
                <c:pt idx="664">
                  <c:v>1290.5</c:v>
                </c:pt>
                <c:pt idx="665">
                  <c:v>1290.5</c:v>
                </c:pt>
                <c:pt idx="666">
                  <c:v>1290.5</c:v>
                </c:pt>
                <c:pt idx="667">
                  <c:v>1290.5</c:v>
                </c:pt>
                <c:pt idx="668">
                  <c:v>1290.5</c:v>
                </c:pt>
                <c:pt idx="669">
                  <c:v>1290.5</c:v>
                </c:pt>
                <c:pt idx="670">
                  <c:v>1290.5</c:v>
                </c:pt>
                <c:pt idx="671">
                  <c:v>1290.5</c:v>
                </c:pt>
                <c:pt idx="672">
                  <c:v>103</c:v>
                </c:pt>
                <c:pt idx="673">
                  <c:v>1290.5</c:v>
                </c:pt>
                <c:pt idx="674">
                  <c:v>159</c:v>
                </c:pt>
                <c:pt idx="675">
                  <c:v>1290.5</c:v>
                </c:pt>
                <c:pt idx="676">
                  <c:v>1290.5</c:v>
                </c:pt>
                <c:pt idx="677">
                  <c:v>1290.5</c:v>
                </c:pt>
                <c:pt idx="678">
                  <c:v>1290.5</c:v>
                </c:pt>
                <c:pt idx="679">
                  <c:v>1290.5</c:v>
                </c:pt>
                <c:pt idx="680">
                  <c:v>1290.5</c:v>
                </c:pt>
                <c:pt idx="681">
                  <c:v>1290.5</c:v>
                </c:pt>
                <c:pt idx="682">
                  <c:v>267.5</c:v>
                </c:pt>
                <c:pt idx="683">
                  <c:v>1290.5</c:v>
                </c:pt>
                <c:pt idx="684">
                  <c:v>1290.5</c:v>
                </c:pt>
                <c:pt idx="685">
                  <c:v>1290.5</c:v>
                </c:pt>
                <c:pt idx="686">
                  <c:v>1290.5</c:v>
                </c:pt>
                <c:pt idx="687">
                  <c:v>1290.5</c:v>
                </c:pt>
                <c:pt idx="688">
                  <c:v>169</c:v>
                </c:pt>
                <c:pt idx="689">
                  <c:v>169</c:v>
                </c:pt>
                <c:pt idx="690">
                  <c:v>1290.5</c:v>
                </c:pt>
                <c:pt idx="691">
                  <c:v>1290.5</c:v>
                </c:pt>
                <c:pt idx="692">
                  <c:v>1290.5</c:v>
                </c:pt>
                <c:pt idx="693">
                  <c:v>1290.5</c:v>
                </c:pt>
                <c:pt idx="694">
                  <c:v>153</c:v>
                </c:pt>
                <c:pt idx="695">
                  <c:v>153</c:v>
                </c:pt>
                <c:pt idx="696">
                  <c:v>1290.5</c:v>
                </c:pt>
                <c:pt idx="697">
                  <c:v>1290.5</c:v>
                </c:pt>
                <c:pt idx="698">
                  <c:v>1290.5</c:v>
                </c:pt>
                <c:pt idx="699">
                  <c:v>1290.5</c:v>
                </c:pt>
                <c:pt idx="700">
                  <c:v>1290.5</c:v>
                </c:pt>
                <c:pt idx="701">
                  <c:v>1290.5</c:v>
                </c:pt>
                <c:pt idx="702">
                  <c:v>205.5</c:v>
                </c:pt>
                <c:pt idx="703">
                  <c:v>1290.5</c:v>
                </c:pt>
                <c:pt idx="704">
                  <c:v>1290.5</c:v>
                </c:pt>
                <c:pt idx="705">
                  <c:v>1290.5</c:v>
                </c:pt>
                <c:pt idx="706">
                  <c:v>1290.5</c:v>
                </c:pt>
                <c:pt idx="707">
                  <c:v>1290.5</c:v>
                </c:pt>
                <c:pt idx="708">
                  <c:v>1290.5</c:v>
                </c:pt>
                <c:pt idx="709">
                  <c:v>1290.5</c:v>
                </c:pt>
                <c:pt idx="710">
                  <c:v>1290.5</c:v>
                </c:pt>
                <c:pt idx="711">
                  <c:v>1290.5</c:v>
                </c:pt>
                <c:pt idx="712">
                  <c:v>1290.5</c:v>
                </c:pt>
                <c:pt idx="713">
                  <c:v>1290.5</c:v>
                </c:pt>
                <c:pt idx="714">
                  <c:v>1290.5</c:v>
                </c:pt>
                <c:pt idx="715">
                  <c:v>1290.5</c:v>
                </c:pt>
                <c:pt idx="716">
                  <c:v>1290.5</c:v>
                </c:pt>
                <c:pt idx="717">
                  <c:v>1290.5</c:v>
                </c:pt>
                <c:pt idx="718">
                  <c:v>1290.5</c:v>
                </c:pt>
                <c:pt idx="719">
                  <c:v>115.5</c:v>
                </c:pt>
                <c:pt idx="720">
                  <c:v>1290.5</c:v>
                </c:pt>
                <c:pt idx="721">
                  <c:v>1290.5</c:v>
                </c:pt>
                <c:pt idx="722">
                  <c:v>1290.5</c:v>
                </c:pt>
                <c:pt idx="723">
                  <c:v>1290.5</c:v>
                </c:pt>
                <c:pt idx="724">
                  <c:v>131.5</c:v>
                </c:pt>
                <c:pt idx="725">
                  <c:v>1290.5</c:v>
                </c:pt>
                <c:pt idx="726">
                  <c:v>1290.5</c:v>
                </c:pt>
                <c:pt idx="727">
                  <c:v>1290.5</c:v>
                </c:pt>
                <c:pt idx="728">
                  <c:v>267.5</c:v>
                </c:pt>
                <c:pt idx="729">
                  <c:v>1290.5</c:v>
                </c:pt>
                <c:pt idx="730">
                  <c:v>1290.5</c:v>
                </c:pt>
                <c:pt idx="731">
                  <c:v>1290.5</c:v>
                </c:pt>
                <c:pt idx="732">
                  <c:v>1290.5</c:v>
                </c:pt>
                <c:pt idx="733">
                  <c:v>1290.5</c:v>
                </c:pt>
                <c:pt idx="734">
                  <c:v>267.5</c:v>
                </c:pt>
                <c:pt idx="735">
                  <c:v>1290.5</c:v>
                </c:pt>
                <c:pt idx="736">
                  <c:v>1290.5</c:v>
                </c:pt>
                <c:pt idx="737">
                  <c:v>1290.5</c:v>
                </c:pt>
                <c:pt idx="738">
                  <c:v>1290.5</c:v>
                </c:pt>
                <c:pt idx="739">
                  <c:v>1290.5</c:v>
                </c:pt>
                <c:pt idx="740">
                  <c:v>1290.5</c:v>
                </c:pt>
                <c:pt idx="741">
                  <c:v>1290.5</c:v>
                </c:pt>
                <c:pt idx="742">
                  <c:v>1290.5</c:v>
                </c:pt>
                <c:pt idx="743">
                  <c:v>1290.5</c:v>
                </c:pt>
                <c:pt idx="744">
                  <c:v>1290.5</c:v>
                </c:pt>
                <c:pt idx="745">
                  <c:v>1290.5</c:v>
                </c:pt>
                <c:pt idx="746">
                  <c:v>1290.5</c:v>
                </c:pt>
                <c:pt idx="747">
                  <c:v>1290.5</c:v>
                </c:pt>
                <c:pt idx="748">
                  <c:v>1290.5</c:v>
                </c:pt>
                <c:pt idx="749">
                  <c:v>1290.5</c:v>
                </c:pt>
                <c:pt idx="750">
                  <c:v>1290.5</c:v>
                </c:pt>
                <c:pt idx="751">
                  <c:v>1290.5</c:v>
                </c:pt>
                <c:pt idx="752">
                  <c:v>1290.5</c:v>
                </c:pt>
                <c:pt idx="753">
                  <c:v>1290.5</c:v>
                </c:pt>
                <c:pt idx="754">
                  <c:v>1290.5</c:v>
                </c:pt>
                <c:pt idx="755">
                  <c:v>1290.5</c:v>
                </c:pt>
                <c:pt idx="756">
                  <c:v>1290.5</c:v>
                </c:pt>
                <c:pt idx="757">
                  <c:v>1290.5</c:v>
                </c:pt>
                <c:pt idx="758">
                  <c:v>1290.5</c:v>
                </c:pt>
                <c:pt idx="759">
                  <c:v>1290.5</c:v>
                </c:pt>
                <c:pt idx="760">
                  <c:v>1290.5</c:v>
                </c:pt>
                <c:pt idx="761">
                  <c:v>1290.5</c:v>
                </c:pt>
                <c:pt idx="762">
                  <c:v>1290.5</c:v>
                </c:pt>
                <c:pt idx="763">
                  <c:v>1290.5</c:v>
                </c:pt>
                <c:pt idx="764">
                  <c:v>1290.5</c:v>
                </c:pt>
                <c:pt idx="765">
                  <c:v>1290.5</c:v>
                </c:pt>
                <c:pt idx="766">
                  <c:v>1290.5</c:v>
                </c:pt>
                <c:pt idx="767">
                  <c:v>1290.5</c:v>
                </c:pt>
                <c:pt idx="768">
                  <c:v>1290.5</c:v>
                </c:pt>
                <c:pt idx="769">
                  <c:v>1290.5</c:v>
                </c:pt>
                <c:pt idx="770">
                  <c:v>1290.5</c:v>
                </c:pt>
                <c:pt idx="771">
                  <c:v>1290.5</c:v>
                </c:pt>
                <c:pt idx="772">
                  <c:v>1290.5</c:v>
                </c:pt>
                <c:pt idx="773">
                  <c:v>1290.5</c:v>
                </c:pt>
                <c:pt idx="774">
                  <c:v>1290.5</c:v>
                </c:pt>
                <c:pt idx="775">
                  <c:v>1290.5</c:v>
                </c:pt>
                <c:pt idx="776">
                  <c:v>1290.5</c:v>
                </c:pt>
                <c:pt idx="777">
                  <c:v>1290.5</c:v>
                </c:pt>
                <c:pt idx="778">
                  <c:v>1290.5</c:v>
                </c:pt>
                <c:pt idx="779">
                  <c:v>1290.5</c:v>
                </c:pt>
                <c:pt idx="780">
                  <c:v>1290.5</c:v>
                </c:pt>
                <c:pt idx="781">
                  <c:v>1290.5</c:v>
                </c:pt>
                <c:pt idx="782">
                  <c:v>1290.5</c:v>
                </c:pt>
                <c:pt idx="783">
                  <c:v>1290.5</c:v>
                </c:pt>
                <c:pt idx="784">
                  <c:v>1290.5</c:v>
                </c:pt>
                <c:pt idx="785">
                  <c:v>1290.5</c:v>
                </c:pt>
                <c:pt idx="786">
                  <c:v>1290.5</c:v>
                </c:pt>
                <c:pt idx="787">
                  <c:v>1290.5</c:v>
                </c:pt>
                <c:pt idx="788">
                  <c:v>1290.5</c:v>
                </c:pt>
                <c:pt idx="789">
                  <c:v>1290.5</c:v>
                </c:pt>
                <c:pt idx="790">
                  <c:v>1290.5</c:v>
                </c:pt>
                <c:pt idx="791">
                  <c:v>1290.5</c:v>
                </c:pt>
                <c:pt idx="792">
                  <c:v>1290.5</c:v>
                </c:pt>
                <c:pt idx="793">
                  <c:v>1290.5</c:v>
                </c:pt>
                <c:pt idx="794">
                  <c:v>1290.5</c:v>
                </c:pt>
                <c:pt idx="795">
                  <c:v>1290.5</c:v>
                </c:pt>
                <c:pt idx="796">
                  <c:v>1290.5</c:v>
                </c:pt>
                <c:pt idx="797">
                  <c:v>1290.5</c:v>
                </c:pt>
                <c:pt idx="798">
                  <c:v>1290.5</c:v>
                </c:pt>
                <c:pt idx="799">
                  <c:v>1290.5</c:v>
                </c:pt>
                <c:pt idx="800">
                  <c:v>1290.5</c:v>
                </c:pt>
                <c:pt idx="801">
                  <c:v>1290.5</c:v>
                </c:pt>
                <c:pt idx="802">
                  <c:v>1290.5</c:v>
                </c:pt>
                <c:pt idx="803">
                  <c:v>1290.5</c:v>
                </c:pt>
                <c:pt idx="804">
                  <c:v>1290.5</c:v>
                </c:pt>
                <c:pt idx="805">
                  <c:v>1290.5</c:v>
                </c:pt>
                <c:pt idx="806">
                  <c:v>1290.5</c:v>
                </c:pt>
                <c:pt idx="807">
                  <c:v>1290.5</c:v>
                </c:pt>
                <c:pt idx="808">
                  <c:v>1290.5</c:v>
                </c:pt>
                <c:pt idx="809">
                  <c:v>1290.5</c:v>
                </c:pt>
                <c:pt idx="810">
                  <c:v>1290.5</c:v>
                </c:pt>
                <c:pt idx="811">
                  <c:v>1290.5</c:v>
                </c:pt>
                <c:pt idx="812">
                  <c:v>24.5</c:v>
                </c:pt>
                <c:pt idx="813">
                  <c:v>1290.5</c:v>
                </c:pt>
                <c:pt idx="814">
                  <c:v>1290.5</c:v>
                </c:pt>
                <c:pt idx="815">
                  <c:v>1290.5</c:v>
                </c:pt>
                <c:pt idx="816">
                  <c:v>1290.5</c:v>
                </c:pt>
                <c:pt idx="817">
                  <c:v>1290.5</c:v>
                </c:pt>
                <c:pt idx="818">
                  <c:v>1290.5</c:v>
                </c:pt>
                <c:pt idx="819">
                  <c:v>1290.5</c:v>
                </c:pt>
                <c:pt idx="820">
                  <c:v>1290.5</c:v>
                </c:pt>
                <c:pt idx="821">
                  <c:v>1290.5</c:v>
                </c:pt>
                <c:pt idx="822">
                  <c:v>1290.5</c:v>
                </c:pt>
                <c:pt idx="823">
                  <c:v>1290.5</c:v>
                </c:pt>
                <c:pt idx="824">
                  <c:v>1290.5</c:v>
                </c:pt>
                <c:pt idx="825">
                  <c:v>1290.5</c:v>
                </c:pt>
                <c:pt idx="826">
                  <c:v>1290.5</c:v>
                </c:pt>
                <c:pt idx="827">
                  <c:v>1290.5</c:v>
                </c:pt>
                <c:pt idx="828">
                  <c:v>1290.5</c:v>
                </c:pt>
                <c:pt idx="829">
                  <c:v>95</c:v>
                </c:pt>
                <c:pt idx="830">
                  <c:v>1290.5</c:v>
                </c:pt>
                <c:pt idx="831">
                  <c:v>1290.5</c:v>
                </c:pt>
                <c:pt idx="832">
                  <c:v>1290.5</c:v>
                </c:pt>
                <c:pt idx="833">
                  <c:v>1290.5</c:v>
                </c:pt>
                <c:pt idx="834">
                  <c:v>1290.5</c:v>
                </c:pt>
                <c:pt idx="835">
                  <c:v>1290.5</c:v>
                </c:pt>
                <c:pt idx="836">
                  <c:v>1290.5</c:v>
                </c:pt>
                <c:pt idx="837">
                  <c:v>1290.5</c:v>
                </c:pt>
                <c:pt idx="838">
                  <c:v>1290.5</c:v>
                </c:pt>
                <c:pt idx="839">
                  <c:v>1290.5</c:v>
                </c:pt>
                <c:pt idx="840">
                  <c:v>1290.5</c:v>
                </c:pt>
                <c:pt idx="841">
                  <c:v>1290.5</c:v>
                </c:pt>
                <c:pt idx="842">
                  <c:v>1290.5</c:v>
                </c:pt>
                <c:pt idx="843">
                  <c:v>1290.5</c:v>
                </c:pt>
                <c:pt idx="844">
                  <c:v>1290.5</c:v>
                </c:pt>
                <c:pt idx="845">
                  <c:v>1290.5</c:v>
                </c:pt>
                <c:pt idx="846">
                  <c:v>1290.5</c:v>
                </c:pt>
                <c:pt idx="847">
                  <c:v>1290.5</c:v>
                </c:pt>
                <c:pt idx="848">
                  <c:v>1290.5</c:v>
                </c:pt>
                <c:pt idx="849">
                  <c:v>1290.5</c:v>
                </c:pt>
                <c:pt idx="850">
                  <c:v>1290.5</c:v>
                </c:pt>
                <c:pt idx="851">
                  <c:v>1290.5</c:v>
                </c:pt>
                <c:pt idx="852">
                  <c:v>1290.5</c:v>
                </c:pt>
                <c:pt idx="853">
                  <c:v>1290.5</c:v>
                </c:pt>
                <c:pt idx="854">
                  <c:v>1290.5</c:v>
                </c:pt>
                <c:pt idx="855">
                  <c:v>1290.5</c:v>
                </c:pt>
                <c:pt idx="856">
                  <c:v>1290.5</c:v>
                </c:pt>
                <c:pt idx="857">
                  <c:v>1290.5</c:v>
                </c:pt>
                <c:pt idx="858">
                  <c:v>1290.5</c:v>
                </c:pt>
                <c:pt idx="859">
                  <c:v>1290.5</c:v>
                </c:pt>
                <c:pt idx="860">
                  <c:v>1290.5</c:v>
                </c:pt>
                <c:pt idx="861">
                  <c:v>1290.5</c:v>
                </c:pt>
                <c:pt idx="862">
                  <c:v>1290.5</c:v>
                </c:pt>
                <c:pt idx="863">
                  <c:v>1290.5</c:v>
                </c:pt>
                <c:pt idx="864">
                  <c:v>1290.5</c:v>
                </c:pt>
                <c:pt idx="865">
                  <c:v>1290.5</c:v>
                </c:pt>
                <c:pt idx="866">
                  <c:v>1290.5</c:v>
                </c:pt>
                <c:pt idx="867">
                  <c:v>1290.5</c:v>
                </c:pt>
                <c:pt idx="868">
                  <c:v>1290.5</c:v>
                </c:pt>
                <c:pt idx="869">
                  <c:v>1290.5</c:v>
                </c:pt>
                <c:pt idx="870">
                  <c:v>277.5</c:v>
                </c:pt>
                <c:pt idx="871">
                  <c:v>1290.5</c:v>
                </c:pt>
                <c:pt idx="872">
                  <c:v>1290.5</c:v>
                </c:pt>
                <c:pt idx="873">
                  <c:v>1290.5</c:v>
                </c:pt>
                <c:pt idx="874">
                  <c:v>1290.5</c:v>
                </c:pt>
                <c:pt idx="875">
                  <c:v>1290.5</c:v>
                </c:pt>
                <c:pt idx="876">
                  <c:v>9.5</c:v>
                </c:pt>
                <c:pt idx="877">
                  <c:v>1290.5</c:v>
                </c:pt>
                <c:pt idx="878">
                  <c:v>1290.5</c:v>
                </c:pt>
                <c:pt idx="879">
                  <c:v>1290.5</c:v>
                </c:pt>
                <c:pt idx="880">
                  <c:v>281.5</c:v>
                </c:pt>
                <c:pt idx="881">
                  <c:v>1290.5</c:v>
                </c:pt>
                <c:pt idx="882">
                  <c:v>1290.5</c:v>
                </c:pt>
                <c:pt idx="883">
                  <c:v>1290.5</c:v>
                </c:pt>
                <c:pt idx="884">
                  <c:v>1290.5</c:v>
                </c:pt>
                <c:pt idx="885">
                  <c:v>1290.5</c:v>
                </c:pt>
                <c:pt idx="886">
                  <c:v>1290.5</c:v>
                </c:pt>
                <c:pt idx="887">
                  <c:v>1290.5</c:v>
                </c:pt>
                <c:pt idx="888">
                  <c:v>1290.5</c:v>
                </c:pt>
                <c:pt idx="889">
                  <c:v>1290.5</c:v>
                </c:pt>
                <c:pt idx="890">
                  <c:v>1290.5</c:v>
                </c:pt>
                <c:pt idx="891">
                  <c:v>1290.5</c:v>
                </c:pt>
                <c:pt idx="892">
                  <c:v>1290.5</c:v>
                </c:pt>
                <c:pt idx="893">
                  <c:v>1290.5</c:v>
                </c:pt>
                <c:pt idx="894">
                  <c:v>1290.5</c:v>
                </c:pt>
                <c:pt idx="895">
                  <c:v>1290.5</c:v>
                </c:pt>
                <c:pt idx="896">
                  <c:v>1290.5</c:v>
                </c:pt>
                <c:pt idx="897">
                  <c:v>1290.5</c:v>
                </c:pt>
                <c:pt idx="898">
                  <c:v>1290.5</c:v>
                </c:pt>
                <c:pt idx="899">
                  <c:v>1290.5</c:v>
                </c:pt>
                <c:pt idx="900">
                  <c:v>279.5</c:v>
                </c:pt>
                <c:pt idx="901">
                  <c:v>1290.5</c:v>
                </c:pt>
                <c:pt idx="902">
                  <c:v>1290.5</c:v>
                </c:pt>
                <c:pt idx="903">
                  <c:v>1290.5</c:v>
                </c:pt>
                <c:pt idx="904">
                  <c:v>1290.5</c:v>
                </c:pt>
                <c:pt idx="905">
                  <c:v>1290.5</c:v>
                </c:pt>
                <c:pt idx="906">
                  <c:v>1290.5</c:v>
                </c:pt>
                <c:pt idx="907">
                  <c:v>1290.5</c:v>
                </c:pt>
                <c:pt idx="908">
                  <c:v>1290.5</c:v>
                </c:pt>
                <c:pt idx="909">
                  <c:v>1290.5</c:v>
                </c:pt>
                <c:pt idx="910">
                  <c:v>1290.5</c:v>
                </c:pt>
                <c:pt idx="911">
                  <c:v>1290.5</c:v>
                </c:pt>
                <c:pt idx="912">
                  <c:v>1290.5</c:v>
                </c:pt>
                <c:pt idx="913">
                  <c:v>1290.5</c:v>
                </c:pt>
                <c:pt idx="914">
                  <c:v>19</c:v>
                </c:pt>
                <c:pt idx="915">
                  <c:v>1290.5</c:v>
                </c:pt>
                <c:pt idx="916">
                  <c:v>1290.5</c:v>
                </c:pt>
                <c:pt idx="917">
                  <c:v>1290.5</c:v>
                </c:pt>
                <c:pt idx="918">
                  <c:v>1290.5</c:v>
                </c:pt>
                <c:pt idx="919">
                  <c:v>1290.5</c:v>
                </c:pt>
                <c:pt idx="920">
                  <c:v>1290.5</c:v>
                </c:pt>
                <c:pt idx="921">
                  <c:v>1290.5</c:v>
                </c:pt>
                <c:pt idx="922">
                  <c:v>1290.5</c:v>
                </c:pt>
                <c:pt idx="923">
                  <c:v>1290.5</c:v>
                </c:pt>
                <c:pt idx="924">
                  <c:v>46</c:v>
                </c:pt>
                <c:pt idx="925">
                  <c:v>7.5</c:v>
                </c:pt>
                <c:pt idx="926">
                  <c:v>1290.5</c:v>
                </c:pt>
                <c:pt idx="927">
                  <c:v>1290.5</c:v>
                </c:pt>
                <c:pt idx="928">
                  <c:v>1290.5</c:v>
                </c:pt>
                <c:pt idx="929">
                  <c:v>1290.5</c:v>
                </c:pt>
                <c:pt idx="930">
                  <c:v>1290.5</c:v>
                </c:pt>
                <c:pt idx="931">
                  <c:v>1290.5</c:v>
                </c:pt>
                <c:pt idx="932">
                  <c:v>1290.5</c:v>
                </c:pt>
                <c:pt idx="933">
                  <c:v>1290.5</c:v>
                </c:pt>
                <c:pt idx="934">
                  <c:v>1290.5</c:v>
                </c:pt>
                <c:pt idx="935">
                  <c:v>1290.5</c:v>
                </c:pt>
                <c:pt idx="936">
                  <c:v>1290.5</c:v>
                </c:pt>
                <c:pt idx="937">
                  <c:v>1290.5</c:v>
                </c:pt>
                <c:pt idx="938">
                  <c:v>1290.5</c:v>
                </c:pt>
                <c:pt idx="939">
                  <c:v>1290.5</c:v>
                </c:pt>
                <c:pt idx="940">
                  <c:v>1290.5</c:v>
                </c:pt>
                <c:pt idx="941">
                  <c:v>1290.5</c:v>
                </c:pt>
                <c:pt idx="942">
                  <c:v>1290.5</c:v>
                </c:pt>
                <c:pt idx="943">
                  <c:v>1290.5</c:v>
                </c:pt>
                <c:pt idx="944">
                  <c:v>1290.5</c:v>
                </c:pt>
                <c:pt idx="945">
                  <c:v>106.5</c:v>
                </c:pt>
                <c:pt idx="946">
                  <c:v>1290.5</c:v>
                </c:pt>
                <c:pt idx="947">
                  <c:v>1290.5</c:v>
                </c:pt>
                <c:pt idx="948">
                  <c:v>1290.5</c:v>
                </c:pt>
                <c:pt idx="949">
                  <c:v>1290.5</c:v>
                </c:pt>
                <c:pt idx="950">
                  <c:v>1290.5</c:v>
                </c:pt>
                <c:pt idx="951">
                  <c:v>1290.5</c:v>
                </c:pt>
                <c:pt idx="952">
                  <c:v>1290.5</c:v>
                </c:pt>
                <c:pt idx="953">
                  <c:v>1290.5</c:v>
                </c:pt>
                <c:pt idx="954">
                  <c:v>1290.5</c:v>
                </c:pt>
                <c:pt idx="955">
                  <c:v>1290.5</c:v>
                </c:pt>
                <c:pt idx="956">
                  <c:v>1290.5</c:v>
                </c:pt>
                <c:pt idx="957">
                  <c:v>223.5</c:v>
                </c:pt>
                <c:pt idx="958">
                  <c:v>1290.5</c:v>
                </c:pt>
                <c:pt idx="959">
                  <c:v>283.5</c:v>
                </c:pt>
                <c:pt idx="960">
                  <c:v>1290.5</c:v>
                </c:pt>
                <c:pt idx="961">
                  <c:v>1290.5</c:v>
                </c:pt>
                <c:pt idx="962">
                  <c:v>1290.5</c:v>
                </c:pt>
                <c:pt idx="963">
                  <c:v>1290.5</c:v>
                </c:pt>
                <c:pt idx="964">
                  <c:v>1290.5</c:v>
                </c:pt>
                <c:pt idx="965">
                  <c:v>1290.5</c:v>
                </c:pt>
                <c:pt idx="966">
                  <c:v>43.5</c:v>
                </c:pt>
                <c:pt idx="967">
                  <c:v>1290.5</c:v>
                </c:pt>
                <c:pt idx="968">
                  <c:v>1290.5</c:v>
                </c:pt>
                <c:pt idx="969">
                  <c:v>11.5</c:v>
                </c:pt>
                <c:pt idx="970">
                  <c:v>1290.5</c:v>
                </c:pt>
                <c:pt idx="971">
                  <c:v>1290.5</c:v>
                </c:pt>
                <c:pt idx="972">
                  <c:v>1290.5</c:v>
                </c:pt>
                <c:pt idx="973">
                  <c:v>1290.5</c:v>
                </c:pt>
                <c:pt idx="974">
                  <c:v>1290.5</c:v>
                </c:pt>
                <c:pt idx="975">
                  <c:v>1290.5</c:v>
                </c:pt>
                <c:pt idx="976">
                  <c:v>1290.5</c:v>
                </c:pt>
                <c:pt idx="977">
                  <c:v>1290.5</c:v>
                </c:pt>
                <c:pt idx="978">
                  <c:v>1290.5</c:v>
                </c:pt>
                <c:pt idx="979">
                  <c:v>1290.5</c:v>
                </c:pt>
                <c:pt idx="980">
                  <c:v>108.5</c:v>
                </c:pt>
                <c:pt idx="981">
                  <c:v>1290.5</c:v>
                </c:pt>
                <c:pt idx="982">
                  <c:v>1290.5</c:v>
                </c:pt>
                <c:pt idx="983">
                  <c:v>1290.5</c:v>
                </c:pt>
                <c:pt idx="984">
                  <c:v>1290.5</c:v>
                </c:pt>
                <c:pt idx="985">
                  <c:v>1290.5</c:v>
                </c:pt>
                <c:pt idx="986">
                  <c:v>1290.5</c:v>
                </c:pt>
                <c:pt idx="987">
                  <c:v>1290.5</c:v>
                </c:pt>
                <c:pt idx="988">
                  <c:v>1290.5</c:v>
                </c:pt>
                <c:pt idx="989">
                  <c:v>1290.5</c:v>
                </c:pt>
                <c:pt idx="990">
                  <c:v>1290.5</c:v>
                </c:pt>
                <c:pt idx="991">
                  <c:v>1290.5</c:v>
                </c:pt>
                <c:pt idx="992">
                  <c:v>1290.5</c:v>
                </c:pt>
                <c:pt idx="993">
                  <c:v>1290.5</c:v>
                </c:pt>
                <c:pt idx="994">
                  <c:v>1290.5</c:v>
                </c:pt>
                <c:pt idx="995">
                  <c:v>1290.5</c:v>
                </c:pt>
                <c:pt idx="996">
                  <c:v>209.5</c:v>
                </c:pt>
                <c:pt idx="997">
                  <c:v>1290.5</c:v>
                </c:pt>
                <c:pt idx="998">
                  <c:v>1290.5</c:v>
                </c:pt>
                <c:pt idx="999">
                  <c:v>1290.5</c:v>
                </c:pt>
                <c:pt idx="1000">
                  <c:v>1290.5</c:v>
                </c:pt>
                <c:pt idx="1001">
                  <c:v>1290.5</c:v>
                </c:pt>
                <c:pt idx="1002">
                  <c:v>1290.5</c:v>
                </c:pt>
                <c:pt idx="1003">
                  <c:v>1290.5</c:v>
                </c:pt>
                <c:pt idx="1004">
                  <c:v>1290.5</c:v>
                </c:pt>
                <c:pt idx="1005">
                  <c:v>1290.5</c:v>
                </c:pt>
                <c:pt idx="1006">
                  <c:v>1290.5</c:v>
                </c:pt>
                <c:pt idx="1007">
                  <c:v>1290.5</c:v>
                </c:pt>
                <c:pt idx="1008">
                  <c:v>1290.5</c:v>
                </c:pt>
                <c:pt idx="1009">
                  <c:v>1290.5</c:v>
                </c:pt>
                <c:pt idx="1010">
                  <c:v>1290.5</c:v>
                </c:pt>
                <c:pt idx="1011">
                  <c:v>1290.5</c:v>
                </c:pt>
                <c:pt idx="1012">
                  <c:v>1290.5</c:v>
                </c:pt>
                <c:pt idx="1013">
                  <c:v>1290.5</c:v>
                </c:pt>
                <c:pt idx="1014">
                  <c:v>1290.5</c:v>
                </c:pt>
                <c:pt idx="1015">
                  <c:v>1290.5</c:v>
                </c:pt>
                <c:pt idx="1016">
                  <c:v>1290.5</c:v>
                </c:pt>
                <c:pt idx="1017">
                  <c:v>1290.5</c:v>
                </c:pt>
                <c:pt idx="1018">
                  <c:v>1290.5</c:v>
                </c:pt>
                <c:pt idx="1019">
                  <c:v>1290.5</c:v>
                </c:pt>
                <c:pt idx="1020">
                  <c:v>1290.5</c:v>
                </c:pt>
                <c:pt idx="1021">
                  <c:v>1290.5</c:v>
                </c:pt>
                <c:pt idx="1022">
                  <c:v>275.5</c:v>
                </c:pt>
                <c:pt idx="1023">
                  <c:v>1290.5</c:v>
                </c:pt>
                <c:pt idx="1024">
                  <c:v>1290.5</c:v>
                </c:pt>
                <c:pt idx="1025">
                  <c:v>1290.5</c:v>
                </c:pt>
                <c:pt idx="1026">
                  <c:v>1290.5</c:v>
                </c:pt>
                <c:pt idx="1027">
                  <c:v>1290.5</c:v>
                </c:pt>
                <c:pt idx="1028">
                  <c:v>1290.5</c:v>
                </c:pt>
                <c:pt idx="1029">
                  <c:v>1290.5</c:v>
                </c:pt>
                <c:pt idx="1030">
                  <c:v>1290.5</c:v>
                </c:pt>
                <c:pt idx="1031">
                  <c:v>1290.5</c:v>
                </c:pt>
                <c:pt idx="1032">
                  <c:v>1290.5</c:v>
                </c:pt>
                <c:pt idx="1033">
                  <c:v>1290.5</c:v>
                </c:pt>
                <c:pt idx="1034">
                  <c:v>1290.5</c:v>
                </c:pt>
                <c:pt idx="1035">
                  <c:v>1290.5</c:v>
                </c:pt>
                <c:pt idx="1036">
                  <c:v>1290.5</c:v>
                </c:pt>
                <c:pt idx="1037">
                  <c:v>1290.5</c:v>
                </c:pt>
                <c:pt idx="1038">
                  <c:v>1290.5</c:v>
                </c:pt>
                <c:pt idx="1039">
                  <c:v>1290.5</c:v>
                </c:pt>
                <c:pt idx="1040">
                  <c:v>1290.5</c:v>
                </c:pt>
                <c:pt idx="1041">
                  <c:v>1290.5</c:v>
                </c:pt>
                <c:pt idx="1042">
                  <c:v>1290.5</c:v>
                </c:pt>
                <c:pt idx="1043">
                  <c:v>1290.5</c:v>
                </c:pt>
                <c:pt idx="1044">
                  <c:v>1290.5</c:v>
                </c:pt>
                <c:pt idx="1045">
                  <c:v>1290.5</c:v>
                </c:pt>
                <c:pt idx="1046">
                  <c:v>1290.5</c:v>
                </c:pt>
                <c:pt idx="1047">
                  <c:v>1290.5</c:v>
                </c:pt>
                <c:pt idx="1048">
                  <c:v>1290.5</c:v>
                </c:pt>
                <c:pt idx="1049">
                  <c:v>1290.5</c:v>
                </c:pt>
                <c:pt idx="1050">
                  <c:v>1290.5</c:v>
                </c:pt>
                <c:pt idx="1051">
                  <c:v>1290.5</c:v>
                </c:pt>
                <c:pt idx="1052">
                  <c:v>1290.5</c:v>
                </c:pt>
                <c:pt idx="1053">
                  <c:v>1290.5</c:v>
                </c:pt>
                <c:pt idx="1054">
                  <c:v>1290.5</c:v>
                </c:pt>
                <c:pt idx="1055">
                  <c:v>1290.5</c:v>
                </c:pt>
                <c:pt idx="1056">
                  <c:v>1290.5</c:v>
                </c:pt>
                <c:pt idx="1057">
                  <c:v>1290.5</c:v>
                </c:pt>
                <c:pt idx="1058">
                  <c:v>1290.5</c:v>
                </c:pt>
                <c:pt idx="1059">
                  <c:v>1290.5</c:v>
                </c:pt>
                <c:pt idx="1060">
                  <c:v>1290.5</c:v>
                </c:pt>
                <c:pt idx="1061">
                  <c:v>1290.5</c:v>
                </c:pt>
                <c:pt idx="1062">
                  <c:v>1290.5</c:v>
                </c:pt>
                <c:pt idx="1063">
                  <c:v>1290.5</c:v>
                </c:pt>
                <c:pt idx="1064">
                  <c:v>1290.5</c:v>
                </c:pt>
                <c:pt idx="1065">
                  <c:v>1290.5</c:v>
                </c:pt>
                <c:pt idx="1066">
                  <c:v>1290.5</c:v>
                </c:pt>
                <c:pt idx="1067">
                  <c:v>1290.5</c:v>
                </c:pt>
                <c:pt idx="1068">
                  <c:v>1290.5</c:v>
                </c:pt>
                <c:pt idx="1069">
                  <c:v>1290.5</c:v>
                </c:pt>
                <c:pt idx="1070">
                  <c:v>1290.5</c:v>
                </c:pt>
                <c:pt idx="1071">
                  <c:v>1290.5</c:v>
                </c:pt>
                <c:pt idx="1072">
                  <c:v>1290.5</c:v>
                </c:pt>
                <c:pt idx="1073">
                  <c:v>1290.5</c:v>
                </c:pt>
                <c:pt idx="1074">
                  <c:v>1290.5</c:v>
                </c:pt>
                <c:pt idx="1075">
                  <c:v>1290.5</c:v>
                </c:pt>
                <c:pt idx="1076">
                  <c:v>1290.5</c:v>
                </c:pt>
                <c:pt idx="1077">
                  <c:v>1290.5</c:v>
                </c:pt>
                <c:pt idx="1078">
                  <c:v>1290.5</c:v>
                </c:pt>
                <c:pt idx="1079">
                  <c:v>1290.5</c:v>
                </c:pt>
                <c:pt idx="1080">
                  <c:v>1290.5</c:v>
                </c:pt>
                <c:pt idx="1081">
                  <c:v>1290.5</c:v>
                </c:pt>
                <c:pt idx="1082">
                  <c:v>1290.5</c:v>
                </c:pt>
                <c:pt idx="1083">
                  <c:v>1290.5</c:v>
                </c:pt>
                <c:pt idx="1084">
                  <c:v>1290.5</c:v>
                </c:pt>
                <c:pt idx="1085">
                  <c:v>1290.5</c:v>
                </c:pt>
                <c:pt idx="1086">
                  <c:v>1290.5</c:v>
                </c:pt>
                <c:pt idx="1087">
                  <c:v>1290.5</c:v>
                </c:pt>
                <c:pt idx="1088">
                  <c:v>1290.5</c:v>
                </c:pt>
                <c:pt idx="1089">
                  <c:v>1290.5</c:v>
                </c:pt>
                <c:pt idx="1090">
                  <c:v>1290.5</c:v>
                </c:pt>
                <c:pt idx="1091">
                  <c:v>1290.5</c:v>
                </c:pt>
                <c:pt idx="1092">
                  <c:v>1290.5</c:v>
                </c:pt>
                <c:pt idx="1093">
                  <c:v>1290.5</c:v>
                </c:pt>
                <c:pt idx="1094">
                  <c:v>1290.5</c:v>
                </c:pt>
                <c:pt idx="1095">
                  <c:v>1290.5</c:v>
                </c:pt>
                <c:pt idx="1096">
                  <c:v>1290.5</c:v>
                </c:pt>
                <c:pt idx="1097">
                  <c:v>1290.5</c:v>
                </c:pt>
                <c:pt idx="1098">
                  <c:v>1290.5</c:v>
                </c:pt>
                <c:pt idx="1099">
                  <c:v>1290.5</c:v>
                </c:pt>
                <c:pt idx="1100">
                  <c:v>1290.5</c:v>
                </c:pt>
                <c:pt idx="1101">
                  <c:v>1290.5</c:v>
                </c:pt>
                <c:pt idx="1102">
                  <c:v>1290.5</c:v>
                </c:pt>
                <c:pt idx="1103">
                  <c:v>1290.5</c:v>
                </c:pt>
                <c:pt idx="1104">
                  <c:v>1290.5</c:v>
                </c:pt>
                <c:pt idx="1105">
                  <c:v>1290.5</c:v>
                </c:pt>
                <c:pt idx="1106">
                  <c:v>1290.5</c:v>
                </c:pt>
                <c:pt idx="1107">
                  <c:v>1290.5</c:v>
                </c:pt>
                <c:pt idx="1108">
                  <c:v>1290.5</c:v>
                </c:pt>
                <c:pt idx="1109">
                  <c:v>1290.5</c:v>
                </c:pt>
                <c:pt idx="1110">
                  <c:v>1290.5</c:v>
                </c:pt>
                <c:pt idx="1111">
                  <c:v>1290.5</c:v>
                </c:pt>
                <c:pt idx="1112">
                  <c:v>1290.5</c:v>
                </c:pt>
                <c:pt idx="1113">
                  <c:v>39</c:v>
                </c:pt>
                <c:pt idx="1114">
                  <c:v>1290.5</c:v>
                </c:pt>
                <c:pt idx="1115">
                  <c:v>1290.5</c:v>
                </c:pt>
                <c:pt idx="1116">
                  <c:v>67</c:v>
                </c:pt>
                <c:pt idx="1117">
                  <c:v>1290.5</c:v>
                </c:pt>
                <c:pt idx="1118">
                  <c:v>1290.5</c:v>
                </c:pt>
                <c:pt idx="1119">
                  <c:v>23</c:v>
                </c:pt>
                <c:pt idx="1120">
                  <c:v>279.5</c:v>
                </c:pt>
                <c:pt idx="1121">
                  <c:v>1290.5</c:v>
                </c:pt>
                <c:pt idx="1122">
                  <c:v>1290.5</c:v>
                </c:pt>
                <c:pt idx="1123">
                  <c:v>1290.5</c:v>
                </c:pt>
                <c:pt idx="1124">
                  <c:v>4</c:v>
                </c:pt>
                <c:pt idx="1125">
                  <c:v>1290.5</c:v>
                </c:pt>
                <c:pt idx="1126">
                  <c:v>1290.5</c:v>
                </c:pt>
                <c:pt idx="1127">
                  <c:v>1290.5</c:v>
                </c:pt>
                <c:pt idx="1128">
                  <c:v>5</c:v>
                </c:pt>
                <c:pt idx="1129">
                  <c:v>1290.5</c:v>
                </c:pt>
                <c:pt idx="1130">
                  <c:v>82</c:v>
                </c:pt>
                <c:pt idx="1131">
                  <c:v>1290.5</c:v>
                </c:pt>
                <c:pt idx="1132">
                  <c:v>1290.5</c:v>
                </c:pt>
                <c:pt idx="1133">
                  <c:v>1290.5</c:v>
                </c:pt>
                <c:pt idx="1134">
                  <c:v>1290.5</c:v>
                </c:pt>
                <c:pt idx="1135">
                  <c:v>1290.5</c:v>
                </c:pt>
                <c:pt idx="1136">
                  <c:v>1290.5</c:v>
                </c:pt>
                <c:pt idx="1137">
                  <c:v>1290.5</c:v>
                </c:pt>
                <c:pt idx="1138">
                  <c:v>1290.5</c:v>
                </c:pt>
                <c:pt idx="1139">
                  <c:v>1290.5</c:v>
                </c:pt>
                <c:pt idx="1140">
                  <c:v>69</c:v>
                </c:pt>
                <c:pt idx="1141">
                  <c:v>1290.5</c:v>
                </c:pt>
                <c:pt idx="1142">
                  <c:v>1290.5</c:v>
                </c:pt>
                <c:pt idx="1143">
                  <c:v>1290.5</c:v>
                </c:pt>
                <c:pt idx="1144">
                  <c:v>1290.5</c:v>
                </c:pt>
                <c:pt idx="1145">
                  <c:v>1290.5</c:v>
                </c:pt>
                <c:pt idx="1146">
                  <c:v>1290.5</c:v>
                </c:pt>
                <c:pt idx="1147">
                  <c:v>1290.5</c:v>
                </c:pt>
                <c:pt idx="1148">
                  <c:v>1290.5</c:v>
                </c:pt>
                <c:pt idx="1149">
                  <c:v>1290.5</c:v>
                </c:pt>
                <c:pt idx="1150">
                  <c:v>1290.5</c:v>
                </c:pt>
                <c:pt idx="1151">
                  <c:v>2306</c:v>
                </c:pt>
                <c:pt idx="1152">
                  <c:v>2302</c:v>
                </c:pt>
                <c:pt idx="1153">
                  <c:v>113</c:v>
                </c:pt>
                <c:pt idx="1154">
                  <c:v>62</c:v>
                </c:pt>
                <c:pt idx="1155">
                  <c:v>1290.5</c:v>
                </c:pt>
                <c:pt idx="1156">
                  <c:v>1290.5</c:v>
                </c:pt>
                <c:pt idx="1157">
                  <c:v>1290.5</c:v>
                </c:pt>
                <c:pt idx="1158">
                  <c:v>1290.5</c:v>
                </c:pt>
                <c:pt idx="1159">
                  <c:v>1290.5</c:v>
                </c:pt>
                <c:pt idx="1160">
                  <c:v>1290.5</c:v>
                </c:pt>
                <c:pt idx="1161">
                  <c:v>1290.5</c:v>
                </c:pt>
                <c:pt idx="1162">
                  <c:v>1290.5</c:v>
                </c:pt>
                <c:pt idx="1163">
                  <c:v>1290.5</c:v>
                </c:pt>
                <c:pt idx="1164">
                  <c:v>1290.5</c:v>
                </c:pt>
                <c:pt idx="1165">
                  <c:v>1290.5</c:v>
                </c:pt>
                <c:pt idx="1166">
                  <c:v>1290.5</c:v>
                </c:pt>
                <c:pt idx="1167">
                  <c:v>1290.5</c:v>
                </c:pt>
                <c:pt idx="1168">
                  <c:v>1290.5</c:v>
                </c:pt>
                <c:pt idx="1169">
                  <c:v>1290.5</c:v>
                </c:pt>
                <c:pt idx="1170">
                  <c:v>1290.5</c:v>
                </c:pt>
                <c:pt idx="1171">
                  <c:v>1290.5</c:v>
                </c:pt>
                <c:pt idx="1172">
                  <c:v>1290.5</c:v>
                </c:pt>
                <c:pt idx="1173">
                  <c:v>185.5</c:v>
                </c:pt>
                <c:pt idx="1174">
                  <c:v>95</c:v>
                </c:pt>
                <c:pt idx="1175">
                  <c:v>285.5</c:v>
                </c:pt>
                <c:pt idx="1176">
                  <c:v>1290.5</c:v>
                </c:pt>
                <c:pt idx="1177">
                  <c:v>30</c:v>
                </c:pt>
                <c:pt idx="1178">
                  <c:v>1290.5</c:v>
                </c:pt>
                <c:pt idx="1179">
                  <c:v>1290.5</c:v>
                </c:pt>
                <c:pt idx="1180">
                  <c:v>1290.5</c:v>
                </c:pt>
                <c:pt idx="1181">
                  <c:v>1290.5</c:v>
                </c:pt>
                <c:pt idx="1182">
                  <c:v>1290.5</c:v>
                </c:pt>
                <c:pt idx="1183">
                  <c:v>91.5</c:v>
                </c:pt>
                <c:pt idx="1184">
                  <c:v>1290.5</c:v>
                </c:pt>
                <c:pt idx="1185">
                  <c:v>16.5</c:v>
                </c:pt>
                <c:pt idx="1186">
                  <c:v>177.5</c:v>
                </c:pt>
                <c:pt idx="1187">
                  <c:v>1290.5</c:v>
                </c:pt>
                <c:pt idx="1188">
                  <c:v>1290.5</c:v>
                </c:pt>
                <c:pt idx="1189">
                  <c:v>1290.5</c:v>
                </c:pt>
                <c:pt idx="1190">
                  <c:v>1290.5</c:v>
                </c:pt>
                <c:pt idx="1191">
                  <c:v>1290.5</c:v>
                </c:pt>
                <c:pt idx="1192">
                  <c:v>1290.5</c:v>
                </c:pt>
                <c:pt idx="1193">
                  <c:v>1290.5</c:v>
                </c:pt>
                <c:pt idx="1194">
                  <c:v>1290.5</c:v>
                </c:pt>
                <c:pt idx="1195">
                  <c:v>1290.5</c:v>
                </c:pt>
                <c:pt idx="1196">
                  <c:v>1290.5</c:v>
                </c:pt>
                <c:pt idx="1197">
                  <c:v>1290.5</c:v>
                </c:pt>
                <c:pt idx="1198">
                  <c:v>1290.5</c:v>
                </c:pt>
                <c:pt idx="1199">
                  <c:v>1290.5</c:v>
                </c:pt>
                <c:pt idx="1200">
                  <c:v>1290.5</c:v>
                </c:pt>
                <c:pt idx="1201">
                  <c:v>1290.5</c:v>
                </c:pt>
                <c:pt idx="1202">
                  <c:v>1290.5</c:v>
                </c:pt>
                <c:pt idx="1203">
                  <c:v>1290.5</c:v>
                </c:pt>
                <c:pt idx="1204">
                  <c:v>1290.5</c:v>
                </c:pt>
                <c:pt idx="1205">
                  <c:v>1290.5</c:v>
                </c:pt>
                <c:pt idx="1206">
                  <c:v>1290.5</c:v>
                </c:pt>
                <c:pt idx="1207">
                  <c:v>1290.5</c:v>
                </c:pt>
                <c:pt idx="1208">
                  <c:v>1290.5</c:v>
                </c:pt>
                <c:pt idx="1209">
                  <c:v>1290.5</c:v>
                </c:pt>
                <c:pt idx="1210">
                  <c:v>1290.5</c:v>
                </c:pt>
                <c:pt idx="1211">
                  <c:v>1290.5</c:v>
                </c:pt>
                <c:pt idx="1212">
                  <c:v>1290.5</c:v>
                </c:pt>
                <c:pt idx="1213">
                  <c:v>1290.5</c:v>
                </c:pt>
                <c:pt idx="1214">
                  <c:v>1290.5</c:v>
                </c:pt>
                <c:pt idx="1215">
                  <c:v>1290.5</c:v>
                </c:pt>
                <c:pt idx="1216">
                  <c:v>1290.5</c:v>
                </c:pt>
                <c:pt idx="1217">
                  <c:v>1290.5</c:v>
                </c:pt>
                <c:pt idx="1218">
                  <c:v>1290.5</c:v>
                </c:pt>
                <c:pt idx="1219">
                  <c:v>1290.5</c:v>
                </c:pt>
                <c:pt idx="1220">
                  <c:v>1290.5</c:v>
                </c:pt>
                <c:pt idx="1221">
                  <c:v>1290.5</c:v>
                </c:pt>
                <c:pt idx="1222">
                  <c:v>1290.5</c:v>
                </c:pt>
                <c:pt idx="1223">
                  <c:v>1290.5</c:v>
                </c:pt>
                <c:pt idx="1224">
                  <c:v>1290.5</c:v>
                </c:pt>
                <c:pt idx="1225">
                  <c:v>1290.5</c:v>
                </c:pt>
                <c:pt idx="1226">
                  <c:v>1290.5</c:v>
                </c:pt>
                <c:pt idx="1227">
                  <c:v>1290.5</c:v>
                </c:pt>
                <c:pt idx="1228">
                  <c:v>1290.5</c:v>
                </c:pt>
                <c:pt idx="1229">
                  <c:v>1290.5</c:v>
                </c:pt>
                <c:pt idx="1230">
                  <c:v>1290.5</c:v>
                </c:pt>
                <c:pt idx="1231">
                  <c:v>1290.5</c:v>
                </c:pt>
                <c:pt idx="1232">
                  <c:v>1290.5</c:v>
                </c:pt>
                <c:pt idx="1233">
                  <c:v>1290.5</c:v>
                </c:pt>
                <c:pt idx="1234">
                  <c:v>1290.5</c:v>
                </c:pt>
                <c:pt idx="1235">
                  <c:v>1290.5</c:v>
                </c:pt>
                <c:pt idx="1236">
                  <c:v>1290.5</c:v>
                </c:pt>
                <c:pt idx="1237">
                  <c:v>1290.5</c:v>
                </c:pt>
                <c:pt idx="1238">
                  <c:v>1290.5</c:v>
                </c:pt>
                <c:pt idx="1239">
                  <c:v>1290.5</c:v>
                </c:pt>
                <c:pt idx="1240">
                  <c:v>1290.5</c:v>
                </c:pt>
                <c:pt idx="1241">
                  <c:v>1290.5</c:v>
                </c:pt>
                <c:pt idx="1242">
                  <c:v>1290.5</c:v>
                </c:pt>
                <c:pt idx="1243">
                  <c:v>1290.5</c:v>
                </c:pt>
                <c:pt idx="1244">
                  <c:v>254</c:v>
                </c:pt>
                <c:pt idx="1245">
                  <c:v>1290.5</c:v>
                </c:pt>
                <c:pt idx="1246">
                  <c:v>1290.5</c:v>
                </c:pt>
                <c:pt idx="1247">
                  <c:v>28</c:v>
                </c:pt>
                <c:pt idx="1248">
                  <c:v>2303.5</c:v>
                </c:pt>
                <c:pt idx="1249">
                  <c:v>1290.5</c:v>
                </c:pt>
                <c:pt idx="1250">
                  <c:v>204</c:v>
                </c:pt>
                <c:pt idx="1251">
                  <c:v>2294</c:v>
                </c:pt>
                <c:pt idx="1252">
                  <c:v>1290.5</c:v>
                </c:pt>
                <c:pt idx="1253">
                  <c:v>1290.5</c:v>
                </c:pt>
                <c:pt idx="1254">
                  <c:v>1290.5</c:v>
                </c:pt>
                <c:pt idx="1255">
                  <c:v>1290.5</c:v>
                </c:pt>
                <c:pt idx="1256">
                  <c:v>1290.5</c:v>
                </c:pt>
                <c:pt idx="1257">
                  <c:v>19</c:v>
                </c:pt>
                <c:pt idx="1258">
                  <c:v>1290.5</c:v>
                </c:pt>
                <c:pt idx="1259">
                  <c:v>1290.5</c:v>
                </c:pt>
                <c:pt idx="1260">
                  <c:v>1290.5</c:v>
                </c:pt>
                <c:pt idx="1261">
                  <c:v>75</c:v>
                </c:pt>
                <c:pt idx="1262">
                  <c:v>1290.5</c:v>
                </c:pt>
                <c:pt idx="1263">
                  <c:v>1290.5</c:v>
                </c:pt>
                <c:pt idx="1264">
                  <c:v>1290.5</c:v>
                </c:pt>
                <c:pt idx="1265">
                  <c:v>1290.5</c:v>
                </c:pt>
                <c:pt idx="1266">
                  <c:v>285.5</c:v>
                </c:pt>
                <c:pt idx="1267">
                  <c:v>1290.5</c:v>
                </c:pt>
                <c:pt idx="1268">
                  <c:v>1290.5</c:v>
                </c:pt>
                <c:pt idx="1269">
                  <c:v>1290.5</c:v>
                </c:pt>
                <c:pt idx="1270">
                  <c:v>22</c:v>
                </c:pt>
                <c:pt idx="1271">
                  <c:v>1290.5</c:v>
                </c:pt>
                <c:pt idx="1272">
                  <c:v>1290.5</c:v>
                </c:pt>
                <c:pt idx="1273">
                  <c:v>177.5</c:v>
                </c:pt>
                <c:pt idx="1274">
                  <c:v>1290.5</c:v>
                </c:pt>
                <c:pt idx="1275">
                  <c:v>1290.5</c:v>
                </c:pt>
                <c:pt idx="1276">
                  <c:v>76</c:v>
                </c:pt>
                <c:pt idx="1277">
                  <c:v>1290.5</c:v>
                </c:pt>
                <c:pt idx="1278">
                  <c:v>1290.5</c:v>
                </c:pt>
                <c:pt idx="1279">
                  <c:v>1290.5</c:v>
                </c:pt>
                <c:pt idx="1280">
                  <c:v>1290.5</c:v>
                </c:pt>
                <c:pt idx="1281">
                  <c:v>1290.5</c:v>
                </c:pt>
                <c:pt idx="1282">
                  <c:v>1290.5</c:v>
                </c:pt>
                <c:pt idx="1283">
                  <c:v>1290.5</c:v>
                </c:pt>
                <c:pt idx="1284">
                  <c:v>1290.5</c:v>
                </c:pt>
                <c:pt idx="1285">
                  <c:v>1290.5</c:v>
                </c:pt>
                <c:pt idx="1286">
                  <c:v>1290.5</c:v>
                </c:pt>
                <c:pt idx="1287">
                  <c:v>1290.5</c:v>
                </c:pt>
                <c:pt idx="1288">
                  <c:v>1290.5</c:v>
                </c:pt>
                <c:pt idx="1289">
                  <c:v>1290.5</c:v>
                </c:pt>
                <c:pt idx="1290">
                  <c:v>1290.5</c:v>
                </c:pt>
                <c:pt idx="1291">
                  <c:v>1290.5</c:v>
                </c:pt>
                <c:pt idx="1292">
                  <c:v>1290.5</c:v>
                </c:pt>
                <c:pt idx="1293">
                  <c:v>48</c:v>
                </c:pt>
                <c:pt idx="1294">
                  <c:v>1290.5</c:v>
                </c:pt>
                <c:pt idx="1295">
                  <c:v>1290.5</c:v>
                </c:pt>
                <c:pt idx="1296">
                  <c:v>1290.5</c:v>
                </c:pt>
                <c:pt idx="1297">
                  <c:v>1290.5</c:v>
                </c:pt>
                <c:pt idx="1298">
                  <c:v>165</c:v>
                </c:pt>
                <c:pt idx="1299">
                  <c:v>1290.5</c:v>
                </c:pt>
                <c:pt idx="1300">
                  <c:v>1290.5</c:v>
                </c:pt>
                <c:pt idx="1301">
                  <c:v>1290.5</c:v>
                </c:pt>
                <c:pt idx="1302">
                  <c:v>33</c:v>
                </c:pt>
                <c:pt idx="1303">
                  <c:v>1290.5</c:v>
                </c:pt>
                <c:pt idx="1304">
                  <c:v>1290.5</c:v>
                </c:pt>
                <c:pt idx="1305">
                  <c:v>1290.5</c:v>
                </c:pt>
                <c:pt idx="1306">
                  <c:v>202.5</c:v>
                </c:pt>
                <c:pt idx="1307">
                  <c:v>30</c:v>
                </c:pt>
                <c:pt idx="1308">
                  <c:v>1290.5</c:v>
                </c:pt>
                <c:pt idx="1309">
                  <c:v>1290.5</c:v>
                </c:pt>
                <c:pt idx="1310">
                  <c:v>1290.5</c:v>
                </c:pt>
                <c:pt idx="1311">
                  <c:v>1290.5</c:v>
                </c:pt>
                <c:pt idx="1312">
                  <c:v>1290.5</c:v>
                </c:pt>
                <c:pt idx="1313">
                  <c:v>1290.5</c:v>
                </c:pt>
                <c:pt idx="1314">
                  <c:v>1290.5</c:v>
                </c:pt>
                <c:pt idx="1315">
                  <c:v>1290.5</c:v>
                </c:pt>
                <c:pt idx="1316">
                  <c:v>1290.5</c:v>
                </c:pt>
                <c:pt idx="1317">
                  <c:v>1290.5</c:v>
                </c:pt>
                <c:pt idx="1318">
                  <c:v>1290.5</c:v>
                </c:pt>
                <c:pt idx="1319">
                  <c:v>1290.5</c:v>
                </c:pt>
                <c:pt idx="1320">
                  <c:v>207</c:v>
                </c:pt>
                <c:pt idx="1321">
                  <c:v>1290.5</c:v>
                </c:pt>
                <c:pt idx="1322">
                  <c:v>1290.5</c:v>
                </c:pt>
                <c:pt idx="1323">
                  <c:v>1290.5</c:v>
                </c:pt>
                <c:pt idx="1324">
                  <c:v>1290.5</c:v>
                </c:pt>
                <c:pt idx="1325">
                  <c:v>1290.5</c:v>
                </c:pt>
                <c:pt idx="1326">
                  <c:v>1290.5</c:v>
                </c:pt>
                <c:pt idx="1327">
                  <c:v>1290.5</c:v>
                </c:pt>
                <c:pt idx="1328">
                  <c:v>1290.5</c:v>
                </c:pt>
                <c:pt idx="1329">
                  <c:v>1290.5</c:v>
                </c:pt>
                <c:pt idx="1330">
                  <c:v>1290.5</c:v>
                </c:pt>
                <c:pt idx="1331">
                  <c:v>1290.5</c:v>
                </c:pt>
                <c:pt idx="1332">
                  <c:v>1290.5</c:v>
                </c:pt>
                <c:pt idx="1333">
                  <c:v>1290.5</c:v>
                </c:pt>
                <c:pt idx="1334">
                  <c:v>1290.5</c:v>
                </c:pt>
                <c:pt idx="1335">
                  <c:v>1290.5</c:v>
                </c:pt>
                <c:pt idx="1336">
                  <c:v>1290.5</c:v>
                </c:pt>
                <c:pt idx="1337">
                  <c:v>1290.5</c:v>
                </c:pt>
                <c:pt idx="1338">
                  <c:v>1290.5</c:v>
                </c:pt>
                <c:pt idx="1339">
                  <c:v>1290.5</c:v>
                </c:pt>
                <c:pt idx="1340">
                  <c:v>1290.5</c:v>
                </c:pt>
                <c:pt idx="1341">
                  <c:v>1290.5</c:v>
                </c:pt>
                <c:pt idx="1342">
                  <c:v>1290.5</c:v>
                </c:pt>
                <c:pt idx="1343">
                  <c:v>7.5</c:v>
                </c:pt>
                <c:pt idx="1344">
                  <c:v>1290.5</c:v>
                </c:pt>
                <c:pt idx="1345">
                  <c:v>1290.5</c:v>
                </c:pt>
                <c:pt idx="1346">
                  <c:v>1290.5</c:v>
                </c:pt>
                <c:pt idx="1347">
                  <c:v>1290.5</c:v>
                </c:pt>
                <c:pt idx="1348">
                  <c:v>1</c:v>
                </c:pt>
                <c:pt idx="1349">
                  <c:v>1290.5</c:v>
                </c:pt>
                <c:pt idx="1350">
                  <c:v>1290.5</c:v>
                </c:pt>
                <c:pt idx="1351">
                  <c:v>1290.5</c:v>
                </c:pt>
                <c:pt idx="1352">
                  <c:v>1290.5</c:v>
                </c:pt>
                <c:pt idx="1353">
                  <c:v>1290.5</c:v>
                </c:pt>
                <c:pt idx="1354">
                  <c:v>1290.5</c:v>
                </c:pt>
                <c:pt idx="1355">
                  <c:v>1290.5</c:v>
                </c:pt>
                <c:pt idx="1356">
                  <c:v>1290.5</c:v>
                </c:pt>
                <c:pt idx="1357">
                  <c:v>1290.5</c:v>
                </c:pt>
                <c:pt idx="1358">
                  <c:v>1290.5</c:v>
                </c:pt>
                <c:pt idx="1359">
                  <c:v>1290.5</c:v>
                </c:pt>
                <c:pt idx="1360">
                  <c:v>1290.5</c:v>
                </c:pt>
                <c:pt idx="1361">
                  <c:v>1290.5</c:v>
                </c:pt>
                <c:pt idx="1362">
                  <c:v>1290.5</c:v>
                </c:pt>
                <c:pt idx="1363">
                  <c:v>1290.5</c:v>
                </c:pt>
                <c:pt idx="1364">
                  <c:v>1290.5</c:v>
                </c:pt>
                <c:pt idx="1365">
                  <c:v>1290.5</c:v>
                </c:pt>
                <c:pt idx="1366">
                  <c:v>1290.5</c:v>
                </c:pt>
                <c:pt idx="1367">
                  <c:v>1290.5</c:v>
                </c:pt>
                <c:pt idx="1368">
                  <c:v>1290.5</c:v>
                </c:pt>
                <c:pt idx="1369">
                  <c:v>1290.5</c:v>
                </c:pt>
                <c:pt idx="1370">
                  <c:v>1290.5</c:v>
                </c:pt>
                <c:pt idx="1371">
                  <c:v>1290.5</c:v>
                </c:pt>
                <c:pt idx="1372">
                  <c:v>1290.5</c:v>
                </c:pt>
                <c:pt idx="1373">
                  <c:v>1290.5</c:v>
                </c:pt>
                <c:pt idx="1374">
                  <c:v>1290.5</c:v>
                </c:pt>
                <c:pt idx="1375">
                  <c:v>1290.5</c:v>
                </c:pt>
                <c:pt idx="1376">
                  <c:v>1290.5</c:v>
                </c:pt>
                <c:pt idx="1377">
                  <c:v>1290.5</c:v>
                </c:pt>
                <c:pt idx="1378">
                  <c:v>1290.5</c:v>
                </c:pt>
                <c:pt idx="1379">
                  <c:v>1290.5</c:v>
                </c:pt>
                <c:pt idx="1380">
                  <c:v>1290.5</c:v>
                </c:pt>
                <c:pt idx="1381">
                  <c:v>1290.5</c:v>
                </c:pt>
                <c:pt idx="1382">
                  <c:v>1290.5</c:v>
                </c:pt>
                <c:pt idx="1383">
                  <c:v>1290.5</c:v>
                </c:pt>
                <c:pt idx="1384">
                  <c:v>1290.5</c:v>
                </c:pt>
                <c:pt idx="1385">
                  <c:v>1290.5</c:v>
                </c:pt>
                <c:pt idx="1386">
                  <c:v>1290.5</c:v>
                </c:pt>
                <c:pt idx="1387">
                  <c:v>1290.5</c:v>
                </c:pt>
                <c:pt idx="1388">
                  <c:v>1290.5</c:v>
                </c:pt>
                <c:pt idx="1389">
                  <c:v>1290.5</c:v>
                </c:pt>
                <c:pt idx="1390">
                  <c:v>1290.5</c:v>
                </c:pt>
                <c:pt idx="1391">
                  <c:v>1290.5</c:v>
                </c:pt>
                <c:pt idx="1392">
                  <c:v>1290.5</c:v>
                </c:pt>
                <c:pt idx="1393">
                  <c:v>1290.5</c:v>
                </c:pt>
                <c:pt idx="1394">
                  <c:v>1290.5</c:v>
                </c:pt>
                <c:pt idx="1395">
                  <c:v>1290.5</c:v>
                </c:pt>
                <c:pt idx="1396">
                  <c:v>1290.5</c:v>
                </c:pt>
                <c:pt idx="1397">
                  <c:v>1290.5</c:v>
                </c:pt>
                <c:pt idx="1398">
                  <c:v>1290.5</c:v>
                </c:pt>
                <c:pt idx="1399">
                  <c:v>143</c:v>
                </c:pt>
                <c:pt idx="1400">
                  <c:v>143</c:v>
                </c:pt>
                <c:pt idx="1401">
                  <c:v>143</c:v>
                </c:pt>
                <c:pt idx="1402">
                  <c:v>1290.5</c:v>
                </c:pt>
                <c:pt idx="1403">
                  <c:v>51</c:v>
                </c:pt>
                <c:pt idx="1404">
                  <c:v>1290.5</c:v>
                </c:pt>
                <c:pt idx="1405">
                  <c:v>1290.5</c:v>
                </c:pt>
                <c:pt idx="1406">
                  <c:v>1290.5</c:v>
                </c:pt>
                <c:pt idx="1407">
                  <c:v>1290.5</c:v>
                </c:pt>
                <c:pt idx="1408">
                  <c:v>1290.5</c:v>
                </c:pt>
                <c:pt idx="1409">
                  <c:v>1290.5</c:v>
                </c:pt>
                <c:pt idx="1410">
                  <c:v>1290.5</c:v>
                </c:pt>
                <c:pt idx="1411">
                  <c:v>1290.5</c:v>
                </c:pt>
                <c:pt idx="1412">
                  <c:v>1290.5</c:v>
                </c:pt>
                <c:pt idx="1413">
                  <c:v>1290.5</c:v>
                </c:pt>
                <c:pt idx="1414">
                  <c:v>1290.5</c:v>
                </c:pt>
                <c:pt idx="1415">
                  <c:v>1290.5</c:v>
                </c:pt>
                <c:pt idx="1416">
                  <c:v>1290.5</c:v>
                </c:pt>
                <c:pt idx="1417">
                  <c:v>1290.5</c:v>
                </c:pt>
                <c:pt idx="1418">
                  <c:v>1290.5</c:v>
                </c:pt>
                <c:pt idx="1419">
                  <c:v>1290.5</c:v>
                </c:pt>
                <c:pt idx="1420">
                  <c:v>1290.5</c:v>
                </c:pt>
                <c:pt idx="1421">
                  <c:v>1290.5</c:v>
                </c:pt>
                <c:pt idx="1422">
                  <c:v>1290.5</c:v>
                </c:pt>
                <c:pt idx="1423">
                  <c:v>1290.5</c:v>
                </c:pt>
                <c:pt idx="1424">
                  <c:v>19</c:v>
                </c:pt>
                <c:pt idx="1425">
                  <c:v>1290.5</c:v>
                </c:pt>
                <c:pt idx="1426">
                  <c:v>1290.5</c:v>
                </c:pt>
                <c:pt idx="1427">
                  <c:v>1290.5</c:v>
                </c:pt>
                <c:pt idx="1428">
                  <c:v>1290.5</c:v>
                </c:pt>
                <c:pt idx="1429">
                  <c:v>1290.5</c:v>
                </c:pt>
                <c:pt idx="1430">
                  <c:v>1290.5</c:v>
                </c:pt>
                <c:pt idx="1431">
                  <c:v>143</c:v>
                </c:pt>
                <c:pt idx="1432">
                  <c:v>1290.5</c:v>
                </c:pt>
                <c:pt idx="1433">
                  <c:v>218</c:v>
                </c:pt>
                <c:pt idx="1434">
                  <c:v>218</c:v>
                </c:pt>
                <c:pt idx="1435">
                  <c:v>1290.5</c:v>
                </c:pt>
                <c:pt idx="1436">
                  <c:v>1290.5</c:v>
                </c:pt>
                <c:pt idx="1437">
                  <c:v>1290.5</c:v>
                </c:pt>
                <c:pt idx="1438">
                  <c:v>1290.5</c:v>
                </c:pt>
                <c:pt idx="1439">
                  <c:v>1290.5</c:v>
                </c:pt>
                <c:pt idx="1440">
                  <c:v>131.5</c:v>
                </c:pt>
                <c:pt idx="1441">
                  <c:v>131.5</c:v>
                </c:pt>
                <c:pt idx="1442">
                  <c:v>1290.5</c:v>
                </c:pt>
                <c:pt idx="1443">
                  <c:v>1290.5</c:v>
                </c:pt>
                <c:pt idx="1444">
                  <c:v>1290.5</c:v>
                </c:pt>
                <c:pt idx="1445">
                  <c:v>1290.5</c:v>
                </c:pt>
                <c:pt idx="1446">
                  <c:v>1290.5</c:v>
                </c:pt>
                <c:pt idx="1447">
                  <c:v>1290.5</c:v>
                </c:pt>
                <c:pt idx="1448">
                  <c:v>1290.5</c:v>
                </c:pt>
                <c:pt idx="1449">
                  <c:v>1290.5</c:v>
                </c:pt>
                <c:pt idx="1450">
                  <c:v>1290.5</c:v>
                </c:pt>
                <c:pt idx="1451">
                  <c:v>111</c:v>
                </c:pt>
                <c:pt idx="1452">
                  <c:v>245</c:v>
                </c:pt>
                <c:pt idx="1453">
                  <c:v>118.5</c:v>
                </c:pt>
                <c:pt idx="1454">
                  <c:v>218</c:v>
                </c:pt>
                <c:pt idx="1455">
                  <c:v>1290.5</c:v>
                </c:pt>
                <c:pt idx="1456">
                  <c:v>1290.5</c:v>
                </c:pt>
                <c:pt idx="1457">
                  <c:v>1290.5</c:v>
                </c:pt>
                <c:pt idx="1458">
                  <c:v>1290.5</c:v>
                </c:pt>
                <c:pt idx="1459">
                  <c:v>1290.5</c:v>
                </c:pt>
                <c:pt idx="1460">
                  <c:v>1290.5</c:v>
                </c:pt>
                <c:pt idx="1461">
                  <c:v>1290.5</c:v>
                </c:pt>
                <c:pt idx="1462">
                  <c:v>1290.5</c:v>
                </c:pt>
                <c:pt idx="1463">
                  <c:v>1290.5</c:v>
                </c:pt>
                <c:pt idx="1464">
                  <c:v>1290.5</c:v>
                </c:pt>
                <c:pt idx="1465">
                  <c:v>1290.5</c:v>
                </c:pt>
                <c:pt idx="1466">
                  <c:v>1290.5</c:v>
                </c:pt>
                <c:pt idx="1467">
                  <c:v>1290.5</c:v>
                </c:pt>
                <c:pt idx="1468">
                  <c:v>1290.5</c:v>
                </c:pt>
                <c:pt idx="1469">
                  <c:v>1290.5</c:v>
                </c:pt>
                <c:pt idx="1470">
                  <c:v>1290.5</c:v>
                </c:pt>
                <c:pt idx="1471">
                  <c:v>1290.5</c:v>
                </c:pt>
                <c:pt idx="1472">
                  <c:v>1290.5</c:v>
                </c:pt>
                <c:pt idx="1473">
                  <c:v>1290.5</c:v>
                </c:pt>
                <c:pt idx="1474">
                  <c:v>1290.5</c:v>
                </c:pt>
                <c:pt idx="1475">
                  <c:v>1290.5</c:v>
                </c:pt>
                <c:pt idx="1476">
                  <c:v>1290.5</c:v>
                </c:pt>
                <c:pt idx="1477">
                  <c:v>1290.5</c:v>
                </c:pt>
                <c:pt idx="1478">
                  <c:v>1290.5</c:v>
                </c:pt>
                <c:pt idx="1479">
                  <c:v>1290.5</c:v>
                </c:pt>
                <c:pt idx="1480">
                  <c:v>1290.5</c:v>
                </c:pt>
                <c:pt idx="1481">
                  <c:v>1290.5</c:v>
                </c:pt>
                <c:pt idx="1482">
                  <c:v>1290.5</c:v>
                </c:pt>
                <c:pt idx="1483">
                  <c:v>1290.5</c:v>
                </c:pt>
                <c:pt idx="1484">
                  <c:v>1290.5</c:v>
                </c:pt>
                <c:pt idx="1485">
                  <c:v>1290.5</c:v>
                </c:pt>
                <c:pt idx="1486">
                  <c:v>1290.5</c:v>
                </c:pt>
                <c:pt idx="1487">
                  <c:v>1290.5</c:v>
                </c:pt>
                <c:pt idx="1488">
                  <c:v>1290.5</c:v>
                </c:pt>
                <c:pt idx="1489">
                  <c:v>1290.5</c:v>
                </c:pt>
                <c:pt idx="1490">
                  <c:v>53</c:v>
                </c:pt>
                <c:pt idx="1491">
                  <c:v>1290.5</c:v>
                </c:pt>
                <c:pt idx="1492">
                  <c:v>1290.5</c:v>
                </c:pt>
                <c:pt idx="1493">
                  <c:v>1290.5</c:v>
                </c:pt>
                <c:pt idx="1494">
                  <c:v>1290.5</c:v>
                </c:pt>
                <c:pt idx="1495">
                  <c:v>1290.5</c:v>
                </c:pt>
                <c:pt idx="1496">
                  <c:v>1290.5</c:v>
                </c:pt>
                <c:pt idx="1497">
                  <c:v>218</c:v>
                </c:pt>
                <c:pt idx="1498">
                  <c:v>218</c:v>
                </c:pt>
                <c:pt idx="1499">
                  <c:v>78.5</c:v>
                </c:pt>
                <c:pt idx="1500">
                  <c:v>159</c:v>
                </c:pt>
                <c:pt idx="1501">
                  <c:v>1290.5</c:v>
                </c:pt>
                <c:pt idx="1502">
                  <c:v>1290.5</c:v>
                </c:pt>
                <c:pt idx="1503">
                  <c:v>159</c:v>
                </c:pt>
                <c:pt idx="1504">
                  <c:v>1290.5</c:v>
                </c:pt>
                <c:pt idx="1505">
                  <c:v>1290.5</c:v>
                </c:pt>
                <c:pt idx="1506">
                  <c:v>1290.5</c:v>
                </c:pt>
                <c:pt idx="1507">
                  <c:v>1290.5</c:v>
                </c:pt>
                <c:pt idx="1508">
                  <c:v>148.5</c:v>
                </c:pt>
                <c:pt idx="1509">
                  <c:v>202.5</c:v>
                </c:pt>
                <c:pt idx="1510">
                  <c:v>1290.5</c:v>
                </c:pt>
                <c:pt idx="1511">
                  <c:v>1290.5</c:v>
                </c:pt>
                <c:pt idx="1512">
                  <c:v>1290.5</c:v>
                </c:pt>
                <c:pt idx="1513">
                  <c:v>1290.5</c:v>
                </c:pt>
                <c:pt idx="1514">
                  <c:v>1290.5</c:v>
                </c:pt>
                <c:pt idx="1515">
                  <c:v>1290.5</c:v>
                </c:pt>
                <c:pt idx="1516">
                  <c:v>1290.5</c:v>
                </c:pt>
                <c:pt idx="1517">
                  <c:v>1290.5</c:v>
                </c:pt>
                <c:pt idx="1518">
                  <c:v>1290.5</c:v>
                </c:pt>
                <c:pt idx="1519">
                  <c:v>1290.5</c:v>
                </c:pt>
                <c:pt idx="1520">
                  <c:v>1290.5</c:v>
                </c:pt>
                <c:pt idx="1521">
                  <c:v>1290.5</c:v>
                </c:pt>
                <c:pt idx="1522">
                  <c:v>1290.5</c:v>
                </c:pt>
                <c:pt idx="1523">
                  <c:v>205.5</c:v>
                </c:pt>
                <c:pt idx="1524">
                  <c:v>1290.5</c:v>
                </c:pt>
                <c:pt idx="1525">
                  <c:v>1290.5</c:v>
                </c:pt>
                <c:pt idx="1526">
                  <c:v>1290.5</c:v>
                </c:pt>
                <c:pt idx="1527">
                  <c:v>1290.5</c:v>
                </c:pt>
                <c:pt idx="1528">
                  <c:v>1290.5</c:v>
                </c:pt>
                <c:pt idx="1529">
                  <c:v>1290.5</c:v>
                </c:pt>
                <c:pt idx="1530">
                  <c:v>125</c:v>
                </c:pt>
                <c:pt idx="1531">
                  <c:v>125</c:v>
                </c:pt>
                <c:pt idx="1532">
                  <c:v>125</c:v>
                </c:pt>
                <c:pt idx="1533">
                  <c:v>125</c:v>
                </c:pt>
                <c:pt idx="1534">
                  <c:v>1290.5</c:v>
                </c:pt>
                <c:pt idx="1535">
                  <c:v>1290.5</c:v>
                </c:pt>
                <c:pt idx="1536">
                  <c:v>1290.5</c:v>
                </c:pt>
                <c:pt idx="1537">
                  <c:v>1290.5</c:v>
                </c:pt>
                <c:pt idx="1538">
                  <c:v>1290.5</c:v>
                </c:pt>
                <c:pt idx="1539">
                  <c:v>1290.5</c:v>
                </c:pt>
                <c:pt idx="1540">
                  <c:v>103</c:v>
                </c:pt>
                <c:pt idx="1541">
                  <c:v>159</c:v>
                </c:pt>
                <c:pt idx="1542">
                  <c:v>106.5</c:v>
                </c:pt>
                <c:pt idx="1543">
                  <c:v>1290.5</c:v>
                </c:pt>
                <c:pt idx="1544">
                  <c:v>1290.5</c:v>
                </c:pt>
                <c:pt idx="1545">
                  <c:v>82</c:v>
                </c:pt>
                <c:pt idx="1546">
                  <c:v>1290.5</c:v>
                </c:pt>
                <c:pt idx="1547">
                  <c:v>1290.5</c:v>
                </c:pt>
                <c:pt idx="1548">
                  <c:v>1290.5</c:v>
                </c:pt>
                <c:pt idx="1549">
                  <c:v>1290.5</c:v>
                </c:pt>
                <c:pt idx="1550">
                  <c:v>2300</c:v>
                </c:pt>
                <c:pt idx="1551">
                  <c:v>1290.5</c:v>
                </c:pt>
                <c:pt idx="1552">
                  <c:v>208</c:v>
                </c:pt>
                <c:pt idx="1553">
                  <c:v>136.5</c:v>
                </c:pt>
                <c:pt idx="1554">
                  <c:v>1290.5</c:v>
                </c:pt>
                <c:pt idx="1555">
                  <c:v>1290.5</c:v>
                </c:pt>
                <c:pt idx="1556">
                  <c:v>1290.5</c:v>
                </c:pt>
                <c:pt idx="1557">
                  <c:v>136.5</c:v>
                </c:pt>
                <c:pt idx="1558">
                  <c:v>1290.5</c:v>
                </c:pt>
                <c:pt idx="1559">
                  <c:v>1290.5</c:v>
                </c:pt>
                <c:pt idx="1560">
                  <c:v>1290.5</c:v>
                </c:pt>
                <c:pt idx="1561">
                  <c:v>125</c:v>
                </c:pt>
                <c:pt idx="1562">
                  <c:v>1290.5</c:v>
                </c:pt>
                <c:pt idx="1563">
                  <c:v>1290.5</c:v>
                </c:pt>
                <c:pt idx="1564">
                  <c:v>1290.5</c:v>
                </c:pt>
                <c:pt idx="1565">
                  <c:v>1290.5</c:v>
                </c:pt>
                <c:pt idx="1566">
                  <c:v>1290.5</c:v>
                </c:pt>
                <c:pt idx="1567">
                  <c:v>1290.5</c:v>
                </c:pt>
                <c:pt idx="1568">
                  <c:v>1290.5</c:v>
                </c:pt>
                <c:pt idx="1569">
                  <c:v>1290.5</c:v>
                </c:pt>
                <c:pt idx="1570">
                  <c:v>1290.5</c:v>
                </c:pt>
                <c:pt idx="1571">
                  <c:v>1290.5</c:v>
                </c:pt>
                <c:pt idx="1572">
                  <c:v>1290.5</c:v>
                </c:pt>
                <c:pt idx="1573">
                  <c:v>136.5</c:v>
                </c:pt>
                <c:pt idx="1574">
                  <c:v>232.5</c:v>
                </c:pt>
                <c:pt idx="1575">
                  <c:v>232.5</c:v>
                </c:pt>
                <c:pt idx="1576">
                  <c:v>1290.5</c:v>
                </c:pt>
                <c:pt idx="1577">
                  <c:v>1290.5</c:v>
                </c:pt>
                <c:pt idx="1578">
                  <c:v>1290.5</c:v>
                </c:pt>
                <c:pt idx="1579">
                  <c:v>1290.5</c:v>
                </c:pt>
                <c:pt idx="1580">
                  <c:v>1290.5</c:v>
                </c:pt>
                <c:pt idx="1581">
                  <c:v>1290.5</c:v>
                </c:pt>
                <c:pt idx="1582">
                  <c:v>1290.5</c:v>
                </c:pt>
                <c:pt idx="1583">
                  <c:v>1290.5</c:v>
                </c:pt>
                <c:pt idx="1584">
                  <c:v>1290.5</c:v>
                </c:pt>
                <c:pt idx="1585">
                  <c:v>1290.5</c:v>
                </c:pt>
                <c:pt idx="1586">
                  <c:v>1290.5</c:v>
                </c:pt>
                <c:pt idx="1587">
                  <c:v>1290.5</c:v>
                </c:pt>
                <c:pt idx="1588">
                  <c:v>1290.5</c:v>
                </c:pt>
                <c:pt idx="1589">
                  <c:v>1290.5</c:v>
                </c:pt>
                <c:pt idx="1590">
                  <c:v>1290.5</c:v>
                </c:pt>
                <c:pt idx="1591">
                  <c:v>257.5</c:v>
                </c:pt>
                <c:pt idx="1592">
                  <c:v>1290.5</c:v>
                </c:pt>
                <c:pt idx="1593">
                  <c:v>1290.5</c:v>
                </c:pt>
                <c:pt idx="1594">
                  <c:v>1290.5</c:v>
                </c:pt>
                <c:pt idx="1595">
                  <c:v>1290.5</c:v>
                </c:pt>
                <c:pt idx="1596">
                  <c:v>1290.5</c:v>
                </c:pt>
                <c:pt idx="1597">
                  <c:v>1290.5</c:v>
                </c:pt>
                <c:pt idx="1598">
                  <c:v>1290.5</c:v>
                </c:pt>
                <c:pt idx="1599">
                  <c:v>1290.5</c:v>
                </c:pt>
                <c:pt idx="1600">
                  <c:v>1290.5</c:v>
                </c:pt>
                <c:pt idx="1601">
                  <c:v>1290.5</c:v>
                </c:pt>
                <c:pt idx="1602">
                  <c:v>115.5</c:v>
                </c:pt>
                <c:pt idx="1603">
                  <c:v>115.5</c:v>
                </c:pt>
                <c:pt idx="1604">
                  <c:v>1290.5</c:v>
                </c:pt>
                <c:pt idx="1605">
                  <c:v>1290.5</c:v>
                </c:pt>
                <c:pt idx="1606">
                  <c:v>1290.5</c:v>
                </c:pt>
                <c:pt idx="1607">
                  <c:v>1290.5</c:v>
                </c:pt>
                <c:pt idx="1608">
                  <c:v>1290.5</c:v>
                </c:pt>
                <c:pt idx="1609">
                  <c:v>1290.5</c:v>
                </c:pt>
                <c:pt idx="1610">
                  <c:v>1290.5</c:v>
                </c:pt>
                <c:pt idx="1611">
                  <c:v>1290.5</c:v>
                </c:pt>
                <c:pt idx="1612">
                  <c:v>1290.5</c:v>
                </c:pt>
                <c:pt idx="1613">
                  <c:v>1290.5</c:v>
                </c:pt>
                <c:pt idx="1614">
                  <c:v>1290.5</c:v>
                </c:pt>
                <c:pt idx="1615">
                  <c:v>1290.5</c:v>
                </c:pt>
                <c:pt idx="1616">
                  <c:v>2307</c:v>
                </c:pt>
                <c:pt idx="1617">
                  <c:v>21</c:v>
                </c:pt>
                <c:pt idx="1618">
                  <c:v>1290.5</c:v>
                </c:pt>
                <c:pt idx="1619">
                  <c:v>1290.5</c:v>
                </c:pt>
                <c:pt idx="1620">
                  <c:v>90</c:v>
                </c:pt>
                <c:pt idx="1621">
                  <c:v>1290.5</c:v>
                </c:pt>
                <c:pt idx="1622">
                  <c:v>1290.5</c:v>
                </c:pt>
                <c:pt idx="1623">
                  <c:v>1290.5</c:v>
                </c:pt>
                <c:pt idx="1624">
                  <c:v>197</c:v>
                </c:pt>
                <c:pt idx="1625">
                  <c:v>1290.5</c:v>
                </c:pt>
                <c:pt idx="1626">
                  <c:v>182.5</c:v>
                </c:pt>
                <c:pt idx="1627">
                  <c:v>1290.5</c:v>
                </c:pt>
                <c:pt idx="1628">
                  <c:v>1290.5</c:v>
                </c:pt>
                <c:pt idx="1629">
                  <c:v>1290.5</c:v>
                </c:pt>
                <c:pt idx="1630">
                  <c:v>1290.5</c:v>
                </c:pt>
                <c:pt idx="1631">
                  <c:v>131.5</c:v>
                </c:pt>
                <c:pt idx="1632">
                  <c:v>1290.5</c:v>
                </c:pt>
                <c:pt idx="1633">
                  <c:v>1290.5</c:v>
                </c:pt>
                <c:pt idx="1634">
                  <c:v>1290.5</c:v>
                </c:pt>
                <c:pt idx="1635">
                  <c:v>1290.5</c:v>
                </c:pt>
                <c:pt idx="1636">
                  <c:v>223.5</c:v>
                </c:pt>
                <c:pt idx="1637">
                  <c:v>1290.5</c:v>
                </c:pt>
                <c:pt idx="1638">
                  <c:v>136.5</c:v>
                </c:pt>
                <c:pt idx="1639">
                  <c:v>1290.5</c:v>
                </c:pt>
                <c:pt idx="1640">
                  <c:v>1290.5</c:v>
                </c:pt>
                <c:pt idx="1641">
                  <c:v>1290.5</c:v>
                </c:pt>
                <c:pt idx="1642">
                  <c:v>257.5</c:v>
                </c:pt>
                <c:pt idx="1643">
                  <c:v>1290.5</c:v>
                </c:pt>
                <c:pt idx="1644">
                  <c:v>1290.5</c:v>
                </c:pt>
                <c:pt idx="1645">
                  <c:v>1290.5</c:v>
                </c:pt>
                <c:pt idx="1646">
                  <c:v>1290.5</c:v>
                </c:pt>
                <c:pt idx="1647">
                  <c:v>283.5</c:v>
                </c:pt>
                <c:pt idx="1648">
                  <c:v>1290.5</c:v>
                </c:pt>
                <c:pt idx="1649">
                  <c:v>1290.5</c:v>
                </c:pt>
                <c:pt idx="1650">
                  <c:v>1290.5</c:v>
                </c:pt>
                <c:pt idx="1651">
                  <c:v>32</c:v>
                </c:pt>
                <c:pt idx="1652">
                  <c:v>69</c:v>
                </c:pt>
                <c:pt idx="1653">
                  <c:v>88</c:v>
                </c:pt>
                <c:pt idx="1654">
                  <c:v>69</c:v>
                </c:pt>
                <c:pt idx="1655">
                  <c:v>41</c:v>
                </c:pt>
                <c:pt idx="1656">
                  <c:v>182.5</c:v>
                </c:pt>
                <c:pt idx="1657">
                  <c:v>1290.5</c:v>
                </c:pt>
                <c:pt idx="1658">
                  <c:v>1290.5</c:v>
                </c:pt>
                <c:pt idx="1659">
                  <c:v>1290.5</c:v>
                </c:pt>
                <c:pt idx="1660">
                  <c:v>1290.5</c:v>
                </c:pt>
                <c:pt idx="1661">
                  <c:v>1290.5</c:v>
                </c:pt>
                <c:pt idx="1662">
                  <c:v>1290.5</c:v>
                </c:pt>
                <c:pt idx="1663">
                  <c:v>14</c:v>
                </c:pt>
                <c:pt idx="1664">
                  <c:v>1290.5</c:v>
                </c:pt>
                <c:pt idx="1665">
                  <c:v>1290.5</c:v>
                </c:pt>
                <c:pt idx="1666">
                  <c:v>15</c:v>
                </c:pt>
                <c:pt idx="1667">
                  <c:v>1290.5</c:v>
                </c:pt>
                <c:pt idx="1668">
                  <c:v>1290.5</c:v>
                </c:pt>
                <c:pt idx="1669">
                  <c:v>1290.5</c:v>
                </c:pt>
                <c:pt idx="1670">
                  <c:v>1290.5</c:v>
                </c:pt>
                <c:pt idx="1671">
                  <c:v>1290.5</c:v>
                </c:pt>
                <c:pt idx="1672">
                  <c:v>1290.5</c:v>
                </c:pt>
                <c:pt idx="1673">
                  <c:v>1290.5</c:v>
                </c:pt>
                <c:pt idx="1674">
                  <c:v>1290.5</c:v>
                </c:pt>
                <c:pt idx="1675">
                  <c:v>1290.5</c:v>
                </c:pt>
                <c:pt idx="1676">
                  <c:v>1290.5</c:v>
                </c:pt>
                <c:pt idx="1677">
                  <c:v>1290.5</c:v>
                </c:pt>
                <c:pt idx="1678">
                  <c:v>1290.5</c:v>
                </c:pt>
                <c:pt idx="1679">
                  <c:v>1290.5</c:v>
                </c:pt>
                <c:pt idx="1680">
                  <c:v>1290.5</c:v>
                </c:pt>
                <c:pt idx="1681">
                  <c:v>1290.5</c:v>
                </c:pt>
                <c:pt idx="1682">
                  <c:v>1290.5</c:v>
                </c:pt>
                <c:pt idx="1683">
                  <c:v>1290.5</c:v>
                </c:pt>
                <c:pt idx="1684">
                  <c:v>1290.5</c:v>
                </c:pt>
                <c:pt idx="1685">
                  <c:v>1290.5</c:v>
                </c:pt>
                <c:pt idx="1686">
                  <c:v>1290.5</c:v>
                </c:pt>
                <c:pt idx="1687">
                  <c:v>1290.5</c:v>
                </c:pt>
                <c:pt idx="1688">
                  <c:v>1290.5</c:v>
                </c:pt>
                <c:pt idx="1689">
                  <c:v>1290.5</c:v>
                </c:pt>
                <c:pt idx="1690">
                  <c:v>1290.5</c:v>
                </c:pt>
                <c:pt idx="1691">
                  <c:v>1290.5</c:v>
                </c:pt>
                <c:pt idx="1692">
                  <c:v>1290.5</c:v>
                </c:pt>
                <c:pt idx="1693">
                  <c:v>1290.5</c:v>
                </c:pt>
                <c:pt idx="1694">
                  <c:v>1290.5</c:v>
                </c:pt>
                <c:pt idx="1695">
                  <c:v>1290.5</c:v>
                </c:pt>
                <c:pt idx="1696">
                  <c:v>1290.5</c:v>
                </c:pt>
                <c:pt idx="1697">
                  <c:v>1290.5</c:v>
                </c:pt>
                <c:pt idx="1698">
                  <c:v>1290.5</c:v>
                </c:pt>
                <c:pt idx="1699">
                  <c:v>1290.5</c:v>
                </c:pt>
                <c:pt idx="1700">
                  <c:v>1290.5</c:v>
                </c:pt>
                <c:pt idx="1701">
                  <c:v>1290.5</c:v>
                </c:pt>
                <c:pt idx="1702">
                  <c:v>99</c:v>
                </c:pt>
                <c:pt idx="1703">
                  <c:v>1290.5</c:v>
                </c:pt>
                <c:pt idx="1704">
                  <c:v>89</c:v>
                </c:pt>
                <c:pt idx="1705">
                  <c:v>250</c:v>
                </c:pt>
                <c:pt idx="1706">
                  <c:v>267.5</c:v>
                </c:pt>
                <c:pt idx="1707">
                  <c:v>260.5</c:v>
                </c:pt>
                <c:pt idx="1708">
                  <c:v>267.5</c:v>
                </c:pt>
                <c:pt idx="1709">
                  <c:v>260.5</c:v>
                </c:pt>
                <c:pt idx="1710">
                  <c:v>263</c:v>
                </c:pt>
                <c:pt idx="1711">
                  <c:v>1290.5</c:v>
                </c:pt>
                <c:pt idx="1712">
                  <c:v>1290.5</c:v>
                </c:pt>
                <c:pt idx="1713">
                  <c:v>1290.5</c:v>
                </c:pt>
                <c:pt idx="1714">
                  <c:v>1290.5</c:v>
                </c:pt>
                <c:pt idx="1715">
                  <c:v>1290.5</c:v>
                </c:pt>
                <c:pt idx="1716">
                  <c:v>1290.5</c:v>
                </c:pt>
                <c:pt idx="1717">
                  <c:v>1290.5</c:v>
                </c:pt>
                <c:pt idx="1718">
                  <c:v>1290.5</c:v>
                </c:pt>
                <c:pt idx="1719">
                  <c:v>1290.5</c:v>
                </c:pt>
                <c:pt idx="1720">
                  <c:v>1290.5</c:v>
                </c:pt>
                <c:pt idx="1721">
                  <c:v>1290.5</c:v>
                </c:pt>
                <c:pt idx="1722">
                  <c:v>1290.5</c:v>
                </c:pt>
                <c:pt idx="1723">
                  <c:v>1290.5</c:v>
                </c:pt>
                <c:pt idx="1724">
                  <c:v>1290.5</c:v>
                </c:pt>
                <c:pt idx="1725">
                  <c:v>1290.5</c:v>
                </c:pt>
                <c:pt idx="1726">
                  <c:v>1290.5</c:v>
                </c:pt>
                <c:pt idx="1727">
                  <c:v>1290.5</c:v>
                </c:pt>
                <c:pt idx="1728">
                  <c:v>1290.5</c:v>
                </c:pt>
                <c:pt idx="1729">
                  <c:v>1290.5</c:v>
                </c:pt>
                <c:pt idx="1730">
                  <c:v>1290.5</c:v>
                </c:pt>
                <c:pt idx="1731">
                  <c:v>1290.5</c:v>
                </c:pt>
                <c:pt idx="1732">
                  <c:v>1290.5</c:v>
                </c:pt>
                <c:pt idx="1733">
                  <c:v>43.5</c:v>
                </c:pt>
                <c:pt idx="1734">
                  <c:v>2305</c:v>
                </c:pt>
                <c:pt idx="1735">
                  <c:v>1290.5</c:v>
                </c:pt>
                <c:pt idx="1736">
                  <c:v>1290.5</c:v>
                </c:pt>
                <c:pt idx="1737">
                  <c:v>1290.5</c:v>
                </c:pt>
                <c:pt idx="1738">
                  <c:v>1290.5</c:v>
                </c:pt>
                <c:pt idx="1739">
                  <c:v>1290.5</c:v>
                </c:pt>
                <c:pt idx="1740">
                  <c:v>1290.5</c:v>
                </c:pt>
                <c:pt idx="1741">
                  <c:v>1290.5</c:v>
                </c:pt>
                <c:pt idx="1742">
                  <c:v>1290.5</c:v>
                </c:pt>
                <c:pt idx="1743">
                  <c:v>1290.5</c:v>
                </c:pt>
                <c:pt idx="1744">
                  <c:v>1290.5</c:v>
                </c:pt>
                <c:pt idx="1745">
                  <c:v>1290.5</c:v>
                </c:pt>
                <c:pt idx="1746">
                  <c:v>1290.5</c:v>
                </c:pt>
                <c:pt idx="1747">
                  <c:v>1290.5</c:v>
                </c:pt>
                <c:pt idx="1748">
                  <c:v>1290.5</c:v>
                </c:pt>
                <c:pt idx="1749">
                  <c:v>1290.5</c:v>
                </c:pt>
                <c:pt idx="1750">
                  <c:v>1290.5</c:v>
                </c:pt>
                <c:pt idx="1751">
                  <c:v>1290.5</c:v>
                </c:pt>
                <c:pt idx="1752">
                  <c:v>1290.5</c:v>
                </c:pt>
                <c:pt idx="1753">
                  <c:v>1290.5</c:v>
                </c:pt>
                <c:pt idx="1754">
                  <c:v>1290.5</c:v>
                </c:pt>
                <c:pt idx="1755">
                  <c:v>1290.5</c:v>
                </c:pt>
                <c:pt idx="1756">
                  <c:v>1290.5</c:v>
                </c:pt>
                <c:pt idx="1757">
                  <c:v>1290.5</c:v>
                </c:pt>
                <c:pt idx="1758">
                  <c:v>1290.5</c:v>
                </c:pt>
                <c:pt idx="1759">
                  <c:v>1290.5</c:v>
                </c:pt>
                <c:pt idx="1760">
                  <c:v>1290.5</c:v>
                </c:pt>
                <c:pt idx="1761">
                  <c:v>1290.5</c:v>
                </c:pt>
                <c:pt idx="1762">
                  <c:v>1290.5</c:v>
                </c:pt>
                <c:pt idx="1763">
                  <c:v>1290.5</c:v>
                </c:pt>
                <c:pt idx="1764">
                  <c:v>11.5</c:v>
                </c:pt>
                <c:pt idx="1765">
                  <c:v>13</c:v>
                </c:pt>
                <c:pt idx="1766">
                  <c:v>1290.5</c:v>
                </c:pt>
                <c:pt idx="1767">
                  <c:v>1290.5</c:v>
                </c:pt>
                <c:pt idx="1768">
                  <c:v>1290.5</c:v>
                </c:pt>
                <c:pt idx="1769">
                  <c:v>1290.5</c:v>
                </c:pt>
                <c:pt idx="1770">
                  <c:v>1290.5</c:v>
                </c:pt>
                <c:pt idx="1771">
                  <c:v>1290.5</c:v>
                </c:pt>
                <c:pt idx="1772">
                  <c:v>1290.5</c:v>
                </c:pt>
                <c:pt idx="1773">
                  <c:v>1290.5</c:v>
                </c:pt>
                <c:pt idx="1774">
                  <c:v>1290.5</c:v>
                </c:pt>
                <c:pt idx="1775">
                  <c:v>189</c:v>
                </c:pt>
                <c:pt idx="1776">
                  <c:v>1290.5</c:v>
                </c:pt>
                <c:pt idx="1777">
                  <c:v>1290.5</c:v>
                </c:pt>
                <c:pt idx="1778">
                  <c:v>1290.5</c:v>
                </c:pt>
                <c:pt idx="1779">
                  <c:v>1290.5</c:v>
                </c:pt>
                <c:pt idx="1780">
                  <c:v>1290.5</c:v>
                </c:pt>
                <c:pt idx="1781">
                  <c:v>1290.5</c:v>
                </c:pt>
                <c:pt idx="1782">
                  <c:v>1290.5</c:v>
                </c:pt>
                <c:pt idx="1783">
                  <c:v>1290.5</c:v>
                </c:pt>
                <c:pt idx="1784">
                  <c:v>1290.5</c:v>
                </c:pt>
                <c:pt idx="1785">
                  <c:v>1290.5</c:v>
                </c:pt>
                <c:pt idx="1786">
                  <c:v>1290.5</c:v>
                </c:pt>
                <c:pt idx="1787">
                  <c:v>1290.5</c:v>
                </c:pt>
                <c:pt idx="1788">
                  <c:v>1290.5</c:v>
                </c:pt>
                <c:pt idx="1789">
                  <c:v>1290.5</c:v>
                </c:pt>
                <c:pt idx="1790">
                  <c:v>1290.5</c:v>
                </c:pt>
                <c:pt idx="1791">
                  <c:v>1290.5</c:v>
                </c:pt>
                <c:pt idx="1792">
                  <c:v>1290.5</c:v>
                </c:pt>
                <c:pt idx="1793">
                  <c:v>1290.5</c:v>
                </c:pt>
                <c:pt idx="1794">
                  <c:v>1290.5</c:v>
                </c:pt>
                <c:pt idx="1795">
                  <c:v>1290.5</c:v>
                </c:pt>
                <c:pt idx="1796">
                  <c:v>1290.5</c:v>
                </c:pt>
                <c:pt idx="1797">
                  <c:v>125</c:v>
                </c:pt>
                <c:pt idx="1798">
                  <c:v>1290.5</c:v>
                </c:pt>
                <c:pt idx="1799">
                  <c:v>169</c:v>
                </c:pt>
                <c:pt idx="1800">
                  <c:v>1290.5</c:v>
                </c:pt>
                <c:pt idx="1801">
                  <c:v>95</c:v>
                </c:pt>
                <c:pt idx="1802">
                  <c:v>1290.5</c:v>
                </c:pt>
                <c:pt idx="1803">
                  <c:v>1290.5</c:v>
                </c:pt>
                <c:pt idx="1804">
                  <c:v>187</c:v>
                </c:pt>
                <c:pt idx="1805">
                  <c:v>85.5</c:v>
                </c:pt>
                <c:pt idx="1806">
                  <c:v>121</c:v>
                </c:pt>
                <c:pt idx="1807">
                  <c:v>1290.5</c:v>
                </c:pt>
                <c:pt idx="1808">
                  <c:v>169</c:v>
                </c:pt>
                <c:pt idx="1809">
                  <c:v>95</c:v>
                </c:pt>
                <c:pt idx="1810">
                  <c:v>185.5</c:v>
                </c:pt>
                <c:pt idx="1811">
                  <c:v>1290.5</c:v>
                </c:pt>
                <c:pt idx="1812">
                  <c:v>1290.5</c:v>
                </c:pt>
                <c:pt idx="1813">
                  <c:v>1290.5</c:v>
                </c:pt>
                <c:pt idx="1814">
                  <c:v>1290.5</c:v>
                </c:pt>
                <c:pt idx="1815">
                  <c:v>1290.5</c:v>
                </c:pt>
                <c:pt idx="1816">
                  <c:v>1290.5</c:v>
                </c:pt>
                <c:pt idx="1817">
                  <c:v>1290.5</c:v>
                </c:pt>
                <c:pt idx="1818">
                  <c:v>1290.5</c:v>
                </c:pt>
                <c:pt idx="1819">
                  <c:v>1290.5</c:v>
                </c:pt>
                <c:pt idx="1820">
                  <c:v>1290.5</c:v>
                </c:pt>
                <c:pt idx="1821">
                  <c:v>1290.5</c:v>
                </c:pt>
                <c:pt idx="1822">
                  <c:v>1290.5</c:v>
                </c:pt>
                <c:pt idx="1823">
                  <c:v>1290.5</c:v>
                </c:pt>
                <c:pt idx="1824">
                  <c:v>1290.5</c:v>
                </c:pt>
                <c:pt idx="1825">
                  <c:v>1290.5</c:v>
                </c:pt>
                <c:pt idx="1826">
                  <c:v>1290.5</c:v>
                </c:pt>
                <c:pt idx="1827">
                  <c:v>1290.5</c:v>
                </c:pt>
                <c:pt idx="1828">
                  <c:v>1290.5</c:v>
                </c:pt>
                <c:pt idx="1829">
                  <c:v>1290.5</c:v>
                </c:pt>
                <c:pt idx="1830">
                  <c:v>1290.5</c:v>
                </c:pt>
                <c:pt idx="1831">
                  <c:v>1290.5</c:v>
                </c:pt>
                <c:pt idx="1832">
                  <c:v>1290.5</c:v>
                </c:pt>
                <c:pt idx="1833">
                  <c:v>1290.5</c:v>
                </c:pt>
                <c:pt idx="1834">
                  <c:v>1290.5</c:v>
                </c:pt>
                <c:pt idx="1835">
                  <c:v>1290.5</c:v>
                </c:pt>
                <c:pt idx="1836">
                  <c:v>1290.5</c:v>
                </c:pt>
                <c:pt idx="1837">
                  <c:v>1290.5</c:v>
                </c:pt>
                <c:pt idx="1838">
                  <c:v>1290.5</c:v>
                </c:pt>
                <c:pt idx="1839">
                  <c:v>1290.5</c:v>
                </c:pt>
                <c:pt idx="1840">
                  <c:v>1290.5</c:v>
                </c:pt>
                <c:pt idx="1841">
                  <c:v>1290.5</c:v>
                </c:pt>
                <c:pt idx="1842">
                  <c:v>245</c:v>
                </c:pt>
                <c:pt idx="1843">
                  <c:v>1290.5</c:v>
                </c:pt>
                <c:pt idx="1844">
                  <c:v>1290.5</c:v>
                </c:pt>
                <c:pt idx="1845">
                  <c:v>1290.5</c:v>
                </c:pt>
                <c:pt idx="1846">
                  <c:v>1290.5</c:v>
                </c:pt>
                <c:pt idx="1847">
                  <c:v>1290.5</c:v>
                </c:pt>
                <c:pt idx="1848">
                  <c:v>1290.5</c:v>
                </c:pt>
                <c:pt idx="1849">
                  <c:v>1290.5</c:v>
                </c:pt>
                <c:pt idx="1850">
                  <c:v>1290.5</c:v>
                </c:pt>
                <c:pt idx="1851">
                  <c:v>60</c:v>
                </c:pt>
                <c:pt idx="1852">
                  <c:v>1290.5</c:v>
                </c:pt>
                <c:pt idx="1853">
                  <c:v>1290.5</c:v>
                </c:pt>
                <c:pt idx="1854">
                  <c:v>1290.5</c:v>
                </c:pt>
                <c:pt idx="1855">
                  <c:v>1290.5</c:v>
                </c:pt>
                <c:pt idx="1856">
                  <c:v>1290.5</c:v>
                </c:pt>
                <c:pt idx="1857">
                  <c:v>1290.5</c:v>
                </c:pt>
                <c:pt idx="1858">
                  <c:v>1290.5</c:v>
                </c:pt>
                <c:pt idx="1859">
                  <c:v>1290.5</c:v>
                </c:pt>
                <c:pt idx="1860">
                  <c:v>1290.5</c:v>
                </c:pt>
                <c:pt idx="1861">
                  <c:v>1290.5</c:v>
                </c:pt>
                <c:pt idx="1862">
                  <c:v>1290.5</c:v>
                </c:pt>
                <c:pt idx="1863">
                  <c:v>1290.5</c:v>
                </c:pt>
                <c:pt idx="1864">
                  <c:v>1290.5</c:v>
                </c:pt>
                <c:pt idx="1865">
                  <c:v>1290.5</c:v>
                </c:pt>
                <c:pt idx="1866">
                  <c:v>1290.5</c:v>
                </c:pt>
                <c:pt idx="1867">
                  <c:v>38</c:v>
                </c:pt>
                <c:pt idx="1868">
                  <c:v>1290.5</c:v>
                </c:pt>
                <c:pt idx="1869">
                  <c:v>1290.5</c:v>
                </c:pt>
                <c:pt idx="1870">
                  <c:v>1290.5</c:v>
                </c:pt>
                <c:pt idx="1871">
                  <c:v>1290.5</c:v>
                </c:pt>
                <c:pt idx="1872">
                  <c:v>1290.5</c:v>
                </c:pt>
                <c:pt idx="1873">
                  <c:v>1290.5</c:v>
                </c:pt>
                <c:pt idx="1874">
                  <c:v>1290.5</c:v>
                </c:pt>
                <c:pt idx="1875">
                  <c:v>1290.5</c:v>
                </c:pt>
                <c:pt idx="1876">
                  <c:v>1290.5</c:v>
                </c:pt>
                <c:pt idx="1877">
                  <c:v>1290.5</c:v>
                </c:pt>
                <c:pt idx="1878">
                  <c:v>1290.5</c:v>
                </c:pt>
                <c:pt idx="1879">
                  <c:v>1290.5</c:v>
                </c:pt>
                <c:pt idx="1880">
                  <c:v>27</c:v>
                </c:pt>
                <c:pt idx="1881">
                  <c:v>1290.5</c:v>
                </c:pt>
                <c:pt idx="1882">
                  <c:v>36</c:v>
                </c:pt>
                <c:pt idx="1883">
                  <c:v>1290.5</c:v>
                </c:pt>
                <c:pt idx="1884">
                  <c:v>58</c:v>
                </c:pt>
                <c:pt idx="1885">
                  <c:v>16.5</c:v>
                </c:pt>
                <c:pt idx="1886">
                  <c:v>30</c:v>
                </c:pt>
                <c:pt idx="1887">
                  <c:v>1290.5</c:v>
                </c:pt>
                <c:pt idx="1888">
                  <c:v>24.5</c:v>
                </c:pt>
                <c:pt idx="1889">
                  <c:v>91.5</c:v>
                </c:pt>
                <c:pt idx="1890">
                  <c:v>1290.5</c:v>
                </c:pt>
                <c:pt idx="1891">
                  <c:v>1290.5</c:v>
                </c:pt>
                <c:pt idx="1892">
                  <c:v>1290.5</c:v>
                </c:pt>
                <c:pt idx="1893">
                  <c:v>1290.5</c:v>
                </c:pt>
                <c:pt idx="1894">
                  <c:v>1290.5</c:v>
                </c:pt>
                <c:pt idx="1895">
                  <c:v>1290.5</c:v>
                </c:pt>
                <c:pt idx="1896">
                  <c:v>1290.5</c:v>
                </c:pt>
                <c:pt idx="1897">
                  <c:v>1290.5</c:v>
                </c:pt>
                <c:pt idx="1898">
                  <c:v>1290.5</c:v>
                </c:pt>
                <c:pt idx="1899">
                  <c:v>1290.5</c:v>
                </c:pt>
                <c:pt idx="1900">
                  <c:v>1290.5</c:v>
                </c:pt>
                <c:pt idx="1901">
                  <c:v>1290.5</c:v>
                </c:pt>
                <c:pt idx="1902">
                  <c:v>1290.5</c:v>
                </c:pt>
                <c:pt idx="1903">
                  <c:v>191.5</c:v>
                </c:pt>
                <c:pt idx="1904">
                  <c:v>1290.5</c:v>
                </c:pt>
                <c:pt idx="1905">
                  <c:v>1290.5</c:v>
                </c:pt>
                <c:pt idx="1906">
                  <c:v>1290.5</c:v>
                </c:pt>
                <c:pt idx="1907">
                  <c:v>1290.5</c:v>
                </c:pt>
                <c:pt idx="1908">
                  <c:v>1290.5</c:v>
                </c:pt>
                <c:pt idx="1909">
                  <c:v>1290.5</c:v>
                </c:pt>
                <c:pt idx="1910">
                  <c:v>1290.5</c:v>
                </c:pt>
                <c:pt idx="1911">
                  <c:v>1290.5</c:v>
                </c:pt>
                <c:pt idx="1912">
                  <c:v>1290.5</c:v>
                </c:pt>
                <c:pt idx="1913">
                  <c:v>1290.5</c:v>
                </c:pt>
                <c:pt idx="1914">
                  <c:v>1290.5</c:v>
                </c:pt>
                <c:pt idx="1915">
                  <c:v>1290.5</c:v>
                </c:pt>
                <c:pt idx="1916">
                  <c:v>1290.5</c:v>
                </c:pt>
                <c:pt idx="1917">
                  <c:v>1290.5</c:v>
                </c:pt>
                <c:pt idx="1918">
                  <c:v>1290.5</c:v>
                </c:pt>
                <c:pt idx="1919">
                  <c:v>1290.5</c:v>
                </c:pt>
                <c:pt idx="1920">
                  <c:v>1290.5</c:v>
                </c:pt>
                <c:pt idx="1921">
                  <c:v>1290.5</c:v>
                </c:pt>
                <c:pt idx="1922">
                  <c:v>1290.5</c:v>
                </c:pt>
                <c:pt idx="1923">
                  <c:v>1290.5</c:v>
                </c:pt>
                <c:pt idx="1924">
                  <c:v>1290.5</c:v>
                </c:pt>
                <c:pt idx="1925">
                  <c:v>1290.5</c:v>
                </c:pt>
                <c:pt idx="1926">
                  <c:v>1290.5</c:v>
                </c:pt>
                <c:pt idx="1927">
                  <c:v>1290.5</c:v>
                </c:pt>
                <c:pt idx="1928">
                  <c:v>1290.5</c:v>
                </c:pt>
                <c:pt idx="1929">
                  <c:v>1290.5</c:v>
                </c:pt>
                <c:pt idx="1930">
                  <c:v>1290.5</c:v>
                </c:pt>
                <c:pt idx="1931">
                  <c:v>1290.5</c:v>
                </c:pt>
                <c:pt idx="1932">
                  <c:v>1290.5</c:v>
                </c:pt>
                <c:pt idx="1933">
                  <c:v>1290.5</c:v>
                </c:pt>
                <c:pt idx="1934">
                  <c:v>1290.5</c:v>
                </c:pt>
                <c:pt idx="1935">
                  <c:v>1290.5</c:v>
                </c:pt>
                <c:pt idx="1936">
                  <c:v>1290.5</c:v>
                </c:pt>
                <c:pt idx="1937">
                  <c:v>108.5</c:v>
                </c:pt>
                <c:pt idx="1938">
                  <c:v>3</c:v>
                </c:pt>
                <c:pt idx="1939">
                  <c:v>1290.5</c:v>
                </c:pt>
                <c:pt idx="1940">
                  <c:v>2297.5</c:v>
                </c:pt>
                <c:pt idx="1941">
                  <c:v>1290.5</c:v>
                </c:pt>
                <c:pt idx="1942">
                  <c:v>1290.5</c:v>
                </c:pt>
                <c:pt idx="1943">
                  <c:v>1290.5</c:v>
                </c:pt>
                <c:pt idx="1944">
                  <c:v>1290.5</c:v>
                </c:pt>
                <c:pt idx="1945">
                  <c:v>1290.5</c:v>
                </c:pt>
                <c:pt idx="1946">
                  <c:v>1290.5</c:v>
                </c:pt>
                <c:pt idx="1947">
                  <c:v>1290.5</c:v>
                </c:pt>
                <c:pt idx="1948">
                  <c:v>1290.5</c:v>
                </c:pt>
                <c:pt idx="1949">
                  <c:v>1290.5</c:v>
                </c:pt>
                <c:pt idx="1950">
                  <c:v>1290.5</c:v>
                </c:pt>
                <c:pt idx="1951">
                  <c:v>1290.5</c:v>
                </c:pt>
                <c:pt idx="1952">
                  <c:v>1290.5</c:v>
                </c:pt>
                <c:pt idx="1953">
                  <c:v>1290.5</c:v>
                </c:pt>
                <c:pt idx="1954">
                  <c:v>1290.5</c:v>
                </c:pt>
                <c:pt idx="1955">
                  <c:v>1290.5</c:v>
                </c:pt>
                <c:pt idx="1956">
                  <c:v>1290.5</c:v>
                </c:pt>
                <c:pt idx="1957">
                  <c:v>1290.5</c:v>
                </c:pt>
                <c:pt idx="1958">
                  <c:v>1290.5</c:v>
                </c:pt>
                <c:pt idx="1959">
                  <c:v>1290.5</c:v>
                </c:pt>
                <c:pt idx="1960">
                  <c:v>1290.5</c:v>
                </c:pt>
                <c:pt idx="1961">
                  <c:v>1290.5</c:v>
                </c:pt>
                <c:pt idx="1962">
                  <c:v>115.5</c:v>
                </c:pt>
                <c:pt idx="1963">
                  <c:v>1290.5</c:v>
                </c:pt>
                <c:pt idx="1964">
                  <c:v>1290.5</c:v>
                </c:pt>
                <c:pt idx="1965">
                  <c:v>131.5</c:v>
                </c:pt>
                <c:pt idx="1966">
                  <c:v>1290.5</c:v>
                </c:pt>
                <c:pt idx="1967">
                  <c:v>1290.5</c:v>
                </c:pt>
                <c:pt idx="1968">
                  <c:v>1290.5</c:v>
                </c:pt>
                <c:pt idx="1969">
                  <c:v>1290.5</c:v>
                </c:pt>
                <c:pt idx="1970">
                  <c:v>1290.5</c:v>
                </c:pt>
                <c:pt idx="1971">
                  <c:v>1290.5</c:v>
                </c:pt>
                <c:pt idx="1972">
                  <c:v>1290.5</c:v>
                </c:pt>
                <c:pt idx="1973">
                  <c:v>1290.5</c:v>
                </c:pt>
                <c:pt idx="1974">
                  <c:v>1290.5</c:v>
                </c:pt>
                <c:pt idx="1975">
                  <c:v>1290.5</c:v>
                </c:pt>
                <c:pt idx="1976">
                  <c:v>1290.5</c:v>
                </c:pt>
                <c:pt idx="1977">
                  <c:v>1290.5</c:v>
                </c:pt>
                <c:pt idx="1978">
                  <c:v>47</c:v>
                </c:pt>
                <c:pt idx="1979">
                  <c:v>1290.5</c:v>
                </c:pt>
                <c:pt idx="1980">
                  <c:v>1290.5</c:v>
                </c:pt>
                <c:pt idx="1981">
                  <c:v>1290.5</c:v>
                </c:pt>
                <c:pt idx="1982">
                  <c:v>1290.5</c:v>
                </c:pt>
                <c:pt idx="1983">
                  <c:v>1290.5</c:v>
                </c:pt>
                <c:pt idx="1984">
                  <c:v>1290.5</c:v>
                </c:pt>
                <c:pt idx="1985">
                  <c:v>1290.5</c:v>
                </c:pt>
                <c:pt idx="1986">
                  <c:v>1290.5</c:v>
                </c:pt>
                <c:pt idx="1987">
                  <c:v>1290.5</c:v>
                </c:pt>
                <c:pt idx="1988">
                  <c:v>1290.5</c:v>
                </c:pt>
                <c:pt idx="1989">
                  <c:v>1290.5</c:v>
                </c:pt>
                <c:pt idx="1990">
                  <c:v>1290.5</c:v>
                </c:pt>
                <c:pt idx="1991">
                  <c:v>1290.5</c:v>
                </c:pt>
                <c:pt idx="1992">
                  <c:v>1290.5</c:v>
                </c:pt>
                <c:pt idx="1993">
                  <c:v>212.5</c:v>
                </c:pt>
                <c:pt idx="1994">
                  <c:v>191.5</c:v>
                </c:pt>
                <c:pt idx="1995">
                  <c:v>1290.5</c:v>
                </c:pt>
                <c:pt idx="1996">
                  <c:v>1290.5</c:v>
                </c:pt>
                <c:pt idx="1997">
                  <c:v>1290.5</c:v>
                </c:pt>
                <c:pt idx="1998">
                  <c:v>1290.5</c:v>
                </c:pt>
                <c:pt idx="1999">
                  <c:v>177.5</c:v>
                </c:pt>
                <c:pt idx="2000">
                  <c:v>78.5</c:v>
                </c:pt>
                <c:pt idx="2001">
                  <c:v>177.5</c:v>
                </c:pt>
                <c:pt idx="2002">
                  <c:v>218</c:v>
                </c:pt>
                <c:pt idx="2003">
                  <c:v>177.5</c:v>
                </c:pt>
                <c:pt idx="2004">
                  <c:v>218</c:v>
                </c:pt>
                <c:pt idx="2005">
                  <c:v>1290.5</c:v>
                </c:pt>
                <c:pt idx="2006">
                  <c:v>1290.5</c:v>
                </c:pt>
                <c:pt idx="2007">
                  <c:v>1290.5</c:v>
                </c:pt>
                <c:pt idx="2008">
                  <c:v>1290.5</c:v>
                </c:pt>
                <c:pt idx="2009">
                  <c:v>1290.5</c:v>
                </c:pt>
                <c:pt idx="2010">
                  <c:v>1290.5</c:v>
                </c:pt>
                <c:pt idx="2011">
                  <c:v>1290.5</c:v>
                </c:pt>
                <c:pt idx="2012">
                  <c:v>1290.5</c:v>
                </c:pt>
                <c:pt idx="2013">
                  <c:v>1290.5</c:v>
                </c:pt>
                <c:pt idx="2014">
                  <c:v>1290.5</c:v>
                </c:pt>
                <c:pt idx="2015">
                  <c:v>1290.5</c:v>
                </c:pt>
                <c:pt idx="2016">
                  <c:v>1290.5</c:v>
                </c:pt>
                <c:pt idx="2017">
                  <c:v>1290.5</c:v>
                </c:pt>
                <c:pt idx="2018">
                  <c:v>1290.5</c:v>
                </c:pt>
                <c:pt idx="2019">
                  <c:v>1290.5</c:v>
                </c:pt>
                <c:pt idx="2020">
                  <c:v>1290.5</c:v>
                </c:pt>
                <c:pt idx="2021">
                  <c:v>1290.5</c:v>
                </c:pt>
                <c:pt idx="2022">
                  <c:v>1290.5</c:v>
                </c:pt>
                <c:pt idx="2023">
                  <c:v>177.5</c:v>
                </c:pt>
                <c:pt idx="2024">
                  <c:v>218</c:v>
                </c:pt>
                <c:pt idx="2025">
                  <c:v>95</c:v>
                </c:pt>
                <c:pt idx="2026">
                  <c:v>1290.5</c:v>
                </c:pt>
                <c:pt idx="2027">
                  <c:v>1290.5</c:v>
                </c:pt>
                <c:pt idx="2028">
                  <c:v>1290.5</c:v>
                </c:pt>
                <c:pt idx="2029">
                  <c:v>74</c:v>
                </c:pt>
                <c:pt idx="2030">
                  <c:v>1290.5</c:v>
                </c:pt>
                <c:pt idx="2031">
                  <c:v>153</c:v>
                </c:pt>
                <c:pt idx="2032">
                  <c:v>1290.5</c:v>
                </c:pt>
                <c:pt idx="2033">
                  <c:v>1290.5</c:v>
                </c:pt>
                <c:pt idx="2034">
                  <c:v>1290.5</c:v>
                </c:pt>
                <c:pt idx="2035">
                  <c:v>36</c:v>
                </c:pt>
                <c:pt idx="2036">
                  <c:v>36</c:v>
                </c:pt>
                <c:pt idx="2037">
                  <c:v>1290.5</c:v>
                </c:pt>
                <c:pt idx="2038">
                  <c:v>1290.5</c:v>
                </c:pt>
                <c:pt idx="2039">
                  <c:v>1290.5</c:v>
                </c:pt>
                <c:pt idx="2040">
                  <c:v>1290.5</c:v>
                </c:pt>
                <c:pt idx="2041">
                  <c:v>1290.5</c:v>
                </c:pt>
                <c:pt idx="2042">
                  <c:v>1290.5</c:v>
                </c:pt>
                <c:pt idx="2043">
                  <c:v>1290.5</c:v>
                </c:pt>
                <c:pt idx="2044">
                  <c:v>1290.5</c:v>
                </c:pt>
                <c:pt idx="2045">
                  <c:v>1290.5</c:v>
                </c:pt>
                <c:pt idx="2046">
                  <c:v>1290.5</c:v>
                </c:pt>
                <c:pt idx="2047">
                  <c:v>1290.5</c:v>
                </c:pt>
                <c:pt idx="2048">
                  <c:v>1290.5</c:v>
                </c:pt>
                <c:pt idx="2049">
                  <c:v>1290.5</c:v>
                </c:pt>
                <c:pt idx="2050">
                  <c:v>1290.5</c:v>
                </c:pt>
                <c:pt idx="2051">
                  <c:v>1290.5</c:v>
                </c:pt>
                <c:pt idx="2052">
                  <c:v>1290.5</c:v>
                </c:pt>
                <c:pt idx="2053">
                  <c:v>1290.5</c:v>
                </c:pt>
                <c:pt idx="2054">
                  <c:v>1290.5</c:v>
                </c:pt>
                <c:pt idx="2055">
                  <c:v>1290.5</c:v>
                </c:pt>
                <c:pt idx="2056">
                  <c:v>1290.5</c:v>
                </c:pt>
                <c:pt idx="2057">
                  <c:v>1290.5</c:v>
                </c:pt>
                <c:pt idx="2058">
                  <c:v>1290.5</c:v>
                </c:pt>
                <c:pt idx="2059">
                  <c:v>1290.5</c:v>
                </c:pt>
                <c:pt idx="2060">
                  <c:v>1290.5</c:v>
                </c:pt>
                <c:pt idx="2061">
                  <c:v>1290.5</c:v>
                </c:pt>
                <c:pt idx="2062">
                  <c:v>26</c:v>
                </c:pt>
                <c:pt idx="2063">
                  <c:v>1290.5</c:v>
                </c:pt>
                <c:pt idx="2064">
                  <c:v>287</c:v>
                </c:pt>
                <c:pt idx="2065">
                  <c:v>1290.5</c:v>
                </c:pt>
                <c:pt idx="2066">
                  <c:v>1290.5</c:v>
                </c:pt>
                <c:pt idx="2067">
                  <c:v>45</c:v>
                </c:pt>
                <c:pt idx="2068">
                  <c:v>1290.5</c:v>
                </c:pt>
                <c:pt idx="2069">
                  <c:v>1290.5</c:v>
                </c:pt>
                <c:pt idx="2070">
                  <c:v>1290.5</c:v>
                </c:pt>
                <c:pt idx="2071">
                  <c:v>1290.5</c:v>
                </c:pt>
                <c:pt idx="2072">
                  <c:v>1290.5</c:v>
                </c:pt>
                <c:pt idx="2073">
                  <c:v>1290.5</c:v>
                </c:pt>
                <c:pt idx="2074">
                  <c:v>1290.5</c:v>
                </c:pt>
                <c:pt idx="2075">
                  <c:v>1290.5</c:v>
                </c:pt>
                <c:pt idx="2076">
                  <c:v>1290.5</c:v>
                </c:pt>
                <c:pt idx="2077">
                  <c:v>1290.5</c:v>
                </c:pt>
                <c:pt idx="2078">
                  <c:v>1290.5</c:v>
                </c:pt>
                <c:pt idx="2079">
                  <c:v>1290.5</c:v>
                </c:pt>
                <c:pt idx="2080">
                  <c:v>1290.5</c:v>
                </c:pt>
                <c:pt idx="2081">
                  <c:v>1290.5</c:v>
                </c:pt>
                <c:pt idx="2082">
                  <c:v>1290.5</c:v>
                </c:pt>
                <c:pt idx="2083">
                  <c:v>1290.5</c:v>
                </c:pt>
                <c:pt idx="2084">
                  <c:v>1290.5</c:v>
                </c:pt>
                <c:pt idx="2085">
                  <c:v>1290.5</c:v>
                </c:pt>
                <c:pt idx="2086">
                  <c:v>1290.5</c:v>
                </c:pt>
                <c:pt idx="2087">
                  <c:v>1290.5</c:v>
                </c:pt>
                <c:pt idx="2088">
                  <c:v>1290.5</c:v>
                </c:pt>
                <c:pt idx="2089">
                  <c:v>1290.5</c:v>
                </c:pt>
                <c:pt idx="2090">
                  <c:v>1290.5</c:v>
                </c:pt>
                <c:pt idx="2091">
                  <c:v>1290.5</c:v>
                </c:pt>
                <c:pt idx="2092">
                  <c:v>267.5</c:v>
                </c:pt>
                <c:pt idx="2093">
                  <c:v>1290.5</c:v>
                </c:pt>
                <c:pt idx="2094">
                  <c:v>260.5</c:v>
                </c:pt>
                <c:pt idx="2095">
                  <c:v>1290.5</c:v>
                </c:pt>
                <c:pt idx="2096">
                  <c:v>260.5</c:v>
                </c:pt>
                <c:pt idx="2097">
                  <c:v>1290.5</c:v>
                </c:pt>
                <c:pt idx="2098">
                  <c:v>267.5</c:v>
                </c:pt>
                <c:pt idx="2099">
                  <c:v>1290.5</c:v>
                </c:pt>
                <c:pt idx="2100">
                  <c:v>1290.5</c:v>
                </c:pt>
                <c:pt idx="2101">
                  <c:v>55</c:v>
                </c:pt>
                <c:pt idx="2102">
                  <c:v>56</c:v>
                </c:pt>
                <c:pt idx="2103">
                  <c:v>143</c:v>
                </c:pt>
                <c:pt idx="2104">
                  <c:v>143</c:v>
                </c:pt>
                <c:pt idx="2105">
                  <c:v>245</c:v>
                </c:pt>
                <c:pt idx="2106">
                  <c:v>1290.5</c:v>
                </c:pt>
                <c:pt idx="2107">
                  <c:v>232.5</c:v>
                </c:pt>
                <c:pt idx="2108">
                  <c:v>1290.5</c:v>
                </c:pt>
                <c:pt idx="2109">
                  <c:v>1290.5</c:v>
                </c:pt>
                <c:pt idx="2110">
                  <c:v>1290.5</c:v>
                </c:pt>
                <c:pt idx="2111">
                  <c:v>1290.5</c:v>
                </c:pt>
                <c:pt idx="2112">
                  <c:v>1290.5</c:v>
                </c:pt>
                <c:pt idx="2113">
                  <c:v>1290.5</c:v>
                </c:pt>
                <c:pt idx="2114">
                  <c:v>1290.5</c:v>
                </c:pt>
                <c:pt idx="2115">
                  <c:v>1290.5</c:v>
                </c:pt>
                <c:pt idx="2116">
                  <c:v>1290.5</c:v>
                </c:pt>
                <c:pt idx="2117">
                  <c:v>1290.5</c:v>
                </c:pt>
                <c:pt idx="2118">
                  <c:v>1290.5</c:v>
                </c:pt>
                <c:pt idx="2119">
                  <c:v>2303.5</c:v>
                </c:pt>
                <c:pt idx="2120">
                  <c:v>1290.5</c:v>
                </c:pt>
                <c:pt idx="2121">
                  <c:v>1290.5</c:v>
                </c:pt>
                <c:pt idx="2122">
                  <c:v>1290.5</c:v>
                </c:pt>
                <c:pt idx="2123">
                  <c:v>1290.5</c:v>
                </c:pt>
                <c:pt idx="2124">
                  <c:v>1290.5</c:v>
                </c:pt>
                <c:pt idx="2125">
                  <c:v>1290.5</c:v>
                </c:pt>
                <c:pt idx="2126">
                  <c:v>1290.5</c:v>
                </c:pt>
                <c:pt idx="2127">
                  <c:v>153</c:v>
                </c:pt>
                <c:pt idx="2128">
                  <c:v>153</c:v>
                </c:pt>
                <c:pt idx="2129">
                  <c:v>1290.5</c:v>
                </c:pt>
                <c:pt idx="2130">
                  <c:v>1290.5</c:v>
                </c:pt>
                <c:pt idx="2131">
                  <c:v>245</c:v>
                </c:pt>
                <c:pt idx="2132">
                  <c:v>1290.5</c:v>
                </c:pt>
                <c:pt idx="2133">
                  <c:v>209.5</c:v>
                </c:pt>
                <c:pt idx="2134">
                  <c:v>1290.5</c:v>
                </c:pt>
                <c:pt idx="2135">
                  <c:v>1290.5</c:v>
                </c:pt>
                <c:pt idx="2136">
                  <c:v>1290.5</c:v>
                </c:pt>
                <c:pt idx="2137">
                  <c:v>1290.5</c:v>
                </c:pt>
                <c:pt idx="2138">
                  <c:v>1290.5</c:v>
                </c:pt>
                <c:pt idx="2139">
                  <c:v>1290.5</c:v>
                </c:pt>
                <c:pt idx="2140">
                  <c:v>1290.5</c:v>
                </c:pt>
                <c:pt idx="2141">
                  <c:v>1290.5</c:v>
                </c:pt>
                <c:pt idx="2142">
                  <c:v>1290.5</c:v>
                </c:pt>
                <c:pt idx="2143">
                  <c:v>1290.5</c:v>
                </c:pt>
                <c:pt idx="2144">
                  <c:v>1290.5</c:v>
                </c:pt>
                <c:pt idx="2145">
                  <c:v>1290.5</c:v>
                </c:pt>
                <c:pt idx="2146">
                  <c:v>1290.5</c:v>
                </c:pt>
                <c:pt idx="2147">
                  <c:v>1290.5</c:v>
                </c:pt>
                <c:pt idx="2148">
                  <c:v>232.5</c:v>
                </c:pt>
                <c:pt idx="2149">
                  <c:v>1290.5</c:v>
                </c:pt>
                <c:pt idx="2150">
                  <c:v>1290.5</c:v>
                </c:pt>
                <c:pt idx="2151">
                  <c:v>1290.5</c:v>
                </c:pt>
                <c:pt idx="2152">
                  <c:v>1290.5</c:v>
                </c:pt>
                <c:pt idx="2153">
                  <c:v>1290.5</c:v>
                </c:pt>
                <c:pt idx="2154">
                  <c:v>1290.5</c:v>
                </c:pt>
                <c:pt idx="2155">
                  <c:v>1290.5</c:v>
                </c:pt>
                <c:pt idx="2156">
                  <c:v>1290.5</c:v>
                </c:pt>
                <c:pt idx="2157">
                  <c:v>1290.5</c:v>
                </c:pt>
                <c:pt idx="2158">
                  <c:v>1290.5</c:v>
                </c:pt>
                <c:pt idx="2159">
                  <c:v>1290.5</c:v>
                </c:pt>
                <c:pt idx="2160">
                  <c:v>1290.5</c:v>
                </c:pt>
                <c:pt idx="2161">
                  <c:v>1290.5</c:v>
                </c:pt>
                <c:pt idx="2162">
                  <c:v>59</c:v>
                </c:pt>
                <c:pt idx="2163">
                  <c:v>169</c:v>
                </c:pt>
                <c:pt idx="2164">
                  <c:v>62</c:v>
                </c:pt>
                <c:pt idx="2165">
                  <c:v>1290.5</c:v>
                </c:pt>
                <c:pt idx="2166">
                  <c:v>1290.5</c:v>
                </c:pt>
                <c:pt idx="2167">
                  <c:v>1290.5</c:v>
                </c:pt>
                <c:pt idx="2168">
                  <c:v>1290.5</c:v>
                </c:pt>
                <c:pt idx="2169">
                  <c:v>1290.5</c:v>
                </c:pt>
                <c:pt idx="2170">
                  <c:v>1290.5</c:v>
                </c:pt>
                <c:pt idx="2171">
                  <c:v>1290.5</c:v>
                </c:pt>
                <c:pt idx="2172">
                  <c:v>71.5</c:v>
                </c:pt>
                <c:pt idx="2173">
                  <c:v>1290.5</c:v>
                </c:pt>
                <c:pt idx="2174">
                  <c:v>1290.5</c:v>
                </c:pt>
                <c:pt idx="2175">
                  <c:v>1290.5</c:v>
                </c:pt>
                <c:pt idx="2176">
                  <c:v>1290.5</c:v>
                </c:pt>
                <c:pt idx="2177">
                  <c:v>1290.5</c:v>
                </c:pt>
                <c:pt idx="2178">
                  <c:v>1290.5</c:v>
                </c:pt>
                <c:pt idx="2179">
                  <c:v>1290.5</c:v>
                </c:pt>
                <c:pt idx="2180">
                  <c:v>1290.5</c:v>
                </c:pt>
                <c:pt idx="2181">
                  <c:v>1290.5</c:v>
                </c:pt>
                <c:pt idx="2182">
                  <c:v>1290.5</c:v>
                </c:pt>
                <c:pt idx="2183">
                  <c:v>1290.5</c:v>
                </c:pt>
                <c:pt idx="2184">
                  <c:v>1290.5</c:v>
                </c:pt>
                <c:pt idx="2185">
                  <c:v>1290.5</c:v>
                </c:pt>
                <c:pt idx="2186">
                  <c:v>2299</c:v>
                </c:pt>
                <c:pt idx="2187">
                  <c:v>1290.5</c:v>
                </c:pt>
                <c:pt idx="2188">
                  <c:v>162.5</c:v>
                </c:pt>
                <c:pt idx="2189">
                  <c:v>118.5</c:v>
                </c:pt>
                <c:pt idx="2190">
                  <c:v>162.5</c:v>
                </c:pt>
                <c:pt idx="2191">
                  <c:v>1290.5</c:v>
                </c:pt>
                <c:pt idx="2192">
                  <c:v>1290.5</c:v>
                </c:pt>
                <c:pt idx="2193">
                  <c:v>1290.5</c:v>
                </c:pt>
                <c:pt idx="2194">
                  <c:v>1290.5</c:v>
                </c:pt>
                <c:pt idx="2195">
                  <c:v>1290.5</c:v>
                </c:pt>
                <c:pt idx="2196">
                  <c:v>71.5</c:v>
                </c:pt>
                <c:pt idx="2197">
                  <c:v>73</c:v>
                </c:pt>
                <c:pt idx="2198">
                  <c:v>1290.5</c:v>
                </c:pt>
                <c:pt idx="2199">
                  <c:v>1290.5</c:v>
                </c:pt>
                <c:pt idx="2200">
                  <c:v>1290.5</c:v>
                </c:pt>
                <c:pt idx="2201">
                  <c:v>1290.5</c:v>
                </c:pt>
                <c:pt idx="2202">
                  <c:v>267.5</c:v>
                </c:pt>
                <c:pt idx="2203">
                  <c:v>1290.5</c:v>
                </c:pt>
                <c:pt idx="2204">
                  <c:v>1290.5</c:v>
                </c:pt>
                <c:pt idx="2205">
                  <c:v>1290.5</c:v>
                </c:pt>
                <c:pt idx="2206">
                  <c:v>1290.5</c:v>
                </c:pt>
                <c:pt idx="2207">
                  <c:v>42</c:v>
                </c:pt>
                <c:pt idx="2208">
                  <c:v>1290.5</c:v>
                </c:pt>
                <c:pt idx="2209">
                  <c:v>1290.5</c:v>
                </c:pt>
                <c:pt idx="2210">
                  <c:v>211</c:v>
                </c:pt>
                <c:pt idx="2211">
                  <c:v>1290.5</c:v>
                </c:pt>
                <c:pt idx="2212">
                  <c:v>1290.5</c:v>
                </c:pt>
                <c:pt idx="2213">
                  <c:v>199.5</c:v>
                </c:pt>
                <c:pt idx="2214">
                  <c:v>199.5</c:v>
                </c:pt>
                <c:pt idx="2215">
                  <c:v>1290.5</c:v>
                </c:pt>
                <c:pt idx="2216">
                  <c:v>1290.5</c:v>
                </c:pt>
                <c:pt idx="2217">
                  <c:v>1290.5</c:v>
                </c:pt>
                <c:pt idx="2218">
                  <c:v>1290.5</c:v>
                </c:pt>
                <c:pt idx="2219">
                  <c:v>1290.5</c:v>
                </c:pt>
                <c:pt idx="2220">
                  <c:v>82</c:v>
                </c:pt>
                <c:pt idx="2221">
                  <c:v>78.5</c:v>
                </c:pt>
                <c:pt idx="2222">
                  <c:v>1290.5</c:v>
                </c:pt>
                <c:pt idx="2223">
                  <c:v>1290.5</c:v>
                </c:pt>
                <c:pt idx="2224">
                  <c:v>1290.5</c:v>
                </c:pt>
                <c:pt idx="2225">
                  <c:v>1290.5</c:v>
                </c:pt>
                <c:pt idx="2226">
                  <c:v>1290.5</c:v>
                </c:pt>
                <c:pt idx="2227">
                  <c:v>1290.5</c:v>
                </c:pt>
                <c:pt idx="2228">
                  <c:v>1290.5</c:v>
                </c:pt>
                <c:pt idx="2229">
                  <c:v>1290.5</c:v>
                </c:pt>
                <c:pt idx="2230">
                  <c:v>1290.5</c:v>
                </c:pt>
                <c:pt idx="2231">
                  <c:v>1290.5</c:v>
                </c:pt>
                <c:pt idx="2232">
                  <c:v>1290.5</c:v>
                </c:pt>
                <c:pt idx="2233">
                  <c:v>1290.5</c:v>
                </c:pt>
                <c:pt idx="2234">
                  <c:v>1290.5</c:v>
                </c:pt>
                <c:pt idx="2235">
                  <c:v>1290.5</c:v>
                </c:pt>
                <c:pt idx="2236">
                  <c:v>1290.5</c:v>
                </c:pt>
                <c:pt idx="2237">
                  <c:v>1290.5</c:v>
                </c:pt>
                <c:pt idx="2238">
                  <c:v>1290.5</c:v>
                </c:pt>
                <c:pt idx="2239">
                  <c:v>1290.5</c:v>
                </c:pt>
                <c:pt idx="2240">
                  <c:v>1290.5</c:v>
                </c:pt>
                <c:pt idx="2241">
                  <c:v>212.5</c:v>
                </c:pt>
                <c:pt idx="2242">
                  <c:v>1290.5</c:v>
                </c:pt>
                <c:pt idx="2243">
                  <c:v>1290.5</c:v>
                </c:pt>
                <c:pt idx="2244">
                  <c:v>1290.5</c:v>
                </c:pt>
                <c:pt idx="2245">
                  <c:v>1290.5</c:v>
                </c:pt>
                <c:pt idx="2246">
                  <c:v>1290.5</c:v>
                </c:pt>
                <c:pt idx="2247">
                  <c:v>1290.5</c:v>
                </c:pt>
                <c:pt idx="2248">
                  <c:v>254</c:v>
                </c:pt>
                <c:pt idx="2249">
                  <c:v>1290.5</c:v>
                </c:pt>
                <c:pt idx="2250">
                  <c:v>1290.5</c:v>
                </c:pt>
                <c:pt idx="2251">
                  <c:v>1290.5</c:v>
                </c:pt>
                <c:pt idx="2252">
                  <c:v>1290.5</c:v>
                </c:pt>
                <c:pt idx="2253">
                  <c:v>1290.5</c:v>
                </c:pt>
                <c:pt idx="2254">
                  <c:v>169</c:v>
                </c:pt>
                <c:pt idx="2255">
                  <c:v>1290.5</c:v>
                </c:pt>
                <c:pt idx="2256">
                  <c:v>1290.5</c:v>
                </c:pt>
                <c:pt idx="2257">
                  <c:v>1290.5</c:v>
                </c:pt>
                <c:pt idx="2258">
                  <c:v>1290.5</c:v>
                </c:pt>
                <c:pt idx="2259">
                  <c:v>1290.5</c:v>
                </c:pt>
                <c:pt idx="2260">
                  <c:v>1290.5</c:v>
                </c:pt>
                <c:pt idx="2261">
                  <c:v>1290.5</c:v>
                </c:pt>
                <c:pt idx="2262">
                  <c:v>1290.5</c:v>
                </c:pt>
                <c:pt idx="2263">
                  <c:v>1290.5</c:v>
                </c:pt>
                <c:pt idx="2264">
                  <c:v>2295.5</c:v>
                </c:pt>
                <c:pt idx="2265">
                  <c:v>1290.5</c:v>
                </c:pt>
                <c:pt idx="2266">
                  <c:v>1290.5</c:v>
                </c:pt>
                <c:pt idx="2267">
                  <c:v>1290.5</c:v>
                </c:pt>
                <c:pt idx="2268">
                  <c:v>1290.5</c:v>
                </c:pt>
                <c:pt idx="2269">
                  <c:v>1290.5</c:v>
                </c:pt>
                <c:pt idx="2270">
                  <c:v>1290.5</c:v>
                </c:pt>
                <c:pt idx="2271">
                  <c:v>1290.5</c:v>
                </c:pt>
                <c:pt idx="2272">
                  <c:v>1290.5</c:v>
                </c:pt>
                <c:pt idx="2273">
                  <c:v>1290.5</c:v>
                </c:pt>
                <c:pt idx="2274">
                  <c:v>1290.5</c:v>
                </c:pt>
                <c:pt idx="2275">
                  <c:v>1290.5</c:v>
                </c:pt>
                <c:pt idx="2276">
                  <c:v>103</c:v>
                </c:pt>
                <c:pt idx="2277">
                  <c:v>125</c:v>
                </c:pt>
                <c:pt idx="2278">
                  <c:v>103</c:v>
                </c:pt>
                <c:pt idx="2279">
                  <c:v>1290.5</c:v>
                </c:pt>
                <c:pt idx="2280">
                  <c:v>1290.5</c:v>
                </c:pt>
                <c:pt idx="2281">
                  <c:v>1290.5</c:v>
                </c:pt>
                <c:pt idx="2282">
                  <c:v>1290.5</c:v>
                </c:pt>
                <c:pt idx="2283">
                  <c:v>1290.5</c:v>
                </c:pt>
                <c:pt idx="2284">
                  <c:v>1290.5</c:v>
                </c:pt>
                <c:pt idx="2285">
                  <c:v>1290.5</c:v>
                </c:pt>
                <c:pt idx="2286">
                  <c:v>1290.5</c:v>
                </c:pt>
                <c:pt idx="2287">
                  <c:v>1290.5</c:v>
                </c:pt>
                <c:pt idx="2288">
                  <c:v>1290.5</c:v>
                </c:pt>
                <c:pt idx="2289">
                  <c:v>1290.5</c:v>
                </c:pt>
                <c:pt idx="2290">
                  <c:v>1290.5</c:v>
                </c:pt>
                <c:pt idx="2291">
                  <c:v>1290.5</c:v>
                </c:pt>
                <c:pt idx="2292">
                  <c:v>1290.5</c:v>
                </c:pt>
                <c:pt idx="2293">
                  <c:v>1290.5</c:v>
                </c:pt>
                <c:pt idx="2294">
                  <c:v>1290.5</c:v>
                </c:pt>
                <c:pt idx="2295">
                  <c:v>1290.5</c:v>
                </c:pt>
                <c:pt idx="2296">
                  <c:v>1290.5</c:v>
                </c:pt>
                <c:pt idx="2297">
                  <c:v>1290.5</c:v>
                </c:pt>
                <c:pt idx="2298">
                  <c:v>1290.5</c:v>
                </c:pt>
                <c:pt idx="2299">
                  <c:v>1290.5</c:v>
                </c:pt>
                <c:pt idx="2300">
                  <c:v>275.5</c:v>
                </c:pt>
                <c:pt idx="2301">
                  <c:v>1290.5</c:v>
                </c:pt>
                <c:pt idx="2302">
                  <c:v>1290.5</c:v>
                </c:pt>
                <c:pt idx="2303">
                  <c:v>1290.5</c:v>
                </c:pt>
                <c:pt idx="2304">
                  <c:v>1290.5</c:v>
                </c:pt>
                <c:pt idx="2305">
                  <c:v>1290.5</c:v>
                </c:pt>
                <c:pt idx="2306">
                  <c:v>1290.5</c:v>
                </c:pt>
                <c:pt idx="2307">
                  <c:v>1290.5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D-D041-AE78-E190B90F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607615"/>
        <c:axId val="1531609327"/>
      </c:scatterChart>
      <c:valAx>
        <c:axId val="153160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9327"/>
        <c:crosses val="autoZero"/>
        <c:crossBetween val="midCat"/>
      </c:valAx>
      <c:valAx>
        <c:axId val="1531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fluxes vs. prot</a:t>
            </a:r>
            <a:r>
              <a:rPr lang="en-US" baseline="0"/>
              <a:t> abundances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proteins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alpha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7709092571009441"/>
                  <c:y val="0.516678759447007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'Relative Protein Abundances'!$B$2:$B$593</c:f>
              <c:numCache>
                <c:formatCode>General</c:formatCode>
                <c:ptCount val="592"/>
                <c:pt idx="0">
                  <c:v>2.9113682098585999E-2</c:v>
                </c:pt>
                <c:pt idx="1">
                  <c:v>1.53849734932744E-2</c:v>
                </c:pt>
                <c:pt idx="2">
                  <c:v>1.6497109652314001E-2</c:v>
                </c:pt>
                <c:pt idx="3">
                  <c:v>1.3668072946997E-2</c:v>
                </c:pt>
                <c:pt idx="4">
                  <c:v>1.07071028328158E-2</c:v>
                </c:pt>
                <c:pt idx="5">
                  <c:v>9.1277196866582002E-3</c:v>
                </c:pt>
                <c:pt idx="6">
                  <c:v>2.4457745307866E-3</c:v>
                </c:pt>
                <c:pt idx="7">
                  <c:v>2.0279602282563099E-2</c:v>
                </c:pt>
                <c:pt idx="8">
                  <c:v>2.5294900140742302E-3</c:v>
                </c:pt>
                <c:pt idx="9">
                  <c:v>7.1769529910267003E-3</c:v>
                </c:pt>
                <c:pt idx="10">
                  <c:v>7.75177168688227E-3</c:v>
                </c:pt>
                <c:pt idx="11">
                  <c:v>6.4947185099402897E-3</c:v>
                </c:pt>
                <c:pt idx="12">
                  <c:v>5.6699722185644496E-4</c:v>
                </c:pt>
                <c:pt idx="13">
                  <c:v>1.29637831050444E-3</c:v>
                </c:pt>
                <c:pt idx="14">
                  <c:v>1.01608771401853E-5</c:v>
                </c:pt>
                <c:pt idx="15">
                  <c:v>2.2526926640567E-3</c:v>
                </c:pt>
                <c:pt idx="16">
                  <c:v>1.0844365483433999E-2</c:v>
                </c:pt>
                <c:pt idx="17">
                  <c:v>2.2243676400056202E-3</c:v>
                </c:pt>
                <c:pt idx="18">
                  <c:v>1.8997403751209699E-3</c:v>
                </c:pt>
                <c:pt idx="19">
                  <c:v>6.9675940731774898E-3</c:v>
                </c:pt>
                <c:pt idx="20">
                  <c:v>5.0394523098188997E-4</c:v>
                </c:pt>
                <c:pt idx="21">
                  <c:v>3.2493349257780801E-3</c:v>
                </c:pt>
                <c:pt idx="22">
                  <c:v>4.3180721281639804E-3</c:v>
                </c:pt>
                <c:pt idx="23">
                  <c:v>6.1745610759091603E-3</c:v>
                </c:pt>
                <c:pt idx="24">
                  <c:v>4.2263801417787E-3</c:v>
                </c:pt>
                <c:pt idx="25">
                  <c:v>2.7978081945237098E-3</c:v>
                </c:pt>
                <c:pt idx="26">
                  <c:v>4.48312909582193E-3</c:v>
                </c:pt>
                <c:pt idx="27">
                  <c:v>7.7904904529080294E-6</c:v>
                </c:pt>
                <c:pt idx="28">
                  <c:v>5.96442562560881E-4</c:v>
                </c:pt>
                <c:pt idx="29">
                  <c:v>2.3299635051752098E-3</c:v>
                </c:pt>
                <c:pt idx="30">
                  <c:v>2.7395859179489503E-4</c:v>
                </c:pt>
                <c:pt idx="31">
                  <c:v>6.1787711526351602E-3</c:v>
                </c:pt>
                <c:pt idx="32">
                  <c:v>2.07176361178677E-3</c:v>
                </c:pt>
                <c:pt idx="33">
                  <c:v>2.5538331833353601E-3</c:v>
                </c:pt>
                <c:pt idx="34">
                  <c:v>2.1863613479165501E-3</c:v>
                </c:pt>
                <c:pt idx="35">
                  <c:v>3.9324986908283501E-5</c:v>
                </c:pt>
                <c:pt idx="36">
                  <c:v>8.4506488869757405E-4</c:v>
                </c:pt>
                <c:pt idx="37">
                  <c:v>1.0703815881231399E-5</c:v>
                </c:pt>
                <c:pt idx="38">
                  <c:v>4.5859466507397901E-4</c:v>
                </c:pt>
                <c:pt idx="39">
                  <c:v>2.4753259336672199E-3</c:v>
                </c:pt>
                <c:pt idx="40">
                  <c:v>2.5426964825641502E-3</c:v>
                </c:pt>
                <c:pt idx="41">
                  <c:v>1.25407360308644E-3</c:v>
                </c:pt>
                <c:pt idx="42">
                  <c:v>5.9697116156084301E-4</c:v>
                </c:pt>
                <c:pt idx="43">
                  <c:v>2.09319247534062E-3</c:v>
                </c:pt>
                <c:pt idx="44">
                  <c:v>1.6328684699206399E-3</c:v>
                </c:pt>
                <c:pt idx="45">
                  <c:v>2.9935254532601001E-4</c:v>
                </c:pt>
                <c:pt idx="46">
                  <c:v>6.5978288400845295E-4</c:v>
                </c:pt>
                <c:pt idx="47">
                  <c:v>2.56416539133336E-3</c:v>
                </c:pt>
                <c:pt idx="48">
                  <c:v>2.34384337458012E-4</c:v>
                </c:pt>
                <c:pt idx="49">
                  <c:v>1.5733616007062301E-3</c:v>
                </c:pt>
                <c:pt idx="50">
                  <c:v>3.8792080569551501E-4</c:v>
                </c:pt>
                <c:pt idx="51">
                  <c:v>2.5277742467436299E-4</c:v>
                </c:pt>
                <c:pt idx="52">
                  <c:v>2.4723844121907201E-3</c:v>
                </c:pt>
                <c:pt idx="53">
                  <c:v>3.5526561699327098E-3</c:v>
                </c:pt>
                <c:pt idx="54">
                  <c:v>2.02276211834106E-3</c:v>
                </c:pt>
                <c:pt idx="55">
                  <c:v>1.41997654292559E-3</c:v>
                </c:pt>
                <c:pt idx="56">
                  <c:v>3.8813177443702297E-4</c:v>
                </c:pt>
                <c:pt idx="57">
                  <c:v>1.0833215457136201E-3</c:v>
                </c:pt>
                <c:pt idx="58">
                  <c:v>1.9212403339961799E-3</c:v>
                </c:pt>
                <c:pt idx="59">
                  <c:v>2.37170183142515E-3</c:v>
                </c:pt>
                <c:pt idx="60">
                  <c:v>7.8038060143469502E-4</c:v>
                </c:pt>
                <c:pt idx="61">
                  <c:v>2.07007729785834E-4</c:v>
                </c:pt>
                <c:pt idx="62">
                  <c:v>1.93105558260695E-4</c:v>
                </c:pt>
                <c:pt idx="63">
                  <c:v>9.4382051776904102E-4</c:v>
                </c:pt>
                <c:pt idx="64">
                  <c:v>8.9766639673593098E-4</c:v>
                </c:pt>
                <c:pt idx="65">
                  <c:v>7.1567905877867105E-5</c:v>
                </c:pt>
                <c:pt idx="66">
                  <c:v>2.58699430225402E-4</c:v>
                </c:pt>
                <c:pt idx="67">
                  <c:v>1.71815783930115E-3</c:v>
                </c:pt>
                <c:pt idx="68">
                  <c:v>1.6158931578894699E-3</c:v>
                </c:pt>
                <c:pt idx="69">
                  <c:v>3.36175577186465E-3</c:v>
                </c:pt>
                <c:pt idx="70">
                  <c:v>1.0568283063289901E-3</c:v>
                </c:pt>
                <c:pt idx="71">
                  <c:v>2.7425394087660202E-3</c:v>
                </c:pt>
                <c:pt idx="72">
                  <c:v>8.3267242085577299E-4</c:v>
                </c:pt>
                <c:pt idx="73">
                  <c:v>1.06414599711518E-3</c:v>
                </c:pt>
                <c:pt idx="74">
                  <c:v>1.41639932563231E-3</c:v>
                </c:pt>
                <c:pt idx="75">
                  <c:v>9.8874052094171608E-4</c:v>
                </c:pt>
                <c:pt idx="76">
                  <c:v>5.68232776570614E-3</c:v>
                </c:pt>
                <c:pt idx="77">
                  <c:v>2.5471266777838699E-5</c:v>
                </c:pt>
                <c:pt idx="78">
                  <c:v>5.4372230868456996E-3</c:v>
                </c:pt>
                <c:pt idx="79">
                  <c:v>1.14329421899339E-3</c:v>
                </c:pt>
                <c:pt idx="80">
                  <c:v>8.7941975410750701E-4</c:v>
                </c:pt>
                <c:pt idx="81">
                  <c:v>3.12352370327102E-4</c:v>
                </c:pt>
                <c:pt idx="82">
                  <c:v>3.1799926122323199E-3</c:v>
                </c:pt>
                <c:pt idx="83">
                  <c:v>1.12614438160574E-3</c:v>
                </c:pt>
                <c:pt idx="84">
                  <c:v>4.75818676381432E-5</c:v>
                </c:pt>
                <c:pt idx="85">
                  <c:v>1.0571610172146299E-3</c:v>
                </c:pt>
                <c:pt idx="86">
                  <c:v>2.7773580226695999E-3</c:v>
                </c:pt>
                <c:pt idx="87">
                  <c:v>2.0236580147096699E-3</c:v>
                </c:pt>
                <c:pt idx="88">
                  <c:v>5.6006701783464698E-4</c:v>
                </c:pt>
                <c:pt idx="89">
                  <c:v>1.4006866807246801E-4</c:v>
                </c:pt>
                <c:pt idx="90">
                  <c:v>2.9367625373205402E-5</c:v>
                </c:pt>
                <c:pt idx="91">
                  <c:v>1.2890995577182399E-6</c:v>
                </c:pt>
                <c:pt idx="92">
                  <c:v>5.5194239949837203E-4</c:v>
                </c:pt>
                <c:pt idx="93">
                  <c:v>1.9350265469852E-3</c:v>
                </c:pt>
                <c:pt idx="94">
                  <c:v>8.2725892084654202E-4</c:v>
                </c:pt>
                <c:pt idx="95">
                  <c:v>1.84969393237047E-3</c:v>
                </c:pt>
                <c:pt idx="96">
                  <c:v>7.1959202415832304E-4</c:v>
                </c:pt>
                <c:pt idx="97">
                  <c:v>6.7700399430460298E-4</c:v>
                </c:pt>
                <c:pt idx="98">
                  <c:v>6.5568244272694396E-4</c:v>
                </c:pt>
                <c:pt idx="99">
                  <c:v>1.5214751028491201E-3</c:v>
                </c:pt>
                <c:pt idx="100">
                  <c:v>6.3882582030546904E-4</c:v>
                </c:pt>
                <c:pt idx="101">
                  <c:v>7.4254046229609602E-5</c:v>
                </c:pt>
                <c:pt idx="102">
                  <c:v>6.7038719917549504E-4</c:v>
                </c:pt>
                <c:pt idx="103">
                  <c:v>1.2000060891872999E-3</c:v>
                </c:pt>
                <c:pt idx="104">
                  <c:v>1.3164563820684599E-3</c:v>
                </c:pt>
                <c:pt idx="105">
                  <c:v>4.25915444599452E-5</c:v>
                </c:pt>
                <c:pt idx="106">
                  <c:v>6.0154784122872396E-4</c:v>
                </c:pt>
                <c:pt idx="107">
                  <c:v>7.2163661213067395E-4</c:v>
                </c:pt>
                <c:pt idx="108">
                  <c:v>9.3527410203942903E-4</c:v>
                </c:pt>
                <c:pt idx="109">
                  <c:v>1.0460443536715401E-3</c:v>
                </c:pt>
                <c:pt idx="110">
                  <c:v>1.6107167411504399E-3</c:v>
                </c:pt>
                <c:pt idx="111">
                  <c:v>1.4502465680994099E-4</c:v>
                </c:pt>
                <c:pt idx="112">
                  <c:v>4.1517929206652001E-5</c:v>
                </c:pt>
                <c:pt idx="113">
                  <c:v>8.5476737326927398E-4</c:v>
                </c:pt>
                <c:pt idx="114">
                  <c:v>6.6634392840435601E-4</c:v>
                </c:pt>
                <c:pt idx="115">
                  <c:v>8.2771252074004102E-4</c:v>
                </c:pt>
                <c:pt idx="116">
                  <c:v>1.57169317349283E-3</c:v>
                </c:pt>
                <c:pt idx="117">
                  <c:v>1.0183375507779501E-4</c:v>
                </c:pt>
                <c:pt idx="118">
                  <c:v>7.7802439696155205E-4</c:v>
                </c:pt>
                <c:pt idx="119">
                  <c:v>1.34332826678639E-3</c:v>
                </c:pt>
                <c:pt idx="120">
                  <c:v>1.0515521682069599E-3</c:v>
                </c:pt>
                <c:pt idx="121">
                  <c:v>4.6010610421841298E-4</c:v>
                </c:pt>
                <c:pt idx="122">
                  <c:v>1.03072081711946E-6</c:v>
                </c:pt>
                <c:pt idx="123">
                  <c:v>1.5246322014180001E-4</c:v>
                </c:pt>
                <c:pt idx="124">
                  <c:v>5.3421314606772201E-4</c:v>
                </c:pt>
                <c:pt idx="125">
                  <c:v>7.6020452423641703E-5</c:v>
                </c:pt>
                <c:pt idx="126">
                  <c:v>2.42162274795159E-3</c:v>
                </c:pt>
                <c:pt idx="127">
                  <c:v>1.0310636105651399E-3</c:v>
                </c:pt>
                <c:pt idx="128">
                  <c:v>1.4793228999406799E-4</c:v>
                </c:pt>
                <c:pt idx="129">
                  <c:v>1.05759132752945E-4</c:v>
                </c:pt>
                <c:pt idx="130">
                  <c:v>5.7767327051235504E-4</c:v>
                </c:pt>
                <c:pt idx="131">
                  <c:v>6.4170198510789397E-4</c:v>
                </c:pt>
                <c:pt idx="132">
                  <c:v>1.5050079053674799E-4</c:v>
                </c:pt>
                <c:pt idx="133">
                  <c:v>1.29912130599209E-5</c:v>
                </c:pt>
                <c:pt idx="134">
                  <c:v>1.4072726880052201E-3</c:v>
                </c:pt>
                <c:pt idx="135">
                  <c:v>4.4099407522972197E-4</c:v>
                </c:pt>
                <c:pt idx="136">
                  <c:v>1.2093601957848101E-3</c:v>
                </c:pt>
                <c:pt idx="137">
                  <c:v>4.4310713047094203E-5</c:v>
                </c:pt>
                <c:pt idx="138">
                  <c:v>9.7961771676234989E-4</c:v>
                </c:pt>
                <c:pt idx="139">
                  <c:v>1.24016624772744E-5</c:v>
                </c:pt>
                <c:pt idx="140">
                  <c:v>5.72468727960919E-4</c:v>
                </c:pt>
                <c:pt idx="141">
                  <c:v>3.49461903274701E-5</c:v>
                </c:pt>
                <c:pt idx="142">
                  <c:v>8.5417391171082097E-5</c:v>
                </c:pt>
                <c:pt idx="143">
                  <c:v>3.56975068600473E-4</c:v>
                </c:pt>
                <c:pt idx="144">
                  <c:v>2.1885446238701502E-3</c:v>
                </c:pt>
                <c:pt idx="145">
                  <c:v>8.6285392023603204E-6</c:v>
                </c:pt>
                <c:pt idx="146">
                  <c:v>1.3774905667077899E-3</c:v>
                </c:pt>
                <c:pt idx="147">
                  <c:v>4.33570403351687E-4</c:v>
                </c:pt>
                <c:pt idx="148">
                  <c:v>1.05798023572055E-5</c:v>
                </c:pt>
                <c:pt idx="149">
                  <c:v>3.9417230010572801E-4</c:v>
                </c:pt>
                <c:pt idx="150">
                  <c:v>4.9874175958686099E-4</c:v>
                </c:pt>
                <c:pt idx="151">
                  <c:v>3.8779678745605998E-4</c:v>
                </c:pt>
                <c:pt idx="152">
                  <c:v>1.63879837237853E-3</c:v>
                </c:pt>
                <c:pt idx="153">
                  <c:v>6.66101826097763E-4</c:v>
                </c:pt>
                <c:pt idx="154">
                  <c:v>1.3198463786424699E-4</c:v>
                </c:pt>
                <c:pt idx="155">
                  <c:v>1.0519171340315999E-3</c:v>
                </c:pt>
                <c:pt idx="156">
                  <c:v>5.3075402060710904E-4</c:v>
                </c:pt>
                <c:pt idx="157">
                  <c:v>1.0690744714178899E-3</c:v>
                </c:pt>
                <c:pt idx="158">
                  <c:v>2.2944500987922E-4</c:v>
                </c:pt>
                <c:pt idx="159">
                  <c:v>1.2734134196648801E-5</c:v>
                </c:pt>
                <c:pt idx="160">
                  <c:v>1.25223941205552E-3</c:v>
                </c:pt>
                <c:pt idx="161">
                  <c:v>8.2848926520249198E-4</c:v>
                </c:pt>
                <c:pt idx="162">
                  <c:v>1.24286757468708E-3</c:v>
                </c:pt>
                <c:pt idx="163">
                  <c:v>1.32639189062857E-5</c:v>
                </c:pt>
                <c:pt idx="164">
                  <c:v>5.4614232412826901E-5</c:v>
                </c:pt>
                <c:pt idx="165">
                  <c:v>7.3597761343528203E-4</c:v>
                </c:pt>
                <c:pt idx="166">
                  <c:v>2.4042694577147599E-5</c:v>
                </c:pt>
                <c:pt idx="167">
                  <c:v>1.1337363253092E-4</c:v>
                </c:pt>
                <c:pt idx="168">
                  <c:v>1.5751896805680401E-4</c:v>
                </c:pt>
                <c:pt idx="169">
                  <c:v>7.8968036617296799E-4</c:v>
                </c:pt>
                <c:pt idx="170">
                  <c:v>5.2673979269245695E-4</c:v>
                </c:pt>
                <c:pt idx="171">
                  <c:v>2.57602032833057E-5</c:v>
                </c:pt>
                <c:pt idx="172">
                  <c:v>3.51750474515291E-4</c:v>
                </c:pt>
                <c:pt idx="173">
                  <c:v>6.0869112532740705E-4</c:v>
                </c:pt>
                <c:pt idx="174">
                  <c:v>9.8490833147821906E-5</c:v>
                </c:pt>
                <c:pt idx="175">
                  <c:v>2.2272477807250499E-4</c:v>
                </c:pt>
                <c:pt idx="176">
                  <c:v>6.8664278209055302E-4</c:v>
                </c:pt>
                <c:pt idx="177">
                  <c:v>1.2417459587263301E-4</c:v>
                </c:pt>
                <c:pt idx="178">
                  <c:v>5.3183627822277201E-5</c:v>
                </c:pt>
                <c:pt idx="179">
                  <c:v>4.7840490740283997E-5</c:v>
                </c:pt>
                <c:pt idx="180">
                  <c:v>3.3057409455240202E-4</c:v>
                </c:pt>
                <c:pt idx="181">
                  <c:v>8.5139891750939003E-4</c:v>
                </c:pt>
                <c:pt idx="182">
                  <c:v>1.30881523238015E-5</c:v>
                </c:pt>
                <c:pt idx="183">
                  <c:v>3.3835237388259398E-4</c:v>
                </c:pt>
                <c:pt idx="184">
                  <c:v>5.2948199401197501E-5</c:v>
                </c:pt>
                <c:pt idx="185">
                  <c:v>9.6250968951028904E-5</c:v>
                </c:pt>
                <c:pt idx="186">
                  <c:v>1.3963697966540699E-4</c:v>
                </c:pt>
                <c:pt idx="187">
                  <c:v>2.7798611384014898E-4</c:v>
                </c:pt>
                <c:pt idx="188">
                  <c:v>2.4260287242312001E-7</c:v>
                </c:pt>
                <c:pt idx="189">
                  <c:v>1.5978356359009499E-4</c:v>
                </c:pt>
                <c:pt idx="190">
                  <c:v>4.6946713094344798E-4</c:v>
                </c:pt>
                <c:pt idx="191">
                  <c:v>5.8756575076710301E-6</c:v>
                </c:pt>
                <c:pt idx="192">
                  <c:v>1.5153943658291E-4</c:v>
                </c:pt>
                <c:pt idx="193">
                  <c:v>3.8077150373034299E-4</c:v>
                </c:pt>
                <c:pt idx="194">
                  <c:v>5.38501095019684E-5</c:v>
                </c:pt>
                <c:pt idx="195">
                  <c:v>3.21304592059409E-4</c:v>
                </c:pt>
                <c:pt idx="196">
                  <c:v>4.9133442078200902E-4</c:v>
                </c:pt>
                <c:pt idx="197">
                  <c:v>5.01908358347407E-5</c:v>
                </c:pt>
                <c:pt idx="198">
                  <c:v>1.34524569254404E-3</c:v>
                </c:pt>
                <c:pt idx="199">
                  <c:v>7.4576846954565599E-6</c:v>
                </c:pt>
                <c:pt idx="200">
                  <c:v>2.72295097026907E-4</c:v>
                </c:pt>
                <c:pt idx="201">
                  <c:v>9.2043515146203292E-6</c:v>
                </c:pt>
                <c:pt idx="202">
                  <c:v>5.4580136588864401E-5</c:v>
                </c:pt>
                <c:pt idx="203">
                  <c:v>2.17138400289537E-4</c:v>
                </c:pt>
                <c:pt idx="204">
                  <c:v>2.0652163569235201E-4</c:v>
                </c:pt>
                <c:pt idx="205">
                  <c:v>8.7308341679138702E-5</c:v>
                </c:pt>
                <c:pt idx="206">
                  <c:v>7.4738416947554799E-6</c:v>
                </c:pt>
                <c:pt idx="207">
                  <c:v>1.4512979757201E-3</c:v>
                </c:pt>
                <c:pt idx="208">
                  <c:v>6.8119737269992705E-4</c:v>
                </c:pt>
                <c:pt idx="209">
                  <c:v>3.4488684822614502E-6</c:v>
                </c:pt>
                <c:pt idx="210">
                  <c:v>3.7508765904591499E-5</c:v>
                </c:pt>
                <c:pt idx="211">
                  <c:v>8.01542541925923E-4</c:v>
                </c:pt>
                <c:pt idx="212">
                  <c:v>3.6348781335876203E-4</c:v>
                </c:pt>
                <c:pt idx="213">
                  <c:v>3.2320649731433699E-4</c:v>
                </c:pt>
                <c:pt idx="214">
                  <c:v>6.5049670863243694E-5</c:v>
                </c:pt>
                <c:pt idx="215">
                  <c:v>2.90420494436054E-4</c:v>
                </c:pt>
                <c:pt idx="216">
                  <c:v>1.3113296485173801E-4</c:v>
                </c:pt>
                <c:pt idx="217">
                  <c:v>4.9129619151774599E-5</c:v>
                </c:pt>
                <c:pt idx="218">
                  <c:v>4.7341161586493899E-4</c:v>
                </c:pt>
                <c:pt idx="219">
                  <c:v>2.6648137429804601E-4</c:v>
                </c:pt>
                <c:pt idx="220">
                  <c:v>1.94054670849401E-4</c:v>
                </c:pt>
                <c:pt idx="221">
                  <c:v>6.7541283944606798E-6</c:v>
                </c:pt>
                <c:pt idx="222">
                  <c:v>3.1401046192717201E-4</c:v>
                </c:pt>
                <c:pt idx="223">
                  <c:v>3.7420147614555302E-5</c:v>
                </c:pt>
                <c:pt idx="224">
                  <c:v>7.1904842992423596E-5</c:v>
                </c:pt>
                <c:pt idx="225">
                  <c:v>1.8640526087110499E-4</c:v>
                </c:pt>
                <c:pt idx="226">
                  <c:v>1.21920453866087E-4</c:v>
                </c:pt>
                <c:pt idx="227">
                  <c:v>9.7176024596434699E-4</c:v>
                </c:pt>
                <c:pt idx="228">
                  <c:v>2.17918439175566E-4</c:v>
                </c:pt>
                <c:pt idx="229">
                  <c:v>7.2905271255175894E-5</c:v>
                </c:pt>
                <c:pt idx="230">
                  <c:v>4.3387301881583997E-5</c:v>
                </c:pt>
                <c:pt idx="231">
                  <c:v>1.70218295838924E-4</c:v>
                </c:pt>
                <c:pt idx="232">
                  <c:v>1.05276634067095E-4</c:v>
                </c:pt>
                <c:pt idx="233">
                  <c:v>8.5959814701518404E-4</c:v>
                </c:pt>
                <c:pt idx="234">
                  <c:v>3.6205090715662401E-4</c:v>
                </c:pt>
                <c:pt idx="235">
                  <c:v>2.80892444553301E-4</c:v>
                </c:pt>
                <c:pt idx="236">
                  <c:v>3.96223133708004E-4</c:v>
                </c:pt>
                <c:pt idx="237">
                  <c:v>2.29219744552004E-4</c:v>
                </c:pt>
                <c:pt idx="238">
                  <c:v>1.46682026278927E-5</c:v>
                </c:pt>
                <c:pt idx="239">
                  <c:v>1.7707069211357601E-5</c:v>
                </c:pt>
                <c:pt idx="240">
                  <c:v>3.1656314876771998E-5</c:v>
                </c:pt>
                <c:pt idx="241">
                  <c:v>2.0461687552326399E-4</c:v>
                </c:pt>
                <c:pt idx="242">
                  <c:v>3.2410062230625902E-5</c:v>
                </c:pt>
                <c:pt idx="243">
                  <c:v>1.3524518767111301E-5</c:v>
                </c:pt>
                <c:pt idx="244">
                  <c:v>3.1562825754661698E-5</c:v>
                </c:pt>
                <c:pt idx="245">
                  <c:v>7.9220233806911295E-4</c:v>
                </c:pt>
                <c:pt idx="246">
                  <c:v>2.1992764324187E-4</c:v>
                </c:pt>
                <c:pt idx="247">
                  <c:v>3.5090045660695702E-5</c:v>
                </c:pt>
                <c:pt idx="248">
                  <c:v>3.9214319302214299E-4</c:v>
                </c:pt>
                <c:pt idx="249">
                  <c:v>4.6294214864837501E-4</c:v>
                </c:pt>
                <c:pt idx="250">
                  <c:v>5.0062331346111802E-4</c:v>
                </c:pt>
                <c:pt idx="251">
                  <c:v>1.43649190117581E-4</c:v>
                </c:pt>
                <c:pt idx="252">
                  <c:v>6.3039237341663303E-4</c:v>
                </c:pt>
                <c:pt idx="253">
                  <c:v>1.6763886753470901E-4</c:v>
                </c:pt>
                <c:pt idx="254">
                  <c:v>2.6781032974726102E-4</c:v>
                </c:pt>
                <c:pt idx="255">
                  <c:v>7.1782442141578705E-5</c:v>
                </c:pt>
                <c:pt idx="256">
                  <c:v>1.4777270331986801E-4</c:v>
                </c:pt>
                <c:pt idx="257">
                  <c:v>8.8033404162762504E-5</c:v>
                </c:pt>
                <c:pt idx="258">
                  <c:v>2.4466755182288801E-4</c:v>
                </c:pt>
                <c:pt idx="259">
                  <c:v>4.8754231698712003E-4</c:v>
                </c:pt>
                <c:pt idx="260">
                  <c:v>4.00850330718615E-5</c:v>
                </c:pt>
                <c:pt idx="261">
                  <c:v>5.0435816437902395E-4</c:v>
                </c:pt>
                <c:pt idx="262">
                  <c:v>2.0336345383308401E-4</c:v>
                </c:pt>
                <c:pt idx="263">
                  <c:v>3.8587383702412298E-4</c:v>
                </c:pt>
                <c:pt idx="264">
                  <c:v>9.1589209255585902E-5</c:v>
                </c:pt>
                <c:pt idx="265">
                  <c:v>5.8661573464493299E-5</c:v>
                </c:pt>
                <c:pt idx="266">
                  <c:v>2.1920365898880499E-4</c:v>
                </c:pt>
                <c:pt idx="267">
                  <c:v>1.28258027055313E-4</c:v>
                </c:pt>
                <c:pt idx="268">
                  <c:v>1.03644158043664E-4</c:v>
                </c:pt>
                <c:pt idx="269">
                  <c:v>6.3355285806496403E-4</c:v>
                </c:pt>
                <c:pt idx="270">
                  <c:v>1.2003794307964299E-3</c:v>
                </c:pt>
                <c:pt idx="271">
                  <c:v>1.6749442232668601E-4</c:v>
                </c:pt>
                <c:pt idx="272">
                  <c:v>9.7402248673042697E-4</c:v>
                </c:pt>
                <c:pt idx="273">
                  <c:v>1.9935185052713899E-4</c:v>
                </c:pt>
                <c:pt idx="274">
                  <c:v>1.8352498009729701E-4</c:v>
                </c:pt>
                <c:pt idx="275">
                  <c:v>1.5133281360455201E-4</c:v>
                </c:pt>
                <c:pt idx="276">
                  <c:v>7.4463792709830701E-5</c:v>
                </c:pt>
                <c:pt idx="277">
                  <c:v>6.4674353004705201E-4</c:v>
                </c:pt>
                <c:pt idx="278">
                  <c:v>7.1065477772223103E-4</c:v>
                </c:pt>
                <c:pt idx="279">
                  <c:v>1.99069893148011E-4</c:v>
                </c:pt>
                <c:pt idx="280">
                  <c:v>4.0434453018434099E-5</c:v>
                </c:pt>
                <c:pt idx="281">
                  <c:v>7.1885284394183096E-5</c:v>
                </c:pt>
                <c:pt idx="282">
                  <c:v>1.4543557563311601E-4</c:v>
                </c:pt>
                <c:pt idx="283">
                  <c:v>1.43875949036858E-5</c:v>
                </c:pt>
                <c:pt idx="284">
                  <c:v>1.4411711539230799E-4</c:v>
                </c:pt>
                <c:pt idx="285">
                  <c:v>4.5022058118436997E-6</c:v>
                </c:pt>
                <c:pt idx="286">
                  <c:v>1.4756617011339301E-6</c:v>
                </c:pt>
                <c:pt idx="287">
                  <c:v>1.01526681542618E-3</c:v>
                </c:pt>
                <c:pt idx="288">
                  <c:v>3.7748133912506699E-6</c:v>
                </c:pt>
                <c:pt idx="289">
                  <c:v>1.42099244272896E-5</c:v>
                </c:pt>
                <c:pt idx="290">
                  <c:v>2.00176786306567E-5</c:v>
                </c:pt>
                <c:pt idx="291">
                  <c:v>7.7932099182653296E-7</c:v>
                </c:pt>
                <c:pt idx="292">
                  <c:v>1.9700027195015699E-4</c:v>
                </c:pt>
                <c:pt idx="293">
                  <c:v>2.9246071599382199E-5</c:v>
                </c:pt>
                <c:pt idx="294">
                  <c:v>1.12740937079319E-3</c:v>
                </c:pt>
                <c:pt idx="295">
                  <c:v>1.19276040306266E-6</c:v>
                </c:pt>
                <c:pt idx="296">
                  <c:v>6.0706997527089097E-4</c:v>
                </c:pt>
                <c:pt idx="297">
                  <c:v>2.1279322857645899E-5</c:v>
                </c:pt>
                <c:pt idx="298">
                  <c:v>1.3227318669268101E-4</c:v>
                </c:pt>
                <c:pt idx="299">
                  <c:v>3.2261999011602597E-5</c:v>
                </c:pt>
                <c:pt idx="300">
                  <c:v>2.0714156090689201E-5</c:v>
                </c:pt>
                <c:pt idx="301">
                  <c:v>7.4307589190339602E-4</c:v>
                </c:pt>
                <c:pt idx="302">
                  <c:v>6.4799696659471702E-5</c:v>
                </c:pt>
                <c:pt idx="303">
                  <c:v>1.4718745584008501E-4</c:v>
                </c:pt>
                <c:pt idx="304">
                  <c:v>2.8995971847441202E-4</c:v>
                </c:pt>
                <c:pt idx="305">
                  <c:v>3.2825583741340603E-5</c:v>
                </c:pt>
                <c:pt idx="306">
                  <c:v>2.06438624530522E-4</c:v>
                </c:pt>
                <c:pt idx="307">
                  <c:v>7.2585133213585003E-6</c:v>
                </c:pt>
                <c:pt idx="308">
                  <c:v>2.0492796085143098E-5</c:v>
                </c:pt>
                <c:pt idx="309">
                  <c:v>2.11184106097693E-4</c:v>
                </c:pt>
                <c:pt idx="310">
                  <c:v>1.49084989361827E-5</c:v>
                </c:pt>
                <c:pt idx="311">
                  <c:v>6.5630420923610502E-7</c:v>
                </c:pt>
                <c:pt idx="312">
                  <c:v>1.6617632027620999E-4</c:v>
                </c:pt>
                <c:pt idx="313">
                  <c:v>2.1009999510634701E-4</c:v>
                </c:pt>
                <c:pt idx="314">
                  <c:v>6.6285265575311898E-5</c:v>
                </c:pt>
                <c:pt idx="315">
                  <c:v>1.21316780824568E-4</c:v>
                </c:pt>
                <c:pt idx="316">
                  <c:v>3.3658570399383402E-5</c:v>
                </c:pt>
                <c:pt idx="317">
                  <c:v>4.4678098287481303E-6</c:v>
                </c:pt>
                <c:pt idx="318">
                  <c:v>1.7967629432418299E-5</c:v>
                </c:pt>
                <c:pt idx="319">
                  <c:v>1.80724165685284E-7</c:v>
                </c:pt>
                <c:pt idx="320">
                  <c:v>2.8726341553073998E-6</c:v>
                </c:pt>
                <c:pt idx="321">
                  <c:v>1.19851943293937E-4</c:v>
                </c:pt>
                <c:pt idx="322">
                  <c:v>2.09434179065905E-5</c:v>
                </c:pt>
                <c:pt idx="323">
                  <c:v>2.24291222484604E-5</c:v>
                </c:pt>
                <c:pt idx="324">
                  <c:v>9.3933204162368296E-5</c:v>
                </c:pt>
                <c:pt idx="325">
                  <c:v>1.7383900370753901E-4</c:v>
                </c:pt>
                <c:pt idx="326">
                  <c:v>9.1874288727138997E-6</c:v>
                </c:pt>
                <c:pt idx="327">
                  <c:v>3.59674594227204E-4</c:v>
                </c:pt>
                <c:pt idx="328">
                  <c:v>3.6722732821932902E-6</c:v>
                </c:pt>
                <c:pt idx="329">
                  <c:v>1.79275828514719E-4</c:v>
                </c:pt>
                <c:pt idx="330">
                  <c:v>3.56920635476857E-4</c:v>
                </c:pt>
                <c:pt idx="331">
                  <c:v>2.7485456572948701E-4</c:v>
                </c:pt>
                <c:pt idx="332">
                  <c:v>7.8484711127961194E-5</c:v>
                </c:pt>
                <c:pt idx="333">
                  <c:v>1.5334438998639299E-3</c:v>
                </c:pt>
                <c:pt idx="334">
                  <c:v>2.36627294190308E-5</c:v>
                </c:pt>
                <c:pt idx="335">
                  <c:v>9.1921827720001497E-5</c:v>
                </c:pt>
                <c:pt idx="336">
                  <c:v>1.47985558522502E-6</c:v>
                </c:pt>
                <c:pt idx="337">
                  <c:v>6.2286573150651498E-5</c:v>
                </c:pt>
                <c:pt idx="338">
                  <c:v>4.71969624654168E-5</c:v>
                </c:pt>
                <c:pt idx="339">
                  <c:v>7.3830968214379396E-6</c:v>
                </c:pt>
                <c:pt idx="340">
                  <c:v>2.49454584062173E-4</c:v>
                </c:pt>
                <c:pt idx="341">
                  <c:v>1.2525809499539301E-4</c:v>
                </c:pt>
                <c:pt idx="342">
                  <c:v>2.5186497635357598E-4</c:v>
                </c:pt>
                <c:pt idx="343">
                  <c:v>4.5115167911891603E-5</c:v>
                </c:pt>
                <c:pt idx="344">
                  <c:v>7.6234636278768499E-5</c:v>
                </c:pt>
                <c:pt idx="345">
                  <c:v>1.43440775190131E-5</c:v>
                </c:pt>
                <c:pt idx="346">
                  <c:v>1.5101652512678299E-5</c:v>
                </c:pt>
                <c:pt idx="347">
                  <c:v>2.5965921541183402E-4</c:v>
                </c:pt>
                <c:pt idx="348">
                  <c:v>9.4345605555694095E-5</c:v>
                </c:pt>
                <c:pt idx="349">
                  <c:v>4.1695365100541901E-5</c:v>
                </c:pt>
                <c:pt idx="350">
                  <c:v>1.19519476606299E-4</c:v>
                </c:pt>
                <c:pt idx="351">
                  <c:v>5.92947789825455E-5</c:v>
                </c:pt>
                <c:pt idx="352">
                  <c:v>1.64565280172967E-4</c:v>
                </c:pt>
                <c:pt idx="353">
                  <c:v>5.7015877359026503E-5</c:v>
                </c:pt>
                <c:pt idx="354">
                  <c:v>1.2528871824904001E-4</c:v>
                </c:pt>
                <c:pt idx="355">
                  <c:v>7.1180801404590902E-5</c:v>
                </c:pt>
                <c:pt idx="356">
                  <c:v>8.5105940016145102E-5</c:v>
                </c:pt>
                <c:pt idx="357">
                  <c:v>4.1333828000772701E-6</c:v>
                </c:pt>
                <c:pt idx="358">
                  <c:v>1.01043692613184E-4</c:v>
                </c:pt>
                <c:pt idx="359">
                  <c:v>2.0158356454669301E-5</c:v>
                </c:pt>
                <c:pt idx="360">
                  <c:v>5.1691501068460998E-5</c:v>
                </c:pt>
                <c:pt idx="361">
                  <c:v>5.8412519729875499E-5</c:v>
                </c:pt>
                <c:pt idx="362">
                  <c:v>2.3432143201179601E-5</c:v>
                </c:pt>
                <c:pt idx="363">
                  <c:v>9.0575734210671298E-5</c:v>
                </c:pt>
                <c:pt idx="364">
                  <c:v>5.3864890320119703E-5</c:v>
                </c:pt>
                <c:pt idx="365">
                  <c:v>2.0784596280305001E-5</c:v>
                </c:pt>
                <c:pt idx="366">
                  <c:v>3.60162658436517E-5</c:v>
                </c:pt>
                <c:pt idx="367">
                  <c:v>1.6585331577018298E-5</c:v>
                </c:pt>
                <c:pt idx="368">
                  <c:v>5.4594011492852202E-5</c:v>
                </c:pt>
                <c:pt idx="369">
                  <c:v>5.53421826955851E-5</c:v>
                </c:pt>
                <c:pt idx="370">
                  <c:v>2.3077835042291302E-5</c:v>
                </c:pt>
                <c:pt idx="371">
                  <c:v>4.7343263476932103E-5</c:v>
                </c:pt>
                <c:pt idx="372">
                  <c:v>1.20197071032618E-5</c:v>
                </c:pt>
                <c:pt idx="373">
                  <c:v>4.5925513030334603E-5</c:v>
                </c:pt>
                <c:pt idx="374">
                  <c:v>4.6591103701035397E-5</c:v>
                </c:pt>
                <c:pt idx="375">
                  <c:v>2.4980476749231799E-5</c:v>
                </c:pt>
                <c:pt idx="376">
                  <c:v>3.2624780988527401E-5</c:v>
                </c:pt>
                <c:pt idx="377">
                  <c:v>1.71599262849288E-4</c:v>
                </c:pt>
                <c:pt idx="378">
                  <c:v>1.21997983281271E-3</c:v>
                </c:pt>
                <c:pt idx="379">
                  <c:v>1.3415668912060701E-3</c:v>
                </c:pt>
                <c:pt idx="380">
                  <c:v>9.0246640793249405E-6</c:v>
                </c:pt>
                <c:pt idx="381">
                  <c:v>2.4582129256127099E-5</c:v>
                </c:pt>
                <c:pt idx="382">
                  <c:v>8.3709115787836605E-6</c:v>
                </c:pt>
                <c:pt idx="383">
                  <c:v>4.24957326057156E-5</c:v>
                </c:pt>
                <c:pt idx="384">
                  <c:v>1.39754232416909E-5</c:v>
                </c:pt>
                <c:pt idx="385">
                  <c:v>1.7238178392903199E-5</c:v>
                </c:pt>
                <c:pt idx="386">
                  <c:v>7.0444574895825205E-5</c:v>
                </c:pt>
                <c:pt idx="387">
                  <c:v>1.9457170750752901E-4</c:v>
                </c:pt>
                <c:pt idx="388">
                  <c:v>8.2385992299829299E-6</c:v>
                </c:pt>
                <c:pt idx="389">
                  <c:v>5.3806659263514901E-6</c:v>
                </c:pt>
                <c:pt idx="390">
                  <c:v>6.8030993000019001E-5</c:v>
                </c:pt>
                <c:pt idx="391">
                  <c:v>1.65844297834081E-4</c:v>
                </c:pt>
                <c:pt idx="392">
                  <c:v>4.1500460693565801E-5</c:v>
                </c:pt>
                <c:pt idx="393">
                  <c:v>4.29018152546011E-5</c:v>
                </c:pt>
                <c:pt idx="394">
                  <c:v>3.6751924749220403E-5</c:v>
                </c:pt>
                <c:pt idx="395">
                  <c:v>1.0236826358040499E-5</c:v>
                </c:pt>
                <c:pt idx="396">
                  <c:v>4.3612534786361803E-6</c:v>
                </c:pt>
                <c:pt idx="397">
                  <c:v>9.1598326274484399E-5</c:v>
                </c:pt>
                <c:pt idx="398">
                  <c:v>4.0116331576927997E-5</c:v>
                </c:pt>
                <c:pt idx="399">
                  <c:v>1.8522256150003501E-5</c:v>
                </c:pt>
                <c:pt idx="400">
                  <c:v>5.3154503431190601E-5</c:v>
                </c:pt>
                <c:pt idx="401">
                  <c:v>7.5727819076162201E-6</c:v>
                </c:pt>
                <c:pt idx="402">
                  <c:v>1.9058047429104201E-7</c:v>
                </c:pt>
                <c:pt idx="403">
                  <c:v>1.17556668761509E-4</c:v>
                </c:pt>
                <c:pt idx="404">
                  <c:v>7.9221338329273105E-5</c:v>
                </c:pt>
                <c:pt idx="405">
                  <c:v>1.59198609163186E-5</c:v>
                </c:pt>
                <c:pt idx="406">
                  <c:v>9.0740064430704694E-6</c:v>
                </c:pt>
                <c:pt idx="407">
                  <c:v>4.9788342983993202E-5</c:v>
                </c:pt>
                <c:pt idx="408">
                  <c:v>2.5218384564288699E-5</c:v>
                </c:pt>
                <c:pt idx="409">
                  <c:v>1.72313218991035E-4</c:v>
                </c:pt>
                <c:pt idx="410">
                  <c:v>3.2167872125079401E-5</c:v>
                </c:pt>
                <c:pt idx="411">
                  <c:v>3.2822565515852698E-5</c:v>
                </c:pt>
                <c:pt idx="412">
                  <c:v>7.1085061717470803E-5</c:v>
                </c:pt>
                <c:pt idx="413">
                  <c:v>1.5086151994972601E-4</c:v>
                </c:pt>
                <c:pt idx="414">
                  <c:v>6.6555403599509203E-5</c:v>
                </c:pt>
                <c:pt idx="415">
                  <c:v>1.2177075232618801E-5</c:v>
                </c:pt>
                <c:pt idx="416">
                  <c:v>2.8813280678612302E-6</c:v>
                </c:pt>
                <c:pt idx="417">
                  <c:v>4.5520604028676999E-6</c:v>
                </c:pt>
                <c:pt idx="418">
                  <c:v>6.0289658867641603E-5</c:v>
                </c:pt>
                <c:pt idx="419">
                  <c:v>1.35141958196357E-5</c:v>
                </c:pt>
                <c:pt idx="420">
                  <c:v>9.4615787928506906E-5</c:v>
                </c:pt>
                <c:pt idx="421">
                  <c:v>1.18933661843589E-6</c:v>
                </c:pt>
                <c:pt idx="422">
                  <c:v>2.87441070266979E-5</c:v>
                </c:pt>
                <c:pt idx="423">
                  <c:v>6.1387066170605103E-6</c:v>
                </c:pt>
                <c:pt idx="424">
                  <c:v>1.3148468317270999E-4</c:v>
                </c:pt>
                <c:pt idx="425">
                  <c:v>3.08306968291838E-5</c:v>
                </c:pt>
                <c:pt idx="426">
                  <c:v>2.52813254762453E-4</c:v>
                </c:pt>
                <c:pt idx="427">
                  <c:v>4.45606704639114E-5</c:v>
                </c:pt>
                <c:pt idx="428">
                  <c:v>1.7487348469654601E-5</c:v>
                </c:pt>
                <c:pt idx="429">
                  <c:v>3.95321630201023E-5</c:v>
                </c:pt>
                <c:pt idx="430">
                  <c:v>4.5143945434374999E-5</c:v>
                </c:pt>
                <c:pt idx="431">
                  <c:v>3.5769177910347501E-5</c:v>
                </c:pt>
                <c:pt idx="432">
                  <c:v>4.3018525675991899E-5</c:v>
                </c:pt>
                <c:pt idx="433">
                  <c:v>1.76513628996876E-5</c:v>
                </c:pt>
                <c:pt idx="434">
                  <c:v>9.8139133188909097E-6</c:v>
                </c:pt>
                <c:pt idx="435">
                  <c:v>1.14229127925493E-4</c:v>
                </c:pt>
                <c:pt idx="436">
                  <c:v>1.1383580180339001E-5</c:v>
                </c:pt>
                <c:pt idx="437">
                  <c:v>1.05608200131576E-5</c:v>
                </c:pt>
                <c:pt idx="438">
                  <c:v>1.6118346946898701E-5</c:v>
                </c:pt>
                <c:pt idx="439">
                  <c:v>1.13380701352589E-4</c:v>
                </c:pt>
                <c:pt idx="440">
                  <c:v>7.8012513408637392E-6</c:v>
                </c:pt>
                <c:pt idx="441">
                  <c:v>4.6060721423992203E-5</c:v>
                </c:pt>
                <c:pt idx="442">
                  <c:v>4.1751595174133801E-5</c:v>
                </c:pt>
                <c:pt idx="443">
                  <c:v>2.6270059269232501E-5</c:v>
                </c:pt>
                <c:pt idx="444">
                  <c:v>1.7374496374170401E-5</c:v>
                </c:pt>
                <c:pt idx="445">
                  <c:v>6.8507249554069095E-4</c:v>
                </c:pt>
                <c:pt idx="446">
                  <c:v>1.9982932479861701E-4</c:v>
                </c:pt>
                <c:pt idx="447">
                  <c:v>2.81068358353263E-5</c:v>
                </c:pt>
                <c:pt idx="448">
                  <c:v>7.4148214566408698E-6</c:v>
                </c:pt>
                <c:pt idx="449">
                  <c:v>6.0992206294709903E-6</c:v>
                </c:pt>
                <c:pt idx="450">
                  <c:v>1.41615880331299E-5</c:v>
                </c:pt>
                <c:pt idx="451">
                  <c:v>5.32652677179994E-5</c:v>
                </c:pt>
                <c:pt idx="452">
                  <c:v>4.2954749159673901E-5</c:v>
                </c:pt>
                <c:pt idx="453">
                  <c:v>3.42217168556464E-4</c:v>
                </c:pt>
                <c:pt idx="454">
                  <c:v>8.0102765543976599E-5</c:v>
                </c:pt>
                <c:pt idx="455">
                  <c:v>4.5872255955271298E-5</c:v>
                </c:pt>
                <c:pt idx="456">
                  <c:v>2.8823713188727301E-7</c:v>
                </c:pt>
                <c:pt idx="457">
                  <c:v>4.4995641975557599E-5</c:v>
                </c:pt>
                <c:pt idx="458">
                  <c:v>5.8145094663314603E-6</c:v>
                </c:pt>
                <c:pt idx="459">
                  <c:v>1.05694622114699E-5</c:v>
                </c:pt>
                <c:pt idx="460">
                  <c:v>1.0201020764760401E-5</c:v>
                </c:pt>
                <c:pt idx="461">
                  <c:v>9.6314303001271697E-5</c:v>
                </c:pt>
                <c:pt idx="462">
                  <c:v>2.45913806105733E-5</c:v>
                </c:pt>
                <c:pt idx="463">
                  <c:v>6.7437804873196497E-6</c:v>
                </c:pt>
                <c:pt idx="464">
                  <c:v>2.11725492468679E-5</c:v>
                </c:pt>
                <c:pt idx="465">
                  <c:v>2.50392412138902E-5</c:v>
                </c:pt>
                <c:pt idx="466">
                  <c:v>1.41745906920484E-4</c:v>
                </c:pt>
                <c:pt idx="467">
                  <c:v>1.31941762398682E-5</c:v>
                </c:pt>
                <c:pt idx="468">
                  <c:v>6.5052154136221907E-5</c:v>
                </c:pt>
                <c:pt idx="469">
                  <c:v>4.2001916353859803E-5</c:v>
                </c:pt>
                <c:pt idx="470">
                  <c:v>3.7184312338789898E-4</c:v>
                </c:pt>
                <c:pt idx="471">
                  <c:v>9.9640069133898396E-5</c:v>
                </c:pt>
                <c:pt idx="472">
                  <c:v>7.3681289763671094E-5</c:v>
                </c:pt>
                <c:pt idx="473">
                  <c:v>8.0297921269431097E-5</c:v>
                </c:pt>
                <c:pt idx="474">
                  <c:v>2.6007242477452901E-5</c:v>
                </c:pt>
                <c:pt idx="475">
                  <c:v>2.1279443179807001E-5</c:v>
                </c:pt>
                <c:pt idx="476">
                  <c:v>9.9226307587387596E-5</c:v>
                </c:pt>
                <c:pt idx="477">
                  <c:v>2.66795805444607E-5</c:v>
                </c:pt>
                <c:pt idx="478">
                  <c:v>2.7487556386786402E-4</c:v>
                </c:pt>
                <c:pt idx="479">
                  <c:v>2.2845011272539901E-5</c:v>
                </c:pt>
                <c:pt idx="480">
                  <c:v>2.3369140045116999E-5</c:v>
                </c:pt>
                <c:pt idx="481">
                  <c:v>1.23516970931022E-5</c:v>
                </c:pt>
                <c:pt idx="482">
                  <c:v>2.4106367014685701E-5</c:v>
                </c:pt>
                <c:pt idx="483">
                  <c:v>6.6130527163490803E-6</c:v>
                </c:pt>
                <c:pt idx="484">
                  <c:v>1.31373031673407E-5</c:v>
                </c:pt>
                <c:pt idx="485">
                  <c:v>2.51588210545679E-5</c:v>
                </c:pt>
                <c:pt idx="486">
                  <c:v>4.22160501384383E-5</c:v>
                </c:pt>
                <c:pt idx="487">
                  <c:v>1.5989384912778299E-5</c:v>
                </c:pt>
                <c:pt idx="488">
                  <c:v>4.03780322333788E-5</c:v>
                </c:pt>
                <c:pt idx="489">
                  <c:v>7.7379872776935093E-5</c:v>
                </c:pt>
                <c:pt idx="490">
                  <c:v>7.3897354246517293E-5</c:v>
                </c:pt>
                <c:pt idx="491">
                  <c:v>3.8962619439284301E-5</c:v>
                </c:pt>
                <c:pt idx="492">
                  <c:v>2.52431143358945E-5</c:v>
                </c:pt>
                <c:pt idx="493">
                  <c:v>7.341632622384E-6</c:v>
                </c:pt>
                <c:pt idx="494">
                  <c:v>1.47242326462249E-5</c:v>
                </c:pt>
                <c:pt idx="495">
                  <c:v>1.24488568968512E-5</c:v>
                </c:pt>
                <c:pt idx="496">
                  <c:v>2.2450102247660398E-5</c:v>
                </c:pt>
                <c:pt idx="497">
                  <c:v>1.77291432968996E-5</c:v>
                </c:pt>
                <c:pt idx="498">
                  <c:v>4.5701558273620501E-4</c:v>
                </c:pt>
                <c:pt idx="499">
                  <c:v>2.1768648996704501E-5</c:v>
                </c:pt>
                <c:pt idx="500">
                  <c:v>5.5384644071266498E-6</c:v>
                </c:pt>
                <c:pt idx="501">
                  <c:v>1.32335950421885E-5</c:v>
                </c:pt>
                <c:pt idx="502">
                  <c:v>3.5520935843476002E-6</c:v>
                </c:pt>
                <c:pt idx="503">
                  <c:v>2.0470147999707899E-5</c:v>
                </c:pt>
                <c:pt idx="504">
                  <c:v>1.0534645927786501E-5</c:v>
                </c:pt>
                <c:pt idx="505">
                  <c:v>7.6735013115051596E-5</c:v>
                </c:pt>
                <c:pt idx="506">
                  <c:v>1.11284515152592E-4</c:v>
                </c:pt>
                <c:pt idx="507">
                  <c:v>1.20179535790131E-5</c:v>
                </c:pt>
                <c:pt idx="508">
                  <c:v>9.6840937322151598E-6</c:v>
                </c:pt>
                <c:pt idx="509">
                  <c:v>4.6786130706713203E-5</c:v>
                </c:pt>
                <c:pt idx="510">
                  <c:v>1.0625409705141299E-5</c:v>
                </c:pt>
                <c:pt idx="511">
                  <c:v>1.46208807440472E-5</c:v>
                </c:pt>
                <c:pt idx="512">
                  <c:v>1.55602222325853E-5</c:v>
                </c:pt>
                <c:pt idx="513">
                  <c:v>1.42554206521532E-3</c:v>
                </c:pt>
                <c:pt idx="514">
                  <c:v>6.3534940174167596E-5</c:v>
                </c:pt>
                <c:pt idx="515">
                  <c:v>6.7817309484171802E-5</c:v>
                </c:pt>
                <c:pt idx="516">
                  <c:v>1.1546481121353301E-5</c:v>
                </c:pt>
                <c:pt idx="517">
                  <c:v>1.6861766275491502E-5</c:v>
                </c:pt>
                <c:pt idx="518">
                  <c:v>2.2605265942117901E-5</c:v>
                </c:pt>
                <c:pt idx="519">
                  <c:v>9.03467727238459E-6</c:v>
                </c:pt>
                <c:pt idx="520">
                  <c:v>6.1350355493241398E-4</c:v>
                </c:pt>
                <c:pt idx="521">
                  <c:v>4.9966164004106501E-5</c:v>
                </c:pt>
                <c:pt idx="522">
                  <c:v>1.34038721303621E-5</c:v>
                </c:pt>
                <c:pt idx="523">
                  <c:v>1.0413284665110901E-5</c:v>
                </c:pt>
                <c:pt idx="524">
                  <c:v>2.07980357314056E-4</c:v>
                </c:pt>
                <c:pt idx="525">
                  <c:v>1.1846987686158E-7</c:v>
                </c:pt>
                <c:pt idx="526">
                  <c:v>5.1982141220846201E-6</c:v>
                </c:pt>
                <c:pt idx="527">
                  <c:v>5.8072378102874303E-6</c:v>
                </c:pt>
                <c:pt idx="528">
                  <c:v>6.9648938464115706E-8</c:v>
                </c:pt>
                <c:pt idx="529">
                  <c:v>4.2507166163650403E-5</c:v>
                </c:pt>
                <c:pt idx="530">
                  <c:v>5.7674481079148398E-5</c:v>
                </c:pt>
                <c:pt idx="531">
                  <c:v>4.8583701893991502E-5</c:v>
                </c:pt>
                <c:pt idx="532">
                  <c:v>1.7342604571670499E-4</c:v>
                </c:pt>
                <c:pt idx="533">
                  <c:v>6.4742609712649197E-6</c:v>
                </c:pt>
                <c:pt idx="534">
                  <c:v>1.44083591555671E-5</c:v>
                </c:pt>
                <c:pt idx="535">
                  <c:v>4.0649138761599599E-5</c:v>
                </c:pt>
                <c:pt idx="536">
                  <c:v>1.9761821296451901E-5</c:v>
                </c:pt>
                <c:pt idx="537">
                  <c:v>4.6731231906819201E-4</c:v>
                </c:pt>
                <c:pt idx="538">
                  <c:v>2.3123047461900301E-5</c:v>
                </c:pt>
                <c:pt idx="539">
                  <c:v>1.19006823279206E-5</c:v>
                </c:pt>
                <c:pt idx="540">
                  <c:v>1.06445703030815E-5</c:v>
                </c:pt>
                <c:pt idx="541">
                  <c:v>6.7295796117143399E-6</c:v>
                </c:pt>
                <c:pt idx="542">
                  <c:v>8.0445386751612502E-4</c:v>
                </c:pt>
                <c:pt idx="543">
                  <c:v>2.1434238812414199E-5</c:v>
                </c:pt>
                <c:pt idx="544">
                  <c:v>2.47912251964476E-6</c:v>
                </c:pt>
                <c:pt idx="545">
                  <c:v>1.0599605945907701E-5</c:v>
                </c:pt>
                <c:pt idx="546">
                  <c:v>1.02852204096996E-6</c:v>
                </c:pt>
                <c:pt idx="547">
                  <c:v>4.4036081367302901E-4</c:v>
                </c:pt>
                <c:pt idx="548">
                  <c:v>1.4640761988852901E-5</c:v>
                </c:pt>
                <c:pt idx="549">
                  <c:v>2.2862664439413499E-5</c:v>
                </c:pt>
                <c:pt idx="550">
                  <c:v>6.7142065768223294E-5</c:v>
                </c:pt>
                <c:pt idx="551">
                  <c:v>4.4126120690723302E-6</c:v>
                </c:pt>
                <c:pt idx="552">
                  <c:v>8.3142649916593305E-5</c:v>
                </c:pt>
                <c:pt idx="553">
                  <c:v>6.6725508258806797E-6</c:v>
                </c:pt>
                <c:pt idx="554">
                  <c:v>2.7049823800712099E-4</c:v>
                </c:pt>
                <c:pt idx="555">
                  <c:v>7.7909810908554205E-6</c:v>
                </c:pt>
                <c:pt idx="556">
                  <c:v>3.6946002557911999E-7</c:v>
                </c:pt>
                <c:pt idx="557">
                  <c:v>5.55778581924454E-6</c:v>
                </c:pt>
                <c:pt idx="558">
                  <c:v>8.6832250859303797E-6</c:v>
                </c:pt>
                <c:pt idx="559">
                  <c:v>2.3693320945703501E-5</c:v>
                </c:pt>
                <c:pt idx="560">
                  <c:v>2.6049328235295098E-5</c:v>
                </c:pt>
                <c:pt idx="561">
                  <c:v>1.6350792847958999E-5</c:v>
                </c:pt>
                <c:pt idx="562">
                  <c:v>1.03156561767115E-5</c:v>
                </c:pt>
                <c:pt idx="563">
                  <c:v>9.0393160117268802E-6</c:v>
                </c:pt>
                <c:pt idx="564">
                  <c:v>1.2686748760551799E-5</c:v>
                </c:pt>
                <c:pt idx="565">
                  <c:v>3.0442482375869798E-6</c:v>
                </c:pt>
                <c:pt idx="566">
                  <c:v>1.19341376647957E-4</c:v>
                </c:pt>
                <c:pt idx="567">
                  <c:v>3.20874200896349E-4</c:v>
                </c:pt>
                <c:pt idx="568">
                  <c:v>8.3223652292673508E-6</c:v>
                </c:pt>
                <c:pt idx="569">
                  <c:v>5.9043312825832704E-6</c:v>
                </c:pt>
                <c:pt idx="570">
                  <c:v>8.4458291177138499E-6</c:v>
                </c:pt>
                <c:pt idx="571">
                  <c:v>8.1743627956573298E-7</c:v>
                </c:pt>
                <c:pt idx="572">
                  <c:v>6.6393744789241996E-6</c:v>
                </c:pt>
                <c:pt idx="573">
                  <c:v>1.0132324571485601E-3</c:v>
                </c:pt>
                <c:pt idx="574">
                  <c:v>5.0233096617755197E-6</c:v>
                </c:pt>
                <c:pt idx="575">
                  <c:v>1.61955010130962E-6</c:v>
                </c:pt>
                <c:pt idx="576">
                  <c:v>3.7587532331459302E-6</c:v>
                </c:pt>
                <c:pt idx="577">
                  <c:v>1.2148959550129899E-6</c:v>
                </c:pt>
                <c:pt idx="578">
                  <c:v>2.3401148506732399E-5</c:v>
                </c:pt>
                <c:pt idx="579">
                  <c:v>1.29330277469776E-6</c:v>
                </c:pt>
                <c:pt idx="580">
                  <c:v>2.0792348371383399E-6</c:v>
                </c:pt>
                <c:pt idx="581">
                  <c:v>2.2091444851172801E-5</c:v>
                </c:pt>
                <c:pt idx="582">
                  <c:v>8.3548466241794596E-5</c:v>
                </c:pt>
                <c:pt idx="583">
                  <c:v>8.9192807075846898E-6</c:v>
                </c:pt>
                <c:pt idx="584">
                  <c:v>2.21692095241889E-5</c:v>
                </c:pt>
                <c:pt idx="585">
                  <c:v>3.1905097018898701E-6</c:v>
                </c:pt>
                <c:pt idx="586">
                  <c:v>1.7769261298411801E-5</c:v>
                </c:pt>
                <c:pt idx="587">
                  <c:v>5.2660073070694503E-6</c:v>
                </c:pt>
                <c:pt idx="588">
                  <c:v>2.2603026343632999E-6</c:v>
                </c:pt>
                <c:pt idx="589">
                  <c:v>7.9989010598143204E-7</c:v>
                </c:pt>
                <c:pt idx="590">
                  <c:v>1.1398107859138599E-5</c:v>
                </c:pt>
                <c:pt idx="591">
                  <c:v>3.3828029396187502E-6</c:v>
                </c:pt>
              </c:numCache>
            </c:numRef>
          </c:xVal>
          <c:yVal>
            <c:numRef>
              <c:f>'Relative Protein Abundances'!$C$2:$C$593</c:f>
              <c:numCache>
                <c:formatCode>General</c:formatCode>
                <c:ptCount val="592"/>
                <c:pt idx="0">
                  <c:v>1.74E-4</c:v>
                </c:pt>
                <c:pt idx="1">
                  <c:v>3.1099999999999999E-3</c:v>
                </c:pt>
                <c:pt idx="2">
                  <c:v>5.359E-3</c:v>
                </c:pt>
                <c:pt idx="3">
                  <c:v>2.748E-3</c:v>
                </c:pt>
                <c:pt idx="4">
                  <c:v>2.0000000000000001E-4</c:v>
                </c:pt>
                <c:pt idx="5">
                  <c:v>7.2200000000000003E-6</c:v>
                </c:pt>
                <c:pt idx="6">
                  <c:v>8.6479999999999994E-3</c:v>
                </c:pt>
                <c:pt idx="7">
                  <c:v>1.4135E-2</c:v>
                </c:pt>
                <c:pt idx="8">
                  <c:v>8.4510000000000002E-3</c:v>
                </c:pt>
                <c:pt idx="9">
                  <c:v>1.4679999999999999E-3</c:v>
                </c:pt>
                <c:pt idx="10">
                  <c:v>2.3960000000000001E-3</c:v>
                </c:pt>
                <c:pt idx="11">
                  <c:v>1.4170000000000001E-3</c:v>
                </c:pt>
                <c:pt idx="12">
                  <c:v>5.4469999999999996E-3</c:v>
                </c:pt>
                <c:pt idx="13">
                  <c:v>5.8970000000000003E-3</c:v>
                </c:pt>
                <c:pt idx="14">
                  <c:v>3.6679999999999998E-3</c:v>
                </c:pt>
                <c:pt idx="15">
                  <c:v>5.8560000000000001E-3</c:v>
                </c:pt>
                <c:pt idx="16">
                  <c:v>7.424E-3</c:v>
                </c:pt>
                <c:pt idx="17">
                  <c:v>5.6429999999999996E-3</c:v>
                </c:pt>
                <c:pt idx="18">
                  <c:v>5.2209999999999999E-3</c:v>
                </c:pt>
                <c:pt idx="19">
                  <c:v>3.7680000000000001E-3</c:v>
                </c:pt>
                <c:pt idx="20">
                  <c:v>3.6849999999999999E-3</c:v>
                </c:pt>
                <c:pt idx="21">
                  <c:v>1.93E-4</c:v>
                </c:pt>
                <c:pt idx="22">
                  <c:v>7.1630000000000001E-3</c:v>
                </c:pt>
                <c:pt idx="23">
                  <c:v>3.3519999999999999E-3</c:v>
                </c:pt>
                <c:pt idx="24">
                  <c:v>1.451E-3</c:v>
                </c:pt>
                <c:pt idx="25">
                  <c:v>3.6600000000000002E-5</c:v>
                </c:pt>
                <c:pt idx="26">
                  <c:v>1.7910000000000001E-3</c:v>
                </c:pt>
                <c:pt idx="27">
                  <c:v>2.6949999999999999E-3</c:v>
                </c:pt>
                <c:pt idx="28">
                  <c:v>3.1289999999999998E-3</c:v>
                </c:pt>
                <c:pt idx="29">
                  <c:v>8.4600000000000003E-6</c:v>
                </c:pt>
                <c:pt idx="30">
                  <c:v>2.5119999999999999E-3</c:v>
                </c:pt>
                <c:pt idx="31">
                  <c:v>4.0749999999999996E-3</c:v>
                </c:pt>
                <c:pt idx="32">
                  <c:v>2.6599999999999999E-5</c:v>
                </c:pt>
                <c:pt idx="33">
                  <c:v>5.3399999999999997E-4</c:v>
                </c:pt>
                <c:pt idx="34">
                  <c:v>2.3800000000000001E-4</c:v>
                </c:pt>
                <c:pt idx="35">
                  <c:v>1.9689999999999998E-3</c:v>
                </c:pt>
                <c:pt idx="36">
                  <c:v>2.7680000000000001E-3</c:v>
                </c:pt>
                <c:pt idx="37">
                  <c:v>1.787E-3</c:v>
                </c:pt>
                <c:pt idx="38">
                  <c:v>2.166E-3</c:v>
                </c:pt>
                <c:pt idx="39">
                  <c:v>8.5499999999999997E-4</c:v>
                </c:pt>
                <c:pt idx="40">
                  <c:v>9.68E-4</c:v>
                </c:pt>
                <c:pt idx="41">
                  <c:v>2.82E-3</c:v>
                </c:pt>
                <c:pt idx="42">
                  <c:v>2.1489999999999999E-3</c:v>
                </c:pt>
                <c:pt idx="43">
                  <c:v>5.4799999999999998E-4</c:v>
                </c:pt>
                <c:pt idx="44">
                  <c:v>1.18E-4</c:v>
                </c:pt>
                <c:pt idx="45">
                  <c:v>1.7129999999999999E-3</c:v>
                </c:pt>
                <c:pt idx="46">
                  <c:v>2.0240000000000002E-3</c:v>
                </c:pt>
                <c:pt idx="47">
                  <c:v>1.2979999999999999E-3</c:v>
                </c:pt>
                <c:pt idx="48">
                  <c:v>1.4890000000000001E-3</c:v>
                </c:pt>
                <c:pt idx="49">
                  <c:v>3.3300000000000002E-4</c:v>
                </c:pt>
                <c:pt idx="50">
                  <c:v>1.598E-3</c:v>
                </c:pt>
                <c:pt idx="51">
                  <c:v>1.382E-3</c:v>
                </c:pt>
                <c:pt idx="52">
                  <c:v>1.346E-3</c:v>
                </c:pt>
                <c:pt idx="53">
                  <c:v>2.4589999999999998E-3</c:v>
                </c:pt>
                <c:pt idx="54">
                  <c:v>9.5E-4</c:v>
                </c:pt>
                <c:pt idx="55">
                  <c:v>4.15E-4</c:v>
                </c:pt>
                <c:pt idx="56">
                  <c:v>1.387E-3</c:v>
                </c:pt>
                <c:pt idx="57">
                  <c:v>2.0439999999999998E-3</c:v>
                </c:pt>
                <c:pt idx="58">
                  <c:v>9.8400000000000007E-4</c:v>
                </c:pt>
                <c:pt idx="59">
                  <c:v>1.4649999999999999E-3</c:v>
                </c:pt>
                <c:pt idx="60">
                  <c:v>1.684E-3</c:v>
                </c:pt>
                <c:pt idx="61">
                  <c:v>1.0970000000000001E-3</c:v>
                </c:pt>
                <c:pt idx="62">
                  <c:v>1.083E-3</c:v>
                </c:pt>
                <c:pt idx="63">
                  <c:v>7.1199999999999996E-5</c:v>
                </c:pt>
                <c:pt idx="64">
                  <c:v>3.2100000000000001E-5</c:v>
                </c:pt>
                <c:pt idx="65">
                  <c:v>9.2800000000000001E-4</c:v>
                </c:pt>
                <c:pt idx="66">
                  <c:v>1.114E-3</c:v>
                </c:pt>
                <c:pt idx="67">
                  <c:v>8.7500000000000002E-4</c:v>
                </c:pt>
                <c:pt idx="68">
                  <c:v>7.7999999999999999E-4</c:v>
                </c:pt>
                <c:pt idx="69">
                  <c:v>2.5339999999999998E-3</c:v>
                </c:pt>
                <c:pt idx="70">
                  <c:v>1.879E-3</c:v>
                </c:pt>
                <c:pt idx="71">
                  <c:v>3.5560000000000001E-3</c:v>
                </c:pt>
                <c:pt idx="72">
                  <c:v>2.7100000000000001E-5</c:v>
                </c:pt>
                <c:pt idx="73">
                  <c:v>2.5999999999999998E-4</c:v>
                </c:pt>
                <c:pt idx="74">
                  <c:v>6.2200000000000005E-4</c:v>
                </c:pt>
                <c:pt idx="75">
                  <c:v>2.0699999999999999E-4</c:v>
                </c:pt>
                <c:pt idx="76">
                  <c:v>4.901E-3</c:v>
                </c:pt>
                <c:pt idx="77">
                  <c:v>8.0599999999999997E-4</c:v>
                </c:pt>
                <c:pt idx="78">
                  <c:v>6.2139999999999999E-3</c:v>
                </c:pt>
                <c:pt idx="79">
                  <c:v>3.6999999999999999E-4</c:v>
                </c:pt>
                <c:pt idx="80">
                  <c:v>1.07E-4</c:v>
                </c:pt>
                <c:pt idx="81">
                  <c:v>1.077E-3</c:v>
                </c:pt>
                <c:pt idx="82">
                  <c:v>2.421E-3</c:v>
                </c:pt>
                <c:pt idx="83">
                  <c:v>3.7300000000000001E-4</c:v>
                </c:pt>
                <c:pt idx="84">
                  <c:v>7.9799999999999999E-4</c:v>
                </c:pt>
                <c:pt idx="85">
                  <c:v>3.1599999999999998E-4</c:v>
                </c:pt>
                <c:pt idx="86">
                  <c:v>2.039E-3</c:v>
                </c:pt>
                <c:pt idx="87">
                  <c:v>1.2979999999999999E-3</c:v>
                </c:pt>
                <c:pt idx="88">
                  <c:v>1.2769999999999999E-3</c:v>
                </c:pt>
                <c:pt idx="89">
                  <c:v>8.5499999999999997E-4</c:v>
                </c:pt>
                <c:pt idx="90">
                  <c:v>7.3399999999999995E-4</c:v>
                </c:pt>
                <c:pt idx="91">
                  <c:v>7.0200000000000004E-4</c:v>
                </c:pt>
                <c:pt idx="92">
                  <c:v>1.2340000000000001E-3</c:v>
                </c:pt>
                <c:pt idx="93">
                  <c:v>1.258E-3</c:v>
                </c:pt>
                <c:pt idx="94">
                  <c:v>1.503E-3</c:v>
                </c:pt>
                <c:pt idx="95">
                  <c:v>1.183E-3</c:v>
                </c:pt>
                <c:pt idx="96">
                  <c:v>6.1799999999999998E-5</c:v>
                </c:pt>
                <c:pt idx="97">
                  <c:v>2.12E-5</c:v>
                </c:pt>
                <c:pt idx="98">
                  <c:v>1.7900000000000001E-5</c:v>
                </c:pt>
                <c:pt idx="99">
                  <c:v>2.1519999999999998E-3</c:v>
                </c:pt>
                <c:pt idx="100">
                  <c:v>8.8400000000000001E-6</c:v>
                </c:pt>
                <c:pt idx="101">
                  <c:v>7.0399999999999998E-4</c:v>
                </c:pt>
                <c:pt idx="102">
                  <c:v>4.9200000000000003E-5</c:v>
                </c:pt>
                <c:pt idx="103">
                  <c:v>5.9500000000000004E-4</c:v>
                </c:pt>
                <c:pt idx="104">
                  <c:v>1.91E-3</c:v>
                </c:pt>
                <c:pt idx="105">
                  <c:v>6.3500000000000004E-4</c:v>
                </c:pt>
                <c:pt idx="106">
                  <c:v>1.63E-5</c:v>
                </c:pt>
                <c:pt idx="107">
                  <c:v>1.45E-4</c:v>
                </c:pt>
                <c:pt idx="108">
                  <c:v>3.7500000000000001E-4</c:v>
                </c:pt>
                <c:pt idx="109">
                  <c:v>1.598E-3</c:v>
                </c:pt>
                <c:pt idx="110">
                  <c:v>1.059E-3</c:v>
                </c:pt>
                <c:pt idx="111">
                  <c:v>6.8999999999999997E-4</c:v>
                </c:pt>
                <c:pt idx="112">
                  <c:v>5.8E-4</c:v>
                </c:pt>
                <c:pt idx="113">
                  <c:v>3.1700000000000001E-4</c:v>
                </c:pt>
                <c:pt idx="114">
                  <c:v>1.3999999999999999E-4</c:v>
                </c:pt>
                <c:pt idx="115">
                  <c:v>3.1799999999999998E-4</c:v>
                </c:pt>
                <c:pt idx="116">
                  <c:v>2.0790000000000001E-3</c:v>
                </c:pt>
                <c:pt idx="117">
                  <c:v>6.0400000000000004E-4</c:v>
                </c:pt>
                <c:pt idx="118">
                  <c:v>1.2800000000000001E-3</c:v>
                </c:pt>
                <c:pt idx="119">
                  <c:v>8.5999999999999998E-4</c:v>
                </c:pt>
                <c:pt idx="120">
                  <c:v>1.534E-3</c:v>
                </c:pt>
                <c:pt idx="121">
                  <c:v>9.3700000000000001E-4</c:v>
                </c:pt>
                <c:pt idx="122">
                  <c:v>4.7100000000000001E-4</c:v>
                </c:pt>
                <c:pt idx="123">
                  <c:v>6.2E-4</c:v>
                </c:pt>
                <c:pt idx="124">
                  <c:v>6.7899999999999997E-5</c:v>
                </c:pt>
                <c:pt idx="125">
                  <c:v>5.2499999999999997E-4</c:v>
                </c:pt>
                <c:pt idx="126">
                  <c:v>1.9750000000000002E-3</c:v>
                </c:pt>
                <c:pt idx="127">
                  <c:v>5.8500000000000002E-4</c:v>
                </c:pt>
                <c:pt idx="128">
                  <c:v>5.9299999999999999E-4</c:v>
                </c:pt>
                <c:pt idx="129">
                  <c:v>5.5000000000000003E-4</c:v>
                </c:pt>
                <c:pt idx="130">
                  <c:v>1.3999999999999999E-4</c:v>
                </c:pt>
                <c:pt idx="131">
                  <c:v>2.0599999999999999E-4</c:v>
                </c:pt>
                <c:pt idx="132">
                  <c:v>5.8100000000000003E-4</c:v>
                </c:pt>
                <c:pt idx="133">
                  <c:v>4.37E-4</c:v>
                </c:pt>
                <c:pt idx="134">
                  <c:v>9.9099999999999991E-4</c:v>
                </c:pt>
                <c:pt idx="135">
                  <c:v>8.5599999999999999E-4</c:v>
                </c:pt>
                <c:pt idx="136">
                  <c:v>7.9500000000000003E-4</c:v>
                </c:pt>
                <c:pt idx="137">
                  <c:v>4.5600000000000003E-4</c:v>
                </c:pt>
                <c:pt idx="138">
                  <c:v>5.7200000000000003E-4</c:v>
                </c:pt>
                <c:pt idx="139">
                  <c:v>4.1399999999999998E-4</c:v>
                </c:pt>
                <c:pt idx="140">
                  <c:v>1.7899999999999999E-4</c:v>
                </c:pt>
                <c:pt idx="141">
                  <c:v>4.26E-4</c:v>
                </c:pt>
                <c:pt idx="142">
                  <c:v>4.6900000000000002E-4</c:v>
                </c:pt>
                <c:pt idx="143">
                  <c:v>7.3899999999999997E-4</c:v>
                </c:pt>
                <c:pt idx="144">
                  <c:v>2.5699999999999998E-3</c:v>
                </c:pt>
                <c:pt idx="145">
                  <c:v>3.8900000000000002E-4</c:v>
                </c:pt>
                <c:pt idx="146">
                  <c:v>1.003E-3</c:v>
                </c:pt>
                <c:pt idx="147">
                  <c:v>8.0699999999999999E-4</c:v>
                </c:pt>
                <c:pt idx="148">
                  <c:v>3.77E-4</c:v>
                </c:pt>
                <c:pt idx="149">
                  <c:v>3.0899999999999999E-5</c:v>
                </c:pt>
                <c:pt idx="150">
                  <c:v>1.4100000000000001E-4</c:v>
                </c:pt>
                <c:pt idx="151">
                  <c:v>3.6900000000000002E-5</c:v>
                </c:pt>
                <c:pt idx="152">
                  <c:v>1.2880000000000001E-3</c:v>
                </c:pt>
                <c:pt idx="153">
                  <c:v>1.0120000000000001E-3</c:v>
                </c:pt>
                <c:pt idx="154">
                  <c:v>4.7100000000000001E-4</c:v>
                </c:pt>
                <c:pt idx="155">
                  <c:v>7.1400000000000001E-4</c:v>
                </c:pt>
                <c:pt idx="156">
                  <c:v>1.95E-4</c:v>
                </c:pt>
                <c:pt idx="157">
                  <c:v>7.45E-4</c:v>
                </c:pt>
                <c:pt idx="158">
                  <c:v>5.5099999999999995E-4</c:v>
                </c:pt>
                <c:pt idx="159">
                  <c:v>3.3199999999999999E-4</c:v>
                </c:pt>
                <c:pt idx="160">
                  <c:v>9.3800000000000003E-4</c:v>
                </c:pt>
                <c:pt idx="161">
                  <c:v>5.1500000000000005E-4</c:v>
                </c:pt>
                <c:pt idx="162">
                  <c:v>1.552E-3</c:v>
                </c:pt>
                <c:pt idx="163">
                  <c:v>3.2200000000000002E-4</c:v>
                </c:pt>
                <c:pt idx="164">
                  <c:v>3.6299999999999999E-4</c:v>
                </c:pt>
                <c:pt idx="165">
                  <c:v>4.3399999999999998E-4</c:v>
                </c:pt>
                <c:pt idx="166">
                  <c:v>3.2000000000000003E-4</c:v>
                </c:pt>
                <c:pt idx="167">
                  <c:v>4.0499999999999998E-4</c:v>
                </c:pt>
                <c:pt idx="168">
                  <c:v>4.4499999999999997E-4</c:v>
                </c:pt>
                <c:pt idx="169">
                  <c:v>5.1199999999999998E-4</c:v>
                </c:pt>
                <c:pt idx="170">
                  <c:v>2.5000000000000001E-4</c:v>
                </c:pt>
                <c:pt idx="171">
                  <c:v>3.0200000000000002E-4</c:v>
                </c:pt>
                <c:pt idx="172">
                  <c:v>7.7899999999999996E-5</c:v>
                </c:pt>
                <c:pt idx="173">
                  <c:v>3.3500000000000001E-4</c:v>
                </c:pt>
                <c:pt idx="174">
                  <c:v>3.6900000000000002E-4</c:v>
                </c:pt>
                <c:pt idx="175">
                  <c:v>4.9100000000000001E-4</c:v>
                </c:pt>
                <c:pt idx="176">
                  <c:v>4.2700000000000002E-4</c:v>
                </c:pt>
                <c:pt idx="177">
                  <c:v>3.8299999999999999E-4</c:v>
                </c:pt>
                <c:pt idx="178">
                  <c:v>3.1100000000000002E-4</c:v>
                </c:pt>
                <c:pt idx="179">
                  <c:v>3.0499999999999999E-4</c:v>
                </c:pt>
                <c:pt idx="180">
                  <c:v>5.8699999999999996E-4</c:v>
                </c:pt>
                <c:pt idx="181">
                  <c:v>5.9599999999999996E-4</c:v>
                </c:pt>
                <c:pt idx="182">
                  <c:v>2.6800000000000001E-4</c:v>
                </c:pt>
                <c:pt idx="183">
                  <c:v>8.5699999999999996E-5</c:v>
                </c:pt>
                <c:pt idx="184">
                  <c:v>3.0400000000000002E-4</c:v>
                </c:pt>
                <c:pt idx="185">
                  <c:v>3.4699999999999998E-4</c:v>
                </c:pt>
                <c:pt idx="186">
                  <c:v>3.8900000000000002E-4</c:v>
                </c:pt>
                <c:pt idx="187">
                  <c:v>3.1699999999999998E-5</c:v>
                </c:pt>
                <c:pt idx="188">
                  <c:v>2.4499999999999999E-4</c:v>
                </c:pt>
                <c:pt idx="189">
                  <c:v>4.0299999999999998E-4</c:v>
                </c:pt>
                <c:pt idx="190">
                  <c:v>2.31E-4</c:v>
                </c:pt>
                <c:pt idx="191">
                  <c:v>2.4399999999999999E-4</c:v>
                </c:pt>
                <c:pt idx="192">
                  <c:v>3.8900000000000002E-4</c:v>
                </c:pt>
                <c:pt idx="193">
                  <c:v>1.45E-4</c:v>
                </c:pt>
                <c:pt idx="194">
                  <c:v>2.8899999999999998E-4</c:v>
                </c:pt>
                <c:pt idx="195">
                  <c:v>8.6299999999999997E-5</c:v>
                </c:pt>
                <c:pt idx="196">
                  <c:v>7.2599999999999997E-4</c:v>
                </c:pt>
                <c:pt idx="197">
                  <c:v>2.8400000000000002E-4</c:v>
                </c:pt>
                <c:pt idx="198">
                  <c:v>1.575E-3</c:v>
                </c:pt>
                <c:pt idx="199">
                  <c:v>2.2699999999999999E-4</c:v>
                </c:pt>
                <c:pt idx="200">
                  <c:v>5.7399999999999999E-5</c:v>
                </c:pt>
                <c:pt idx="201">
                  <c:v>2.24E-4</c:v>
                </c:pt>
                <c:pt idx="202">
                  <c:v>2.6899999999999998E-4</c:v>
                </c:pt>
                <c:pt idx="203">
                  <c:v>8.5499999999999995E-6</c:v>
                </c:pt>
                <c:pt idx="204">
                  <c:v>5.5300000000000004E-7</c:v>
                </c:pt>
                <c:pt idx="205">
                  <c:v>2.9300000000000002E-4</c:v>
                </c:pt>
                <c:pt idx="206">
                  <c:v>2.13E-4</c:v>
                </c:pt>
                <c:pt idx="207">
                  <c:v>1.2459999999999999E-3</c:v>
                </c:pt>
                <c:pt idx="208">
                  <c:v>8.8500000000000004E-4</c:v>
                </c:pt>
                <c:pt idx="209">
                  <c:v>2.0599999999999999E-4</c:v>
                </c:pt>
                <c:pt idx="210">
                  <c:v>2.3900000000000001E-4</c:v>
                </c:pt>
                <c:pt idx="211">
                  <c:v>6.0099999999999997E-4</c:v>
                </c:pt>
                <c:pt idx="212">
                  <c:v>1.63E-4</c:v>
                </c:pt>
                <c:pt idx="213">
                  <c:v>1.25E-4</c:v>
                </c:pt>
                <c:pt idx="214">
                  <c:v>2.63E-4</c:v>
                </c:pt>
                <c:pt idx="215">
                  <c:v>9.3200000000000002E-5</c:v>
                </c:pt>
                <c:pt idx="216">
                  <c:v>3.2600000000000001E-4</c:v>
                </c:pt>
                <c:pt idx="217">
                  <c:v>2.41E-4</c:v>
                </c:pt>
                <c:pt idx="218">
                  <c:v>2.8299999999999999E-4</c:v>
                </c:pt>
                <c:pt idx="219">
                  <c:v>8.03E-5</c:v>
                </c:pt>
                <c:pt idx="220">
                  <c:v>7.9400000000000002E-6</c:v>
                </c:pt>
                <c:pt idx="221">
                  <c:v>1.92E-4</c:v>
                </c:pt>
                <c:pt idx="222">
                  <c:v>4.9899999999999999E-4</c:v>
                </c:pt>
                <c:pt idx="223">
                  <c:v>2.22E-4</c:v>
                </c:pt>
                <c:pt idx="224">
                  <c:v>2.5500000000000002E-4</c:v>
                </c:pt>
                <c:pt idx="225">
                  <c:v>3.68E-4</c:v>
                </c:pt>
                <c:pt idx="226">
                  <c:v>3.0200000000000002E-4</c:v>
                </c:pt>
                <c:pt idx="227">
                  <c:v>1.1460000000000001E-3</c:v>
                </c:pt>
                <c:pt idx="228">
                  <c:v>4.46E-5</c:v>
                </c:pt>
                <c:pt idx="229">
                  <c:v>2.4600000000000002E-4</c:v>
                </c:pt>
                <c:pt idx="230">
                  <c:v>2.14E-4</c:v>
                </c:pt>
                <c:pt idx="231">
                  <c:v>3.22E-7</c:v>
                </c:pt>
                <c:pt idx="232">
                  <c:v>2.7500000000000002E-4</c:v>
                </c:pt>
                <c:pt idx="233">
                  <c:v>1.029E-3</c:v>
                </c:pt>
                <c:pt idx="234">
                  <c:v>1.93E-4</c:v>
                </c:pt>
                <c:pt idx="235">
                  <c:v>1.1400000000000001E-4</c:v>
                </c:pt>
                <c:pt idx="236">
                  <c:v>2.31E-4</c:v>
                </c:pt>
                <c:pt idx="237">
                  <c:v>6.6400000000000001E-5</c:v>
                </c:pt>
                <c:pt idx="238">
                  <c:v>1.76E-4</c:v>
                </c:pt>
                <c:pt idx="239">
                  <c:v>1.76E-4</c:v>
                </c:pt>
                <c:pt idx="240">
                  <c:v>1.8799999999999999E-4</c:v>
                </c:pt>
                <c:pt idx="241">
                  <c:v>4.8999999999999998E-5</c:v>
                </c:pt>
                <c:pt idx="242">
                  <c:v>1.8799999999999999E-4</c:v>
                </c:pt>
                <c:pt idx="243">
                  <c:v>1.6799999999999999E-4</c:v>
                </c:pt>
                <c:pt idx="244">
                  <c:v>1.83E-4</c:v>
                </c:pt>
                <c:pt idx="245">
                  <c:v>6.4199999999999999E-4</c:v>
                </c:pt>
                <c:pt idx="246">
                  <c:v>7.1699999999999995E-5</c:v>
                </c:pt>
                <c:pt idx="247">
                  <c:v>1.83E-4</c:v>
                </c:pt>
                <c:pt idx="248">
                  <c:v>2.4499999999999999E-4</c:v>
                </c:pt>
                <c:pt idx="249">
                  <c:v>3.1599999999999998E-4</c:v>
                </c:pt>
                <c:pt idx="250">
                  <c:v>3.5500000000000001E-4</c:v>
                </c:pt>
                <c:pt idx="251">
                  <c:v>8.0299999999999998E-8</c:v>
                </c:pt>
                <c:pt idx="252">
                  <c:v>7.7300000000000003E-4</c:v>
                </c:pt>
                <c:pt idx="253">
                  <c:v>2.5899999999999999E-5</c:v>
                </c:pt>
                <c:pt idx="254">
                  <c:v>4.08E-4</c:v>
                </c:pt>
                <c:pt idx="255">
                  <c:v>2.1100000000000001E-4</c:v>
                </c:pt>
                <c:pt idx="256">
                  <c:v>2.8600000000000001E-4</c:v>
                </c:pt>
                <c:pt idx="257">
                  <c:v>2.2599999999999999E-4</c:v>
                </c:pt>
                <c:pt idx="258">
                  <c:v>1.07E-4</c:v>
                </c:pt>
                <c:pt idx="259">
                  <c:v>6.2500000000000001E-4</c:v>
                </c:pt>
                <c:pt idx="260">
                  <c:v>1.7699999999999999E-4</c:v>
                </c:pt>
                <c:pt idx="261">
                  <c:v>6.4099999999999997E-4</c:v>
                </c:pt>
                <c:pt idx="262">
                  <c:v>6.7299999999999996E-5</c:v>
                </c:pt>
                <c:pt idx="263">
                  <c:v>5.2099999999999998E-4</c:v>
                </c:pt>
                <c:pt idx="264">
                  <c:v>2.2599999999999999E-4</c:v>
                </c:pt>
                <c:pt idx="265">
                  <c:v>1.93E-4</c:v>
                </c:pt>
                <c:pt idx="266">
                  <c:v>8.6199999999999995E-5</c:v>
                </c:pt>
                <c:pt idx="267">
                  <c:v>2.61E-4</c:v>
                </c:pt>
                <c:pt idx="268">
                  <c:v>2.3599999999999999E-4</c:v>
                </c:pt>
                <c:pt idx="269">
                  <c:v>5.0299999999999997E-4</c:v>
                </c:pt>
                <c:pt idx="270">
                  <c:v>1.072E-3</c:v>
                </c:pt>
                <c:pt idx="271">
                  <c:v>4.0200000000000001E-5</c:v>
                </c:pt>
                <c:pt idx="272">
                  <c:v>1.101E-3</c:v>
                </c:pt>
                <c:pt idx="273">
                  <c:v>3.2600000000000001E-4</c:v>
                </c:pt>
                <c:pt idx="274">
                  <c:v>5.7800000000000002E-5</c:v>
                </c:pt>
                <c:pt idx="275">
                  <c:v>2.72E-4</c:v>
                </c:pt>
                <c:pt idx="276">
                  <c:v>1.94E-4</c:v>
                </c:pt>
                <c:pt idx="277">
                  <c:v>7.6599999999999997E-4</c:v>
                </c:pt>
                <c:pt idx="278">
                  <c:v>8.2200000000000003E-4</c:v>
                </c:pt>
                <c:pt idx="279">
                  <c:v>8.8300000000000005E-5</c:v>
                </c:pt>
                <c:pt idx="280">
                  <c:v>1.5100000000000001E-4</c:v>
                </c:pt>
                <c:pt idx="281">
                  <c:v>1.8000000000000001E-4</c:v>
                </c:pt>
                <c:pt idx="282">
                  <c:v>2.5300000000000002E-4</c:v>
                </c:pt>
                <c:pt idx="283">
                  <c:v>1.2E-4</c:v>
                </c:pt>
                <c:pt idx="284">
                  <c:v>2.4800000000000001E-4</c:v>
                </c:pt>
                <c:pt idx="285">
                  <c:v>1.08E-4</c:v>
                </c:pt>
                <c:pt idx="286">
                  <c:v>1.0399999999999999E-4</c:v>
                </c:pt>
                <c:pt idx="287">
                  <c:v>9.1299999999999997E-4</c:v>
                </c:pt>
                <c:pt idx="288">
                  <c:v>1.06E-4</c:v>
                </c:pt>
                <c:pt idx="289">
                  <c:v>1.15E-4</c:v>
                </c:pt>
                <c:pt idx="290">
                  <c:v>1.18E-4</c:v>
                </c:pt>
                <c:pt idx="291">
                  <c:v>9.7E-5</c:v>
                </c:pt>
                <c:pt idx="292">
                  <c:v>1.02E-4</c:v>
                </c:pt>
                <c:pt idx="293">
                  <c:v>1.2400000000000001E-4</c:v>
                </c:pt>
                <c:pt idx="294">
                  <c:v>1.222E-3</c:v>
                </c:pt>
                <c:pt idx="295">
                  <c:v>9.4400000000000004E-5</c:v>
                </c:pt>
                <c:pt idx="296">
                  <c:v>6.9999999999999999E-4</c:v>
                </c:pt>
                <c:pt idx="297">
                  <c:v>1.1400000000000001E-4</c:v>
                </c:pt>
                <c:pt idx="298">
                  <c:v>4.0200000000000001E-5</c:v>
                </c:pt>
                <c:pt idx="299">
                  <c:v>1.22E-4</c:v>
                </c:pt>
                <c:pt idx="300">
                  <c:v>1.1E-4</c:v>
                </c:pt>
                <c:pt idx="301">
                  <c:v>6.5600000000000001E-4</c:v>
                </c:pt>
                <c:pt idx="302">
                  <c:v>1.4999999999999999E-4</c:v>
                </c:pt>
                <c:pt idx="303">
                  <c:v>6.2399999999999999E-5</c:v>
                </c:pt>
                <c:pt idx="304">
                  <c:v>3.7399999999999998E-4</c:v>
                </c:pt>
                <c:pt idx="305">
                  <c:v>1.16E-4</c:v>
                </c:pt>
                <c:pt idx="306">
                  <c:v>2.8899999999999998E-4</c:v>
                </c:pt>
                <c:pt idx="307">
                  <c:v>8.8499999999999996E-5</c:v>
                </c:pt>
                <c:pt idx="308">
                  <c:v>1.01E-4</c:v>
                </c:pt>
                <c:pt idx="309">
                  <c:v>1.3100000000000001E-4</c:v>
                </c:pt>
                <c:pt idx="310">
                  <c:v>9.4900000000000003E-5</c:v>
                </c:pt>
                <c:pt idx="311">
                  <c:v>7.8800000000000004E-5</c:v>
                </c:pt>
                <c:pt idx="312">
                  <c:v>8.8300000000000005E-5</c:v>
                </c:pt>
                <c:pt idx="313">
                  <c:v>1.35E-4</c:v>
                </c:pt>
                <c:pt idx="314">
                  <c:v>1.4100000000000001E-4</c:v>
                </c:pt>
                <c:pt idx="315">
                  <c:v>1.9599999999999999E-4</c:v>
                </c:pt>
                <c:pt idx="316">
                  <c:v>1.08E-4</c:v>
                </c:pt>
                <c:pt idx="317">
                  <c:v>7.8499999999999997E-5</c:v>
                </c:pt>
                <c:pt idx="318">
                  <c:v>9.1399999999999999E-5</c:v>
                </c:pt>
                <c:pt idx="319">
                  <c:v>7.36E-5</c:v>
                </c:pt>
                <c:pt idx="320">
                  <c:v>7.6100000000000007E-5</c:v>
                </c:pt>
                <c:pt idx="321">
                  <c:v>1.93E-4</c:v>
                </c:pt>
                <c:pt idx="322">
                  <c:v>9.3900000000000006E-5</c:v>
                </c:pt>
                <c:pt idx="323">
                  <c:v>9.4900000000000003E-5</c:v>
                </c:pt>
                <c:pt idx="324">
                  <c:v>2.1500000000000001E-5</c:v>
                </c:pt>
                <c:pt idx="325">
                  <c:v>1.02E-4</c:v>
                </c:pt>
                <c:pt idx="326">
                  <c:v>8.0799999999999999E-5</c:v>
                </c:pt>
                <c:pt idx="327">
                  <c:v>4.3100000000000001E-4</c:v>
                </c:pt>
                <c:pt idx="328">
                  <c:v>7.2999999999999999E-5</c:v>
                </c:pt>
                <c:pt idx="329">
                  <c:v>2.4800000000000001E-4</c:v>
                </c:pt>
                <c:pt idx="330">
                  <c:v>4.2499999999999998E-4</c:v>
                </c:pt>
                <c:pt idx="331">
                  <c:v>2.0799999999999999E-4</c:v>
                </c:pt>
                <c:pt idx="332">
                  <c:v>1.19E-5</c:v>
                </c:pt>
                <c:pt idx="333">
                  <c:v>1.5989999999999999E-3</c:v>
                </c:pt>
                <c:pt idx="334">
                  <c:v>8.8200000000000003E-5</c:v>
                </c:pt>
                <c:pt idx="335">
                  <c:v>2.9200000000000002E-5</c:v>
                </c:pt>
                <c:pt idx="336">
                  <c:v>6.3700000000000003E-5</c:v>
                </c:pt>
                <c:pt idx="337">
                  <c:v>4.1100000000000001E-7</c:v>
                </c:pt>
                <c:pt idx="338">
                  <c:v>1.0900000000000001E-4</c:v>
                </c:pt>
                <c:pt idx="339">
                  <c:v>6.8399999999999996E-5</c:v>
                </c:pt>
                <c:pt idx="340">
                  <c:v>1.8900000000000001E-4</c:v>
                </c:pt>
                <c:pt idx="341">
                  <c:v>6.4999999999999994E-5</c:v>
                </c:pt>
                <c:pt idx="342">
                  <c:v>3.1199999999999999E-4</c:v>
                </c:pt>
                <c:pt idx="343">
                  <c:v>1.05E-4</c:v>
                </c:pt>
                <c:pt idx="344">
                  <c:v>1.36E-4</c:v>
                </c:pt>
                <c:pt idx="345">
                  <c:v>7.2999999999999999E-5</c:v>
                </c:pt>
                <c:pt idx="346">
                  <c:v>7.2799999999999994E-5</c:v>
                </c:pt>
                <c:pt idx="347">
                  <c:v>2.02E-4</c:v>
                </c:pt>
                <c:pt idx="348">
                  <c:v>1.5200000000000001E-4</c:v>
                </c:pt>
                <c:pt idx="349">
                  <c:v>9.87E-5</c:v>
                </c:pt>
                <c:pt idx="350">
                  <c:v>6.2600000000000004E-5</c:v>
                </c:pt>
                <c:pt idx="351">
                  <c:v>1.16E-4</c:v>
                </c:pt>
                <c:pt idx="352">
                  <c:v>1.08E-4</c:v>
                </c:pt>
                <c:pt idx="353">
                  <c:v>1.55E-6</c:v>
                </c:pt>
                <c:pt idx="354">
                  <c:v>7.1099999999999994E-5</c:v>
                </c:pt>
                <c:pt idx="355">
                  <c:v>1.25E-4</c:v>
                </c:pt>
                <c:pt idx="356">
                  <c:v>3.1600000000000002E-5</c:v>
                </c:pt>
                <c:pt idx="357">
                  <c:v>5.7599999999999997E-5</c:v>
                </c:pt>
                <c:pt idx="358">
                  <c:v>4.7599999999999998E-5</c:v>
                </c:pt>
                <c:pt idx="359">
                  <c:v>7.2899999999999997E-5</c:v>
                </c:pt>
                <c:pt idx="360">
                  <c:v>1.0399999999999999E-4</c:v>
                </c:pt>
                <c:pt idx="361">
                  <c:v>7.6399999999999997E-6</c:v>
                </c:pt>
                <c:pt idx="362">
                  <c:v>7.3899999999999994E-5</c:v>
                </c:pt>
                <c:pt idx="363">
                  <c:v>1.4100000000000001E-4</c:v>
                </c:pt>
                <c:pt idx="364">
                  <c:v>4.4399999999999998E-6</c:v>
                </c:pt>
                <c:pt idx="365">
                  <c:v>6.9599999999999998E-5</c:v>
                </c:pt>
                <c:pt idx="366">
                  <c:v>8.4800000000000001E-5</c:v>
                </c:pt>
                <c:pt idx="367">
                  <c:v>6.4300000000000004E-5</c:v>
                </c:pt>
                <c:pt idx="368">
                  <c:v>8.1499999999999999E-6</c:v>
                </c:pt>
                <c:pt idx="369">
                  <c:v>9.0799999999999995E-6</c:v>
                </c:pt>
                <c:pt idx="370">
                  <c:v>6.8800000000000005E-5</c:v>
                </c:pt>
                <c:pt idx="371">
                  <c:v>2.2800000000000002E-6</c:v>
                </c:pt>
                <c:pt idx="372">
                  <c:v>5.5399999999999998E-5</c:v>
                </c:pt>
                <c:pt idx="373">
                  <c:v>3.0000000000000001E-6</c:v>
                </c:pt>
                <c:pt idx="374">
                  <c:v>8.9499999999999994E-5</c:v>
                </c:pt>
                <c:pt idx="375">
                  <c:v>6.7500000000000001E-5</c:v>
                </c:pt>
                <c:pt idx="376">
                  <c:v>7.4800000000000002E-5</c:v>
                </c:pt>
                <c:pt idx="377">
                  <c:v>2.13E-4</c:v>
                </c:pt>
                <c:pt idx="378">
                  <c:v>1.261E-3</c:v>
                </c:pt>
                <c:pt idx="379">
                  <c:v>1.382E-3</c:v>
                </c:pt>
                <c:pt idx="380">
                  <c:v>4.9100000000000001E-5</c:v>
                </c:pt>
                <c:pt idx="381">
                  <c:v>6.41E-5</c:v>
                </c:pt>
                <c:pt idx="382">
                  <c:v>4.7599999999999998E-5</c:v>
                </c:pt>
                <c:pt idx="383">
                  <c:v>3.3500000000000001E-6</c:v>
                </c:pt>
                <c:pt idx="384">
                  <c:v>5.2899999999999998E-5</c:v>
                </c:pt>
                <c:pt idx="385">
                  <c:v>5.6100000000000002E-5</c:v>
                </c:pt>
                <c:pt idx="386">
                  <c:v>3.18E-5</c:v>
                </c:pt>
                <c:pt idx="387">
                  <c:v>1.56E-4</c:v>
                </c:pt>
                <c:pt idx="388">
                  <c:v>4.6300000000000001E-5</c:v>
                </c:pt>
                <c:pt idx="389">
                  <c:v>4.2799999999999997E-5</c:v>
                </c:pt>
                <c:pt idx="390">
                  <c:v>3.0800000000000003E-5</c:v>
                </c:pt>
                <c:pt idx="391">
                  <c:v>1.2899999999999999E-4</c:v>
                </c:pt>
                <c:pt idx="392">
                  <c:v>7.8300000000000006E-5</c:v>
                </c:pt>
                <c:pt idx="393">
                  <c:v>7.9400000000000006E-5</c:v>
                </c:pt>
                <c:pt idx="394">
                  <c:v>4.3300000000000003E-7</c:v>
                </c:pt>
                <c:pt idx="395">
                  <c:v>4.6499999999999999E-5</c:v>
                </c:pt>
                <c:pt idx="396">
                  <c:v>4.0399999999999999E-5</c:v>
                </c:pt>
                <c:pt idx="397">
                  <c:v>5.6100000000000002E-5</c:v>
                </c:pt>
                <c:pt idx="398">
                  <c:v>7.5599999999999994E-5</c:v>
                </c:pt>
                <c:pt idx="399">
                  <c:v>5.3900000000000002E-5</c:v>
                </c:pt>
                <c:pt idx="400">
                  <c:v>8.7399999999999997E-5</c:v>
                </c:pt>
                <c:pt idx="401">
                  <c:v>4.18E-5</c:v>
                </c:pt>
                <c:pt idx="402">
                  <c:v>3.4100000000000002E-5</c:v>
                </c:pt>
                <c:pt idx="403">
                  <c:v>1.5100000000000001E-4</c:v>
                </c:pt>
                <c:pt idx="404">
                  <c:v>4.5899999999999998E-5</c:v>
                </c:pt>
                <c:pt idx="405">
                  <c:v>4.9100000000000001E-5</c:v>
                </c:pt>
                <c:pt idx="406">
                  <c:v>4.1199999999999999E-5</c:v>
                </c:pt>
                <c:pt idx="407">
                  <c:v>1.77E-5</c:v>
                </c:pt>
                <c:pt idx="408">
                  <c:v>5.7299999999999997E-5</c:v>
                </c:pt>
                <c:pt idx="409">
                  <c:v>2.04E-4</c:v>
                </c:pt>
                <c:pt idx="410">
                  <c:v>7.3200000000000004E-7</c:v>
                </c:pt>
                <c:pt idx="411">
                  <c:v>6.3800000000000006E-5</c:v>
                </c:pt>
                <c:pt idx="412">
                  <c:v>1.02E-4</c:v>
                </c:pt>
                <c:pt idx="413">
                  <c:v>1.21E-4</c:v>
                </c:pt>
                <c:pt idx="414">
                  <c:v>9.6299999999999996E-5</c:v>
                </c:pt>
                <c:pt idx="415">
                  <c:v>4.1499999999999999E-5</c:v>
                </c:pt>
                <c:pt idx="416">
                  <c:v>3.1900000000000003E-5</c:v>
                </c:pt>
                <c:pt idx="417">
                  <c:v>3.3500000000000001E-5</c:v>
                </c:pt>
                <c:pt idx="418">
                  <c:v>3.1900000000000003E-5</c:v>
                </c:pt>
                <c:pt idx="419">
                  <c:v>4.1900000000000002E-5</c:v>
                </c:pt>
                <c:pt idx="420">
                  <c:v>1.2300000000000001E-4</c:v>
                </c:pt>
                <c:pt idx="421">
                  <c:v>2.94E-5</c:v>
                </c:pt>
                <c:pt idx="422">
                  <c:v>7.4500000000000007E-7</c:v>
                </c:pt>
                <c:pt idx="423">
                  <c:v>3.4E-5</c:v>
                </c:pt>
                <c:pt idx="424">
                  <c:v>1.5899999999999999E-4</c:v>
                </c:pt>
                <c:pt idx="425">
                  <c:v>3.5099999999999999E-6</c:v>
                </c:pt>
                <c:pt idx="426">
                  <c:v>2.7999999999999998E-4</c:v>
                </c:pt>
                <c:pt idx="427">
                  <c:v>7.1099999999999994E-5</c:v>
                </c:pt>
                <c:pt idx="428">
                  <c:v>4.3699999999999998E-5</c:v>
                </c:pt>
                <c:pt idx="429">
                  <c:v>1.3499999999999999E-5</c:v>
                </c:pt>
                <c:pt idx="430">
                  <c:v>1.9300000000000002E-5</c:v>
                </c:pt>
                <c:pt idx="431">
                  <c:v>1.0000000000000001E-5</c:v>
                </c:pt>
                <c:pt idx="432">
                  <c:v>1.7499999999999998E-5</c:v>
                </c:pt>
                <c:pt idx="433">
                  <c:v>4.2500000000000003E-5</c:v>
                </c:pt>
                <c:pt idx="434">
                  <c:v>3.4600000000000001E-5</c:v>
                </c:pt>
                <c:pt idx="435">
                  <c:v>1.3899999999999999E-4</c:v>
                </c:pt>
                <c:pt idx="436">
                  <c:v>3.5800000000000003E-5</c:v>
                </c:pt>
                <c:pt idx="437">
                  <c:v>3.4799999999999999E-5</c:v>
                </c:pt>
                <c:pt idx="438">
                  <c:v>3.9900000000000001E-5</c:v>
                </c:pt>
                <c:pt idx="439">
                  <c:v>1.37E-4</c:v>
                </c:pt>
                <c:pt idx="440">
                  <c:v>3.1199999999999999E-5</c:v>
                </c:pt>
                <c:pt idx="441">
                  <c:v>2.2900000000000001E-5</c:v>
                </c:pt>
                <c:pt idx="442">
                  <c:v>1.8700000000000001E-5</c:v>
                </c:pt>
                <c:pt idx="443">
                  <c:v>3.2600000000000001E-6</c:v>
                </c:pt>
                <c:pt idx="444">
                  <c:v>3.9799999999999998E-5</c:v>
                </c:pt>
                <c:pt idx="445">
                  <c:v>6.6299999999999996E-4</c:v>
                </c:pt>
                <c:pt idx="446">
                  <c:v>1.7799999999999999E-4</c:v>
                </c:pt>
                <c:pt idx="447">
                  <c:v>6.5799999999999997E-6</c:v>
                </c:pt>
                <c:pt idx="448">
                  <c:v>2.8600000000000001E-5</c:v>
                </c:pt>
                <c:pt idx="449">
                  <c:v>2.6999999999999999E-5</c:v>
                </c:pt>
                <c:pt idx="450">
                  <c:v>3.4999999999999997E-5</c:v>
                </c:pt>
                <c:pt idx="451">
                  <c:v>3.2499999999999997E-5</c:v>
                </c:pt>
                <c:pt idx="452">
                  <c:v>2.23E-5</c:v>
                </c:pt>
                <c:pt idx="453">
                  <c:v>3.2200000000000002E-4</c:v>
                </c:pt>
                <c:pt idx="454">
                  <c:v>1E-4</c:v>
                </c:pt>
                <c:pt idx="455">
                  <c:v>2.6100000000000001E-5</c:v>
                </c:pt>
                <c:pt idx="456">
                  <c:v>1.98E-5</c:v>
                </c:pt>
                <c:pt idx="457">
                  <c:v>6.4399999999999993E-5</c:v>
                </c:pt>
                <c:pt idx="458">
                  <c:v>2.48E-5</c:v>
                </c:pt>
                <c:pt idx="459">
                  <c:v>2.9499999999999999E-5</c:v>
                </c:pt>
                <c:pt idx="460">
                  <c:v>2.9E-5</c:v>
                </c:pt>
                <c:pt idx="461">
                  <c:v>7.7600000000000002E-5</c:v>
                </c:pt>
                <c:pt idx="462">
                  <c:v>4.3300000000000002E-5</c:v>
                </c:pt>
                <c:pt idx="463">
                  <c:v>2.5400000000000001E-5</c:v>
                </c:pt>
                <c:pt idx="464">
                  <c:v>2.9299999999999999E-6</c:v>
                </c:pt>
                <c:pt idx="465">
                  <c:v>7.1899999999999998E-6</c:v>
                </c:pt>
                <c:pt idx="466">
                  <c:v>1.2400000000000001E-4</c:v>
                </c:pt>
                <c:pt idx="467">
                  <c:v>3.0800000000000003E-5</c:v>
                </c:pt>
                <c:pt idx="468">
                  <c:v>4.7500000000000003E-5</c:v>
                </c:pt>
                <c:pt idx="469">
                  <c:v>2.4700000000000001E-5</c:v>
                </c:pt>
                <c:pt idx="470">
                  <c:v>3.8900000000000002E-4</c:v>
                </c:pt>
                <c:pt idx="471">
                  <c:v>8.2799999999999993E-5</c:v>
                </c:pt>
                <c:pt idx="472">
                  <c:v>9.0500000000000004E-5</c:v>
                </c:pt>
                <c:pt idx="473">
                  <c:v>9.6799999999999995E-5</c:v>
                </c:pt>
                <c:pt idx="474">
                  <c:v>4.2400000000000001E-5</c:v>
                </c:pt>
                <c:pt idx="475">
                  <c:v>5.1000000000000003E-6</c:v>
                </c:pt>
                <c:pt idx="476">
                  <c:v>8.3100000000000001E-5</c:v>
                </c:pt>
                <c:pt idx="477">
                  <c:v>4.2700000000000001E-5</c:v>
                </c:pt>
                <c:pt idx="478">
                  <c:v>2.5900000000000001E-4</c:v>
                </c:pt>
                <c:pt idx="479">
                  <c:v>3.8600000000000003E-5</c:v>
                </c:pt>
                <c:pt idx="480">
                  <c:v>7.7100000000000007E-6</c:v>
                </c:pt>
                <c:pt idx="481">
                  <c:v>2.8E-5</c:v>
                </c:pt>
                <c:pt idx="482">
                  <c:v>8.4700000000000002E-6</c:v>
                </c:pt>
                <c:pt idx="483">
                  <c:v>2.2099999999999998E-5</c:v>
                </c:pt>
                <c:pt idx="484">
                  <c:v>2.8600000000000001E-5</c:v>
                </c:pt>
                <c:pt idx="485">
                  <c:v>9.8700000000000004E-6</c:v>
                </c:pt>
                <c:pt idx="486">
                  <c:v>2.7100000000000001E-5</c:v>
                </c:pt>
                <c:pt idx="487">
                  <c:v>1.0300000000000001E-6</c:v>
                </c:pt>
                <c:pt idx="488">
                  <c:v>5.4599999999999999E-5</c:v>
                </c:pt>
                <c:pt idx="489">
                  <c:v>6.3200000000000005E-5</c:v>
                </c:pt>
                <c:pt idx="490">
                  <c:v>6.0399999999999998E-5</c:v>
                </c:pt>
                <c:pt idx="491">
                  <c:v>2.5599999999999999E-5</c:v>
                </c:pt>
                <c:pt idx="492">
                  <c:v>3.82E-5</c:v>
                </c:pt>
                <c:pt idx="493">
                  <c:v>2.02E-5</c:v>
                </c:pt>
                <c:pt idx="494">
                  <c:v>1.8899999999999999E-6</c:v>
                </c:pt>
                <c:pt idx="495">
                  <c:v>1.61E-7</c:v>
                </c:pt>
                <c:pt idx="496">
                  <c:v>1.0200000000000001E-5</c:v>
                </c:pt>
                <c:pt idx="497">
                  <c:v>5.57E-6</c:v>
                </c:pt>
                <c:pt idx="498">
                  <c:v>4.4499999999999997E-4</c:v>
                </c:pt>
                <c:pt idx="499">
                  <c:v>3.3599999999999997E-5</c:v>
                </c:pt>
                <c:pt idx="500">
                  <c:v>1.7200000000000001E-5</c:v>
                </c:pt>
                <c:pt idx="501">
                  <c:v>1.79E-6</c:v>
                </c:pt>
                <c:pt idx="502">
                  <c:v>1.43E-5</c:v>
                </c:pt>
                <c:pt idx="503">
                  <c:v>3.1000000000000001E-5</c:v>
                </c:pt>
                <c:pt idx="504">
                  <c:v>4.1999999999999999E-8</c:v>
                </c:pt>
                <c:pt idx="505">
                  <c:v>6.69E-5</c:v>
                </c:pt>
                <c:pt idx="506">
                  <c:v>1.21E-4</c:v>
                </c:pt>
                <c:pt idx="507">
                  <c:v>2.1699999999999999E-5</c:v>
                </c:pt>
                <c:pt idx="508">
                  <c:v>1.54E-7</c:v>
                </c:pt>
                <c:pt idx="509">
                  <c:v>5.5800000000000001E-5</c:v>
                </c:pt>
                <c:pt idx="510">
                  <c:v>1.72E-6</c:v>
                </c:pt>
                <c:pt idx="511">
                  <c:v>5.7599999999999999E-6</c:v>
                </c:pt>
                <c:pt idx="512">
                  <c:v>6.7100000000000001E-6</c:v>
                </c:pt>
                <c:pt idx="513">
                  <c:v>1.4170000000000001E-3</c:v>
                </c:pt>
                <c:pt idx="514">
                  <c:v>7.2000000000000002E-5</c:v>
                </c:pt>
                <c:pt idx="515">
                  <c:v>5.9799999999999997E-5</c:v>
                </c:pt>
                <c:pt idx="516">
                  <c:v>3.5499999999999999E-6</c:v>
                </c:pt>
                <c:pt idx="517">
                  <c:v>9.0399999999999998E-6</c:v>
                </c:pt>
                <c:pt idx="518">
                  <c:v>1.4800000000000001E-5</c:v>
                </c:pt>
                <c:pt idx="519">
                  <c:v>1.6699999999999999E-5</c:v>
                </c:pt>
                <c:pt idx="520">
                  <c:v>6.0599999999999998E-4</c:v>
                </c:pt>
                <c:pt idx="521">
                  <c:v>4.2500000000000003E-5</c:v>
                </c:pt>
                <c:pt idx="522">
                  <c:v>6.2099999999999998E-6</c:v>
                </c:pt>
                <c:pt idx="523">
                  <c:v>3.3100000000000001E-6</c:v>
                </c:pt>
                <c:pt idx="524">
                  <c:v>2.1499999999999999E-4</c:v>
                </c:pt>
                <c:pt idx="525">
                  <c:v>7.0500000000000003E-6</c:v>
                </c:pt>
                <c:pt idx="526">
                  <c:v>1.2099999999999999E-5</c:v>
                </c:pt>
                <c:pt idx="527">
                  <c:v>1.26E-5</c:v>
                </c:pt>
                <c:pt idx="528">
                  <c:v>6.7499999999999997E-6</c:v>
                </c:pt>
                <c:pt idx="529">
                  <c:v>3.5899999999999998E-5</c:v>
                </c:pt>
                <c:pt idx="530">
                  <c:v>6.4200000000000002E-5</c:v>
                </c:pt>
                <c:pt idx="531">
                  <c:v>4.21E-5</c:v>
                </c:pt>
                <c:pt idx="532">
                  <c:v>1.6699999999999999E-4</c:v>
                </c:pt>
                <c:pt idx="533">
                  <c:v>1.29E-5</c:v>
                </c:pt>
                <c:pt idx="534">
                  <c:v>8.0499999999999992E-6</c:v>
                </c:pt>
                <c:pt idx="535">
                  <c:v>4.6999999999999997E-5</c:v>
                </c:pt>
                <c:pt idx="536">
                  <c:v>2.6100000000000001E-5</c:v>
                </c:pt>
                <c:pt idx="537">
                  <c:v>4.6099999999999998E-4</c:v>
                </c:pt>
                <c:pt idx="538">
                  <c:v>1.6900000000000001E-5</c:v>
                </c:pt>
                <c:pt idx="539">
                  <c:v>1.7900000000000001E-5</c:v>
                </c:pt>
                <c:pt idx="540">
                  <c:v>1.66E-5</c:v>
                </c:pt>
                <c:pt idx="541">
                  <c:v>1.26E-5</c:v>
                </c:pt>
                <c:pt idx="542">
                  <c:v>7.9900000000000001E-4</c:v>
                </c:pt>
                <c:pt idx="543">
                  <c:v>2.6400000000000001E-5</c:v>
                </c:pt>
                <c:pt idx="544">
                  <c:v>7.3300000000000001E-6</c:v>
                </c:pt>
                <c:pt idx="545">
                  <c:v>1.52E-5</c:v>
                </c:pt>
                <c:pt idx="546">
                  <c:v>5.4099999999999999E-6</c:v>
                </c:pt>
                <c:pt idx="547">
                  <c:v>4.3600000000000003E-4</c:v>
                </c:pt>
                <c:pt idx="548">
                  <c:v>1.03E-5</c:v>
                </c:pt>
                <c:pt idx="549">
                  <c:v>1.8600000000000001E-5</c:v>
                </c:pt>
                <c:pt idx="550">
                  <c:v>6.3100000000000002E-5</c:v>
                </c:pt>
                <c:pt idx="551">
                  <c:v>6.6300000000000015E-7</c:v>
                </c:pt>
                <c:pt idx="552">
                  <c:v>8.6799999999999996E-5</c:v>
                </c:pt>
                <c:pt idx="553">
                  <c:v>1.0200000000000001E-5</c:v>
                </c:pt>
                <c:pt idx="554">
                  <c:v>2.6699999999999998E-4</c:v>
                </c:pt>
                <c:pt idx="555">
                  <c:v>1.11E-5</c:v>
                </c:pt>
                <c:pt idx="556">
                  <c:v>3.5599999999999998E-6</c:v>
                </c:pt>
                <c:pt idx="557">
                  <c:v>2.4399999999999999E-6</c:v>
                </c:pt>
                <c:pt idx="558">
                  <c:v>1.1800000000000001E-5</c:v>
                </c:pt>
                <c:pt idx="559">
                  <c:v>2.6800000000000001E-5</c:v>
                </c:pt>
                <c:pt idx="560">
                  <c:v>2.3E-5</c:v>
                </c:pt>
                <c:pt idx="561">
                  <c:v>1.9199999999999999E-5</c:v>
                </c:pt>
                <c:pt idx="562">
                  <c:v>1.29E-5</c:v>
                </c:pt>
                <c:pt idx="563">
                  <c:v>1.1600000000000001E-5</c:v>
                </c:pt>
                <c:pt idx="564">
                  <c:v>1.5099999999999999E-5</c:v>
                </c:pt>
                <c:pt idx="565">
                  <c:v>6.3100000000000008E-7</c:v>
                </c:pt>
                <c:pt idx="566">
                  <c:v>1.17E-4</c:v>
                </c:pt>
                <c:pt idx="567">
                  <c:v>3.2299999999999999E-4</c:v>
                </c:pt>
                <c:pt idx="568">
                  <c:v>6.2400000000000004E-6</c:v>
                </c:pt>
                <c:pt idx="569">
                  <c:v>7.9400000000000002E-6</c:v>
                </c:pt>
                <c:pt idx="570">
                  <c:v>6.4400000000000002E-6</c:v>
                </c:pt>
                <c:pt idx="571">
                  <c:v>2.61E-6</c:v>
                </c:pt>
                <c:pt idx="572">
                  <c:v>4.8600000000000001E-6</c:v>
                </c:pt>
                <c:pt idx="573">
                  <c:v>1.0150000000000001E-3</c:v>
                </c:pt>
                <c:pt idx="574">
                  <c:v>6.5699999999999998E-6</c:v>
                </c:pt>
                <c:pt idx="575">
                  <c:v>2.91E-7</c:v>
                </c:pt>
                <c:pt idx="576">
                  <c:v>2.6900000000000001E-6</c:v>
                </c:pt>
                <c:pt idx="577">
                  <c:v>1.8099999999999999E-7</c:v>
                </c:pt>
                <c:pt idx="578">
                  <c:v>2.2500000000000001E-5</c:v>
                </c:pt>
                <c:pt idx="579">
                  <c:v>2.1399999999999998E-6</c:v>
                </c:pt>
                <c:pt idx="580">
                  <c:v>2.88E-6</c:v>
                </c:pt>
                <c:pt idx="581">
                  <c:v>2.1399999999999998E-5</c:v>
                </c:pt>
                <c:pt idx="582">
                  <c:v>8.42E-5</c:v>
                </c:pt>
                <c:pt idx="583">
                  <c:v>8.32E-6</c:v>
                </c:pt>
                <c:pt idx="584">
                  <c:v>2.1590000000000002E-5</c:v>
                </c:pt>
                <c:pt idx="585">
                  <c:v>3.72E-6</c:v>
                </c:pt>
                <c:pt idx="586">
                  <c:v>1.73E-5</c:v>
                </c:pt>
                <c:pt idx="587">
                  <c:v>4.8999999999999997E-6</c:v>
                </c:pt>
                <c:pt idx="588">
                  <c:v>1.9999999999999999E-6</c:v>
                </c:pt>
                <c:pt idx="589">
                  <c:v>1.0100000000000001E-6</c:v>
                </c:pt>
                <c:pt idx="590">
                  <c:v>1.1600000000000001E-5</c:v>
                </c:pt>
                <c:pt idx="591">
                  <c:v>3.2200000000000001E-6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16-F348-8606-C2F53FF493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alpha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197299771326341"/>
                  <c:y val="-3.977298511459205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'MFA-derived fluxes'!$C$2:$C$2309</c:f>
              <c:numCache>
                <c:formatCode>General</c:formatCode>
                <c:ptCount val="2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8.4188129843820233E-3</c:v>
                </c:pt>
                <c:pt idx="4">
                  <c:v>0</c:v>
                </c:pt>
                <c:pt idx="5">
                  <c:v>0</c:v>
                </c:pt>
                <c:pt idx="6">
                  <c:v>2.2154800737409393E-3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9.3176506995375956E-5</c:v>
                </c:pt>
                <c:pt idx="19">
                  <c:v>0</c:v>
                </c:pt>
                <c:pt idx="20">
                  <c:v>0</c:v>
                </c:pt>
                <c:pt idx="21">
                  <c:v>4.3726454067801205E-3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4.3726454067801205E-3</c:v>
                </c:pt>
                <c:pt idx="119">
                  <c:v>4.3726454067801205E-3</c:v>
                </c:pt>
                <c:pt idx="120">
                  <c:v>3.9635209639998512E-3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2.8171526477804849E-3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7.2220642295365566E-9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1.9904670694253902E-4</c:v>
                </c:pt>
                <c:pt idx="186">
                  <c:v>0</c:v>
                </c:pt>
                <c:pt idx="187">
                  <c:v>0</c:v>
                </c:pt>
                <c:pt idx="188">
                  <c:v>1.9904670694253902E-4</c:v>
                </c:pt>
                <c:pt idx="189">
                  <c:v>3.595805982781375E-3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3.9200637158083385E-3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1.0209484997892187E-2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2.4787612397465672E-2</c:v>
                </c:pt>
                <c:pt idx="269">
                  <c:v>2.4787612397465672E-2</c:v>
                </c:pt>
                <c:pt idx="270">
                  <c:v>3.595805982781375E-3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2.9875028771776335E-2</c:v>
                </c:pt>
                <c:pt idx="277">
                  <c:v>0</c:v>
                </c:pt>
                <c:pt idx="278">
                  <c:v>0</c:v>
                </c:pt>
                <c:pt idx="279">
                  <c:v>-3.6110321147682783E-9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0.1262783759082246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1.5572331044400596E-3</c:v>
                </c:pt>
                <c:pt idx="293">
                  <c:v>0</c:v>
                </c:pt>
                <c:pt idx="294">
                  <c:v>0.71087634451851267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8.5190352675541922E-4</c:v>
                </c:pt>
                <c:pt idx="306">
                  <c:v>2.7024434580789581E-3</c:v>
                </c:pt>
                <c:pt idx="307">
                  <c:v>2.8177315592484149E-3</c:v>
                </c:pt>
                <c:pt idx="308">
                  <c:v>2.7024434580789581E-3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3.595805982781375E-3</c:v>
                </c:pt>
                <c:pt idx="320">
                  <c:v>3.6110321147682783E-9</c:v>
                </c:pt>
                <c:pt idx="321">
                  <c:v>1.5572331044400596E-3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8.5189991572330451E-4</c:v>
                </c:pt>
                <c:pt idx="328">
                  <c:v>4.1022372713840922E-3</c:v>
                </c:pt>
                <c:pt idx="329">
                  <c:v>2.8177315592484149E-3</c:v>
                </c:pt>
                <c:pt idx="330">
                  <c:v>3.6110321147682783E-9</c:v>
                </c:pt>
                <c:pt idx="331">
                  <c:v>7.7116982159616972E-4</c:v>
                </c:pt>
                <c:pt idx="332">
                  <c:v>1.772517423249019E-2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7.7097491347599884E-4</c:v>
                </c:pt>
                <c:pt idx="339">
                  <c:v>7.7097491347599884E-4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1.6572966582226893</c:v>
                </c:pt>
                <c:pt idx="359">
                  <c:v>3.6110321147682783E-9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2.9023118022956686E-2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-3.1235427792745608E-6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6.164020986813107E-3</c:v>
                </c:pt>
                <c:pt idx="383">
                  <c:v>4.3260218538025908E-4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-3.1235427792745608E-6</c:v>
                </c:pt>
                <c:pt idx="398">
                  <c:v>2.5658878814920818E-3</c:v>
                </c:pt>
                <c:pt idx="399">
                  <c:v>2.5658878814920818E-3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8.3858892406159496E-3</c:v>
                </c:pt>
                <c:pt idx="408">
                  <c:v>0</c:v>
                </c:pt>
                <c:pt idx="409">
                  <c:v>0</c:v>
                </c:pt>
                <c:pt idx="410">
                  <c:v>3.0881433056765572E-3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3.190818821613736E-3</c:v>
                </c:pt>
                <c:pt idx="417">
                  <c:v>3.6110321147682783E-9</c:v>
                </c:pt>
                <c:pt idx="418">
                  <c:v>0</c:v>
                </c:pt>
                <c:pt idx="419">
                  <c:v>8.3858892406159496E-3</c:v>
                </c:pt>
                <c:pt idx="420">
                  <c:v>-2.5839046739305909E-2</c:v>
                </c:pt>
                <c:pt idx="421">
                  <c:v>0</c:v>
                </c:pt>
                <c:pt idx="422">
                  <c:v>0</c:v>
                </c:pt>
                <c:pt idx="423">
                  <c:v>3.6110321147682783E-9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3.6110321147682783E-9</c:v>
                </c:pt>
                <c:pt idx="434">
                  <c:v>1.2845057121356784E-3</c:v>
                </c:pt>
                <c:pt idx="435">
                  <c:v>0.23199187893877077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8.5190352675541922E-4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4.6952544129674761E-4</c:v>
                </c:pt>
                <c:pt idx="458">
                  <c:v>4.6952544129674761E-4</c:v>
                </c:pt>
                <c:pt idx="459">
                  <c:v>0</c:v>
                </c:pt>
                <c:pt idx="460">
                  <c:v>4.6952544129674761E-4</c:v>
                </c:pt>
                <c:pt idx="461">
                  <c:v>4.6952544129674761E-4</c:v>
                </c:pt>
                <c:pt idx="462">
                  <c:v>4.6952544129674761E-4</c:v>
                </c:pt>
                <c:pt idx="463">
                  <c:v>4.6952544129674761E-4</c:v>
                </c:pt>
                <c:pt idx="464">
                  <c:v>4.6952544129674761E-4</c:v>
                </c:pt>
                <c:pt idx="465">
                  <c:v>4.6952544129674761E-4</c:v>
                </c:pt>
                <c:pt idx="466">
                  <c:v>4.6952544129674761E-4</c:v>
                </c:pt>
                <c:pt idx="467">
                  <c:v>4.6952544129674761E-4</c:v>
                </c:pt>
                <c:pt idx="468">
                  <c:v>4.6952544129674761E-4</c:v>
                </c:pt>
                <c:pt idx="469">
                  <c:v>4.6952544129674761E-4</c:v>
                </c:pt>
                <c:pt idx="470">
                  <c:v>1.815805243158865E-5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3.6110321147682783E-9</c:v>
                </c:pt>
                <c:pt idx="481">
                  <c:v>0</c:v>
                </c:pt>
                <c:pt idx="482">
                  <c:v>5.7567067031058178E-3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3.8069218230133788E-3</c:v>
                </c:pt>
                <c:pt idx="514">
                  <c:v>4.2395240083936388E-3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1.9904670694253902E-4</c:v>
                </c:pt>
                <c:pt idx="520">
                  <c:v>0</c:v>
                </c:pt>
                <c:pt idx="521">
                  <c:v>2.4787605175401444E-2</c:v>
                </c:pt>
                <c:pt idx="522">
                  <c:v>0</c:v>
                </c:pt>
                <c:pt idx="523">
                  <c:v>2.4787601564369332E-2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1.9142318646306125</c:v>
                </c:pt>
                <c:pt idx="539">
                  <c:v>0</c:v>
                </c:pt>
                <c:pt idx="540">
                  <c:v>-0.13630797279600068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1.6667143600911005E-3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2.4787612397465672E-2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1.3612891406916496E-3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1.6105203231866522E-6</c:v>
                </c:pt>
                <c:pt idx="610">
                  <c:v>0</c:v>
                </c:pt>
                <c:pt idx="611">
                  <c:v>3.6110321147682783E-9</c:v>
                </c:pt>
                <c:pt idx="612">
                  <c:v>9.3176506995375956E-5</c:v>
                </c:pt>
                <c:pt idx="613">
                  <c:v>0</c:v>
                </c:pt>
                <c:pt idx="614">
                  <c:v>0</c:v>
                </c:pt>
                <c:pt idx="615">
                  <c:v>9.3176506995375956E-5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6.9494791957848379E-4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4.2395240083936388E-3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1.0209484997892187E-2</c:v>
                </c:pt>
                <c:pt idx="673">
                  <c:v>0</c:v>
                </c:pt>
                <c:pt idx="674">
                  <c:v>3.9200637158083385E-3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3.6110321147682783E-9</c:v>
                </c:pt>
                <c:pt idx="680">
                  <c:v>0</c:v>
                </c:pt>
                <c:pt idx="681">
                  <c:v>0</c:v>
                </c:pt>
                <c:pt idx="682">
                  <c:v>5.5815537528825745E-5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3.190818821613736E-3</c:v>
                </c:pt>
                <c:pt idx="689">
                  <c:v>3.190818821613736E-3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4.2395240083936388E-3</c:v>
                </c:pt>
                <c:pt idx="695">
                  <c:v>4.2395240083936388E-3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9.390508825934949E-4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5.4252476561347657E-3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2.8171526477804849E-3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5.5815537528825745E-5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5.5815537528825745E-5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1.7864425384000082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1.6572966618337215</c:v>
                </c:pt>
                <c:pt idx="835">
                  <c:v>3.6110321147682783E-9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1.815805243158865E-5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1.9142318646306125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1.6105203231866522E-6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1.6572966618337215</c:v>
                </c:pt>
                <c:pt idx="899">
                  <c:v>0</c:v>
                </c:pt>
                <c:pt idx="900">
                  <c:v>9.3755418464812314E-6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7.3780576397586589E-2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3.7046893553475985E-2</c:v>
                </c:pt>
                <c:pt idx="925">
                  <c:v>0.54107611871392869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8.5234124030548111E-3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8.9811760576676448E-4</c:v>
                </c:pt>
                <c:pt idx="958">
                  <c:v>0</c:v>
                </c:pt>
                <c:pt idx="959">
                  <c:v>1.3272604421223432E-6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0.11235738303511557</c:v>
                </c:pt>
                <c:pt idx="967">
                  <c:v>0</c:v>
                </c:pt>
                <c:pt idx="968">
                  <c:v>0</c:v>
                </c:pt>
                <c:pt idx="969">
                  <c:v>0.202465493563904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8.195324917589725E-3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1.2927657904190993E-3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2.2252792093455449E-5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7.2220642295365566E-9</c:v>
                </c:pt>
                <c:pt idx="1106">
                  <c:v>7.2220642295365566E-9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0.95740062468860498</c:v>
                </c:pt>
                <c:pt idx="1114">
                  <c:v>0</c:v>
                </c:pt>
                <c:pt idx="1115">
                  <c:v>-3.6110321147682783E-9</c:v>
                </c:pt>
                <c:pt idx="1116">
                  <c:v>5.2653078793062202E-3</c:v>
                </c:pt>
                <c:pt idx="1117">
                  <c:v>0</c:v>
                </c:pt>
                <c:pt idx="1118">
                  <c:v>0</c:v>
                </c:pt>
                <c:pt idx="1119">
                  <c:v>9.5434534181461264E-2</c:v>
                </c:pt>
                <c:pt idx="1120">
                  <c:v>9.3755418464812314E-6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0.37958694992115333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5.7314188014328466E-3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1.7725343863385555E-2</c:v>
                </c:pt>
                <c:pt idx="1141">
                  <c:v>1.0833096344304834E-8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-7.1508246075346144E-2</c:v>
                </c:pt>
                <c:pt idx="1152">
                  <c:v>-1.7725343863385555E-2</c:v>
                </c:pt>
                <c:pt idx="1153">
                  <c:v>7.7418478480902417E-3</c:v>
                </c:pt>
                <c:pt idx="1154">
                  <c:v>5.0789130583894686E-3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3.6110321147682783E-9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7.3780576397586589E-2</c:v>
                </c:pt>
                <c:pt idx="1173">
                  <c:v>3.5272488968825797E-3</c:v>
                </c:pt>
                <c:pt idx="1174">
                  <c:v>3.6110321147682783E-9</c:v>
                </c:pt>
                <c:pt idx="1175">
                  <c:v>2.5004543383725614E-3</c:v>
                </c:pt>
                <c:pt idx="1176">
                  <c:v>0</c:v>
                </c:pt>
                <c:pt idx="1177">
                  <c:v>3.4017731116890541E-2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1.4896578171119803E-2</c:v>
                </c:pt>
                <c:pt idx="1184">
                  <c:v>0</c:v>
                </c:pt>
                <c:pt idx="1185">
                  <c:v>1.8504745919645058</c:v>
                </c:pt>
                <c:pt idx="1186">
                  <c:v>2.8177315592484149E-3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1.9904670694253902E-4</c:v>
                </c:pt>
                <c:pt idx="1245">
                  <c:v>0</c:v>
                </c:pt>
                <c:pt idx="1246">
                  <c:v>0</c:v>
                </c:pt>
                <c:pt idx="1247">
                  <c:v>8.0799986956675424E-2</c:v>
                </c:pt>
                <c:pt idx="1248">
                  <c:v>-2.7170108810897643E-2</c:v>
                </c:pt>
                <c:pt idx="1249">
                  <c:v>0</c:v>
                </c:pt>
                <c:pt idx="1250">
                  <c:v>1.3997938133051351E-3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3.7735298434386007E-2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2.5004543383725614E-3</c:v>
                </c:pt>
                <c:pt idx="1267">
                  <c:v>0</c:v>
                </c:pt>
                <c:pt idx="1268">
                  <c:v>3.9635209639998512E-3</c:v>
                </c:pt>
                <c:pt idx="1269">
                  <c:v>3.6110321147682783E-9</c:v>
                </c:pt>
                <c:pt idx="1270">
                  <c:v>0.12343120585294586</c:v>
                </c:pt>
                <c:pt idx="1271">
                  <c:v>0</c:v>
                </c:pt>
                <c:pt idx="1272">
                  <c:v>0</c:v>
                </c:pt>
                <c:pt idx="1273">
                  <c:v>2.8177315592484149E-3</c:v>
                </c:pt>
                <c:pt idx="1274">
                  <c:v>0</c:v>
                </c:pt>
                <c:pt idx="1275">
                  <c:v>1.3426424056103739E-2</c:v>
                </c:pt>
                <c:pt idx="1276">
                  <c:v>2.1373496869515014E-2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3.6110321147682783E-9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4.4895452674283194E-2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4.0588330309698113E-3</c:v>
                </c:pt>
                <c:pt idx="1299">
                  <c:v>0</c:v>
                </c:pt>
                <c:pt idx="1300">
                  <c:v>3.6110321147682783E-9</c:v>
                </c:pt>
                <c:pt idx="1301">
                  <c:v>0</c:v>
                </c:pt>
                <c:pt idx="1302">
                  <c:v>7.2065561485180854E-2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1.3997938133051351E-3</c:v>
                </c:pt>
                <c:pt idx="1307">
                  <c:v>3.4017731116890541E-2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9.390508825934949E-4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0.54107611871392869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0.85416246089660164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4.3726454067801205E-3</c:v>
                </c:pt>
                <c:pt idx="1400">
                  <c:v>4.3726454067801205E-3</c:v>
                </c:pt>
                <c:pt idx="1401">
                  <c:v>4.3726454067801205E-3</c:v>
                </c:pt>
                <c:pt idx="1402">
                  <c:v>0</c:v>
                </c:pt>
                <c:pt idx="1403">
                  <c:v>0.10004379279197186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3.6110321147682783E-9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4.3726454067801205E-3</c:v>
                </c:pt>
                <c:pt idx="1432">
                  <c:v>0</c:v>
                </c:pt>
                <c:pt idx="1433">
                  <c:v>1.2845057121356784E-3</c:v>
                </c:pt>
                <c:pt idx="1434">
                  <c:v>1.2845057121356784E-3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2.8171526477804849E-3</c:v>
                </c:pt>
                <c:pt idx="1441">
                  <c:v>2.8171526477804849E-3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8.3858856295838356E-3</c:v>
                </c:pt>
                <c:pt idx="1451">
                  <c:v>3.6110321147682783E-9</c:v>
                </c:pt>
                <c:pt idx="1452">
                  <c:v>8.5190352675541922E-4</c:v>
                </c:pt>
                <c:pt idx="1453">
                  <c:v>7.5339857138605332E-3</c:v>
                </c:pt>
                <c:pt idx="1454">
                  <c:v>1.2845057121356784E-3</c:v>
                </c:pt>
                <c:pt idx="1455">
                  <c:v>5.3765630874120521E-2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0.16615657247692331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3.6110321147682783E-9</c:v>
                </c:pt>
                <c:pt idx="1491">
                  <c:v>3.6110321147682783E-9</c:v>
                </c:pt>
                <c:pt idx="1492">
                  <c:v>7.2220642295365566E-9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1.2845057121356784E-3</c:v>
                </c:pt>
                <c:pt idx="1498">
                  <c:v>1.2845057121356784E-3</c:v>
                </c:pt>
                <c:pt idx="1499">
                  <c:v>6.164020986813107E-3</c:v>
                </c:pt>
                <c:pt idx="1500">
                  <c:v>3.9200637158083385E-3</c:v>
                </c:pt>
                <c:pt idx="1501">
                  <c:v>0</c:v>
                </c:pt>
                <c:pt idx="1502">
                  <c:v>0</c:v>
                </c:pt>
                <c:pt idx="1503">
                  <c:v>3.9200637158083385E-3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4.1022372713840922E-3</c:v>
                </c:pt>
                <c:pt idx="1509">
                  <c:v>1.3997938133051351E-3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9.390508825934949E-4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5.3310262845360137E-3</c:v>
                </c:pt>
                <c:pt idx="1531">
                  <c:v>5.3310262845360137E-3</c:v>
                </c:pt>
                <c:pt idx="1532">
                  <c:v>5.3310262845360137E-3</c:v>
                </c:pt>
                <c:pt idx="1533">
                  <c:v>5.3310262845360137E-3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1.0209484997892187E-2</c:v>
                </c:pt>
                <c:pt idx="1541">
                  <c:v>3.9200637158083385E-3</c:v>
                </c:pt>
                <c:pt idx="1542">
                  <c:v>0</c:v>
                </c:pt>
                <c:pt idx="1543">
                  <c:v>0</c:v>
                </c:pt>
                <c:pt idx="1544">
                  <c:v>8.5234124030548111E-3</c:v>
                </c:pt>
                <c:pt idx="1545">
                  <c:v>5.7314188014328466E-3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-3.6110321147682783E-9</c:v>
                </c:pt>
                <c:pt idx="1551">
                  <c:v>0</c:v>
                </c:pt>
                <c:pt idx="1552">
                  <c:v>3.6110321147682783E-9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5.3310262845360137E-3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3.6110321147682783E-9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4.6952544129674761E-4</c:v>
                </c:pt>
                <c:pt idx="1575">
                  <c:v>4.6952544129674761E-4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1.5125121123419719E-4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3.6110321147682783E-9</c:v>
                </c:pt>
                <c:pt idx="1598">
                  <c:v>0</c:v>
                </c:pt>
                <c:pt idx="1599">
                  <c:v>0</c:v>
                </c:pt>
                <c:pt idx="1600">
                  <c:v>3.6110321147682783E-9</c:v>
                </c:pt>
                <c:pt idx="1601">
                  <c:v>0</c:v>
                </c:pt>
                <c:pt idx="1602">
                  <c:v>5.4252476561347657E-3</c:v>
                </c:pt>
                <c:pt idx="1603">
                  <c:v>5.4252476561347657E-3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-3.4770927948769279E-2</c:v>
                </c:pt>
                <c:pt idx="1617">
                  <c:v>4.6128013129504118E-3</c:v>
                </c:pt>
                <c:pt idx="1618">
                  <c:v>0</c:v>
                </c:pt>
                <c:pt idx="1619">
                  <c:v>0</c:v>
                </c:pt>
                <c:pt idx="1620">
                  <c:v>4.2978887542298574E-2</c:v>
                </c:pt>
                <c:pt idx="1621">
                  <c:v>0</c:v>
                </c:pt>
                <c:pt idx="1622">
                  <c:v>3.6110321147682783E-9</c:v>
                </c:pt>
                <c:pt idx="1623">
                  <c:v>0</c:v>
                </c:pt>
                <c:pt idx="1624">
                  <c:v>1.5572331044400596E-3</c:v>
                </c:pt>
                <c:pt idx="1625">
                  <c:v>3.6110321147682783E-9</c:v>
                </c:pt>
                <c:pt idx="1626">
                  <c:v>2.3159565131679882E-3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2.8171526477804849E-3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8.9811760576676448E-4</c:v>
                </c:pt>
                <c:pt idx="1637">
                  <c:v>0</c:v>
                </c:pt>
                <c:pt idx="1638">
                  <c:v>3.6110321147682783E-9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1.5125121123419719E-4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1.3272604421223432E-6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7.8428214905978635E-2</c:v>
                </c:pt>
                <c:pt idx="1652">
                  <c:v>1.7725343863385555E-2</c:v>
                </c:pt>
                <c:pt idx="1653">
                  <c:v>6.9401442590314458E-2</c:v>
                </c:pt>
                <c:pt idx="1654">
                  <c:v>1.7725343863385555E-2</c:v>
                </c:pt>
                <c:pt idx="1655">
                  <c:v>9.0267723156641725E-3</c:v>
                </c:pt>
                <c:pt idx="1656">
                  <c:v>2.3159565131679882E-3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9.4898133226296831E-3</c:v>
                </c:pt>
                <c:pt idx="1703">
                  <c:v>0</c:v>
                </c:pt>
                <c:pt idx="1704">
                  <c:v>1.8230628162147256E-2</c:v>
                </c:pt>
                <c:pt idx="1705">
                  <c:v>6.5727992572142408E-4</c:v>
                </c:pt>
                <c:pt idx="1706">
                  <c:v>5.5815537528825745E-5</c:v>
                </c:pt>
                <c:pt idx="1707">
                  <c:v>3.7671604889174589E-5</c:v>
                </c:pt>
                <c:pt idx="1708">
                  <c:v>5.5815537528825745E-5</c:v>
                </c:pt>
                <c:pt idx="1709">
                  <c:v>3.7671604889174589E-5</c:v>
                </c:pt>
                <c:pt idx="1710">
                  <c:v>5.5815537528825745E-5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0.11235738303511557</c:v>
                </c:pt>
                <c:pt idx="1734">
                  <c:v>4.8722339883096162E-2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3.6110321147682783E-9</c:v>
                </c:pt>
                <c:pt idx="1762">
                  <c:v>0</c:v>
                </c:pt>
                <c:pt idx="1763">
                  <c:v>0</c:v>
                </c:pt>
                <c:pt idx="1764">
                  <c:v>0.202465493563904</c:v>
                </c:pt>
                <c:pt idx="1765">
                  <c:v>0.18979347496057666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2.5951408850191312E-4</c:v>
                </c:pt>
                <c:pt idx="1770">
                  <c:v>0</c:v>
                </c:pt>
                <c:pt idx="1771">
                  <c:v>2.0174814695547376E-2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2.5658878814920818E-3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5.3310262845360137E-3</c:v>
                </c:pt>
                <c:pt idx="1798">
                  <c:v>0</c:v>
                </c:pt>
                <c:pt idx="1799">
                  <c:v>3.190818821613736E-3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1.0267945585100185E-3</c:v>
                </c:pt>
                <c:pt idx="1805">
                  <c:v>3.595805982781375E-3</c:v>
                </c:pt>
                <c:pt idx="1806">
                  <c:v>3.595805982781375E-3</c:v>
                </c:pt>
                <c:pt idx="1807">
                  <c:v>0</c:v>
                </c:pt>
                <c:pt idx="1808">
                  <c:v>3.190818821613736E-3</c:v>
                </c:pt>
                <c:pt idx="1809">
                  <c:v>3.6110321147682783E-9</c:v>
                </c:pt>
                <c:pt idx="1810">
                  <c:v>3.5272488968825797E-3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8.5190352675541922E-4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8.1044307083156603E-2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2.9160257804245797E-2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0.96266593256791133</c:v>
                </c:pt>
                <c:pt idx="1881">
                  <c:v>0</c:v>
                </c:pt>
                <c:pt idx="1882">
                  <c:v>6.4032053564496969E-2</c:v>
                </c:pt>
                <c:pt idx="1883">
                  <c:v>0</c:v>
                </c:pt>
                <c:pt idx="1884">
                  <c:v>0.95073098741872863</c:v>
                </c:pt>
                <c:pt idx="1885">
                  <c:v>1.8504745919645058</c:v>
                </c:pt>
                <c:pt idx="1886">
                  <c:v>3.4017731116890541E-2</c:v>
                </c:pt>
                <c:pt idx="1887">
                  <c:v>0</c:v>
                </c:pt>
                <c:pt idx="1888">
                  <c:v>1.7864425384000082</c:v>
                </c:pt>
                <c:pt idx="1889">
                  <c:v>1.4896578171119803E-2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2.502450725078115E-3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8.195324917589725E-3</c:v>
                </c:pt>
                <c:pt idx="1938">
                  <c:v>0.40526855144600693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5.4252476561347657E-3</c:v>
                </c:pt>
                <c:pt idx="1963">
                  <c:v>0</c:v>
                </c:pt>
                <c:pt idx="1964">
                  <c:v>0</c:v>
                </c:pt>
                <c:pt idx="1965">
                  <c:v>2.8171526477804849E-3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3.6110321147682783E-9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3.6110321147682783E-9</c:v>
                </c:pt>
                <c:pt idx="1985">
                  <c:v>0</c:v>
                </c:pt>
                <c:pt idx="1986">
                  <c:v>0</c:v>
                </c:pt>
                <c:pt idx="1987">
                  <c:v>0.15495776996016564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1.304471097935263E-3</c:v>
                </c:pt>
                <c:pt idx="1994">
                  <c:v>2.502450725078115E-3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2.8177315592484149E-3</c:v>
                </c:pt>
                <c:pt idx="2000">
                  <c:v>6.164020986813107E-3</c:v>
                </c:pt>
                <c:pt idx="2001">
                  <c:v>2.8177315592484149E-3</c:v>
                </c:pt>
                <c:pt idx="2002">
                  <c:v>1.2845057121356784E-3</c:v>
                </c:pt>
                <c:pt idx="2003">
                  <c:v>2.8177315592484149E-3</c:v>
                </c:pt>
                <c:pt idx="2004">
                  <c:v>1.2845057121356784E-3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2.8177315592484149E-3</c:v>
                </c:pt>
                <c:pt idx="2024">
                  <c:v>1.2845057121356784E-3</c:v>
                </c:pt>
                <c:pt idx="2025">
                  <c:v>7.1863872322426461E-4</c:v>
                </c:pt>
                <c:pt idx="2026">
                  <c:v>7.1863872322426461E-4</c:v>
                </c:pt>
                <c:pt idx="2027">
                  <c:v>0</c:v>
                </c:pt>
                <c:pt idx="2028">
                  <c:v>0</c:v>
                </c:pt>
                <c:pt idx="2029">
                  <c:v>1.3457077079810933E-2</c:v>
                </c:pt>
                <c:pt idx="2030">
                  <c:v>0</c:v>
                </c:pt>
                <c:pt idx="2031">
                  <c:v>4.2395240083936388E-3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6.4032053564496969E-2</c:v>
                </c:pt>
                <c:pt idx="2036">
                  <c:v>6.4032053564496969E-2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1.777963493994253</c:v>
                </c:pt>
                <c:pt idx="2063">
                  <c:v>0</c:v>
                </c:pt>
                <c:pt idx="2064">
                  <c:v>1.686319779856678</c:v>
                </c:pt>
                <c:pt idx="2065">
                  <c:v>0</c:v>
                </c:pt>
                <c:pt idx="2066">
                  <c:v>0</c:v>
                </c:pt>
                <c:pt idx="2067">
                  <c:v>1.1291371664951703E-2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5.5815537528825745E-5</c:v>
                </c:pt>
                <c:pt idx="2093">
                  <c:v>0</c:v>
                </c:pt>
                <c:pt idx="2094">
                  <c:v>3.7671604889174589E-5</c:v>
                </c:pt>
                <c:pt idx="2095">
                  <c:v>0</c:v>
                </c:pt>
                <c:pt idx="2096">
                  <c:v>3.7671604889174589E-5</c:v>
                </c:pt>
                <c:pt idx="2097">
                  <c:v>0</c:v>
                </c:pt>
                <c:pt idx="2098">
                  <c:v>5.5815537528825745E-5</c:v>
                </c:pt>
                <c:pt idx="2099">
                  <c:v>0</c:v>
                </c:pt>
                <c:pt idx="2100">
                  <c:v>0</c:v>
                </c:pt>
                <c:pt idx="2101">
                  <c:v>1.2293928021921859E-2</c:v>
                </c:pt>
                <c:pt idx="2102">
                  <c:v>2.1723803094968682E-2</c:v>
                </c:pt>
                <c:pt idx="2103">
                  <c:v>4.3726454067801205E-3</c:v>
                </c:pt>
                <c:pt idx="2104">
                  <c:v>4.3726454067801205E-3</c:v>
                </c:pt>
                <c:pt idx="2105">
                  <c:v>8.5189991572330451E-4</c:v>
                </c:pt>
                <c:pt idx="2106">
                  <c:v>0</c:v>
                </c:pt>
                <c:pt idx="2107">
                  <c:v>4.6952544129674761E-4</c:v>
                </c:pt>
                <c:pt idx="2108">
                  <c:v>3.6110321147682783E-9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3.6110321147682783E-9</c:v>
                </c:pt>
                <c:pt idx="2117">
                  <c:v>-1.5888541304980424E-7</c:v>
                </c:pt>
                <c:pt idx="2118">
                  <c:v>0</c:v>
                </c:pt>
                <c:pt idx="2119">
                  <c:v>-2.7170108810897643E-2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4.2395240083936388E-3</c:v>
                </c:pt>
                <c:pt idx="2128">
                  <c:v>4.2395240083936388E-3</c:v>
                </c:pt>
                <c:pt idx="2129">
                  <c:v>0</c:v>
                </c:pt>
                <c:pt idx="2130">
                  <c:v>0</c:v>
                </c:pt>
                <c:pt idx="2131">
                  <c:v>8.5190352675541922E-4</c:v>
                </c:pt>
                <c:pt idx="2132">
                  <c:v>0</c:v>
                </c:pt>
                <c:pt idx="2133">
                  <c:v>1.2927657904190993E-3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4.6952544129674761E-4</c:v>
                </c:pt>
                <c:pt idx="2149">
                  <c:v>0</c:v>
                </c:pt>
                <c:pt idx="2150">
                  <c:v>0</c:v>
                </c:pt>
                <c:pt idx="2151">
                  <c:v>3.9635209639998512E-3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4.3077432367932978E-3</c:v>
                </c:pt>
                <c:pt idx="2162">
                  <c:v>0</c:v>
                </c:pt>
                <c:pt idx="2163">
                  <c:v>2.8466146039808635E-3</c:v>
                </c:pt>
                <c:pt idx="2164">
                  <c:v>7.7116982159616972E-4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8.2667296261898626E-3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3.6110321147682783E-9</c:v>
                </c:pt>
                <c:pt idx="2187">
                  <c:v>0</c:v>
                </c:pt>
                <c:pt idx="2188">
                  <c:v>3.8268872088129623E-3</c:v>
                </c:pt>
                <c:pt idx="2189">
                  <c:v>7.5339857138605332E-3</c:v>
                </c:pt>
                <c:pt idx="2190">
                  <c:v>3.8268872088129623E-3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8.2667260151577486E-3</c:v>
                </c:pt>
                <c:pt idx="2197">
                  <c:v>4.0272020067641098E-3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5.5815537528825745E-5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0.88288274789335541</c:v>
                </c:pt>
                <c:pt idx="2208">
                  <c:v>0</c:v>
                </c:pt>
                <c:pt idx="2209">
                  <c:v>0</c:v>
                </c:pt>
                <c:pt idx="2210">
                  <c:v>1.0388778115914201E-3</c:v>
                </c:pt>
                <c:pt idx="2211">
                  <c:v>0</c:v>
                </c:pt>
                <c:pt idx="2212">
                  <c:v>0</c:v>
                </c:pt>
                <c:pt idx="2213">
                  <c:v>2.034520820270302E-4</c:v>
                </c:pt>
                <c:pt idx="2214">
                  <c:v>2.034520820270302E-4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5.7314188014328466E-3</c:v>
                </c:pt>
                <c:pt idx="2221">
                  <c:v>6.164020986813107E-3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1.304471097935263E-3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1.9904670694253902E-4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3.190818821613736E-3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-3.1235427792745608E-6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1.0209484997892187E-2</c:v>
                </c:pt>
                <c:pt idx="2277">
                  <c:v>5.3310262845360137E-3</c:v>
                </c:pt>
                <c:pt idx="2278">
                  <c:v>1.0209484997892187E-2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2.2252792093455449E-5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</c:numCache>
            </c:numRef>
          </c:xVal>
          <c:yVal>
            <c:numRef>
              <c:f>'MFA-derived fluxes'!$D$2:$D$2309</c:f>
              <c:numCache>
                <c:formatCode>General</c:formatCode>
                <c:ptCount val="2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4.9633675587802281E-2</c:v>
                </c:pt>
                <c:pt idx="4">
                  <c:v>0</c:v>
                </c:pt>
                <c:pt idx="5">
                  <c:v>0</c:v>
                </c:pt>
                <c:pt idx="6">
                  <c:v>1.3061478311366118E-2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4.2169352217617768E-4</c:v>
                </c:pt>
                <c:pt idx="19">
                  <c:v>0</c:v>
                </c:pt>
                <c:pt idx="20">
                  <c:v>0</c:v>
                </c:pt>
                <c:pt idx="21">
                  <c:v>1.9790448225238604E-2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1.9790448225238604E-2</c:v>
                </c:pt>
                <c:pt idx="119">
                  <c:v>1.9790448225238604E-2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2.3274812759854133E-2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1.1734332811037241E-3</c:v>
                </c:pt>
                <c:pt idx="186">
                  <c:v>0</c:v>
                </c:pt>
                <c:pt idx="187">
                  <c:v>0</c:v>
                </c:pt>
                <c:pt idx="188">
                  <c:v>1.1734332811037241E-3</c:v>
                </c:pt>
                <c:pt idx="189">
                  <c:v>0.10694421653893678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1.7742087892535847E-2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0.19811356148231085</c:v>
                </c:pt>
                <c:pt idx="198">
                  <c:v>-1.7128111138314381E-8</c:v>
                </c:pt>
                <c:pt idx="199">
                  <c:v>4.6207778248939776E-2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0.33832974080783801</c:v>
                </c:pt>
                <c:pt idx="269">
                  <c:v>0.33832974080783801</c:v>
                </c:pt>
                <c:pt idx="270">
                  <c:v>0.10694421653893678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3.8556218727077416E-3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0.22842521538371333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1.0139935657085517E-2</c:v>
                </c:pt>
                <c:pt idx="293">
                  <c:v>0</c:v>
                </c:pt>
                <c:pt idx="294">
                  <c:v>14.505627470675117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3.8556390008188785E-3</c:v>
                </c:pt>
                <c:pt idx="306">
                  <c:v>1.1204906465985525E-2</c:v>
                </c:pt>
                <c:pt idx="307">
                  <c:v>1.3650598384232542E-2</c:v>
                </c:pt>
                <c:pt idx="308">
                  <c:v>1.1204906465985525E-2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0.10694421653893678</c:v>
                </c:pt>
                <c:pt idx="320">
                  <c:v>0</c:v>
                </c:pt>
                <c:pt idx="321">
                  <c:v>1.0139935657085517E-2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3.8556390008188785E-3</c:v>
                </c:pt>
                <c:pt idx="328">
                  <c:v>1.9464255536077491E-2</c:v>
                </c:pt>
                <c:pt idx="329">
                  <c:v>1.3650598384232542E-2</c:v>
                </c:pt>
                <c:pt idx="330">
                  <c:v>0</c:v>
                </c:pt>
                <c:pt idx="331">
                  <c:v>0.24757094101245591</c:v>
                </c:pt>
                <c:pt idx="332">
                  <c:v>0.56705253939338529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-8.0563419148190499E-2</c:v>
                </c:pt>
                <c:pt idx="339">
                  <c:v>8.0563419148190499E-2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0.11195094677362048</c:v>
                </c:pt>
                <c:pt idx="383">
                  <c:v>1.9579456452622932E-3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-1.4363345673642822E-8</c:v>
                </c:pt>
                <c:pt idx="398">
                  <c:v>1.1627227434580457E-2</c:v>
                </c:pt>
                <c:pt idx="399">
                  <c:v>1.1627227434580457E-2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3.7954212124679677E-2</c:v>
                </c:pt>
                <c:pt idx="408">
                  <c:v>0</c:v>
                </c:pt>
                <c:pt idx="409">
                  <c:v>0</c:v>
                </c:pt>
                <c:pt idx="410">
                  <c:v>1.3976791073393639E-2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1.430009427411298E-2</c:v>
                </c:pt>
                <c:pt idx="417">
                  <c:v>0.38596307606578156</c:v>
                </c:pt>
                <c:pt idx="418">
                  <c:v>0</c:v>
                </c:pt>
                <c:pt idx="419">
                  <c:v>3.7954212124679677E-2</c:v>
                </c:pt>
                <c:pt idx="420">
                  <c:v>0.26927245523540289</c:v>
                </c:pt>
                <c:pt idx="421">
                  <c:v>0</c:v>
                </c:pt>
                <c:pt idx="422">
                  <c:v>0</c:v>
                </c:pt>
                <c:pt idx="423">
                  <c:v>0.38596307606578156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5.8136571518449575E-3</c:v>
                </c:pt>
                <c:pt idx="435">
                  <c:v>4.7313688878403948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3.8556390008188785E-3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3.8791354599756874E-3</c:v>
                </c:pt>
                <c:pt idx="458">
                  <c:v>3.8791308682853648E-3</c:v>
                </c:pt>
                <c:pt idx="459">
                  <c:v>0</c:v>
                </c:pt>
                <c:pt idx="460">
                  <c:v>3.8791354599756874E-3</c:v>
                </c:pt>
                <c:pt idx="461">
                  <c:v>3.8791354599756874E-3</c:v>
                </c:pt>
                <c:pt idx="462">
                  <c:v>3.8791354599756874E-3</c:v>
                </c:pt>
                <c:pt idx="463">
                  <c:v>3.8791354599756874E-3</c:v>
                </c:pt>
                <c:pt idx="464">
                  <c:v>3.8791354599756874E-3</c:v>
                </c:pt>
                <c:pt idx="465">
                  <c:v>3.8791354599756874E-3</c:v>
                </c:pt>
                <c:pt idx="466">
                  <c:v>3.8791354599756874E-3</c:v>
                </c:pt>
                <c:pt idx="467">
                  <c:v>3.8791354599756874E-3</c:v>
                </c:pt>
                <c:pt idx="468">
                  <c:v>3.8791308682853648E-3</c:v>
                </c:pt>
                <c:pt idx="469">
                  <c:v>3.8791354599756874E-3</c:v>
                </c:pt>
                <c:pt idx="470">
                  <c:v>9.3242412228088808E-5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2.5927321708693437E-2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1.7230052188683002E-2</c:v>
                </c:pt>
                <c:pt idx="514">
                  <c:v>1.9187997833945303E-2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1.1734332811037241E-3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0.19811356148231085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3.1205967300881126</c:v>
                </c:pt>
                <c:pt idx="539">
                  <c:v>0</c:v>
                </c:pt>
                <c:pt idx="540">
                  <c:v>-1.7033499188299281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1.0432423204409532E-2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0.5364433022901488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9.3301141896755032E-3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8.2656570715413093E-6</c:v>
                </c:pt>
                <c:pt idx="610">
                  <c:v>0</c:v>
                </c:pt>
                <c:pt idx="611">
                  <c:v>0</c:v>
                </c:pt>
                <c:pt idx="612">
                  <c:v>4.2169352217617768E-4</c:v>
                </c:pt>
                <c:pt idx="613">
                  <c:v>0</c:v>
                </c:pt>
                <c:pt idx="614">
                  <c:v>0</c:v>
                </c:pt>
                <c:pt idx="615">
                  <c:v>4.2169352217617768E-4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4.0646750617642493E-3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1.9187997833945303E-2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4.6207778248939776E-2</c:v>
                </c:pt>
                <c:pt idx="673">
                  <c:v>0</c:v>
                </c:pt>
                <c:pt idx="674">
                  <c:v>1.7742087892535847E-2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4.3568713458676944E-4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1.430009427411298E-2</c:v>
                </c:pt>
                <c:pt idx="689">
                  <c:v>1.430009427411298E-2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1.9187997833945303E-2</c:v>
                </c:pt>
                <c:pt idx="695">
                  <c:v>1.9187997833945303E-2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7.7582709199513792E-3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3.5538700119438354E-2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2.3274812759854133E-2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4.3568713458676944E-4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4.3568713458676944E-4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0.77060159266072981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8.260576411240525E-2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9.3242412228088808E-5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3.1205967300881126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8.2656570715413093E-6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4.8143827153538835E-5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0.48109215930148402</c:v>
                </c:pt>
                <c:pt idx="925">
                  <c:v>4.5088390050312759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4.3768104309086946E-2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4.6118741171011233E-3</c:v>
                </c:pt>
                <c:pt idx="958">
                  <c:v>0</c:v>
                </c:pt>
                <c:pt idx="959">
                  <c:v>6.8155417958323068E-6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0.51697071736392608</c:v>
                </c:pt>
                <c:pt idx="967">
                  <c:v>0</c:v>
                </c:pt>
                <c:pt idx="968">
                  <c:v>0</c:v>
                </c:pt>
                <c:pt idx="969">
                  <c:v>2.9949049653068922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3.9676130688605565E-2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6.1194864634919865E-3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1.1426908372586931E-4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0.54745869536705771</c:v>
                </c:pt>
                <c:pt idx="1114">
                  <c:v>0</c:v>
                </c:pt>
                <c:pt idx="1115">
                  <c:v>0</c:v>
                </c:pt>
                <c:pt idx="1116">
                  <c:v>0.17790451218833983</c:v>
                </c:pt>
                <c:pt idx="1117">
                  <c:v>0</c:v>
                </c:pt>
                <c:pt idx="1118">
                  <c:v>0</c:v>
                </c:pt>
                <c:pt idx="1119">
                  <c:v>0.88146619124976877</c:v>
                </c:pt>
                <c:pt idx="1120">
                  <c:v>4.8143827153538835E-5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5.6513726681233596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5.6287615291476154</c:v>
                </c:pt>
                <c:pt idx="1129">
                  <c:v>0</c:v>
                </c:pt>
                <c:pt idx="1130">
                  <c:v>0.10999300112835821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0.1708940826804124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-0.59669997198102243</c:v>
                </c:pt>
                <c:pt idx="1152">
                  <c:v>-0.1708940826804124</c:v>
                </c:pt>
                <c:pt idx="1153">
                  <c:v>3.6482732284798508E-2</c:v>
                </c:pt>
                <c:pt idx="1154">
                  <c:v>0.24757094101245591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1.2711638001101323E-2</c:v>
                </c:pt>
                <c:pt idx="1174">
                  <c:v>8.260576411240525E-2</c:v>
                </c:pt>
                <c:pt idx="1175">
                  <c:v>4.2737249590154814E-7</c:v>
                </c:pt>
                <c:pt idx="1176">
                  <c:v>0</c:v>
                </c:pt>
                <c:pt idx="1177">
                  <c:v>0.63499171113962449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8.97048560129967E-2</c:v>
                </c:pt>
                <c:pt idx="1184">
                  <c:v>0</c:v>
                </c:pt>
                <c:pt idx="1185">
                  <c:v>1.330107066028984</c:v>
                </c:pt>
                <c:pt idx="1186">
                  <c:v>1.3650598384232542E-2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1.1734332811037241E-3</c:v>
                </c:pt>
                <c:pt idx="1245">
                  <c:v>0</c:v>
                </c:pt>
                <c:pt idx="1246">
                  <c:v>0</c:v>
                </c:pt>
                <c:pt idx="1247">
                  <c:v>0.6438243941716475</c:v>
                </c:pt>
                <c:pt idx="1248">
                  <c:v>-0.21625042591489821</c:v>
                </c:pt>
                <c:pt idx="1249">
                  <c:v>0</c:v>
                </c:pt>
                <c:pt idx="1250">
                  <c:v>8.2593377476983584E-3</c:v>
                </c:pt>
                <c:pt idx="1251">
                  <c:v>-1.1322393615907585E-8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0.11705454477408857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4.2737249590154814E-7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0.8874085044633977</c:v>
                </c:pt>
                <c:pt idx="1271">
                  <c:v>0</c:v>
                </c:pt>
                <c:pt idx="1272">
                  <c:v>0</c:v>
                </c:pt>
                <c:pt idx="1273">
                  <c:v>1.3650598384232542E-2</c:v>
                </c:pt>
                <c:pt idx="1274">
                  <c:v>0</c:v>
                </c:pt>
                <c:pt idx="1275">
                  <c:v>0</c:v>
                </c:pt>
                <c:pt idx="1276">
                  <c:v>0.11466911595875345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0.38714450859531063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1.7025150900225317E-2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0.60339493451020865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8.2593490700919748E-3</c:v>
                </c:pt>
                <c:pt idx="1307">
                  <c:v>0.63499171113962449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7.7582709199513766E-3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4.5088390050312759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18.553268469438052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1.9790448225238604E-2</c:v>
                </c:pt>
                <c:pt idx="1400">
                  <c:v>1.9790448225238604E-2</c:v>
                </c:pt>
                <c:pt idx="1401">
                  <c:v>1.9790448225238604E-2</c:v>
                </c:pt>
                <c:pt idx="1402">
                  <c:v>0</c:v>
                </c:pt>
                <c:pt idx="1403">
                  <c:v>0.37888995438835954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1.9790448225238604E-2</c:v>
                </c:pt>
                <c:pt idx="1432">
                  <c:v>0</c:v>
                </c:pt>
                <c:pt idx="1433">
                  <c:v>5.8136571518449575E-3</c:v>
                </c:pt>
                <c:pt idx="1434">
                  <c:v>5.8136571518449575E-3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2.3274812759854133E-2</c:v>
                </c:pt>
                <c:pt idx="1441">
                  <c:v>2.3274812759854133E-2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3.7954212124679677E-2</c:v>
                </c:pt>
                <c:pt idx="1452">
                  <c:v>3.8556390008188785E-3</c:v>
                </c:pt>
                <c:pt idx="1453">
                  <c:v>3.4098573123860804E-2</c:v>
                </c:pt>
                <c:pt idx="1454">
                  <c:v>5.8136571518449575E-3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0.33832974080783801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5.8136571518449575E-3</c:v>
                </c:pt>
                <c:pt idx="1498">
                  <c:v>5.8136571518449575E-3</c:v>
                </c:pt>
                <c:pt idx="1499">
                  <c:v>0.11195094677362048</c:v>
                </c:pt>
                <c:pt idx="1500">
                  <c:v>1.7742087892535847E-2</c:v>
                </c:pt>
                <c:pt idx="1501">
                  <c:v>0</c:v>
                </c:pt>
                <c:pt idx="1502">
                  <c:v>0</c:v>
                </c:pt>
                <c:pt idx="1503">
                  <c:v>1.7742087892535847E-2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1.9464255536077491E-2</c:v>
                </c:pt>
                <c:pt idx="1509">
                  <c:v>8.2593490700919748E-3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7.7582709199513792E-3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2.4128033037939357E-2</c:v>
                </c:pt>
                <c:pt idx="1531">
                  <c:v>2.4128033037939357E-2</c:v>
                </c:pt>
                <c:pt idx="1532">
                  <c:v>2.4128033037939357E-2</c:v>
                </c:pt>
                <c:pt idx="1533">
                  <c:v>2.4128033037939357E-2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4.6207778248939776E-2</c:v>
                </c:pt>
                <c:pt idx="1541">
                  <c:v>1.7742087892535847E-2</c:v>
                </c:pt>
                <c:pt idx="1542">
                  <c:v>4.3768104309086946E-2</c:v>
                </c:pt>
                <c:pt idx="1543">
                  <c:v>0</c:v>
                </c:pt>
                <c:pt idx="1544">
                  <c:v>0</c:v>
                </c:pt>
                <c:pt idx="1545">
                  <c:v>0.10999300112835821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-6.4582606458391196E-3</c:v>
                </c:pt>
                <c:pt idx="1551">
                  <c:v>0</c:v>
                </c:pt>
                <c:pt idx="1552">
                  <c:v>6.4582606458391196E-3</c:v>
                </c:pt>
                <c:pt idx="1553">
                  <c:v>2.2611138975743805E-2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2.2611138975743805E-2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2.4128033037939357E-2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2.2611138975743805E-2</c:v>
                </c:pt>
                <c:pt idx="1574">
                  <c:v>3.8791354599756874E-3</c:v>
                </c:pt>
                <c:pt idx="1575">
                  <c:v>3.8791354599756874E-3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9.3634137747721923E-4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3.5538700119438354E-2</c:v>
                </c:pt>
                <c:pt idx="1603">
                  <c:v>3.5538700119438354E-2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-0.72868336859089777</c:v>
                </c:pt>
                <c:pt idx="1617">
                  <c:v>0.92240637835593009</c:v>
                </c:pt>
                <c:pt idx="1618">
                  <c:v>0</c:v>
                </c:pt>
                <c:pt idx="1619">
                  <c:v>0</c:v>
                </c:pt>
                <c:pt idx="1620">
                  <c:v>9.0330663532221842E-2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1.0139935657085517E-2</c:v>
                </c:pt>
                <c:pt idx="1625">
                  <c:v>0</c:v>
                </c:pt>
                <c:pt idx="1626">
                  <c:v>1.3573881135728216E-2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2.3274812759854133E-2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4.6118741171011233E-3</c:v>
                </c:pt>
                <c:pt idx="1637">
                  <c:v>0</c:v>
                </c:pt>
                <c:pt idx="1638">
                  <c:v>2.2611138975743805E-2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9.3634137747721923E-4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6.8155417958323068E-6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0.62981482590133264</c:v>
                </c:pt>
                <c:pt idx="1652">
                  <c:v>0.1708940826804124</c:v>
                </c:pt>
                <c:pt idx="1653">
                  <c:v>0.10569444286084323</c:v>
                </c:pt>
                <c:pt idx="1654">
                  <c:v>0.1708940826804124</c:v>
                </c:pt>
                <c:pt idx="1655">
                  <c:v>0.52412038304048936</c:v>
                </c:pt>
                <c:pt idx="1656">
                  <c:v>1.3573881135728216E-2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2.6444121951567867</c:v>
                </c:pt>
                <c:pt idx="1664">
                  <c:v>0</c:v>
                </c:pt>
                <c:pt idx="1665">
                  <c:v>0</c:v>
                </c:pt>
                <c:pt idx="1666">
                  <c:v>2.6398725345918526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5.4322924096972126E-2</c:v>
                </c:pt>
                <c:pt idx="1703">
                  <c:v>0</c:v>
                </c:pt>
                <c:pt idx="1704">
                  <c:v>0.10474269643362662</c:v>
                </c:pt>
                <c:pt idx="1705">
                  <c:v>3.3846435032205127E-3</c:v>
                </c:pt>
                <c:pt idx="1706">
                  <c:v>4.3568713458676944E-4</c:v>
                </c:pt>
                <c:pt idx="1707">
                  <c:v>6.8003155854373632E-4</c:v>
                </c:pt>
                <c:pt idx="1708">
                  <c:v>4.3568713458676944E-4</c:v>
                </c:pt>
                <c:pt idx="1709">
                  <c:v>6.8003155854373632E-4</c:v>
                </c:pt>
                <c:pt idx="1710">
                  <c:v>4.3569845698038538E-4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0.51697071736392608</c:v>
                </c:pt>
                <c:pt idx="1734">
                  <c:v>-0.48707066707807545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2.9949049653068922</c:v>
                </c:pt>
                <c:pt idx="1765">
                  <c:v>2.8256863340616785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1.1627227434580457E-2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2.4128033037939357E-2</c:v>
                </c:pt>
                <c:pt idx="1798">
                  <c:v>0</c:v>
                </c:pt>
                <c:pt idx="1799">
                  <c:v>1.430009427411298E-2</c:v>
                </c:pt>
                <c:pt idx="1800">
                  <c:v>0</c:v>
                </c:pt>
                <c:pt idx="1801">
                  <c:v>8.260576411240525E-2</c:v>
                </c:pt>
                <c:pt idx="1802">
                  <c:v>0</c:v>
                </c:pt>
                <c:pt idx="1803">
                  <c:v>0</c:v>
                </c:pt>
                <c:pt idx="1804">
                  <c:v>1.2711210628605413E-2</c:v>
                </c:pt>
                <c:pt idx="1805">
                  <c:v>0.10694421653893678</c:v>
                </c:pt>
                <c:pt idx="1806">
                  <c:v>2.433845242653155E-2</c:v>
                </c:pt>
                <c:pt idx="1807">
                  <c:v>0</c:v>
                </c:pt>
                <c:pt idx="1808">
                  <c:v>1.430009427411298E-2</c:v>
                </c:pt>
                <c:pt idx="1809">
                  <c:v>8.260576411240525E-2</c:v>
                </c:pt>
                <c:pt idx="1810">
                  <c:v>1.2711638001101323E-2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3.8556390008188785E-3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0.26129735187318393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0.55623375051538737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0.72536320755539763</c:v>
                </c:pt>
                <c:pt idx="1881">
                  <c:v>0</c:v>
                </c:pt>
                <c:pt idx="1882">
                  <c:v>0.55950547336825407</c:v>
                </c:pt>
                <c:pt idx="1883">
                  <c:v>0</c:v>
                </c:pt>
                <c:pt idx="1884">
                  <c:v>0.26438254025629854</c:v>
                </c:pt>
                <c:pt idx="1885">
                  <c:v>1.330107066028984</c:v>
                </c:pt>
                <c:pt idx="1886">
                  <c:v>0.63499171113962449</c:v>
                </c:pt>
                <c:pt idx="1887">
                  <c:v>0</c:v>
                </c:pt>
                <c:pt idx="1888">
                  <c:v>0.77060159266072981</c:v>
                </c:pt>
                <c:pt idx="1889">
                  <c:v>8.97048560129967E-2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1.132605285516137E-2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3.9676130688605565E-2</c:v>
                </c:pt>
                <c:pt idx="1938">
                  <c:v>14.505627470675114</c:v>
                </c:pt>
                <c:pt idx="1939">
                  <c:v>0</c:v>
                </c:pt>
                <c:pt idx="1940">
                  <c:v>-1.7128111138314381E-8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3.5538700119438354E-2</c:v>
                </c:pt>
                <c:pt idx="1963">
                  <c:v>0</c:v>
                </c:pt>
                <c:pt idx="1964">
                  <c:v>0</c:v>
                </c:pt>
                <c:pt idx="1965">
                  <c:v>2.3274812759854133E-2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0.40517673984978864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5.9039993335216288E-3</c:v>
                </c:pt>
                <c:pt idx="1994">
                  <c:v>1.132605285516137E-2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1.3650598384232542E-2</c:v>
                </c:pt>
                <c:pt idx="2000">
                  <c:v>0.11195094677362048</c:v>
                </c:pt>
                <c:pt idx="2001">
                  <c:v>1.3650598384232542E-2</c:v>
                </c:pt>
                <c:pt idx="2002">
                  <c:v>5.8136571518449575E-3</c:v>
                </c:pt>
                <c:pt idx="2003">
                  <c:v>1.3650598384232542E-2</c:v>
                </c:pt>
                <c:pt idx="2004">
                  <c:v>5.8136571518449575E-3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1.3650598384232542E-2</c:v>
                </c:pt>
                <c:pt idx="2024">
                  <c:v>5.8136571518449575E-3</c:v>
                </c:pt>
                <c:pt idx="2025">
                  <c:v>8.260576411240525E-2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0.14571529658381097</c:v>
                </c:pt>
                <c:pt idx="2030">
                  <c:v>0</c:v>
                </c:pt>
                <c:pt idx="2031">
                  <c:v>1.9187997833945303E-2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0.55950547336825407</c:v>
                </c:pt>
                <c:pt idx="2036">
                  <c:v>0.55950547336825407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0.73222559699283918</c:v>
                </c:pt>
                <c:pt idx="2063">
                  <c:v>0</c:v>
                </c:pt>
                <c:pt idx="2064">
                  <c:v>1.7515270938509794E-8</c:v>
                </c:pt>
                <c:pt idx="2065">
                  <c:v>0</c:v>
                </c:pt>
                <c:pt idx="2066">
                  <c:v>0</c:v>
                </c:pt>
                <c:pt idx="2067">
                  <c:v>0.4890390515795513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4.3568713458676944E-4</c:v>
                </c:pt>
                <c:pt idx="2093">
                  <c:v>0</c:v>
                </c:pt>
                <c:pt idx="2094">
                  <c:v>6.8003155854373632E-4</c:v>
                </c:pt>
                <c:pt idx="2095">
                  <c:v>0</c:v>
                </c:pt>
                <c:pt idx="2096">
                  <c:v>6.8003155854373632E-4</c:v>
                </c:pt>
                <c:pt idx="2097">
                  <c:v>0</c:v>
                </c:pt>
                <c:pt idx="2098">
                  <c:v>4.3568713458676944E-4</c:v>
                </c:pt>
                <c:pt idx="2099">
                  <c:v>0</c:v>
                </c:pt>
                <c:pt idx="2100">
                  <c:v>0</c:v>
                </c:pt>
                <c:pt idx="2101">
                  <c:v>0.31978827138319027</c:v>
                </c:pt>
                <c:pt idx="2102">
                  <c:v>0.31520343975643439</c:v>
                </c:pt>
                <c:pt idx="2103">
                  <c:v>1.9790448225238604E-2</c:v>
                </c:pt>
                <c:pt idx="2104">
                  <c:v>1.9790448225238604E-2</c:v>
                </c:pt>
                <c:pt idx="2105">
                  <c:v>3.8556390008188785E-3</c:v>
                </c:pt>
                <c:pt idx="2106">
                  <c:v>0</c:v>
                </c:pt>
                <c:pt idx="2107">
                  <c:v>3.8791354599756874E-3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-0.21625042591489821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1.9187997833945303E-2</c:v>
                </c:pt>
                <c:pt idx="2128">
                  <c:v>1.9187997833945303E-2</c:v>
                </c:pt>
                <c:pt idx="2129">
                  <c:v>0</c:v>
                </c:pt>
                <c:pt idx="2130">
                  <c:v>0</c:v>
                </c:pt>
                <c:pt idx="2131">
                  <c:v>3.8556390008188785E-3</c:v>
                </c:pt>
                <c:pt idx="2132">
                  <c:v>0</c:v>
                </c:pt>
                <c:pt idx="2133">
                  <c:v>6.1194864634919865E-3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3.8791354599756874E-3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0.26187103528656891</c:v>
                </c:pt>
                <c:pt idx="2163">
                  <c:v>1.430009427411298E-2</c:v>
                </c:pt>
                <c:pt idx="2164">
                  <c:v>0.24757094101245591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0.16948814317262334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-1.7515270938509794E-8</c:v>
                </c:pt>
                <c:pt idx="2187">
                  <c:v>0</c:v>
                </c:pt>
                <c:pt idx="2188">
                  <c:v>1.7320394370359669E-2</c:v>
                </c:pt>
                <c:pt idx="2189">
                  <c:v>3.4098573123860804E-2</c:v>
                </c:pt>
                <c:pt idx="2190">
                  <c:v>1.7320394370359669E-2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0.16948814317262334</c:v>
                </c:pt>
                <c:pt idx="2197">
                  <c:v>0.15030014533867805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4.3568713458676944E-4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0.52039729567773874</c:v>
                </c:pt>
                <c:pt idx="2208">
                  <c:v>0</c:v>
                </c:pt>
                <c:pt idx="2209">
                  <c:v>0</c:v>
                </c:pt>
                <c:pt idx="2210">
                  <c:v>6.0870763870798901E-3</c:v>
                </c:pt>
                <c:pt idx="2211">
                  <c:v>0</c:v>
                </c:pt>
                <c:pt idx="2212">
                  <c:v>0</c:v>
                </c:pt>
                <c:pt idx="2213">
                  <c:v>9.9845512136029733E-3</c:v>
                </c:pt>
                <c:pt idx="2214">
                  <c:v>9.9845512136029733E-3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0.10999300112835821</c:v>
                </c:pt>
                <c:pt idx="2221">
                  <c:v>0.11195094677362048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5.9039993335216288E-3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1.1734332811037241E-3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1.430009427411298E-2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-1.4363345673642822E-8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4.6207778248939776E-2</c:v>
                </c:pt>
                <c:pt idx="2277">
                  <c:v>2.4128033037939357E-2</c:v>
                </c:pt>
                <c:pt idx="2278">
                  <c:v>4.6207778248939776E-2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1.1426908372586931E-4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16-F348-8606-C2F53FF4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717856"/>
        <c:axId val="1853719568"/>
      </c:scatterChart>
      <c:valAx>
        <c:axId val="18537178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19568"/>
        <c:crosses val="autoZero"/>
        <c:crossBetween val="midCat"/>
      </c:valAx>
      <c:valAx>
        <c:axId val="1853719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17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fluxes vs. prot</a:t>
            </a:r>
            <a:r>
              <a:rPr lang="en-US" baseline="0"/>
              <a:t> abundances (flux outliers removed)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proteins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alpha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7709092571009441"/>
                  <c:y val="0.516678759447007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'Relative Protein Abundances'!$B$2:$B$593</c:f>
              <c:numCache>
                <c:formatCode>General</c:formatCode>
                <c:ptCount val="592"/>
                <c:pt idx="0">
                  <c:v>2.9113682098585999E-2</c:v>
                </c:pt>
                <c:pt idx="1">
                  <c:v>1.53849734932744E-2</c:v>
                </c:pt>
                <c:pt idx="2">
                  <c:v>1.6497109652314001E-2</c:v>
                </c:pt>
                <c:pt idx="3">
                  <c:v>1.3668072946997E-2</c:v>
                </c:pt>
                <c:pt idx="4">
                  <c:v>1.07071028328158E-2</c:v>
                </c:pt>
                <c:pt idx="5">
                  <c:v>9.1277196866582002E-3</c:v>
                </c:pt>
                <c:pt idx="6">
                  <c:v>2.4457745307866E-3</c:v>
                </c:pt>
                <c:pt idx="7">
                  <c:v>2.0279602282563099E-2</c:v>
                </c:pt>
                <c:pt idx="8">
                  <c:v>2.5294900140742302E-3</c:v>
                </c:pt>
                <c:pt idx="9">
                  <c:v>7.1769529910267003E-3</c:v>
                </c:pt>
                <c:pt idx="10">
                  <c:v>7.75177168688227E-3</c:v>
                </c:pt>
                <c:pt idx="11">
                  <c:v>6.4947185099402897E-3</c:v>
                </c:pt>
                <c:pt idx="12">
                  <c:v>5.6699722185644496E-4</c:v>
                </c:pt>
                <c:pt idx="13">
                  <c:v>1.29637831050444E-3</c:v>
                </c:pt>
                <c:pt idx="14">
                  <c:v>1.01608771401853E-5</c:v>
                </c:pt>
                <c:pt idx="15">
                  <c:v>2.2526926640567E-3</c:v>
                </c:pt>
                <c:pt idx="16">
                  <c:v>1.0844365483433999E-2</c:v>
                </c:pt>
                <c:pt idx="17">
                  <c:v>2.2243676400056202E-3</c:v>
                </c:pt>
                <c:pt idx="18">
                  <c:v>1.8997403751209699E-3</c:v>
                </c:pt>
                <c:pt idx="19">
                  <c:v>6.9675940731774898E-3</c:v>
                </c:pt>
                <c:pt idx="20">
                  <c:v>5.0394523098188997E-4</c:v>
                </c:pt>
                <c:pt idx="21">
                  <c:v>3.2493349257780801E-3</c:v>
                </c:pt>
                <c:pt idx="22">
                  <c:v>4.3180721281639804E-3</c:v>
                </c:pt>
                <c:pt idx="23">
                  <c:v>6.1745610759091603E-3</c:v>
                </c:pt>
                <c:pt idx="24">
                  <c:v>4.2263801417787E-3</c:v>
                </c:pt>
                <c:pt idx="25">
                  <c:v>2.7978081945237098E-3</c:v>
                </c:pt>
                <c:pt idx="26">
                  <c:v>4.48312909582193E-3</c:v>
                </c:pt>
                <c:pt idx="27">
                  <c:v>7.7904904529080294E-6</c:v>
                </c:pt>
                <c:pt idx="28">
                  <c:v>5.96442562560881E-4</c:v>
                </c:pt>
                <c:pt idx="29">
                  <c:v>2.3299635051752098E-3</c:v>
                </c:pt>
                <c:pt idx="30">
                  <c:v>2.7395859179489503E-4</c:v>
                </c:pt>
                <c:pt idx="31">
                  <c:v>6.1787711526351602E-3</c:v>
                </c:pt>
                <c:pt idx="32">
                  <c:v>2.07176361178677E-3</c:v>
                </c:pt>
                <c:pt idx="33">
                  <c:v>2.5538331833353601E-3</c:v>
                </c:pt>
                <c:pt idx="34">
                  <c:v>2.1863613479165501E-3</c:v>
                </c:pt>
                <c:pt idx="35">
                  <c:v>3.9324986908283501E-5</c:v>
                </c:pt>
                <c:pt idx="36">
                  <c:v>8.4506488869757405E-4</c:v>
                </c:pt>
                <c:pt idx="37">
                  <c:v>1.0703815881231399E-5</c:v>
                </c:pt>
                <c:pt idx="38">
                  <c:v>4.5859466507397901E-4</c:v>
                </c:pt>
                <c:pt idx="39">
                  <c:v>2.4753259336672199E-3</c:v>
                </c:pt>
                <c:pt idx="40">
                  <c:v>2.5426964825641502E-3</c:v>
                </c:pt>
                <c:pt idx="41">
                  <c:v>1.25407360308644E-3</c:v>
                </c:pt>
                <c:pt idx="42">
                  <c:v>5.9697116156084301E-4</c:v>
                </c:pt>
                <c:pt idx="43">
                  <c:v>2.09319247534062E-3</c:v>
                </c:pt>
                <c:pt idx="44">
                  <c:v>1.6328684699206399E-3</c:v>
                </c:pt>
                <c:pt idx="45">
                  <c:v>2.9935254532601001E-4</c:v>
                </c:pt>
                <c:pt idx="46">
                  <c:v>6.5978288400845295E-4</c:v>
                </c:pt>
                <c:pt idx="47">
                  <c:v>2.56416539133336E-3</c:v>
                </c:pt>
                <c:pt idx="48">
                  <c:v>2.34384337458012E-4</c:v>
                </c:pt>
                <c:pt idx="49">
                  <c:v>1.5733616007062301E-3</c:v>
                </c:pt>
                <c:pt idx="50">
                  <c:v>3.8792080569551501E-4</c:v>
                </c:pt>
                <c:pt idx="51">
                  <c:v>2.5277742467436299E-4</c:v>
                </c:pt>
                <c:pt idx="52">
                  <c:v>2.4723844121907201E-3</c:v>
                </c:pt>
                <c:pt idx="53">
                  <c:v>3.5526561699327098E-3</c:v>
                </c:pt>
                <c:pt idx="54">
                  <c:v>2.02276211834106E-3</c:v>
                </c:pt>
                <c:pt idx="55">
                  <c:v>1.41997654292559E-3</c:v>
                </c:pt>
                <c:pt idx="56">
                  <c:v>3.8813177443702297E-4</c:v>
                </c:pt>
                <c:pt idx="57">
                  <c:v>1.0833215457136201E-3</c:v>
                </c:pt>
                <c:pt idx="58">
                  <c:v>1.9212403339961799E-3</c:v>
                </c:pt>
                <c:pt idx="59">
                  <c:v>2.37170183142515E-3</c:v>
                </c:pt>
                <c:pt idx="60">
                  <c:v>7.8038060143469502E-4</c:v>
                </c:pt>
                <c:pt idx="61">
                  <c:v>2.07007729785834E-4</c:v>
                </c:pt>
                <c:pt idx="62">
                  <c:v>1.93105558260695E-4</c:v>
                </c:pt>
                <c:pt idx="63">
                  <c:v>9.4382051776904102E-4</c:v>
                </c:pt>
                <c:pt idx="64">
                  <c:v>8.9766639673593098E-4</c:v>
                </c:pt>
                <c:pt idx="65">
                  <c:v>7.1567905877867105E-5</c:v>
                </c:pt>
                <c:pt idx="66">
                  <c:v>2.58699430225402E-4</c:v>
                </c:pt>
                <c:pt idx="67">
                  <c:v>1.71815783930115E-3</c:v>
                </c:pt>
                <c:pt idx="68">
                  <c:v>1.6158931578894699E-3</c:v>
                </c:pt>
                <c:pt idx="69">
                  <c:v>3.36175577186465E-3</c:v>
                </c:pt>
                <c:pt idx="70">
                  <c:v>1.0568283063289901E-3</c:v>
                </c:pt>
                <c:pt idx="71">
                  <c:v>2.7425394087660202E-3</c:v>
                </c:pt>
                <c:pt idx="72">
                  <c:v>8.3267242085577299E-4</c:v>
                </c:pt>
                <c:pt idx="73">
                  <c:v>1.06414599711518E-3</c:v>
                </c:pt>
                <c:pt idx="74">
                  <c:v>1.41639932563231E-3</c:v>
                </c:pt>
                <c:pt idx="75">
                  <c:v>9.8874052094171608E-4</c:v>
                </c:pt>
                <c:pt idx="76">
                  <c:v>5.68232776570614E-3</c:v>
                </c:pt>
                <c:pt idx="77">
                  <c:v>2.5471266777838699E-5</c:v>
                </c:pt>
                <c:pt idx="78">
                  <c:v>5.4372230868456996E-3</c:v>
                </c:pt>
                <c:pt idx="79">
                  <c:v>1.14329421899339E-3</c:v>
                </c:pt>
                <c:pt idx="80">
                  <c:v>8.7941975410750701E-4</c:v>
                </c:pt>
                <c:pt idx="81">
                  <c:v>3.12352370327102E-4</c:v>
                </c:pt>
                <c:pt idx="82">
                  <c:v>3.1799926122323199E-3</c:v>
                </c:pt>
                <c:pt idx="83">
                  <c:v>1.12614438160574E-3</c:v>
                </c:pt>
                <c:pt idx="84">
                  <c:v>4.75818676381432E-5</c:v>
                </c:pt>
                <c:pt idx="85">
                  <c:v>1.0571610172146299E-3</c:v>
                </c:pt>
                <c:pt idx="86">
                  <c:v>2.7773580226695999E-3</c:v>
                </c:pt>
                <c:pt idx="87">
                  <c:v>2.0236580147096699E-3</c:v>
                </c:pt>
                <c:pt idx="88">
                  <c:v>5.6006701783464698E-4</c:v>
                </c:pt>
                <c:pt idx="89">
                  <c:v>1.4006866807246801E-4</c:v>
                </c:pt>
                <c:pt idx="90">
                  <c:v>2.9367625373205402E-5</c:v>
                </c:pt>
                <c:pt idx="91">
                  <c:v>1.2890995577182399E-6</c:v>
                </c:pt>
                <c:pt idx="92">
                  <c:v>5.5194239949837203E-4</c:v>
                </c:pt>
                <c:pt idx="93">
                  <c:v>1.9350265469852E-3</c:v>
                </c:pt>
                <c:pt idx="94">
                  <c:v>8.2725892084654202E-4</c:v>
                </c:pt>
                <c:pt idx="95">
                  <c:v>1.84969393237047E-3</c:v>
                </c:pt>
                <c:pt idx="96">
                  <c:v>7.1959202415832304E-4</c:v>
                </c:pt>
                <c:pt idx="97">
                  <c:v>6.7700399430460298E-4</c:v>
                </c:pt>
                <c:pt idx="98">
                  <c:v>6.5568244272694396E-4</c:v>
                </c:pt>
                <c:pt idx="99">
                  <c:v>1.5214751028491201E-3</c:v>
                </c:pt>
                <c:pt idx="100">
                  <c:v>6.3882582030546904E-4</c:v>
                </c:pt>
                <c:pt idx="101">
                  <c:v>7.4254046229609602E-5</c:v>
                </c:pt>
                <c:pt idx="102">
                  <c:v>6.7038719917549504E-4</c:v>
                </c:pt>
                <c:pt idx="103">
                  <c:v>1.2000060891872999E-3</c:v>
                </c:pt>
                <c:pt idx="104">
                  <c:v>1.3164563820684599E-3</c:v>
                </c:pt>
                <c:pt idx="105">
                  <c:v>4.25915444599452E-5</c:v>
                </c:pt>
                <c:pt idx="106">
                  <c:v>6.0154784122872396E-4</c:v>
                </c:pt>
                <c:pt idx="107">
                  <c:v>7.2163661213067395E-4</c:v>
                </c:pt>
                <c:pt idx="108">
                  <c:v>9.3527410203942903E-4</c:v>
                </c:pt>
                <c:pt idx="109">
                  <c:v>1.0460443536715401E-3</c:v>
                </c:pt>
                <c:pt idx="110">
                  <c:v>1.6107167411504399E-3</c:v>
                </c:pt>
                <c:pt idx="111">
                  <c:v>1.4502465680994099E-4</c:v>
                </c:pt>
                <c:pt idx="112">
                  <c:v>4.1517929206652001E-5</c:v>
                </c:pt>
                <c:pt idx="113">
                  <c:v>8.5476737326927398E-4</c:v>
                </c:pt>
                <c:pt idx="114">
                  <c:v>6.6634392840435601E-4</c:v>
                </c:pt>
                <c:pt idx="115">
                  <c:v>8.2771252074004102E-4</c:v>
                </c:pt>
                <c:pt idx="116">
                  <c:v>1.57169317349283E-3</c:v>
                </c:pt>
                <c:pt idx="117">
                  <c:v>1.0183375507779501E-4</c:v>
                </c:pt>
                <c:pt idx="118">
                  <c:v>7.7802439696155205E-4</c:v>
                </c:pt>
                <c:pt idx="119">
                  <c:v>1.34332826678639E-3</c:v>
                </c:pt>
                <c:pt idx="120">
                  <c:v>1.0515521682069599E-3</c:v>
                </c:pt>
                <c:pt idx="121">
                  <c:v>4.6010610421841298E-4</c:v>
                </c:pt>
                <c:pt idx="122">
                  <c:v>1.03072081711946E-6</c:v>
                </c:pt>
                <c:pt idx="123">
                  <c:v>1.5246322014180001E-4</c:v>
                </c:pt>
                <c:pt idx="124">
                  <c:v>5.3421314606772201E-4</c:v>
                </c:pt>
                <c:pt idx="125">
                  <c:v>7.6020452423641703E-5</c:v>
                </c:pt>
                <c:pt idx="126">
                  <c:v>2.42162274795159E-3</c:v>
                </c:pt>
                <c:pt idx="127">
                  <c:v>1.0310636105651399E-3</c:v>
                </c:pt>
                <c:pt idx="128">
                  <c:v>1.4793228999406799E-4</c:v>
                </c:pt>
                <c:pt idx="129">
                  <c:v>1.05759132752945E-4</c:v>
                </c:pt>
                <c:pt idx="130">
                  <c:v>5.7767327051235504E-4</c:v>
                </c:pt>
                <c:pt idx="131">
                  <c:v>6.4170198510789397E-4</c:v>
                </c:pt>
                <c:pt idx="132">
                  <c:v>1.5050079053674799E-4</c:v>
                </c:pt>
                <c:pt idx="133">
                  <c:v>1.29912130599209E-5</c:v>
                </c:pt>
                <c:pt idx="134">
                  <c:v>1.4072726880052201E-3</c:v>
                </c:pt>
                <c:pt idx="135">
                  <c:v>4.4099407522972197E-4</c:v>
                </c:pt>
                <c:pt idx="136">
                  <c:v>1.2093601957848101E-3</c:v>
                </c:pt>
                <c:pt idx="137">
                  <c:v>4.4310713047094203E-5</c:v>
                </c:pt>
                <c:pt idx="138">
                  <c:v>9.7961771676234989E-4</c:v>
                </c:pt>
                <c:pt idx="139">
                  <c:v>1.24016624772744E-5</c:v>
                </c:pt>
                <c:pt idx="140">
                  <c:v>5.72468727960919E-4</c:v>
                </c:pt>
                <c:pt idx="141">
                  <c:v>3.49461903274701E-5</c:v>
                </c:pt>
                <c:pt idx="142">
                  <c:v>8.5417391171082097E-5</c:v>
                </c:pt>
                <c:pt idx="143">
                  <c:v>3.56975068600473E-4</c:v>
                </c:pt>
                <c:pt idx="144">
                  <c:v>2.1885446238701502E-3</c:v>
                </c:pt>
                <c:pt idx="145">
                  <c:v>8.6285392023603204E-6</c:v>
                </c:pt>
                <c:pt idx="146">
                  <c:v>1.3774905667077899E-3</c:v>
                </c:pt>
                <c:pt idx="147">
                  <c:v>4.33570403351687E-4</c:v>
                </c:pt>
                <c:pt idx="148">
                  <c:v>1.05798023572055E-5</c:v>
                </c:pt>
                <c:pt idx="149">
                  <c:v>3.9417230010572801E-4</c:v>
                </c:pt>
                <c:pt idx="150">
                  <c:v>4.9874175958686099E-4</c:v>
                </c:pt>
                <c:pt idx="151">
                  <c:v>3.8779678745605998E-4</c:v>
                </c:pt>
                <c:pt idx="152">
                  <c:v>1.63879837237853E-3</c:v>
                </c:pt>
                <c:pt idx="153">
                  <c:v>6.66101826097763E-4</c:v>
                </c:pt>
                <c:pt idx="154">
                  <c:v>1.3198463786424699E-4</c:v>
                </c:pt>
                <c:pt idx="155">
                  <c:v>1.0519171340315999E-3</c:v>
                </c:pt>
                <c:pt idx="156">
                  <c:v>5.3075402060710904E-4</c:v>
                </c:pt>
                <c:pt idx="157">
                  <c:v>1.0690744714178899E-3</c:v>
                </c:pt>
                <c:pt idx="158">
                  <c:v>2.2944500987922E-4</c:v>
                </c:pt>
                <c:pt idx="159">
                  <c:v>1.2734134196648801E-5</c:v>
                </c:pt>
                <c:pt idx="160">
                  <c:v>1.25223941205552E-3</c:v>
                </c:pt>
                <c:pt idx="161">
                  <c:v>8.2848926520249198E-4</c:v>
                </c:pt>
                <c:pt idx="162">
                  <c:v>1.24286757468708E-3</c:v>
                </c:pt>
                <c:pt idx="163">
                  <c:v>1.32639189062857E-5</c:v>
                </c:pt>
                <c:pt idx="164">
                  <c:v>5.4614232412826901E-5</c:v>
                </c:pt>
                <c:pt idx="165">
                  <c:v>7.3597761343528203E-4</c:v>
                </c:pt>
                <c:pt idx="166">
                  <c:v>2.4042694577147599E-5</c:v>
                </c:pt>
                <c:pt idx="167">
                  <c:v>1.1337363253092E-4</c:v>
                </c:pt>
                <c:pt idx="168">
                  <c:v>1.5751896805680401E-4</c:v>
                </c:pt>
                <c:pt idx="169">
                  <c:v>7.8968036617296799E-4</c:v>
                </c:pt>
                <c:pt idx="170">
                  <c:v>5.2673979269245695E-4</c:v>
                </c:pt>
                <c:pt idx="171">
                  <c:v>2.57602032833057E-5</c:v>
                </c:pt>
                <c:pt idx="172">
                  <c:v>3.51750474515291E-4</c:v>
                </c:pt>
                <c:pt idx="173">
                  <c:v>6.0869112532740705E-4</c:v>
                </c:pt>
                <c:pt idx="174">
                  <c:v>9.8490833147821906E-5</c:v>
                </c:pt>
                <c:pt idx="175">
                  <c:v>2.2272477807250499E-4</c:v>
                </c:pt>
                <c:pt idx="176">
                  <c:v>6.8664278209055302E-4</c:v>
                </c:pt>
                <c:pt idx="177">
                  <c:v>1.2417459587263301E-4</c:v>
                </c:pt>
                <c:pt idx="178">
                  <c:v>5.3183627822277201E-5</c:v>
                </c:pt>
                <c:pt idx="179">
                  <c:v>4.7840490740283997E-5</c:v>
                </c:pt>
                <c:pt idx="180">
                  <c:v>3.3057409455240202E-4</c:v>
                </c:pt>
                <c:pt idx="181">
                  <c:v>8.5139891750939003E-4</c:v>
                </c:pt>
                <c:pt idx="182">
                  <c:v>1.30881523238015E-5</c:v>
                </c:pt>
                <c:pt idx="183">
                  <c:v>3.3835237388259398E-4</c:v>
                </c:pt>
                <c:pt idx="184">
                  <c:v>5.2948199401197501E-5</c:v>
                </c:pt>
                <c:pt idx="185">
                  <c:v>9.6250968951028904E-5</c:v>
                </c:pt>
                <c:pt idx="186">
                  <c:v>1.3963697966540699E-4</c:v>
                </c:pt>
                <c:pt idx="187">
                  <c:v>2.7798611384014898E-4</c:v>
                </c:pt>
                <c:pt idx="188">
                  <c:v>2.4260287242312001E-7</c:v>
                </c:pt>
                <c:pt idx="189">
                  <c:v>1.5978356359009499E-4</c:v>
                </c:pt>
                <c:pt idx="190">
                  <c:v>4.6946713094344798E-4</c:v>
                </c:pt>
                <c:pt idx="191">
                  <c:v>5.8756575076710301E-6</c:v>
                </c:pt>
                <c:pt idx="192">
                  <c:v>1.5153943658291E-4</c:v>
                </c:pt>
                <c:pt idx="193">
                  <c:v>3.8077150373034299E-4</c:v>
                </c:pt>
                <c:pt idx="194">
                  <c:v>5.38501095019684E-5</c:v>
                </c:pt>
                <c:pt idx="195">
                  <c:v>3.21304592059409E-4</c:v>
                </c:pt>
                <c:pt idx="196">
                  <c:v>4.9133442078200902E-4</c:v>
                </c:pt>
                <c:pt idx="197">
                  <c:v>5.01908358347407E-5</c:v>
                </c:pt>
                <c:pt idx="198">
                  <c:v>1.34524569254404E-3</c:v>
                </c:pt>
                <c:pt idx="199">
                  <c:v>7.4576846954565599E-6</c:v>
                </c:pt>
                <c:pt idx="200">
                  <c:v>2.72295097026907E-4</c:v>
                </c:pt>
                <c:pt idx="201">
                  <c:v>9.2043515146203292E-6</c:v>
                </c:pt>
                <c:pt idx="202">
                  <c:v>5.4580136588864401E-5</c:v>
                </c:pt>
                <c:pt idx="203">
                  <c:v>2.17138400289537E-4</c:v>
                </c:pt>
                <c:pt idx="204">
                  <c:v>2.0652163569235201E-4</c:v>
                </c:pt>
                <c:pt idx="205">
                  <c:v>8.7308341679138702E-5</c:v>
                </c:pt>
                <c:pt idx="206">
                  <c:v>7.4738416947554799E-6</c:v>
                </c:pt>
                <c:pt idx="207">
                  <c:v>1.4512979757201E-3</c:v>
                </c:pt>
                <c:pt idx="208">
                  <c:v>6.8119737269992705E-4</c:v>
                </c:pt>
                <c:pt idx="209">
                  <c:v>3.4488684822614502E-6</c:v>
                </c:pt>
                <c:pt idx="210">
                  <c:v>3.7508765904591499E-5</c:v>
                </c:pt>
                <c:pt idx="211">
                  <c:v>8.01542541925923E-4</c:v>
                </c:pt>
                <c:pt idx="212">
                  <c:v>3.6348781335876203E-4</c:v>
                </c:pt>
                <c:pt idx="213">
                  <c:v>3.2320649731433699E-4</c:v>
                </c:pt>
                <c:pt idx="214">
                  <c:v>6.5049670863243694E-5</c:v>
                </c:pt>
                <c:pt idx="215">
                  <c:v>2.90420494436054E-4</c:v>
                </c:pt>
                <c:pt idx="216">
                  <c:v>1.3113296485173801E-4</c:v>
                </c:pt>
                <c:pt idx="217">
                  <c:v>4.9129619151774599E-5</c:v>
                </c:pt>
                <c:pt idx="218">
                  <c:v>4.7341161586493899E-4</c:v>
                </c:pt>
                <c:pt idx="219">
                  <c:v>2.6648137429804601E-4</c:v>
                </c:pt>
                <c:pt idx="220">
                  <c:v>1.94054670849401E-4</c:v>
                </c:pt>
                <c:pt idx="221">
                  <c:v>6.7541283944606798E-6</c:v>
                </c:pt>
                <c:pt idx="222">
                  <c:v>3.1401046192717201E-4</c:v>
                </c:pt>
                <c:pt idx="223">
                  <c:v>3.7420147614555302E-5</c:v>
                </c:pt>
                <c:pt idx="224">
                  <c:v>7.1904842992423596E-5</c:v>
                </c:pt>
                <c:pt idx="225">
                  <c:v>1.8640526087110499E-4</c:v>
                </c:pt>
                <c:pt idx="226">
                  <c:v>1.21920453866087E-4</c:v>
                </c:pt>
                <c:pt idx="227">
                  <c:v>9.7176024596434699E-4</c:v>
                </c:pt>
                <c:pt idx="228">
                  <c:v>2.17918439175566E-4</c:v>
                </c:pt>
                <c:pt idx="229">
                  <c:v>7.2905271255175894E-5</c:v>
                </c:pt>
                <c:pt idx="230">
                  <c:v>4.3387301881583997E-5</c:v>
                </c:pt>
                <c:pt idx="231">
                  <c:v>1.70218295838924E-4</c:v>
                </c:pt>
                <c:pt idx="232">
                  <c:v>1.05276634067095E-4</c:v>
                </c:pt>
                <c:pt idx="233">
                  <c:v>8.5959814701518404E-4</c:v>
                </c:pt>
                <c:pt idx="234">
                  <c:v>3.6205090715662401E-4</c:v>
                </c:pt>
                <c:pt idx="235">
                  <c:v>2.80892444553301E-4</c:v>
                </c:pt>
                <c:pt idx="236">
                  <c:v>3.96223133708004E-4</c:v>
                </c:pt>
                <c:pt idx="237">
                  <c:v>2.29219744552004E-4</c:v>
                </c:pt>
                <c:pt idx="238">
                  <c:v>1.46682026278927E-5</c:v>
                </c:pt>
                <c:pt idx="239">
                  <c:v>1.7707069211357601E-5</c:v>
                </c:pt>
                <c:pt idx="240">
                  <c:v>3.1656314876771998E-5</c:v>
                </c:pt>
                <c:pt idx="241">
                  <c:v>2.0461687552326399E-4</c:v>
                </c:pt>
                <c:pt idx="242">
                  <c:v>3.2410062230625902E-5</c:v>
                </c:pt>
                <c:pt idx="243">
                  <c:v>1.3524518767111301E-5</c:v>
                </c:pt>
                <c:pt idx="244">
                  <c:v>3.1562825754661698E-5</c:v>
                </c:pt>
                <c:pt idx="245">
                  <c:v>7.9220233806911295E-4</c:v>
                </c:pt>
                <c:pt idx="246">
                  <c:v>2.1992764324187E-4</c:v>
                </c:pt>
                <c:pt idx="247">
                  <c:v>3.5090045660695702E-5</c:v>
                </c:pt>
                <c:pt idx="248">
                  <c:v>3.9214319302214299E-4</c:v>
                </c:pt>
                <c:pt idx="249">
                  <c:v>4.6294214864837501E-4</c:v>
                </c:pt>
                <c:pt idx="250">
                  <c:v>5.0062331346111802E-4</c:v>
                </c:pt>
                <c:pt idx="251">
                  <c:v>1.43649190117581E-4</c:v>
                </c:pt>
                <c:pt idx="252">
                  <c:v>6.3039237341663303E-4</c:v>
                </c:pt>
                <c:pt idx="253">
                  <c:v>1.6763886753470901E-4</c:v>
                </c:pt>
                <c:pt idx="254">
                  <c:v>2.6781032974726102E-4</c:v>
                </c:pt>
                <c:pt idx="255">
                  <c:v>7.1782442141578705E-5</c:v>
                </c:pt>
                <c:pt idx="256">
                  <c:v>1.4777270331986801E-4</c:v>
                </c:pt>
                <c:pt idx="257">
                  <c:v>8.8033404162762504E-5</c:v>
                </c:pt>
                <c:pt idx="258">
                  <c:v>2.4466755182288801E-4</c:v>
                </c:pt>
                <c:pt idx="259">
                  <c:v>4.8754231698712003E-4</c:v>
                </c:pt>
                <c:pt idx="260">
                  <c:v>4.00850330718615E-5</c:v>
                </c:pt>
                <c:pt idx="261">
                  <c:v>5.0435816437902395E-4</c:v>
                </c:pt>
                <c:pt idx="262">
                  <c:v>2.0336345383308401E-4</c:v>
                </c:pt>
                <c:pt idx="263">
                  <c:v>3.8587383702412298E-4</c:v>
                </c:pt>
                <c:pt idx="264">
                  <c:v>9.1589209255585902E-5</c:v>
                </c:pt>
                <c:pt idx="265">
                  <c:v>5.8661573464493299E-5</c:v>
                </c:pt>
                <c:pt idx="266">
                  <c:v>2.1920365898880499E-4</c:v>
                </c:pt>
                <c:pt idx="267">
                  <c:v>1.28258027055313E-4</c:v>
                </c:pt>
                <c:pt idx="268">
                  <c:v>1.03644158043664E-4</c:v>
                </c:pt>
                <c:pt idx="269">
                  <c:v>6.3355285806496403E-4</c:v>
                </c:pt>
                <c:pt idx="270">
                  <c:v>1.2003794307964299E-3</c:v>
                </c:pt>
                <c:pt idx="271">
                  <c:v>1.6749442232668601E-4</c:v>
                </c:pt>
                <c:pt idx="272">
                  <c:v>9.7402248673042697E-4</c:v>
                </c:pt>
                <c:pt idx="273">
                  <c:v>1.9935185052713899E-4</c:v>
                </c:pt>
                <c:pt idx="274">
                  <c:v>1.8352498009729701E-4</c:v>
                </c:pt>
                <c:pt idx="275">
                  <c:v>1.5133281360455201E-4</c:v>
                </c:pt>
                <c:pt idx="276">
                  <c:v>7.4463792709830701E-5</c:v>
                </c:pt>
                <c:pt idx="277">
                  <c:v>6.4674353004705201E-4</c:v>
                </c:pt>
                <c:pt idx="278">
                  <c:v>7.1065477772223103E-4</c:v>
                </c:pt>
                <c:pt idx="279">
                  <c:v>1.99069893148011E-4</c:v>
                </c:pt>
                <c:pt idx="280">
                  <c:v>4.0434453018434099E-5</c:v>
                </c:pt>
                <c:pt idx="281">
                  <c:v>7.1885284394183096E-5</c:v>
                </c:pt>
                <c:pt idx="282">
                  <c:v>1.4543557563311601E-4</c:v>
                </c:pt>
                <c:pt idx="283">
                  <c:v>1.43875949036858E-5</c:v>
                </c:pt>
                <c:pt idx="284">
                  <c:v>1.4411711539230799E-4</c:v>
                </c:pt>
                <c:pt idx="285">
                  <c:v>4.5022058118436997E-6</c:v>
                </c:pt>
                <c:pt idx="286">
                  <c:v>1.4756617011339301E-6</c:v>
                </c:pt>
                <c:pt idx="287">
                  <c:v>1.01526681542618E-3</c:v>
                </c:pt>
                <c:pt idx="288">
                  <c:v>3.7748133912506699E-6</c:v>
                </c:pt>
                <c:pt idx="289">
                  <c:v>1.42099244272896E-5</c:v>
                </c:pt>
                <c:pt idx="290">
                  <c:v>2.00176786306567E-5</c:v>
                </c:pt>
                <c:pt idx="291">
                  <c:v>7.7932099182653296E-7</c:v>
                </c:pt>
                <c:pt idx="292">
                  <c:v>1.9700027195015699E-4</c:v>
                </c:pt>
                <c:pt idx="293">
                  <c:v>2.9246071599382199E-5</c:v>
                </c:pt>
                <c:pt idx="294">
                  <c:v>1.12740937079319E-3</c:v>
                </c:pt>
                <c:pt idx="295">
                  <c:v>1.19276040306266E-6</c:v>
                </c:pt>
                <c:pt idx="296">
                  <c:v>6.0706997527089097E-4</c:v>
                </c:pt>
                <c:pt idx="297">
                  <c:v>2.1279322857645899E-5</c:v>
                </c:pt>
                <c:pt idx="298">
                  <c:v>1.3227318669268101E-4</c:v>
                </c:pt>
                <c:pt idx="299">
                  <c:v>3.2261999011602597E-5</c:v>
                </c:pt>
                <c:pt idx="300">
                  <c:v>2.0714156090689201E-5</c:v>
                </c:pt>
                <c:pt idx="301">
                  <c:v>7.4307589190339602E-4</c:v>
                </c:pt>
                <c:pt idx="302">
                  <c:v>6.4799696659471702E-5</c:v>
                </c:pt>
                <c:pt idx="303">
                  <c:v>1.4718745584008501E-4</c:v>
                </c:pt>
                <c:pt idx="304">
                  <c:v>2.8995971847441202E-4</c:v>
                </c:pt>
                <c:pt idx="305">
                  <c:v>3.2825583741340603E-5</c:v>
                </c:pt>
                <c:pt idx="306">
                  <c:v>2.06438624530522E-4</c:v>
                </c:pt>
                <c:pt idx="307">
                  <c:v>7.2585133213585003E-6</c:v>
                </c:pt>
                <c:pt idx="308">
                  <c:v>2.0492796085143098E-5</c:v>
                </c:pt>
                <c:pt idx="309">
                  <c:v>2.11184106097693E-4</c:v>
                </c:pt>
                <c:pt idx="310">
                  <c:v>1.49084989361827E-5</c:v>
                </c:pt>
                <c:pt idx="311">
                  <c:v>6.5630420923610502E-7</c:v>
                </c:pt>
                <c:pt idx="312">
                  <c:v>1.6617632027620999E-4</c:v>
                </c:pt>
                <c:pt idx="313">
                  <c:v>2.1009999510634701E-4</c:v>
                </c:pt>
                <c:pt idx="314">
                  <c:v>6.6285265575311898E-5</c:v>
                </c:pt>
                <c:pt idx="315">
                  <c:v>1.21316780824568E-4</c:v>
                </c:pt>
                <c:pt idx="316">
                  <c:v>3.3658570399383402E-5</c:v>
                </c:pt>
                <c:pt idx="317">
                  <c:v>4.4678098287481303E-6</c:v>
                </c:pt>
                <c:pt idx="318">
                  <c:v>1.7967629432418299E-5</c:v>
                </c:pt>
                <c:pt idx="319">
                  <c:v>1.80724165685284E-7</c:v>
                </c:pt>
                <c:pt idx="320">
                  <c:v>2.8726341553073998E-6</c:v>
                </c:pt>
                <c:pt idx="321">
                  <c:v>1.19851943293937E-4</c:v>
                </c:pt>
                <c:pt idx="322">
                  <c:v>2.09434179065905E-5</c:v>
                </c:pt>
                <c:pt idx="323">
                  <c:v>2.24291222484604E-5</c:v>
                </c:pt>
                <c:pt idx="324">
                  <c:v>9.3933204162368296E-5</c:v>
                </c:pt>
                <c:pt idx="325">
                  <c:v>1.7383900370753901E-4</c:v>
                </c:pt>
                <c:pt idx="326">
                  <c:v>9.1874288727138997E-6</c:v>
                </c:pt>
                <c:pt idx="327">
                  <c:v>3.59674594227204E-4</c:v>
                </c:pt>
                <c:pt idx="328">
                  <c:v>3.6722732821932902E-6</c:v>
                </c:pt>
                <c:pt idx="329">
                  <c:v>1.79275828514719E-4</c:v>
                </c:pt>
                <c:pt idx="330">
                  <c:v>3.56920635476857E-4</c:v>
                </c:pt>
                <c:pt idx="331">
                  <c:v>2.7485456572948701E-4</c:v>
                </c:pt>
                <c:pt idx="332">
                  <c:v>7.8484711127961194E-5</c:v>
                </c:pt>
                <c:pt idx="333">
                  <c:v>1.5334438998639299E-3</c:v>
                </c:pt>
                <c:pt idx="334">
                  <c:v>2.36627294190308E-5</c:v>
                </c:pt>
                <c:pt idx="335">
                  <c:v>9.1921827720001497E-5</c:v>
                </c:pt>
                <c:pt idx="336">
                  <c:v>1.47985558522502E-6</c:v>
                </c:pt>
                <c:pt idx="337">
                  <c:v>6.2286573150651498E-5</c:v>
                </c:pt>
                <c:pt idx="338">
                  <c:v>4.71969624654168E-5</c:v>
                </c:pt>
                <c:pt idx="339">
                  <c:v>7.3830968214379396E-6</c:v>
                </c:pt>
                <c:pt idx="340">
                  <c:v>2.49454584062173E-4</c:v>
                </c:pt>
                <c:pt idx="341">
                  <c:v>1.2525809499539301E-4</c:v>
                </c:pt>
                <c:pt idx="342">
                  <c:v>2.5186497635357598E-4</c:v>
                </c:pt>
                <c:pt idx="343">
                  <c:v>4.5115167911891603E-5</c:v>
                </c:pt>
                <c:pt idx="344">
                  <c:v>7.6234636278768499E-5</c:v>
                </c:pt>
                <c:pt idx="345">
                  <c:v>1.43440775190131E-5</c:v>
                </c:pt>
                <c:pt idx="346">
                  <c:v>1.5101652512678299E-5</c:v>
                </c:pt>
                <c:pt idx="347">
                  <c:v>2.5965921541183402E-4</c:v>
                </c:pt>
                <c:pt idx="348">
                  <c:v>9.4345605555694095E-5</c:v>
                </c:pt>
                <c:pt idx="349">
                  <c:v>4.1695365100541901E-5</c:v>
                </c:pt>
                <c:pt idx="350">
                  <c:v>1.19519476606299E-4</c:v>
                </c:pt>
                <c:pt idx="351">
                  <c:v>5.92947789825455E-5</c:v>
                </c:pt>
                <c:pt idx="352">
                  <c:v>1.64565280172967E-4</c:v>
                </c:pt>
                <c:pt idx="353">
                  <c:v>5.7015877359026503E-5</c:v>
                </c:pt>
                <c:pt idx="354">
                  <c:v>1.2528871824904001E-4</c:v>
                </c:pt>
                <c:pt idx="355">
                  <c:v>7.1180801404590902E-5</c:v>
                </c:pt>
                <c:pt idx="356">
                  <c:v>8.5105940016145102E-5</c:v>
                </c:pt>
                <c:pt idx="357">
                  <c:v>4.1333828000772701E-6</c:v>
                </c:pt>
                <c:pt idx="358">
                  <c:v>1.01043692613184E-4</c:v>
                </c:pt>
                <c:pt idx="359">
                  <c:v>2.0158356454669301E-5</c:v>
                </c:pt>
                <c:pt idx="360">
                  <c:v>5.1691501068460998E-5</c:v>
                </c:pt>
                <c:pt idx="361">
                  <c:v>5.8412519729875499E-5</c:v>
                </c:pt>
                <c:pt idx="362">
                  <c:v>2.3432143201179601E-5</c:v>
                </c:pt>
                <c:pt idx="363">
                  <c:v>9.0575734210671298E-5</c:v>
                </c:pt>
                <c:pt idx="364">
                  <c:v>5.3864890320119703E-5</c:v>
                </c:pt>
                <c:pt idx="365">
                  <c:v>2.0784596280305001E-5</c:v>
                </c:pt>
                <c:pt idx="366">
                  <c:v>3.60162658436517E-5</c:v>
                </c:pt>
                <c:pt idx="367">
                  <c:v>1.6585331577018298E-5</c:v>
                </c:pt>
                <c:pt idx="368">
                  <c:v>5.4594011492852202E-5</c:v>
                </c:pt>
                <c:pt idx="369">
                  <c:v>5.53421826955851E-5</c:v>
                </c:pt>
                <c:pt idx="370">
                  <c:v>2.3077835042291302E-5</c:v>
                </c:pt>
                <c:pt idx="371">
                  <c:v>4.7343263476932103E-5</c:v>
                </c:pt>
                <c:pt idx="372">
                  <c:v>1.20197071032618E-5</c:v>
                </c:pt>
                <c:pt idx="373">
                  <c:v>4.5925513030334603E-5</c:v>
                </c:pt>
                <c:pt idx="374">
                  <c:v>4.6591103701035397E-5</c:v>
                </c:pt>
                <c:pt idx="375">
                  <c:v>2.4980476749231799E-5</c:v>
                </c:pt>
                <c:pt idx="376">
                  <c:v>3.2624780988527401E-5</c:v>
                </c:pt>
                <c:pt idx="377">
                  <c:v>1.71599262849288E-4</c:v>
                </c:pt>
                <c:pt idx="378">
                  <c:v>1.21997983281271E-3</c:v>
                </c:pt>
                <c:pt idx="379">
                  <c:v>1.3415668912060701E-3</c:v>
                </c:pt>
                <c:pt idx="380">
                  <c:v>9.0246640793249405E-6</c:v>
                </c:pt>
                <c:pt idx="381">
                  <c:v>2.4582129256127099E-5</c:v>
                </c:pt>
                <c:pt idx="382">
                  <c:v>8.3709115787836605E-6</c:v>
                </c:pt>
                <c:pt idx="383">
                  <c:v>4.24957326057156E-5</c:v>
                </c:pt>
                <c:pt idx="384">
                  <c:v>1.39754232416909E-5</c:v>
                </c:pt>
                <c:pt idx="385">
                  <c:v>1.7238178392903199E-5</c:v>
                </c:pt>
                <c:pt idx="386">
                  <c:v>7.0444574895825205E-5</c:v>
                </c:pt>
                <c:pt idx="387">
                  <c:v>1.9457170750752901E-4</c:v>
                </c:pt>
                <c:pt idx="388">
                  <c:v>8.2385992299829299E-6</c:v>
                </c:pt>
                <c:pt idx="389">
                  <c:v>5.3806659263514901E-6</c:v>
                </c:pt>
                <c:pt idx="390">
                  <c:v>6.8030993000019001E-5</c:v>
                </c:pt>
                <c:pt idx="391">
                  <c:v>1.65844297834081E-4</c:v>
                </c:pt>
                <c:pt idx="392">
                  <c:v>4.1500460693565801E-5</c:v>
                </c:pt>
                <c:pt idx="393">
                  <c:v>4.29018152546011E-5</c:v>
                </c:pt>
                <c:pt idx="394">
                  <c:v>3.6751924749220403E-5</c:v>
                </c:pt>
                <c:pt idx="395">
                  <c:v>1.0236826358040499E-5</c:v>
                </c:pt>
                <c:pt idx="396">
                  <c:v>4.3612534786361803E-6</c:v>
                </c:pt>
                <c:pt idx="397">
                  <c:v>9.1598326274484399E-5</c:v>
                </c:pt>
                <c:pt idx="398">
                  <c:v>4.0116331576927997E-5</c:v>
                </c:pt>
                <c:pt idx="399">
                  <c:v>1.8522256150003501E-5</c:v>
                </c:pt>
                <c:pt idx="400">
                  <c:v>5.3154503431190601E-5</c:v>
                </c:pt>
                <c:pt idx="401">
                  <c:v>7.5727819076162201E-6</c:v>
                </c:pt>
                <c:pt idx="402">
                  <c:v>1.9058047429104201E-7</c:v>
                </c:pt>
                <c:pt idx="403">
                  <c:v>1.17556668761509E-4</c:v>
                </c:pt>
                <c:pt idx="404">
                  <c:v>7.9221338329273105E-5</c:v>
                </c:pt>
                <c:pt idx="405">
                  <c:v>1.59198609163186E-5</c:v>
                </c:pt>
                <c:pt idx="406">
                  <c:v>9.0740064430704694E-6</c:v>
                </c:pt>
                <c:pt idx="407">
                  <c:v>4.9788342983993202E-5</c:v>
                </c:pt>
                <c:pt idx="408">
                  <c:v>2.5218384564288699E-5</c:v>
                </c:pt>
                <c:pt idx="409">
                  <c:v>1.72313218991035E-4</c:v>
                </c:pt>
                <c:pt idx="410">
                  <c:v>3.2167872125079401E-5</c:v>
                </c:pt>
                <c:pt idx="411">
                  <c:v>3.2822565515852698E-5</c:v>
                </c:pt>
                <c:pt idx="412">
                  <c:v>7.1085061717470803E-5</c:v>
                </c:pt>
                <c:pt idx="413">
                  <c:v>1.5086151994972601E-4</c:v>
                </c:pt>
                <c:pt idx="414">
                  <c:v>6.6555403599509203E-5</c:v>
                </c:pt>
                <c:pt idx="415">
                  <c:v>1.2177075232618801E-5</c:v>
                </c:pt>
                <c:pt idx="416">
                  <c:v>2.8813280678612302E-6</c:v>
                </c:pt>
                <c:pt idx="417">
                  <c:v>4.5520604028676999E-6</c:v>
                </c:pt>
                <c:pt idx="418">
                  <c:v>6.0289658867641603E-5</c:v>
                </c:pt>
                <c:pt idx="419">
                  <c:v>1.35141958196357E-5</c:v>
                </c:pt>
                <c:pt idx="420">
                  <c:v>9.4615787928506906E-5</c:v>
                </c:pt>
                <c:pt idx="421">
                  <c:v>1.18933661843589E-6</c:v>
                </c:pt>
                <c:pt idx="422">
                  <c:v>2.87441070266979E-5</c:v>
                </c:pt>
                <c:pt idx="423">
                  <c:v>6.1387066170605103E-6</c:v>
                </c:pt>
                <c:pt idx="424">
                  <c:v>1.3148468317270999E-4</c:v>
                </c:pt>
                <c:pt idx="425">
                  <c:v>3.08306968291838E-5</c:v>
                </c:pt>
                <c:pt idx="426">
                  <c:v>2.52813254762453E-4</c:v>
                </c:pt>
                <c:pt idx="427">
                  <c:v>4.45606704639114E-5</c:v>
                </c:pt>
                <c:pt idx="428">
                  <c:v>1.7487348469654601E-5</c:v>
                </c:pt>
                <c:pt idx="429">
                  <c:v>3.95321630201023E-5</c:v>
                </c:pt>
                <c:pt idx="430">
                  <c:v>4.5143945434374999E-5</c:v>
                </c:pt>
                <c:pt idx="431">
                  <c:v>3.5769177910347501E-5</c:v>
                </c:pt>
                <c:pt idx="432">
                  <c:v>4.3018525675991899E-5</c:v>
                </c:pt>
                <c:pt idx="433">
                  <c:v>1.76513628996876E-5</c:v>
                </c:pt>
                <c:pt idx="434">
                  <c:v>9.8139133188909097E-6</c:v>
                </c:pt>
                <c:pt idx="435">
                  <c:v>1.14229127925493E-4</c:v>
                </c:pt>
                <c:pt idx="436">
                  <c:v>1.1383580180339001E-5</c:v>
                </c:pt>
                <c:pt idx="437">
                  <c:v>1.05608200131576E-5</c:v>
                </c:pt>
                <c:pt idx="438">
                  <c:v>1.6118346946898701E-5</c:v>
                </c:pt>
                <c:pt idx="439">
                  <c:v>1.13380701352589E-4</c:v>
                </c:pt>
                <c:pt idx="440">
                  <c:v>7.8012513408637392E-6</c:v>
                </c:pt>
                <c:pt idx="441">
                  <c:v>4.6060721423992203E-5</c:v>
                </c:pt>
                <c:pt idx="442">
                  <c:v>4.1751595174133801E-5</c:v>
                </c:pt>
                <c:pt idx="443">
                  <c:v>2.6270059269232501E-5</c:v>
                </c:pt>
                <c:pt idx="444">
                  <c:v>1.7374496374170401E-5</c:v>
                </c:pt>
                <c:pt idx="445">
                  <c:v>6.8507249554069095E-4</c:v>
                </c:pt>
                <c:pt idx="446">
                  <c:v>1.9982932479861701E-4</c:v>
                </c:pt>
                <c:pt idx="447">
                  <c:v>2.81068358353263E-5</c:v>
                </c:pt>
                <c:pt idx="448">
                  <c:v>7.4148214566408698E-6</c:v>
                </c:pt>
                <c:pt idx="449">
                  <c:v>6.0992206294709903E-6</c:v>
                </c:pt>
                <c:pt idx="450">
                  <c:v>1.41615880331299E-5</c:v>
                </c:pt>
                <c:pt idx="451">
                  <c:v>5.32652677179994E-5</c:v>
                </c:pt>
                <c:pt idx="452">
                  <c:v>4.2954749159673901E-5</c:v>
                </c:pt>
                <c:pt idx="453">
                  <c:v>3.42217168556464E-4</c:v>
                </c:pt>
                <c:pt idx="454">
                  <c:v>8.0102765543976599E-5</c:v>
                </c:pt>
                <c:pt idx="455">
                  <c:v>4.5872255955271298E-5</c:v>
                </c:pt>
                <c:pt idx="456">
                  <c:v>2.8823713188727301E-7</c:v>
                </c:pt>
                <c:pt idx="457">
                  <c:v>4.4995641975557599E-5</c:v>
                </c:pt>
                <c:pt idx="458">
                  <c:v>5.8145094663314603E-6</c:v>
                </c:pt>
                <c:pt idx="459">
                  <c:v>1.05694622114699E-5</c:v>
                </c:pt>
                <c:pt idx="460">
                  <c:v>1.0201020764760401E-5</c:v>
                </c:pt>
                <c:pt idx="461">
                  <c:v>9.6314303001271697E-5</c:v>
                </c:pt>
                <c:pt idx="462">
                  <c:v>2.45913806105733E-5</c:v>
                </c:pt>
                <c:pt idx="463">
                  <c:v>6.7437804873196497E-6</c:v>
                </c:pt>
                <c:pt idx="464">
                  <c:v>2.11725492468679E-5</c:v>
                </c:pt>
                <c:pt idx="465">
                  <c:v>2.50392412138902E-5</c:v>
                </c:pt>
                <c:pt idx="466">
                  <c:v>1.41745906920484E-4</c:v>
                </c:pt>
                <c:pt idx="467">
                  <c:v>1.31941762398682E-5</c:v>
                </c:pt>
                <c:pt idx="468">
                  <c:v>6.5052154136221907E-5</c:v>
                </c:pt>
                <c:pt idx="469">
                  <c:v>4.2001916353859803E-5</c:v>
                </c:pt>
                <c:pt idx="470">
                  <c:v>3.7184312338789898E-4</c:v>
                </c:pt>
                <c:pt idx="471">
                  <c:v>9.9640069133898396E-5</c:v>
                </c:pt>
                <c:pt idx="472">
                  <c:v>7.3681289763671094E-5</c:v>
                </c:pt>
                <c:pt idx="473">
                  <c:v>8.0297921269431097E-5</c:v>
                </c:pt>
                <c:pt idx="474">
                  <c:v>2.6007242477452901E-5</c:v>
                </c:pt>
                <c:pt idx="475">
                  <c:v>2.1279443179807001E-5</c:v>
                </c:pt>
                <c:pt idx="476">
                  <c:v>9.9226307587387596E-5</c:v>
                </c:pt>
                <c:pt idx="477">
                  <c:v>2.66795805444607E-5</c:v>
                </c:pt>
                <c:pt idx="478">
                  <c:v>2.7487556386786402E-4</c:v>
                </c:pt>
                <c:pt idx="479">
                  <c:v>2.2845011272539901E-5</c:v>
                </c:pt>
                <c:pt idx="480">
                  <c:v>2.3369140045116999E-5</c:v>
                </c:pt>
                <c:pt idx="481">
                  <c:v>1.23516970931022E-5</c:v>
                </c:pt>
                <c:pt idx="482">
                  <c:v>2.4106367014685701E-5</c:v>
                </c:pt>
                <c:pt idx="483">
                  <c:v>6.6130527163490803E-6</c:v>
                </c:pt>
                <c:pt idx="484">
                  <c:v>1.31373031673407E-5</c:v>
                </c:pt>
                <c:pt idx="485">
                  <c:v>2.51588210545679E-5</c:v>
                </c:pt>
                <c:pt idx="486">
                  <c:v>4.22160501384383E-5</c:v>
                </c:pt>
                <c:pt idx="487">
                  <c:v>1.5989384912778299E-5</c:v>
                </c:pt>
                <c:pt idx="488">
                  <c:v>4.03780322333788E-5</c:v>
                </c:pt>
                <c:pt idx="489">
                  <c:v>7.7379872776935093E-5</c:v>
                </c:pt>
                <c:pt idx="490">
                  <c:v>7.3897354246517293E-5</c:v>
                </c:pt>
                <c:pt idx="491">
                  <c:v>3.8962619439284301E-5</c:v>
                </c:pt>
                <c:pt idx="492">
                  <c:v>2.52431143358945E-5</c:v>
                </c:pt>
                <c:pt idx="493">
                  <c:v>7.341632622384E-6</c:v>
                </c:pt>
                <c:pt idx="494">
                  <c:v>1.47242326462249E-5</c:v>
                </c:pt>
                <c:pt idx="495">
                  <c:v>1.24488568968512E-5</c:v>
                </c:pt>
                <c:pt idx="496">
                  <c:v>2.2450102247660398E-5</c:v>
                </c:pt>
                <c:pt idx="497">
                  <c:v>1.77291432968996E-5</c:v>
                </c:pt>
                <c:pt idx="498">
                  <c:v>4.5701558273620501E-4</c:v>
                </c:pt>
                <c:pt idx="499">
                  <c:v>2.1768648996704501E-5</c:v>
                </c:pt>
                <c:pt idx="500">
                  <c:v>5.5384644071266498E-6</c:v>
                </c:pt>
                <c:pt idx="501">
                  <c:v>1.32335950421885E-5</c:v>
                </c:pt>
                <c:pt idx="502">
                  <c:v>3.5520935843476002E-6</c:v>
                </c:pt>
                <c:pt idx="503">
                  <c:v>2.0470147999707899E-5</c:v>
                </c:pt>
                <c:pt idx="504">
                  <c:v>1.0534645927786501E-5</c:v>
                </c:pt>
                <c:pt idx="505">
                  <c:v>7.6735013115051596E-5</c:v>
                </c:pt>
                <c:pt idx="506">
                  <c:v>1.11284515152592E-4</c:v>
                </c:pt>
                <c:pt idx="507">
                  <c:v>1.20179535790131E-5</c:v>
                </c:pt>
                <c:pt idx="508">
                  <c:v>9.6840937322151598E-6</c:v>
                </c:pt>
                <c:pt idx="509">
                  <c:v>4.6786130706713203E-5</c:v>
                </c:pt>
                <c:pt idx="510">
                  <c:v>1.0625409705141299E-5</c:v>
                </c:pt>
                <c:pt idx="511">
                  <c:v>1.46208807440472E-5</c:v>
                </c:pt>
                <c:pt idx="512">
                  <c:v>1.55602222325853E-5</c:v>
                </c:pt>
                <c:pt idx="513">
                  <c:v>1.42554206521532E-3</c:v>
                </c:pt>
                <c:pt idx="514">
                  <c:v>6.3534940174167596E-5</c:v>
                </c:pt>
                <c:pt idx="515">
                  <c:v>6.7817309484171802E-5</c:v>
                </c:pt>
                <c:pt idx="516">
                  <c:v>1.1546481121353301E-5</c:v>
                </c:pt>
                <c:pt idx="517">
                  <c:v>1.6861766275491502E-5</c:v>
                </c:pt>
                <c:pt idx="518">
                  <c:v>2.2605265942117901E-5</c:v>
                </c:pt>
                <c:pt idx="519">
                  <c:v>9.03467727238459E-6</c:v>
                </c:pt>
                <c:pt idx="520">
                  <c:v>6.1350355493241398E-4</c:v>
                </c:pt>
                <c:pt idx="521">
                  <c:v>4.9966164004106501E-5</c:v>
                </c:pt>
                <c:pt idx="522">
                  <c:v>1.34038721303621E-5</c:v>
                </c:pt>
                <c:pt idx="523">
                  <c:v>1.0413284665110901E-5</c:v>
                </c:pt>
                <c:pt idx="524">
                  <c:v>2.07980357314056E-4</c:v>
                </c:pt>
                <c:pt idx="525">
                  <c:v>1.1846987686158E-7</c:v>
                </c:pt>
                <c:pt idx="526">
                  <c:v>5.1982141220846201E-6</c:v>
                </c:pt>
                <c:pt idx="527">
                  <c:v>5.8072378102874303E-6</c:v>
                </c:pt>
                <c:pt idx="528">
                  <c:v>6.9648938464115706E-8</c:v>
                </c:pt>
                <c:pt idx="529">
                  <c:v>4.2507166163650403E-5</c:v>
                </c:pt>
                <c:pt idx="530">
                  <c:v>5.7674481079148398E-5</c:v>
                </c:pt>
                <c:pt idx="531">
                  <c:v>4.8583701893991502E-5</c:v>
                </c:pt>
                <c:pt idx="532">
                  <c:v>1.7342604571670499E-4</c:v>
                </c:pt>
                <c:pt idx="533">
                  <c:v>6.4742609712649197E-6</c:v>
                </c:pt>
                <c:pt idx="534">
                  <c:v>1.44083591555671E-5</c:v>
                </c:pt>
                <c:pt idx="535">
                  <c:v>4.0649138761599599E-5</c:v>
                </c:pt>
                <c:pt idx="536">
                  <c:v>1.9761821296451901E-5</c:v>
                </c:pt>
                <c:pt idx="537">
                  <c:v>4.6731231906819201E-4</c:v>
                </c:pt>
                <c:pt idx="538">
                  <c:v>2.3123047461900301E-5</c:v>
                </c:pt>
                <c:pt idx="539">
                  <c:v>1.19006823279206E-5</c:v>
                </c:pt>
                <c:pt idx="540">
                  <c:v>1.06445703030815E-5</c:v>
                </c:pt>
                <c:pt idx="541">
                  <c:v>6.7295796117143399E-6</c:v>
                </c:pt>
                <c:pt idx="542">
                  <c:v>8.0445386751612502E-4</c:v>
                </c:pt>
                <c:pt idx="543">
                  <c:v>2.1434238812414199E-5</c:v>
                </c:pt>
                <c:pt idx="544">
                  <c:v>2.47912251964476E-6</c:v>
                </c:pt>
                <c:pt idx="545">
                  <c:v>1.0599605945907701E-5</c:v>
                </c:pt>
                <c:pt idx="546">
                  <c:v>1.02852204096996E-6</c:v>
                </c:pt>
                <c:pt idx="547">
                  <c:v>4.4036081367302901E-4</c:v>
                </c:pt>
                <c:pt idx="548">
                  <c:v>1.4640761988852901E-5</c:v>
                </c:pt>
                <c:pt idx="549">
                  <c:v>2.2862664439413499E-5</c:v>
                </c:pt>
                <c:pt idx="550">
                  <c:v>6.7142065768223294E-5</c:v>
                </c:pt>
                <c:pt idx="551">
                  <c:v>4.4126120690723302E-6</c:v>
                </c:pt>
                <c:pt idx="552">
                  <c:v>8.3142649916593305E-5</c:v>
                </c:pt>
                <c:pt idx="553">
                  <c:v>6.6725508258806797E-6</c:v>
                </c:pt>
                <c:pt idx="554">
                  <c:v>2.7049823800712099E-4</c:v>
                </c:pt>
                <c:pt idx="555">
                  <c:v>7.7909810908554205E-6</c:v>
                </c:pt>
                <c:pt idx="556">
                  <c:v>3.6946002557911999E-7</c:v>
                </c:pt>
                <c:pt idx="557">
                  <c:v>5.55778581924454E-6</c:v>
                </c:pt>
                <c:pt idx="558">
                  <c:v>8.6832250859303797E-6</c:v>
                </c:pt>
                <c:pt idx="559">
                  <c:v>2.3693320945703501E-5</c:v>
                </c:pt>
                <c:pt idx="560">
                  <c:v>2.6049328235295098E-5</c:v>
                </c:pt>
                <c:pt idx="561">
                  <c:v>1.6350792847958999E-5</c:v>
                </c:pt>
                <c:pt idx="562">
                  <c:v>1.03156561767115E-5</c:v>
                </c:pt>
                <c:pt idx="563">
                  <c:v>9.0393160117268802E-6</c:v>
                </c:pt>
                <c:pt idx="564">
                  <c:v>1.2686748760551799E-5</c:v>
                </c:pt>
                <c:pt idx="565">
                  <c:v>3.0442482375869798E-6</c:v>
                </c:pt>
                <c:pt idx="566">
                  <c:v>1.19341376647957E-4</c:v>
                </c:pt>
                <c:pt idx="567">
                  <c:v>3.20874200896349E-4</c:v>
                </c:pt>
                <c:pt idx="568">
                  <c:v>8.3223652292673508E-6</c:v>
                </c:pt>
                <c:pt idx="569">
                  <c:v>5.9043312825832704E-6</c:v>
                </c:pt>
                <c:pt idx="570">
                  <c:v>8.4458291177138499E-6</c:v>
                </c:pt>
                <c:pt idx="571">
                  <c:v>8.1743627956573298E-7</c:v>
                </c:pt>
                <c:pt idx="572">
                  <c:v>6.6393744789241996E-6</c:v>
                </c:pt>
                <c:pt idx="573">
                  <c:v>1.0132324571485601E-3</c:v>
                </c:pt>
                <c:pt idx="574">
                  <c:v>5.0233096617755197E-6</c:v>
                </c:pt>
                <c:pt idx="575">
                  <c:v>1.61955010130962E-6</c:v>
                </c:pt>
                <c:pt idx="576">
                  <c:v>3.7587532331459302E-6</c:v>
                </c:pt>
                <c:pt idx="577">
                  <c:v>1.2148959550129899E-6</c:v>
                </c:pt>
                <c:pt idx="578">
                  <c:v>2.3401148506732399E-5</c:v>
                </c:pt>
                <c:pt idx="579">
                  <c:v>1.29330277469776E-6</c:v>
                </c:pt>
                <c:pt idx="580">
                  <c:v>2.0792348371383399E-6</c:v>
                </c:pt>
                <c:pt idx="581">
                  <c:v>2.2091444851172801E-5</c:v>
                </c:pt>
                <c:pt idx="582">
                  <c:v>8.3548466241794596E-5</c:v>
                </c:pt>
                <c:pt idx="583">
                  <c:v>8.9192807075846898E-6</c:v>
                </c:pt>
                <c:pt idx="584">
                  <c:v>2.21692095241889E-5</c:v>
                </c:pt>
                <c:pt idx="585">
                  <c:v>3.1905097018898701E-6</c:v>
                </c:pt>
                <c:pt idx="586">
                  <c:v>1.7769261298411801E-5</c:v>
                </c:pt>
                <c:pt idx="587">
                  <c:v>5.2660073070694503E-6</c:v>
                </c:pt>
                <c:pt idx="588">
                  <c:v>2.2603026343632999E-6</c:v>
                </c:pt>
                <c:pt idx="589">
                  <c:v>7.9989010598143204E-7</c:v>
                </c:pt>
                <c:pt idx="590">
                  <c:v>1.1398107859138599E-5</c:v>
                </c:pt>
                <c:pt idx="591">
                  <c:v>3.3828029396187502E-6</c:v>
                </c:pt>
              </c:numCache>
            </c:numRef>
          </c:xVal>
          <c:yVal>
            <c:numRef>
              <c:f>'Relative Protein Abundances'!$C$2:$C$593</c:f>
              <c:numCache>
                <c:formatCode>General</c:formatCode>
                <c:ptCount val="592"/>
                <c:pt idx="0">
                  <c:v>1.74E-4</c:v>
                </c:pt>
                <c:pt idx="1">
                  <c:v>3.1099999999999999E-3</c:v>
                </c:pt>
                <c:pt idx="2">
                  <c:v>5.359E-3</c:v>
                </c:pt>
                <c:pt idx="3">
                  <c:v>2.748E-3</c:v>
                </c:pt>
                <c:pt idx="4">
                  <c:v>2.0000000000000001E-4</c:v>
                </c:pt>
                <c:pt idx="5">
                  <c:v>7.2200000000000003E-6</c:v>
                </c:pt>
                <c:pt idx="6">
                  <c:v>8.6479999999999994E-3</c:v>
                </c:pt>
                <c:pt idx="7">
                  <c:v>1.4135E-2</c:v>
                </c:pt>
                <c:pt idx="8">
                  <c:v>8.4510000000000002E-3</c:v>
                </c:pt>
                <c:pt idx="9">
                  <c:v>1.4679999999999999E-3</c:v>
                </c:pt>
                <c:pt idx="10">
                  <c:v>2.3960000000000001E-3</c:v>
                </c:pt>
                <c:pt idx="11">
                  <c:v>1.4170000000000001E-3</c:v>
                </c:pt>
                <c:pt idx="12">
                  <c:v>5.4469999999999996E-3</c:v>
                </c:pt>
                <c:pt idx="13">
                  <c:v>5.8970000000000003E-3</c:v>
                </c:pt>
                <c:pt idx="14">
                  <c:v>3.6679999999999998E-3</c:v>
                </c:pt>
                <c:pt idx="15">
                  <c:v>5.8560000000000001E-3</c:v>
                </c:pt>
                <c:pt idx="16">
                  <c:v>7.424E-3</c:v>
                </c:pt>
                <c:pt idx="17">
                  <c:v>5.6429999999999996E-3</c:v>
                </c:pt>
                <c:pt idx="18">
                  <c:v>5.2209999999999999E-3</c:v>
                </c:pt>
                <c:pt idx="19">
                  <c:v>3.7680000000000001E-3</c:v>
                </c:pt>
                <c:pt idx="20">
                  <c:v>3.6849999999999999E-3</c:v>
                </c:pt>
                <c:pt idx="21">
                  <c:v>1.93E-4</c:v>
                </c:pt>
                <c:pt idx="22">
                  <c:v>7.1630000000000001E-3</c:v>
                </c:pt>
                <c:pt idx="23">
                  <c:v>3.3519999999999999E-3</c:v>
                </c:pt>
                <c:pt idx="24">
                  <c:v>1.451E-3</c:v>
                </c:pt>
                <c:pt idx="25">
                  <c:v>3.6600000000000002E-5</c:v>
                </c:pt>
                <c:pt idx="26">
                  <c:v>1.7910000000000001E-3</c:v>
                </c:pt>
                <c:pt idx="27">
                  <c:v>2.6949999999999999E-3</c:v>
                </c:pt>
                <c:pt idx="28">
                  <c:v>3.1289999999999998E-3</c:v>
                </c:pt>
                <c:pt idx="29">
                  <c:v>8.4600000000000003E-6</c:v>
                </c:pt>
                <c:pt idx="30">
                  <c:v>2.5119999999999999E-3</c:v>
                </c:pt>
                <c:pt idx="31">
                  <c:v>4.0749999999999996E-3</c:v>
                </c:pt>
                <c:pt idx="32">
                  <c:v>2.6599999999999999E-5</c:v>
                </c:pt>
                <c:pt idx="33">
                  <c:v>5.3399999999999997E-4</c:v>
                </c:pt>
                <c:pt idx="34">
                  <c:v>2.3800000000000001E-4</c:v>
                </c:pt>
                <c:pt idx="35">
                  <c:v>1.9689999999999998E-3</c:v>
                </c:pt>
                <c:pt idx="36">
                  <c:v>2.7680000000000001E-3</c:v>
                </c:pt>
                <c:pt idx="37">
                  <c:v>1.787E-3</c:v>
                </c:pt>
                <c:pt idx="38">
                  <c:v>2.166E-3</c:v>
                </c:pt>
                <c:pt idx="39">
                  <c:v>8.5499999999999997E-4</c:v>
                </c:pt>
                <c:pt idx="40">
                  <c:v>9.68E-4</c:v>
                </c:pt>
                <c:pt idx="41">
                  <c:v>2.82E-3</c:v>
                </c:pt>
                <c:pt idx="42">
                  <c:v>2.1489999999999999E-3</c:v>
                </c:pt>
                <c:pt idx="43">
                  <c:v>5.4799999999999998E-4</c:v>
                </c:pt>
                <c:pt idx="44">
                  <c:v>1.18E-4</c:v>
                </c:pt>
                <c:pt idx="45">
                  <c:v>1.7129999999999999E-3</c:v>
                </c:pt>
                <c:pt idx="46">
                  <c:v>2.0240000000000002E-3</c:v>
                </c:pt>
                <c:pt idx="47">
                  <c:v>1.2979999999999999E-3</c:v>
                </c:pt>
                <c:pt idx="48">
                  <c:v>1.4890000000000001E-3</c:v>
                </c:pt>
                <c:pt idx="49">
                  <c:v>3.3300000000000002E-4</c:v>
                </c:pt>
                <c:pt idx="50">
                  <c:v>1.598E-3</c:v>
                </c:pt>
                <c:pt idx="51">
                  <c:v>1.382E-3</c:v>
                </c:pt>
                <c:pt idx="52">
                  <c:v>1.346E-3</c:v>
                </c:pt>
                <c:pt idx="53">
                  <c:v>2.4589999999999998E-3</c:v>
                </c:pt>
                <c:pt idx="54">
                  <c:v>9.5E-4</c:v>
                </c:pt>
                <c:pt idx="55">
                  <c:v>4.15E-4</c:v>
                </c:pt>
                <c:pt idx="56">
                  <c:v>1.387E-3</c:v>
                </c:pt>
                <c:pt idx="57">
                  <c:v>2.0439999999999998E-3</c:v>
                </c:pt>
                <c:pt idx="58">
                  <c:v>9.8400000000000007E-4</c:v>
                </c:pt>
                <c:pt idx="59">
                  <c:v>1.4649999999999999E-3</c:v>
                </c:pt>
                <c:pt idx="60">
                  <c:v>1.684E-3</c:v>
                </c:pt>
                <c:pt idx="61">
                  <c:v>1.0970000000000001E-3</c:v>
                </c:pt>
                <c:pt idx="62">
                  <c:v>1.083E-3</c:v>
                </c:pt>
                <c:pt idx="63">
                  <c:v>7.1199999999999996E-5</c:v>
                </c:pt>
                <c:pt idx="64">
                  <c:v>3.2100000000000001E-5</c:v>
                </c:pt>
                <c:pt idx="65">
                  <c:v>9.2800000000000001E-4</c:v>
                </c:pt>
                <c:pt idx="66">
                  <c:v>1.114E-3</c:v>
                </c:pt>
                <c:pt idx="67">
                  <c:v>8.7500000000000002E-4</c:v>
                </c:pt>
                <c:pt idx="68">
                  <c:v>7.7999999999999999E-4</c:v>
                </c:pt>
                <c:pt idx="69">
                  <c:v>2.5339999999999998E-3</c:v>
                </c:pt>
                <c:pt idx="70">
                  <c:v>1.879E-3</c:v>
                </c:pt>
                <c:pt idx="71">
                  <c:v>3.5560000000000001E-3</c:v>
                </c:pt>
                <c:pt idx="72">
                  <c:v>2.7100000000000001E-5</c:v>
                </c:pt>
                <c:pt idx="73">
                  <c:v>2.5999999999999998E-4</c:v>
                </c:pt>
                <c:pt idx="74">
                  <c:v>6.2200000000000005E-4</c:v>
                </c:pt>
                <c:pt idx="75">
                  <c:v>2.0699999999999999E-4</c:v>
                </c:pt>
                <c:pt idx="76">
                  <c:v>4.901E-3</c:v>
                </c:pt>
                <c:pt idx="77">
                  <c:v>8.0599999999999997E-4</c:v>
                </c:pt>
                <c:pt idx="78">
                  <c:v>6.2139999999999999E-3</c:v>
                </c:pt>
                <c:pt idx="79">
                  <c:v>3.6999999999999999E-4</c:v>
                </c:pt>
                <c:pt idx="80">
                  <c:v>1.07E-4</c:v>
                </c:pt>
                <c:pt idx="81">
                  <c:v>1.077E-3</c:v>
                </c:pt>
                <c:pt idx="82">
                  <c:v>2.421E-3</c:v>
                </c:pt>
                <c:pt idx="83">
                  <c:v>3.7300000000000001E-4</c:v>
                </c:pt>
                <c:pt idx="84">
                  <c:v>7.9799999999999999E-4</c:v>
                </c:pt>
                <c:pt idx="85">
                  <c:v>3.1599999999999998E-4</c:v>
                </c:pt>
                <c:pt idx="86">
                  <c:v>2.039E-3</c:v>
                </c:pt>
                <c:pt idx="87">
                  <c:v>1.2979999999999999E-3</c:v>
                </c:pt>
                <c:pt idx="88">
                  <c:v>1.2769999999999999E-3</c:v>
                </c:pt>
                <c:pt idx="89">
                  <c:v>8.5499999999999997E-4</c:v>
                </c:pt>
                <c:pt idx="90">
                  <c:v>7.3399999999999995E-4</c:v>
                </c:pt>
                <c:pt idx="91">
                  <c:v>7.0200000000000004E-4</c:v>
                </c:pt>
                <c:pt idx="92">
                  <c:v>1.2340000000000001E-3</c:v>
                </c:pt>
                <c:pt idx="93">
                  <c:v>1.258E-3</c:v>
                </c:pt>
                <c:pt idx="94">
                  <c:v>1.503E-3</c:v>
                </c:pt>
                <c:pt idx="95">
                  <c:v>1.183E-3</c:v>
                </c:pt>
                <c:pt idx="96">
                  <c:v>6.1799999999999998E-5</c:v>
                </c:pt>
                <c:pt idx="97">
                  <c:v>2.12E-5</c:v>
                </c:pt>
                <c:pt idx="98">
                  <c:v>1.7900000000000001E-5</c:v>
                </c:pt>
                <c:pt idx="99">
                  <c:v>2.1519999999999998E-3</c:v>
                </c:pt>
                <c:pt idx="100">
                  <c:v>8.8400000000000001E-6</c:v>
                </c:pt>
                <c:pt idx="101">
                  <c:v>7.0399999999999998E-4</c:v>
                </c:pt>
                <c:pt idx="102">
                  <c:v>4.9200000000000003E-5</c:v>
                </c:pt>
                <c:pt idx="103">
                  <c:v>5.9500000000000004E-4</c:v>
                </c:pt>
                <c:pt idx="104">
                  <c:v>1.91E-3</c:v>
                </c:pt>
                <c:pt idx="105">
                  <c:v>6.3500000000000004E-4</c:v>
                </c:pt>
                <c:pt idx="106">
                  <c:v>1.63E-5</c:v>
                </c:pt>
                <c:pt idx="107">
                  <c:v>1.45E-4</c:v>
                </c:pt>
                <c:pt idx="108">
                  <c:v>3.7500000000000001E-4</c:v>
                </c:pt>
                <c:pt idx="109">
                  <c:v>1.598E-3</c:v>
                </c:pt>
                <c:pt idx="110">
                  <c:v>1.059E-3</c:v>
                </c:pt>
                <c:pt idx="111">
                  <c:v>6.8999999999999997E-4</c:v>
                </c:pt>
                <c:pt idx="112">
                  <c:v>5.8E-4</c:v>
                </c:pt>
                <c:pt idx="113">
                  <c:v>3.1700000000000001E-4</c:v>
                </c:pt>
                <c:pt idx="114">
                  <c:v>1.3999999999999999E-4</c:v>
                </c:pt>
                <c:pt idx="115">
                  <c:v>3.1799999999999998E-4</c:v>
                </c:pt>
                <c:pt idx="116">
                  <c:v>2.0790000000000001E-3</c:v>
                </c:pt>
                <c:pt idx="117">
                  <c:v>6.0400000000000004E-4</c:v>
                </c:pt>
                <c:pt idx="118">
                  <c:v>1.2800000000000001E-3</c:v>
                </c:pt>
                <c:pt idx="119">
                  <c:v>8.5999999999999998E-4</c:v>
                </c:pt>
                <c:pt idx="120">
                  <c:v>1.534E-3</c:v>
                </c:pt>
                <c:pt idx="121">
                  <c:v>9.3700000000000001E-4</c:v>
                </c:pt>
                <c:pt idx="122">
                  <c:v>4.7100000000000001E-4</c:v>
                </c:pt>
                <c:pt idx="123">
                  <c:v>6.2E-4</c:v>
                </c:pt>
                <c:pt idx="124">
                  <c:v>6.7899999999999997E-5</c:v>
                </c:pt>
                <c:pt idx="125">
                  <c:v>5.2499999999999997E-4</c:v>
                </c:pt>
                <c:pt idx="126">
                  <c:v>1.9750000000000002E-3</c:v>
                </c:pt>
                <c:pt idx="127">
                  <c:v>5.8500000000000002E-4</c:v>
                </c:pt>
                <c:pt idx="128">
                  <c:v>5.9299999999999999E-4</c:v>
                </c:pt>
                <c:pt idx="129">
                  <c:v>5.5000000000000003E-4</c:v>
                </c:pt>
                <c:pt idx="130">
                  <c:v>1.3999999999999999E-4</c:v>
                </c:pt>
                <c:pt idx="131">
                  <c:v>2.0599999999999999E-4</c:v>
                </c:pt>
                <c:pt idx="132">
                  <c:v>5.8100000000000003E-4</c:v>
                </c:pt>
                <c:pt idx="133">
                  <c:v>4.37E-4</c:v>
                </c:pt>
                <c:pt idx="134">
                  <c:v>9.9099999999999991E-4</c:v>
                </c:pt>
                <c:pt idx="135">
                  <c:v>8.5599999999999999E-4</c:v>
                </c:pt>
                <c:pt idx="136">
                  <c:v>7.9500000000000003E-4</c:v>
                </c:pt>
                <c:pt idx="137">
                  <c:v>4.5600000000000003E-4</c:v>
                </c:pt>
                <c:pt idx="138">
                  <c:v>5.7200000000000003E-4</c:v>
                </c:pt>
                <c:pt idx="139">
                  <c:v>4.1399999999999998E-4</c:v>
                </c:pt>
                <c:pt idx="140">
                  <c:v>1.7899999999999999E-4</c:v>
                </c:pt>
                <c:pt idx="141">
                  <c:v>4.26E-4</c:v>
                </c:pt>
                <c:pt idx="142">
                  <c:v>4.6900000000000002E-4</c:v>
                </c:pt>
                <c:pt idx="143">
                  <c:v>7.3899999999999997E-4</c:v>
                </c:pt>
                <c:pt idx="144">
                  <c:v>2.5699999999999998E-3</c:v>
                </c:pt>
                <c:pt idx="145">
                  <c:v>3.8900000000000002E-4</c:v>
                </c:pt>
                <c:pt idx="146">
                  <c:v>1.003E-3</c:v>
                </c:pt>
                <c:pt idx="147">
                  <c:v>8.0699999999999999E-4</c:v>
                </c:pt>
                <c:pt idx="148">
                  <c:v>3.77E-4</c:v>
                </c:pt>
                <c:pt idx="149">
                  <c:v>3.0899999999999999E-5</c:v>
                </c:pt>
                <c:pt idx="150">
                  <c:v>1.4100000000000001E-4</c:v>
                </c:pt>
                <c:pt idx="151">
                  <c:v>3.6900000000000002E-5</c:v>
                </c:pt>
                <c:pt idx="152">
                  <c:v>1.2880000000000001E-3</c:v>
                </c:pt>
                <c:pt idx="153">
                  <c:v>1.0120000000000001E-3</c:v>
                </c:pt>
                <c:pt idx="154">
                  <c:v>4.7100000000000001E-4</c:v>
                </c:pt>
                <c:pt idx="155">
                  <c:v>7.1400000000000001E-4</c:v>
                </c:pt>
                <c:pt idx="156">
                  <c:v>1.95E-4</c:v>
                </c:pt>
                <c:pt idx="157">
                  <c:v>7.45E-4</c:v>
                </c:pt>
                <c:pt idx="158">
                  <c:v>5.5099999999999995E-4</c:v>
                </c:pt>
                <c:pt idx="159">
                  <c:v>3.3199999999999999E-4</c:v>
                </c:pt>
                <c:pt idx="160">
                  <c:v>9.3800000000000003E-4</c:v>
                </c:pt>
                <c:pt idx="161">
                  <c:v>5.1500000000000005E-4</c:v>
                </c:pt>
                <c:pt idx="162">
                  <c:v>1.552E-3</c:v>
                </c:pt>
                <c:pt idx="163">
                  <c:v>3.2200000000000002E-4</c:v>
                </c:pt>
                <c:pt idx="164">
                  <c:v>3.6299999999999999E-4</c:v>
                </c:pt>
                <c:pt idx="165">
                  <c:v>4.3399999999999998E-4</c:v>
                </c:pt>
                <c:pt idx="166">
                  <c:v>3.2000000000000003E-4</c:v>
                </c:pt>
                <c:pt idx="167">
                  <c:v>4.0499999999999998E-4</c:v>
                </c:pt>
                <c:pt idx="168">
                  <c:v>4.4499999999999997E-4</c:v>
                </c:pt>
                <c:pt idx="169">
                  <c:v>5.1199999999999998E-4</c:v>
                </c:pt>
                <c:pt idx="170">
                  <c:v>2.5000000000000001E-4</c:v>
                </c:pt>
                <c:pt idx="171">
                  <c:v>3.0200000000000002E-4</c:v>
                </c:pt>
                <c:pt idx="172">
                  <c:v>7.7899999999999996E-5</c:v>
                </c:pt>
                <c:pt idx="173">
                  <c:v>3.3500000000000001E-4</c:v>
                </c:pt>
                <c:pt idx="174">
                  <c:v>3.6900000000000002E-4</c:v>
                </c:pt>
                <c:pt idx="175">
                  <c:v>4.9100000000000001E-4</c:v>
                </c:pt>
                <c:pt idx="176">
                  <c:v>4.2700000000000002E-4</c:v>
                </c:pt>
                <c:pt idx="177">
                  <c:v>3.8299999999999999E-4</c:v>
                </c:pt>
                <c:pt idx="178">
                  <c:v>3.1100000000000002E-4</c:v>
                </c:pt>
                <c:pt idx="179">
                  <c:v>3.0499999999999999E-4</c:v>
                </c:pt>
                <c:pt idx="180">
                  <c:v>5.8699999999999996E-4</c:v>
                </c:pt>
                <c:pt idx="181">
                  <c:v>5.9599999999999996E-4</c:v>
                </c:pt>
                <c:pt idx="182">
                  <c:v>2.6800000000000001E-4</c:v>
                </c:pt>
                <c:pt idx="183">
                  <c:v>8.5699999999999996E-5</c:v>
                </c:pt>
                <c:pt idx="184">
                  <c:v>3.0400000000000002E-4</c:v>
                </c:pt>
                <c:pt idx="185">
                  <c:v>3.4699999999999998E-4</c:v>
                </c:pt>
                <c:pt idx="186">
                  <c:v>3.8900000000000002E-4</c:v>
                </c:pt>
                <c:pt idx="187">
                  <c:v>3.1699999999999998E-5</c:v>
                </c:pt>
                <c:pt idx="188">
                  <c:v>2.4499999999999999E-4</c:v>
                </c:pt>
                <c:pt idx="189">
                  <c:v>4.0299999999999998E-4</c:v>
                </c:pt>
                <c:pt idx="190">
                  <c:v>2.31E-4</c:v>
                </c:pt>
                <c:pt idx="191">
                  <c:v>2.4399999999999999E-4</c:v>
                </c:pt>
                <c:pt idx="192">
                  <c:v>3.8900000000000002E-4</c:v>
                </c:pt>
                <c:pt idx="193">
                  <c:v>1.45E-4</c:v>
                </c:pt>
                <c:pt idx="194">
                  <c:v>2.8899999999999998E-4</c:v>
                </c:pt>
                <c:pt idx="195">
                  <c:v>8.6299999999999997E-5</c:v>
                </c:pt>
                <c:pt idx="196">
                  <c:v>7.2599999999999997E-4</c:v>
                </c:pt>
                <c:pt idx="197">
                  <c:v>2.8400000000000002E-4</c:v>
                </c:pt>
                <c:pt idx="198">
                  <c:v>1.575E-3</c:v>
                </c:pt>
                <c:pt idx="199">
                  <c:v>2.2699999999999999E-4</c:v>
                </c:pt>
                <c:pt idx="200">
                  <c:v>5.7399999999999999E-5</c:v>
                </c:pt>
                <c:pt idx="201">
                  <c:v>2.24E-4</c:v>
                </c:pt>
                <c:pt idx="202">
                  <c:v>2.6899999999999998E-4</c:v>
                </c:pt>
                <c:pt idx="203">
                  <c:v>8.5499999999999995E-6</c:v>
                </c:pt>
                <c:pt idx="204">
                  <c:v>5.5300000000000004E-7</c:v>
                </c:pt>
                <c:pt idx="205">
                  <c:v>2.9300000000000002E-4</c:v>
                </c:pt>
                <c:pt idx="206">
                  <c:v>2.13E-4</c:v>
                </c:pt>
                <c:pt idx="207">
                  <c:v>1.2459999999999999E-3</c:v>
                </c:pt>
                <c:pt idx="208">
                  <c:v>8.8500000000000004E-4</c:v>
                </c:pt>
                <c:pt idx="209">
                  <c:v>2.0599999999999999E-4</c:v>
                </c:pt>
                <c:pt idx="210">
                  <c:v>2.3900000000000001E-4</c:v>
                </c:pt>
                <c:pt idx="211">
                  <c:v>6.0099999999999997E-4</c:v>
                </c:pt>
                <c:pt idx="212">
                  <c:v>1.63E-4</c:v>
                </c:pt>
                <c:pt idx="213">
                  <c:v>1.25E-4</c:v>
                </c:pt>
                <c:pt idx="214">
                  <c:v>2.63E-4</c:v>
                </c:pt>
                <c:pt idx="215">
                  <c:v>9.3200000000000002E-5</c:v>
                </c:pt>
                <c:pt idx="216">
                  <c:v>3.2600000000000001E-4</c:v>
                </c:pt>
                <c:pt idx="217">
                  <c:v>2.41E-4</c:v>
                </c:pt>
                <c:pt idx="218">
                  <c:v>2.8299999999999999E-4</c:v>
                </c:pt>
                <c:pt idx="219">
                  <c:v>8.03E-5</c:v>
                </c:pt>
                <c:pt idx="220">
                  <c:v>7.9400000000000002E-6</c:v>
                </c:pt>
                <c:pt idx="221">
                  <c:v>1.92E-4</c:v>
                </c:pt>
                <c:pt idx="222">
                  <c:v>4.9899999999999999E-4</c:v>
                </c:pt>
                <c:pt idx="223">
                  <c:v>2.22E-4</c:v>
                </c:pt>
                <c:pt idx="224">
                  <c:v>2.5500000000000002E-4</c:v>
                </c:pt>
                <c:pt idx="225">
                  <c:v>3.68E-4</c:v>
                </c:pt>
                <c:pt idx="226">
                  <c:v>3.0200000000000002E-4</c:v>
                </c:pt>
                <c:pt idx="227">
                  <c:v>1.1460000000000001E-3</c:v>
                </c:pt>
                <c:pt idx="228">
                  <c:v>4.46E-5</c:v>
                </c:pt>
                <c:pt idx="229">
                  <c:v>2.4600000000000002E-4</c:v>
                </c:pt>
                <c:pt idx="230">
                  <c:v>2.14E-4</c:v>
                </c:pt>
                <c:pt idx="231">
                  <c:v>3.22E-7</c:v>
                </c:pt>
                <c:pt idx="232">
                  <c:v>2.7500000000000002E-4</c:v>
                </c:pt>
                <c:pt idx="233">
                  <c:v>1.029E-3</c:v>
                </c:pt>
                <c:pt idx="234">
                  <c:v>1.93E-4</c:v>
                </c:pt>
                <c:pt idx="235">
                  <c:v>1.1400000000000001E-4</c:v>
                </c:pt>
                <c:pt idx="236">
                  <c:v>2.31E-4</c:v>
                </c:pt>
                <c:pt idx="237">
                  <c:v>6.6400000000000001E-5</c:v>
                </c:pt>
                <c:pt idx="238">
                  <c:v>1.76E-4</c:v>
                </c:pt>
                <c:pt idx="239">
                  <c:v>1.76E-4</c:v>
                </c:pt>
                <c:pt idx="240">
                  <c:v>1.8799999999999999E-4</c:v>
                </c:pt>
                <c:pt idx="241">
                  <c:v>4.8999999999999998E-5</c:v>
                </c:pt>
                <c:pt idx="242">
                  <c:v>1.8799999999999999E-4</c:v>
                </c:pt>
                <c:pt idx="243">
                  <c:v>1.6799999999999999E-4</c:v>
                </c:pt>
                <c:pt idx="244">
                  <c:v>1.83E-4</c:v>
                </c:pt>
                <c:pt idx="245">
                  <c:v>6.4199999999999999E-4</c:v>
                </c:pt>
                <c:pt idx="246">
                  <c:v>7.1699999999999995E-5</c:v>
                </c:pt>
                <c:pt idx="247">
                  <c:v>1.83E-4</c:v>
                </c:pt>
                <c:pt idx="248">
                  <c:v>2.4499999999999999E-4</c:v>
                </c:pt>
                <c:pt idx="249">
                  <c:v>3.1599999999999998E-4</c:v>
                </c:pt>
                <c:pt idx="250">
                  <c:v>3.5500000000000001E-4</c:v>
                </c:pt>
                <c:pt idx="251">
                  <c:v>8.0299999999999998E-8</c:v>
                </c:pt>
                <c:pt idx="252">
                  <c:v>7.7300000000000003E-4</c:v>
                </c:pt>
                <c:pt idx="253">
                  <c:v>2.5899999999999999E-5</c:v>
                </c:pt>
                <c:pt idx="254">
                  <c:v>4.08E-4</c:v>
                </c:pt>
                <c:pt idx="255">
                  <c:v>2.1100000000000001E-4</c:v>
                </c:pt>
                <c:pt idx="256">
                  <c:v>2.8600000000000001E-4</c:v>
                </c:pt>
                <c:pt idx="257">
                  <c:v>2.2599999999999999E-4</c:v>
                </c:pt>
                <c:pt idx="258">
                  <c:v>1.07E-4</c:v>
                </c:pt>
                <c:pt idx="259">
                  <c:v>6.2500000000000001E-4</c:v>
                </c:pt>
                <c:pt idx="260">
                  <c:v>1.7699999999999999E-4</c:v>
                </c:pt>
                <c:pt idx="261">
                  <c:v>6.4099999999999997E-4</c:v>
                </c:pt>
                <c:pt idx="262">
                  <c:v>6.7299999999999996E-5</c:v>
                </c:pt>
                <c:pt idx="263">
                  <c:v>5.2099999999999998E-4</c:v>
                </c:pt>
                <c:pt idx="264">
                  <c:v>2.2599999999999999E-4</c:v>
                </c:pt>
                <c:pt idx="265">
                  <c:v>1.93E-4</c:v>
                </c:pt>
                <c:pt idx="266">
                  <c:v>8.6199999999999995E-5</c:v>
                </c:pt>
                <c:pt idx="267">
                  <c:v>2.61E-4</c:v>
                </c:pt>
                <c:pt idx="268">
                  <c:v>2.3599999999999999E-4</c:v>
                </c:pt>
                <c:pt idx="269">
                  <c:v>5.0299999999999997E-4</c:v>
                </c:pt>
                <c:pt idx="270">
                  <c:v>1.072E-3</c:v>
                </c:pt>
                <c:pt idx="271">
                  <c:v>4.0200000000000001E-5</c:v>
                </c:pt>
                <c:pt idx="272">
                  <c:v>1.101E-3</c:v>
                </c:pt>
                <c:pt idx="273">
                  <c:v>3.2600000000000001E-4</c:v>
                </c:pt>
                <c:pt idx="274">
                  <c:v>5.7800000000000002E-5</c:v>
                </c:pt>
                <c:pt idx="275">
                  <c:v>2.72E-4</c:v>
                </c:pt>
                <c:pt idx="276">
                  <c:v>1.94E-4</c:v>
                </c:pt>
                <c:pt idx="277">
                  <c:v>7.6599999999999997E-4</c:v>
                </c:pt>
                <c:pt idx="278">
                  <c:v>8.2200000000000003E-4</c:v>
                </c:pt>
                <c:pt idx="279">
                  <c:v>8.8300000000000005E-5</c:v>
                </c:pt>
                <c:pt idx="280">
                  <c:v>1.5100000000000001E-4</c:v>
                </c:pt>
                <c:pt idx="281">
                  <c:v>1.8000000000000001E-4</c:v>
                </c:pt>
                <c:pt idx="282">
                  <c:v>2.5300000000000002E-4</c:v>
                </c:pt>
                <c:pt idx="283">
                  <c:v>1.2E-4</c:v>
                </c:pt>
                <c:pt idx="284">
                  <c:v>2.4800000000000001E-4</c:v>
                </c:pt>
                <c:pt idx="285">
                  <c:v>1.08E-4</c:v>
                </c:pt>
                <c:pt idx="286">
                  <c:v>1.0399999999999999E-4</c:v>
                </c:pt>
                <c:pt idx="287">
                  <c:v>9.1299999999999997E-4</c:v>
                </c:pt>
                <c:pt idx="288">
                  <c:v>1.06E-4</c:v>
                </c:pt>
                <c:pt idx="289">
                  <c:v>1.15E-4</c:v>
                </c:pt>
                <c:pt idx="290">
                  <c:v>1.18E-4</c:v>
                </c:pt>
                <c:pt idx="291">
                  <c:v>9.7E-5</c:v>
                </c:pt>
                <c:pt idx="292">
                  <c:v>1.02E-4</c:v>
                </c:pt>
                <c:pt idx="293">
                  <c:v>1.2400000000000001E-4</c:v>
                </c:pt>
                <c:pt idx="294">
                  <c:v>1.222E-3</c:v>
                </c:pt>
                <c:pt idx="295">
                  <c:v>9.4400000000000004E-5</c:v>
                </c:pt>
                <c:pt idx="296">
                  <c:v>6.9999999999999999E-4</c:v>
                </c:pt>
                <c:pt idx="297">
                  <c:v>1.1400000000000001E-4</c:v>
                </c:pt>
                <c:pt idx="298">
                  <c:v>4.0200000000000001E-5</c:v>
                </c:pt>
                <c:pt idx="299">
                  <c:v>1.22E-4</c:v>
                </c:pt>
                <c:pt idx="300">
                  <c:v>1.1E-4</c:v>
                </c:pt>
                <c:pt idx="301">
                  <c:v>6.5600000000000001E-4</c:v>
                </c:pt>
                <c:pt idx="302">
                  <c:v>1.4999999999999999E-4</c:v>
                </c:pt>
                <c:pt idx="303">
                  <c:v>6.2399999999999999E-5</c:v>
                </c:pt>
                <c:pt idx="304">
                  <c:v>3.7399999999999998E-4</c:v>
                </c:pt>
                <c:pt idx="305">
                  <c:v>1.16E-4</c:v>
                </c:pt>
                <c:pt idx="306">
                  <c:v>2.8899999999999998E-4</c:v>
                </c:pt>
                <c:pt idx="307">
                  <c:v>8.8499999999999996E-5</c:v>
                </c:pt>
                <c:pt idx="308">
                  <c:v>1.01E-4</c:v>
                </c:pt>
                <c:pt idx="309">
                  <c:v>1.3100000000000001E-4</c:v>
                </c:pt>
                <c:pt idx="310">
                  <c:v>9.4900000000000003E-5</c:v>
                </c:pt>
                <c:pt idx="311">
                  <c:v>7.8800000000000004E-5</c:v>
                </c:pt>
                <c:pt idx="312">
                  <c:v>8.8300000000000005E-5</c:v>
                </c:pt>
                <c:pt idx="313">
                  <c:v>1.35E-4</c:v>
                </c:pt>
                <c:pt idx="314">
                  <c:v>1.4100000000000001E-4</c:v>
                </c:pt>
                <c:pt idx="315">
                  <c:v>1.9599999999999999E-4</c:v>
                </c:pt>
                <c:pt idx="316">
                  <c:v>1.08E-4</c:v>
                </c:pt>
                <c:pt idx="317">
                  <c:v>7.8499999999999997E-5</c:v>
                </c:pt>
                <c:pt idx="318">
                  <c:v>9.1399999999999999E-5</c:v>
                </c:pt>
                <c:pt idx="319">
                  <c:v>7.36E-5</c:v>
                </c:pt>
                <c:pt idx="320">
                  <c:v>7.6100000000000007E-5</c:v>
                </c:pt>
                <c:pt idx="321">
                  <c:v>1.93E-4</c:v>
                </c:pt>
                <c:pt idx="322">
                  <c:v>9.3900000000000006E-5</c:v>
                </c:pt>
                <c:pt idx="323">
                  <c:v>9.4900000000000003E-5</c:v>
                </c:pt>
                <c:pt idx="324">
                  <c:v>2.1500000000000001E-5</c:v>
                </c:pt>
                <c:pt idx="325">
                  <c:v>1.02E-4</c:v>
                </c:pt>
                <c:pt idx="326">
                  <c:v>8.0799999999999999E-5</c:v>
                </c:pt>
                <c:pt idx="327">
                  <c:v>4.3100000000000001E-4</c:v>
                </c:pt>
                <c:pt idx="328">
                  <c:v>7.2999999999999999E-5</c:v>
                </c:pt>
                <c:pt idx="329">
                  <c:v>2.4800000000000001E-4</c:v>
                </c:pt>
                <c:pt idx="330">
                  <c:v>4.2499999999999998E-4</c:v>
                </c:pt>
                <c:pt idx="331">
                  <c:v>2.0799999999999999E-4</c:v>
                </c:pt>
                <c:pt idx="332">
                  <c:v>1.19E-5</c:v>
                </c:pt>
                <c:pt idx="333">
                  <c:v>1.5989999999999999E-3</c:v>
                </c:pt>
                <c:pt idx="334">
                  <c:v>8.8200000000000003E-5</c:v>
                </c:pt>
                <c:pt idx="335">
                  <c:v>2.9200000000000002E-5</c:v>
                </c:pt>
                <c:pt idx="336">
                  <c:v>6.3700000000000003E-5</c:v>
                </c:pt>
                <c:pt idx="337">
                  <c:v>4.1100000000000001E-7</c:v>
                </c:pt>
                <c:pt idx="338">
                  <c:v>1.0900000000000001E-4</c:v>
                </c:pt>
                <c:pt idx="339">
                  <c:v>6.8399999999999996E-5</c:v>
                </c:pt>
                <c:pt idx="340">
                  <c:v>1.8900000000000001E-4</c:v>
                </c:pt>
                <c:pt idx="341">
                  <c:v>6.4999999999999994E-5</c:v>
                </c:pt>
                <c:pt idx="342">
                  <c:v>3.1199999999999999E-4</c:v>
                </c:pt>
                <c:pt idx="343">
                  <c:v>1.05E-4</c:v>
                </c:pt>
                <c:pt idx="344">
                  <c:v>1.36E-4</c:v>
                </c:pt>
                <c:pt idx="345">
                  <c:v>7.2999999999999999E-5</c:v>
                </c:pt>
                <c:pt idx="346">
                  <c:v>7.2799999999999994E-5</c:v>
                </c:pt>
                <c:pt idx="347">
                  <c:v>2.02E-4</c:v>
                </c:pt>
                <c:pt idx="348">
                  <c:v>1.5200000000000001E-4</c:v>
                </c:pt>
                <c:pt idx="349">
                  <c:v>9.87E-5</c:v>
                </c:pt>
                <c:pt idx="350">
                  <c:v>6.2600000000000004E-5</c:v>
                </c:pt>
                <c:pt idx="351">
                  <c:v>1.16E-4</c:v>
                </c:pt>
                <c:pt idx="352">
                  <c:v>1.08E-4</c:v>
                </c:pt>
                <c:pt idx="353">
                  <c:v>1.55E-6</c:v>
                </c:pt>
                <c:pt idx="354">
                  <c:v>7.1099999999999994E-5</c:v>
                </c:pt>
                <c:pt idx="355">
                  <c:v>1.25E-4</c:v>
                </c:pt>
                <c:pt idx="356">
                  <c:v>3.1600000000000002E-5</c:v>
                </c:pt>
                <c:pt idx="357">
                  <c:v>5.7599999999999997E-5</c:v>
                </c:pt>
                <c:pt idx="358">
                  <c:v>4.7599999999999998E-5</c:v>
                </c:pt>
                <c:pt idx="359">
                  <c:v>7.2899999999999997E-5</c:v>
                </c:pt>
                <c:pt idx="360">
                  <c:v>1.0399999999999999E-4</c:v>
                </c:pt>
                <c:pt idx="361">
                  <c:v>7.6399999999999997E-6</c:v>
                </c:pt>
                <c:pt idx="362">
                  <c:v>7.3899999999999994E-5</c:v>
                </c:pt>
                <c:pt idx="363">
                  <c:v>1.4100000000000001E-4</c:v>
                </c:pt>
                <c:pt idx="364">
                  <c:v>4.4399999999999998E-6</c:v>
                </c:pt>
                <c:pt idx="365">
                  <c:v>6.9599999999999998E-5</c:v>
                </c:pt>
                <c:pt idx="366">
                  <c:v>8.4800000000000001E-5</c:v>
                </c:pt>
                <c:pt idx="367">
                  <c:v>6.4300000000000004E-5</c:v>
                </c:pt>
                <c:pt idx="368">
                  <c:v>8.1499999999999999E-6</c:v>
                </c:pt>
                <c:pt idx="369">
                  <c:v>9.0799999999999995E-6</c:v>
                </c:pt>
                <c:pt idx="370">
                  <c:v>6.8800000000000005E-5</c:v>
                </c:pt>
                <c:pt idx="371">
                  <c:v>2.2800000000000002E-6</c:v>
                </c:pt>
                <c:pt idx="372">
                  <c:v>5.5399999999999998E-5</c:v>
                </c:pt>
                <c:pt idx="373">
                  <c:v>3.0000000000000001E-6</c:v>
                </c:pt>
                <c:pt idx="374">
                  <c:v>8.9499999999999994E-5</c:v>
                </c:pt>
                <c:pt idx="375">
                  <c:v>6.7500000000000001E-5</c:v>
                </c:pt>
                <c:pt idx="376">
                  <c:v>7.4800000000000002E-5</c:v>
                </c:pt>
                <c:pt idx="377">
                  <c:v>2.13E-4</c:v>
                </c:pt>
                <c:pt idx="378">
                  <c:v>1.261E-3</c:v>
                </c:pt>
                <c:pt idx="379">
                  <c:v>1.382E-3</c:v>
                </c:pt>
                <c:pt idx="380">
                  <c:v>4.9100000000000001E-5</c:v>
                </c:pt>
                <c:pt idx="381">
                  <c:v>6.41E-5</c:v>
                </c:pt>
                <c:pt idx="382">
                  <c:v>4.7599999999999998E-5</c:v>
                </c:pt>
                <c:pt idx="383">
                  <c:v>3.3500000000000001E-6</c:v>
                </c:pt>
                <c:pt idx="384">
                  <c:v>5.2899999999999998E-5</c:v>
                </c:pt>
                <c:pt idx="385">
                  <c:v>5.6100000000000002E-5</c:v>
                </c:pt>
                <c:pt idx="386">
                  <c:v>3.18E-5</c:v>
                </c:pt>
                <c:pt idx="387">
                  <c:v>1.56E-4</c:v>
                </c:pt>
                <c:pt idx="388">
                  <c:v>4.6300000000000001E-5</c:v>
                </c:pt>
                <c:pt idx="389">
                  <c:v>4.2799999999999997E-5</c:v>
                </c:pt>
                <c:pt idx="390">
                  <c:v>3.0800000000000003E-5</c:v>
                </c:pt>
                <c:pt idx="391">
                  <c:v>1.2899999999999999E-4</c:v>
                </c:pt>
                <c:pt idx="392">
                  <c:v>7.8300000000000006E-5</c:v>
                </c:pt>
                <c:pt idx="393">
                  <c:v>7.9400000000000006E-5</c:v>
                </c:pt>
                <c:pt idx="394">
                  <c:v>4.3300000000000003E-7</c:v>
                </c:pt>
                <c:pt idx="395">
                  <c:v>4.6499999999999999E-5</c:v>
                </c:pt>
                <c:pt idx="396">
                  <c:v>4.0399999999999999E-5</c:v>
                </c:pt>
                <c:pt idx="397">
                  <c:v>5.6100000000000002E-5</c:v>
                </c:pt>
                <c:pt idx="398">
                  <c:v>7.5599999999999994E-5</c:v>
                </c:pt>
                <c:pt idx="399">
                  <c:v>5.3900000000000002E-5</c:v>
                </c:pt>
                <c:pt idx="400">
                  <c:v>8.7399999999999997E-5</c:v>
                </c:pt>
                <c:pt idx="401">
                  <c:v>4.18E-5</c:v>
                </c:pt>
                <c:pt idx="402">
                  <c:v>3.4100000000000002E-5</c:v>
                </c:pt>
                <c:pt idx="403">
                  <c:v>1.5100000000000001E-4</c:v>
                </c:pt>
                <c:pt idx="404">
                  <c:v>4.5899999999999998E-5</c:v>
                </c:pt>
                <c:pt idx="405">
                  <c:v>4.9100000000000001E-5</c:v>
                </c:pt>
                <c:pt idx="406">
                  <c:v>4.1199999999999999E-5</c:v>
                </c:pt>
                <c:pt idx="407">
                  <c:v>1.77E-5</c:v>
                </c:pt>
                <c:pt idx="408">
                  <c:v>5.7299999999999997E-5</c:v>
                </c:pt>
                <c:pt idx="409">
                  <c:v>2.04E-4</c:v>
                </c:pt>
                <c:pt idx="410">
                  <c:v>7.3200000000000004E-7</c:v>
                </c:pt>
                <c:pt idx="411">
                  <c:v>6.3800000000000006E-5</c:v>
                </c:pt>
                <c:pt idx="412">
                  <c:v>1.02E-4</c:v>
                </c:pt>
                <c:pt idx="413">
                  <c:v>1.21E-4</c:v>
                </c:pt>
                <c:pt idx="414">
                  <c:v>9.6299999999999996E-5</c:v>
                </c:pt>
                <c:pt idx="415">
                  <c:v>4.1499999999999999E-5</c:v>
                </c:pt>
                <c:pt idx="416">
                  <c:v>3.1900000000000003E-5</c:v>
                </c:pt>
                <c:pt idx="417">
                  <c:v>3.3500000000000001E-5</c:v>
                </c:pt>
                <c:pt idx="418">
                  <c:v>3.1900000000000003E-5</c:v>
                </c:pt>
                <c:pt idx="419">
                  <c:v>4.1900000000000002E-5</c:v>
                </c:pt>
                <c:pt idx="420">
                  <c:v>1.2300000000000001E-4</c:v>
                </c:pt>
                <c:pt idx="421">
                  <c:v>2.94E-5</c:v>
                </c:pt>
                <c:pt idx="422">
                  <c:v>7.4500000000000007E-7</c:v>
                </c:pt>
                <c:pt idx="423">
                  <c:v>3.4E-5</c:v>
                </c:pt>
                <c:pt idx="424">
                  <c:v>1.5899999999999999E-4</c:v>
                </c:pt>
                <c:pt idx="425">
                  <c:v>3.5099999999999999E-6</c:v>
                </c:pt>
                <c:pt idx="426">
                  <c:v>2.7999999999999998E-4</c:v>
                </c:pt>
                <c:pt idx="427">
                  <c:v>7.1099999999999994E-5</c:v>
                </c:pt>
                <c:pt idx="428">
                  <c:v>4.3699999999999998E-5</c:v>
                </c:pt>
                <c:pt idx="429">
                  <c:v>1.3499999999999999E-5</c:v>
                </c:pt>
                <c:pt idx="430">
                  <c:v>1.9300000000000002E-5</c:v>
                </c:pt>
                <c:pt idx="431">
                  <c:v>1.0000000000000001E-5</c:v>
                </c:pt>
                <c:pt idx="432">
                  <c:v>1.7499999999999998E-5</c:v>
                </c:pt>
                <c:pt idx="433">
                  <c:v>4.2500000000000003E-5</c:v>
                </c:pt>
                <c:pt idx="434">
                  <c:v>3.4600000000000001E-5</c:v>
                </c:pt>
                <c:pt idx="435">
                  <c:v>1.3899999999999999E-4</c:v>
                </c:pt>
                <c:pt idx="436">
                  <c:v>3.5800000000000003E-5</c:v>
                </c:pt>
                <c:pt idx="437">
                  <c:v>3.4799999999999999E-5</c:v>
                </c:pt>
                <c:pt idx="438">
                  <c:v>3.9900000000000001E-5</c:v>
                </c:pt>
                <c:pt idx="439">
                  <c:v>1.37E-4</c:v>
                </c:pt>
                <c:pt idx="440">
                  <c:v>3.1199999999999999E-5</c:v>
                </c:pt>
                <c:pt idx="441">
                  <c:v>2.2900000000000001E-5</c:v>
                </c:pt>
                <c:pt idx="442">
                  <c:v>1.8700000000000001E-5</c:v>
                </c:pt>
                <c:pt idx="443">
                  <c:v>3.2600000000000001E-6</c:v>
                </c:pt>
                <c:pt idx="444">
                  <c:v>3.9799999999999998E-5</c:v>
                </c:pt>
                <c:pt idx="445">
                  <c:v>6.6299999999999996E-4</c:v>
                </c:pt>
                <c:pt idx="446">
                  <c:v>1.7799999999999999E-4</c:v>
                </c:pt>
                <c:pt idx="447">
                  <c:v>6.5799999999999997E-6</c:v>
                </c:pt>
                <c:pt idx="448">
                  <c:v>2.8600000000000001E-5</c:v>
                </c:pt>
                <c:pt idx="449">
                  <c:v>2.6999999999999999E-5</c:v>
                </c:pt>
                <c:pt idx="450">
                  <c:v>3.4999999999999997E-5</c:v>
                </c:pt>
                <c:pt idx="451">
                  <c:v>3.2499999999999997E-5</c:v>
                </c:pt>
                <c:pt idx="452">
                  <c:v>2.23E-5</c:v>
                </c:pt>
                <c:pt idx="453">
                  <c:v>3.2200000000000002E-4</c:v>
                </c:pt>
                <c:pt idx="454">
                  <c:v>1E-4</c:v>
                </c:pt>
                <c:pt idx="455">
                  <c:v>2.6100000000000001E-5</c:v>
                </c:pt>
                <c:pt idx="456">
                  <c:v>1.98E-5</c:v>
                </c:pt>
                <c:pt idx="457">
                  <c:v>6.4399999999999993E-5</c:v>
                </c:pt>
                <c:pt idx="458">
                  <c:v>2.48E-5</c:v>
                </c:pt>
                <c:pt idx="459">
                  <c:v>2.9499999999999999E-5</c:v>
                </c:pt>
                <c:pt idx="460">
                  <c:v>2.9E-5</c:v>
                </c:pt>
                <c:pt idx="461">
                  <c:v>7.7600000000000002E-5</c:v>
                </c:pt>
                <c:pt idx="462">
                  <c:v>4.3300000000000002E-5</c:v>
                </c:pt>
                <c:pt idx="463">
                  <c:v>2.5400000000000001E-5</c:v>
                </c:pt>
                <c:pt idx="464">
                  <c:v>2.9299999999999999E-6</c:v>
                </c:pt>
                <c:pt idx="465">
                  <c:v>7.1899999999999998E-6</c:v>
                </c:pt>
                <c:pt idx="466">
                  <c:v>1.2400000000000001E-4</c:v>
                </c:pt>
                <c:pt idx="467">
                  <c:v>3.0800000000000003E-5</c:v>
                </c:pt>
                <c:pt idx="468">
                  <c:v>4.7500000000000003E-5</c:v>
                </c:pt>
                <c:pt idx="469">
                  <c:v>2.4700000000000001E-5</c:v>
                </c:pt>
                <c:pt idx="470">
                  <c:v>3.8900000000000002E-4</c:v>
                </c:pt>
                <c:pt idx="471">
                  <c:v>8.2799999999999993E-5</c:v>
                </c:pt>
                <c:pt idx="472">
                  <c:v>9.0500000000000004E-5</c:v>
                </c:pt>
                <c:pt idx="473">
                  <c:v>9.6799999999999995E-5</c:v>
                </c:pt>
                <c:pt idx="474">
                  <c:v>4.2400000000000001E-5</c:v>
                </c:pt>
                <c:pt idx="475">
                  <c:v>5.1000000000000003E-6</c:v>
                </c:pt>
                <c:pt idx="476">
                  <c:v>8.3100000000000001E-5</c:v>
                </c:pt>
                <c:pt idx="477">
                  <c:v>4.2700000000000001E-5</c:v>
                </c:pt>
                <c:pt idx="478">
                  <c:v>2.5900000000000001E-4</c:v>
                </c:pt>
                <c:pt idx="479">
                  <c:v>3.8600000000000003E-5</c:v>
                </c:pt>
                <c:pt idx="480">
                  <c:v>7.7100000000000007E-6</c:v>
                </c:pt>
                <c:pt idx="481">
                  <c:v>2.8E-5</c:v>
                </c:pt>
                <c:pt idx="482">
                  <c:v>8.4700000000000002E-6</c:v>
                </c:pt>
                <c:pt idx="483">
                  <c:v>2.2099999999999998E-5</c:v>
                </c:pt>
                <c:pt idx="484">
                  <c:v>2.8600000000000001E-5</c:v>
                </c:pt>
                <c:pt idx="485">
                  <c:v>9.8700000000000004E-6</c:v>
                </c:pt>
                <c:pt idx="486">
                  <c:v>2.7100000000000001E-5</c:v>
                </c:pt>
                <c:pt idx="487">
                  <c:v>1.0300000000000001E-6</c:v>
                </c:pt>
                <c:pt idx="488">
                  <c:v>5.4599999999999999E-5</c:v>
                </c:pt>
                <c:pt idx="489">
                  <c:v>6.3200000000000005E-5</c:v>
                </c:pt>
                <c:pt idx="490">
                  <c:v>6.0399999999999998E-5</c:v>
                </c:pt>
                <c:pt idx="491">
                  <c:v>2.5599999999999999E-5</c:v>
                </c:pt>
                <c:pt idx="492">
                  <c:v>3.82E-5</c:v>
                </c:pt>
                <c:pt idx="493">
                  <c:v>2.02E-5</c:v>
                </c:pt>
                <c:pt idx="494">
                  <c:v>1.8899999999999999E-6</c:v>
                </c:pt>
                <c:pt idx="495">
                  <c:v>1.61E-7</c:v>
                </c:pt>
                <c:pt idx="496">
                  <c:v>1.0200000000000001E-5</c:v>
                </c:pt>
                <c:pt idx="497">
                  <c:v>5.57E-6</c:v>
                </c:pt>
                <c:pt idx="498">
                  <c:v>4.4499999999999997E-4</c:v>
                </c:pt>
                <c:pt idx="499">
                  <c:v>3.3599999999999997E-5</c:v>
                </c:pt>
                <c:pt idx="500">
                  <c:v>1.7200000000000001E-5</c:v>
                </c:pt>
                <c:pt idx="501">
                  <c:v>1.79E-6</c:v>
                </c:pt>
                <c:pt idx="502">
                  <c:v>1.43E-5</c:v>
                </c:pt>
                <c:pt idx="503">
                  <c:v>3.1000000000000001E-5</c:v>
                </c:pt>
                <c:pt idx="504">
                  <c:v>4.1999999999999999E-8</c:v>
                </c:pt>
                <c:pt idx="505">
                  <c:v>6.69E-5</c:v>
                </c:pt>
                <c:pt idx="506">
                  <c:v>1.21E-4</c:v>
                </c:pt>
                <c:pt idx="507">
                  <c:v>2.1699999999999999E-5</c:v>
                </c:pt>
                <c:pt idx="508">
                  <c:v>1.54E-7</c:v>
                </c:pt>
                <c:pt idx="509">
                  <c:v>5.5800000000000001E-5</c:v>
                </c:pt>
                <c:pt idx="510">
                  <c:v>1.72E-6</c:v>
                </c:pt>
                <c:pt idx="511">
                  <c:v>5.7599999999999999E-6</c:v>
                </c:pt>
                <c:pt idx="512">
                  <c:v>6.7100000000000001E-6</c:v>
                </c:pt>
                <c:pt idx="513">
                  <c:v>1.4170000000000001E-3</c:v>
                </c:pt>
                <c:pt idx="514">
                  <c:v>7.2000000000000002E-5</c:v>
                </c:pt>
                <c:pt idx="515">
                  <c:v>5.9799999999999997E-5</c:v>
                </c:pt>
                <c:pt idx="516">
                  <c:v>3.5499999999999999E-6</c:v>
                </c:pt>
                <c:pt idx="517">
                  <c:v>9.0399999999999998E-6</c:v>
                </c:pt>
                <c:pt idx="518">
                  <c:v>1.4800000000000001E-5</c:v>
                </c:pt>
                <c:pt idx="519">
                  <c:v>1.6699999999999999E-5</c:v>
                </c:pt>
                <c:pt idx="520">
                  <c:v>6.0599999999999998E-4</c:v>
                </c:pt>
                <c:pt idx="521">
                  <c:v>4.2500000000000003E-5</c:v>
                </c:pt>
                <c:pt idx="522">
                  <c:v>6.2099999999999998E-6</c:v>
                </c:pt>
                <c:pt idx="523">
                  <c:v>3.3100000000000001E-6</c:v>
                </c:pt>
                <c:pt idx="524">
                  <c:v>2.1499999999999999E-4</c:v>
                </c:pt>
                <c:pt idx="525">
                  <c:v>7.0500000000000003E-6</c:v>
                </c:pt>
                <c:pt idx="526">
                  <c:v>1.2099999999999999E-5</c:v>
                </c:pt>
                <c:pt idx="527">
                  <c:v>1.26E-5</c:v>
                </c:pt>
                <c:pt idx="528">
                  <c:v>6.7499999999999997E-6</c:v>
                </c:pt>
                <c:pt idx="529">
                  <c:v>3.5899999999999998E-5</c:v>
                </c:pt>
                <c:pt idx="530">
                  <c:v>6.4200000000000002E-5</c:v>
                </c:pt>
                <c:pt idx="531">
                  <c:v>4.21E-5</c:v>
                </c:pt>
                <c:pt idx="532">
                  <c:v>1.6699999999999999E-4</c:v>
                </c:pt>
                <c:pt idx="533">
                  <c:v>1.29E-5</c:v>
                </c:pt>
                <c:pt idx="534">
                  <c:v>8.0499999999999992E-6</c:v>
                </c:pt>
                <c:pt idx="535">
                  <c:v>4.6999999999999997E-5</c:v>
                </c:pt>
                <c:pt idx="536">
                  <c:v>2.6100000000000001E-5</c:v>
                </c:pt>
                <c:pt idx="537">
                  <c:v>4.6099999999999998E-4</c:v>
                </c:pt>
                <c:pt idx="538">
                  <c:v>1.6900000000000001E-5</c:v>
                </c:pt>
                <c:pt idx="539">
                  <c:v>1.7900000000000001E-5</c:v>
                </c:pt>
                <c:pt idx="540">
                  <c:v>1.66E-5</c:v>
                </c:pt>
                <c:pt idx="541">
                  <c:v>1.26E-5</c:v>
                </c:pt>
                <c:pt idx="542">
                  <c:v>7.9900000000000001E-4</c:v>
                </c:pt>
                <c:pt idx="543">
                  <c:v>2.6400000000000001E-5</c:v>
                </c:pt>
                <c:pt idx="544">
                  <c:v>7.3300000000000001E-6</c:v>
                </c:pt>
                <c:pt idx="545">
                  <c:v>1.52E-5</c:v>
                </c:pt>
                <c:pt idx="546">
                  <c:v>5.4099999999999999E-6</c:v>
                </c:pt>
                <c:pt idx="547">
                  <c:v>4.3600000000000003E-4</c:v>
                </c:pt>
                <c:pt idx="548">
                  <c:v>1.03E-5</c:v>
                </c:pt>
                <c:pt idx="549">
                  <c:v>1.8600000000000001E-5</c:v>
                </c:pt>
                <c:pt idx="550">
                  <c:v>6.3100000000000002E-5</c:v>
                </c:pt>
                <c:pt idx="551">
                  <c:v>6.6300000000000015E-7</c:v>
                </c:pt>
                <c:pt idx="552">
                  <c:v>8.6799999999999996E-5</c:v>
                </c:pt>
                <c:pt idx="553">
                  <c:v>1.0200000000000001E-5</c:v>
                </c:pt>
                <c:pt idx="554">
                  <c:v>2.6699999999999998E-4</c:v>
                </c:pt>
                <c:pt idx="555">
                  <c:v>1.11E-5</c:v>
                </c:pt>
                <c:pt idx="556">
                  <c:v>3.5599999999999998E-6</c:v>
                </c:pt>
                <c:pt idx="557">
                  <c:v>2.4399999999999999E-6</c:v>
                </c:pt>
                <c:pt idx="558">
                  <c:v>1.1800000000000001E-5</c:v>
                </c:pt>
                <c:pt idx="559">
                  <c:v>2.6800000000000001E-5</c:v>
                </c:pt>
                <c:pt idx="560">
                  <c:v>2.3E-5</c:v>
                </c:pt>
                <c:pt idx="561">
                  <c:v>1.9199999999999999E-5</c:v>
                </c:pt>
                <c:pt idx="562">
                  <c:v>1.29E-5</c:v>
                </c:pt>
                <c:pt idx="563">
                  <c:v>1.1600000000000001E-5</c:v>
                </c:pt>
                <c:pt idx="564">
                  <c:v>1.5099999999999999E-5</c:v>
                </c:pt>
                <c:pt idx="565">
                  <c:v>6.3100000000000008E-7</c:v>
                </c:pt>
                <c:pt idx="566">
                  <c:v>1.17E-4</c:v>
                </c:pt>
                <c:pt idx="567">
                  <c:v>3.2299999999999999E-4</c:v>
                </c:pt>
                <c:pt idx="568">
                  <c:v>6.2400000000000004E-6</c:v>
                </c:pt>
                <c:pt idx="569">
                  <c:v>7.9400000000000002E-6</c:v>
                </c:pt>
                <c:pt idx="570">
                  <c:v>6.4400000000000002E-6</c:v>
                </c:pt>
                <c:pt idx="571">
                  <c:v>2.61E-6</c:v>
                </c:pt>
                <c:pt idx="572">
                  <c:v>4.8600000000000001E-6</c:v>
                </c:pt>
                <c:pt idx="573">
                  <c:v>1.0150000000000001E-3</c:v>
                </c:pt>
                <c:pt idx="574">
                  <c:v>6.5699999999999998E-6</c:v>
                </c:pt>
                <c:pt idx="575">
                  <c:v>2.91E-7</c:v>
                </c:pt>
                <c:pt idx="576">
                  <c:v>2.6900000000000001E-6</c:v>
                </c:pt>
                <c:pt idx="577">
                  <c:v>1.8099999999999999E-7</c:v>
                </c:pt>
                <c:pt idx="578">
                  <c:v>2.2500000000000001E-5</c:v>
                </c:pt>
                <c:pt idx="579">
                  <c:v>2.1399999999999998E-6</c:v>
                </c:pt>
                <c:pt idx="580">
                  <c:v>2.88E-6</c:v>
                </c:pt>
                <c:pt idx="581">
                  <c:v>2.1399999999999998E-5</c:v>
                </c:pt>
                <c:pt idx="582">
                  <c:v>8.42E-5</c:v>
                </c:pt>
                <c:pt idx="583">
                  <c:v>8.32E-6</c:v>
                </c:pt>
                <c:pt idx="584">
                  <c:v>2.1590000000000002E-5</c:v>
                </c:pt>
                <c:pt idx="585">
                  <c:v>3.72E-6</c:v>
                </c:pt>
                <c:pt idx="586">
                  <c:v>1.73E-5</c:v>
                </c:pt>
                <c:pt idx="587">
                  <c:v>4.8999999999999997E-6</c:v>
                </c:pt>
                <c:pt idx="588">
                  <c:v>1.9999999999999999E-6</c:v>
                </c:pt>
                <c:pt idx="589">
                  <c:v>1.0100000000000001E-6</c:v>
                </c:pt>
                <c:pt idx="590">
                  <c:v>1.1600000000000001E-5</c:v>
                </c:pt>
                <c:pt idx="591">
                  <c:v>3.2200000000000001E-6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B-0E4A-BF5B-50C18CC535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alpha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197299771326341"/>
                  <c:y val="-3.977298511459205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'MFA-derived fluxes'!$C$22:$C$2309</c:f>
              <c:numCache>
                <c:formatCode>General</c:formatCode>
                <c:ptCount val="2288"/>
                <c:pt idx="0">
                  <c:v>0</c:v>
                </c:pt>
                <c:pt idx="1">
                  <c:v>4.3726454067801205E-3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4.3726454067801205E-3</c:v>
                </c:pt>
                <c:pt idx="99">
                  <c:v>4.3726454067801205E-3</c:v>
                </c:pt>
                <c:pt idx="100">
                  <c:v>3.9635209639998512E-3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2.8171526477804849E-3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7.2220642295365566E-9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1.9904670694253902E-4</c:v>
                </c:pt>
                <c:pt idx="166">
                  <c:v>0</c:v>
                </c:pt>
                <c:pt idx="167">
                  <c:v>0</c:v>
                </c:pt>
                <c:pt idx="168">
                  <c:v>1.9904670694253902E-4</c:v>
                </c:pt>
                <c:pt idx="169">
                  <c:v>3.595805982781375E-3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3.9200637158083385E-3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1.0209484997892187E-2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2.4787612397465672E-2</c:v>
                </c:pt>
                <c:pt idx="249">
                  <c:v>2.4787612397465672E-2</c:v>
                </c:pt>
                <c:pt idx="250">
                  <c:v>3.595805982781375E-3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2.9875028771776335E-2</c:v>
                </c:pt>
                <c:pt idx="257">
                  <c:v>0</c:v>
                </c:pt>
                <c:pt idx="258">
                  <c:v>0</c:v>
                </c:pt>
                <c:pt idx="259">
                  <c:v>-3.6110321147682783E-9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0.1262783759082246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1.5572331044400596E-3</c:v>
                </c:pt>
                <c:pt idx="273">
                  <c:v>0</c:v>
                </c:pt>
                <c:pt idx="274">
                  <c:v>0.71087634451851267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8.5190352675541922E-4</c:v>
                </c:pt>
                <c:pt idx="286">
                  <c:v>2.7024434580789581E-3</c:v>
                </c:pt>
                <c:pt idx="287">
                  <c:v>2.8177315592484149E-3</c:v>
                </c:pt>
                <c:pt idx="288">
                  <c:v>2.7024434580789581E-3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3.595805982781375E-3</c:v>
                </c:pt>
                <c:pt idx="300">
                  <c:v>3.6110321147682783E-9</c:v>
                </c:pt>
                <c:pt idx="301">
                  <c:v>1.5572331044400596E-3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8.5189991572330451E-4</c:v>
                </c:pt>
                <c:pt idx="308">
                  <c:v>4.1022372713840922E-3</c:v>
                </c:pt>
                <c:pt idx="309">
                  <c:v>2.8177315592484149E-3</c:v>
                </c:pt>
                <c:pt idx="310">
                  <c:v>3.6110321147682783E-9</c:v>
                </c:pt>
                <c:pt idx="311">
                  <c:v>7.7116982159616972E-4</c:v>
                </c:pt>
                <c:pt idx="312">
                  <c:v>1.772517423249019E-2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7.7097491347599884E-4</c:v>
                </c:pt>
                <c:pt idx="319">
                  <c:v>7.7097491347599884E-4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1.6572966582226893</c:v>
                </c:pt>
                <c:pt idx="339">
                  <c:v>3.6110321147682783E-9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2.9023118022956686E-2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-3.1235427792745608E-6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6.164020986813107E-3</c:v>
                </c:pt>
                <c:pt idx="363">
                  <c:v>4.3260218538025908E-4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-3.1235427792745608E-6</c:v>
                </c:pt>
                <c:pt idx="378">
                  <c:v>2.5658878814920818E-3</c:v>
                </c:pt>
                <c:pt idx="379">
                  <c:v>2.5658878814920818E-3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8.3858892406159496E-3</c:v>
                </c:pt>
                <c:pt idx="388">
                  <c:v>0</c:v>
                </c:pt>
                <c:pt idx="389">
                  <c:v>0</c:v>
                </c:pt>
                <c:pt idx="390">
                  <c:v>3.0881433056765572E-3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3.190818821613736E-3</c:v>
                </c:pt>
                <c:pt idx="397">
                  <c:v>3.6110321147682783E-9</c:v>
                </c:pt>
                <c:pt idx="398">
                  <c:v>0</c:v>
                </c:pt>
                <c:pt idx="399">
                  <c:v>8.3858892406159496E-3</c:v>
                </c:pt>
                <c:pt idx="400">
                  <c:v>-2.5839046739305909E-2</c:v>
                </c:pt>
                <c:pt idx="401">
                  <c:v>0</c:v>
                </c:pt>
                <c:pt idx="402">
                  <c:v>0</c:v>
                </c:pt>
                <c:pt idx="403">
                  <c:v>3.6110321147682783E-9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3.6110321147682783E-9</c:v>
                </c:pt>
                <c:pt idx="414">
                  <c:v>1.2845057121356784E-3</c:v>
                </c:pt>
                <c:pt idx="415">
                  <c:v>0.23199187893877077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8.5190352675541922E-4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4.6952544129674761E-4</c:v>
                </c:pt>
                <c:pt idx="438">
                  <c:v>4.6952544129674761E-4</c:v>
                </c:pt>
                <c:pt idx="439">
                  <c:v>0</c:v>
                </c:pt>
                <c:pt idx="440">
                  <c:v>4.6952544129674761E-4</c:v>
                </c:pt>
                <c:pt idx="441">
                  <c:v>4.6952544129674761E-4</c:v>
                </c:pt>
                <c:pt idx="442">
                  <c:v>4.6952544129674761E-4</c:v>
                </c:pt>
                <c:pt idx="443">
                  <c:v>4.6952544129674761E-4</c:v>
                </c:pt>
                <c:pt idx="444">
                  <c:v>4.6952544129674761E-4</c:v>
                </c:pt>
                <c:pt idx="445">
                  <c:v>4.6952544129674761E-4</c:v>
                </c:pt>
                <c:pt idx="446">
                  <c:v>4.6952544129674761E-4</c:v>
                </c:pt>
                <c:pt idx="447">
                  <c:v>4.6952544129674761E-4</c:v>
                </c:pt>
                <c:pt idx="448">
                  <c:v>4.6952544129674761E-4</c:v>
                </c:pt>
                <c:pt idx="449">
                  <c:v>4.6952544129674761E-4</c:v>
                </c:pt>
                <c:pt idx="450">
                  <c:v>1.815805243158865E-5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3.6110321147682783E-9</c:v>
                </c:pt>
                <c:pt idx="461">
                  <c:v>0</c:v>
                </c:pt>
                <c:pt idx="462">
                  <c:v>5.7567067031058178E-3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3.8069218230133788E-3</c:v>
                </c:pt>
                <c:pt idx="494">
                  <c:v>4.2395240083936388E-3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1.9904670694253902E-4</c:v>
                </c:pt>
                <c:pt idx="500">
                  <c:v>0</c:v>
                </c:pt>
                <c:pt idx="501">
                  <c:v>2.4787605175401444E-2</c:v>
                </c:pt>
                <c:pt idx="502">
                  <c:v>0</c:v>
                </c:pt>
                <c:pt idx="503">
                  <c:v>2.4787601564369332E-2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1.9142318646306125</c:v>
                </c:pt>
                <c:pt idx="519">
                  <c:v>0</c:v>
                </c:pt>
                <c:pt idx="520">
                  <c:v>-0.13630797279600068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1.6667143600911005E-3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2.4787612397465672E-2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1.3612891406916496E-3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1.6105203231866522E-6</c:v>
                </c:pt>
                <c:pt idx="590">
                  <c:v>0</c:v>
                </c:pt>
                <c:pt idx="591">
                  <c:v>3.6110321147682783E-9</c:v>
                </c:pt>
                <c:pt idx="592">
                  <c:v>9.3176506995375956E-5</c:v>
                </c:pt>
                <c:pt idx="593">
                  <c:v>0</c:v>
                </c:pt>
                <c:pt idx="594">
                  <c:v>0</c:v>
                </c:pt>
                <c:pt idx="595">
                  <c:v>9.3176506995375956E-5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6.9494791957848379E-4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4.2395240083936388E-3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1.0209484997892187E-2</c:v>
                </c:pt>
                <c:pt idx="653">
                  <c:v>0</c:v>
                </c:pt>
                <c:pt idx="654">
                  <c:v>3.9200637158083385E-3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3.6110321147682783E-9</c:v>
                </c:pt>
                <c:pt idx="660">
                  <c:v>0</c:v>
                </c:pt>
                <c:pt idx="661">
                  <c:v>0</c:v>
                </c:pt>
                <c:pt idx="662">
                  <c:v>5.5815537528825745E-5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3.190818821613736E-3</c:v>
                </c:pt>
                <c:pt idx="669">
                  <c:v>3.190818821613736E-3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4.2395240083936388E-3</c:v>
                </c:pt>
                <c:pt idx="675">
                  <c:v>4.2395240083936388E-3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9.390508825934949E-4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5.4252476561347657E-3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2.8171526477804849E-3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5.5815537528825745E-5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5.5815537528825745E-5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1.7864425384000082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1.6572966618337215</c:v>
                </c:pt>
                <c:pt idx="815">
                  <c:v>3.6110321147682783E-9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1.815805243158865E-5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1.9142318646306125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1.6105203231866522E-6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1.6572966618337215</c:v>
                </c:pt>
                <c:pt idx="879">
                  <c:v>0</c:v>
                </c:pt>
                <c:pt idx="880">
                  <c:v>9.3755418464812314E-6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7.3780576397586589E-2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3.7046893553475985E-2</c:v>
                </c:pt>
                <c:pt idx="905">
                  <c:v>0.54107611871392869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8.5234124030548111E-3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8.9811760576676448E-4</c:v>
                </c:pt>
                <c:pt idx="938">
                  <c:v>0</c:v>
                </c:pt>
                <c:pt idx="939">
                  <c:v>1.3272604421223432E-6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0.11235738303511557</c:v>
                </c:pt>
                <c:pt idx="947">
                  <c:v>0</c:v>
                </c:pt>
                <c:pt idx="948">
                  <c:v>0</c:v>
                </c:pt>
                <c:pt idx="949">
                  <c:v>0.202465493563904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8.195324917589725E-3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1.2927657904190993E-3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2.2252792093455449E-5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7.2220642295365566E-9</c:v>
                </c:pt>
                <c:pt idx="1086">
                  <c:v>7.2220642295365566E-9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0.95740062468860498</c:v>
                </c:pt>
                <c:pt idx="1094">
                  <c:v>0</c:v>
                </c:pt>
                <c:pt idx="1095">
                  <c:v>-3.6110321147682783E-9</c:v>
                </c:pt>
                <c:pt idx="1096">
                  <c:v>5.2653078793062202E-3</c:v>
                </c:pt>
                <c:pt idx="1097">
                  <c:v>0</c:v>
                </c:pt>
                <c:pt idx="1098">
                  <c:v>0</c:v>
                </c:pt>
                <c:pt idx="1099">
                  <c:v>9.5434534181461264E-2</c:v>
                </c:pt>
                <c:pt idx="1100">
                  <c:v>9.3755418464812314E-6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0.37958694992115333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5.7314188014328466E-3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1.7725343863385555E-2</c:v>
                </c:pt>
                <c:pt idx="1121">
                  <c:v>1.0833096344304834E-8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-7.1508246075346144E-2</c:v>
                </c:pt>
                <c:pt idx="1132">
                  <c:v>-1.7725343863385555E-2</c:v>
                </c:pt>
                <c:pt idx="1133">
                  <c:v>7.7418478480902417E-3</c:v>
                </c:pt>
                <c:pt idx="1134">
                  <c:v>5.0789130583894686E-3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3.6110321147682783E-9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7.3780576397586589E-2</c:v>
                </c:pt>
                <c:pt idx="1153">
                  <c:v>3.5272488968825797E-3</c:v>
                </c:pt>
                <c:pt idx="1154">
                  <c:v>3.6110321147682783E-9</c:v>
                </c:pt>
                <c:pt idx="1155">
                  <c:v>2.5004543383725614E-3</c:v>
                </c:pt>
                <c:pt idx="1156">
                  <c:v>0</c:v>
                </c:pt>
                <c:pt idx="1157">
                  <c:v>3.4017731116890541E-2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1.4896578171119803E-2</c:v>
                </c:pt>
                <c:pt idx="1164">
                  <c:v>0</c:v>
                </c:pt>
                <c:pt idx="1165">
                  <c:v>1.8504745919645058</c:v>
                </c:pt>
                <c:pt idx="1166">
                  <c:v>2.8177315592484149E-3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1.9904670694253902E-4</c:v>
                </c:pt>
                <c:pt idx="1225">
                  <c:v>0</c:v>
                </c:pt>
                <c:pt idx="1226">
                  <c:v>0</c:v>
                </c:pt>
                <c:pt idx="1227">
                  <c:v>8.0799986956675424E-2</c:v>
                </c:pt>
                <c:pt idx="1228">
                  <c:v>-2.7170108810897643E-2</c:v>
                </c:pt>
                <c:pt idx="1229">
                  <c:v>0</c:v>
                </c:pt>
                <c:pt idx="1230">
                  <c:v>1.3997938133051351E-3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3.7735298434386007E-2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2.5004543383725614E-3</c:v>
                </c:pt>
                <c:pt idx="1247">
                  <c:v>0</c:v>
                </c:pt>
                <c:pt idx="1248">
                  <c:v>3.9635209639998512E-3</c:v>
                </c:pt>
                <c:pt idx="1249">
                  <c:v>3.6110321147682783E-9</c:v>
                </c:pt>
                <c:pt idx="1250">
                  <c:v>0.12343120585294586</c:v>
                </c:pt>
                <c:pt idx="1251">
                  <c:v>0</c:v>
                </c:pt>
                <c:pt idx="1252">
                  <c:v>0</c:v>
                </c:pt>
                <c:pt idx="1253">
                  <c:v>2.8177315592484149E-3</c:v>
                </c:pt>
                <c:pt idx="1254">
                  <c:v>0</c:v>
                </c:pt>
                <c:pt idx="1255">
                  <c:v>1.3426424056103739E-2</c:v>
                </c:pt>
                <c:pt idx="1256">
                  <c:v>2.1373496869515014E-2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3.6110321147682783E-9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4.4895452674283194E-2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4.0588330309698113E-3</c:v>
                </c:pt>
                <c:pt idx="1279">
                  <c:v>0</c:v>
                </c:pt>
                <c:pt idx="1280">
                  <c:v>3.6110321147682783E-9</c:v>
                </c:pt>
                <c:pt idx="1281">
                  <c:v>0</c:v>
                </c:pt>
                <c:pt idx="1282">
                  <c:v>7.2065561485180854E-2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1.3997938133051351E-3</c:v>
                </c:pt>
                <c:pt idx="1287">
                  <c:v>3.4017731116890541E-2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9.390508825934949E-4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0.54107611871392869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0.85416246089660164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4.3726454067801205E-3</c:v>
                </c:pt>
                <c:pt idx="1380">
                  <c:v>4.3726454067801205E-3</c:v>
                </c:pt>
                <c:pt idx="1381">
                  <c:v>4.3726454067801205E-3</c:v>
                </c:pt>
                <c:pt idx="1382">
                  <c:v>0</c:v>
                </c:pt>
                <c:pt idx="1383">
                  <c:v>0.10004379279197186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3.6110321147682783E-9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4.3726454067801205E-3</c:v>
                </c:pt>
                <c:pt idx="1412">
                  <c:v>0</c:v>
                </c:pt>
                <c:pt idx="1413">
                  <c:v>1.2845057121356784E-3</c:v>
                </c:pt>
                <c:pt idx="1414">
                  <c:v>1.2845057121356784E-3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2.8171526477804849E-3</c:v>
                </c:pt>
                <c:pt idx="1421">
                  <c:v>2.8171526477804849E-3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8.3858856295838356E-3</c:v>
                </c:pt>
                <c:pt idx="1431">
                  <c:v>3.6110321147682783E-9</c:v>
                </c:pt>
                <c:pt idx="1432">
                  <c:v>8.5190352675541922E-4</c:v>
                </c:pt>
                <c:pt idx="1433">
                  <c:v>7.5339857138605332E-3</c:v>
                </c:pt>
                <c:pt idx="1434">
                  <c:v>1.2845057121356784E-3</c:v>
                </c:pt>
                <c:pt idx="1435">
                  <c:v>5.3765630874120521E-2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0.16615657247692331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3.6110321147682783E-9</c:v>
                </c:pt>
                <c:pt idx="1471">
                  <c:v>3.6110321147682783E-9</c:v>
                </c:pt>
                <c:pt idx="1472">
                  <c:v>7.2220642295365566E-9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1.2845057121356784E-3</c:v>
                </c:pt>
                <c:pt idx="1478">
                  <c:v>1.2845057121356784E-3</c:v>
                </c:pt>
                <c:pt idx="1479">
                  <c:v>6.164020986813107E-3</c:v>
                </c:pt>
                <c:pt idx="1480">
                  <c:v>3.9200637158083385E-3</c:v>
                </c:pt>
                <c:pt idx="1481">
                  <c:v>0</c:v>
                </c:pt>
                <c:pt idx="1482">
                  <c:v>0</c:v>
                </c:pt>
                <c:pt idx="1483">
                  <c:v>3.9200637158083385E-3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4.1022372713840922E-3</c:v>
                </c:pt>
                <c:pt idx="1489">
                  <c:v>1.3997938133051351E-3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9.390508825934949E-4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5.3310262845360137E-3</c:v>
                </c:pt>
                <c:pt idx="1511">
                  <c:v>5.3310262845360137E-3</c:v>
                </c:pt>
                <c:pt idx="1512">
                  <c:v>5.3310262845360137E-3</c:v>
                </c:pt>
                <c:pt idx="1513">
                  <c:v>5.3310262845360137E-3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1.0209484997892187E-2</c:v>
                </c:pt>
                <c:pt idx="1521">
                  <c:v>3.9200637158083385E-3</c:v>
                </c:pt>
                <c:pt idx="1522">
                  <c:v>0</c:v>
                </c:pt>
                <c:pt idx="1523">
                  <c:v>0</c:v>
                </c:pt>
                <c:pt idx="1524">
                  <c:v>8.5234124030548111E-3</c:v>
                </c:pt>
                <c:pt idx="1525">
                  <c:v>5.7314188014328466E-3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-3.6110321147682783E-9</c:v>
                </c:pt>
                <c:pt idx="1531">
                  <c:v>0</c:v>
                </c:pt>
                <c:pt idx="1532">
                  <c:v>3.6110321147682783E-9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5.3310262845360137E-3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3.6110321147682783E-9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4.6952544129674761E-4</c:v>
                </c:pt>
                <c:pt idx="1555">
                  <c:v>4.6952544129674761E-4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1.5125121123419719E-4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3.6110321147682783E-9</c:v>
                </c:pt>
                <c:pt idx="1578">
                  <c:v>0</c:v>
                </c:pt>
                <c:pt idx="1579">
                  <c:v>0</c:v>
                </c:pt>
                <c:pt idx="1580">
                  <c:v>3.6110321147682783E-9</c:v>
                </c:pt>
                <c:pt idx="1581">
                  <c:v>0</c:v>
                </c:pt>
                <c:pt idx="1582">
                  <c:v>5.4252476561347657E-3</c:v>
                </c:pt>
                <c:pt idx="1583">
                  <c:v>5.4252476561347657E-3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-3.4770927948769279E-2</c:v>
                </c:pt>
                <c:pt idx="1597">
                  <c:v>4.6128013129504118E-3</c:v>
                </c:pt>
                <c:pt idx="1598">
                  <c:v>0</c:v>
                </c:pt>
                <c:pt idx="1599">
                  <c:v>0</c:v>
                </c:pt>
                <c:pt idx="1600">
                  <c:v>4.2978887542298574E-2</c:v>
                </c:pt>
                <c:pt idx="1601">
                  <c:v>0</c:v>
                </c:pt>
                <c:pt idx="1602">
                  <c:v>3.6110321147682783E-9</c:v>
                </c:pt>
                <c:pt idx="1603">
                  <c:v>0</c:v>
                </c:pt>
                <c:pt idx="1604">
                  <c:v>1.5572331044400596E-3</c:v>
                </c:pt>
                <c:pt idx="1605">
                  <c:v>3.6110321147682783E-9</c:v>
                </c:pt>
                <c:pt idx="1606">
                  <c:v>2.3159565131679882E-3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2.8171526477804849E-3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8.9811760576676448E-4</c:v>
                </c:pt>
                <c:pt idx="1617">
                  <c:v>0</c:v>
                </c:pt>
                <c:pt idx="1618">
                  <c:v>3.6110321147682783E-9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1.5125121123419719E-4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1.3272604421223432E-6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7.8428214905978635E-2</c:v>
                </c:pt>
                <c:pt idx="1632">
                  <c:v>1.7725343863385555E-2</c:v>
                </c:pt>
                <c:pt idx="1633">
                  <c:v>6.9401442590314458E-2</c:v>
                </c:pt>
                <c:pt idx="1634">
                  <c:v>1.7725343863385555E-2</c:v>
                </c:pt>
                <c:pt idx="1635">
                  <c:v>9.0267723156641725E-3</c:v>
                </c:pt>
                <c:pt idx="1636">
                  <c:v>2.3159565131679882E-3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9.4898133226296831E-3</c:v>
                </c:pt>
                <c:pt idx="1683">
                  <c:v>0</c:v>
                </c:pt>
                <c:pt idx="1684">
                  <c:v>1.8230628162147256E-2</c:v>
                </c:pt>
                <c:pt idx="1685">
                  <c:v>6.5727992572142408E-4</c:v>
                </c:pt>
                <c:pt idx="1686">
                  <c:v>5.5815537528825745E-5</c:v>
                </c:pt>
                <c:pt idx="1687">
                  <c:v>3.7671604889174589E-5</c:v>
                </c:pt>
                <c:pt idx="1688">
                  <c:v>5.5815537528825745E-5</c:v>
                </c:pt>
                <c:pt idx="1689">
                  <c:v>3.7671604889174589E-5</c:v>
                </c:pt>
                <c:pt idx="1690">
                  <c:v>5.5815537528825745E-5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0.11235738303511557</c:v>
                </c:pt>
                <c:pt idx="1714">
                  <c:v>4.8722339883096162E-2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3.6110321147682783E-9</c:v>
                </c:pt>
                <c:pt idx="1742">
                  <c:v>0</c:v>
                </c:pt>
                <c:pt idx="1743">
                  <c:v>0</c:v>
                </c:pt>
                <c:pt idx="1744">
                  <c:v>0.202465493563904</c:v>
                </c:pt>
                <c:pt idx="1745">
                  <c:v>0.18979347496057666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2.5951408850191312E-4</c:v>
                </c:pt>
                <c:pt idx="1750">
                  <c:v>0</c:v>
                </c:pt>
                <c:pt idx="1751">
                  <c:v>2.0174814695547376E-2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2.5658878814920818E-3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5.3310262845360137E-3</c:v>
                </c:pt>
                <c:pt idx="1778">
                  <c:v>0</c:v>
                </c:pt>
                <c:pt idx="1779">
                  <c:v>3.190818821613736E-3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1.0267945585100185E-3</c:v>
                </c:pt>
                <c:pt idx="1785">
                  <c:v>3.595805982781375E-3</c:v>
                </c:pt>
                <c:pt idx="1786">
                  <c:v>3.595805982781375E-3</c:v>
                </c:pt>
                <c:pt idx="1787">
                  <c:v>0</c:v>
                </c:pt>
                <c:pt idx="1788">
                  <c:v>3.190818821613736E-3</c:v>
                </c:pt>
                <c:pt idx="1789">
                  <c:v>3.6110321147682783E-9</c:v>
                </c:pt>
                <c:pt idx="1790">
                  <c:v>3.5272488968825797E-3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8.5190352675541922E-4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8.1044307083156603E-2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2.9160257804245797E-2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0.96266593256791133</c:v>
                </c:pt>
                <c:pt idx="1861">
                  <c:v>0</c:v>
                </c:pt>
                <c:pt idx="1862">
                  <c:v>6.4032053564496969E-2</c:v>
                </c:pt>
                <c:pt idx="1863">
                  <c:v>0</c:v>
                </c:pt>
                <c:pt idx="1864">
                  <c:v>0.95073098741872863</c:v>
                </c:pt>
                <c:pt idx="1865">
                  <c:v>1.8504745919645058</c:v>
                </c:pt>
                <c:pt idx="1866">
                  <c:v>3.4017731116890541E-2</c:v>
                </c:pt>
                <c:pt idx="1867">
                  <c:v>0</c:v>
                </c:pt>
                <c:pt idx="1868">
                  <c:v>1.7864425384000082</c:v>
                </c:pt>
                <c:pt idx="1869">
                  <c:v>1.4896578171119803E-2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2.502450725078115E-3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8.195324917589725E-3</c:v>
                </c:pt>
                <c:pt idx="1918">
                  <c:v>0.40526855144600693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5.4252476561347657E-3</c:v>
                </c:pt>
                <c:pt idx="1943">
                  <c:v>0</c:v>
                </c:pt>
                <c:pt idx="1944">
                  <c:v>0</c:v>
                </c:pt>
                <c:pt idx="1945">
                  <c:v>2.8171526477804849E-3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3.6110321147682783E-9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3.6110321147682783E-9</c:v>
                </c:pt>
                <c:pt idx="1965">
                  <c:v>0</c:v>
                </c:pt>
                <c:pt idx="1966">
                  <c:v>0</c:v>
                </c:pt>
                <c:pt idx="1967">
                  <c:v>0.15495776996016564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1.304471097935263E-3</c:v>
                </c:pt>
                <c:pt idx="1974">
                  <c:v>2.502450725078115E-3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2.8177315592484149E-3</c:v>
                </c:pt>
                <c:pt idx="1980">
                  <c:v>6.164020986813107E-3</c:v>
                </c:pt>
                <c:pt idx="1981">
                  <c:v>2.8177315592484149E-3</c:v>
                </c:pt>
                <c:pt idx="1982">
                  <c:v>1.2845057121356784E-3</c:v>
                </c:pt>
                <c:pt idx="1983">
                  <c:v>2.8177315592484149E-3</c:v>
                </c:pt>
                <c:pt idx="1984">
                  <c:v>1.2845057121356784E-3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2.8177315592484149E-3</c:v>
                </c:pt>
                <c:pt idx="2004">
                  <c:v>1.2845057121356784E-3</c:v>
                </c:pt>
                <c:pt idx="2005">
                  <c:v>7.1863872322426461E-4</c:v>
                </c:pt>
                <c:pt idx="2006">
                  <c:v>7.1863872322426461E-4</c:v>
                </c:pt>
                <c:pt idx="2007">
                  <c:v>0</c:v>
                </c:pt>
                <c:pt idx="2008">
                  <c:v>0</c:v>
                </c:pt>
                <c:pt idx="2009">
                  <c:v>1.3457077079810933E-2</c:v>
                </c:pt>
                <c:pt idx="2010">
                  <c:v>0</c:v>
                </c:pt>
                <c:pt idx="2011">
                  <c:v>4.2395240083936388E-3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6.4032053564496969E-2</c:v>
                </c:pt>
                <c:pt idx="2016">
                  <c:v>6.4032053564496969E-2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1.777963493994253</c:v>
                </c:pt>
                <c:pt idx="2043">
                  <c:v>0</c:v>
                </c:pt>
                <c:pt idx="2044">
                  <c:v>1.686319779856678</c:v>
                </c:pt>
                <c:pt idx="2045">
                  <c:v>0</c:v>
                </c:pt>
                <c:pt idx="2046">
                  <c:v>0</c:v>
                </c:pt>
                <c:pt idx="2047">
                  <c:v>1.1291371664951703E-2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5.5815537528825745E-5</c:v>
                </c:pt>
                <c:pt idx="2073">
                  <c:v>0</c:v>
                </c:pt>
                <c:pt idx="2074">
                  <c:v>3.7671604889174589E-5</c:v>
                </c:pt>
                <c:pt idx="2075">
                  <c:v>0</c:v>
                </c:pt>
                <c:pt idx="2076">
                  <c:v>3.7671604889174589E-5</c:v>
                </c:pt>
                <c:pt idx="2077">
                  <c:v>0</c:v>
                </c:pt>
                <c:pt idx="2078">
                  <c:v>5.5815537528825745E-5</c:v>
                </c:pt>
                <c:pt idx="2079">
                  <c:v>0</c:v>
                </c:pt>
                <c:pt idx="2080">
                  <c:v>0</c:v>
                </c:pt>
                <c:pt idx="2081">
                  <c:v>1.2293928021921859E-2</c:v>
                </c:pt>
                <c:pt idx="2082">
                  <c:v>2.1723803094968682E-2</c:v>
                </c:pt>
                <c:pt idx="2083">
                  <c:v>4.3726454067801205E-3</c:v>
                </c:pt>
                <c:pt idx="2084">
                  <c:v>4.3726454067801205E-3</c:v>
                </c:pt>
                <c:pt idx="2085">
                  <c:v>8.5189991572330451E-4</c:v>
                </c:pt>
                <c:pt idx="2086">
                  <c:v>0</c:v>
                </c:pt>
                <c:pt idx="2087">
                  <c:v>4.6952544129674761E-4</c:v>
                </c:pt>
                <c:pt idx="2088">
                  <c:v>3.6110321147682783E-9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3.6110321147682783E-9</c:v>
                </c:pt>
                <c:pt idx="2097">
                  <c:v>-1.5888541304980424E-7</c:v>
                </c:pt>
                <c:pt idx="2098">
                  <c:v>0</c:v>
                </c:pt>
                <c:pt idx="2099">
                  <c:v>-2.7170108810897643E-2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4.2395240083936388E-3</c:v>
                </c:pt>
                <c:pt idx="2108">
                  <c:v>4.2395240083936388E-3</c:v>
                </c:pt>
                <c:pt idx="2109">
                  <c:v>0</c:v>
                </c:pt>
                <c:pt idx="2110">
                  <c:v>0</c:v>
                </c:pt>
                <c:pt idx="2111">
                  <c:v>8.5190352675541922E-4</c:v>
                </c:pt>
                <c:pt idx="2112">
                  <c:v>0</c:v>
                </c:pt>
                <c:pt idx="2113">
                  <c:v>1.2927657904190993E-3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4.6952544129674761E-4</c:v>
                </c:pt>
                <c:pt idx="2129">
                  <c:v>0</c:v>
                </c:pt>
                <c:pt idx="2130">
                  <c:v>0</c:v>
                </c:pt>
                <c:pt idx="2131">
                  <c:v>3.9635209639998512E-3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4.3077432367932978E-3</c:v>
                </c:pt>
                <c:pt idx="2142">
                  <c:v>0</c:v>
                </c:pt>
                <c:pt idx="2143">
                  <c:v>2.8466146039808635E-3</c:v>
                </c:pt>
                <c:pt idx="2144">
                  <c:v>7.7116982159616972E-4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8.2667296261898626E-3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3.6110321147682783E-9</c:v>
                </c:pt>
                <c:pt idx="2167">
                  <c:v>0</c:v>
                </c:pt>
                <c:pt idx="2168">
                  <c:v>3.8268872088129623E-3</c:v>
                </c:pt>
                <c:pt idx="2169">
                  <c:v>7.5339857138605332E-3</c:v>
                </c:pt>
                <c:pt idx="2170">
                  <c:v>3.8268872088129623E-3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8.2667260151577486E-3</c:v>
                </c:pt>
                <c:pt idx="2177">
                  <c:v>4.0272020067641098E-3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5.5815537528825745E-5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0.88288274789335541</c:v>
                </c:pt>
                <c:pt idx="2188">
                  <c:v>0</c:v>
                </c:pt>
                <c:pt idx="2189">
                  <c:v>0</c:v>
                </c:pt>
                <c:pt idx="2190">
                  <c:v>1.0388778115914201E-3</c:v>
                </c:pt>
                <c:pt idx="2191">
                  <c:v>0</c:v>
                </c:pt>
                <c:pt idx="2192">
                  <c:v>0</c:v>
                </c:pt>
                <c:pt idx="2193">
                  <c:v>2.034520820270302E-4</c:v>
                </c:pt>
                <c:pt idx="2194">
                  <c:v>2.034520820270302E-4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5.7314188014328466E-3</c:v>
                </c:pt>
                <c:pt idx="2201">
                  <c:v>6.164020986813107E-3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1.304471097935263E-3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1.9904670694253902E-4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3.190818821613736E-3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-3.1235427792745608E-6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1.0209484997892187E-2</c:v>
                </c:pt>
                <c:pt idx="2257">
                  <c:v>5.3310262845360137E-3</c:v>
                </c:pt>
                <c:pt idx="2258">
                  <c:v>1.0209484997892187E-2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2.2252792093455449E-5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</c:numCache>
            </c:numRef>
          </c:xVal>
          <c:yVal>
            <c:numRef>
              <c:f>'MFA-derived fluxes'!$D$22:$D$2309</c:f>
              <c:numCache>
                <c:formatCode>General</c:formatCode>
                <c:ptCount val="2288"/>
                <c:pt idx="0">
                  <c:v>0</c:v>
                </c:pt>
                <c:pt idx="1">
                  <c:v>1.9790448225238604E-2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1.9790448225238604E-2</c:v>
                </c:pt>
                <c:pt idx="99">
                  <c:v>1.9790448225238604E-2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2.3274812759854133E-2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1.1734332811037241E-3</c:v>
                </c:pt>
                <c:pt idx="166">
                  <c:v>0</c:v>
                </c:pt>
                <c:pt idx="167">
                  <c:v>0</c:v>
                </c:pt>
                <c:pt idx="168">
                  <c:v>1.1734332811037241E-3</c:v>
                </c:pt>
                <c:pt idx="169">
                  <c:v>0.10694421653893678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1.7742087892535847E-2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0.19811356148231085</c:v>
                </c:pt>
                <c:pt idx="178">
                  <c:v>-1.7128111138314381E-8</c:v>
                </c:pt>
                <c:pt idx="179">
                  <c:v>4.6207778248939776E-2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0.33832974080783801</c:v>
                </c:pt>
                <c:pt idx="249">
                  <c:v>0.33832974080783801</c:v>
                </c:pt>
                <c:pt idx="250">
                  <c:v>0.10694421653893678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3.8556218727077416E-3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0.22842521538371333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1.0139935657085517E-2</c:v>
                </c:pt>
                <c:pt idx="273">
                  <c:v>0</c:v>
                </c:pt>
                <c:pt idx="274">
                  <c:v>14.505627470675117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3.8556390008188785E-3</c:v>
                </c:pt>
                <c:pt idx="286">
                  <c:v>1.1204906465985525E-2</c:v>
                </c:pt>
                <c:pt idx="287">
                  <c:v>1.3650598384232542E-2</c:v>
                </c:pt>
                <c:pt idx="288">
                  <c:v>1.1204906465985525E-2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0.10694421653893678</c:v>
                </c:pt>
                <c:pt idx="300">
                  <c:v>0</c:v>
                </c:pt>
                <c:pt idx="301">
                  <c:v>1.0139935657085517E-2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3.8556390008188785E-3</c:v>
                </c:pt>
                <c:pt idx="308">
                  <c:v>1.9464255536077491E-2</c:v>
                </c:pt>
                <c:pt idx="309">
                  <c:v>1.3650598384232542E-2</c:v>
                </c:pt>
                <c:pt idx="310">
                  <c:v>0</c:v>
                </c:pt>
                <c:pt idx="311">
                  <c:v>0.24757094101245591</c:v>
                </c:pt>
                <c:pt idx="312">
                  <c:v>0.56705253939338529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-8.0563419148190499E-2</c:v>
                </c:pt>
                <c:pt idx="319">
                  <c:v>8.0563419148190499E-2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0.11195094677362048</c:v>
                </c:pt>
                <c:pt idx="363">
                  <c:v>1.9579456452622932E-3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-1.4363345673642822E-8</c:v>
                </c:pt>
                <c:pt idx="378">
                  <c:v>1.1627227434580457E-2</c:v>
                </c:pt>
                <c:pt idx="379">
                  <c:v>1.1627227434580457E-2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3.7954212124679677E-2</c:v>
                </c:pt>
                <c:pt idx="388">
                  <c:v>0</c:v>
                </c:pt>
                <c:pt idx="389">
                  <c:v>0</c:v>
                </c:pt>
                <c:pt idx="390">
                  <c:v>1.3976791073393639E-2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1.430009427411298E-2</c:v>
                </c:pt>
                <c:pt idx="397">
                  <c:v>0.38596307606578156</c:v>
                </c:pt>
                <c:pt idx="398">
                  <c:v>0</c:v>
                </c:pt>
                <c:pt idx="399">
                  <c:v>3.7954212124679677E-2</c:v>
                </c:pt>
                <c:pt idx="400">
                  <c:v>0.26927245523540289</c:v>
                </c:pt>
                <c:pt idx="401">
                  <c:v>0</c:v>
                </c:pt>
                <c:pt idx="402">
                  <c:v>0</c:v>
                </c:pt>
                <c:pt idx="403">
                  <c:v>0.38596307606578156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5.8136571518449575E-3</c:v>
                </c:pt>
                <c:pt idx="415">
                  <c:v>4.7313688878403948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3.8556390008188785E-3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3.8791354599756874E-3</c:v>
                </c:pt>
                <c:pt idx="438">
                  <c:v>3.8791308682853648E-3</c:v>
                </c:pt>
                <c:pt idx="439">
                  <c:v>0</c:v>
                </c:pt>
                <c:pt idx="440">
                  <c:v>3.8791354599756874E-3</c:v>
                </c:pt>
                <c:pt idx="441">
                  <c:v>3.8791354599756874E-3</c:v>
                </c:pt>
                <c:pt idx="442">
                  <c:v>3.8791354599756874E-3</c:v>
                </c:pt>
                <c:pt idx="443">
                  <c:v>3.8791354599756874E-3</c:v>
                </c:pt>
                <c:pt idx="444">
                  <c:v>3.8791354599756874E-3</c:v>
                </c:pt>
                <c:pt idx="445">
                  <c:v>3.8791354599756874E-3</c:v>
                </c:pt>
                <c:pt idx="446">
                  <c:v>3.8791354599756874E-3</c:v>
                </c:pt>
                <c:pt idx="447">
                  <c:v>3.8791354599756874E-3</c:v>
                </c:pt>
                <c:pt idx="448">
                  <c:v>3.8791308682853648E-3</c:v>
                </c:pt>
                <c:pt idx="449">
                  <c:v>3.8791354599756874E-3</c:v>
                </c:pt>
                <c:pt idx="450">
                  <c:v>9.3242412228088808E-5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2.5927321708693437E-2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1.7230052188683002E-2</c:v>
                </c:pt>
                <c:pt idx="494">
                  <c:v>1.9187997833945303E-2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1.1734332811037241E-3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0.19811356148231085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3.1205967300881126</c:v>
                </c:pt>
                <c:pt idx="519">
                  <c:v>0</c:v>
                </c:pt>
                <c:pt idx="520">
                  <c:v>-1.7033499188299281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1.0432423204409532E-2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0.5364433022901488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9.3301141896755032E-3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8.2656570715413093E-6</c:v>
                </c:pt>
                <c:pt idx="590">
                  <c:v>0</c:v>
                </c:pt>
                <c:pt idx="591">
                  <c:v>0</c:v>
                </c:pt>
                <c:pt idx="592">
                  <c:v>4.2169352217617768E-4</c:v>
                </c:pt>
                <c:pt idx="593">
                  <c:v>0</c:v>
                </c:pt>
                <c:pt idx="594">
                  <c:v>0</c:v>
                </c:pt>
                <c:pt idx="595">
                  <c:v>4.2169352217617768E-4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4.0646750617642493E-3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1.9187997833945303E-2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4.6207778248939776E-2</c:v>
                </c:pt>
                <c:pt idx="653">
                  <c:v>0</c:v>
                </c:pt>
                <c:pt idx="654">
                  <c:v>1.7742087892535847E-2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4.3568713458676944E-4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1.430009427411298E-2</c:v>
                </c:pt>
                <c:pt idx="669">
                  <c:v>1.430009427411298E-2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1.9187997833945303E-2</c:v>
                </c:pt>
                <c:pt idx="675">
                  <c:v>1.9187997833945303E-2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7.7582709199513792E-3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3.5538700119438354E-2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2.3274812759854133E-2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4.3568713458676944E-4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4.3568713458676944E-4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0.77060159266072981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8.260576411240525E-2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9.3242412228088808E-5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3.1205967300881126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8.2656570715413093E-6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4.8143827153538835E-5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0.48109215930148402</c:v>
                </c:pt>
                <c:pt idx="905">
                  <c:v>4.5088390050312759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4.3768104309086946E-2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4.6118741171011233E-3</c:v>
                </c:pt>
                <c:pt idx="938">
                  <c:v>0</c:v>
                </c:pt>
                <c:pt idx="939">
                  <c:v>6.8155417958323068E-6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0.51697071736392608</c:v>
                </c:pt>
                <c:pt idx="947">
                  <c:v>0</c:v>
                </c:pt>
                <c:pt idx="948">
                  <c:v>0</c:v>
                </c:pt>
                <c:pt idx="949">
                  <c:v>2.9949049653068922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3.9676130688605565E-2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6.1194864634919865E-3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1.1426908372586931E-4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0.54745869536705771</c:v>
                </c:pt>
                <c:pt idx="1094">
                  <c:v>0</c:v>
                </c:pt>
                <c:pt idx="1095">
                  <c:v>0</c:v>
                </c:pt>
                <c:pt idx="1096">
                  <c:v>0.17790451218833983</c:v>
                </c:pt>
                <c:pt idx="1097">
                  <c:v>0</c:v>
                </c:pt>
                <c:pt idx="1098">
                  <c:v>0</c:v>
                </c:pt>
                <c:pt idx="1099">
                  <c:v>0.88146619124976877</c:v>
                </c:pt>
                <c:pt idx="1100">
                  <c:v>4.8143827153538835E-5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5.6513726681233596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5.6287615291476154</c:v>
                </c:pt>
                <c:pt idx="1109">
                  <c:v>0</c:v>
                </c:pt>
                <c:pt idx="1110">
                  <c:v>0.10999300112835821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0.1708940826804124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-0.59669997198102243</c:v>
                </c:pt>
                <c:pt idx="1132">
                  <c:v>-0.1708940826804124</c:v>
                </c:pt>
                <c:pt idx="1133">
                  <c:v>3.6482732284798508E-2</c:v>
                </c:pt>
                <c:pt idx="1134">
                  <c:v>0.24757094101245591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1.2711638001101323E-2</c:v>
                </c:pt>
                <c:pt idx="1154">
                  <c:v>8.260576411240525E-2</c:v>
                </c:pt>
                <c:pt idx="1155">
                  <c:v>4.2737249590154814E-7</c:v>
                </c:pt>
                <c:pt idx="1156">
                  <c:v>0</c:v>
                </c:pt>
                <c:pt idx="1157">
                  <c:v>0.63499171113962449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8.97048560129967E-2</c:v>
                </c:pt>
                <c:pt idx="1164">
                  <c:v>0</c:v>
                </c:pt>
                <c:pt idx="1165">
                  <c:v>1.330107066028984</c:v>
                </c:pt>
                <c:pt idx="1166">
                  <c:v>1.3650598384232542E-2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1.1734332811037241E-3</c:v>
                </c:pt>
                <c:pt idx="1225">
                  <c:v>0</c:v>
                </c:pt>
                <c:pt idx="1226">
                  <c:v>0</c:v>
                </c:pt>
                <c:pt idx="1227">
                  <c:v>0.6438243941716475</c:v>
                </c:pt>
                <c:pt idx="1228">
                  <c:v>-0.21625042591489821</c:v>
                </c:pt>
                <c:pt idx="1229">
                  <c:v>0</c:v>
                </c:pt>
                <c:pt idx="1230">
                  <c:v>8.2593377476983584E-3</c:v>
                </c:pt>
                <c:pt idx="1231">
                  <c:v>-1.1322393615907585E-8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0.11705454477408857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4.2737249590154814E-7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0.8874085044633977</c:v>
                </c:pt>
                <c:pt idx="1251">
                  <c:v>0</c:v>
                </c:pt>
                <c:pt idx="1252">
                  <c:v>0</c:v>
                </c:pt>
                <c:pt idx="1253">
                  <c:v>1.3650598384232542E-2</c:v>
                </c:pt>
                <c:pt idx="1254">
                  <c:v>0</c:v>
                </c:pt>
                <c:pt idx="1255">
                  <c:v>0</c:v>
                </c:pt>
                <c:pt idx="1256">
                  <c:v>0.11466911595875345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0.38714450859531063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1.7025150900225317E-2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0.60339493451020865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8.2593490700919748E-3</c:v>
                </c:pt>
                <c:pt idx="1287">
                  <c:v>0.63499171113962449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7.7582709199513766E-3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4.5088390050312759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18.553268469438052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1.9790448225238604E-2</c:v>
                </c:pt>
                <c:pt idx="1380">
                  <c:v>1.9790448225238604E-2</c:v>
                </c:pt>
                <c:pt idx="1381">
                  <c:v>1.9790448225238604E-2</c:v>
                </c:pt>
                <c:pt idx="1382">
                  <c:v>0</c:v>
                </c:pt>
                <c:pt idx="1383">
                  <c:v>0.37888995438835954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1.9790448225238604E-2</c:v>
                </c:pt>
                <c:pt idx="1412">
                  <c:v>0</c:v>
                </c:pt>
                <c:pt idx="1413">
                  <c:v>5.8136571518449575E-3</c:v>
                </c:pt>
                <c:pt idx="1414">
                  <c:v>5.8136571518449575E-3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2.3274812759854133E-2</c:v>
                </c:pt>
                <c:pt idx="1421">
                  <c:v>2.3274812759854133E-2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3.7954212124679677E-2</c:v>
                </c:pt>
                <c:pt idx="1432">
                  <c:v>3.8556390008188785E-3</c:v>
                </c:pt>
                <c:pt idx="1433">
                  <c:v>3.4098573123860804E-2</c:v>
                </c:pt>
                <c:pt idx="1434">
                  <c:v>5.8136571518449575E-3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0.33832974080783801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5.8136571518449575E-3</c:v>
                </c:pt>
                <c:pt idx="1478">
                  <c:v>5.8136571518449575E-3</c:v>
                </c:pt>
                <c:pt idx="1479">
                  <c:v>0.11195094677362048</c:v>
                </c:pt>
                <c:pt idx="1480">
                  <c:v>1.7742087892535847E-2</c:v>
                </c:pt>
                <c:pt idx="1481">
                  <c:v>0</c:v>
                </c:pt>
                <c:pt idx="1482">
                  <c:v>0</c:v>
                </c:pt>
                <c:pt idx="1483">
                  <c:v>1.7742087892535847E-2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1.9464255536077491E-2</c:v>
                </c:pt>
                <c:pt idx="1489">
                  <c:v>8.2593490700919748E-3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7.7582709199513792E-3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2.4128033037939357E-2</c:v>
                </c:pt>
                <c:pt idx="1511">
                  <c:v>2.4128033037939357E-2</c:v>
                </c:pt>
                <c:pt idx="1512">
                  <c:v>2.4128033037939357E-2</c:v>
                </c:pt>
                <c:pt idx="1513">
                  <c:v>2.4128033037939357E-2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4.6207778248939776E-2</c:v>
                </c:pt>
                <c:pt idx="1521">
                  <c:v>1.7742087892535847E-2</c:v>
                </c:pt>
                <c:pt idx="1522">
                  <c:v>4.3768104309086946E-2</c:v>
                </c:pt>
                <c:pt idx="1523">
                  <c:v>0</c:v>
                </c:pt>
                <c:pt idx="1524">
                  <c:v>0</c:v>
                </c:pt>
                <c:pt idx="1525">
                  <c:v>0.10999300112835821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-6.4582606458391196E-3</c:v>
                </c:pt>
                <c:pt idx="1531">
                  <c:v>0</c:v>
                </c:pt>
                <c:pt idx="1532">
                  <c:v>6.4582606458391196E-3</c:v>
                </c:pt>
                <c:pt idx="1533">
                  <c:v>2.2611138975743805E-2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2.2611138975743805E-2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2.4128033037939357E-2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2.2611138975743805E-2</c:v>
                </c:pt>
                <c:pt idx="1554">
                  <c:v>3.8791354599756874E-3</c:v>
                </c:pt>
                <c:pt idx="1555">
                  <c:v>3.8791354599756874E-3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9.3634137747721923E-4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3.5538700119438354E-2</c:v>
                </c:pt>
                <c:pt idx="1583">
                  <c:v>3.5538700119438354E-2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-0.72868336859089777</c:v>
                </c:pt>
                <c:pt idx="1597">
                  <c:v>0.92240637835593009</c:v>
                </c:pt>
                <c:pt idx="1598">
                  <c:v>0</c:v>
                </c:pt>
                <c:pt idx="1599">
                  <c:v>0</c:v>
                </c:pt>
                <c:pt idx="1600">
                  <c:v>9.0330663532221842E-2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1.0139935657085517E-2</c:v>
                </c:pt>
                <c:pt idx="1605">
                  <c:v>0</c:v>
                </c:pt>
                <c:pt idx="1606">
                  <c:v>1.3573881135728216E-2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2.3274812759854133E-2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4.6118741171011233E-3</c:v>
                </c:pt>
                <c:pt idx="1617">
                  <c:v>0</c:v>
                </c:pt>
                <c:pt idx="1618">
                  <c:v>2.2611138975743805E-2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9.3634137747721923E-4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6.8155417958323068E-6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0.62981482590133264</c:v>
                </c:pt>
                <c:pt idx="1632">
                  <c:v>0.1708940826804124</c:v>
                </c:pt>
                <c:pt idx="1633">
                  <c:v>0.10569444286084323</c:v>
                </c:pt>
                <c:pt idx="1634">
                  <c:v>0.1708940826804124</c:v>
                </c:pt>
                <c:pt idx="1635">
                  <c:v>0.52412038304048936</c:v>
                </c:pt>
                <c:pt idx="1636">
                  <c:v>1.3573881135728216E-2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2.6444121951567867</c:v>
                </c:pt>
                <c:pt idx="1644">
                  <c:v>0</c:v>
                </c:pt>
                <c:pt idx="1645">
                  <c:v>0</c:v>
                </c:pt>
                <c:pt idx="1646">
                  <c:v>2.6398725345918526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5.4322924096972126E-2</c:v>
                </c:pt>
                <c:pt idx="1683">
                  <c:v>0</c:v>
                </c:pt>
                <c:pt idx="1684">
                  <c:v>0.10474269643362662</c:v>
                </c:pt>
                <c:pt idx="1685">
                  <c:v>3.3846435032205127E-3</c:v>
                </c:pt>
                <c:pt idx="1686">
                  <c:v>4.3568713458676944E-4</c:v>
                </c:pt>
                <c:pt idx="1687">
                  <c:v>6.8003155854373632E-4</c:v>
                </c:pt>
                <c:pt idx="1688">
                  <c:v>4.3568713458676944E-4</c:v>
                </c:pt>
                <c:pt idx="1689">
                  <c:v>6.8003155854373632E-4</c:v>
                </c:pt>
                <c:pt idx="1690">
                  <c:v>4.3569845698038538E-4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0.51697071736392608</c:v>
                </c:pt>
                <c:pt idx="1714">
                  <c:v>-0.48707066707807545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2.9949049653068922</c:v>
                </c:pt>
                <c:pt idx="1745">
                  <c:v>2.8256863340616785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1.1627227434580457E-2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2.4128033037939357E-2</c:v>
                </c:pt>
                <c:pt idx="1778">
                  <c:v>0</c:v>
                </c:pt>
                <c:pt idx="1779">
                  <c:v>1.430009427411298E-2</c:v>
                </c:pt>
                <c:pt idx="1780">
                  <c:v>0</c:v>
                </c:pt>
                <c:pt idx="1781">
                  <c:v>8.260576411240525E-2</c:v>
                </c:pt>
                <c:pt idx="1782">
                  <c:v>0</c:v>
                </c:pt>
                <c:pt idx="1783">
                  <c:v>0</c:v>
                </c:pt>
                <c:pt idx="1784">
                  <c:v>1.2711210628605413E-2</c:v>
                </c:pt>
                <c:pt idx="1785">
                  <c:v>0.10694421653893678</c:v>
                </c:pt>
                <c:pt idx="1786">
                  <c:v>2.433845242653155E-2</c:v>
                </c:pt>
                <c:pt idx="1787">
                  <c:v>0</c:v>
                </c:pt>
                <c:pt idx="1788">
                  <c:v>1.430009427411298E-2</c:v>
                </c:pt>
                <c:pt idx="1789">
                  <c:v>8.260576411240525E-2</c:v>
                </c:pt>
                <c:pt idx="1790">
                  <c:v>1.2711638001101323E-2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3.8556390008188785E-3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0.26129735187318393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0.55623375051538737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0.72536320755539763</c:v>
                </c:pt>
                <c:pt idx="1861">
                  <c:v>0</c:v>
                </c:pt>
                <c:pt idx="1862">
                  <c:v>0.55950547336825407</c:v>
                </c:pt>
                <c:pt idx="1863">
                  <c:v>0</c:v>
                </c:pt>
                <c:pt idx="1864">
                  <c:v>0.26438254025629854</c:v>
                </c:pt>
                <c:pt idx="1865">
                  <c:v>1.330107066028984</c:v>
                </c:pt>
                <c:pt idx="1866">
                  <c:v>0.63499171113962449</c:v>
                </c:pt>
                <c:pt idx="1867">
                  <c:v>0</c:v>
                </c:pt>
                <c:pt idx="1868">
                  <c:v>0.77060159266072981</c:v>
                </c:pt>
                <c:pt idx="1869">
                  <c:v>8.97048560129967E-2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1.132605285516137E-2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3.9676130688605565E-2</c:v>
                </c:pt>
                <c:pt idx="1918">
                  <c:v>14.505627470675114</c:v>
                </c:pt>
                <c:pt idx="1919">
                  <c:v>0</c:v>
                </c:pt>
                <c:pt idx="1920">
                  <c:v>-1.7128111138314381E-8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3.5538700119438354E-2</c:v>
                </c:pt>
                <c:pt idx="1943">
                  <c:v>0</c:v>
                </c:pt>
                <c:pt idx="1944">
                  <c:v>0</c:v>
                </c:pt>
                <c:pt idx="1945">
                  <c:v>2.3274812759854133E-2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0.40517673984978864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5.9039993335216288E-3</c:v>
                </c:pt>
                <c:pt idx="1974">
                  <c:v>1.132605285516137E-2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1.3650598384232542E-2</c:v>
                </c:pt>
                <c:pt idx="1980">
                  <c:v>0.11195094677362048</c:v>
                </c:pt>
                <c:pt idx="1981">
                  <c:v>1.3650598384232542E-2</c:v>
                </c:pt>
                <c:pt idx="1982">
                  <c:v>5.8136571518449575E-3</c:v>
                </c:pt>
                <c:pt idx="1983">
                  <c:v>1.3650598384232542E-2</c:v>
                </c:pt>
                <c:pt idx="1984">
                  <c:v>5.8136571518449575E-3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1.3650598384232542E-2</c:v>
                </c:pt>
                <c:pt idx="2004">
                  <c:v>5.8136571518449575E-3</c:v>
                </c:pt>
                <c:pt idx="2005">
                  <c:v>8.260576411240525E-2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0.14571529658381097</c:v>
                </c:pt>
                <c:pt idx="2010">
                  <c:v>0</c:v>
                </c:pt>
                <c:pt idx="2011">
                  <c:v>1.9187997833945303E-2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0.55950547336825407</c:v>
                </c:pt>
                <c:pt idx="2016">
                  <c:v>0.55950547336825407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0.73222559699283918</c:v>
                </c:pt>
                <c:pt idx="2043">
                  <c:v>0</c:v>
                </c:pt>
                <c:pt idx="2044">
                  <c:v>1.7515270938509794E-8</c:v>
                </c:pt>
                <c:pt idx="2045">
                  <c:v>0</c:v>
                </c:pt>
                <c:pt idx="2046">
                  <c:v>0</c:v>
                </c:pt>
                <c:pt idx="2047">
                  <c:v>0.4890390515795513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4.3568713458676944E-4</c:v>
                </c:pt>
                <c:pt idx="2073">
                  <c:v>0</c:v>
                </c:pt>
                <c:pt idx="2074">
                  <c:v>6.8003155854373632E-4</c:v>
                </c:pt>
                <c:pt idx="2075">
                  <c:v>0</c:v>
                </c:pt>
                <c:pt idx="2076">
                  <c:v>6.8003155854373632E-4</c:v>
                </c:pt>
                <c:pt idx="2077">
                  <c:v>0</c:v>
                </c:pt>
                <c:pt idx="2078">
                  <c:v>4.3568713458676944E-4</c:v>
                </c:pt>
                <c:pt idx="2079">
                  <c:v>0</c:v>
                </c:pt>
                <c:pt idx="2080">
                  <c:v>0</c:v>
                </c:pt>
                <c:pt idx="2081">
                  <c:v>0.31978827138319027</c:v>
                </c:pt>
                <c:pt idx="2082">
                  <c:v>0.31520343975643439</c:v>
                </c:pt>
                <c:pt idx="2083">
                  <c:v>1.9790448225238604E-2</c:v>
                </c:pt>
                <c:pt idx="2084">
                  <c:v>1.9790448225238604E-2</c:v>
                </c:pt>
                <c:pt idx="2085">
                  <c:v>3.8556390008188785E-3</c:v>
                </c:pt>
                <c:pt idx="2086">
                  <c:v>0</c:v>
                </c:pt>
                <c:pt idx="2087">
                  <c:v>3.8791354599756874E-3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-0.21625042591489821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1.9187997833945303E-2</c:v>
                </c:pt>
                <c:pt idx="2108">
                  <c:v>1.9187997833945303E-2</c:v>
                </c:pt>
                <c:pt idx="2109">
                  <c:v>0</c:v>
                </c:pt>
                <c:pt idx="2110">
                  <c:v>0</c:v>
                </c:pt>
                <c:pt idx="2111">
                  <c:v>3.8556390008188785E-3</c:v>
                </c:pt>
                <c:pt idx="2112">
                  <c:v>0</c:v>
                </c:pt>
                <c:pt idx="2113">
                  <c:v>6.1194864634919865E-3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3.8791354599756874E-3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0.26187103528656891</c:v>
                </c:pt>
                <c:pt idx="2143">
                  <c:v>1.430009427411298E-2</c:v>
                </c:pt>
                <c:pt idx="2144">
                  <c:v>0.24757094101245591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0.16948814317262334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-1.7515270938509794E-8</c:v>
                </c:pt>
                <c:pt idx="2167">
                  <c:v>0</c:v>
                </c:pt>
                <c:pt idx="2168">
                  <c:v>1.7320394370359669E-2</c:v>
                </c:pt>
                <c:pt idx="2169">
                  <c:v>3.4098573123860804E-2</c:v>
                </c:pt>
                <c:pt idx="2170">
                  <c:v>1.7320394370359669E-2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0.16948814317262334</c:v>
                </c:pt>
                <c:pt idx="2177">
                  <c:v>0.15030014533867805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4.3568713458676944E-4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0.52039729567773874</c:v>
                </c:pt>
                <c:pt idx="2188">
                  <c:v>0</c:v>
                </c:pt>
                <c:pt idx="2189">
                  <c:v>0</c:v>
                </c:pt>
                <c:pt idx="2190">
                  <c:v>6.0870763870798901E-3</c:v>
                </c:pt>
                <c:pt idx="2191">
                  <c:v>0</c:v>
                </c:pt>
                <c:pt idx="2192">
                  <c:v>0</c:v>
                </c:pt>
                <c:pt idx="2193">
                  <c:v>9.9845512136029733E-3</c:v>
                </c:pt>
                <c:pt idx="2194">
                  <c:v>9.9845512136029733E-3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0.10999300112835821</c:v>
                </c:pt>
                <c:pt idx="2201">
                  <c:v>0.11195094677362048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5.9039993335216288E-3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1.1734332811037241E-3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1.430009427411298E-2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-1.4363345673642822E-8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4.6207778248939776E-2</c:v>
                </c:pt>
                <c:pt idx="2257">
                  <c:v>2.4128033037939357E-2</c:v>
                </c:pt>
                <c:pt idx="2258">
                  <c:v>4.6207778248939776E-2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1.1426908372586931E-4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FB-0E4A-BF5B-50C18CC53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717856"/>
        <c:axId val="1853719568"/>
      </c:scatterChart>
      <c:valAx>
        <c:axId val="18537178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19568"/>
        <c:crosses val="autoZero"/>
        <c:crossBetween val="midCat"/>
      </c:valAx>
      <c:valAx>
        <c:axId val="1853719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17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Correlation of log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520465523666456"/>
                  <c:y val="-0.16511561567283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'MFA-derived fluxes'!$N$2:$N$2309</c:f>
              <c:numCache>
                <c:formatCode>General</c:formatCode>
                <c:ptCount val="2308"/>
                <c:pt idx="0">
                  <c:v>-2.0747491377965193</c:v>
                </c:pt>
                <c:pt idx="1">
                  <c:v>-2.6545321517047102</c:v>
                </c:pt>
                <c:pt idx="2">
                  <c:v>-4.0306935744315586</c:v>
                </c:pt>
                <c:pt idx="3">
                  <c:v>-2.3592557396966845</c:v>
                </c:pt>
                <c:pt idx="4">
                  <c:v>-2.3592557396966845</c:v>
                </c:pt>
                <c:pt idx="5">
                  <c:v>-2.3592557396966845</c:v>
                </c:pt>
                <c:pt idx="6">
                  <c:v>-2.5501896200739957</c:v>
                </c:pt>
                <c:pt idx="7">
                  <c:v>-3.7010450030510671</c:v>
                </c:pt>
                <c:pt idx="8">
                  <c:v>-3.7010450030510671</c:v>
                </c:pt>
                <c:pt idx="9">
                  <c:v>-2.4442037493305238</c:v>
                </c:pt>
                <c:pt idx="10">
                  <c:v>-2.4067068740001836</c:v>
                </c:pt>
                <c:pt idx="11">
                  <c:v>-1.9909961646921943</c:v>
                </c:pt>
                <c:pt idx="12">
                  <c:v>-1.6057653035082364</c:v>
                </c:pt>
                <c:pt idx="13">
                  <c:v>-1.6057653035082364</c:v>
                </c:pt>
                <c:pt idx="14">
                  <c:v>-2.4442037493305238</c:v>
                </c:pt>
                <c:pt idx="15">
                  <c:v>-1.5246916677871472</c:v>
                </c:pt>
                <c:pt idx="16">
                  <c:v>-0.898671012293218</c:v>
                </c:pt>
                <c:pt idx="17">
                  <c:v>-2.8076463724064662</c:v>
                </c:pt>
                <c:pt idx="18">
                  <c:v>-0.1482059373345801</c:v>
                </c:pt>
                <c:pt idx="19">
                  <c:v>-3.0696095838366184</c:v>
                </c:pt>
                <c:pt idx="20">
                  <c:v>-2.5682433838135745</c:v>
                </c:pt>
                <c:pt idx="21">
                  <c:v>-2.5501003837924046</c:v>
                </c:pt>
                <c:pt idx="22">
                  <c:v>-2.5682433838135745</c:v>
                </c:pt>
                <c:pt idx="23">
                  <c:v>-2.4442037493305238</c:v>
                </c:pt>
                <c:pt idx="24">
                  <c:v>-2.8076463724064662</c:v>
                </c:pt>
                <c:pt idx="25">
                  <c:v>-3.0696114247195303</c:v>
                </c:pt>
                <c:pt idx="26">
                  <c:v>-2.3869792238621645</c:v>
                </c:pt>
                <c:pt idx="27">
                  <c:v>-2.5501003837924046</c:v>
                </c:pt>
                <c:pt idx="28">
                  <c:v>-3.1128499741398463</c:v>
                </c:pt>
                <c:pt idx="29">
                  <c:v>-1.7514094871554933</c:v>
                </c:pt>
                <c:pt idx="30">
                  <c:v>-3.1129597530984534</c:v>
                </c:pt>
                <c:pt idx="31">
                  <c:v>-2.2101358912966407</c:v>
                </c:pt>
                <c:pt idx="32">
                  <c:v>-3.3639112909621374</c:v>
                </c:pt>
                <c:pt idx="33">
                  <c:v>-2.5907623243886508</c:v>
                </c:pt>
                <c:pt idx="34">
                  <c:v>-2.5907623243886508</c:v>
                </c:pt>
                <c:pt idx="35">
                  <c:v>-2.0764508779814577</c:v>
                </c:pt>
                <c:pt idx="36">
                  <c:v>-2.5103025543788933</c:v>
                </c:pt>
                <c:pt idx="37">
                  <c:v>-2.4960978548498174</c:v>
                </c:pt>
                <c:pt idx="38">
                  <c:v>-8.4423686491515095</c:v>
                </c:pt>
                <c:pt idx="39">
                  <c:v>-2.0764508779814577</c:v>
                </c:pt>
                <c:pt idx="40">
                  <c:v>-8.4423686491515095</c:v>
                </c:pt>
                <c:pt idx="41">
                  <c:v>-2.8912639601064796</c:v>
                </c:pt>
                <c:pt idx="42">
                  <c:v>-0.63452721766862563</c:v>
                </c:pt>
                <c:pt idx="43">
                  <c:v>-3.0696095838366184</c:v>
                </c:pt>
                <c:pt idx="44">
                  <c:v>-3.3283408704576396</c:v>
                </c:pt>
                <c:pt idx="45">
                  <c:v>-3.3283408704576396</c:v>
                </c:pt>
                <c:pt idx="46">
                  <c:v>-3.3283408704576396</c:v>
                </c:pt>
                <c:pt idx="47">
                  <c:v>-3.3283408704576396</c:v>
                </c:pt>
                <c:pt idx="48">
                  <c:v>-3.3283408704576396</c:v>
                </c:pt>
                <c:pt idx="49">
                  <c:v>-3.3283408704576396</c:v>
                </c:pt>
                <c:pt idx="50">
                  <c:v>-3.3283408704576396</c:v>
                </c:pt>
                <c:pt idx="51">
                  <c:v>-3.3283408704576396</c:v>
                </c:pt>
                <c:pt idx="52">
                  <c:v>-3.3283408704576396</c:v>
                </c:pt>
                <c:pt idx="53">
                  <c:v>-3.3283408704576396</c:v>
                </c:pt>
                <c:pt idx="54">
                  <c:v>-3.3283408704576396</c:v>
                </c:pt>
                <c:pt idx="55">
                  <c:v>-3.3283408704576396</c:v>
                </c:pt>
                <c:pt idx="56">
                  <c:v>-4.7409307342054783</c:v>
                </c:pt>
                <c:pt idx="57">
                  <c:v>-2.2398258967334193</c:v>
                </c:pt>
                <c:pt idx="58">
                  <c:v>-2.4194260415419522</c:v>
                </c:pt>
                <c:pt idx="59">
                  <c:v>-2.3726829009856614</c:v>
                </c:pt>
                <c:pt idx="60">
                  <c:v>-3.7010450030510671</c:v>
                </c:pt>
                <c:pt idx="61">
                  <c:v>-1.6057654933109053</c:v>
                </c:pt>
                <c:pt idx="62">
                  <c:v>0.28199454129390544</c:v>
                </c:pt>
                <c:pt idx="63">
                  <c:v>-2.7781388227668247</c:v>
                </c:pt>
                <c:pt idx="64">
                  <c:v>-1.6057653035082364</c:v>
                </c:pt>
                <c:pt idx="65">
                  <c:v>-2.8660496199325713</c:v>
                </c:pt>
                <c:pt idx="66">
                  <c:v>-5.7930337904393667</c:v>
                </c:pt>
                <c:pt idx="67">
                  <c:v>-4.0306935744315586</c:v>
                </c:pt>
                <c:pt idx="68">
                  <c:v>-4.0306935744315586</c:v>
                </c:pt>
                <c:pt idx="69">
                  <c:v>-3.1580477408590668</c:v>
                </c:pt>
                <c:pt idx="70">
                  <c:v>-2.3726829009856614</c:v>
                </c:pt>
                <c:pt idx="71">
                  <c:v>-1.9909961646921943</c:v>
                </c:pt>
                <c:pt idx="72">
                  <c:v>-2.4067068740001836</c:v>
                </c:pt>
                <c:pt idx="73">
                  <c:v>-4.2532448884507108</c:v>
                </c:pt>
                <c:pt idx="74">
                  <c:v>-2.4960978548498174</c:v>
                </c:pt>
                <c:pt idx="75">
                  <c:v>-2.4960978548498174</c:v>
                </c:pt>
                <c:pt idx="76">
                  <c:v>-2.3726829009856614</c:v>
                </c:pt>
                <c:pt idx="77">
                  <c:v>-2.3726829009856614</c:v>
                </c:pt>
                <c:pt idx="78">
                  <c:v>-3.0273108747936583</c:v>
                </c:pt>
                <c:pt idx="79">
                  <c:v>-2.2655804319978099</c:v>
                </c:pt>
                <c:pt idx="80">
                  <c:v>-2.5501896200739957</c:v>
                </c:pt>
                <c:pt idx="81">
                  <c:v>-4.2532448884507108</c:v>
                </c:pt>
                <c:pt idx="82">
                  <c:v>-4.2532448884507108</c:v>
                </c:pt>
                <c:pt idx="83">
                  <c:v>0.25198905151682927</c:v>
                </c:pt>
                <c:pt idx="84">
                  <c:v>-4.7409307342054783</c:v>
                </c:pt>
                <c:pt idx="85">
                  <c:v>0.28199454129390544</c:v>
                </c:pt>
                <c:pt idx="86">
                  <c:v>-5.7930337904393667</c:v>
                </c:pt>
                <c:pt idx="87">
                  <c:v>-5.028003623425664</c:v>
                </c:pt>
                <c:pt idx="88">
                  <c:v>0</c:v>
                </c:pt>
                <c:pt idx="89">
                  <c:v>-1.4312482025063762</c:v>
                </c:pt>
                <c:pt idx="90">
                  <c:v>-0.2667416339469969</c:v>
                </c:pt>
                <c:pt idx="91">
                  <c:v>-2.0693864978253829</c:v>
                </c:pt>
                <c:pt idx="92">
                  <c:v>-3.0466667900684339</c:v>
                </c:pt>
                <c:pt idx="93">
                  <c:v>-5.8770438491939831</c:v>
                </c:pt>
                <c:pt idx="94">
                  <c:v>-0.94939838469513282</c:v>
                </c:pt>
                <c:pt idx="95">
                  <c:v>-0.69364898347030612</c:v>
                </c:pt>
                <c:pt idx="96">
                  <c:v>-2.0864338234090427</c:v>
                </c:pt>
                <c:pt idx="97">
                  <c:v>-2.8884801488566079</c:v>
                </c:pt>
                <c:pt idx="98">
                  <c:v>-4.6526154896401453</c:v>
                </c:pt>
                <c:pt idx="99">
                  <c:v>-1.8906293483769904E-2</c:v>
                </c:pt>
                <c:pt idx="100">
                  <c:v>-2.2785762291557075</c:v>
                </c:pt>
                <c:pt idx="101">
                  <c:v>-1.0202944419572213</c:v>
                </c:pt>
                <c:pt idx="102">
                  <c:v>-5.028003623425664</c:v>
                </c:pt>
                <c:pt idx="103">
                  <c:v>-0.42068872689452141</c:v>
                </c:pt>
                <c:pt idx="104">
                  <c:v>-2.2417378559802317</c:v>
                </c:pt>
                <c:pt idx="105">
                  <c:v>-1.7514053309532274</c:v>
                </c:pt>
                <c:pt idx="106">
                  <c:v>-2.1111553681997224</c:v>
                </c:pt>
                <c:pt idx="107">
                  <c:v>-2.2942292214271367</c:v>
                </c:pt>
                <c:pt idx="108">
                  <c:v>-2.452563893684145</c:v>
                </c:pt>
                <c:pt idx="109">
                  <c:v>-8.4423686491515095</c:v>
                </c:pt>
                <c:pt idx="110">
                  <c:v>-2.6019810718397274</c:v>
                </c:pt>
                <c:pt idx="111">
                  <c:v>-1.4682946559284533</c:v>
                </c:pt>
                <c:pt idx="112">
                  <c:v>-1.8269134800486859</c:v>
                </c:pt>
                <c:pt idx="113">
                  <c:v>0.26728312636959795</c:v>
                </c:pt>
                <c:pt idx="114">
                  <c:v>-2.5501003837924046</c:v>
                </c:pt>
                <c:pt idx="115">
                  <c:v>-3.7010450030510671</c:v>
                </c:pt>
                <c:pt idx="116">
                  <c:v>-1.0925887093323983</c:v>
                </c:pt>
                <c:pt idx="117">
                  <c:v>-2.8539359302777965</c:v>
                </c:pt>
                <c:pt idx="118">
                  <c:v>0</c:v>
                </c:pt>
                <c:pt idx="119">
                  <c:v>-1.4232522109860974</c:v>
                </c:pt>
                <c:pt idx="120">
                  <c:v>-2.6019810718397274</c:v>
                </c:pt>
                <c:pt idx="121">
                  <c:v>-0.90857502817620384</c:v>
                </c:pt>
                <c:pt idx="122">
                  <c:v>-2.5501003837924046</c:v>
                </c:pt>
                <c:pt idx="123">
                  <c:v>-1.6701244180842061</c:v>
                </c:pt>
                <c:pt idx="124">
                  <c:v>-1.3477976451543072</c:v>
                </c:pt>
                <c:pt idx="125">
                  <c:v>-2.3915988139746447</c:v>
                </c:pt>
                <c:pt idx="126">
                  <c:v>-1.142272225295264</c:v>
                </c:pt>
                <c:pt idx="127">
                  <c:v>-2.8539359302777965</c:v>
                </c:pt>
                <c:pt idx="128">
                  <c:v>-1.4682946559284533</c:v>
                </c:pt>
                <c:pt idx="129">
                  <c:v>-3.0273108747936583</c:v>
                </c:pt>
                <c:pt idx="130">
                  <c:v>-0.2667416339469969</c:v>
                </c:pt>
                <c:pt idx="131">
                  <c:v>-6.8459519052606693E-2</c:v>
                </c:pt>
                <c:pt idx="132">
                  <c:v>-2.3592557396966845</c:v>
                </c:pt>
                <c:pt idx="133">
                  <c:v>-2.3592557396966845</c:v>
                </c:pt>
                <c:pt idx="134">
                  <c:v>-2.3592557396966845</c:v>
                </c:pt>
                <c:pt idx="135">
                  <c:v>-0.9998098519535259</c:v>
                </c:pt>
                <c:pt idx="136">
                  <c:v>0</c:v>
                </c:pt>
                <c:pt idx="137">
                  <c:v>-2.3592557396966845</c:v>
                </c:pt>
                <c:pt idx="138">
                  <c:v>-2.8912639601064796</c:v>
                </c:pt>
                <c:pt idx="139">
                  <c:v>-2.8912639601064796</c:v>
                </c:pt>
                <c:pt idx="140">
                  <c:v>-2.5501896200739957</c:v>
                </c:pt>
                <c:pt idx="141">
                  <c:v>-2.5501896200739957</c:v>
                </c:pt>
                <c:pt idx="142">
                  <c:v>-8.4423686491515095</c:v>
                </c:pt>
                <c:pt idx="143">
                  <c:v>-3.0696095838366184</c:v>
                </c:pt>
                <c:pt idx="144">
                  <c:v>-2.1229752076524511</c:v>
                </c:pt>
                <c:pt idx="145">
                  <c:v>-2.8912639601064796</c:v>
                </c:pt>
                <c:pt idx="146">
                  <c:v>-8.4423686491515095</c:v>
                </c:pt>
                <c:pt idx="147">
                  <c:v>-2.8912639601064796</c:v>
                </c:pt>
                <c:pt idx="148">
                  <c:v>-2.8912639601064796</c:v>
                </c:pt>
                <c:pt idx="149">
                  <c:v>-2.2101358912966407</c:v>
                </c:pt>
                <c:pt idx="150">
                  <c:v>-2.4067068740001836</c:v>
                </c:pt>
                <c:pt idx="151">
                  <c:v>-2.4067068740001836</c:v>
                </c:pt>
                <c:pt idx="152">
                  <c:v>-2.3869792238621645</c:v>
                </c:pt>
                <c:pt idx="153">
                  <c:v>-2.8539359302777965</c:v>
                </c:pt>
                <c:pt idx="154">
                  <c:v>-3.0273108747936583</c:v>
                </c:pt>
                <c:pt idx="155">
                  <c:v>-2.2731891761880711</c:v>
                </c:pt>
                <c:pt idx="156">
                  <c:v>-2.2731891761880711</c:v>
                </c:pt>
                <c:pt idx="157">
                  <c:v>-2.2731891761880711</c:v>
                </c:pt>
                <c:pt idx="158">
                  <c:v>-2.2731891761880711</c:v>
                </c:pt>
                <c:pt idx="159">
                  <c:v>-1.9909961646921943</c:v>
                </c:pt>
                <c:pt idx="160">
                  <c:v>-2.4067068740001836</c:v>
                </c:pt>
                <c:pt idx="161">
                  <c:v>-2.2417378559802317</c:v>
                </c:pt>
                <c:pt idx="162">
                  <c:v>-8.4423686491515095</c:v>
                </c:pt>
                <c:pt idx="163">
                  <c:v>-2.2731891761880711</c:v>
                </c:pt>
                <c:pt idx="164">
                  <c:v>-3.3283408704576396</c:v>
                </c:pt>
                <c:pt idx="165">
                  <c:v>-3.3283408704576396</c:v>
                </c:pt>
                <c:pt idx="166">
                  <c:v>-3.8203011387897292</c:v>
                </c:pt>
                <c:pt idx="167">
                  <c:v>-2.2655804319978099</c:v>
                </c:pt>
                <c:pt idx="168">
                  <c:v>-2.2655804319978099</c:v>
                </c:pt>
                <c:pt idx="169">
                  <c:v>-2.3360352513417855</c:v>
                </c:pt>
                <c:pt idx="170">
                  <c:v>-1.3667448298984077</c:v>
                </c:pt>
                <c:pt idx="171">
                  <c:v>-2.8076463724064662</c:v>
                </c:pt>
                <c:pt idx="172">
                  <c:v>-2.6352695996373861</c:v>
                </c:pt>
                <c:pt idx="173">
                  <c:v>-2.5501896200739957</c:v>
                </c:pt>
                <c:pt idx="174">
                  <c:v>-3.0466667900684339</c:v>
                </c:pt>
                <c:pt idx="175">
                  <c:v>-8.4423686491515095</c:v>
                </c:pt>
                <c:pt idx="176">
                  <c:v>-3.8203011387897292</c:v>
                </c:pt>
                <c:pt idx="177">
                  <c:v>-5.8770438491939831</c:v>
                </c:pt>
                <c:pt idx="178">
                  <c:v>-1.105527669795543</c:v>
                </c:pt>
                <c:pt idx="179">
                  <c:v>-1.7514053309532274</c:v>
                </c:pt>
                <c:pt idx="180">
                  <c:v>-1.1586315021315743</c:v>
                </c:pt>
                <c:pt idx="181">
                  <c:v>-1.7514053309532274</c:v>
                </c:pt>
                <c:pt idx="182">
                  <c:v>-2.0444675117108249</c:v>
                </c:pt>
                <c:pt idx="183">
                  <c:v>-2.6352695996373861</c:v>
                </c:pt>
                <c:pt idx="184">
                  <c:v>-2.02274233064428</c:v>
                </c:pt>
                <c:pt idx="185">
                  <c:v>-1.7391983668549382</c:v>
                </c:pt>
                <c:pt idx="186">
                  <c:v>-3.1822496314980362</c:v>
                </c:pt>
                <c:pt idx="187">
                  <c:v>-4.2532448884507108</c:v>
                </c:pt>
                <c:pt idx="188">
                  <c:v>-4.4239858775491703</c:v>
                </c:pt>
                <c:pt idx="189">
                  <c:v>-4.2532448884507108</c:v>
                </c:pt>
                <c:pt idx="190">
                  <c:v>-4.4239858775491703</c:v>
                </c:pt>
                <c:pt idx="191">
                  <c:v>-4.2532448884507108</c:v>
                </c:pt>
                <c:pt idx="192">
                  <c:v>-0.94939838469513282</c:v>
                </c:pt>
                <c:pt idx="193">
                  <c:v>-0.69364898347030612</c:v>
                </c:pt>
                <c:pt idx="194">
                  <c:v>-0.72171872255850256</c:v>
                </c:pt>
                <c:pt idx="195">
                  <c:v>-2.5907623243886508</c:v>
                </c:pt>
                <c:pt idx="196">
                  <c:v>-2.2731891761880711</c:v>
                </c:pt>
                <c:pt idx="197">
                  <c:v>-2.4960978548498174</c:v>
                </c:pt>
                <c:pt idx="198">
                  <c:v>-2.9885164415348116</c:v>
                </c:pt>
                <c:pt idx="199">
                  <c:v>-2.4442037493305238</c:v>
                </c:pt>
                <c:pt idx="200">
                  <c:v>-2.4442037493305238</c:v>
                </c:pt>
                <c:pt idx="201">
                  <c:v>-2.4960978548498174</c:v>
                </c:pt>
                <c:pt idx="202">
                  <c:v>-8.4423686491515095</c:v>
                </c:pt>
                <c:pt idx="203">
                  <c:v>-2.452563893684145</c:v>
                </c:pt>
                <c:pt idx="204">
                  <c:v>-3.0696095838366184</c:v>
                </c:pt>
                <c:pt idx="205">
                  <c:v>-1.0912774865428607</c:v>
                </c:pt>
                <c:pt idx="206">
                  <c:v>-1.5352086407633074</c:v>
                </c:pt>
                <c:pt idx="207">
                  <c:v>-1.6524397001243935E-2</c:v>
                </c:pt>
                <c:pt idx="208">
                  <c:v>-1.1936025697449737</c:v>
                </c:pt>
                <c:pt idx="209">
                  <c:v>-2.1942350788001368E-2</c:v>
                </c:pt>
                <c:pt idx="210">
                  <c:v>0.26728312636959795</c:v>
                </c:pt>
                <c:pt idx="211">
                  <c:v>-1.4682946559284533</c:v>
                </c:pt>
                <c:pt idx="212">
                  <c:v>0.25198905151682927</c:v>
                </c:pt>
                <c:pt idx="213">
                  <c:v>-1.8269134800486859</c:v>
                </c:pt>
                <c:pt idx="214">
                  <c:v>-2.6016344653121233</c:v>
                </c:pt>
                <c:pt idx="215">
                  <c:v>-2.0864338234090427</c:v>
                </c:pt>
                <c:pt idx="216">
                  <c:v>-0.39225709589653129</c:v>
                </c:pt>
                <c:pt idx="217">
                  <c:v>-2.2655804319978099</c:v>
                </c:pt>
                <c:pt idx="218">
                  <c:v>-2.5501896200739957</c:v>
                </c:pt>
                <c:pt idx="219">
                  <c:v>-8.4423686491515095</c:v>
                </c:pt>
                <c:pt idx="220">
                  <c:v>-2.8845655387533213</c:v>
                </c:pt>
                <c:pt idx="221">
                  <c:v>-2.6016344653121233</c:v>
                </c:pt>
                <c:pt idx="222">
                  <c:v>-2.5501003837924046</c:v>
                </c:pt>
                <c:pt idx="223">
                  <c:v>-2.2101358912966407</c:v>
                </c:pt>
                <c:pt idx="224">
                  <c:v>-2.5501003837924046</c:v>
                </c:pt>
                <c:pt idx="225">
                  <c:v>-2.8912639601064796</c:v>
                </c:pt>
                <c:pt idx="226">
                  <c:v>-2.5501003837924046</c:v>
                </c:pt>
                <c:pt idx="227">
                  <c:v>-2.8912639601064796</c:v>
                </c:pt>
                <c:pt idx="228">
                  <c:v>-2.5501003837924046</c:v>
                </c:pt>
                <c:pt idx="229">
                  <c:v>-2.8912639601064796</c:v>
                </c:pt>
                <c:pt idx="230">
                  <c:v>-3.1434893849194028</c:v>
                </c:pt>
                <c:pt idx="231">
                  <c:v>-1.8710492600198374</c:v>
                </c:pt>
                <c:pt idx="232">
                  <c:v>-2.3726829009856614</c:v>
                </c:pt>
                <c:pt idx="233">
                  <c:v>-1.1936025697449737</c:v>
                </c:pt>
                <c:pt idx="234">
                  <c:v>-1.1936025697449737</c:v>
                </c:pt>
                <c:pt idx="235">
                  <c:v>0.2499228395815426</c:v>
                </c:pt>
                <c:pt idx="236">
                  <c:v>0.22693993414307972</c:v>
                </c:pt>
                <c:pt idx="237">
                  <c:v>-1.9472532971950363</c:v>
                </c:pt>
                <c:pt idx="238">
                  <c:v>-4.2532448884507108</c:v>
                </c:pt>
                <c:pt idx="239">
                  <c:v>-4.4239858775491703</c:v>
                </c:pt>
                <c:pt idx="240">
                  <c:v>-4.4239858775491703</c:v>
                </c:pt>
                <c:pt idx="241">
                  <c:v>-4.2532448884507108</c:v>
                </c:pt>
                <c:pt idx="242">
                  <c:v>-1.9103093339005091</c:v>
                </c:pt>
                <c:pt idx="243">
                  <c:v>-1.6630641423163515</c:v>
                </c:pt>
                <c:pt idx="244">
                  <c:v>-2.3592557396966845</c:v>
                </c:pt>
                <c:pt idx="245">
                  <c:v>-2.3592557396966845</c:v>
                </c:pt>
                <c:pt idx="246">
                  <c:v>-3.0696114247195303</c:v>
                </c:pt>
                <c:pt idx="247">
                  <c:v>-3.3283408704576396</c:v>
                </c:pt>
                <c:pt idx="248">
                  <c:v>-2.3726829009856614</c:v>
                </c:pt>
                <c:pt idx="249">
                  <c:v>-2.3726829009856614</c:v>
                </c:pt>
                <c:pt idx="250">
                  <c:v>-3.0696095838366184</c:v>
                </c:pt>
                <c:pt idx="251">
                  <c:v>-2.8884801488566079</c:v>
                </c:pt>
                <c:pt idx="252">
                  <c:v>-3.3283408704576396</c:v>
                </c:pt>
                <c:pt idx="253">
                  <c:v>-2.5456713269149391</c:v>
                </c:pt>
                <c:pt idx="254">
                  <c:v>-3.1128499741398463</c:v>
                </c:pt>
                <c:pt idx="255">
                  <c:v>-2.0826662662882787</c:v>
                </c:pt>
                <c:pt idx="256">
                  <c:v>-2.417154337700246</c:v>
                </c:pt>
                <c:pt idx="257">
                  <c:v>-2.1229752076524511</c:v>
                </c:pt>
                <c:pt idx="258">
                  <c:v>-2.417154337700246</c:v>
                </c:pt>
                <c:pt idx="259">
                  <c:v>-2.0826664559946964</c:v>
                </c:pt>
                <c:pt idx="260">
                  <c:v>-2.39499658538571</c:v>
                </c:pt>
                <c:pt idx="261">
                  <c:v>-4.2532448884507108</c:v>
                </c:pt>
                <c:pt idx="262">
                  <c:v>-5.4096969496187711E-2</c:v>
                </c:pt>
                <c:pt idx="263">
                  <c:v>-2.9834355293168948</c:v>
                </c:pt>
                <c:pt idx="264">
                  <c:v>-3.6915378614350569</c:v>
                </c:pt>
                <c:pt idx="265">
                  <c:v>-3.6915378614350569</c:v>
                </c:pt>
                <c:pt idx="266">
                  <c:v>-2.2417378559802317</c:v>
                </c:pt>
                <c:pt idx="267">
                  <c:v>-2.2101358912966407</c:v>
                </c:pt>
                <c:pt idx="268">
                  <c:v>-2.8845655387533213</c:v>
                </c:pt>
                <c:pt idx="269">
                  <c:v>-3.7010450030510671</c:v>
                </c:pt>
                <c:pt idx="270">
                  <c:v>-2.4960978548498174</c:v>
                </c:pt>
                <c:pt idx="271">
                  <c:v>-1.9909961646921943</c:v>
                </c:pt>
                <c:pt idx="272">
                  <c:v>-2.2731891761880711</c:v>
                </c:pt>
                <c:pt idx="273">
                  <c:v>-1.9909961646921943</c:v>
                </c:pt>
                <c:pt idx="274">
                  <c:v>-4.6526154896401453</c:v>
                </c:pt>
              </c:numCache>
            </c:numRef>
          </c:xVal>
          <c:yVal>
            <c:numRef>
              <c:f>'MFA-derived fluxes'!$O$2:$O$2309</c:f>
              <c:numCache>
                <c:formatCode>General</c:formatCode>
                <c:ptCount val="2308"/>
                <c:pt idx="0">
                  <c:v>-1.3042235622317955</c:v>
                </c:pt>
                <c:pt idx="1">
                  <c:v>-1.8840076663890388</c:v>
                </c:pt>
                <c:pt idx="2">
                  <c:v>-3.3750030703267271</c:v>
                </c:pt>
                <c:pt idx="3">
                  <c:v>-1.7035443695357284</c:v>
                </c:pt>
                <c:pt idx="4">
                  <c:v>-1.7035443695357284</c:v>
                </c:pt>
                <c:pt idx="5">
                  <c:v>-1.7035443695357284</c:v>
                </c:pt>
                <c:pt idx="6">
                  <c:v>-1.6331138041248896</c:v>
                </c:pt>
                <c:pt idx="7">
                  <c:v>-2.9305415984149601</c:v>
                </c:pt>
                <c:pt idx="8">
                  <c:v>-2.9305415984149601</c:v>
                </c:pt>
                <c:pt idx="9">
                  <c:v>-0.97084269676932011</c:v>
                </c:pt>
                <c:pt idx="10">
                  <c:v>-1.7509952736333134</c:v>
                </c:pt>
                <c:pt idx="11">
                  <c:v>-1.3352849126200561</c:v>
                </c:pt>
                <c:pt idx="12">
                  <c:v>-0.47065982396486084</c:v>
                </c:pt>
                <c:pt idx="13">
                  <c:v>-0.47065982396486084</c:v>
                </c:pt>
                <c:pt idx="14">
                  <c:v>-0.97084269676932011</c:v>
                </c:pt>
                <c:pt idx="15">
                  <c:v>-2.4139055646677594</c:v>
                </c:pt>
                <c:pt idx="16">
                  <c:v>-0.64125595691673287</c:v>
                </c:pt>
                <c:pt idx="17">
                  <c:v>-1.9939648008075515</c:v>
                </c:pt>
                <c:pt idx="18">
                  <c:v>1.1615365198438017</c:v>
                </c:pt>
                <c:pt idx="19">
                  <c:v>-2.413903635373893</c:v>
                </c:pt>
                <c:pt idx="20">
                  <c:v>-1.950591764427974</c:v>
                </c:pt>
                <c:pt idx="21">
                  <c:v>-1.8648483105811549</c:v>
                </c:pt>
                <c:pt idx="22">
                  <c:v>-1.950591764427974</c:v>
                </c:pt>
                <c:pt idx="23">
                  <c:v>-0.97084269676932011</c:v>
                </c:pt>
                <c:pt idx="24">
                  <c:v>-1.9939648008075515</c:v>
                </c:pt>
                <c:pt idx="25">
                  <c:v>-2.413903635373893</c:v>
                </c:pt>
                <c:pt idx="26">
                  <c:v>-1.7107622024136595</c:v>
                </c:pt>
                <c:pt idx="27">
                  <c:v>-1.8648483105811549</c:v>
                </c:pt>
                <c:pt idx="28">
                  <c:v>-0.60630033258635219</c:v>
                </c:pt>
                <c:pt idx="29">
                  <c:v>-0.24637670034601139</c:v>
                </c:pt>
                <c:pt idx="30">
                  <c:v>-1.0938621104077499</c:v>
                </c:pt>
                <c:pt idx="31">
                  <c:v>-0.95097222922367086</c:v>
                </c:pt>
                <c:pt idx="32">
                  <c:v>-2.7081993688609258</c:v>
                </c:pt>
                <c:pt idx="33">
                  <c:v>-1.9345238324266469</c:v>
                </c:pt>
                <c:pt idx="34">
                  <c:v>-1.9345238324266469</c:v>
                </c:pt>
                <c:pt idx="35">
                  <c:v>-1.4207400194787898</c:v>
                </c:pt>
                <c:pt idx="36">
                  <c:v>-1.8545925266651584</c:v>
                </c:pt>
                <c:pt idx="37">
                  <c:v>-1.8446610994166099</c:v>
                </c:pt>
                <c:pt idx="38">
                  <c:v>-0.41345424099640105</c:v>
                </c:pt>
                <c:pt idx="39">
                  <c:v>-1.4207400194787898</c:v>
                </c:pt>
                <c:pt idx="40">
                  <c:v>-0.41345424099640105</c:v>
                </c:pt>
                <c:pt idx="41">
                  <c:v>-2.235550583410487</c:v>
                </c:pt>
                <c:pt idx="42">
                  <c:v>0.67498680974968994</c:v>
                </c:pt>
                <c:pt idx="43">
                  <c:v>-2.413903635373893</c:v>
                </c:pt>
                <c:pt idx="44">
                  <c:v>-2.4112650545085335</c:v>
                </c:pt>
                <c:pt idx="45">
                  <c:v>-2.4112655685784778</c:v>
                </c:pt>
                <c:pt idx="46">
                  <c:v>-2.4112650545085335</c:v>
                </c:pt>
                <c:pt idx="47">
                  <c:v>-2.4112650545085335</c:v>
                </c:pt>
                <c:pt idx="48">
                  <c:v>-2.4112650545085335</c:v>
                </c:pt>
                <c:pt idx="49">
                  <c:v>-2.4112650545085335</c:v>
                </c:pt>
                <c:pt idx="50">
                  <c:v>-2.4112650545085335</c:v>
                </c:pt>
                <c:pt idx="51">
                  <c:v>-2.4112650545085335</c:v>
                </c:pt>
                <c:pt idx="52">
                  <c:v>-2.4112650545085335</c:v>
                </c:pt>
                <c:pt idx="53">
                  <c:v>-2.4112650545085335</c:v>
                </c:pt>
                <c:pt idx="54">
                  <c:v>-2.4112655685784778</c:v>
                </c:pt>
                <c:pt idx="55">
                  <c:v>-2.4112650545085335</c:v>
                </c:pt>
                <c:pt idx="56">
                  <c:v>-4.0303864995895049</c:v>
                </c:pt>
                <c:pt idx="57">
                  <c:v>-1.586242343516451</c:v>
                </c:pt>
                <c:pt idx="58">
                  <c:v>-1.763713407100856</c:v>
                </c:pt>
                <c:pt idx="59">
                  <c:v>-1.7169703392318678</c:v>
                </c:pt>
                <c:pt idx="60">
                  <c:v>-2.9305415984149601</c:v>
                </c:pt>
                <c:pt idx="61">
                  <c:v>-0.70308579465152776</c:v>
                </c:pt>
                <c:pt idx="62">
                  <c:v>0.49423764908399231</c:v>
                </c:pt>
                <c:pt idx="63">
                  <c:v>-1.9816148035512098</c:v>
                </c:pt>
                <c:pt idx="64">
                  <c:v>-0.27047617267982216</c:v>
                </c:pt>
                <c:pt idx="65">
                  <c:v>-2.0301130409649164</c:v>
                </c:pt>
                <c:pt idx="66">
                  <c:v>-5.0827226168412363</c:v>
                </c:pt>
                <c:pt idx="67">
                  <c:v>-3.3750030703267271</c:v>
                </c:pt>
                <c:pt idx="68">
                  <c:v>-3.3750030703267271</c:v>
                </c:pt>
                <c:pt idx="69">
                  <c:v>-2.3909741670498041</c:v>
                </c:pt>
                <c:pt idx="70">
                  <c:v>-1.7169703392318678</c:v>
                </c:pt>
                <c:pt idx="71">
                  <c:v>-1.3352849126200561</c:v>
                </c:pt>
                <c:pt idx="72">
                  <c:v>-1.7509952736333134</c:v>
                </c:pt>
                <c:pt idx="73">
                  <c:v>-3.36082526416447</c:v>
                </c:pt>
                <c:pt idx="74">
                  <c:v>-1.8446610994166099</c:v>
                </c:pt>
                <c:pt idx="75">
                  <c:v>-1.8446610994166099</c:v>
                </c:pt>
                <c:pt idx="76">
                  <c:v>-1.7169703392318678</c:v>
                </c:pt>
                <c:pt idx="77">
                  <c:v>-1.7169703392318678</c:v>
                </c:pt>
                <c:pt idx="78">
                  <c:v>-2.1102350588445518</c:v>
                </c:pt>
                <c:pt idx="79">
                  <c:v>-1.4492984612037394</c:v>
                </c:pt>
                <c:pt idx="80">
                  <c:v>-1.6331138041248896</c:v>
                </c:pt>
                <c:pt idx="81">
                  <c:v>-3.36082526416447</c:v>
                </c:pt>
                <c:pt idx="82">
                  <c:v>-3.36082526416447</c:v>
                </c:pt>
                <c:pt idx="83">
                  <c:v>-0.11317009773276131</c:v>
                </c:pt>
                <c:pt idx="84">
                  <c:v>-4.0303864995895049</c:v>
                </c:pt>
                <c:pt idx="85">
                  <c:v>0.49423764908399231</c:v>
                </c:pt>
                <c:pt idx="86">
                  <c:v>-5.0827226168412363</c:v>
                </c:pt>
                <c:pt idx="87">
                  <c:v>-4.3174593888096915</c:v>
                </c:pt>
                <c:pt idx="88">
                  <c:v>0</c:v>
                </c:pt>
                <c:pt idx="89">
                  <c:v>-0.31777172104349249</c:v>
                </c:pt>
                <c:pt idx="90">
                  <c:v>0.65406472843702024</c:v>
                </c:pt>
                <c:pt idx="91">
                  <c:v>-1.3588422632094097</c:v>
                </c:pt>
                <c:pt idx="92">
                  <c:v>-2.3361225554524609</c:v>
                </c:pt>
                <c:pt idx="93">
                  <c:v>-5.1664996145780098</c:v>
                </c:pt>
                <c:pt idx="94">
                  <c:v>-0.28653405583725028</c:v>
                </c:pt>
                <c:pt idx="95">
                  <c:v>0.47638304585800473</c:v>
                </c:pt>
                <c:pt idx="96">
                  <c:v>-1.4014706878919523</c:v>
                </c:pt>
                <c:pt idx="97">
                  <c:v>-2.2132850215520534</c:v>
                </c:pt>
                <c:pt idx="98">
                  <c:v>-3.9420712550241719</c:v>
                </c:pt>
                <c:pt idx="99">
                  <c:v>-0.26164864187753095</c:v>
                </c:pt>
                <c:pt idx="100">
                  <c:v>-0.74981303677472477</c:v>
                </c:pt>
                <c:pt idx="101">
                  <c:v>-5.4794340466468777E-2</c:v>
                </c:pt>
                <c:pt idx="102">
                  <c:v>-4.3174593888096915</c:v>
                </c:pt>
                <c:pt idx="103">
                  <c:v>0.75215394689674486</c:v>
                </c:pt>
                <c:pt idx="104">
                  <c:v>-0.95863494818755424</c:v>
                </c:pt>
                <c:pt idx="105">
                  <c:v>-0.76727297474992184</c:v>
                </c:pt>
                <c:pt idx="106">
                  <c:v>-1.4379126437050382</c:v>
                </c:pt>
                <c:pt idx="107">
                  <c:v>-0.60630033258635219</c:v>
                </c:pt>
                <c:pt idx="108">
                  <c:v>-1.8957984833559538</c:v>
                </c:pt>
                <c:pt idx="109">
                  <c:v>-1.0829896471727229</c:v>
                </c:pt>
                <c:pt idx="110">
                  <c:v>-6.3691934308442537</c:v>
                </c:pt>
                <c:pt idx="111">
                  <c:v>-0.19723194373135861</c:v>
                </c:pt>
                <c:pt idx="112">
                  <c:v>-1.0471840465594124</c:v>
                </c:pt>
                <c:pt idx="113">
                  <c:v>0.12388660060176061</c:v>
                </c:pt>
                <c:pt idx="114">
                  <c:v>-1.8648483105811549</c:v>
                </c:pt>
                <c:pt idx="115">
                  <c:v>-2.9305415984149601</c:v>
                </c:pt>
                <c:pt idx="116">
                  <c:v>-0.19123257214647676</c:v>
                </c:pt>
                <c:pt idx="117">
                  <c:v>-2.0830547739932537</c:v>
                </c:pt>
                <c:pt idx="118">
                  <c:v>0</c:v>
                </c:pt>
                <c:pt idx="119">
                  <c:v>-0.93161171966927281</c:v>
                </c:pt>
                <c:pt idx="120">
                  <c:v>-6.3691934308442537</c:v>
                </c:pt>
                <c:pt idx="121">
                  <c:v>-5.187641354618569E-2</c:v>
                </c:pt>
                <c:pt idx="122">
                  <c:v>-1.8648483105811549</c:v>
                </c:pt>
                <c:pt idx="123">
                  <c:v>-0.94055353567129363</c:v>
                </c:pt>
                <c:pt idx="124">
                  <c:v>-0.41212689655457224</c:v>
                </c:pt>
                <c:pt idx="125">
                  <c:v>-1.7689090300850896</c:v>
                </c:pt>
                <c:pt idx="126">
                  <c:v>-0.21939834004021269</c:v>
                </c:pt>
                <c:pt idx="127">
                  <c:v>-2.0830541786368402</c:v>
                </c:pt>
                <c:pt idx="128">
                  <c:v>-0.19723194373135861</c:v>
                </c:pt>
                <c:pt idx="129">
                  <c:v>-2.1102350588445522</c:v>
                </c:pt>
                <c:pt idx="130">
                  <c:v>0.65406472843702024</c:v>
                </c:pt>
                <c:pt idx="131">
                  <c:v>1.268420428948446</c:v>
                </c:pt>
                <c:pt idx="132">
                  <c:v>-1.7035443695357284</c:v>
                </c:pt>
                <c:pt idx="133">
                  <c:v>-1.7035443695357284</c:v>
                </c:pt>
                <c:pt idx="134">
                  <c:v>-1.7035443695357284</c:v>
                </c:pt>
                <c:pt idx="135">
                  <c:v>-0.42148690913919978</c:v>
                </c:pt>
                <c:pt idx="136">
                  <c:v>0</c:v>
                </c:pt>
                <c:pt idx="137">
                  <c:v>-1.7035443695357284</c:v>
                </c:pt>
                <c:pt idx="138">
                  <c:v>-2.235550583410487</c:v>
                </c:pt>
                <c:pt idx="139">
                  <c:v>-2.235550583410487</c:v>
                </c:pt>
                <c:pt idx="140">
                  <c:v>-1.6331138041248896</c:v>
                </c:pt>
                <c:pt idx="141">
                  <c:v>-1.6331138041248896</c:v>
                </c:pt>
                <c:pt idx="142">
                  <c:v>-1.4207400194787898</c:v>
                </c:pt>
                <c:pt idx="143">
                  <c:v>-2.413903635373893</c:v>
                </c:pt>
                <c:pt idx="144">
                  <c:v>-1.4672637939517537</c:v>
                </c:pt>
                <c:pt idx="145">
                  <c:v>-2.235550583410487</c:v>
                </c:pt>
                <c:pt idx="146">
                  <c:v>-0.47065982396486084</c:v>
                </c:pt>
                <c:pt idx="147">
                  <c:v>-2.235550583410487</c:v>
                </c:pt>
                <c:pt idx="148">
                  <c:v>-2.235550583410487</c:v>
                </c:pt>
                <c:pt idx="149">
                  <c:v>-0.95097222922367086</c:v>
                </c:pt>
                <c:pt idx="150">
                  <c:v>-1.7509952736333134</c:v>
                </c:pt>
                <c:pt idx="151">
                  <c:v>-1.7509952736333134</c:v>
                </c:pt>
                <c:pt idx="152">
                  <c:v>-1.7107622024136595</c:v>
                </c:pt>
                <c:pt idx="153">
                  <c:v>-2.0830541786368402</c:v>
                </c:pt>
                <c:pt idx="154">
                  <c:v>-2.1102350588445518</c:v>
                </c:pt>
                <c:pt idx="155">
                  <c:v>-1.6174780811408516</c:v>
                </c:pt>
                <c:pt idx="156">
                  <c:v>-1.6174780811408516</c:v>
                </c:pt>
                <c:pt idx="157">
                  <c:v>-1.6174780811408516</c:v>
                </c:pt>
                <c:pt idx="158">
                  <c:v>-1.6174780811408516</c:v>
                </c:pt>
                <c:pt idx="159">
                  <c:v>-1.3352849126200561</c:v>
                </c:pt>
                <c:pt idx="160">
                  <c:v>-1.7509952736333134</c:v>
                </c:pt>
                <c:pt idx="161">
                  <c:v>-0.95863494818755424</c:v>
                </c:pt>
                <c:pt idx="162">
                  <c:v>-2.1898844314827781</c:v>
                </c:pt>
                <c:pt idx="163">
                  <c:v>-1.6174780811408516</c:v>
                </c:pt>
                <c:pt idx="164">
                  <c:v>-2.4112650545085335</c:v>
                </c:pt>
                <c:pt idx="165">
                  <c:v>-2.4112650545085335</c:v>
                </c:pt>
                <c:pt idx="166">
                  <c:v>-3.0285657844618776</c:v>
                </c:pt>
                <c:pt idx="167">
                  <c:v>-1.4492984612037394</c:v>
                </c:pt>
                <c:pt idx="168">
                  <c:v>-1.4492984612037394</c:v>
                </c:pt>
                <c:pt idx="169">
                  <c:v>-3.5077702596264387E-2</c:v>
                </c:pt>
                <c:pt idx="170">
                  <c:v>-1.0441647996056815</c:v>
                </c:pt>
                <c:pt idx="171">
                  <c:v>-1.9939648008075515</c:v>
                </c:pt>
                <c:pt idx="172">
                  <c:v>-1.86729595817412</c:v>
                </c:pt>
                <c:pt idx="173">
                  <c:v>-1.6331138041248896</c:v>
                </c:pt>
                <c:pt idx="174">
                  <c:v>-2.3361225554524609</c:v>
                </c:pt>
                <c:pt idx="175">
                  <c:v>-1.6456775606788778</c:v>
                </c:pt>
                <c:pt idx="176">
                  <c:v>-3.0285657844618776</c:v>
                </c:pt>
                <c:pt idx="177">
                  <c:v>-5.1664996145780098</c:v>
                </c:pt>
                <c:pt idx="178">
                  <c:v>-0.20078712024543816</c:v>
                </c:pt>
                <c:pt idx="179">
                  <c:v>-0.76727297474992184</c:v>
                </c:pt>
                <c:pt idx="180">
                  <c:v>-0.97594784616765329</c:v>
                </c:pt>
                <c:pt idx="181">
                  <c:v>-0.76727297474992184</c:v>
                </c:pt>
                <c:pt idx="182">
                  <c:v>-0.28056895025757667</c:v>
                </c:pt>
                <c:pt idx="183">
                  <c:v>-1.86729595817412</c:v>
                </c:pt>
                <c:pt idx="184">
                  <c:v>-1.2650168608740884</c:v>
                </c:pt>
                <c:pt idx="185">
                  <c:v>-0.97987625007200307</c:v>
                </c:pt>
                <c:pt idx="186">
                  <c:v>-2.4704870678171003</c:v>
                </c:pt>
                <c:pt idx="187">
                  <c:v>-3.36082526416447</c:v>
                </c:pt>
                <c:pt idx="188">
                  <c:v>-3.1674709323182149</c:v>
                </c:pt>
                <c:pt idx="189">
                  <c:v>-3.36082526416447</c:v>
                </c:pt>
                <c:pt idx="190">
                  <c:v>-3.1674709323182149</c:v>
                </c:pt>
                <c:pt idx="191">
                  <c:v>-3.3608139781089803</c:v>
                </c:pt>
                <c:pt idx="192">
                  <c:v>-0.28653405583725028</c:v>
                </c:pt>
                <c:pt idx="193">
                  <c:v>0.47638304585800473</c:v>
                </c:pt>
                <c:pt idx="194">
                  <c:v>0.4511239512327635</c:v>
                </c:pt>
                <c:pt idx="195">
                  <c:v>-1.9345238324266469</c:v>
                </c:pt>
                <c:pt idx="196">
                  <c:v>-1.6174780811408516</c:v>
                </c:pt>
                <c:pt idx="197">
                  <c:v>-1.8446610994166099</c:v>
                </c:pt>
                <c:pt idx="198">
                  <c:v>-1.8958130848287795</c:v>
                </c:pt>
                <c:pt idx="199">
                  <c:v>-0.97084269676932011</c:v>
                </c:pt>
                <c:pt idx="200">
                  <c:v>-1.6137070400741229</c:v>
                </c:pt>
                <c:pt idx="201">
                  <c:v>-1.8446610994166099</c:v>
                </c:pt>
                <c:pt idx="202">
                  <c:v>-1.0829896471727229</c:v>
                </c:pt>
                <c:pt idx="203">
                  <c:v>-1.8957984833559538</c:v>
                </c:pt>
                <c:pt idx="204">
                  <c:v>-2.413903635373893</c:v>
                </c:pt>
                <c:pt idx="205">
                  <c:v>-0.58286499162243044</c:v>
                </c:pt>
                <c:pt idx="206">
                  <c:v>-0.25474266304845999</c:v>
                </c:pt>
                <c:pt idx="207">
                  <c:v>-0.13944447682410283</c:v>
                </c:pt>
                <c:pt idx="208">
                  <c:v>-0.25219566062445448</c:v>
                </c:pt>
                <c:pt idx="209">
                  <c:v>-0.57776722891679877</c:v>
                </c:pt>
                <c:pt idx="210">
                  <c:v>0.12388660060176061</c:v>
                </c:pt>
                <c:pt idx="211">
                  <c:v>-0.19723194373135861</c:v>
                </c:pt>
                <c:pt idx="212">
                  <c:v>-0.11317009773276131</c:v>
                </c:pt>
                <c:pt idx="213">
                  <c:v>-1.0471840465594124</c:v>
                </c:pt>
                <c:pt idx="214">
                  <c:v>-1.9459214159876672</c:v>
                </c:pt>
                <c:pt idx="215">
                  <c:v>-1.4014706878919523</c:v>
                </c:pt>
                <c:pt idx="216">
                  <c:v>1.1615365198438017</c:v>
                </c:pt>
                <c:pt idx="217">
                  <c:v>-1.4492984612037394</c:v>
                </c:pt>
                <c:pt idx="218">
                  <c:v>-1.6331138041248896</c:v>
                </c:pt>
                <c:pt idx="219">
                  <c:v>-0.3923554943207338</c:v>
                </c:pt>
                <c:pt idx="220">
                  <c:v>-2.2288537002107423</c:v>
                </c:pt>
                <c:pt idx="221">
                  <c:v>-1.9459214159876672</c:v>
                </c:pt>
                <c:pt idx="222">
                  <c:v>-1.8648483105811549</c:v>
                </c:pt>
                <c:pt idx="223">
                  <c:v>-0.95097222922367086</c:v>
                </c:pt>
                <c:pt idx="224">
                  <c:v>-1.8648483105811549</c:v>
                </c:pt>
                <c:pt idx="225">
                  <c:v>-2.235550583410487</c:v>
                </c:pt>
                <c:pt idx="226">
                  <c:v>-1.8648483105811549</c:v>
                </c:pt>
                <c:pt idx="227">
                  <c:v>-2.235550583410487</c:v>
                </c:pt>
                <c:pt idx="228">
                  <c:v>-1.8648483105811549</c:v>
                </c:pt>
                <c:pt idx="229">
                  <c:v>-2.235550583410487</c:v>
                </c:pt>
                <c:pt idx="230">
                  <c:v>-1.0829896471727229</c:v>
                </c:pt>
                <c:pt idx="231">
                  <c:v>-0.83649485541436119</c:v>
                </c:pt>
                <c:pt idx="232">
                  <c:v>-1.7169703392318678</c:v>
                </c:pt>
                <c:pt idx="233">
                  <c:v>-0.25219566062445448</c:v>
                </c:pt>
                <c:pt idx="234">
                  <c:v>-0.25219566062445448</c:v>
                </c:pt>
                <c:pt idx="235">
                  <c:v>-0.13535509321133748</c:v>
                </c:pt>
                <c:pt idx="236">
                  <c:v>-7.7565831403223289</c:v>
                </c:pt>
                <c:pt idx="237">
                  <c:v>-0.31065645946873993</c:v>
                </c:pt>
                <c:pt idx="238">
                  <c:v>-3.36082526416447</c:v>
                </c:pt>
                <c:pt idx="239">
                  <c:v>-3.1674709323182149</c:v>
                </c:pt>
                <c:pt idx="240">
                  <c:v>-3.1674709323182149</c:v>
                </c:pt>
                <c:pt idx="241">
                  <c:v>-3.36082526416447</c:v>
                </c:pt>
                <c:pt idx="242">
                  <c:v>-0.49513746856654445</c:v>
                </c:pt>
                <c:pt idx="243">
                  <c:v>-0.50140905178182438</c:v>
                </c:pt>
                <c:pt idx="244">
                  <c:v>-1.7035443695357284</c:v>
                </c:pt>
                <c:pt idx="245">
                  <c:v>-1.7035443695357284</c:v>
                </c:pt>
                <c:pt idx="246">
                  <c:v>-2.413903635373893</c:v>
                </c:pt>
                <c:pt idx="247">
                  <c:v>-2.4112650545085335</c:v>
                </c:pt>
                <c:pt idx="248">
                  <c:v>-1.7169703392318678</c:v>
                </c:pt>
                <c:pt idx="249">
                  <c:v>-1.7169703392318678</c:v>
                </c:pt>
                <c:pt idx="250">
                  <c:v>-2.413903635373893</c:v>
                </c:pt>
                <c:pt idx="251">
                  <c:v>-2.2132850215520534</c:v>
                </c:pt>
                <c:pt idx="252">
                  <c:v>-2.4112650545085335</c:v>
                </c:pt>
                <c:pt idx="253">
                  <c:v>-1.8446610994166099</c:v>
                </c:pt>
                <c:pt idx="254">
                  <c:v>-0.60630033258635219</c:v>
                </c:pt>
                <c:pt idx="255">
                  <c:v>-0.77086067819726622</c:v>
                </c:pt>
                <c:pt idx="256">
                  <c:v>-1.7614422236973588</c:v>
                </c:pt>
                <c:pt idx="257">
                  <c:v>-1.4672637939517537</c:v>
                </c:pt>
                <c:pt idx="258">
                  <c:v>-1.7614422236973588</c:v>
                </c:pt>
                <c:pt idx="259">
                  <c:v>-0.77086067819726622</c:v>
                </c:pt>
                <c:pt idx="260">
                  <c:v>-0.82304059945463959</c:v>
                </c:pt>
                <c:pt idx="261">
                  <c:v>-3.36082526416447</c:v>
                </c:pt>
                <c:pt idx="262">
                  <c:v>-0.28366496898071847</c:v>
                </c:pt>
                <c:pt idx="263">
                  <c:v>-2.2155912482257776</c:v>
                </c:pt>
                <c:pt idx="264">
                  <c:v>-2.0006714510572774</c:v>
                </c:pt>
                <c:pt idx="265">
                  <c:v>-2.0006714510572774</c:v>
                </c:pt>
                <c:pt idx="266">
                  <c:v>-0.95863494818755424</c:v>
                </c:pt>
                <c:pt idx="267">
                  <c:v>-0.95097222922367086</c:v>
                </c:pt>
                <c:pt idx="268">
                  <c:v>-2.2288537002107423</c:v>
                </c:pt>
                <c:pt idx="269">
                  <c:v>-2.9305415984149601</c:v>
                </c:pt>
                <c:pt idx="270">
                  <c:v>-1.8446610994166099</c:v>
                </c:pt>
                <c:pt idx="271">
                  <c:v>-1.3352849126200561</c:v>
                </c:pt>
                <c:pt idx="272">
                  <c:v>-1.6174780811408516</c:v>
                </c:pt>
                <c:pt idx="273">
                  <c:v>-1.3352849126200561</c:v>
                </c:pt>
                <c:pt idx="274">
                  <c:v>-3.9420712550241719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D-034B-9406-F226E193032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'MFA-derived fluxes'!$S$2:$S$3000</c:f>
              <c:numCache>
                <c:formatCode>General</c:formatCode>
                <c:ptCount val="2999"/>
                <c:pt idx="0">
                  <c:v>-4.2532448884507108</c:v>
                </c:pt>
                <c:pt idx="1">
                  <c:v>-1.105527669795543</c:v>
                </c:pt>
                <c:pt idx="2">
                  <c:v>-1.7514053309532274</c:v>
                </c:pt>
                <c:pt idx="3">
                  <c:v>-1.1586315021315743</c:v>
                </c:pt>
                <c:pt idx="4">
                  <c:v>-1.7514053309532274</c:v>
                </c:pt>
                <c:pt idx="5">
                  <c:v>-2.0444675117108249</c:v>
                </c:pt>
                <c:pt idx="6">
                  <c:v>-2.6352695996373861</c:v>
                </c:pt>
              </c:numCache>
            </c:numRef>
          </c:xVal>
          <c:yVal>
            <c:numRef>
              <c:f>'MFA-derived fluxes'!$T$2:$T$3000</c:f>
              <c:numCache>
                <c:formatCode>General</c:formatCode>
                <c:ptCount val="2999"/>
                <c:pt idx="0">
                  <c:v>-3.36082526416447</c:v>
                </c:pt>
                <c:pt idx="1">
                  <c:v>-0.20078712024543816</c:v>
                </c:pt>
                <c:pt idx="2">
                  <c:v>-0.76727297474992184</c:v>
                </c:pt>
                <c:pt idx="3">
                  <c:v>-0.97594784616765329</c:v>
                </c:pt>
                <c:pt idx="4">
                  <c:v>-0.76727297474992184</c:v>
                </c:pt>
                <c:pt idx="5">
                  <c:v>-0.28056895025757667</c:v>
                </c:pt>
                <c:pt idx="6">
                  <c:v>-1.86729595817412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8-3B4A-9307-3F7552A2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607615"/>
        <c:axId val="1531609327"/>
      </c:scatterChart>
      <c:valAx>
        <c:axId val="153160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9327"/>
        <c:crosses val="autoZero"/>
        <c:crossBetween val="midCat"/>
      </c:valAx>
      <c:valAx>
        <c:axId val="1531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063713910761155"/>
                  <c:y val="-7.961140274132399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'Relative Protein Abundances'!$F$2:$F$593</c:f>
              <c:numCache>
                <c:formatCode>General</c:formatCode>
                <c:ptCount val="59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33</c:v>
                </c:pt>
                <c:pt idx="7">
                  <c:v>2</c:v>
                </c:pt>
                <c:pt idx="8">
                  <c:v>30</c:v>
                </c:pt>
                <c:pt idx="9">
                  <c:v>10</c:v>
                </c:pt>
                <c:pt idx="10">
                  <c:v>9</c:v>
                </c:pt>
                <c:pt idx="11">
                  <c:v>12</c:v>
                </c:pt>
                <c:pt idx="12">
                  <c:v>139</c:v>
                </c:pt>
                <c:pt idx="13">
                  <c:v>68</c:v>
                </c:pt>
                <c:pt idx="14">
                  <c:v>508</c:v>
                </c:pt>
                <c:pt idx="15">
                  <c:v>37</c:v>
                </c:pt>
                <c:pt idx="16">
                  <c:v>6</c:v>
                </c:pt>
                <c:pt idx="17">
                  <c:v>38</c:v>
                </c:pt>
                <c:pt idx="18">
                  <c:v>47</c:v>
                </c:pt>
                <c:pt idx="19">
                  <c:v>11</c:v>
                </c:pt>
                <c:pt idx="20">
                  <c:v>146</c:v>
                </c:pt>
                <c:pt idx="21">
                  <c:v>22</c:v>
                </c:pt>
                <c:pt idx="22">
                  <c:v>18</c:v>
                </c:pt>
                <c:pt idx="23">
                  <c:v>14</c:v>
                </c:pt>
                <c:pt idx="24">
                  <c:v>19</c:v>
                </c:pt>
                <c:pt idx="25">
                  <c:v>24</c:v>
                </c:pt>
                <c:pt idx="26">
                  <c:v>17</c:v>
                </c:pt>
                <c:pt idx="27">
                  <c:v>526</c:v>
                </c:pt>
                <c:pt idx="28">
                  <c:v>136</c:v>
                </c:pt>
                <c:pt idx="29">
                  <c:v>36</c:v>
                </c:pt>
                <c:pt idx="30">
                  <c:v>191</c:v>
                </c:pt>
                <c:pt idx="31">
                  <c:v>13</c:v>
                </c:pt>
                <c:pt idx="32">
                  <c:v>42</c:v>
                </c:pt>
                <c:pt idx="33">
                  <c:v>28</c:v>
                </c:pt>
                <c:pt idx="34">
                  <c:v>40</c:v>
                </c:pt>
                <c:pt idx="35">
                  <c:v>382</c:v>
                </c:pt>
                <c:pt idx="36">
                  <c:v>101</c:v>
                </c:pt>
                <c:pt idx="37">
                  <c:v>496</c:v>
                </c:pt>
                <c:pt idx="38">
                  <c:v>156</c:v>
                </c:pt>
                <c:pt idx="39">
                  <c:v>31</c:v>
                </c:pt>
                <c:pt idx="40">
                  <c:v>29</c:v>
                </c:pt>
                <c:pt idx="41">
                  <c:v>69</c:v>
                </c:pt>
                <c:pt idx="42">
                  <c:v>135</c:v>
                </c:pt>
                <c:pt idx="43">
                  <c:v>41</c:v>
                </c:pt>
                <c:pt idx="44">
                  <c:v>51</c:v>
                </c:pt>
                <c:pt idx="45">
                  <c:v>184</c:v>
                </c:pt>
                <c:pt idx="46">
                  <c:v>124</c:v>
                </c:pt>
                <c:pt idx="47">
                  <c:v>27</c:v>
                </c:pt>
                <c:pt idx="48">
                  <c:v>203</c:v>
                </c:pt>
                <c:pt idx="49">
                  <c:v>54</c:v>
                </c:pt>
                <c:pt idx="50">
                  <c:v>165</c:v>
                </c:pt>
                <c:pt idx="51">
                  <c:v>199</c:v>
                </c:pt>
                <c:pt idx="52">
                  <c:v>32</c:v>
                </c:pt>
                <c:pt idx="53">
                  <c:v>20</c:v>
                </c:pt>
                <c:pt idx="54">
                  <c:v>44</c:v>
                </c:pt>
                <c:pt idx="55">
                  <c:v>60</c:v>
                </c:pt>
                <c:pt idx="56">
                  <c:v>164</c:v>
                </c:pt>
                <c:pt idx="57">
                  <c:v>79</c:v>
                </c:pt>
                <c:pt idx="58">
                  <c:v>46</c:v>
                </c:pt>
                <c:pt idx="59">
                  <c:v>35</c:v>
                </c:pt>
                <c:pt idx="60">
                  <c:v>110</c:v>
                </c:pt>
                <c:pt idx="61">
                  <c:v>214</c:v>
                </c:pt>
                <c:pt idx="62">
                  <c:v>225</c:v>
                </c:pt>
                <c:pt idx="63">
                  <c:v>94</c:v>
                </c:pt>
                <c:pt idx="64">
                  <c:v>96</c:v>
                </c:pt>
                <c:pt idx="65">
                  <c:v>313</c:v>
                </c:pt>
                <c:pt idx="66">
                  <c:v>197</c:v>
                </c:pt>
                <c:pt idx="67">
                  <c:v>49</c:v>
                </c:pt>
                <c:pt idx="68">
                  <c:v>52</c:v>
                </c:pt>
                <c:pt idx="69">
                  <c:v>21</c:v>
                </c:pt>
                <c:pt idx="70">
                  <c:v>83</c:v>
                </c:pt>
                <c:pt idx="71">
                  <c:v>26</c:v>
                </c:pt>
                <c:pt idx="72">
                  <c:v>102</c:v>
                </c:pt>
                <c:pt idx="73">
                  <c:v>81</c:v>
                </c:pt>
                <c:pt idx="74">
                  <c:v>61</c:v>
                </c:pt>
                <c:pt idx="75">
                  <c:v>90</c:v>
                </c:pt>
                <c:pt idx="76">
                  <c:v>15</c:v>
                </c:pt>
                <c:pt idx="77">
                  <c:v>410</c:v>
                </c:pt>
                <c:pt idx="78">
                  <c:v>16</c:v>
                </c:pt>
                <c:pt idx="79">
                  <c:v>76</c:v>
                </c:pt>
                <c:pt idx="80">
                  <c:v>97</c:v>
                </c:pt>
                <c:pt idx="81">
                  <c:v>183</c:v>
                </c:pt>
                <c:pt idx="82">
                  <c:v>23</c:v>
                </c:pt>
                <c:pt idx="83">
                  <c:v>78</c:v>
                </c:pt>
                <c:pt idx="84">
                  <c:v>350</c:v>
                </c:pt>
                <c:pt idx="85">
                  <c:v>82</c:v>
                </c:pt>
                <c:pt idx="86">
                  <c:v>25</c:v>
                </c:pt>
                <c:pt idx="87">
                  <c:v>43</c:v>
                </c:pt>
                <c:pt idx="88">
                  <c:v>140</c:v>
                </c:pt>
                <c:pt idx="89">
                  <c:v>254</c:v>
                </c:pt>
                <c:pt idx="90">
                  <c:v>401</c:v>
                </c:pt>
                <c:pt idx="91">
                  <c:v>576</c:v>
                </c:pt>
                <c:pt idx="92">
                  <c:v>141</c:v>
                </c:pt>
                <c:pt idx="93">
                  <c:v>45</c:v>
                </c:pt>
                <c:pt idx="94">
                  <c:v>105</c:v>
                </c:pt>
                <c:pt idx="95">
                  <c:v>48</c:v>
                </c:pt>
                <c:pt idx="96">
                  <c:v>115</c:v>
                </c:pt>
                <c:pt idx="97">
                  <c:v>120</c:v>
                </c:pt>
                <c:pt idx="98">
                  <c:v>125</c:v>
                </c:pt>
                <c:pt idx="99">
                  <c:v>57</c:v>
                </c:pt>
                <c:pt idx="100">
                  <c:v>128</c:v>
                </c:pt>
                <c:pt idx="101">
                  <c:v>306</c:v>
                </c:pt>
                <c:pt idx="102">
                  <c:v>121</c:v>
                </c:pt>
                <c:pt idx="103">
                  <c:v>75</c:v>
                </c:pt>
                <c:pt idx="104">
                  <c:v>67</c:v>
                </c:pt>
                <c:pt idx="105">
                  <c:v>367</c:v>
                </c:pt>
                <c:pt idx="106">
                  <c:v>134</c:v>
                </c:pt>
                <c:pt idx="107">
                  <c:v>114</c:v>
                </c:pt>
                <c:pt idx="108">
                  <c:v>95</c:v>
                </c:pt>
                <c:pt idx="109">
                  <c:v>86</c:v>
                </c:pt>
                <c:pt idx="110">
                  <c:v>53</c:v>
                </c:pt>
                <c:pt idx="111">
                  <c:v>250</c:v>
                </c:pt>
                <c:pt idx="112">
                  <c:v>374</c:v>
                </c:pt>
                <c:pt idx="113">
                  <c:v>99</c:v>
                </c:pt>
                <c:pt idx="114">
                  <c:v>122</c:v>
                </c:pt>
                <c:pt idx="115">
                  <c:v>104</c:v>
                </c:pt>
                <c:pt idx="116">
                  <c:v>55</c:v>
                </c:pt>
                <c:pt idx="117">
                  <c:v>277</c:v>
                </c:pt>
                <c:pt idx="118">
                  <c:v>111</c:v>
                </c:pt>
                <c:pt idx="119">
                  <c:v>65</c:v>
                </c:pt>
                <c:pt idx="120">
                  <c:v>85</c:v>
                </c:pt>
                <c:pt idx="121">
                  <c:v>155</c:v>
                </c:pt>
                <c:pt idx="122">
                  <c:v>580</c:v>
                </c:pt>
                <c:pt idx="123">
                  <c:v>241</c:v>
                </c:pt>
                <c:pt idx="124">
                  <c:v>142</c:v>
                </c:pt>
                <c:pt idx="125">
                  <c:v>304</c:v>
                </c:pt>
                <c:pt idx="126">
                  <c:v>34</c:v>
                </c:pt>
                <c:pt idx="127">
                  <c:v>87</c:v>
                </c:pt>
                <c:pt idx="128">
                  <c:v>246</c:v>
                </c:pt>
                <c:pt idx="129">
                  <c:v>274</c:v>
                </c:pt>
                <c:pt idx="130">
                  <c:v>137</c:v>
                </c:pt>
                <c:pt idx="131">
                  <c:v>127</c:v>
                </c:pt>
                <c:pt idx="132">
                  <c:v>245</c:v>
                </c:pt>
                <c:pt idx="133">
                  <c:v>483</c:v>
                </c:pt>
                <c:pt idx="134">
                  <c:v>62</c:v>
                </c:pt>
                <c:pt idx="135">
                  <c:v>158</c:v>
                </c:pt>
                <c:pt idx="136">
                  <c:v>73</c:v>
                </c:pt>
                <c:pt idx="137">
                  <c:v>362</c:v>
                </c:pt>
                <c:pt idx="138">
                  <c:v>91</c:v>
                </c:pt>
                <c:pt idx="139">
                  <c:v>487</c:v>
                </c:pt>
                <c:pt idx="140">
                  <c:v>138</c:v>
                </c:pt>
                <c:pt idx="141">
                  <c:v>390</c:v>
                </c:pt>
                <c:pt idx="142">
                  <c:v>293</c:v>
                </c:pt>
                <c:pt idx="143">
                  <c:v>173</c:v>
                </c:pt>
                <c:pt idx="144">
                  <c:v>39</c:v>
                </c:pt>
                <c:pt idx="145">
                  <c:v>519</c:v>
                </c:pt>
                <c:pt idx="146">
                  <c:v>63</c:v>
                </c:pt>
                <c:pt idx="147">
                  <c:v>160</c:v>
                </c:pt>
                <c:pt idx="148">
                  <c:v>500</c:v>
                </c:pt>
                <c:pt idx="149">
                  <c:v>162</c:v>
                </c:pt>
                <c:pt idx="150">
                  <c:v>148</c:v>
                </c:pt>
                <c:pt idx="151">
                  <c:v>166</c:v>
                </c:pt>
                <c:pt idx="152">
                  <c:v>50</c:v>
                </c:pt>
                <c:pt idx="153">
                  <c:v>123</c:v>
                </c:pt>
                <c:pt idx="154">
                  <c:v>257</c:v>
                </c:pt>
                <c:pt idx="155">
                  <c:v>84</c:v>
                </c:pt>
                <c:pt idx="156">
                  <c:v>143</c:v>
                </c:pt>
                <c:pt idx="157">
                  <c:v>80</c:v>
                </c:pt>
                <c:pt idx="158">
                  <c:v>204</c:v>
                </c:pt>
                <c:pt idx="159">
                  <c:v>484</c:v>
                </c:pt>
                <c:pt idx="160">
                  <c:v>70</c:v>
                </c:pt>
                <c:pt idx="161">
                  <c:v>103</c:v>
                </c:pt>
                <c:pt idx="162">
                  <c:v>71</c:v>
                </c:pt>
                <c:pt idx="163">
                  <c:v>478</c:v>
                </c:pt>
                <c:pt idx="164">
                  <c:v>334</c:v>
                </c:pt>
                <c:pt idx="165">
                  <c:v>113</c:v>
                </c:pt>
                <c:pt idx="166">
                  <c:v>419</c:v>
                </c:pt>
                <c:pt idx="167">
                  <c:v>272</c:v>
                </c:pt>
                <c:pt idx="168">
                  <c:v>240</c:v>
                </c:pt>
                <c:pt idx="169">
                  <c:v>109</c:v>
                </c:pt>
                <c:pt idx="170">
                  <c:v>144</c:v>
                </c:pt>
                <c:pt idx="171">
                  <c:v>409</c:v>
                </c:pt>
                <c:pt idx="172">
                  <c:v>175</c:v>
                </c:pt>
                <c:pt idx="173">
                  <c:v>132</c:v>
                </c:pt>
                <c:pt idx="174">
                  <c:v>281</c:v>
                </c:pt>
                <c:pt idx="175">
                  <c:v>206</c:v>
                </c:pt>
                <c:pt idx="176">
                  <c:v>117</c:v>
                </c:pt>
                <c:pt idx="177">
                  <c:v>263</c:v>
                </c:pt>
                <c:pt idx="178">
                  <c:v>340</c:v>
                </c:pt>
                <c:pt idx="179">
                  <c:v>349</c:v>
                </c:pt>
                <c:pt idx="180">
                  <c:v>178</c:v>
                </c:pt>
                <c:pt idx="181">
                  <c:v>100</c:v>
                </c:pt>
                <c:pt idx="182">
                  <c:v>482</c:v>
                </c:pt>
                <c:pt idx="183">
                  <c:v>177</c:v>
                </c:pt>
                <c:pt idx="184">
                  <c:v>342</c:v>
                </c:pt>
                <c:pt idx="185">
                  <c:v>283</c:v>
                </c:pt>
                <c:pt idx="186">
                  <c:v>255</c:v>
                </c:pt>
                <c:pt idx="187">
                  <c:v>188</c:v>
                </c:pt>
                <c:pt idx="188">
                  <c:v>588</c:v>
                </c:pt>
                <c:pt idx="189">
                  <c:v>239</c:v>
                </c:pt>
                <c:pt idx="190">
                  <c:v>152</c:v>
                </c:pt>
                <c:pt idx="191">
                  <c:v>544</c:v>
                </c:pt>
                <c:pt idx="192">
                  <c:v>242</c:v>
                </c:pt>
                <c:pt idx="193">
                  <c:v>168</c:v>
                </c:pt>
                <c:pt idx="194">
                  <c:v>338</c:v>
                </c:pt>
                <c:pt idx="195">
                  <c:v>180</c:v>
                </c:pt>
                <c:pt idx="196">
                  <c:v>149</c:v>
                </c:pt>
                <c:pt idx="197">
                  <c:v>344</c:v>
                </c:pt>
                <c:pt idx="198">
                  <c:v>64</c:v>
                </c:pt>
                <c:pt idx="199">
                  <c:v>529</c:v>
                </c:pt>
                <c:pt idx="200">
                  <c:v>192</c:v>
                </c:pt>
                <c:pt idx="201">
                  <c:v>511</c:v>
                </c:pt>
                <c:pt idx="202">
                  <c:v>336</c:v>
                </c:pt>
                <c:pt idx="203">
                  <c:v>210</c:v>
                </c:pt>
                <c:pt idx="204">
                  <c:v>215</c:v>
                </c:pt>
                <c:pt idx="205">
                  <c:v>292</c:v>
                </c:pt>
                <c:pt idx="206">
                  <c:v>528</c:v>
                </c:pt>
                <c:pt idx="207">
                  <c:v>58</c:v>
                </c:pt>
                <c:pt idx="208">
                  <c:v>119</c:v>
                </c:pt>
                <c:pt idx="209">
                  <c:v>563</c:v>
                </c:pt>
                <c:pt idx="210">
                  <c:v>384</c:v>
                </c:pt>
                <c:pt idx="211">
                  <c:v>107</c:v>
                </c:pt>
                <c:pt idx="212">
                  <c:v>170</c:v>
                </c:pt>
                <c:pt idx="213">
                  <c:v>179</c:v>
                </c:pt>
                <c:pt idx="214">
                  <c:v>323</c:v>
                </c:pt>
                <c:pt idx="215">
                  <c:v>185</c:v>
                </c:pt>
                <c:pt idx="216">
                  <c:v>259</c:v>
                </c:pt>
                <c:pt idx="217">
                  <c:v>347</c:v>
                </c:pt>
                <c:pt idx="218">
                  <c:v>151</c:v>
                </c:pt>
                <c:pt idx="219">
                  <c:v>195</c:v>
                </c:pt>
                <c:pt idx="220">
                  <c:v>224</c:v>
                </c:pt>
                <c:pt idx="221">
                  <c:v>534</c:v>
                </c:pt>
                <c:pt idx="222">
                  <c:v>182</c:v>
                </c:pt>
                <c:pt idx="223">
                  <c:v>385</c:v>
                </c:pt>
                <c:pt idx="224">
                  <c:v>310</c:v>
                </c:pt>
                <c:pt idx="225">
                  <c:v>226</c:v>
                </c:pt>
                <c:pt idx="226">
                  <c:v>264</c:v>
                </c:pt>
                <c:pt idx="227">
                  <c:v>93</c:v>
                </c:pt>
                <c:pt idx="228">
                  <c:v>209</c:v>
                </c:pt>
                <c:pt idx="229">
                  <c:v>309</c:v>
                </c:pt>
                <c:pt idx="230">
                  <c:v>363</c:v>
                </c:pt>
                <c:pt idx="231">
                  <c:v>233</c:v>
                </c:pt>
                <c:pt idx="232">
                  <c:v>275</c:v>
                </c:pt>
                <c:pt idx="233">
                  <c:v>98</c:v>
                </c:pt>
                <c:pt idx="234">
                  <c:v>171</c:v>
                </c:pt>
                <c:pt idx="235">
                  <c:v>187</c:v>
                </c:pt>
                <c:pt idx="236">
                  <c:v>161</c:v>
                </c:pt>
                <c:pt idx="237">
                  <c:v>205</c:v>
                </c:pt>
                <c:pt idx="238">
                  <c:v>466</c:v>
                </c:pt>
                <c:pt idx="239">
                  <c:v>451</c:v>
                </c:pt>
                <c:pt idx="240">
                  <c:v>398</c:v>
                </c:pt>
                <c:pt idx="241">
                  <c:v>217</c:v>
                </c:pt>
                <c:pt idx="242">
                  <c:v>395</c:v>
                </c:pt>
                <c:pt idx="243">
                  <c:v>475</c:v>
                </c:pt>
                <c:pt idx="244">
                  <c:v>399</c:v>
                </c:pt>
                <c:pt idx="245">
                  <c:v>108</c:v>
                </c:pt>
                <c:pt idx="246">
                  <c:v>207</c:v>
                </c:pt>
                <c:pt idx="247">
                  <c:v>389</c:v>
                </c:pt>
                <c:pt idx="248">
                  <c:v>163</c:v>
                </c:pt>
                <c:pt idx="249">
                  <c:v>154</c:v>
                </c:pt>
                <c:pt idx="250">
                  <c:v>147</c:v>
                </c:pt>
                <c:pt idx="251">
                  <c:v>252</c:v>
                </c:pt>
                <c:pt idx="252">
                  <c:v>130</c:v>
                </c:pt>
                <c:pt idx="253">
                  <c:v>234</c:v>
                </c:pt>
                <c:pt idx="254">
                  <c:v>194</c:v>
                </c:pt>
                <c:pt idx="255">
                  <c:v>312</c:v>
                </c:pt>
                <c:pt idx="256">
                  <c:v>247</c:v>
                </c:pt>
                <c:pt idx="257">
                  <c:v>291</c:v>
                </c:pt>
                <c:pt idx="258">
                  <c:v>202</c:v>
                </c:pt>
                <c:pt idx="259">
                  <c:v>150</c:v>
                </c:pt>
                <c:pt idx="260">
                  <c:v>380</c:v>
                </c:pt>
                <c:pt idx="261">
                  <c:v>145</c:v>
                </c:pt>
                <c:pt idx="262">
                  <c:v>218</c:v>
                </c:pt>
                <c:pt idx="263">
                  <c:v>167</c:v>
                </c:pt>
                <c:pt idx="264">
                  <c:v>289</c:v>
                </c:pt>
                <c:pt idx="265">
                  <c:v>329</c:v>
                </c:pt>
                <c:pt idx="266">
                  <c:v>208</c:v>
                </c:pt>
                <c:pt idx="267">
                  <c:v>260</c:v>
                </c:pt>
                <c:pt idx="268">
                  <c:v>276</c:v>
                </c:pt>
                <c:pt idx="269">
                  <c:v>129</c:v>
                </c:pt>
                <c:pt idx="270">
                  <c:v>74</c:v>
                </c:pt>
                <c:pt idx="271">
                  <c:v>235</c:v>
                </c:pt>
                <c:pt idx="272">
                  <c:v>92</c:v>
                </c:pt>
                <c:pt idx="273">
                  <c:v>220</c:v>
                </c:pt>
                <c:pt idx="274">
                  <c:v>227</c:v>
                </c:pt>
                <c:pt idx="275">
                  <c:v>243</c:v>
                </c:pt>
                <c:pt idx="276">
                  <c:v>305</c:v>
                </c:pt>
                <c:pt idx="277">
                  <c:v>126</c:v>
                </c:pt>
                <c:pt idx="278">
                  <c:v>116</c:v>
                </c:pt>
                <c:pt idx="279">
                  <c:v>221</c:v>
                </c:pt>
                <c:pt idx="280">
                  <c:v>377</c:v>
                </c:pt>
                <c:pt idx="281">
                  <c:v>311</c:v>
                </c:pt>
                <c:pt idx="282">
                  <c:v>249</c:v>
                </c:pt>
                <c:pt idx="283">
                  <c:v>470</c:v>
                </c:pt>
                <c:pt idx="284">
                  <c:v>251</c:v>
                </c:pt>
                <c:pt idx="285">
                  <c:v>554</c:v>
                </c:pt>
                <c:pt idx="286">
                  <c:v>574</c:v>
                </c:pt>
                <c:pt idx="287">
                  <c:v>88</c:v>
                </c:pt>
                <c:pt idx="288">
                  <c:v>559</c:v>
                </c:pt>
                <c:pt idx="289">
                  <c:v>472</c:v>
                </c:pt>
                <c:pt idx="290">
                  <c:v>445</c:v>
                </c:pt>
                <c:pt idx="291">
                  <c:v>584</c:v>
                </c:pt>
                <c:pt idx="292">
                  <c:v>222</c:v>
                </c:pt>
                <c:pt idx="293">
                  <c:v>402</c:v>
                </c:pt>
                <c:pt idx="294">
                  <c:v>77</c:v>
                </c:pt>
                <c:pt idx="295">
                  <c:v>578</c:v>
                </c:pt>
                <c:pt idx="296">
                  <c:v>133</c:v>
                </c:pt>
                <c:pt idx="297">
                  <c:v>437</c:v>
                </c:pt>
                <c:pt idx="298">
                  <c:v>256</c:v>
                </c:pt>
                <c:pt idx="299">
                  <c:v>396</c:v>
                </c:pt>
                <c:pt idx="300">
                  <c:v>441</c:v>
                </c:pt>
                <c:pt idx="301">
                  <c:v>112</c:v>
                </c:pt>
                <c:pt idx="302">
                  <c:v>324</c:v>
                </c:pt>
                <c:pt idx="303">
                  <c:v>248</c:v>
                </c:pt>
                <c:pt idx="304">
                  <c:v>186</c:v>
                </c:pt>
                <c:pt idx="305">
                  <c:v>392</c:v>
                </c:pt>
                <c:pt idx="306">
                  <c:v>216</c:v>
                </c:pt>
                <c:pt idx="307">
                  <c:v>533</c:v>
                </c:pt>
                <c:pt idx="308">
                  <c:v>442</c:v>
                </c:pt>
                <c:pt idx="309">
                  <c:v>211</c:v>
                </c:pt>
                <c:pt idx="310">
                  <c:v>464</c:v>
                </c:pt>
                <c:pt idx="311">
                  <c:v>585</c:v>
                </c:pt>
                <c:pt idx="312">
                  <c:v>236</c:v>
                </c:pt>
                <c:pt idx="313">
                  <c:v>212</c:v>
                </c:pt>
                <c:pt idx="314">
                  <c:v>321</c:v>
                </c:pt>
                <c:pt idx="315">
                  <c:v>265</c:v>
                </c:pt>
                <c:pt idx="316">
                  <c:v>391</c:v>
                </c:pt>
                <c:pt idx="317">
                  <c:v>555</c:v>
                </c:pt>
                <c:pt idx="318">
                  <c:v>448</c:v>
                </c:pt>
                <c:pt idx="319">
                  <c:v>590</c:v>
                </c:pt>
                <c:pt idx="320">
                  <c:v>568</c:v>
                </c:pt>
                <c:pt idx="321">
                  <c:v>266</c:v>
                </c:pt>
                <c:pt idx="322">
                  <c:v>439</c:v>
                </c:pt>
                <c:pt idx="323">
                  <c:v>431</c:v>
                </c:pt>
                <c:pt idx="324">
                  <c:v>286</c:v>
                </c:pt>
                <c:pt idx="325">
                  <c:v>229</c:v>
                </c:pt>
                <c:pt idx="326">
                  <c:v>512</c:v>
                </c:pt>
                <c:pt idx="327">
                  <c:v>172</c:v>
                </c:pt>
                <c:pt idx="328">
                  <c:v>561</c:v>
                </c:pt>
                <c:pt idx="329">
                  <c:v>228</c:v>
                </c:pt>
                <c:pt idx="330">
                  <c:v>174</c:v>
                </c:pt>
                <c:pt idx="331">
                  <c:v>190</c:v>
                </c:pt>
                <c:pt idx="332">
                  <c:v>300</c:v>
                </c:pt>
                <c:pt idx="333">
                  <c:v>56</c:v>
                </c:pt>
                <c:pt idx="334">
                  <c:v>421</c:v>
                </c:pt>
                <c:pt idx="335">
                  <c:v>287</c:v>
                </c:pt>
                <c:pt idx="336">
                  <c:v>573</c:v>
                </c:pt>
                <c:pt idx="337">
                  <c:v>326</c:v>
                </c:pt>
                <c:pt idx="338">
                  <c:v>352</c:v>
                </c:pt>
                <c:pt idx="339">
                  <c:v>531</c:v>
                </c:pt>
                <c:pt idx="340">
                  <c:v>201</c:v>
                </c:pt>
                <c:pt idx="341">
                  <c:v>262</c:v>
                </c:pt>
                <c:pt idx="342">
                  <c:v>200</c:v>
                </c:pt>
                <c:pt idx="343">
                  <c:v>359</c:v>
                </c:pt>
                <c:pt idx="344">
                  <c:v>303</c:v>
                </c:pt>
                <c:pt idx="345">
                  <c:v>471</c:v>
                </c:pt>
                <c:pt idx="346">
                  <c:v>463</c:v>
                </c:pt>
                <c:pt idx="347">
                  <c:v>196</c:v>
                </c:pt>
                <c:pt idx="348">
                  <c:v>285</c:v>
                </c:pt>
                <c:pt idx="349">
                  <c:v>373</c:v>
                </c:pt>
                <c:pt idx="350">
                  <c:v>267</c:v>
                </c:pt>
                <c:pt idx="351">
                  <c:v>328</c:v>
                </c:pt>
                <c:pt idx="352">
                  <c:v>238</c:v>
                </c:pt>
                <c:pt idx="353">
                  <c:v>332</c:v>
                </c:pt>
                <c:pt idx="354">
                  <c:v>261</c:v>
                </c:pt>
                <c:pt idx="355">
                  <c:v>314</c:v>
                </c:pt>
                <c:pt idx="356">
                  <c:v>294</c:v>
                </c:pt>
                <c:pt idx="357">
                  <c:v>558</c:v>
                </c:pt>
                <c:pt idx="358">
                  <c:v>278</c:v>
                </c:pt>
                <c:pt idx="359">
                  <c:v>444</c:v>
                </c:pt>
                <c:pt idx="360">
                  <c:v>343</c:v>
                </c:pt>
                <c:pt idx="361">
                  <c:v>330</c:v>
                </c:pt>
                <c:pt idx="362">
                  <c:v>422</c:v>
                </c:pt>
                <c:pt idx="363">
                  <c:v>290</c:v>
                </c:pt>
                <c:pt idx="364">
                  <c:v>337</c:v>
                </c:pt>
                <c:pt idx="365">
                  <c:v>440</c:v>
                </c:pt>
                <c:pt idx="366">
                  <c:v>387</c:v>
                </c:pt>
                <c:pt idx="367">
                  <c:v>457</c:v>
                </c:pt>
                <c:pt idx="368">
                  <c:v>335</c:v>
                </c:pt>
                <c:pt idx="369">
                  <c:v>333</c:v>
                </c:pt>
                <c:pt idx="370">
                  <c:v>426</c:v>
                </c:pt>
                <c:pt idx="371">
                  <c:v>351</c:v>
                </c:pt>
                <c:pt idx="372">
                  <c:v>490</c:v>
                </c:pt>
                <c:pt idx="373">
                  <c:v>356</c:v>
                </c:pt>
                <c:pt idx="374">
                  <c:v>354</c:v>
                </c:pt>
                <c:pt idx="375">
                  <c:v>415</c:v>
                </c:pt>
                <c:pt idx="376">
                  <c:v>394</c:v>
                </c:pt>
                <c:pt idx="377">
                  <c:v>232</c:v>
                </c:pt>
                <c:pt idx="378">
                  <c:v>72</c:v>
                </c:pt>
                <c:pt idx="379">
                  <c:v>66</c:v>
                </c:pt>
                <c:pt idx="380">
                  <c:v>516</c:v>
                </c:pt>
                <c:pt idx="381">
                  <c:v>417</c:v>
                </c:pt>
                <c:pt idx="382">
                  <c:v>521</c:v>
                </c:pt>
                <c:pt idx="383">
                  <c:v>369</c:v>
                </c:pt>
                <c:pt idx="384">
                  <c:v>474</c:v>
                </c:pt>
                <c:pt idx="385">
                  <c:v>455</c:v>
                </c:pt>
                <c:pt idx="386">
                  <c:v>316</c:v>
                </c:pt>
                <c:pt idx="387">
                  <c:v>223</c:v>
                </c:pt>
                <c:pt idx="388">
                  <c:v>523</c:v>
                </c:pt>
                <c:pt idx="389">
                  <c:v>549</c:v>
                </c:pt>
                <c:pt idx="390">
                  <c:v>317</c:v>
                </c:pt>
                <c:pt idx="391">
                  <c:v>237</c:v>
                </c:pt>
                <c:pt idx="392">
                  <c:v>375</c:v>
                </c:pt>
                <c:pt idx="393">
                  <c:v>366</c:v>
                </c:pt>
                <c:pt idx="394">
                  <c:v>386</c:v>
                </c:pt>
                <c:pt idx="395">
                  <c:v>506</c:v>
                </c:pt>
                <c:pt idx="396">
                  <c:v>557</c:v>
                </c:pt>
                <c:pt idx="397">
                  <c:v>288</c:v>
                </c:pt>
                <c:pt idx="398">
                  <c:v>379</c:v>
                </c:pt>
                <c:pt idx="399">
                  <c:v>447</c:v>
                </c:pt>
                <c:pt idx="400">
                  <c:v>341</c:v>
                </c:pt>
                <c:pt idx="401">
                  <c:v>527</c:v>
                </c:pt>
                <c:pt idx="402">
                  <c:v>589</c:v>
                </c:pt>
                <c:pt idx="403">
                  <c:v>269</c:v>
                </c:pt>
                <c:pt idx="404">
                  <c:v>299</c:v>
                </c:pt>
                <c:pt idx="405">
                  <c:v>461</c:v>
                </c:pt>
                <c:pt idx="406">
                  <c:v>513</c:v>
                </c:pt>
                <c:pt idx="407">
                  <c:v>346</c:v>
                </c:pt>
                <c:pt idx="408">
                  <c:v>412</c:v>
                </c:pt>
                <c:pt idx="409">
                  <c:v>231</c:v>
                </c:pt>
                <c:pt idx="410">
                  <c:v>397</c:v>
                </c:pt>
                <c:pt idx="411">
                  <c:v>393</c:v>
                </c:pt>
                <c:pt idx="412">
                  <c:v>315</c:v>
                </c:pt>
                <c:pt idx="413">
                  <c:v>244</c:v>
                </c:pt>
                <c:pt idx="414">
                  <c:v>320</c:v>
                </c:pt>
                <c:pt idx="415">
                  <c:v>489</c:v>
                </c:pt>
                <c:pt idx="416">
                  <c:v>567</c:v>
                </c:pt>
                <c:pt idx="417">
                  <c:v>553</c:v>
                </c:pt>
                <c:pt idx="418">
                  <c:v>327</c:v>
                </c:pt>
                <c:pt idx="419">
                  <c:v>476</c:v>
                </c:pt>
                <c:pt idx="420">
                  <c:v>284</c:v>
                </c:pt>
                <c:pt idx="421">
                  <c:v>579</c:v>
                </c:pt>
                <c:pt idx="422">
                  <c:v>403</c:v>
                </c:pt>
                <c:pt idx="423">
                  <c:v>541</c:v>
                </c:pt>
                <c:pt idx="424">
                  <c:v>258</c:v>
                </c:pt>
                <c:pt idx="425">
                  <c:v>400</c:v>
                </c:pt>
                <c:pt idx="426">
                  <c:v>198</c:v>
                </c:pt>
                <c:pt idx="427">
                  <c:v>361</c:v>
                </c:pt>
                <c:pt idx="428">
                  <c:v>453</c:v>
                </c:pt>
                <c:pt idx="429">
                  <c:v>381</c:v>
                </c:pt>
                <c:pt idx="430">
                  <c:v>358</c:v>
                </c:pt>
                <c:pt idx="431">
                  <c:v>388</c:v>
                </c:pt>
                <c:pt idx="432">
                  <c:v>364</c:v>
                </c:pt>
                <c:pt idx="433">
                  <c:v>452</c:v>
                </c:pt>
                <c:pt idx="434">
                  <c:v>509</c:v>
                </c:pt>
                <c:pt idx="435">
                  <c:v>270</c:v>
                </c:pt>
                <c:pt idx="436">
                  <c:v>495</c:v>
                </c:pt>
                <c:pt idx="437">
                  <c:v>502</c:v>
                </c:pt>
                <c:pt idx="438">
                  <c:v>459</c:v>
                </c:pt>
                <c:pt idx="439">
                  <c:v>271</c:v>
                </c:pt>
                <c:pt idx="440">
                  <c:v>524</c:v>
                </c:pt>
                <c:pt idx="441">
                  <c:v>355</c:v>
                </c:pt>
                <c:pt idx="442">
                  <c:v>372</c:v>
                </c:pt>
                <c:pt idx="443">
                  <c:v>406</c:v>
                </c:pt>
                <c:pt idx="444">
                  <c:v>454</c:v>
                </c:pt>
                <c:pt idx="445">
                  <c:v>118</c:v>
                </c:pt>
                <c:pt idx="446">
                  <c:v>219</c:v>
                </c:pt>
                <c:pt idx="447">
                  <c:v>404</c:v>
                </c:pt>
                <c:pt idx="448">
                  <c:v>530</c:v>
                </c:pt>
                <c:pt idx="449">
                  <c:v>542</c:v>
                </c:pt>
                <c:pt idx="450">
                  <c:v>473</c:v>
                </c:pt>
                <c:pt idx="451">
                  <c:v>339</c:v>
                </c:pt>
                <c:pt idx="452">
                  <c:v>365</c:v>
                </c:pt>
                <c:pt idx="453">
                  <c:v>176</c:v>
                </c:pt>
                <c:pt idx="454">
                  <c:v>298</c:v>
                </c:pt>
                <c:pt idx="455">
                  <c:v>357</c:v>
                </c:pt>
                <c:pt idx="456">
                  <c:v>587</c:v>
                </c:pt>
                <c:pt idx="457">
                  <c:v>360</c:v>
                </c:pt>
                <c:pt idx="458">
                  <c:v>545</c:v>
                </c:pt>
                <c:pt idx="459">
                  <c:v>501</c:v>
                </c:pt>
                <c:pt idx="460">
                  <c:v>507</c:v>
                </c:pt>
                <c:pt idx="461">
                  <c:v>282</c:v>
                </c:pt>
                <c:pt idx="462">
                  <c:v>416</c:v>
                </c:pt>
                <c:pt idx="463">
                  <c:v>535</c:v>
                </c:pt>
                <c:pt idx="464">
                  <c:v>438</c:v>
                </c:pt>
                <c:pt idx="465">
                  <c:v>414</c:v>
                </c:pt>
                <c:pt idx="466">
                  <c:v>253</c:v>
                </c:pt>
                <c:pt idx="467">
                  <c:v>480</c:v>
                </c:pt>
                <c:pt idx="468">
                  <c:v>322</c:v>
                </c:pt>
                <c:pt idx="469">
                  <c:v>371</c:v>
                </c:pt>
                <c:pt idx="470">
                  <c:v>169</c:v>
                </c:pt>
                <c:pt idx="471">
                  <c:v>279</c:v>
                </c:pt>
                <c:pt idx="472">
                  <c:v>308</c:v>
                </c:pt>
                <c:pt idx="473">
                  <c:v>297</c:v>
                </c:pt>
                <c:pt idx="474">
                  <c:v>408</c:v>
                </c:pt>
                <c:pt idx="475">
                  <c:v>436</c:v>
                </c:pt>
                <c:pt idx="476">
                  <c:v>280</c:v>
                </c:pt>
                <c:pt idx="477">
                  <c:v>405</c:v>
                </c:pt>
                <c:pt idx="478">
                  <c:v>189</c:v>
                </c:pt>
                <c:pt idx="479">
                  <c:v>428</c:v>
                </c:pt>
                <c:pt idx="480">
                  <c:v>424</c:v>
                </c:pt>
                <c:pt idx="481">
                  <c:v>488</c:v>
                </c:pt>
                <c:pt idx="482">
                  <c:v>418</c:v>
                </c:pt>
                <c:pt idx="483">
                  <c:v>539</c:v>
                </c:pt>
                <c:pt idx="484">
                  <c:v>481</c:v>
                </c:pt>
                <c:pt idx="485">
                  <c:v>413</c:v>
                </c:pt>
                <c:pt idx="486">
                  <c:v>370</c:v>
                </c:pt>
                <c:pt idx="487">
                  <c:v>460</c:v>
                </c:pt>
                <c:pt idx="488">
                  <c:v>378</c:v>
                </c:pt>
                <c:pt idx="489">
                  <c:v>301</c:v>
                </c:pt>
                <c:pt idx="490">
                  <c:v>307</c:v>
                </c:pt>
                <c:pt idx="491">
                  <c:v>383</c:v>
                </c:pt>
                <c:pt idx="492">
                  <c:v>411</c:v>
                </c:pt>
                <c:pt idx="493">
                  <c:v>532</c:v>
                </c:pt>
                <c:pt idx="494">
                  <c:v>465</c:v>
                </c:pt>
                <c:pt idx="495">
                  <c:v>486</c:v>
                </c:pt>
                <c:pt idx="496">
                  <c:v>430</c:v>
                </c:pt>
                <c:pt idx="497">
                  <c:v>450</c:v>
                </c:pt>
                <c:pt idx="498">
                  <c:v>157</c:v>
                </c:pt>
                <c:pt idx="499">
                  <c:v>434</c:v>
                </c:pt>
                <c:pt idx="500">
                  <c:v>548</c:v>
                </c:pt>
                <c:pt idx="501">
                  <c:v>479</c:v>
                </c:pt>
                <c:pt idx="502">
                  <c:v>562</c:v>
                </c:pt>
                <c:pt idx="503">
                  <c:v>443</c:v>
                </c:pt>
                <c:pt idx="504">
                  <c:v>503</c:v>
                </c:pt>
                <c:pt idx="505">
                  <c:v>302</c:v>
                </c:pt>
                <c:pt idx="506">
                  <c:v>273</c:v>
                </c:pt>
                <c:pt idx="507">
                  <c:v>491</c:v>
                </c:pt>
                <c:pt idx="508">
                  <c:v>510</c:v>
                </c:pt>
                <c:pt idx="509">
                  <c:v>353</c:v>
                </c:pt>
                <c:pt idx="510">
                  <c:v>498</c:v>
                </c:pt>
                <c:pt idx="511">
                  <c:v>468</c:v>
                </c:pt>
                <c:pt idx="512">
                  <c:v>462</c:v>
                </c:pt>
                <c:pt idx="513">
                  <c:v>59</c:v>
                </c:pt>
                <c:pt idx="514">
                  <c:v>325</c:v>
                </c:pt>
                <c:pt idx="515">
                  <c:v>318</c:v>
                </c:pt>
                <c:pt idx="516">
                  <c:v>493</c:v>
                </c:pt>
                <c:pt idx="517">
                  <c:v>456</c:v>
                </c:pt>
                <c:pt idx="518">
                  <c:v>429</c:v>
                </c:pt>
                <c:pt idx="519">
                  <c:v>515</c:v>
                </c:pt>
                <c:pt idx="520">
                  <c:v>131</c:v>
                </c:pt>
                <c:pt idx="521">
                  <c:v>345</c:v>
                </c:pt>
                <c:pt idx="522">
                  <c:v>477</c:v>
                </c:pt>
                <c:pt idx="523">
                  <c:v>504</c:v>
                </c:pt>
                <c:pt idx="524">
                  <c:v>213</c:v>
                </c:pt>
                <c:pt idx="525">
                  <c:v>591</c:v>
                </c:pt>
                <c:pt idx="526">
                  <c:v>551</c:v>
                </c:pt>
                <c:pt idx="527">
                  <c:v>546</c:v>
                </c:pt>
                <c:pt idx="528">
                  <c:v>592</c:v>
                </c:pt>
                <c:pt idx="529">
                  <c:v>368</c:v>
                </c:pt>
                <c:pt idx="530">
                  <c:v>331</c:v>
                </c:pt>
                <c:pt idx="531">
                  <c:v>348</c:v>
                </c:pt>
                <c:pt idx="532">
                  <c:v>230</c:v>
                </c:pt>
                <c:pt idx="533">
                  <c:v>540</c:v>
                </c:pt>
                <c:pt idx="534">
                  <c:v>469</c:v>
                </c:pt>
                <c:pt idx="535">
                  <c:v>376</c:v>
                </c:pt>
                <c:pt idx="536">
                  <c:v>446</c:v>
                </c:pt>
                <c:pt idx="537">
                  <c:v>153</c:v>
                </c:pt>
                <c:pt idx="538">
                  <c:v>425</c:v>
                </c:pt>
                <c:pt idx="539">
                  <c:v>492</c:v>
                </c:pt>
                <c:pt idx="540">
                  <c:v>497</c:v>
                </c:pt>
                <c:pt idx="541">
                  <c:v>536</c:v>
                </c:pt>
                <c:pt idx="542">
                  <c:v>106</c:v>
                </c:pt>
                <c:pt idx="543">
                  <c:v>435</c:v>
                </c:pt>
                <c:pt idx="544">
                  <c:v>569</c:v>
                </c:pt>
                <c:pt idx="545">
                  <c:v>499</c:v>
                </c:pt>
                <c:pt idx="546">
                  <c:v>581</c:v>
                </c:pt>
                <c:pt idx="547">
                  <c:v>159</c:v>
                </c:pt>
                <c:pt idx="548">
                  <c:v>467</c:v>
                </c:pt>
                <c:pt idx="549">
                  <c:v>427</c:v>
                </c:pt>
                <c:pt idx="550">
                  <c:v>319</c:v>
                </c:pt>
                <c:pt idx="551">
                  <c:v>556</c:v>
                </c:pt>
                <c:pt idx="552">
                  <c:v>296</c:v>
                </c:pt>
                <c:pt idx="553">
                  <c:v>537</c:v>
                </c:pt>
                <c:pt idx="554">
                  <c:v>193</c:v>
                </c:pt>
                <c:pt idx="555">
                  <c:v>525</c:v>
                </c:pt>
                <c:pt idx="556">
                  <c:v>586</c:v>
                </c:pt>
                <c:pt idx="557">
                  <c:v>547</c:v>
                </c:pt>
                <c:pt idx="558">
                  <c:v>518</c:v>
                </c:pt>
                <c:pt idx="559">
                  <c:v>420</c:v>
                </c:pt>
                <c:pt idx="560">
                  <c:v>407</c:v>
                </c:pt>
                <c:pt idx="561">
                  <c:v>458</c:v>
                </c:pt>
                <c:pt idx="562">
                  <c:v>505</c:v>
                </c:pt>
                <c:pt idx="563">
                  <c:v>514</c:v>
                </c:pt>
                <c:pt idx="564">
                  <c:v>485</c:v>
                </c:pt>
                <c:pt idx="565">
                  <c:v>566</c:v>
                </c:pt>
                <c:pt idx="566">
                  <c:v>268</c:v>
                </c:pt>
                <c:pt idx="567">
                  <c:v>181</c:v>
                </c:pt>
                <c:pt idx="568">
                  <c:v>522</c:v>
                </c:pt>
                <c:pt idx="569">
                  <c:v>543</c:v>
                </c:pt>
                <c:pt idx="570">
                  <c:v>520</c:v>
                </c:pt>
                <c:pt idx="571">
                  <c:v>582</c:v>
                </c:pt>
                <c:pt idx="572">
                  <c:v>538</c:v>
                </c:pt>
                <c:pt idx="573">
                  <c:v>89</c:v>
                </c:pt>
                <c:pt idx="574">
                  <c:v>552</c:v>
                </c:pt>
                <c:pt idx="575">
                  <c:v>572</c:v>
                </c:pt>
                <c:pt idx="576">
                  <c:v>560</c:v>
                </c:pt>
                <c:pt idx="577">
                  <c:v>577</c:v>
                </c:pt>
                <c:pt idx="578">
                  <c:v>423</c:v>
                </c:pt>
                <c:pt idx="579">
                  <c:v>575</c:v>
                </c:pt>
                <c:pt idx="580">
                  <c:v>571</c:v>
                </c:pt>
                <c:pt idx="581">
                  <c:v>433</c:v>
                </c:pt>
                <c:pt idx="582">
                  <c:v>295</c:v>
                </c:pt>
                <c:pt idx="583">
                  <c:v>517</c:v>
                </c:pt>
                <c:pt idx="584">
                  <c:v>432</c:v>
                </c:pt>
                <c:pt idx="585">
                  <c:v>565</c:v>
                </c:pt>
                <c:pt idx="586">
                  <c:v>449</c:v>
                </c:pt>
                <c:pt idx="587">
                  <c:v>550</c:v>
                </c:pt>
                <c:pt idx="588">
                  <c:v>570</c:v>
                </c:pt>
                <c:pt idx="589">
                  <c:v>583</c:v>
                </c:pt>
                <c:pt idx="590">
                  <c:v>494</c:v>
                </c:pt>
                <c:pt idx="591">
                  <c:v>564</c:v>
                </c:pt>
              </c:numCache>
            </c:numRef>
          </c:xVal>
          <c:yVal>
            <c:numRef>
              <c:f>'Relative Protein Abundances'!$G$2:$G$593</c:f>
              <c:numCache>
                <c:formatCode>General</c:formatCode>
                <c:ptCount val="592"/>
                <c:pt idx="0">
                  <c:v>269</c:v>
                </c:pt>
                <c:pt idx="1">
                  <c:v>21</c:v>
                </c:pt>
                <c:pt idx="2">
                  <c:v>11</c:v>
                </c:pt>
                <c:pt idx="3">
                  <c:v>24</c:v>
                </c:pt>
                <c:pt idx="4">
                  <c:v>249</c:v>
                </c:pt>
                <c:pt idx="5">
                  <c:v>539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55</c:v>
                </c:pt>
                <c:pt idx="10">
                  <c:v>31</c:v>
                </c:pt>
                <c:pt idx="11">
                  <c:v>58.5</c:v>
                </c:pt>
                <c:pt idx="12">
                  <c:v>10</c:v>
                </c:pt>
                <c:pt idx="13">
                  <c:v>7</c:v>
                </c:pt>
                <c:pt idx="14">
                  <c:v>17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12</c:v>
                </c:pt>
                <c:pt idx="19">
                  <c:v>15</c:v>
                </c:pt>
                <c:pt idx="20">
                  <c:v>16</c:v>
                </c:pt>
                <c:pt idx="21">
                  <c:v>254.5</c:v>
                </c:pt>
                <c:pt idx="22">
                  <c:v>5</c:v>
                </c:pt>
                <c:pt idx="23">
                  <c:v>19</c:v>
                </c:pt>
                <c:pt idx="24">
                  <c:v>57</c:v>
                </c:pt>
                <c:pt idx="25">
                  <c:v>437</c:v>
                </c:pt>
                <c:pt idx="26">
                  <c:v>43</c:v>
                </c:pt>
                <c:pt idx="27">
                  <c:v>25</c:v>
                </c:pt>
                <c:pt idx="28">
                  <c:v>20</c:v>
                </c:pt>
                <c:pt idx="29">
                  <c:v>530</c:v>
                </c:pt>
                <c:pt idx="30">
                  <c:v>28</c:v>
                </c:pt>
                <c:pt idx="31">
                  <c:v>14</c:v>
                </c:pt>
                <c:pt idx="32">
                  <c:v>470</c:v>
                </c:pt>
                <c:pt idx="33">
                  <c:v>141</c:v>
                </c:pt>
                <c:pt idx="34">
                  <c:v>229</c:v>
                </c:pt>
                <c:pt idx="35">
                  <c:v>40</c:v>
                </c:pt>
                <c:pt idx="36">
                  <c:v>23</c:v>
                </c:pt>
                <c:pt idx="37">
                  <c:v>44</c:v>
                </c:pt>
                <c:pt idx="38">
                  <c:v>32</c:v>
                </c:pt>
                <c:pt idx="39">
                  <c:v>99.5</c:v>
                </c:pt>
                <c:pt idx="40">
                  <c:v>89</c:v>
                </c:pt>
                <c:pt idx="41">
                  <c:v>22</c:v>
                </c:pt>
                <c:pt idx="42">
                  <c:v>34</c:v>
                </c:pt>
                <c:pt idx="43">
                  <c:v>140</c:v>
                </c:pt>
                <c:pt idx="44">
                  <c:v>301.5</c:v>
                </c:pt>
                <c:pt idx="45">
                  <c:v>45</c:v>
                </c:pt>
                <c:pt idx="46">
                  <c:v>38</c:v>
                </c:pt>
                <c:pt idx="47">
                  <c:v>64.5</c:v>
                </c:pt>
                <c:pt idx="48">
                  <c:v>54</c:v>
                </c:pt>
                <c:pt idx="49">
                  <c:v>184</c:v>
                </c:pt>
                <c:pt idx="50">
                  <c:v>48.5</c:v>
                </c:pt>
                <c:pt idx="51">
                  <c:v>61.5</c:v>
                </c:pt>
                <c:pt idx="52">
                  <c:v>63</c:v>
                </c:pt>
                <c:pt idx="53">
                  <c:v>29</c:v>
                </c:pt>
                <c:pt idx="54">
                  <c:v>90</c:v>
                </c:pt>
                <c:pt idx="55">
                  <c:v>163</c:v>
                </c:pt>
                <c:pt idx="56">
                  <c:v>60</c:v>
                </c:pt>
                <c:pt idx="57">
                  <c:v>36</c:v>
                </c:pt>
                <c:pt idx="58">
                  <c:v>88</c:v>
                </c:pt>
                <c:pt idx="59">
                  <c:v>56</c:v>
                </c:pt>
                <c:pt idx="60">
                  <c:v>46</c:v>
                </c:pt>
                <c:pt idx="61">
                  <c:v>78</c:v>
                </c:pt>
                <c:pt idx="62">
                  <c:v>79</c:v>
                </c:pt>
                <c:pt idx="63">
                  <c:v>369</c:v>
                </c:pt>
                <c:pt idx="64">
                  <c:v>448</c:v>
                </c:pt>
                <c:pt idx="65">
                  <c:v>93</c:v>
                </c:pt>
                <c:pt idx="66">
                  <c:v>76</c:v>
                </c:pt>
                <c:pt idx="67">
                  <c:v>96</c:v>
                </c:pt>
                <c:pt idx="68">
                  <c:v>107</c:v>
                </c:pt>
                <c:pt idx="69">
                  <c:v>27</c:v>
                </c:pt>
                <c:pt idx="70">
                  <c:v>42</c:v>
                </c:pt>
                <c:pt idx="71">
                  <c:v>18</c:v>
                </c:pt>
                <c:pt idx="72">
                  <c:v>466.5</c:v>
                </c:pt>
                <c:pt idx="73">
                  <c:v>216</c:v>
                </c:pt>
                <c:pt idx="74">
                  <c:v>125</c:v>
                </c:pt>
                <c:pt idx="75">
                  <c:v>244</c:v>
                </c:pt>
                <c:pt idx="76">
                  <c:v>13</c:v>
                </c:pt>
                <c:pt idx="77">
                  <c:v>103</c:v>
                </c:pt>
                <c:pt idx="78">
                  <c:v>6</c:v>
                </c:pt>
                <c:pt idx="79">
                  <c:v>177</c:v>
                </c:pt>
                <c:pt idx="80">
                  <c:v>314.5</c:v>
                </c:pt>
                <c:pt idx="81">
                  <c:v>80</c:v>
                </c:pt>
                <c:pt idx="82">
                  <c:v>30</c:v>
                </c:pt>
                <c:pt idx="83">
                  <c:v>176</c:v>
                </c:pt>
                <c:pt idx="84">
                  <c:v>105</c:v>
                </c:pt>
                <c:pt idx="85">
                  <c:v>194.5</c:v>
                </c:pt>
                <c:pt idx="86">
                  <c:v>37</c:v>
                </c:pt>
                <c:pt idx="87">
                  <c:v>64.5</c:v>
                </c:pt>
                <c:pt idx="88">
                  <c:v>68</c:v>
                </c:pt>
                <c:pt idx="89">
                  <c:v>99.5</c:v>
                </c:pt>
                <c:pt idx="90">
                  <c:v>112</c:v>
                </c:pt>
                <c:pt idx="91">
                  <c:v>116</c:v>
                </c:pt>
                <c:pt idx="92">
                  <c:v>72</c:v>
                </c:pt>
                <c:pt idx="93">
                  <c:v>70</c:v>
                </c:pt>
                <c:pt idx="94">
                  <c:v>53</c:v>
                </c:pt>
                <c:pt idx="95">
                  <c:v>74</c:v>
                </c:pt>
                <c:pt idx="96">
                  <c:v>391</c:v>
                </c:pt>
                <c:pt idx="97">
                  <c:v>488</c:v>
                </c:pt>
                <c:pt idx="98">
                  <c:v>495.5</c:v>
                </c:pt>
                <c:pt idx="99">
                  <c:v>33</c:v>
                </c:pt>
                <c:pt idx="100">
                  <c:v>527</c:v>
                </c:pt>
                <c:pt idx="101">
                  <c:v>115</c:v>
                </c:pt>
                <c:pt idx="102">
                  <c:v>405</c:v>
                </c:pt>
                <c:pt idx="103">
                  <c:v>131</c:v>
                </c:pt>
                <c:pt idx="104">
                  <c:v>41</c:v>
                </c:pt>
                <c:pt idx="105">
                  <c:v>123</c:v>
                </c:pt>
                <c:pt idx="106">
                  <c:v>504</c:v>
                </c:pt>
                <c:pt idx="107">
                  <c:v>279.5</c:v>
                </c:pt>
                <c:pt idx="108">
                  <c:v>174</c:v>
                </c:pt>
                <c:pt idx="109">
                  <c:v>48.5</c:v>
                </c:pt>
                <c:pt idx="110">
                  <c:v>82</c:v>
                </c:pt>
                <c:pt idx="111">
                  <c:v>118</c:v>
                </c:pt>
                <c:pt idx="112">
                  <c:v>136</c:v>
                </c:pt>
                <c:pt idx="113">
                  <c:v>193</c:v>
                </c:pt>
                <c:pt idx="114">
                  <c:v>284.5</c:v>
                </c:pt>
                <c:pt idx="115">
                  <c:v>192</c:v>
                </c:pt>
                <c:pt idx="116">
                  <c:v>35</c:v>
                </c:pt>
                <c:pt idx="117">
                  <c:v>128</c:v>
                </c:pt>
                <c:pt idx="118">
                  <c:v>67</c:v>
                </c:pt>
                <c:pt idx="119">
                  <c:v>97</c:v>
                </c:pt>
                <c:pt idx="120">
                  <c:v>52</c:v>
                </c:pt>
                <c:pt idx="121">
                  <c:v>92</c:v>
                </c:pt>
                <c:pt idx="122">
                  <c:v>149.5</c:v>
                </c:pt>
                <c:pt idx="123">
                  <c:v>126</c:v>
                </c:pt>
                <c:pt idx="124">
                  <c:v>375</c:v>
                </c:pt>
                <c:pt idx="125">
                  <c:v>142</c:v>
                </c:pt>
                <c:pt idx="126">
                  <c:v>39</c:v>
                </c:pt>
                <c:pt idx="127">
                  <c:v>134</c:v>
                </c:pt>
                <c:pt idx="128">
                  <c:v>132</c:v>
                </c:pt>
                <c:pt idx="129">
                  <c:v>139</c:v>
                </c:pt>
                <c:pt idx="130">
                  <c:v>284.5</c:v>
                </c:pt>
                <c:pt idx="131">
                  <c:v>245.5</c:v>
                </c:pt>
                <c:pt idx="132">
                  <c:v>135</c:v>
                </c:pt>
                <c:pt idx="133">
                  <c:v>156</c:v>
                </c:pt>
                <c:pt idx="134">
                  <c:v>87</c:v>
                </c:pt>
                <c:pt idx="135">
                  <c:v>98</c:v>
                </c:pt>
                <c:pt idx="136">
                  <c:v>106</c:v>
                </c:pt>
                <c:pt idx="137">
                  <c:v>153</c:v>
                </c:pt>
                <c:pt idx="138">
                  <c:v>137</c:v>
                </c:pt>
                <c:pt idx="139">
                  <c:v>164</c:v>
                </c:pt>
                <c:pt idx="140">
                  <c:v>264</c:v>
                </c:pt>
                <c:pt idx="141">
                  <c:v>161</c:v>
                </c:pt>
                <c:pt idx="142">
                  <c:v>151</c:v>
                </c:pt>
                <c:pt idx="143">
                  <c:v>111</c:v>
                </c:pt>
                <c:pt idx="144">
                  <c:v>26</c:v>
                </c:pt>
                <c:pt idx="145">
                  <c:v>169.5</c:v>
                </c:pt>
                <c:pt idx="146">
                  <c:v>86</c:v>
                </c:pt>
                <c:pt idx="147">
                  <c:v>102</c:v>
                </c:pt>
                <c:pt idx="148">
                  <c:v>173</c:v>
                </c:pt>
                <c:pt idx="149">
                  <c:v>456</c:v>
                </c:pt>
                <c:pt idx="150">
                  <c:v>282</c:v>
                </c:pt>
                <c:pt idx="151">
                  <c:v>436</c:v>
                </c:pt>
                <c:pt idx="152">
                  <c:v>66</c:v>
                </c:pt>
                <c:pt idx="153">
                  <c:v>85</c:v>
                </c:pt>
                <c:pt idx="154">
                  <c:v>149.5</c:v>
                </c:pt>
                <c:pt idx="155">
                  <c:v>114</c:v>
                </c:pt>
                <c:pt idx="156">
                  <c:v>251</c:v>
                </c:pt>
                <c:pt idx="157">
                  <c:v>110</c:v>
                </c:pt>
                <c:pt idx="158">
                  <c:v>138</c:v>
                </c:pt>
                <c:pt idx="159">
                  <c:v>185</c:v>
                </c:pt>
                <c:pt idx="160">
                  <c:v>91</c:v>
                </c:pt>
                <c:pt idx="161">
                  <c:v>144</c:v>
                </c:pt>
                <c:pt idx="162">
                  <c:v>51</c:v>
                </c:pt>
                <c:pt idx="163">
                  <c:v>189.5</c:v>
                </c:pt>
                <c:pt idx="164">
                  <c:v>180</c:v>
                </c:pt>
                <c:pt idx="165">
                  <c:v>158</c:v>
                </c:pt>
                <c:pt idx="166">
                  <c:v>191</c:v>
                </c:pt>
                <c:pt idx="167">
                  <c:v>166</c:v>
                </c:pt>
                <c:pt idx="168">
                  <c:v>154.5</c:v>
                </c:pt>
                <c:pt idx="169">
                  <c:v>145</c:v>
                </c:pt>
                <c:pt idx="170">
                  <c:v>220</c:v>
                </c:pt>
                <c:pt idx="171">
                  <c:v>200.5</c:v>
                </c:pt>
                <c:pt idx="172">
                  <c:v>356</c:v>
                </c:pt>
                <c:pt idx="173">
                  <c:v>183</c:v>
                </c:pt>
                <c:pt idx="174">
                  <c:v>178</c:v>
                </c:pt>
                <c:pt idx="175">
                  <c:v>148</c:v>
                </c:pt>
                <c:pt idx="176">
                  <c:v>160</c:v>
                </c:pt>
                <c:pt idx="177">
                  <c:v>172</c:v>
                </c:pt>
                <c:pt idx="178">
                  <c:v>197</c:v>
                </c:pt>
                <c:pt idx="179">
                  <c:v>198</c:v>
                </c:pt>
                <c:pt idx="180">
                  <c:v>133</c:v>
                </c:pt>
                <c:pt idx="181">
                  <c:v>130</c:v>
                </c:pt>
                <c:pt idx="182">
                  <c:v>212</c:v>
                </c:pt>
                <c:pt idx="183">
                  <c:v>345</c:v>
                </c:pt>
                <c:pt idx="184">
                  <c:v>199</c:v>
                </c:pt>
                <c:pt idx="185">
                  <c:v>182</c:v>
                </c:pt>
                <c:pt idx="186">
                  <c:v>169.5</c:v>
                </c:pt>
                <c:pt idx="187">
                  <c:v>452</c:v>
                </c:pt>
                <c:pt idx="188">
                  <c:v>224.5</c:v>
                </c:pt>
                <c:pt idx="189">
                  <c:v>167</c:v>
                </c:pt>
                <c:pt idx="190">
                  <c:v>231.5</c:v>
                </c:pt>
                <c:pt idx="191">
                  <c:v>226</c:v>
                </c:pt>
                <c:pt idx="192">
                  <c:v>169.5</c:v>
                </c:pt>
                <c:pt idx="193">
                  <c:v>279.5</c:v>
                </c:pt>
                <c:pt idx="194">
                  <c:v>203.5</c:v>
                </c:pt>
                <c:pt idx="195">
                  <c:v>343</c:v>
                </c:pt>
                <c:pt idx="196">
                  <c:v>113</c:v>
                </c:pt>
                <c:pt idx="197">
                  <c:v>206</c:v>
                </c:pt>
                <c:pt idx="198">
                  <c:v>50</c:v>
                </c:pt>
                <c:pt idx="199">
                  <c:v>233</c:v>
                </c:pt>
                <c:pt idx="200">
                  <c:v>396</c:v>
                </c:pt>
                <c:pt idx="201">
                  <c:v>236</c:v>
                </c:pt>
                <c:pt idx="202">
                  <c:v>211</c:v>
                </c:pt>
                <c:pt idx="203">
                  <c:v>528</c:v>
                </c:pt>
                <c:pt idx="204">
                  <c:v>583</c:v>
                </c:pt>
                <c:pt idx="205">
                  <c:v>202</c:v>
                </c:pt>
                <c:pt idx="206">
                  <c:v>240.5</c:v>
                </c:pt>
                <c:pt idx="207">
                  <c:v>71</c:v>
                </c:pt>
                <c:pt idx="208">
                  <c:v>95</c:v>
                </c:pt>
                <c:pt idx="209">
                  <c:v>245.5</c:v>
                </c:pt>
                <c:pt idx="210">
                  <c:v>228</c:v>
                </c:pt>
                <c:pt idx="211">
                  <c:v>129</c:v>
                </c:pt>
                <c:pt idx="212">
                  <c:v>272</c:v>
                </c:pt>
                <c:pt idx="213">
                  <c:v>292.5</c:v>
                </c:pt>
                <c:pt idx="214">
                  <c:v>214</c:v>
                </c:pt>
                <c:pt idx="215">
                  <c:v>333</c:v>
                </c:pt>
                <c:pt idx="216">
                  <c:v>186.5</c:v>
                </c:pt>
                <c:pt idx="217">
                  <c:v>227</c:v>
                </c:pt>
                <c:pt idx="218">
                  <c:v>207</c:v>
                </c:pt>
                <c:pt idx="219">
                  <c:v>351</c:v>
                </c:pt>
                <c:pt idx="220">
                  <c:v>534.5</c:v>
                </c:pt>
                <c:pt idx="221">
                  <c:v>257</c:v>
                </c:pt>
                <c:pt idx="222">
                  <c:v>147</c:v>
                </c:pt>
                <c:pt idx="223">
                  <c:v>237</c:v>
                </c:pt>
                <c:pt idx="224">
                  <c:v>218</c:v>
                </c:pt>
                <c:pt idx="225">
                  <c:v>179</c:v>
                </c:pt>
                <c:pt idx="226">
                  <c:v>200.5</c:v>
                </c:pt>
                <c:pt idx="227">
                  <c:v>75</c:v>
                </c:pt>
                <c:pt idx="228">
                  <c:v>416</c:v>
                </c:pt>
                <c:pt idx="229">
                  <c:v>223</c:v>
                </c:pt>
                <c:pt idx="230">
                  <c:v>239</c:v>
                </c:pt>
                <c:pt idx="231">
                  <c:v>586</c:v>
                </c:pt>
                <c:pt idx="232">
                  <c:v>209</c:v>
                </c:pt>
                <c:pt idx="233">
                  <c:v>83</c:v>
                </c:pt>
                <c:pt idx="234">
                  <c:v>254.5</c:v>
                </c:pt>
                <c:pt idx="235">
                  <c:v>307.5</c:v>
                </c:pt>
                <c:pt idx="236">
                  <c:v>231.5</c:v>
                </c:pt>
                <c:pt idx="237">
                  <c:v>379</c:v>
                </c:pt>
                <c:pt idx="238">
                  <c:v>267.5</c:v>
                </c:pt>
                <c:pt idx="239">
                  <c:v>267.5</c:v>
                </c:pt>
                <c:pt idx="240">
                  <c:v>259.5</c:v>
                </c:pt>
                <c:pt idx="241">
                  <c:v>408</c:v>
                </c:pt>
                <c:pt idx="242">
                  <c:v>259.5</c:v>
                </c:pt>
                <c:pt idx="243">
                  <c:v>270</c:v>
                </c:pt>
                <c:pt idx="244">
                  <c:v>261.5</c:v>
                </c:pt>
                <c:pt idx="245">
                  <c:v>121</c:v>
                </c:pt>
                <c:pt idx="246">
                  <c:v>368</c:v>
                </c:pt>
                <c:pt idx="247">
                  <c:v>261.5</c:v>
                </c:pt>
                <c:pt idx="248">
                  <c:v>224.5</c:v>
                </c:pt>
                <c:pt idx="249">
                  <c:v>194.5</c:v>
                </c:pt>
                <c:pt idx="250">
                  <c:v>181</c:v>
                </c:pt>
                <c:pt idx="251">
                  <c:v>591</c:v>
                </c:pt>
                <c:pt idx="252">
                  <c:v>108</c:v>
                </c:pt>
                <c:pt idx="253">
                  <c:v>474</c:v>
                </c:pt>
                <c:pt idx="254">
                  <c:v>165</c:v>
                </c:pt>
                <c:pt idx="255">
                  <c:v>242</c:v>
                </c:pt>
                <c:pt idx="256">
                  <c:v>205</c:v>
                </c:pt>
                <c:pt idx="257">
                  <c:v>234.5</c:v>
                </c:pt>
                <c:pt idx="258">
                  <c:v>314.5</c:v>
                </c:pt>
                <c:pt idx="259">
                  <c:v>124</c:v>
                </c:pt>
                <c:pt idx="260">
                  <c:v>266</c:v>
                </c:pt>
                <c:pt idx="261">
                  <c:v>122</c:v>
                </c:pt>
                <c:pt idx="262">
                  <c:v>377</c:v>
                </c:pt>
                <c:pt idx="263">
                  <c:v>143</c:v>
                </c:pt>
                <c:pt idx="264">
                  <c:v>234.5</c:v>
                </c:pt>
                <c:pt idx="265">
                  <c:v>254.5</c:v>
                </c:pt>
                <c:pt idx="266">
                  <c:v>344</c:v>
                </c:pt>
                <c:pt idx="267">
                  <c:v>215</c:v>
                </c:pt>
                <c:pt idx="268">
                  <c:v>230</c:v>
                </c:pt>
                <c:pt idx="269">
                  <c:v>146</c:v>
                </c:pt>
                <c:pt idx="270">
                  <c:v>81</c:v>
                </c:pt>
                <c:pt idx="271">
                  <c:v>430.5</c:v>
                </c:pt>
                <c:pt idx="272">
                  <c:v>77</c:v>
                </c:pt>
                <c:pt idx="273">
                  <c:v>186.5</c:v>
                </c:pt>
                <c:pt idx="274">
                  <c:v>394</c:v>
                </c:pt>
                <c:pt idx="275">
                  <c:v>210</c:v>
                </c:pt>
                <c:pt idx="276">
                  <c:v>252</c:v>
                </c:pt>
                <c:pt idx="277">
                  <c:v>109</c:v>
                </c:pt>
                <c:pt idx="278">
                  <c:v>101</c:v>
                </c:pt>
                <c:pt idx="279">
                  <c:v>338.5</c:v>
                </c:pt>
                <c:pt idx="280">
                  <c:v>276.5</c:v>
                </c:pt>
                <c:pt idx="281">
                  <c:v>263</c:v>
                </c:pt>
                <c:pt idx="282">
                  <c:v>219</c:v>
                </c:pt>
                <c:pt idx="283">
                  <c:v>300</c:v>
                </c:pt>
                <c:pt idx="284">
                  <c:v>221.5</c:v>
                </c:pt>
                <c:pt idx="285">
                  <c:v>312</c:v>
                </c:pt>
                <c:pt idx="286">
                  <c:v>318.5</c:v>
                </c:pt>
                <c:pt idx="287">
                  <c:v>94</c:v>
                </c:pt>
                <c:pt idx="288">
                  <c:v>316</c:v>
                </c:pt>
                <c:pt idx="289">
                  <c:v>306</c:v>
                </c:pt>
                <c:pt idx="290">
                  <c:v>301.5</c:v>
                </c:pt>
                <c:pt idx="291">
                  <c:v>326</c:v>
                </c:pt>
                <c:pt idx="292">
                  <c:v>321</c:v>
                </c:pt>
                <c:pt idx="293">
                  <c:v>294.5</c:v>
                </c:pt>
                <c:pt idx="294">
                  <c:v>73</c:v>
                </c:pt>
                <c:pt idx="295">
                  <c:v>331</c:v>
                </c:pt>
                <c:pt idx="296">
                  <c:v>117</c:v>
                </c:pt>
                <c:pt idx="297">
                  <c:v>307.5</c:v>
                </c:pt>
                <c:pt idx="298">
                  <c:v>430.5</c:v>
                </c:pt>
                <c:pt idx="299">
                  <c:v>297</c:v>
                </c:pt>
                <c:pt idx="300">
                  <c:v>309</c:v>
                </c:pt>
                <c:pt idx="301">
                  <c:v>120</c:v>
                </c:pt>
                <c:pt idx="302">
                  <c:v>278</c:v>
                </c:pt>
                <c:pt idx="303">
                  <c:v>390</c:v>
                </c:pt>
                <c:pt idx="304">
                  <c:v>175</c:v>
                </c:pt>
                <c:pt idx="305">
                  <c:v>304.5</c:v>
                </c:pt>
                <c:pt idx="306">
                  <c:v>203.5</c:v>
                </c:pt>
                <c:pt idx="307">
                  <c:v>337</c:v>
                </c:pt>
                <c:pt idx="308">
                  <c:v>323</c:v>
                </c:pt>
                <c:pt idx="309">
                  <c:v>290</c:v>
                </c:pt>
                <c:pt idx="310">
                  <c:v>329.5</c:v>
                </c:pt>
                <c:pt idx="311">
                  <c:v>353</c:v>
                </c:pt>
                <c:pt idx="312">
                  <c:v>338.5</c:v>
                </c:pt>
                <c:pt idx="313">
                  <c:v>289</c:v>
                </c:pt>
                <c:pt idx="314">
                  <c:v>282</c:v>
                </c:pt>
                <c:pt idx="315">
                  <c:v>250</c:v>
                </c:pt>
                <c:pt idx="316">
                  <c:v>312</c:v>
                </c:pt>
                <c:pt idx="317">
                  <c:v>354</c:v>
                </c:pt>
                <c:pt idx="318">
                  <c:v>334</c:v>
                </c:pt>
                <c:pt idx="319">
                  <c:v>362</c:v>
                </c:pt>
                <c:pt idx="320">
                  <c:v>358</c:v>
                </c:pt>
                <c:pt idx="321">
                  <c:v>254.5</c:v>
                </c:pt>
                <c:pt idx="322">
                  <c:v>332</c:v>
                </c:pt>
                <c:pt idx="323">
                  <c:v>329.5</c:v>
                </c:pt>
                <c:pt idx="324">
                  <c:v>486</c:v>
                </c:pt>
                <c:pt idx="325">
                  <c:v>321</c:v>
                </c:pt>
                <c:pt idx="326">
                  <c:v>350</c:v>
                </c:pt>
                <c:pt idx="327">
                  <c:v>159</c:v>
                </c:pt>
                <c:pt idx="328">
                  <c:v>363.5</c:v>
                </c:pt>
                <c:pt idx="329">
                  <c:v>221.5</c:v>
                </c:pt>
                <c:pt idx="330">
                  <c:v>162</c:v>
                </c:pt>
                <c:pt idx="331">
                  <c:v>243</c:v>
                </c:pt>
                <c:pt idx="332">
                  <c:v>515</c:v>
                </c:pt>
                <c:pt idx="333">
                  <c:v>47</c:v>
                </c:pt>
                <c:pt idx="334">
                  <c:v>340</c:v>
                </c:pt>
                <c:pt idx="335">
                  <c:v>461</c:v>
                </c:pt>
                <c:pt idx="336">
                  <c:v>386</c:v>
                </c:pt>
                <c:pt idx="337">
                  <c:v>585</c:v>
                </c:pt>
                <c:pt idx="338">
                  <c:v>310</c:v>
                </c:pt>
                <c:pt idx="339">
                  <c:v>374</c:v>
                </c:pt>
                <c:pt idx="340">
                  <c:v>258</c:v>
                </c:pt>
                <c:pt idx="341">
                  <c:v>380</c:v>
                </c:pt>
                <c:pt idx="342">
                  <c:v>196</c:v>
                </c:pt>
                <c:pt idx="343">
                  <c:v>317</c:v>
                </c:pt>
                <c:pt idx="344">
                  <c:v>288</c:v>
                </c:pt>
                <c:pt idx="345">
                  <c:v>363.5</c:v>
                </c:pt>
                <c:pt idx="346">
                  <c:v>366</c:v>
                </c:pt>
                <c:pt idx="347">
                  <c:v>248</c:v>
                </c:pt>
                <c:pt idx="348">
                  <c:v>275</c:v>
                </c:pt>
                <c:pt idx="349">
                  <c:v>325</c:v>
                </c:pt>
                <c:pt idx="350">
                  <c:v>389</c:v>
                </c:pt>
                <c:pt idx="351">
                  <c:v>304.5</c:v>
                </c:pt>
                <c:pt idx="352">
                  <c:v>312</c:v>
                </c:pt>
                <c:pt idx="353">
                  <c:v>576</c:v>
                </c:pt>
                <c:pt idx="354">
                  <c:v>370.5</c:v>
                </c:pt>
                <c:pt idx="355">
                  <c:v>292.5</c:v>
                </c:pt>
                <c:pt idx="356">
                  <c:v>453</c:v>
                </c:pt>
                <c:pt idx="357">
                  <c:v>395</c:v>
                </c:pt>
                <c:pt idx="358">
                  <c:v>409.5</c:v>
                </c:pt>
                <c:pt idx="359">
                  <c:v>365</c:v>
                </c:pt>
                <c:pt idx="360">
                  <c:v>318.5</c:v>
                </c:pt>
                <c:pt idx="361">
                  <c:v>537</c:v>
                </c:pt>
                <c:pt idx="362">
                  <c:v>361</c:v>
                </c:pt>
                <c:pt idx="363">
                  <c:v>282</c:v>
                </c:pt>
                <c:pt idx="364">
                  <c:v>555</c:v>
                </c:pt>
                <c:pt idx="365">
                  <c:v>372</c:v>
                </c:pt>
                <c:pt idx="366">
                  <c:v>346</c:v>
                </c:pt>
                <c:pt idx="367">
                  <c:v>382</c:v>
                </c:pt>
                <c:pt idx="368">
                  <c:v>532</c:v>
                </c:pt>
                <c:pt idx="369">
                  <c:v>525</c:v>
                </c:pt>
                <c:pt idx="370">
                  <c:v>373</c:v>
                </c:pt>
                <c:pt idx="371">
                  <c:v>570</c:v>
                </c:pt>
                <c:pt idx="372">
                  <c:v>401</c:v>
                </c:pt>
                <c:pt idx="373">
                  <c:v>564</c:v>
                </c:pt>
                <c:pt idx="374">
                  <c:v>336</c:v>
                </c:pt>
                <c:pt idx="375">
                  <c:v>376</c:v>
                </c:pt>
                <c:pt idx="376">
                  <c:v>360</c:v>
                </c:pt>
                <c:pt idx="377">
                  <c:v>240.5</c:v>
                </c:pt>
                <c:pt idx="378">
                  <c:v>69</c:v>
                </c:pt>
                <c:pt idx="379">
                  <c:v>61.5</c:v>
                </c:pt>
                <c:pt idx="380">
                  <c:v>406.5</c:v>
                </c:pt>
                <c:pt idx="381">
                  <c:v>384</c:v>
                </c:pt>
                <c:pt idx="382">
                  <c:v>409.5</c:v>
                </c:pt>
                <c:pt idx="383">
                  <c:v>560</c:v>
                </c:pt>
                <c:pt idx="384">
                  <c:v>404</c:v>
                </c:pt>
                <c:pt idx="385">
                  <c:v>398.5</c:v>
                </c:pt>
                <c:pt idx="386">
                  <c:v>451</c:v>
                </c:pt>
                <c:pt idx="387">
                  <c:v>274</c:v>
                </c:pt>
                <c:pt idx="388">
                  <c:v>414</c:v>
                </c:pt>
                <c:pt idx="389">
                  <c:v>419</c:v>
                </c:pt>
                <c:pt idx="390">
                  <c:v>457.5</c:v>
                </c:pt>
                <c:pt idx="391">
                  <c:v>291</c:v>
                </c:pt>
                <c:pt idx="392">
                  <c:v>355</c:v>
                </c:pt>
                <c:pt idx="393">
                  <c:v>352</c:v>
                </c:pt>
                <c:pt idx="394">
                  <c:v>584</c:v>
                </c:pt>
                <c:pt idx="395">
                  <c:v>413</c:v>
                </c:pt>
                <c:pt idx="396">
                  <c:v>429</c:v>
                </c:pt>
                <c:pt idx="397">
                  <c:v>398.5</c:v>
                </c:pt>
                <c:pt idx="398">
                  <c:v>359</c:v>
                </c:pt>
                <c:pt idx="399">
                  <c:v>403</c:v>
                </c:pt>
                <c:pt idx="400">
                  <c:v>341</c:v>
                </c:pt>
                <c:pt idx="401">
                  <c:v>426</c:v>
                </c:pt>
                <c:pt idx="402">
                  <c:v>443</c:v>
                </c:pt>
                <c:pt idx="403">
                  <c:v>276.5</c:v>
                </c:pt>
                <c:pt idx="404">
                  <c:v>415</c:v>
                </c:pt>
                <c:pt idx="405">
                  <c:v>406.5</c:v>
                </c:pt>
                <c:pt idx="406">
                  <c:v>428</c:v>
                </c:pt>
                <c:pt idx="407">
                  <c:v>497</c:v>
                </c:pt>
                <c:pt idx="408">
                  <c:v>397</c:v>
                </c:pt>
                <c:pt idx="409">
                  <c:v>247</c:v>
                </c:pt>
                <c:pt idx="410">
                  <c:v>580</c:v>
                </c:pt>
                <c:pt idx="411">
                  <c:v>385</c:v>
                </c:pt>
                <c:pt idx="412">
                  <c:v>321</c:v>
                </c:pt>
                <c:pt idx="413">
                  <c:v>298.5</c:v>
                </c:pt>
                <c:pt idx="414">
                  <c:v>328</c:v>
                </c:pt>
                <c:pt idx="415">
                  <c:v>427</c:v>
                </c:pt>
                <c:pt idx="416">
                  <c:v>449.5</c:v>
                </c:pt>
                <c:pt idx="417">
                  <c:v>446</c:v>
                </c:pt>
                <c:pt idx="418">
                  <c:v>449.5</c:v>
                </c:pt>
                <c:pt idx="419">
                  <c:v>425</c:v>
                </c:pt>
                <c:pt idx="420">
                  <c:v>296</c:v>
                </c:pt>
                <c:pt idx="421">
                  <c:v>460</c:v>
                </c:pt>
                <c:pt idx="422">
                  <c:v>579</c:v>
                </c:pt>
                <c:pt idx="423">
                  <c:v>444</c:v>
                </c:pt>
                <c:pt idx="424">
                  <c:v>273</c:v>
                </c:pt>
                <c:pt idx="425">
                  <c:v>559</c:v>
                </c:pt>
                <c:pt idx="426">
                  <c:v>208</c:v>
                </c:pt>
                <c:pt idx="427">
                  <c:v>370.5</c:v>
                </c:pt>
                <c:pt idx="428">
                  <c:v>417</c:v>
                </c:pt>
                <c:pt idx="429">
                  <c:v>509</c:v>
                </c:pt>
                <c:pt idx="430">
                  <c:v>491</c:v>
                </c:pt>
                <c:pt idx="431">
                  <c:v>523</c:v>
                </c:pt>
                <c:pt idx="432">
                  <c:v>498</c:v>
                </c:pt>
                <c:pt idx="433">
                  <c:v>421.5</c:v>
                </c:pt>
                <c:pt idx="434">
                  <c:v>442</c:v>
                </c:pt>
                <c:pt idx="435">
                  <c:v>286</c:v>
                </c:pt>
                <c:pt idx="436">
                  <c:v>439</c:v>
                </c:pt>
                <c:pt idx="437">
                  <c:v>441</c:v>
                </c:pt>
                <c:pt idx="438">
                  <c:v>432</c:v>
                </c:pt>
                <c:pt idx="439">
                  <c:v>287</c:v>
                </c:pt>
                <c:pt idx="440">
                  <c:v>454</c:v>
                </c:pt>
                <c:pt idx="441">
                  <c:v>480</c:v>
                </c:pt>
                <c:pt idx="442">
                  <c:v>493</c:v>
                </c:pt>
                <c:pt idx="443">
                  <c:v>562</c:v>
                </c:pt>
                <c:pt idx="444">
                  <c:v>433</c:v>
                </c:pt>
                <c:pt idx="445">
                  <c:v>119</c:v>
                </c:pt>
                <c:pt idx="446">
                  <c:v>265</c:v>
                </c:pt>
                <c:pt idx="447">
                  <c:v>544</c:v>
                </c:pt>
                <c:pt idx="448">
                  <c:v>463.5</c:v>
                </c:pt>
                <c:pt idx="449">
                  <c:v>468</c:v>
                </c:pt>
                <c:pt idx="450">
                  <c:v>440</c:v>
                </c:pt>
                <c:pt idx="451">
                  <c:v>447</c:v>
                </c:pt>
                <c:pt idx="452">
                  <c:v>482</c:v>
                </c:pt>
                <c:pt idx="453">
                  <c:v>189.5</c:v>
                </c:pt>
                <c:pt idx="454">
                  <c:v>324</c:v>
                </c:pt>
                <c:pt idx="455">
                  <c:v>472.5</c:v>
                </c:pt>
                <c:pt idx="456">
                  <c:v>490</c:v>
                </c:pt>
                <c:pt idx="457">
                  <c:v>381</c:v>
                </c:pt>
                <c:pt idx="458">
                  <c:v>477</c:v>
                </c:pt>
                <c:pt idx="459">
                  <c:v>459</c:v>
                </c:pt>
                <c:pt idx="460">
                  <c:v>462</c:v>
                </c:pt>
                <c:pt idx="461">
                  <c:v>357</c:v>
                </c:pt>
                <c:pt idx="462">
                  <c:v>418</c:v>
                </c:pt>
                <c:pt idx="463">
                  <c:v>476</c:v>
                </c:pt>
                <c:pt idx="464">
                  <c:v>565</c:v>
                </c:pt>
                <c:pt idx="465">
                  <c:v>540</c:v>
                </c:pt>
                <c:pt idx="466">
                  <c:v>294.5</c:v>
                </c:pt>
                <c:pt idx="467">
                  <c:v>457.5</c:v>
                </c:pt>
                <c:pt idx="468">
                  <c:v>411</c:v>
                </c:pt>
                <c:pt idx="469">
                  <c:v>478</c:v>
                </c:pt>
                <c:pt idx="470">
                  <c:v>169.5</c:v>
                </c:pt>
                <c:pt idx="471">
                  <c:v>349</c:v>
                </c:pt>
                <c:pt idx="472">
                  <c:v>335</c:v>
                </c:pt>
                <c:pt idx="473">
                  <c:v>327</c:v>
                </c:pt>
                <c:pt idx="474">
                  <c:v>423</c:v>
                </c:pt>
                <c:pt idx="475">
                  <c:v>552</c:v>
                </c:pt>
                <c:pt idx="476">
                  <c:v>348</c:v>
                </c:pt>
                <c:pt idx="477">
                  <c:v>420</c:v>
                </c:pt>
                <c:pt idx="478">
                  <c:v>217</c:v>
                </c:pt>
                <c:pt idx="479">
                  <c:v>434</c:v>
                </c:pt>
                <c:pt idx="480">
                  <c:v>536</c:v>
                </c:pt>
                <c:pt idx="481">
                  <c:v>465</c:v>
                </c:pt>
                <c:pt idx="482">
                  <c:v>529</c:v>
                </c:pt>
                <c:pt idx="483">
                  <c:v>483</c:v>
                </c:pt>
                <c:pt idx="484">
                  <c:v>463.5</c:v>
                </c:pt>
                <c:pt idx="485">
                  <c:v>524</c:v>
                </c:pt>
                <c:pt idx="486">
                  <c:v>466.5</c:v>
                </c:pt>
                <c:pt idx="487">
                  <c:v>577</c:v>
                </c:pt>
                <c:pt idx="488">
                  <c:v>402</c:v>
                </c:pt>
                <c:pt idx="489">
                  <c:v>387</c:v>
                </c:pt>
                <c:pt idx="490">
                  <c:v>392</c:v>
                </c:pt>
                <c:pt idx="491">
                  <c:v>475</c:v>
                </c:pt>
                <c:pt idx="492">
                  <c:v>435</c:v>
                </c:pt>
                <c:pt idx="493">
                  <c:v>489</c:v>
                </c:pt>
                <c:pt idx="494">
                  <c:v>573</c:v>
                </c:pt>
                <c:pt idx="495">
                  <c:v>589</c:v>
                </c:pt>
                <c:pt idx="496">
                  <c:v>521.5</c:v>
                </c:pt>
                <c:pt idx="497">
                  <c:v>550</c:v>
                </c:pt>
                <c:pt idx="498">
                  <c:v>154.5</c:v>
                </c:pt>
                <c:pt idx="499">
                  <c:v>445</c:v>
                </c:pt>
                <c:pt idx="500">
                  <c:v>500</c:v>
                </c:pt>
                <c:pt idx="501">
                  <c:v>574</c:v>
                </c:pt>
                <c:pt idx="502">
                  <c:v>508</c:v>
                </c:pt>
                <c:pt idx="503">
                  <c:v>455</c:v>
                </c:pt>
                <c:pt idx="504">
                  <c:v>592</c:v>
                </c:pt>
                <c:pt idx="505">
                  <c:v>378</c:v>
                </c:pt>
                <c:pt idx="506">
                  <c:v>298.5</c:v>
                </c:pt>
                <c:pt idx="507">
                  <c:v>484</c:v>
                </c:pt>
                <c:pt idx="508">
                  <c:v>590</c:v>
                </c:pt>
                <c:pt idx="509">
                  <c:v>400</c:v>
                </c:pt>
                <c:pt idx="510">
                  <c:v>575</c:v>
                </c:pt>
                <c:pt idx="511">
                  <c:v>549</c:v>
                </c:pt>
                <c:pt idx="512">
                  <c:v>543</c:v>
                </c:pt>
                <c:pt idx="513">
                  <c:v>58.5</c:v>
                </c:pt>
                <c:pt idx="514">
                  <c:v>367</c:v>
                </c:pt>
                <c:pt idx="515">
                  <c:v>393</c:v>
                </c:pt>
                <c:pt idx="516">
                  <c:v>558</c:v>
                </c:pt>
                <c:pt idx="517">
                  <c:v>526</c:v>
                </c:pt>
                <c:pt idx="518">
                  <c:v>507</c:v>
                </c:pt>
                <c:pt idx="519">
                  <c:v>502</c:v>
                </c:pt>
                <c:pt idx="520">
                  <c:v>127</c:v>
                </c:pt>
                <c:pt idx="521">
                  <c:v>421.5</c:v>
                </c:pt>
                <c:pt idx="522">
                  <c:v>548</c:v>
                </c:pt>
                <c:pt idx="523">
                  <c:v>561</c:v>
                </c:pt>
                <c:pt idx="524">
                  <c:v>238</c:v>
                </c:pt>
                <c:pt idx="525">
                  <c:v>541</c:v>
                </c:pt>
                <c:pt idx="526">
                  <c:v>514</c:v>
                </c:pt>
                <c:pt idx="527">
                  <c:v>512.5</c:v>
                </c:pt>
                <c:pt idx="528">
                  <c:v>542</c:v>
                </c:pt>
                <c:pt idx="529">
                  <c:v>438</c:v>
                </c:pt>
                <c:pt idx="530">
                  <c:v>383</c:v>
                </c:pt>
                <c:pt idx="531">
                  <c:v>424</c:v>
                </c:pt>
                <c:pt idx="532">
                  <c:v>271</c:v>
                </c:pt>
                <c:pt idx="533">
                  <c:v>510.5</c:v>
                </c:pt>
                <c:pt idx="534">
                  <c:v>533</c:v>
                </c:pt>
                <c:pt idx="535">
                  <c:v>412</c:v>
                </c:pt>
                <c:pt idx="536">
                  <c:v>472.5</c:v>
                </c:pt>
                <c:pt idx="537">
                  <c:v>152</c:v>
                </c:pt>
                <c:pt idx="538">
                  <c:v>501</c:v>
                </c:pt>
                <c:pt idx="539">
                  <c:v>495.5</c:v>
                </c:pt>
                <c:pt idx="540">
                  <c:v>503</c:v>
                </c:pt>
                <c:pt idx="541">
                  <c:v>512.5</c:v>
                </c:pt>
                <c:pt idx="542">
                  <c:v>104</c:v>
                </c:pt>
                <c:pt idx="543">
                  <c:v>471</c:v>
                </c:pt>
                <c:pt idx="544">
                  <c:v>538</c:v>
                </c:pt>
                <c:pt idx="545">
                  <c:v>505</c:v>
                </c:pt>
                <c:pt idx="546">
                  <c:v>551</c:v>
                </c:pt>
                <c:pt idx="547">
                  <c:v>157</c:v>
                </c:pt>
                <c:pt idx="548">
                  <c:v>520</c:v>
                </c:pt>
                <c:pt idx="549">
                  <c:v>494</c:v>
                </c:pt>
                <c:pt idx="550">
                  <c:v>388</c:v>
                </c:pt>
                <c:pt idx="551">
                  <c:v>581</c:v>
                </c:pt>
                <c:pt idx="552">
                  <c:v>342</c:v>
                </c:pt>
                <c:pt idx="553">
                  <c:v>521.5</c:v>
                </c:pt>
                <c:pt idx="554">
                  <c:v>213</c:v>
                </c:pt>
                <c:pt idx="555">
                  <c:v>519</c:v>
                </c:pt>
                <c:pt idx="556">
                  <c:v>557</c:v>
                </c:pt>
                <c:pt idx="557">
                  <c:v>569</c:v>
                </c:pt>
                <c:pt idx="558">
                  <c:v>516</c:v>
                </c:pt>
                <c:pt idx="559">
                  <c:v>469</c:v>
                </c:pt>
                <c:pt idx="560">
                  <c:v>479</c:v>
                </c:pt>
                <c:pt idx="561">
                  <c:v>492</c:v>
                </c:pt>
                <c:pt idx="562">
                  <c:v>510.5</c:v>
                </c:pt>
                <c:pt idx="563">
                  <c:v>517.5</c:v>
                </c:pt>
                <c:pt idx="564">
                  <c:v>506</c:v>
                </c:pt>
                <c:pt idx="565">
                  <c:v>582</c:v>
                </c:pt>
                <c:pt idx="566">
                  <c:v>303</c:v>
                </c:pt>
                <c:pt idx="567">
                  <c:v>188</c:v>
                </c:pt>
                <c:pt idx="568">
                  <c:v>547</c:v>
                </c:pt>
                <c:pt idx="569">
                  <c:v>534.5</c:v>
                </c:pt>
                <c:pt idx="570">
                  <c:v>546</c:v>
                </c:pt>
                <c:pt idx="571">
                  <c:v>568</c:v>
                </c:pt>
                <c:pt idx="572">
                  <c:v>554</c:v>
                </c:pt>
                <c:pt idx="573">
                  <c:v>84</c:v>
                </c:pt>
                <c:pt idx="574">
                  <c:v>545</c:v>
                </c:pt>
                <c:pt idx="575">
                  <c:v>587</c:v>
                </c:pt>
                <c:pt idx="576">
                  <c:v>567</c:v>
                </c:pt>
                <c:pt idx="577">
                  <c:v>588</c:v>
                </c:pt>
                <c:pt idx="578">
                  <c:v>481</c:v>
                </c:pt>
                <c:pt idx="579">
                  <c:v>571</c:v>
                </c:pt>
                <c:pt idx="580">
                  <c:v>566</c:v>
                </c:pt>
                <c:pt idx="581">
                  <c:v>487</c:v>
                </c:pt>
                <c:pt idx="582">
                  <c:v>347</c:v>
                </c:pt>
                <c:pt idx="583">
                  <c:v>531</c:v>
                </c:pt>
                <c:pt idx="584">
                  <c:v>485</c:v>
                </c:pt>
                <c:pt idx="585">
                  <c:v>556</c:v>
                </c:pt>
                <c:pt idx="586">
                  <c:v>499</c:v>
                </c:pt>
                <c:pt idx="587">
                  <c:v>553</c:v>
                </c:pt>
                <c:pt idx="588">
                  <c:v>572</c:v>
                </c:pt>
                <c:pt idx="589">
                  <c:v>578</c:v>
                </c:pt>
                <c:pt idx="590">
                  <c:v>517.5</c:v>
                </c:pt>
                <c:pt idx="591">
                  <c:v>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51-3649-8D67-29D3C23AA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607615"/>
        <c:axId val="1531609327"/>
      </c:scatterChart>
      <c:valAx>
        <c:axId val="153160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9327"/>
        <c:crosses val="autoZero"/>
        <c:crossBetween val="midCat"/>
      </c:valAx>
      <c:valAx>
        <c:axId val="1531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log(abundance)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063713910761155"/>
                  <c:y val="-7.961140274132399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'Relative Protein Abundances'!$H$2:$H$593</c:f>
              <c:numCache>
                <c:formatCode>General</c:formatCode>
                <c:ptCount val="592"/>
                <c:pt idx="0">
                  <c:v>-1.5359028645037893</c:v>
                </c:pt>
                <c:pt idx="1">
                  <c:v>-1.8129032476605642</c:v>
                </c:pt>
                <c:pt idx="2">
                  <c:v>-1.7825921389380575</c:v>
                </c:pt>
                <c:pt idx="3">
                  <c:v>-1.8642927120218167</c:v>
                </c:pt>
                <c:pt idx="4">
                  <c:v>-1.9703280262674248</c:v>
                </c:pt>
                <c:pt idx="5">
                  <c:v>-2.0396377056195121</c:v>
                </c:pt>
                <c:pt idx="6">
                  <c:v>-2.6115835818657875</c:v>
                </c:pt>
                <c:pt idx="7">
                  <c:v>-1.6929405665074355</c:v>
                </c:pt>
                <c:pt idx="8">
                  <c:v>-2.5969670307606596</c:v>
                </c:pt>
                <c:pt idx="9">
                  <c:v>-2.1440598983830617</c:v>
                </c:pt>
                <c:pt idx="10">
                  <c:v>-2.1105990270547332</c:v>
                </c:pt>
                <c:pt idx="11">
                  <c:v>-2.187439667105016</c:v>
                </c:pt>
                <c:pt idx="12">
                  <c:v>-3.2464190690354386</c:v>
                </c:pt>
                <c:pt idx="13">
                  <c:v>-2.8872682436896855</c:v>
                </c:pt>
                <c:pt idx="14">
                  <c:v>-4.993068799857256</c:v>
                </c:pt>
                <c:pt idx="15">
                  <c:v>-2.6472980552396992</c:v>
                </c:pt>
                <c:pt idx="16">
                  <c:v>-1.9647958539868104</c:v>
                </c:pt>
                <c:pt idx="17">
                  <c:v>-2.6527934316445978</c:v>
                </c:pt>
                <c:pt idx="18">
                  <c:v>-2.721305747129604</c:v>
                </c:pt>
                <c:pt idx="19">
                  <c:v>-2.1569171589352791</c:v>
                </c:pt>
                <c:pt idx="20">
                  <c:v>-3.2976166603299277</c:v>
                </c:pt>
                <c:pt idx="21">
                  <c:v>-2.4882055213664556</c:v>
                </c:pt>
                <c:pt idx="22">
                  <c:v>-2.3647101075779848</c:v>
                </c:pt>
                <c:pt idx="23">
                  <c:v>-2.2093939091752994</c:v>
                </c:pt>
                <c:pt idx="24">
                  <c:v>-2.3740314429079503</c:v>
                </c:pt>
                <c:pt idx="25">
                  <c:v>-2.5531820621512784</c:v>
                </c:pt>
                <c:pt idx="26">
                  <c:v>-2.3484187550454587</c:v>
                </c:pt>
                <c:pt idx="27">
                  <c:v>-5.1084352003137417</c:v>
                </c:pt>
                <c:pt idx="28">
                  <c:v>-3.2244313725534317</c:v>
                </c:pt>
                <c:pt idx="29">
                  <c:v>-2.632650881388209</c:v>
                </c:pt>
                <c:pt idx="30">
                  <c:v>-3.5623150748218944</c:v>
                </c:pt>
                <c:pt idx="31">
                  <c:v>-2.2090978897487266</c:v>
                </c:pt>
                <c:pt idx="32">
                  <c:v>-2.6836597990972884</c:v>
                </c:pt>
                <c:pt idx="33">
                  <c:v>-2.5928074743094993</c:v>
                </c:pt>
                <c:pt idx="34">
                  <c:v>-2.6602780590207269</c:v>
                </c:pt>
                <c:pt idx="35">
                  <c:v>-4.4053314132860155</c:v>
                </c:pt>
                <c:pt idx="36">
                  <c:v>-3.0731099422676702</c:v>
                </c:pt>
                <c:pt idx="37">
                  <c:v>-4.9704613699100468</c:v>
                </c:pt>
                <c:pt idx="38">
                  <c:v>-3.3385710018136878</c:v>
                </c:pt>
                <c:pt idx="39">
                  <c:v>-2.6063676080946574</c:v>
                </c:pt>
                <c:pt idx="40">
                  <c:v>-2.5947054777380005</c:v>
                </c:pt>
                <c:pt idx="41">
                  <c:v>-2.9016769734923602</c:v>
                </c:pt>
                <c:pt idx="42">
                  <c:v>-3.2240466482299293</c:v>
                </c:pt>
                <c:pt idx="43">
                  <c:v>-2.6791908351419655</c:v>
                </c:pt>
                <c:pt idx="44">
                  <c:v>-2.7870487969462916</c:v>
                </c:pt>
                <c:pt idx="45">
                  <c:v>-3.5238170447962611</c:v>
                </c:pt>
                <c:pt idx="46">
                  <c:v>-3.1805989550487808</c:v>
                </c:pt>
                <c:pt idx="47">
                  <c:v>-2.5910539658042051</c:v>
                </c:pt>
                <c:pt idx="48">
                  <c:v>-3.6300714130584995</c:v>
                </c:pt>
                <c:pt idx="49">
                  <c:v>-2.8031714533818968</c:v>
                </c:pt>
                <c:pt idx="50">
                  <c:v>-3.4112569268798674</c:v>
                </c:pt>
                <c:pt idx="51">
                  <c:v>-3.5972617151093784</c:v>
                </c:pt>
                <c:pt idx="52">
                  <c:v>-2.6068840031973841</c:v>
                </c:pt>
                <c:pt idx="53">
                  <c:v>-2.4494468219862005</c:v>
                </c:pt>
                <c:pt idx="54">
                  <c:v>-2.6940551882951258</c:v>
                </c:pt>
                <c:pt idx="55">
                  <c:v>-2.8477188298156202</c:v>
                </c:pt>
                <c:pt idx="56">
                  <c:v>-3.4110208022540531</c:v>
                </c:pt>
                <c:pt idx="57">
                  <c:v>-2.9652426192725243</c:v>
                </c:pt>
                <c:pt idx="58">
                  <c:v>-2.7164183044773287</c:v>
                </c:pt>
                <c:pt idx="59">
                  <c:v>-2.6249399110524094</c:v>
                </c:pt>
                <c:pt idx="60">
                  <c:v>-3.107693534760064</c:v>
                </c:pt>
                <c:pt idx="61">
                  <c:v>-3.684013437438459</c:v>
                </c:pt>
                <c:pt idx="62">
                  <c:v>-3.7142052255100517</c:v>
                </c:pt>
                <c:pt idx="63">
                  <c:v>-3.0251105857374867</c:v>
                </c:pt>
                <c:pt idx="64">
                  <c:v>-3.0468850319016685</c:v>
                </c:pt>
                <c:pt idx="65">
                  <c:v>-4.1452816903310126</c:v>
                </c:pt>
                <c:pt idx="66">
                  <c:v>-3.5872045277977063</c:v>
                </c:pt>
                <c:pt idx="67">
                  <c:v>-2.7649369420246885</c:v>
                </c:pt>
                <c:pt idx="68">
                  <c:v>-2.791587357963047</c:v>
                </c:pt>
                <c:pt idx="69">
                  <c:v>-2.473433840802628</c:v>
                </c:pt>
                <c:pt idx="70">
                  <c:v>-2.9759955629958674</c:v>
                </c:pt>
                <c:pt idx="71">
                  <c:v>-2.5618471231382451</c:v>
                </c:pt>
                <c:pt idx="72">
                  <c:v>-3.079525819475851</c:v>
                </c:pt>
                <c:pt idx="73">
                  <c:v>-2.9729987842667467</c:v>
                </c:pt>
                <c:pt idx="74">
                  <c:v>-2.8488142886876036</c:v>
                </c:pt>
                <c:pt idx="75">
                  <c:v>-3.0049176670567852</c:v>
                </c:pt>
                <c:pt idx="76">
                  <c:v>-2.2454737190938894</c:v>
                </c:pt>
                <c:pt idx="77">
                  <c:v>-4.593949455470451</c:v>
                </c:pt>
                <c:pt idx="78">
                  <c:v>-2.2646228477232362</c:v>
                </c:pt>
                <c:pt idx="79">
                  <c:v>-2.9418419924896435</c:v>
                </c:pt>
                <c:pt idx="80">
                  <c:v>-3.0558037831971747</c:v>
                </c:pt>
                <c:pt idx="81">
                  <c:v>-3.505355194004578</c:v>
                </c:pt>
                <c:pt idx="82">
                  <c:v>-2.4975738889685433</c:v>
                </c:pt>
                <c:pt idx="83">
                  <c:v>-2.9484059255460591</c:v>
                </c:pt>
                <c:pt idx="84">
                  <c:v>-4.3225585154508916</c:v>
                </c:pt>
                <c:pt idx="85">
                  <c:v>-2.9758588598429365</c:v>
                </c:pt>
                <c:pt idx="86">
                  <c:v>-2.5563681327641015</c:v>
                </c:pt>
                <c:pt idx="87">
                  <c:v>-2.6938628786274155</c:v>
                </c:pt>
                <c:pt idx="88">
                  <c:v>-3.2517600020396555</c:v>
                </c:pt>
                <c:pt idx="89">
                  <c:v>-3.8536590010812923</c:v>
                </c:pt>
                <c:pt idx="90">
                  <c:v>-4.5321311685267949</c:v>
                </c:pt>
                <c:pt idx="91">
                  <c:v>-5.8897135406000496</c:v>
                </c:pt>
                <c:pt idx="92">
                  <c:v>-3.2581062427151393</c:v>
                </c:pt>
                <c:pt idx="93">
                  <c:v>-2.713313072438301</c:v>
                </c:pt>
                <c:pt idx="94">
                  <c:v>-3.0823585408758305</c:v>
                </c:pt>
                <c:pt idx="95">
                  <c:v>-2.7329001280723202</c:v>
                </c:pt>
                <c:pt idx="96">
                  <c:v>-3.1429136589496451</c:v>
                </c:pt>
                <c:pt idx="97">
                  <c:v>-3.1694087689820187</c:v>
                </c:pt>
                <c:pt idx="98">
                  <c:v>-3.183306445323713</c:v>
                </c:pt>
                <c:pt idx="99">
                  <c:v>-2.8177351499661563</c:v>
                </c:pt>
                <c:pt idx="100">
                  <c:v>-3.1946175386989193</c:v>
                </c:pt>
                <c:pt idx="101">
                  <c:v>-4.1292798759189902</c:v>
                </c:pt>
                <c:pt idx="102">
                  <c:v>-3.1736742870098245</c:v>
                </c:pt>
                <c:pt idx="103">
                  <c:v>-2.9208165502075967</c:v>
                </c:pt>
                <c:pt idx="104">
                  <c:v>-2.8805935257267659</c:v>
                </c:pt>
                <c:pt idx="105">
                  <c:v>-4.370676611199551</c:v>
                </c:pt>
                <c:pt idx="106">
                  <c:v>-3.2207298274173808</c:v>
                </c:pt>
                <c:pt idx="107">
                  <c:v>-3.1416814410385063</c:v>
                </c:pt>
                <c:pt idx="108">
                  <c:v>-3.0290610912047606</c:v>
                </c:pt>
                <c:pt idx="109">
                  <c:v>-2.9804499004148082</c:v>
                </c:pt>
                <c:pt idx="110">
                  <c:v>-2.7929808274091883</c:v>
                </c:pt>
                <c:pt idx="111">
                  <c:v>-3.8385581535847249</c:v>
                </c:pt>
                <c:pt idx="112">
                  <c:v>-4.3817643159628723</c:v>
                </c:pt>
                <c:pt idx="113">
                  <c:v>-3.0681520633441202</c:v>
                </c:pt>
                <c:pt idx="114">
                  <c:v>-3.1763015551323628</c:v>
                </c:pt>
                <c:pt idx="115">
                  <c:v>-3.0821204752141265</c:v>
                </c:pt>
                <c:pt idx="116">
                  <c:v>-2.8036322331471033</c:v>
                </c:pt>
                <c:pt idx="117">
                  <c:v>-3.9921082415069171</c:v>
                </c:pt>
                <c:pt idx="118">
                  <c:v>-3.1090067843732268</c:v>
                </c:pt>
                <c:pt idx="119">
                  <c:v>-2.8718178465767137</c:v>
                </c:pt>
                <c:pt idx="120">
                  <c:v>-2.9781691768032372</c:v>
                </c:pt>
                <c:pt idx="121">
                  <c:v>-3.3371420049208429</c:v>
                </c:pt>
                <c:pt idx="122">
                  <c:v>-5.986858952566771</c:v>
                </c:pt>
                <c:pt idx="123">
                  <c:v>-3.8168349118318536</c:v>
                </c:pt>
                <c:pt idx="124">
                  <c:v>-3.2722854289420846</c:v>
                </c:pt>
                <c:pt idx="125">
                  <c:v>-4.1190695500906314</c:v>
                </c:pt>
                <c:pt idx="126">
                  <c:v>-2.6158935124085003</c:v>
                </c:pt>
                <c:pt idx="127">
                  <c:v>-2.9867145404727964</c:v>
                </c:pt>
                <c:pt idx="128">
                  <c:v>-3.8299370198120704</c:v>
                </c:pt>
                <c:pt idx="129">
                  <c:v>-3.9756821191496101</c:v>
                </c:pt>
                <c:pt idx="130">
                  <c:v>-3.2383177272094121</c:v>
                </c:pt>
                <c:pt idx="131">
                  <c:v>-3.1926666172148548</c:v>
                </c:pt>
                <c:pt idx="132">
                  <c:v>-3.8224612188419274</c:v>
                </c:pt>
                <c:pt idx="133">
                  <c:v>-4.8863502946057373</c:v>
                </c:pt>
                <c:pt idx="134">
                  <c:v>-2.8516217409295863</c:v>
                </c:pt>
                <c:pt idx="135">
                  <c:v>-3.3555672452539822</c:v>
                </c:pt>
                <c:pt idx="136">
                  <c:v>-2.9174443296241517</c:v>
                </c:pt>
                <c:pt idx="137">
                  <c:v>-4.3534912612541765</c:v>
                </c:pt>
                <c:pt idx="138">
                  <c:v>-3.008943369093926</c:v>
                </c:pt>
                <c:pt idx="139">
                  <c:v>-4.9065200925546169</c:v>
                </c:pt>
                <c:pt idx="140">
                  <c:v>-3.2422482323853732</c:v>
                </c:pt>
                <c:pt idx="141">
                  <c:v>-4.4566001621196838</c:v>
                </c:pt>
                <c:pt idx="142">
                  <c:v>-4.0684536969844141</c:v>
                </c:pt>
                <c:pt idx="143">
                  <c:v>-3.4473621142724973</c:v>
                </c:pt>
                <c:pt idx="144">
                  <c:v>-2.6598445938061834</c:v>
                </c:pt>
                <c:pt idx="145">
                  <c:v>-5.0640627234103857</c:v>
                </c:pt>
                <c:pt idx="146">
                  <c:v>-2.8609113665892667</c:v>
                </c:pt>
                <c:pt idx="147">
                  <c:v>-3.3629403715336625</c:v>
                </c:pt>
                <c:pt idx="148">
                  <c:v>-4.9755224453421167</c:v>
                </c:pt>
                <c:pt idx="149">
                  <c:v>-3.4043138984074486</c:v>
                </c:pt>
                <c:pt idx="150">
                  <c:v>-3.3021242668350594</c:v>
                </c:pt>
                <c:pt idx="151">
                  <c:v>-3.4113957929774914</c:v>
                </c:pt>
                <c:pt idx="152">
                  <c:v>-2.7854744760511956</c:v>
                </c:pt>
                <c:pt idx="153">
                  <c:v>-3.1764593757364832</c:v>
                </c:pt>
                <c:pt idx="154">
                  <c:v>-3.8794766148475062</c:v>
                </c:pt>
                <c:pt idx="155">
                  <c:v>-2.9780184708764654</c:v>
                </c:pt>
                <c:pt idx="156">
                  <c:v>-3.275106707249825</c:v>
                </c:pt>
                <c:pt idx="157">
                  <c:v>-2.9709920409097088</c:v>
                </c:pt>
                <c:pt idx="158">
                  <c:v>-3.6393213831882596</c:v>
                </c:pt>
                <c:pt idx="159">
                  <c:v>-4.8950305777047065</c:v>
                </c:pt>
                <c:pt idx="160">
                  <c:v>-2.9023126316730274</c:v>
                </c:pt>
                <c:pt idx="161">
                  <c:v>-3.081713114394343</c:v>
                </c:pt>
                <c:pt idx="162">
                  <c:v>-2.9055751421921725</c:v>
                </c:pt>
                <c:pt idx="163">
                  <c:v>-4.8773281420003984</c:v>
                </c:pt>
                <c:pt idx="164">
                  <c:v>-4.2626941658502773</c:v>
                </c:pt>
                <c:pt idx="165">
                  <c:v>-3.1331353955937362</c:v>
                </c:pt>
                <c:pt idx="166">
                  <c:v>-4.6190168605292534</c:v>
                </c:pt>
                <c:pt idx="167">
                  <c:v>-3.9454879381929922</c:v>
                </c:pt>
                <c:pt idx="168">
                  <c:v>-3.8026671420242275</c:v>
                </c:pt>
                <c:pt idx="169">
                  <c:v>-3.1025486597186571</c:v>
                </c:pt>
                <c:pt idx="170">
                  <c:v>-3.2784038715153865</c:v>
                </c:pt>
                <c:pt idx="171">
                  <c:v>-4.5890507141200834</c:v>
                </c:pt>
                <c:pt idx="172">
                  <c:v>-3.453765308024749</c:v>
                </c:pt>
                <c:pt idx="173">
                  <c:v>-3.2156030301829746</c:v>
                </c:pt>
                <c:pt idx="174">
                  <c:v>-4.0066041887773016</c:v>
                </c:pt>
                <c:pt idx="175">
                  <c:v>-3.6522314651322807</c:v>
                </c:pt>
                <c:pt idx="176">
                  <c:v>-3.1632691408359688</c:v>
                </c:pt>
                <c:pt idx="177">
                  <c:v>-3.9059672447458342</c:v>
                </c:pt>
                <c:pt idx="178">
                  <c:v>-4.2742220414034984</c:v>
                </c:pt>
                <c:pt idx="179">
                  <c:v>-4.3202043740718139</c:v>
                </c:pt>
                <c:pt idx="180">
                  <c:v>-3.4807311829295986</c:v>
                </c:pt>
                <c:pt idx="181">
                  <c:v>-3.0698669063317712</c:v>
                </c:pt>
                <c:pt idx="182">
                  <c:v>-4.883121659195254</c:v>
                </c:pt>
                <c:pt idx="183">
                  <c:v>-3.4706307721567362</c:v>
                </c:pt>
                <c:pt idx="184">
                  <c:v>-4.276148804270762</c:v>
                </c:pt>
                <c:pt idx="185">
                  <c:v>-4.0165948897886361</c:v>
                </c:pt>
                <c:pt idx="186">
                  <c:v>-3.8549995535046166</c:v>
                </c:pt>
                <c:pt idx="187">
                  <c:v>-3.5559768977266004</c:v>
                </c:pt>
                <c:pt idx="188">
                  <c:v>-6.6151040613831906</c:v>
                </c:pt>
                <c:pt idx="189">
                  <c:v>-3.7964678971700576</c:v>
                </c:pt>
                <c:pt idx="190">
                  <c:v>-3.3283948088283082</c:v>
                </c:pt>
                <c:pt idx="191">
                  <c:v>-5.2309435271880416</c:v>
                </c:pt>
                <c:pt idx="192">
                  <c:v>-3.819474331771743</c:v>
                </c:pt>
                <c:pt idx="193">
                  <c:v>-3.4193355609066436</c:v>
                </c:pt>
                <c:pt idx="194">
                  <c:v>-4.2688134092452517</c:v>
                </c:pt>
                <c:pt idx="195">
                  <c:v>-3.4930830675022926</c:v>
                </c:pt>
                <c:pt idx="196">
                  <c:v>-3.3086228099908563</c:v>
                </c:pt>
                <c:pt idx="197">
                  <c:v>-4.299375571893294</c:v>
                </c:pt>
                <c:pt idx="198">
                  <c:v>-2.871198389883475</c:v>
                </c:pt>
                <c:pt idx="199">
                  <c:v>-5.1273959821865702</c:v>
                </c:pt>
                <c:pt idx="200">
                  <c:v>-3.5649601785400562</c:v>
                </c:pt>
                <c:pt idx="201">
                  <c:v>-5.0360068039598458</c:v>
                </c:pt>
                <c:pt idx="202">
                  <c:v>-4.26296538182633</c:v>
                </c:pt>
                <c:pt idx="203">
                  <c:v>-3.6632633660475595</c:v>
                </c:pt>
                <c:pt idx="204">
                  <c:v>-3.6850344439126834</c:v>
                </c:pt>
                <c:pt idx="205">
                  <c:v>-4.0589442606226012</c:v>
                </c:pt>
                <c:pt idx="206">
                  <c:v>-5.1264561052851851</c:v>
                </c:pt>
                <c:pt idx="207">
                  <c:v>-2.8382434104946315</c:v>
                </c:pt>
                <c:pt idx="208">
                  <c:v>-3.1667270357301711</c:v>
                </c:pt>
                <c:pt idx="209">
                  <c:v>-5.4623233665247977</c:v>
                </c:pt>
                <c:pt idx="210">
                  <c:v>-4.425867224562765</c:v>
                </c:pt>
                <c:pt idx="211">
                  <c:v>-3.096073422488415</c:v>
                </c:pt>
                <c:pt idx="212">
                  <c:v>-3.4395101451344177</c:v>
                </c:pt>
                <c:pt idx="213">
                  <c:v>-3.4905199173299972</c:v>
                </c:pt>
                <c:pt idx="214">
                  <c:v>-4.1867548965295844</c:v>
                </c:pt>
                <c:pt idx="215">
                  <c:v>-3.5369727395338226</c:v>
                </c:pt>
                <c:pt idx="216">
                  <c:v>-3.8822881194953816</c:v>
                </c:pt>
                <c:pt idx="217">
                  <c:v>-4.3086566024624471</c:v>
                </c:pt>
                <c:pt idx="218">
                  <c:v>-3.3247610902088893</c:v>
                </c:pt>
                <c:pt idx="219">
                  <c:v>-3.5743331405671093</c:v>
                </c:pt>
                <c:pt idx="220">
                  <c:v>-3.7120758994341059</c:v>
                </c:pt>
                <c:pt idx="221">
                  <c:v>-5.1704306877817778</c:v>
                </c:pt>
                <c:pt idx="222">
                  <c:v>-3.5030558822403171</c:v>
                </c:pt>
                <c:pt idx="223">
                  <c:v>-4.4268945036328988</c:v>
                </c:pt>
                <c:pt idx="224">
                  <c:v>-4.143241857683142</c:v>
                </c:pt>
                <c:pt idx="225">
                  <c:v>-3.7295418348197553</c:v>
                </c:pt>
                <c:pt idx="226">
                  <c:v>-3.9139234292789973</c:v>
                </c:pt>
                <c:pt idx="227">
                  <c:v>-3.0124408715947468</c:v>
                </c:pt>
                <c:pt idx="228">
                  <c:v>-3.6617060203577387</c:v>
                </c:pt>
                <c:pt idx="229">
                  <c:v>-4.1372410698401456</c:v>
                </c:pt>
                <c:pt idx="230">
                  <c:v>-4.3626373564246812</c:v>
                </c:pt>
                <c:pt idx="231">
                  <c:v>-3.7689937617905218</c:v>
                </c:pt>
                <c:pt idx="232">
                  <c:v>-3.9776680088883216</c:v>
                </c:pt>
                <c:pt idx="233">
                  <c:v>-3.0657045293624789</c:v>
                </c:pt>
                <c:pt idx="234">
                  <c:v>-3.4412303600115539</c:v>
                </c:pt>
                <c:pt idx="235">
                  <c:v>-3.5514599422969599</c:v>
                </c:pt>
                <c:pt idx="236">
                  <c:v>-3.4020601715323755</c:v>
                </c:pt>
                <c:pt idx="237">
                  <c:v>-3.639747975794275</c:v>
                </c:pt>
                <c:pt idx="238">
                  <c:v>-4.8336230992863012</c:v>
                </c:pt>
                <c:pt idx="239">
                  <c:v>-4.7518533151885336</c:v>
                </c:pt>
                <c:pt idx="240">
                  <c:v>-4.4995396429112082</c:v>
                </c:pt>
                <c:pt idx="241">
                  <c:v>-3.6890585512475069</c:v>
                </c:pt>
                <c:pt idx="242">
                  <c:v>-4.4893201350772785</c:v>
                </c:pt>
                <c:pt idx="243">
                  <c:v>-4.8688781791238931</c:v>
                </c:pt>
                <c:pt idx="244">
                  <c:v>-4.5008241222332011</c:v>
                </c:pt>
                <c:pt idx="245">
                  <c:v>-3.1011638801733117</c:v>
                </c:pt>
                <c:pt idx="246">
                  <c:v>-3.6577201796756524</c:v>
                </c:pt>
                <c:pt idx="247">
                  <c:v>-4.4548160666613317</c:v>
                </c:pt>
                <c:pt idx="248">
                  <c:v>-3.4065553192451934</c:v>
                </c:pt>
                <c:pt idx="249">
                  <c:v>-3.3344732770005203</c:v>
                </c:pt>
                <c:pt idx="250">
                  <c:v>-3.3004889296543611</c:v>
                </c:pt>
                <c:pt idx="251">
                  <c:v>-3.8426968181820027</c:v>
                </c:pt>
                <c:pt idx="252">
                  <c:v>-3.200389049647796</c:v>
                </c:pt>
                <c:pt idx="253">
                  <c:v>-3.77562528165523</c:v>
                </c:pt>
                <c:pt idx="254">
                  <c:v>-3.572172675771673</c:v>
                </c:pt>
                <c:pt idx="255">
                  <c:v>-4.1439817704306172</c:v>
                </c:pt>
                <c:pt idx="256">
                  <c:v>-3.8304057817219883</c:v>
                </c:pt>
                <c:pt idx="257">
                  <c:v>-4.0553525040903464</c:v>
                </c:pt>
                <c:pt idx="258">
                  <c:v>-3.611423623613808</c:v>
                </c:pt>
                <c:pt idx="259">
                  <c:v>-3.3119876830702668</c:v>
                </c:pt>
                <c:pt idx="260">
                  <c:v>-4.3970177537549793</c:v>
                </c:pt>
                <c:pt idx="261">
                  <c:v>-3.2972609445669545</c:v>
                </c:pt>
                <c:pt idx="262">
                  <c:v>-3.6917270908660296</c:v>
                </c:pt>
                <c:pt idx="263">
                  <c:v>-3.41355466641757</c:v>
                </c:pt>
                <c:pt idx="264">
                  <c:v>-4.0381556904894618</c:v>
                </c:pt>
                <c:pt idx="265">
                  <c:v>-4.2316462922285965</c:v>
                </c:pt>
                <c:pt idx="266">
                  <c:v>-3.6591522008017896</c:v>
                </c:pt>
                <c:pt idx="267">
                  <c:v>-3.8919154449550408</c:v>
                </c:pt>
                <c:pt idx="268">
                  <c:v>-3.9844551721123511</c:v>
                </c:pt>
                <c:pt idx="269">
                  <c:v>-3.1982171455661916</c:v>
                </c:pt>
                <c:pt idx="270">
                  <c:v>-2.9206814550733631</c:v>
                </c:pt>
                <c:pt idx="271">
                  <c:v>-3.7759996506753426</c:v>
                </c:pt>
                <c:pt idx="272">
                  <c:v>-3.011431016683797</c:v>
                </c:pt>
                <c:pt idx="273">
                  <c:v>-3.7003797285493927</c:v>
                </c:pt>
                <c:pt idx="274">
                  <c:v>-3.7363048143543698</c:v>
                </c:pt>
                <c:pt idx="275">
                  <c:v>-3.8200668933761888</c:v>
                </c:pt>
                <c:pt idx="276">
                  <c:v>-4.1280548473681975</c:v>
                </c:pt>
                <c:pt idx="277">
                  <c:v>-3.1892679072251311</c:v>
                </c:pt>
                <c:pt idx="278">
                  <c:v>-3.1483413198615917</c:v>
                </c:pt>
                <c:pt idx="279">
                  <c:v>-3.7009944166595337</c:v>
                </c:pt>
                <c:pt idx="280">
                  <c:v>-4.3932484274805947</c:v>
                </c:pt>
                <c:pt idx="281">
                  <c:v>-4.1433600047561905</c:v>
                </c:pt>
                <c:pt idx="282">
                  <c:v>-3.8373293458063107</c:v>
                </c:pt>
                <c:pt idx="283">
                  <c:v>-4.8420117986524298</c:v>
                </c:pt>
                <c:pt idx="284">
                  <c:v>-3.8412844391788097</c:v>
                </c:pt>
                <c:pt idx="285">
                  <c:v>-5.3465746557359894</c:v>
                </c:pt>
                <c:pt idx="286">
                  <c:v>-5.8310131941190138</c:v>
                </c:pt>
                <c:pt idx="287">
                  <c:v>-2.9934198087462498</c:v>
                </c:pt>
                <c:pt idx="288">
                  <c:v>-5.4231045129495659</c:v>
                </c:pt>
                <c:pt idx="289">
                  <c:v>-4.8474082317768499</c:v>
                </c:pt>
                <c:pt idx="290">
                  <c:v>-4.6985862873137432</c:v>
                </c:pt>
                <c:pt idx="291">
                  <c:v>-6.1082836254268713</c:v>
                </c:pt>
                <c:pt idx="292">
                  <c:v>-3.7055331743136812</c:v>
                </c:pt>
                <c:pt idx="293">
                  <c:v>-4.5339324611130278</c:v>
                </c:pt>
                <c:pt idx="294">
                  <c:v>-2.9479183597350427</c:v>
                </c:pt>
                <c:pt idx="295">
                  <c:v>-5.9234467869065295</c:v>
                </c:pt>
                <c:pt idx="296">
                  <c:v>-3.2167612461200106</c:v>
                </c:pt>
                <c:pt idx="297">
                  <c:v>-4.672042196107574</c:v>
                </c:pt>
                <c:pt idx="298">
                  <c:v>-3.8785281834134486</c:v>
                </c:pt>
                <c:pt idx="299">
                  <c:v>-4.4913087264445357</c:v>
                </c:pt>
                <c:pt idx="300">
                  <c:v>-4.6837327554683981</c:v>
                </c:pt>
                <c:pt idx="301">
                  <c:v>-3.1289668285655345</c:v>
                </c:pt>
                <c:pt idx="302">
                  <c:v>-4.1884270271452388</c:v>
                </c:pt>
                <c:pt idx="303">
                  <c:v>-3.8321292014901878</c:v>
                </c:pt>
                <c:pt idx="304">
                  <c:v>-3.5376623305816484</c:v>
                </c:pt>
                <c:pt idx="305">
                  <c:v>-4.4837875420583178</c:v>
                </c:pt>
                <c:pt idx="306">
                  <c:v>-3.6852090432312004</c:v>
                </c:pt>
                <c:pt idx="307">
                  <c:v>-5.1391523217857289</c:v>
                </c:pt>
                <c:pt idx="308">
                  <c:v>-4.6883987813986012</c:v>
                </c:pt>
                <c:pt idx="309">
                  <c:v>-3.675338770294525</c:v>
                </c:pt>
                <c:pt idx="310">
                  <c:v>-4.8265660813324001</c:v>
                </c:pt>
                <c:pt idx="311">
                  <c:v>-6.1828948103672561</c:v>
                </c:pt>
                <c:pt idx="312">
                  <c:v>-3.7794308620564858</c:v>
                </c:pt>
                <c:pt idx="313">
                  <c:v>-3.6775739577096425</c:v>
                </c:pt>
                <c:pt idx="314">
                  <c:v>-4.1785829993554522</c:v>
                </c:pt>
                <c:pt idx="315">
                  <c:v>-3.9160791223366078</c:v>
                </c:pt>
                <c:pt idx="316">
                  <c:v>-4.4729043340180725</c:v>
                </c:pt>
                <c:pt idx="317">
                  <c:v>-5.3499053208032947</c:v>
                </c:pt>
                <c:pt idx="318">
                  <c:v>-4.7455092179568092</c:v>
                </c:pt>
                <c:pt idx="319">
                  <c:v>-6.7429837715006977</c:v>
                </c:pt>
                <c:pt idx="320">
                  <c:v>-5.541719680116012</c:v>
                </c:pt>
                <c:pt idx="321">
                  <c:v>-3.9213549198698647</c:v>
                </c:pt>
                <c:pt idx="322">
                  <c:v>-4.6789524412415995</c:v>
                </c:pt>
                <c:pt idx="323">
                  <c:v>-4.6491877219635818</c:v>
                </c:pt>
                <c:pt idx="324">
                  <c:v>-4.0271808631600496</c:v>
                </c:pt>
                <c:pt idx="325">
                  <c:v>-3.7598527756748652</c:v>
                </c:pt>
                <c:pt idx="326">
                  <c:v>-5.0368060101180818</c:v>
                </c:pt>
                <c:pt idx="327">
                  <c:v>-3.4440902376794198</c:v>
                </c:pt>
                <c:pt idx="328">
                  <c:v>-5.4350650070643933</c:v>
                </c:pt>
                <c:pt idx="329">
                  <c:v>-3.7464782617503043</c:v>
                </c:pt>
                <c:pt idx="330">
                  <c:v>-3.4474283424487702</c:v>
                </c:pt>
                <c:pt idx="331">
                  <c:v>-3.5608970443826138</c:v>
                </c:pt>
                <c:pt idx="332">
                  <c:v>-4.1052149358591388</c:v>
                </c:pt>
                <c:pt idx="333">
                  <c:v>-2.8143321077970449</c:v>
                </c:pt>
                <c:pt idx="334">
                  <c:v>-4.6259351623599541</c:v>
                </c:pt>
                <c:pt idx="335">
                  <c:v>-4.0365813489757807</c:v>
                </c:pt>
                <c:pt idx="336">
                  <c:v>-5.8297806640645282</c:v>
                </c:pt>
                <c:pt idx="337">
                  <c:v>-4.2056055622499855</c:v>
                </c:pt>
                <c:pt idx="338">
                  <c:v>-4.326085951089591</c:v>
                </c:pt>
                <c:pt idx="339">
                  <c:v>-5.1317614362314004</c:v>
                </c:pt>
                <c:pt idx="340">
                  <c:v>-3.603008510908547</c:v>
                </c:pt>
                <c:pt idx="341">
                  <c:v>-3.9021941976106018</c:v>
                </c:pt>
                <c:pt idx="342">
                  <c:v>-3.598832220091801</c:v>
                </c:pt>
                <c:pt idx="343">
                  <c:v>-4.3456774219143579</c:v>
                </c:pt>
                <c:pt idx="344">
                  <c:v>-4.1178476674127342</c:v>
                </c:pt>
                <c:pt idx="345">
                  <c:v>-4.8433273764026037</c:v>
                </c:pt>
                <c:pt idx="346">
                  <c:v>-4.8209755270200905</c:v>
                </c:pt>
                <c:pt idx="347">
                  <c:v>-3.5855962595064863</c:v>
                </c:pt>
                <c:pt idx="348">
                  <c:v>-4.0252783236639589</c:v>
                </c:pt>
                <c:pt idx="349">
                  <c:v>-4.3799122189622937</c:v>
                </c:pt>
                <c:pt idx="350">
                  <c:v>-3.9225613173651381</c:v>
                </c:pt>
                <c:pt idx="351">
                  <c:v>-4.2269835454029296</c:v>
                </c:pt>
                <c:pt idx="352">
                  <c:v>-3.783661786498103</c:v>
                </c:pt>
                <c:pt idx="353">
                  <c:v>-4.2440041883761674</c:v>
                </c:pt>
                <c:pt idx="354">
                  <c:v>-3.9020880337367068</c:v>
                </c:pt>
                <c:pt idx="355">
                  <c:v>-4.1476371267054191</c:v>
                </c:pt>
                <c:pt idx="356">
                  <c:v>-4.0700401270340283</c:v>
                </c:pt>
                <c:pt idx="357">
                  <c:v>-5.3836943720561266</c:v>
                </c:pt>
                <c:pt idx="358">
                  <c:v>-3.9954907909936379</c:v>
                </c:pt>
                <c:pt idx="359">
                  <c:v>-4.6955448795561283</c:v>
                </c:pt>
                <c:pt idx="360">
                  <c:v>-4.2865808561804588</c:v>
                </c:pt>
                <c:pt idx="361">
                  <c:v>-4.2334940592768602</c:v>
                </c:pt>
                <c:pt idx="362">
                  <c:v>-4.6301879872084966</c:v>
                </c:pt>
                <c:pt idx="363">
                  <c:v>-4.0429881368700116</c:v>
                </c:pt>
                <c:pt idx="364">
                  <c:v>-4.2686942201293068</c:v>
                </c:pt>
                <c:pt idx="365">
                  <c:v>-4.6822584068055217</c:v>
                </c:pt>
                <c:pt idx="366">
                  <c:v>-4.443501316712589</c:v>
                </c:pt>
                <c:pt idx="367">
                  <c:v>-4.7802758415620508</c:v>
                </c:pt>
                <c:pt idx="368">
                  <c:v>-4.262854993160567</c:v>
                </c:pt>
                <c:pt idx="369">
                  <c:v>-4.256943716283704</c:v>
                </c:pt>
                <c:pt idx="370">
                  <c:v>-4.6368049352601126</c:v>
                </c:pt>
                <c:pt idx="371">
                  <c:v>-4.3247418084860838</c:v>
                </c:pt>
                <c:pt idx="372">
                  <c:v>-4.9201061151109</c:v>
                </c:pt>
                <c:pt idx="373">
                  <c:v>-4.3379459835251719</c:v>
                </c:pt>
                <c:pt idx="374">
                  <c:v>-4.3316970013871119</c:v>
                </c:pt>
                <c:pt idx="375">
                  <c:v>-4.6023992774276614</c:v>
                </c:pt>
                <c:pt idx="376">
                  <c:v>-4.4864523950802768</c:v>
                </c:pt>
                <c:pt idx="377">
                  <c:v>-3.7654845821118714</c:v>
                </c:pt>
                <c:pt idx="378">
                  <c:v>-2.913647348481438</c:v>
                </c:pt>
                <c:pt idx="379">
                  <c:v>-2.8723876683088991</c:v>
                </c:pt>
                <c:pt idx="380">
                  <c:v>-5.0445689546534034</c:v>
                </c:pt>
                <c:pt idx="381">
                  <c:v>-4.6093805020786736</c:v>
                </c:pt>
                <c:pt idx="382">
                  <c:v>-5.077227245462093</c:v>
                </c:pt>
                <c:pt idx="383">
                  <c:v>-4.3716546793341733</c:v>
                </c:pt>
                <c:pt idx="384">
                  <c:v>-4.854635030758355</c:v>
                </c:pt>
                <c:pt idx="385">
                  <c:v>-4.7635086292136544</c:v>
                </c:pt>
                <c:pt idx="386">
                  <c:v>-4.1521524473172748</c:v>
                </c:pt>
                <c:pt idx="387">
                  <c:v>-3.7109203098367147</c:v>
                </c:pt>
                <c:pt idx="388">
                  <c:v>-5.0841466230605361</c:v>
                </c:pt>
                <c:pt idx="389">
                  <c:v>-5.2691639715004399</c:v>
                </c:pt>
                <c:pt idx="390">
                  <c:v>-4.1672931899055001</c:v>
                </c:pt>
                <c:pt idx="391">
                  <c:v>-3.7802994560815861</c:v>
                </c:pt>
                <c:pt idx="392">
                  <c:v>-4.3819470821900044</c:v>
                </c:pt>
                <c:pt idx="393">
                  <c:v>-4.3675243316293111</c:v>
                </c:pt>
                <c:pt idx="394">
                  <c:v>-4.4347199113804328</c:v>
                </c:pt>
                <c:pt idx="395">
                  <c:v>-4.9898346633620854</c:v>
                </c:pt>
                <c:pt idx="396">
                  <c:v>-5.3603886711404174</c:v>
                </c:pt>
                <c:pt idx="397">
                  <c:v>-4.0381124618823314</c:v>
                </c:pt>
                <c:pt idx="398">
                  <c:v>-4.3966787877338458</c:v>
                </c:pt>
                <c:pt idx="399">
                  <c:v>-4.7323061141001483</c:v>
                </c:pt>
                <c:pt idx="400">
                  <c:v>-4.2744599346691565</c:v>
                </c:pt>
                <c:pt idx="401">
                  <c:v>-5.120744550462156</c:v>
                </c:pt>
                <c:pt idx="402">
                  <c:v>-6.7199215965730366</c:v>
                </c:pt>
                <c:pt idx="403">
                  <c:v>-3.9297527291577161</c:v>
                </c:pt>
                <c:pt idx="404">
                  <c:v>-4.1011578250962204</c:v>
                </c:pt>
                <c:pt idx="405">
                  <c:v>-4.7980607307905112</c:v>
                </c:pt>
                <c:pt idx="406">
                  <c:v>-5.0422009166956405</c:v>
                </c:pt>
                <c:pt idx="407">
                  <c:v>-4.3028723273273357</c:v>
                </c:pt>
                <c:pt idx="408">
                  <c:v>-4.5982827368464223</c:v>
                </c:pt>
                <c:pt idx="409">
                  <c:v>-3.763681404417035</c:v>
                </c:pt>
                <c:pt idx="410">
                  <c:v>-4.4925776663252766</c:v>
                </c:pt>
                <c:pt idx="411">
                  <c:v>-4.4838274761216628</c:v>
                </c:pt>
                <c:pt idx="412">
                  <c:v>-4.148221655181608</c:v>
                </c:pt>
                <c:pt idx="413">
                  <c:v>-3.8214215210238036</c:v>
                </c:pt>
                <c:pt idx="414">
                  <c:v>-4.1768166786088283</c:v>
                </c:pt>
                <c:pt idx="415">
                  <c:v>-4.9144570107890129</c:v>
                </c:pt>
                <c:pt idx="416">
                  <c:v>-5.5404072901575452</c:v>
                </c:pt>
                <c:pt idx="417">
                  <c:v>-5.3417919837706993</c:v>
                </c:pt>
                <c:pt idx="418">
                  <c:v>-4.2197571734628943</c:v>
                </c:pt>
                <c:pt idx="419">
                  <c:v>-4.8692097924725282</c:v>
                </c:pt>
                <c:pt idx="420">
                  <c:v>-4.0240363896220952</c:v>
                </c:pt>
                <c:pt idx="421">
                  <c:v>-5.9246952094360292</c:v>
                </c:pt>
                <c:pt idx="422">
                  <c:v>-4.5414511787348788</c:v>
                </c:pt>
                <c:pt idx="423">
                  <c:v>-5.211923122058109</c:v>
                </c:pt>
                <c:pt idx="424">
                  <c:v>-3.8811248357750467</c:v>
                </c:pt>
                <c:pt idx="425">
                  <c:v>-4.5110166593263834</c:v>
                </c:pt>
                <c:pt idx="426">
                  <c:v>-3.5972001601393107</c:v>
                </c:pt>
                <c:pt idx="427">
                  <c:v>-4.3510482833507886</c:v>
                </c:pt>
                <c:pt idx="428">
                  <c:v>-4.7572760357068615</c:v>
                </c:pt>
                <c:pt idx="429">
                  <c:v>-4.4030494223887597</c:v>
                </c:pt>
                <c:pt idx="430">
                  <c:v>-4.3454004876707675</c:v>
                </c:pt>
                <c:pt idx="431">
                  <c:v>-4.4464910412069854</c:v>
                </c:pt>
                <c:pt idx="432">
                  <c:v>-4.3663444777642955</c:v>
                </c:pt>
                <c:pt idx="433">
                  <c:v>-4.7532217561706522</c:v>
                </c:pt>
                <c:pt idx="434">
                  <c:v>-5.0081577822317707</c:v>
                </c:pt>
                <c:pt idx="435">
                  <c:v>-3.9422231387844424</c:v>
                </c:pt>
                <c:pt idx="436">
                  <c:v>-4.9437211291504193</c:v>
                </c:pt>
                <c:pt idx="437">
                  <c:v>-4.9763023589458601</c:v>
                </c:pt>
                <c:pt idx="438">
                  <c:v>-4.792679500288525</c:v>
                </c:pt>
                <c:pt idx="439">
                  <c:v>-3.9454608608693285</c:v>
                </c:pt>
                <c:pt idx="440">
                  <c:v>-5.1078357297653731</c:v>
                </c:pt>
                <c:pt idx="441">
                  <c:v>-4.3366692642005908</c:v>
                </c:pt>
                <c:pt idx="442">
                  <c:v>-4.3793269270764359</c:v>
                </c:pt>
                <c:pt idx="443">
                  <c:v>-4.5805389473786962</c:v>
                </c:pt>
                <c:pt idx="444">
                  <c:v>-4.7600877752321624</c:v>
                </c:pt>
                <c:pt idx="445">
                  <c:v>-3.164263468292452</c:v>
                </c:pt>
                <c:pt idx="446">
                  <c:v>-3.6993407790544461</c:v>
                </c:pt>
                <c:pt idx="447">
                  <c:v>-4.5511880429235001</c:v>
                </c:pt>
                <c:pt idx="448">
                  <c:v>-5.1298993019962467</c:v>
                </c:pt>
                <c:pt idx="449">
                  <c:v>-5.2147256564555891</c:v>
                </c:pt>
                <c:pt idx="450">
                  <c:v>-4.8488880435844504</c:v>
                </c:pt>
                <c:pt idx="451">
                  <c:v>-4.2735558858180029</c:v>
                </c:pt>
                <c:pt idx="452">
                  <c:v>-4.3669888127450323</c:v>
                </c:pt>
                <c:pt idx="453">
                  <c:v>-3.4656982063019388</c:v>
                </c:pt>
                <c:pt idx="454">
                  <c:v>-4.0963524896616423</c:v>
                </c:pt>
                <c:pt idx="455">
                  <c:v>-4.3384499011404447</c:v>
                </c:pt>
                <c:pt idx="456">
                  <c:v>-6.5402500723250103</c:v>
                </c:pt>
                <c:pt idx="457">
                  <c:v>-4.34682954750512</c:v>
                </c:pt>
                <c:pt idx="458">
                  <c:v>-5.235486918089693</c:v>
                </c:pt>
                <c:pt idx="459">
                  <c:v>-4.9759471096209404</c:v>
                </c:pt>
                <c:pt idx="460">
                  <c:v>-4.9913563684025926</c:v>
                </c:pt>
                <c:pt idx="461">
                  <c:v>-4.0163092138798913</c:v>
                </c:pt>
                <c:pt idx="462">
                  <c:v>-4.6092170883933621</c:v>
                </c:pt>
                <c:pt idx="463">
                  <c:v>-5.1710965746077111</c:v>
                </c:pt>
                <c:pt idx="464">
                  <c:v>-4.6742268483011209</c:v>
                </c:pt>
                <c:pt idx="465">
                  <c:v>-4.6013788360691761</c:v>
                </c:pt>
                <c:pt idx="466">
                  <c:v>-3.8484894730171559</c:v>
                </c:pt>
                <c:pt idx="467">
                  <c:v>-4.8796177191724173</c:v>
                </c:pt>
                <c:pt idx="468">
                  <c:v>-4.1867383176422148</c:v>
                </c:pt>
                <c:pt idx="469">
                  <c:v>-4.3767308942944743</c:v>
                </c:pt>
                <c:pt idx="470">
                  <c:v>-3.4296402456469948</c:v>
                </c:pt>
                <c:pt idx="471">
                  <c:v>-4.001565979806144</c:v>
                </c:pt>
                <c:pt idx="472">
                  <c:v>-4.1326427805807135</c:v>
                </c:pt>
                <c:pt idx="473">
                  <c:v>-4.0952956974722632</c:v>
                </c:pt>
                <c:pt idx="474">
                  <c:v>-4.5849056931833134</c:v>
                </c:pt>
                <c:pt idx="475">
                  <c:v>-4.6720397404324929</c:v>
                </c:pt>
                <c:pt idx="476">
                  <c:v>-4.0033731693243482</c:v>
                </c:pt>
                <c:pt idx="477">
                  <c:v>-4.5738210026662127</c:v>
                </c:pt>
                <c:pt idx="478">
                  <c:v>-3.5608638667372898</c:v>
                </c:pt>
                <c:pt idx="479">
                  <c:v>-4.6412086233119023</c:v>
                </c:pt>
                <c:pt idx="480">
                  <c:v>-4.6313572688029794</c:v>
                </c:pt>
                <c:pt idx="481">
                  <c:v>-4.9082733673003789</c:v>
                </c:pt>
                <c:pt idx="482">
                  <c:v>-4.61786823567647</c:v>
                </c:pt>
                <c:pt idx="483">
                  <c:v>-5.1795980152775307</c:v>
                </c:pt>
                <c:pt idx="484">
                  <c:v>-4.8814937778316878</c:v>
                </c:pt>
                <c:pt idx="485">
                  <c:v>-4.5993097138425023</c:v>
                </c:pt>
                <c:pt idx="486">
                  <c:v>-4.3745224030351642</c:v>
                </c:pt>
                <c:pt idx="487">
                  <c:v>-4.7961682425779824</c:v>
                </c:pt>
                <c:pt idx="488">
                  <c:v>-4.3938548496075489</c:v>
                </c:pt>
                <c:pt idx="489">
                  <c:v>-4.1113719886535494</c:v>
                </c:pt>
                <c:pt idx="490">
                  <c:v>-4.1313711104104147</c:v>
                </c:pt>
                <c:pt idx="491">
                  <c:v>-4.4093518533903016</c:v>
                </c:pt>
                <c:pt idx="492">
                  <c:v>-4.5978570656142548</c:v>
                </c:pt>
                <c:pt idx="493">
                  <c:v>-5.1342073515213951</c:v>
                </c:pt>
                <c:pt idx="494">
                  <c:v>-4.8319673292195642</c:v>
                </c:pt>
                <c:pt idx="495">
                  <c:v>-4.9048705253699936</c:v>
                </c:pt>
                <c:pt idx="496">
                  <c:v>-4.64878167668767</c:v>
                </c:pt>
                <c:pt idx="497">
                  <c:v>-4.7513122497582652</c:v>
                </c:pt>
                <c:pt idx="498">
                  <c:v>-3.340068991656691</c:v>
                </c:pt>
                <c:pt idx="499">
                  <c:v>-4.6621685232548531</c:v>
                </c:pt>
                <c:pt idx="500">
                  <c:v>-5.2566106309313128</c:v>
                </c:pt>
                <c:pt idx="501">
                  <c:v>-4.8783221592219537</c:v>
                </c:pt>
                <c:pt idx="502">
                  <c:v>-5.449515600711468</c:v>
                </c:pt>
                <c:pt idx="503">
                  <c:v>-4.6888790173656281</c:v>
                </c:pt>
                <c:pt idx="504">
                  <c:v>-4.9773800565620645</c:v>
                </c:pt>
                <c:pt idx="505">
                  <c:v>-4.1150064283197274</c:v>
                </c:pt>
                <c:pt idx="506">
                  <c:v>-3.9535652620052701</c:v>
                </c:pt>
                <c:pt idx="507">
                  <c:v>-4.9201694778412852</c:v>
                </c:pt>
                <c:pt idx="508">
                  <c:v>-5.0139410156794151</c:v>
                </c:pt>
                <c:pt idx="509">
                  <c:v>-4.3298828702215388</c:v>
                </c:pt>
                <c:pt idx="510">
                  <c:v>-4.9736543149951498</c:v>
                </c:pt>
                <c:pt idx="511">
                  <c:v>-4.8350264652195607</c:v>
                </c:pt>
                <c:pt idx="512">
                  <c:v>-4.8079842046666208</c:v>
                </c:pt>
                <c:pt idx="513">
                  <c:v>-2.8460199629063609</c:v>
                </c:pt>
                <c:pt idx="514">
                  <c:v>-4.1969873746825739</c:v>
                </c:pt>
                <c:pt idx="515">
                  <c:v>-4.1686594439792808</c:v>
                </c:pt>
                <c:pt idx="516">
                  <c:v>-4.9375503501809224</c:v>
                </c:pt>
                <c:pt idx="517">
                  <c:v>-4.7730969348404617</c:v>
                </c:pt>
                <c:pt idx="518">
                  <c:v>-4.6457903792948088</c:v>
                </c:pt>
                <c:pt idx="519">
                  <c:v>-5.0440873562547708</c:v>
                </c:pt>
                <c:pt idx="520">
                  <c:v>-3.2121829164201752</c:v>
                </c:pt>
                <c:pt idx="521">
                  <c:v>-4.3013239908775383</c:v>
                </c:pt>
                <c:pt idx="522">
                  <c:v>-4.872769723879367</c:v>
                </c:pt>
                <c:pt idx="523">
                  <c:v>-4.9824122592573419</c:v>
                </c:pt>
                <c:pt idx="524">
                  <c:v>-3.6819776800033135</c:v>
                </c:pt>
                <c:pt idx="525">
                  <c:v>-6.9263920629522859</c:v>
                </c:pt>
                <c:pt idx="526">
                  <c:v>-5.2841458352381343</c:v>
                </c:pt>
                <c:pt idx="527">
                  <c:v>-5.2360303889518907</c:v>
                </c:pt>
                <c:pt idx="528">
                  <c:v>-7.1570854983741183</c:v>
                </c:pt>
                <c:pt idx="529">
                  <c:v>-4.3715378472914681</c:v>
                </c:pt>
                <c:pt idx="530">
                  <c:v>-4.2390163043140427</c:v>
                </c:pt>
                <c:pt idx="531">
                  <c:v>-4.3135093966762001</c:v>
                </c:pt>
                <c:pt idx="532">
                  <c:v>-3.7608856781308639</c:v>
                </c:pt>
                <c:pt idx="533">
                  <c:v>-5.1888097985855959</c:v>
                </c:pt>
                <c:pt idx="534">
                  <c:v>-4.84138547444332</c:v>
                </c:pt>
                <c:pt idx="535">
                  <c:v>-4.3909486514240879</c:v>
                </c:pt>
                <c:pt idx="536">
                  <c:v>-4.7041730322914779</c:v>
                </c:pt>
                <c:pt idx="537">
                  <c:v>-3.3303927701573284</c:v>
                </c:pt>
                <c:pt idx="538">
                  <c:v>-4.6359549293921072</c:v>
                </c:pt>
                <c:pt idx="539">
                  <c:v>-4.9244281375355783</c:v>
                </c:pt>
                <c:pt idx="540">
                  <c:v>-4.9728718653451658</c:v>
                </c:pt>
                <c:pt idx="541">
                  <c:v>-5.1720120647530115</c:v>
                </c:pt>
                <c:pt idx="542">
                  <c:v>-3.0944988560492797</c:v>
                </c:pt>
                <c:pt idx="543">
                  <c:v>-4.6688919348469815</c:v>
                </c:pt>
                <c:pt idx="544">
                  <c:v>-5.6057020096215302</c:v>
                </c:pt>
                <c:pt idx="545">
                  <c:v>-4.9747102798955041</c:v>
                </c:pt>
                <c:pt idx="546">
                  <c:v>-5.987786397047465</c:v>
                </c:pt>
                <c:pt idx="547">
                  <c:v>-3.3561913344840151</c:v>
                </c:pt>
                <c:pt idx="548">
                  <c:v>-4.8344363195247402</c:v>
                </c:pt>
                <c:pt idx="549">
                  <c:v>-4.64087315784694</c:v>
                </c:pt>
                <c:pt idx="550">
                  <c:v>-4.1730053008905275</c:v>
                </c:pt>
                <c:pt idx="551">
                  <c:v>-5.355304251493834</c:v>
                </c:pt>
                <c:pt idx="552">
                  <c:v>-4.0801761378065429</c:v>
                </c:pt>
                <c:pt idx="553">
                  <c:v>-5.1757081094377275</c:v>
                </c:pt>
                <c:pt idx="554">
                  <c:v>-3.5678355594900433</c:v>
                </c:pt>
                <c:pt idx="555">
                  <c:v>-5.1084078497066265</c:v>
                </c:pt>
                <c:pt idx="556">
                  <c:v>-6.4324325440338557</c:v>
                </c:pt>
                <c:pt idx="557">
                  <c:v>-5.2550981936710102</c:v>
                </c:pt>
                <c:pt idx="558">
                  <c:v>-5.0613189410813719</c:v>
                </c:pt>
                <c:pt idx="559">
                  <c:v>-4.6253740626494553</c:v>
                </c:pt>
                <c:pt idx="560">
                  <c:v>-4.5842034718833133</c:v>
                </c:pt>
                <c:pt idx="561">
                  <c:v>-4.786461183606435</c:v>
                </c:pt>
                <c:pt idx="562">
                  <c:v>-4.986503141431867</c:v>
                </c:pt>
                <c:pt idx="563">
                  <c:v>-5.0438644305391414</c:v>
                </c:pt>
                <c:pt idx="564">
                  <c:v>-4.8966496605107031</c:v>
                </c:pt>
                <c:pt idx="565">
                  <c:v>-5.5165199367179572</c:v>
                </c:pt>
                <c:pt idx="566">
                  <c:v>-3.9232089567117723</c:v>
                </c:pt>
                <c:pt idx="567">
                  <c:v>-3.4936651998841568</c:v>
                </c:pt>
                <c:pt idx="568">
                  <c:v>-5.079753228993094</c:v>
                </c:pt>
                <c:pt idx="569">
                  <c:v>-5.2288292829327263</c:v>
                </c:pt>
                <c:pt idx="570">
                  <c:v>-5.0733577097906624</c:v>
                </c:pt>
                <c:pt idx="571">
                  <c:v>-6.0875460912811956</c:v>
                </c:pt>
                <c:pt idx="572">
                  <c:v>-5.1778728352627379</c:v>
                </c:pt>
                <c:pt idx="573">
                  <c:v>-2.9942909067863992</c:v>
                </c:pt>
                <c:pt idx="574">
                  <c:v>-5.2990100489447434</c:v>
                </c:pt>
                <c:pt idx="575">
                  <c:v>-5.7906056124048115</c:v>
                </c:pt>
                <c:pt idx="576">
                  <c:v>-5.4249561853265886</c:v>
                </c:pt>
                <c:pt idx="577">
                  <c:v>-5.915460913916343</c:v>
                </c:pt>
                <c:pt idx="578">
                  <c:v>-4.6307628272951549</c:v>
                </c:pt>
                <c:pt idx="579">
                  <c:v>-5.8882997906746262</c:v>
                </c:pt>
                <c:pt idx="580">
                  <c:v>-5.6820964569342278</c:v>
                </c:pt>
                <c:pt idx="581">
                  <c:v>-4.6557758789510588</c:v>
                </c:pt>
                <c:pt idx="582">
                  <c:v>-4.0780615183479592</c:v>
                </c:pt>
                <c:pt idx="583">
                  <c:v>-5.0496701677452434</c:v>
                </c:pt>
                <c:pt idx="584">
                  <c:v>-4.6542497920187182</c:v>
                </c:pt>
                <c:pt idx="585">
                  <c:v>-5.496139930411335</c:v>
                </c:pt>
                <c:pt idx="586">
                  <c:v>-4.7503306262572682</c:v>
                </c:pt>
                <c:pt idx="587">
                  <c:v>-5.2785185426059975</c:v>
                </c:pt>
                <c:pt idx="588">
                  <c:v>-5.6458334088017992</c:v>
                </c:pt>
                <c:pt idx="589">
                  <c:v>-6.0969696750632876</c:v>
                </c:pt>
                <c:pt idx="590">
                  <c:v>-4.9431672376581099</c:v>
                </c:pt>
                <c:pt idx="591">
                  <c:v>-5.4707233006834546</c:v>
                </c:pt>
              </c:numCache>
            </c:numRef>
          </c:xVal>
          <c:yVal>
            <c:numRef>
              <c:f>'Relative Protein Abundances'!$I$2:$I$593</c:f>
              <c:numCache>
                <c:formatCode>General</c:formatCode>
                <c:ptCount val="592"/>
                <c:pt idx="0">
                  <c:v>-3.7594507517174001</c:v>
                </c:pt>
                <c:pt idx="1">
                  <c:v>-2.5072396109731625</c:v>
                </c:pt>
                <c:pt idx="2">
                  <c:v>-2.2709162429563881</c:v>
                </c:pt>
                <c:pt idx="3">
                  <c:v>-2.560983271612487</c:v>
                </c:pt>
                <c:pt idx="4">
                  <c:v>-3.6989700043360187</c:v>
                </c:pt>
                <c:pt idx="5">
                  <c:v>-5.141462802430361</c:v>
                </c:pt>
                <c:pt idx="6">
                  <c:v>-2.0630843190547461</c:v>
                </c:pt>
                <c:pt idx="7">
                  <c:v>-1.8497041871744617</c:v>
                </c:pt>
                <c:pt idx="8">
                  <c:v>-2.0730918982945643</c:v>
                </c:pt>
                <c:pt idx="9">
                  <c:v>-2.8332739444199482</c:v>
                </c:pt>
                <c:pt idx="10">
                  <c:v>-2.620513186282726</c:v>
                </c:pt>
                <c:pt idx="11">
                  <c:v>-2.8486301497525397</c:v>
                </c:pt>
                <c:pt idx="12">
                  <c:v>-2.2638426247268679</c:v>
                </c:pt>
                <c:pt idx="13">
                  <c:v>-2.2293688722221936</c:v>
                </c:pt>
                <c:pt idx="14">
                  <c:v>-2.4355706730020166</c:v>
                </c:pt>
                <c:pt idx="15">
                  <c:v>-2.2323989319496644</c:v>
                </c:pt>
                <c:pt idx="16">
                  <c:v>-2.1293620367891943</c:v>
                </c:pt>
                <c:pt idx="17">
                  <c:v>-2.2484899497299589</c:v>
                </c:pt>
                <c:pt idx="18">
                  <c:v>-2.2822463067892844</c:v>
                </c:pt>
                <c:pt idx="19">
                  <c:v>-2.4238891058791601</c:v>
                </c:pt>
                <c:pt idx="20">
                  <c:v>-2.4335625078049299</c:v>
                </c:pt>
                <c:pt idx="21">
                  <c:v>-3.7144426909922261</c:v>
                </c:pt>
                <c:pt idx="22">
                  <c:v>-2.1449050488413781</c:v>
                </c:pt>
                <c:pt idx="23">
                  <c:v>-2.4746959900417611</c:v>
                </c:pt>
                <c:pt idx="24">
                  <c:v>-2.838332587562264</c:v>
                </c:pt>
                <c:pt idx="25">
                  <c:v>-4.436518914605589</c:v>
                </c:pt>
                <c:pt idx="26">
                  <c:v>-2.7469044141509684</c:v>
                </c:pt>
                <c:pt idx="27">
                  <c:v>-2.5694412304772425</c:v>
                </c:pt>
                <c:pt idx="28">
                  <c:v>-2.5045944368538069</c:v>
                </c:pt>
                <c:pt idx="29">
                  <c:v>-5.0726296369609765</c:v>
                </c:pt>
                <c:pt idx="30">
                  <c:v>-2.5999803649348414</c:v>
                </c:pt>
                <c:pt idx="31">
                  <c:v>-2.3898723869240048</c:v>
                </c:pt>
                <c:pt idx="32">
                  <c:v>-4.575118363368933</c:v>
                </c:pt>
                <c:pt idx="33">
                  <c:v>-3.2724587429714438</c:v>
                </c:pt>
                <c:pt idx="34">
                  <c:v>-3.6234230429434882</c:v>
                </c:pt>
                <c:pt idx="35">
                  <c:v>-2.7057542838618818</c:v>
                </c:pt>
                <c:pt idx="36">
                  <c:v>-2.5578339142152799</c:v>
                </c:pt>
                <c:pt idx="37">
                  <c:v>-2.7478754474943559</c:v>
                </c:pt>
                <c:pt idx="38">
                  <c:v>-2.6643415477106984</c:v>
                </c:pt>
                <c:pt idx="39">
                  <c:v>-3.0680338852718272</c:v>
                </c:pt>
                <c:pt idx="40">
                  <c:v>-3.0141246426916064</c:v>
                </c:pt>
                <c:pt idx="41">
                  <c:v>-2.5497508916806391</c:v>
                </c:pt>
                <c:pt idx="42">
                  <c:v>-2.6677635845085566</c:v>
                </c:pt>
                <c:pt idx="43">
                  <c:v>-3.2612194415156308</c:v>
                </c:pt>
                <c:pt idx="44">
                  <c:v>-3.9281179926938745</c:v>
                </c:pt>
                <c:pt idx="45">
                  <c:v>-2.7662426370344897</c:v>
                </c:pt>
                <c:pt idx="46">
                  <c:v>-2.6937894918322383</c:v>
                </c:pt>
                <c:pt idx="47">
                  <c:v>-2.8867253075356496</c:v>
                </c:pt>
                <c:pt idx="48">
                  <c:v>-2.8271053022478236</c:v>
                </c:pt>
                <c:pt idx="49">
                  <c:v>-3.4775557664936803</c:v>
                </c:pt>
                <c:pt idx="50">
                  <c:v>-2.7964232250220276</c:v>
                </c:pt>
                <c:pt idx="51">
                  <c:v>-2.8594919569618202</c:v>
                </c:pt>
                <c:pt idx="52">
                  <c:v>-2.8709549401120418</c:v>
                </c:pt>
                <c:pt idx="53">
                  <c:v>-2.6092414712612828</c:v>
                </c:pt>
                <c:pt idx="54">
                  <c:v>-3.0222763947111524</c:v>
                </c:pt>
                <c:pt idx="55">
                  <c:v>-3.3819519032879071</c:v>
                </c:pt>
                <c:pt idx="56">
                  <c:v>-2.8579235389267152</c:v>
                </c:pt>
                <c:pt idx="57">
                  <c:v>-2.6895191085373251</c:v>
                </c:pt>
                <c:pt idx="58">
                  <c:v>-3.0070049015686586</c:v>
                </c:pt>
                <c:pt idx="59">
                  <c:v>-2.8341623753098717</c:v>
                </c:pt>
                <c:pt idx="60">
                  <c:v>-2.7736579128363692</c:v>
                </c:pt>
                <c:pt idx="61">
                  <c:v>-2.9597933724252887</c:v>
                </c:pt>
                <c:pt idx="62">
                  <c:v>-2.9653715433746797</c:v>
                </c:pt>
                <c:pt idx="63">
                  <c:v>-4.1475200063631439</c:v>
                </c:pt>
                <c:pt idx="64">
                  <c:v>-4.4934949675951277</c:v>
                </c:pt>
                <c:pt idx="65">
                  <c:v>-3.0324520237811381</c:v>
                </c:pt>
                <c:pt idx="66">
                  <c:v>-2.9531148091622899</c:v>
                </c:pt>
                <c:pt idx="67">
                  <c:v>-3.0579919469776868</c:v>
                </c:pt>
                <c:pt idx="68">
                  <c:v>-3.1079053973095196</c:v>
                </c:pt>
                <c:pt idx="69">
                  <c:v>-2.5961933894525777</c:v>
                </c:pt>
                <c:pt idx="70">
                  <c:v>-2.7260732198994746</c:v>
                </c:pt>
                <c:pt idx="71">
                  <c:v>-2.4490382477018238</c:v>
                </c:pt>
                <c:pt idx="72">
                  <c:v>-4.5670307091255946</c:v>
                </c:pt>
                <c:pt idx="73">
                  <c:v>-3.5850266520291822</c:v>
                </c:pt>
                <c:pt idx="74">
                  <c:v>-3.2062096153091812</c:v>
                </c:pt>
                <c:pt idx="75">
                  <c:v>-3.6840296545430822</c:v>
                </c:pt>
                <c:pt idx="76">
                  <c:v>-2.3097152974873705</c:v>
                </c:pt>
                <c:pt idx="77">
                  <c:v>-3.0936649581949092</c:v>
                </c:pt>
                <c:pt idx="78">
                  <c:v>-2.2066287510810443</c:v>
                </c:pt>
                <c:pt idx="79">
                  <c:v>-3.431798275933005</c:v>
                </c:pt>
                <c:pt idx="80">
                  <c:v>-3.9706162223147903</c:v>
                </c:pt>
                <c:pt idx="81">
                  <c:v>-2.9677842967020185</c:v>
                </c:pt>
                <c:pt idx="82">
                  <c:v>-2.6160052105582672</c:v>
                </c:pt>
                <c:pt idx="83">
                  <c:v>-3.4282911681913122</c:v>
                </c:pt>
                <c:pt idx="84">
                  <c:v>-3.0979971086492704</c:v>
                </c:pt>
                <c:pt idx="85">
                  <c:v>-3.5003129173815961</c:v>
                </c:pt>
                <c:pt idx="86">
                  <c:v>-2.69058277422186</c:v>
                </c:pt>
                <c:pt idx="87">
                  <c:v>-2.8867253075356496</c:v>
                </c:pt>
                <c:pt idx="88">
                  <c:v>-2.8938091027365846</c:v>
                </c:pt>
                <c:pt idx="89">
                  <c:v>-3.0680338852718272</c:v>
                </c:pt>
                <c:pt idx="90">
                  <c:v>-3.1343039400839294</c:v>
                </c:pt>
                <c:pt idx="91">
                  <c:v>-3.1536628878701949</c:v>
                </c:pt>
                <c:pt idx="92">
                  <c:v>-2.9086848403027772</c:v>
                </c:pt>
                <c:pt idx="93">
                  <c:v>-2.9003193588907501</c:v>
                </c:pt>
                <c:pt idx="94">
                  <c:v>-2.8230410194130919</c:v>
                </c:pt>
                <c:pt idx="95">
                  <c:v>-2.9270152553720696</c:v>
                </c:pt>
                <c:pt idx="96">
                  <c:v>-4.2090115249111841</c:v>
                </c:pt>
                <c:pt idx="97">
                  <c:v>-4.6736641390712483</c:v>
                </c:pt>
                <c:pt idx="98">
                  <c:v>-4.7471469690201067</c:v>
                </c:pt>
                <c:pt idx="99">
                  <c:v>-2.6671577330056486</c:v>
                </c:pt>
                <c:pt idx="100">
                  <c:v>-5.0535477349869273</c:v>
                </c:pt>
                <c:pt idx="101">
                  <c:v>-3.152427340857888</c:v>
                </c:pt>
                <c:pt idx="102">
                  <c:v>-4.3080348972326394</c:v>
                </c:pt>
                <c:pt idx="103">
                  <c:v>-3.2254830342714502</c:v>
                </c:pt>
                <c:pt idx="104">
                  <c:v>-2.7189666327522723</c:v>
                </c:pt>
                <c:pt idx="105">
                  <c:v>-3.1972262747080245</c:v>
                </c:pt>
                <c:pt idx="106">
                  <c:v>-4.7878123955960419</c:v>
                </c:pt>
                <c:pt idx="107">
                  <c:v>-3.8386319977650252</c:v>
                </c:pt>
                <c:pt idx="108">
                  <c:v>-3.4259687322722812</c:v>
                </c:pt>
                <c:pt idx="109">
                  <c:v>-2.7964232250220276</c:v>
                </c:pt>
                <c:pt idx="110">
                  <c:v>-2.975104039892515</c:v>
                </c:pt>
                <c:pt idx="111">
                  <c:v>-3.1611509092627448</c:v>
                </c:pt>
                <c:pt idx="112">
                  <c:v>-3.2365720064370627</c:v>
                </c:pt>
                <c:pt idx="113">
                  <c:v>-3.4989407377822483</c:v>
                </c:pt>
                <c:pt idx="114">
                  <c:v>-3.8538719643217618</c:v>
                </c:pt>
                <c:pt idx="115">
                  <c:v>-3.4975728800155674</c:v>
                </c:pt>
                <c:pt idx="116">
                  <c:v>-2.6821455106685308</c:v>
                </c:pt>
                <c:pt idx="117">
                  <c:v>-3.2189630613788682</c:v>
                </c:pt>
                <c:pt idx="118">
                  <c:v>-2.8927900303521317</c:v>
                </c:pt>
                <c:pt idx="119">
                  <c:v>-3.0655015487564321</c:v>
                </c:pt>
                <c:pt idx="120">
                  <c:v>-2.814174640387038</c:v>
                </c:pt>
                <c:pt idx="121">
                  <c:v>-3.0282604091122218</c:v>
                </c:pt>
                <c:pt idx="122">
                  <c:v>-3.3269790928711038</c:v>
                </c:pt>
                <c:pt idx="123">
                  <c:v>-3.2076083105017461</c:v>
                </c:pt>
                <c:pt idx="124">
                  <c:v>-4.1681302257194988</c:v>
                </c:pt>
                <c:pt idx="125">
                  <c:v>-3.279840696594043</c:v>
                </c:pt>
                <c:pt idx="126">
                  <c:v>-2.7044329000375211</c:v>
                </c:pt>
                <c:pt idx="127">
                  <c:v>-3.2328441339178196</c:v>
                </c:pt>
                <c:pt idx="128">
                  <c:v>-3.2269453066357374</c:v>
                </c:pt>
                <c:pt idx="129">
                  <c:v>-3.2596373105057563</c:v>
                </c:pt>
                <c:pt idx="130">
                  <c:v>-3.8538719643217618</c:v>
                </c:pt>
                <c:pt idx="131">
                  <c:v>-3.6861327796308467</c:v>
                </c:pt>
                <c:pt idx="132">
                  <c:v>-3.2358238676096693</c:v>
                </c:pt>
                <c:pt idx="133">
                  <c:v>-3.3595185630295781</c:v>
                </c:pt>
                <c:pt idx="134">
                  <c:v>-3.0039263455147247</c:v>
                </c:pt>
                <c:pt idx="135">
                  <c:v>-3.067526235322847</c:v>
                </c:pt>
                <c:pt idx="136">
                  <c:v>-3.0996328713435295</c:v>
                </c:pt>
                <c:pt idx="137">
                  <c:v>-3.3410351573355648</c:v>
                </c:pt>
                <c:pt idx="138">
                  <c:v>-3.2426039712069756</c:v>
                </c:pt>
                <c:pt idx="139">
                  <c:v>-3.3829996588791009</c:v>
                </c:pt>
                <c:pt idx="140">
                  <c:v>-3.7471469690201067</c:v>
                </c:pt>
                <c:pt idx="141">
                  <c:v>-3.3705904008972811</c:v>
                </c:pt>
                <c:pt idx="142">
                  <c:v>-3.3288271572849166</c:v>
                </c:pt>
                <c:pt idx="143">
                  <c:v>-3.1313555616051745</c:v>
                </c:pt>
                <c:pt idx="144">
                  <c:v>-2.5900668766687054</c:v>
                </c:pt>
                <c:pt idx="145">
                  <c:v>-3.4100503986742923</c:v>
                </c:pt>
                <c:pt idx="146">
                  <c:v>-2.9986990669795821</c:v>
                </c:pt>
                <c:pt idx="147">
                  <c:v>-3.0931264652779298</c:v>
                </c:pt>
                <c:pt idx="148">
                  <c:v>-3.423658649794207</c:v>
                </c:pt>
                <c:pt idx="149">
                  <c:v>-4.5100415205751654</c:v>
                </c:pt>
                <c:pt idx="150">
                  <c:v>-3.8507808873446199</c:v>
                </c:pt>
                <c:pt idx="151">
                  <c:v>-4.4329736338409393</c:v>
                </c:pt>
                <c:pt idx="152">
                  <c:v>-2.8900841369762067</c:v>
                </c:pt>
                <c:pt idx="153">
                  <c:v>-2.9948194874962195</c:v>
                </c:pt>
                <c:pt idx="154">
                  <c:v>-3.3269790928711038</c:v>
                </c:pt>
                <c:pt idx="155">
                  <c:v>-3.1463017882238256</c:v>
                </c:pt>
                <c:pt idx="156">
                  <c:v>-3.7099653886374822</c:v>
                </c:pt>
                <c:pt idx="157">
                  <c:v>-3.1278437272517072</c:v>
                </c:pt>
                <c:pt idx="158">
                  <c:v>-3.2588484011482151</c:v>
                </c:pt>
                <c:pt idx="159">
                  <c:v>-3.4788619162959638</c:v>
                </c:pt>
                <c:pt idx="160">
                  <c:v>-3.0277971616209354</c:v>
                </c:pt>
                <c:pt idx="161">
                  <c:v>-3.2881927709588088</c:v>
                </c:pt>
                <c:pt idx="162">
                  <c:v>-2.8091082830778302</c:v>
                </c:pt>
                <c:pt idx="163">
                  <c:v>-3.4921441283041692</c:v>
                </c:pt>
                <c:pt idx="164">
                  <c:v>-3.4400933749638876</c:v>
                </c:pt>
                <c:pt idx="165">
                  <c:v>-3.3625102704874892</c:v>
                </c:pt>
                <c:pt idx="166">
                  <c:v>-3.4948500216800942</c:v>
                </c:pt>
                <c:pt idx="167">
                  <c:v>-3.3925449767853313</c:v>
                </c:pt>
                <c:pt idx="168">
                  <c:v>-3.3516399890190685</c:v>
                </c:pt>
                <c:pt idx="169">
                  <c:v>-3.2907300390241692</c:v>
                </c:pt>
                <c:pt idx="170">
                  <c:v>-3.6020599913279625</c:v>
                </c:pt>
                <c:pt idx="171">
                  <c:v>-3.5199930570428495</c:v>
                </c:pt>
                <c:pt idx="172">
                  <c:v>-4.1084625423274357</c:v>
                </c:pt>
                <c:pt idx="173">
                  <c:v>-3.4749551929631548</c:v>
                </c:pt>
                <c:pt idx="174">
                  <c:v>-3.4329736338409398</c:v>
                </c:pt>
                <c:pt idx="175">
                  <c:v>-3.3089185078770313</c:v>
                </c:pt>
                <c:pt idx="176">
                  <c:v>-3.3695721249749759</c:v>
                </c:pt>
                <c:pt idx="177">
                  <c:v>-3.4168012260313771</c:v>
                </c:pt>
                <c:pt idx="178">
                  <c:v>-3.5072396109731625</c:v>
                </c:pt>
                <c:pt idx="179">
                  <c:v>-3.5157001606532141</c:v>
                </c:pt>
                <c:pt idx="180">
                  <c:v>-3.2313618987523856</c:v>
                </c:pt>
                <c:pt idx="181">
                  <c:v>-3.2247537402597635</c:v>
                </c:pt>
                <c:pt idx="182">
                  <c:v>-3.571865205971211</c:v>
                </c:pt>
                <c:pt idx="183">
                  <c:v>-4.0670191780768015</c:v>
                </c:pt>
                <c:pt idx="184">
                  <c:v>-3.5171264163912461</c:v>
                </c:pt>
                <c:pt idx="185">
                  <c:v>-3.4596705252091264</c:v>
                </c:pt>
                <c:pt idx="186">
                  <c:v>-3.4100503986742923</c:v>
                </c:pt>
                <c:pt idx="187">
                  <c:v>-4.4989407377822488</c:v>
                </c:pt>
                <c:pt idx="188">
                  <c:v>-3.6108339156354674</c:v>
                </c:pt>
                <c:pt idx="189">
                  <c:v>-3.3946949538588904</c:v>
                </c:pt>
                <c:pt idx="190">
                  <c:v>-3.6363880201078556</c:v>
                </c:pt>
                <c:pt idx="191">
                  <c:v>-3.6126101736612708</c:v>
                </c:pt>
                <c:pt idx="192">
                  <c:v>-3.4100503986742923</c:v>
                </c:pt>
                <c:pt idx="193">
                  <c:v>-3.8386319977650252</c:v>
                </c:pt>
                <c:pt idx="194">
                  <c:v>-3.5391021572434522</c:v>
                </c:pt>
                <c:pt idx="195">
                  <c:v>-4.0639892042847903</c:v>
                </c:pt>
                <c:pt idx="196">
                  <c:v>-3.1390633792999063</c:v>
                </c:pt>
                <c:pt idx="197">
                  <c:v>-3.5466816599529625</c:v>
                </c:pt>
                <c:pt idx="198">
                  <c:v>-2.8027194418743808</c:v>
                </c:pt>
                <c:pt idx="199">
                  <c:v>-3.6439741428068775</c:v>
                </c:pt>
                <c:pt idx="200">
                  <c:v>-4.2410881076020264</c:v>
                </c:pt>
                <c:pt idx="201">
                  <c:v>-3.6497519816658373</c:v>
                </c:pt>
                <c:pt idx="202">
                  <c:v>-3.5702477199975919</c:v>
                </c:pt>
                <c:pt idx="203">
                  <c:v>-5.0680338852718272</c:v>
                </c:pt>
                <c:pt idx="204">
                  <c:v>-6.2572748686953021</c:v>
                </c:pt>
                <c:pt idx="205">
                  <c:v>-3.5331323796458904</c:v>
                </c:pt>
                <c:pt idx="206">
                  <c:v>-3.6716203965612624</c:v>
                </c:pt>
                <c:pt idx="207">
                  <c:v>-2.904481957676849</c:v>
                </c:pt>
                <c:pt idx="208">
                  <c:v>-3.0530567293021744</c:v>
                </c:pt>
                <c:pt idx="209">
                  <c:v>-3.6861327796308467</c:v>
                </c:pt>
                <c:pt idx="210">
                  <c:v>-3.6216020990518625</c:v>
                </c:pt>
                <c:pt idx="211">
                  <c:v>-3.2211255279972604</c:v>
                </c:pt>
                <c:pt idx="212">
                  <c:v>-3.7878123955960423</c:v>
                </c:pt>
                <c:pt idx="213">
                  <c:v>-3.9030899869919438</c:v>
                </c:pt>
                <c:pt idx="214">
                  <c:v>-3.580044251510242</c:v>
                </c:pt>
                <c:pt idx="215">
                  <c:v>-4.0305840876460186</c:v>
                </c:pt>
                <c:pt idx="216">
                  <c:v>-3.4867823999320611</c:v>
                </c:pt>
                <c:pt idx="217">
                  <c:v>-3.6179829574251317</c:v>
                </c:pt>
                <c:pt idx="218">
                  <c:v>-3.5482135644757098</c:v>
                </c:pt>
                <c:pt idx="219">
                  <c:v>-4.0952844547213187</c:v>
                </c:pt>
                <c:pt idx="220">
                  <c:v>-5.1001794975729036</c:v>
                </c:pt>
                <c:pt idx="221">
                  <c:v>-3.7166987712964503</c:v>
                </c:pt>
                <c:pt idx="222">
                  <c:v>-3.3018994543766103</c:v>
                </c:pt>
                <c:pt idx="223">
                  <c:v>-3.6536470255493612</c:v>
                </c:pt>
                <c:pt idx="224">
                  <c:v>-3.593459819566045</c:v>
                </c:pt>
                <c:pt idx="225">
                  <c:v>-3.4341521813264824</c:v>
                </c:pt>
                <c:pt idx="226">
                  <c:v>-3.5199930570428495</c:v>
                </c:pt>
                <c:pt idx="227">
                  <c:v>-2.9408153823686289</c:v>
                </c:pt>
                <c:pt idx="228">
                  <c:v>-4.3506651412878581</c:v>
                </c:pt>
                <c:pt idx="229">
                  <c:v>-3.6090648928966207</c:v>
                </c:pt>
                <c:pt idx="230">
                  <c:v>-3.669586226650809</c:v>
                </c:pt>
                <c:pt idx="231">
                  <c:v>-6.4921441283041688</c:v>
                </c:pt>
                <c:pt idx="232">
                  <c:v>-3.5606673061697371</c:v>
                </c:pt>
                <c:pt idx="233">
                  <c:v>-2.9875846252375671</c:v>
                </c:pt>
                <c:pt idx="234">
                  <c:v>-3.7144426909922261</c:v>
                </c:pt>
                <c:pt idx="235">
                  <c:v>-3.9430951486635273</c:v>
                </c:pt>
                <c:pt idx="236">
                  <c:v>-3.6363880201078556</c:v>
                </c:pt>
                <c:pt idx="237">
                  <c:v>-4.1778319206319825</c:v>
                </c:pt>
                <c:pt idx="238">
                  <c:v>-3.7544873321858501</c:v>
                </c:pt>
                <c:pt idx="239">
                  <c:v>-3.7544873321858501</c:v>
                </c:pt>
                <c:pt idx="240">
                  <c:v>-3.72584215073632</c:v>
                </c:pt>
                <c:pt idx="241">
                  <c:v>-4.3098039199714862</c:v>
                </c:pt>
                <c:pt idx="242">
                  <c:v>-3.72584215073632</c:v>
                </c:pt>
                <c:pt idx="243">
                  <c:v>-3.7746907182741372</c:v>
                </c:pt>
                <c:pt idx="244">
                  <c:v>-3.7375489102695707</c:v>
                </c:pt>
                <c:pt idx="245">
                  <c:v>-3.1924649719311469</c:v>
                </c:pt>
                <c:pt idx="246">
                  <c:v>-4.1444808443322003</c:v>
                </c:pt>
                <c:pt idx="247">
                  <c:v>-3.7375489102695707</c:v>
                </c:pt>
                <c:pt idx="248">
                  <c:v>-3.6108339156354674</c:v>
                </c:pt>
                <c:pt idx="249">
                  <c:v>-3.5003129173815961</c:v>
                </c:pt>
                <c:pt idx="250">
                  <c:v>-3.4497716469449058</c:v>
                </c:pt>
                <c:pt idx="251">
                  <c:v>-7.0952844547213187</c:v>
                </c:pt>
                <c:pt idx="252">
                  <c:v>-3.111820506081675</c:v>
                </c:pt>
                <c:pt idx="253">
                  <c:v>-4.5867002359187481</c:v>
                </c:pt>
                <c:pt idx="254">
                  <c:v>-3.38933983691012</c:v>
                </c:pt>
                <c:pt idx="255">
                  <c:v>-3.6757175447023074</c:v>
                </c:pt>
                <c:pt idx="256">
                  <c:v>-3.5436339668709569</c:v>
                </c:pt>
                <c:pt idx="257">
                  <c:v>-3.6458915608525992</c:v>
                </c:pt>
                <c:pt idx="258">
                  <c:v>-3.9706162223147903</c:v>
                </c:pt>
                <c:pt idx="259">
                  <c:v>-3.2041199826559246</c:v>
                </c:pt>
                <c:pt idx="260">
                  <c:v>-3.7520267336381936</c:v>
                </c:pt>
                <c:pt idx="261">
                  <c:v>-3.1931419704811828</c:v>
                </c:pt>
                <c:pt idx="262">
                  <c:v>-4.171984935776023</c:v>
                </c:pt>
                <c:pt idx="263">
                  <c:v>-3.2831622767004753</c:v>
                </c:pt>
                <c:pt idx="264">
                  <c:v>-3.6458915608525992</c:v>
                </c:pt>
                <c:pt idx="265">
                  <c:v>-3.7144426909922261</c:v>
                </c:pt>
                <c:pt idx="266">
                  <c:v>-4.0644927341752872</c:v>
                </c:pt>
                <c:pt idx="267">
                  <c:v>-3.5833594926617192</c:v>
                </c:pt>
                <c:pt idx="268">
                  <c:v>-3.6270879970298933</c:v>
                </c:pt>
                <c:pt idx="269">
                  <c:v>-3.2984320149440727</c:v>
                </c:pt>
                <c:pt idx="270">
                  <c:v>-2.969805214643249</c:v>
                </c:pt>
                <c:pt idx="271">
                  <c:v>-4.3957739469155301</c:v>
                </c:pt>
                <c:pt idx="272">
                  <c:v>-2.9582126810282481</c:v>
                </c:pt>
                <c:pt idx="273">
                  <c:v>-3.4867823999320611</c:v>
                </c:pt>
                <c:pt idx="274">
                  <c:v>-4.2380721615794705</c:v>
                </c:pt>
                <c:pt idx="275">
                  <c:v>-3.5654310959658013</c:v>
                </c:pt>
                <c:pt idx="276">
                  <c:v>-3.712198270069774</c:v>
                </c:pt>
                <c:pt idx="277">
                  <c:v>-3.1157712303673959</c:v>
                </c:pt>
                <c:pt idx="278">
                  <c:v>-3.0851281824599495</c:v>
                </c:pt>
                <c:pt idx="279">
                  <c:v>-4.054039296422431</c:v>
                </c:pt>
                <c:pt idx="280">
                  <c:v>-3.8210230527068307</c:v>
                </c:pt>
                <c:pt idx="281">
                  <c:v>-3.744727494896694</c:v>
                </c:pt>
                <c:pt idx="282">
                  <c:v>-3.596879478824182</c:v>
                </c:pt>
                <c:pt idx="283">
                  <c:v>-3.9208187539523753</c:v>
                </c:pt>
                <c:pt idx="284">
                  <c:v>-3.6055483191737836</c:v>
                </c:pt>
                <c:pt idx="285">
                  <c:v>-3.9665762445130501</c:v>
                </c:pt>
                <c:pt idx="286">
                  <c:v>-3.9829666607012197</c:v>
                </c:pt>
                <c:pt idx="287">
                  <c:v>-3.0395292224657009</c:v>
                </c:pt>
                <c:pt idx="288">
                  <c:v>-3.9746941347352296</c:v>
                </c:pt>
                <c:pt idx="289">
                  <c:v>-3.9393021596463882</c:v>
                </c:pt>
                <c:pt idx="290">
                  <c:v>-3.9281179926938745</c:v>
                </c:pt>
                <c:pt idx="291">
                  <c:v>-4.0132282657337548</c:v>
                </c:pt>
                <c:pt idx="292">
                  <c:v>-3.9913998282380825</c:v>
                </c:pt>
                <c:pt idx="293">
                  <c:v>-3.9065783148377649</c:v>
                </c:pt>
                <c:pt idx="294">
                  <c:v>-2.9129287940934647</c:v>
                </c:pt>
                <c:pt idx="295">
                  <c:v>-4.0250280057019312</c:v>
                </c:pt>
                <c:pt idx="296">
                  <c:v>-3.1549019599857431</c:v>
                </c:pt>
                <c:pt idx="297">
                  <c:v>-3.9430951486635273</c:v>
                </c:pt>
                <c:pt idx="298">
                  <c:v>-4.3957739469155301</c:v>
                </c:pt>
                <c:pt idx="299">
                  <c:v>-3.9136401693252516</c:v>
                </c:pt>
                <c:pt idx="300">
                  <c:v>-3.9586073148417751</c:v>
                </c:pt>
                <c:pt idx="301">
                  <c:v>-3.1830961606243395</c:v>
                </c:pt>
                <c:pt idx="302">
                  <c:v>-3.8239087409443187</c:v>
                </c:pt>
                <c:pt idx="303">
                  <c:v>-4.2048154103175763</c:v>
                </c:pt>
                <c:pt idx="304">
                  <c:v>-3.4271283977995197</c:v>
                </c:pt>
                <c:pt idx="305">
                  <c:v>-3.9355420107730814</c:v>
                </c:pt>
                <c:pt idx="306">
                  <c:v>-3.5391021572434522</c:v>
                </c:pt>
                <c:pt idx="307">
                  <c:v>-4.0530567293021749</c:v>
                </c:pt>
                <c:pt idx="308">
                  <c:v>-3.9956786262173574</c:v>
                </c:pt>
                <c:pt idx="309">
                  <c:v>-3.8827287043442356</c:v>
                </c:pt>
                <c:pt idx="310">
                  <c:v>-4.0227337875727072</c:v>
                </c:pt>
                <c:pt idx="311">
                  <c:v>-4.103473782510445</c:v>
                </c:pt>
                <c:pt idx="312">
                  <c:v>-4.054039296422431</c:v>
                </c:pt>
                <c:pt idx="313">
                  <c:v>-3.8696662315049939</c:v>
                </c:pt>
                <c:pt idx="314">
                  <c:v>-3.8507808873446199</c:v>
                </c:pt>
                <c:pt idx="315">
                  <c:v>-3.7077439286435241</c:v>
                </c:pt>
                <c:pt idx="316">
                  <c:v>-3.9665762445130501</c:v>
                </c:pt>
                <c:pt idx="317">
                  <c:v>-4.1051303432547472</c:v>
                </c:pt>
                <c:pt idx="318">
                  <c:v>-4.0390538042661683</c:v>
                </c:pt>
                <c:pt idx="319">
                  <c:v>-4.1331221856625016</c:v>
                </c:pt>
                <c:pt idx="320">
                  <c:v>-4.1186153432294272</c:v>
                </c:pt>
                <c:pt idx="321">
                  <c:v>-3.7144426909922261</c:v>
                </c:pt>
                <c:pt idx="322">
                  <c:v>-4.0273344077338891</c:v>
                </c:pt>
                <c:pt idx="323">
                  <c:v>-4.0227337875727072</c:v>
                </c:pt>
                <c:pt idx="324">
                  <c:v>-4.6675615400843951</c:v>
                </c:pt>
                <c:pt idx="325">
                  <c:v>-3.9913998282380825</c:v>
                </c:pt>
                <c:pt idx="326">
                  <c:v>-4.092588639225414</c:v>
                </c:pt>
                <c:pt idx="327">
                  <c:v>-3.3655227298392685</c:v>
                </c:pt>
                <c:pt idx="328">
                  <c:v>-4.1366771398795441</c:v>
                </c:pt>
                <c:pt idx="329">
                  <c:v>-3.6055483191737836</c:v>
                </c:pt>
                <c:pt idx="330">
                  <c:v>-3.3716110699496884</c:v>
                </c:pt>
                <c:pt idx="331">
                  <c:v>-3.6819366650372385</c:v>
                </c:pt>
                <c:pt idx="332">
                  <c:v>-4.924453038607469</c:v>
                </c:pt>
                <c:pt idx="333">
                  <c:v>-2.7961515362537654</c:v>
                </c:pt>
                <c:pt idx="334">
                  <c:v>-4.0545314148681806</c:v>
                </c:pt>
                <c:pt idx="335">
                  <c:v>-4.5346171485515816</c:v>
                </c:pt>
                <c:pt idx="336">
                  <c:v>-4.1958605676646492</c:v>
                </c:pt>
                <c:pt idx="337">
                  <c:v>-6.3861581781239307</c:v>
                </c:pt>
                <c:pt idx="338">
                  <c:v>-3.9625735020593762</c:v>
                </c:pt>
                <c:pt idx="339">
                  <c:v>-4.1649438982798834</c:v>
                </c:pt>
                <c:pt idx="340">
                  <c:v>-3.7235381958267557</c:v>
                </c:pt>
                <c:pt idx="341">
                  <c:v>-4.1870866433571443</c:v>
                </c:pt>
                <c:pt idx="342">
                  <c:v>-3.5058454059815571</c:v>
                </c:pt>
                <c:pt idx="343">
                  <c:v>-3.9788107009300617</c:v>
                </c:pt>
                <c:pt idx="344">
                  <c:v>-3.8664610916297826</c:v>
                </c:pt>
                <c:pt idx="345">
                  <c:v>-4.1366771398795441</c:v>
                </c:pt>
                <c:pt idx="346">
                  <c:v>-4.1378686206869633</c:v>
                </c:pt>
                <c:pt idx="347">
                  <c:v>-3.6946486305533761</c:v>
                </c:pt>
                <c:pt idx="348">
                  <c:v>-3.8181564120552274</c:v>
                </c:pt>
                <c:pt idx="349">
                  <c:v>-4.0056828473303634</c:v>
                </c:pt>
                <c:pt idx="350">
                  <c:v>-4.2034256667895704</c:v>
                </c:pt>
                <c:pt idx="351">
                  <c:v>-3.9355420107730814</c:v>
                </c:pt>
                <c:pt idx="352">
                  <c:v>-3.9665762445130501</c:v>
                </c:pt>
                <c:pt idx="353">
                  <c:v>-5.8096683018297082</c:v>
                </c:pt>
                <c:pt idx="354">
                  <c:v>-4.1481303992702339</c:v>
                </c:pt>
                <c:pt idx="355">
                  <c:v>-3.9030899869919438</c:v>
                </c:pt>
                <c:pt idx="356">
                  <c:v>-4.5003129173815966</c:v>
                </c:pt>
                <c:pt idx="357">
                  <c:v>-4.2395775165767882</c:v>
                </c:pt>
                <c:pt idx="358">
                  <c:v>-4.3223930472795065</c:v>
                </c:pt>
                <c:pt idx="359">
                  <c:v>-4.1372724716820253</c:v>
                </c:pt>
                <c:pt idx="360">
                  <c:v>-3.9829666607012197</c:v>
                </c:pt>
                <c:pt idx="361">
                  <c:v>-5.1169066414243103</c:v>
                </c:pt>
                <c:pt idx="362">
                  <c:v>-4.131355561605174</c:v>
                </c:pt>
                <c:pt idx="363">
                  <c:v>-3.8507808873446199</c:v>
                </c:pt>
                <c:pt idx="364">
                  <c:v>-5.3526170298853799</c:v>
                </c:pt>
                <c:pt idx="365">
                  <c:v>-4.157390760389438</c:v>
                </c:pt>
                <c:pt idx="366">
                  <c:v>-4.0716041477432858</c:v>
                </c:pt>
                <c:pt idx="367">
                  <c:v>-4.1917890270757781</c:v>
                </c:pt>
                <c:pt idx="368">
                  <c:v>-5.0888423912600231</c:v>
                </c:pt>
                <c:pt idx="369">
                  <c:v>-5.041914151478915</c:v>
                </c:pt>
                <c:pt idx="370">
                  <c:v>-4.1624115617644888</c:v>
                </c:pt>
                <c:pt idx="371">
                  <c:v>-5.642065152999546</c:v>
                </c:pt>
                <c:pt idx="372">
                  <c:v>-4.2564902352715706</c:v>
                </c:pt>
                <c:pt idx="373">
                  <c:v>-5.5228787452803374</c:v>
                </c:pt>
                <c:pt idx="374">
                  <c:v>-4.0481769646840879</c:v>
                </c:pt>
                <c:pt idx="375">
                  <c:v>-4.1706962271689747</c:v>
                </c:pt>
                <c:pt idx="376">
                  <c:v>-4.1260984021355389</c:v>
                </c:pt>
                <c:pt idx="377">
                  <c:v>-3.6716203965612624</c:v>
                </c:pt>
                <c:pt idx="378">
                  <c:v>-2.8992849134269183</c:v>
                </c:pt>
                <c:pt idx="379">
                  <c:v>-2.8594919569618202</c:v>
                </c:pt>
                <c:pt idx="380">
                  <c:v>-4.3089185078770313</c:v>
                </c:pt>
                <c:pt idx="381">
                  <c:v>-4.1931419704811823</c:v>
                </c:pt>
                <c:pt idx="382">
                  <c:v>-4.3223930472795065</c:v>
                </c:pt>
                <c:pt idx="383">
                  <c:v>-5.4749551929631544</c:v>
                </c:pt>
                <c:pt idx="384">
                  <c:v>-4.2765443279648139</c:v>
                </c:pt>
                <c:pt idx="385">
                  <c:v>-4.2510371387438388</c:v>
                </c:pt>
                <c:pt idx="386">
                  <c:v>-4.497572880015567</c:v>
                </c:pt>
                <c:pt idx="387">
                  <c:v>-3.8068754016455384</c:v>
                </c:pt>
                <c:pt idx="388">
                  <c:v>-4.3344190089820467</c:v>
                </c:pt>
                <c:pt idx="389">
                  <c:v>-4.3685562309868278</c:v>
                </c:pt>
                <c:pt idx="390">
                  <c:v>-4.5114492834995561</c:v>
                </c:pt>
                <c:pt idx="391">
                  <c:v>-3.8894102897007512</c:v>
                </c:pt>
                <c:pt idx="392">
                  <c:v>-4.1062382379420566</c:v>
                </c:pt>
                <c:pt idx="393">
                  <c:v>-4.1001794975729036</c:v>
                </c:pt>
                <c:pt idx="394">
                  <c:v>-6.3635121036466344</c:v>
                </c:pt>
                <c:pt idx="395">
                  <c:v>-4.3325470471100465</c:v>
                </c:pt>
                <c:pt idx="396">
                  <c:v>-4.3936186348893953</c:v>
                </c:pt>
                <c:pt idx="397">
                  <c:v>-4.2510371387438388</c:v>
                </c:pt>
                <c:pt idx="398">
                  <c:v>-4.1214782044987937</c:v>
                </c:pt>
                <c:pt idx="399">
                  <c:v>-4.2684112348132617</c:v>
                </c:pt>
                <c:pt idx="400">
                  <c:v>-4.0584885673655968</c:v>
                </c:pt>
                <c:pt idx="401">
                  <c:v>-4.3788237182249645</c:v>
                </c:pt>
                <c:pt idx="402">
                  <c:v>-4.4672456210075024</c:v>
                </c:pt>
                <c:pt idx="403">
                  <c:v>-3.8210230527068307</c:v>
                </c:pt>
                <c:pt idx="404">
                  <c:v>-4.338187314462739</c:v>
                </c:pt>
                <c:pt idx="405">
                  <c:v>-4.3089185078770313</c:v>
                </c:pt>
                <c:pt idx="406">
                  <c:v>-4.3851027839668655</c:v>
                </c:pt>
                <c:pt idx="407">
                  <c:v>-4.7520267336381936</c:v>
                </c:pt>
                <c:pt idx="408">
                  <c:v>-4.2418453780326102</c:v>
                </c:pt>
                <c:pt idx="409">
                  <c:v>-3.6903698325741012</c:v>
                </c:pt>
                <c:pt idx="410">
                  <c:v>-6.1354889189416077</c:v>
                </c:pt>
                <c:pt idx="411">
                  <c:v>-4.1951793212788377</c:v>
                </c:pt>
                <c:pt idx="412">
                  <c:v>-3.9913998282380825</c:v>
                </c:pt>
                <c:pt idx="413">
                  <c:v>-3.9172146296835497</c:v>
                </c:pt>
                <c:pt idx="414">
                  <c:v>-4.0163737128754651</c:v>
                </c:pt>
                <c:pt idx="415">
                  <c:v>-4.3819519032879075</c:v>
                </c:pt>
                <c:pt idx="416">
                  <c:v>-4.496209316942819</c:v>
                </c:pt>
                <c:pt idx="417">
                  <c:v>-4.4749551929631544</c:v>
                </c:pt>
                <c:pt idx="418">
                  <c:v>-4.496209316942819</c:v>
                </c:pt>
                <c:pt idx="419">
                  <c:v>-4.3777859770337049</c:v>
                </c:pt>
                <c:pt idx="420">
                  <c:v>-3.9100948885606019</c:v>
                </c:pt>
                <c:pt idx="421">
                  <c:v>-4.5316526695878423</c:v>
                </c:pt>
                <c:pt idx="422">
                  <c:v>-6.1278437272517072</c:v>
                </c:pt>
                <c:pt idx="423">
                  <c:v>-4.4685210829577446</c:v>
                </c:pt>
                <c:pt idx="424">
                  <c:v>-3.7986028756795487</c:v>
                </c:pt>
                <c:pt idx="425">
                  <c:v>-5.4546928835341761</c:v>
                </c:pt>
                <c:pt idx="426">
                  <c:v>-3.552841968657781</c:v>
                </c:pt>
                <c:pt idx="427">
                  <c:v>-4.1481303992702339</c:v>
                </c:pt>
                <c:pt idx="428">
                  <c:v>-4.3595185630295781</c:v>
                </c:pt>
                <c:pt idx="429">
                  <c:v>-4.8696662315049943</c:v>
                </c:pt>
                <c:pt idx="430">
                  <c:v>-4.7144426909922261</c:v>
                </c:pt>
                <c:pt idx="431">
                  <c:v>-5</c:v>
                </c:pt>
                <c:pt idx="432">
                  <c:v>-4.7569619513137056</c:v>
                </c:pt>
                <c:pt idx="433">
                  <c:v>-4.3716110699496884</c:v>
                </c:pt>
                <c:pt idx="434">
                  <c:v>-4.4609239012072237</c:v>
                </c:pt>
                <c:pt idx="435">
                  <c:v>-3.856985199745905</c:v>
                </c:pt>
                <c:pt idx="436">
                  <c:v>-4.4461169733561254</c:v>
                </c:pt>
                <c:pt idx="437">
                  <c:v>-4.4584207560534193</c:v>
                </c:pt>
                <c:pt idx="438">
                  <c:v>-4.3990271043132516</c:v>
                </c:pt>
                <c:pt idx="439">
                  <c:v>-3.8632794328435933</c:v>
                </c:pt>
                <c:pt idx="440">
                  <c:v>-4.5058454059815576</c:v>
                </c:pt>
                <c:pt idx="441">
                  <c:v>-4.6401645176601116</c:v>
                </c:pt>
                <c:pt idx="442">
                  <c:v>-4.7281583934635014</c:v>
                </c:pt>
                <c:pt idx="443">
                  <c:v>-5.4867823999320606</c:v>
                </c:pt>
                <c:pt idx="444">
                  <c:v>-4.4001169279263124</c:v>
                </c:pt>
                <c:pt idx="445">
                  <c:v>-3.1784864715952268</c:v>
                </c:pt>
                <c:pt idx="446">
                  <c:v>-3.7495799976911059</c:v>
                </c:pt>
                <c:pt idx="447">
                  <c:v>-5.1817741063860447</c:v>
                </c:pt>
                <c:pt idx="448">
                  <c:v>-4.5436339668709573</c:v>
                </c:pt>
                <c:pt idx="449">
                  <c:v>-4.5686362358410131</c:v>
                </c:pt>
                <c:pt idx="450">
                  <c:v>-4.4559319556497243</c:v>
                </c:pt>
                <c:pt idx="451">
                  <c:v>-4.4881166390211256</c:v>
                </c:pt>
                <c:pt idx="452">
                  <c:v>-4.6516951369518393</c:v>
                </c:pt>
                <c:pt idx="453">
                  <c:v>-3.4921441283041692</c:v>
                </c:pt>
                <c:pt idx="454">
                  <c:v>-4</c:v>
                </c:pt>
                <c:pt idx="455">
                  <c:v>-4.5833594926617192</c:v>
                </c:pt>
                <c:pt idx="456">
                  <c:v>-4.7033348097384691</c:v>
                </c:pt>
                <c:pt idx="457">
                  <c:v>-4.1911141326401875</c:v>
                </c:pt>
                <c:pt idx="458">
                  <c:v>-4.605548319173784</c:v>
                </c:pt>
                <c:pt idx="459">
                  <c:v>-4.5301779840218366</c:v>
                </c:pt>
                <c:pt idx="460">
                  <c:v>-4.5376020021010435</c:v>
                </c:pt>
                <c:pt idx="461">
                  <c:v>-4.1101382787418119</c:v>
                </c:pt>
                <c:pt idx="462">
                  <c:v>-4.3635121036466344</c:v>
                </c:pt>
                <c:pt idx="463">
                  <c:v>-4.5951662833800615</c:v>
                </c:pt>
                <c:pt idx="464">
                  <c:v>-5.5331323796458909</c:v>
                </c:pt>
                <c:pt idx="465">
                  <c:v>-5.1432711096171175</c:v>
                </c:pt>
                <c:pt idx="466">
                  <c:v>-3.9065783148377649</c:v>
                </c:pt>
                <c:pt idx="467">
                  <c:v>-4.5114492834995561</c:v>
                </c:pt>
                <c:pt idx="468">
                  <c:v>-4.3233063903751336</c:v>
                </c:pt>
                <c:pt idx="469">
                  <c:v>-4.6073030467403342</c:v>
                </c:pt>
                <c:pt idx="470">
                  <c:v>-3.4100503986742923</c:v>
                </c:pt>
                <c:pt idx="471">
                  <c:v>-4.0819696632151201</c:v>
                </c:pt>
                <c:pt idx="472">
                  <c:v>-4.0433514207947967</c:v>
                </c:pt>
                <c:pt idx="473">
                  <c:v>-4.0141246426916064</c:v>
                </c:pt>
                <c:pt idx="474">
                  <c:v>-4.3726341434072671</c:v>
                </c:pt>
                <c:pt idx="475">
                  <c:v>-5.2924298239020633</c:v>
                </c:pt>
                <c:pt idx="476">
                  <c:v>-4.0803989762158892</c:v>
                </c:pt>
                <c:pt idx="477">
                  <c:v>-4.3695721249749759</c:v>
                </c:pt>
                <c:pt idx="478">
                  <c:v>-3.5867002359187481</c:v>
                </c:pt>
                <c:pt idx="479">
                  <c:v>-4.4134126953282449</c:v>
                </c:pt>
                <c:pt idx="480">
                  <c:v>-5.1129456219490432</c:v>
                </c:pt>
                <c:pt idx="481">
                  <c:v>-4.5528419686577806</c:v>
                </c:pt>
                <c:pt idx="482">
                  <c:v>-5.0721165896692932</c:v>
                </c:pt>
                <c:pt idx="483">
                  <c:v>-4.655607726314889</c:v>
                </c:pt>
                <c:pt idx="484">
                  <c:v>-4.5436339668709573</c:v>
                </c:pt>
                <c:pt idx="485">
                  <c:v>-5.0056828473303634</c:v>
                </c:pt>
                <c:pt idx="486">
                  <c:v>-4.5670307091255946</c:v>
                </c:pt>
                <c:pt idx="487">
                  <c:v>-5.987162775294828</c:v>
                </c:pt>
                <c:pt idx="488">
                  <c:v>-4.2628073572952632</c:v>
                </c:pt>
                <c:pt idx="489">
                  <c:v>-4.1992829217176153</c:v>
                </c:pt>
                <c:pt idx="490">
                  <c:v>-4.2189630613788678</c:v>
                </c:pt>
                <c:pt idx="491">
                  <c:v>-4.5917600346881509</c:v>
                </c:pt>
                <c:pt idx="492">
                  <c:v>-4.4179366370882915</c:v>
                </c:pt>
                <c:pt idx="493">
                  <c:v>-4.6946486305533766</c:v>
                </c:pt>
                <c:pt idx="494">
                  <c:v>-5.7235381958267562</c:v>
                </c:pt>
                <c:pt idx="495">
                  <c:v>-6.79317412396815</c:v>
                </c:pt>
                <c:pt idx="496">
                  <c:v>-4.991399828238082</c:v>
                </c:pt>
                <c:pt idx="497">
                  <c:v>-5.2541448048262707</c:v>
                </c:pt>
                <c:pt idx="498">
                  <c:v>-3.3516399890190685</c:v>
                </c:pt>
                <c:pt idx="499">
                  <c:v>-4.4736607226101563</c:v>
                </c:pt>
                <c:pt idx="500">
                  <c:v>-4.7644715530924513</c:v>
                </c:pt>
                <c:pt idx="501">
                  <c:v>-5.7471469690201067</c:v>
                </c:pt>
                <c:pt idx="502">
                  <c:v>-4.8446639625349386</c:v>
                </c:pt>
                <c:pt idx="503">
                  <c:v>-4.5086383061657269</c:v>
                </c:pt>
                <c:pt idx="504">
                  <c:v>-7.3767507096020992</c:v>
                </c:pt>
                <c:pt idx="505">
                  <c:v>-4.1745738822321767</c:v>
                </c:pt>
                <c:pt idx="506">
                  <c:v>-3.9172146296835497</c:v>
                </c:pt>
                <c:pt idx="507">
                  <c:v>-4.6635402661514709</c:v>
                </c:pt>
                <c:pt idx="508">
                  <c:v>-6.8124792791635373</c:v>
                </c:pt>
                <c:pt idx="509">
                  <c:v>-4.2533658010624213</c:v>
                </c:pt>
                <c:pt idx="510">
                  <c:v>-5.7644715530924513</c:v>
                </c:pt>
                <c:pt idx="511">
                  <c:v>-5.2395775165767882</c:v>
                </c:pt>
                <c:pt idx="512">
                  <c:v>-5.1732774798310075</c:v>
                </c:pt>
                <c:pt idx="513">
                  <c:v>-2.8486301497525397</c:v>
                </c:pt>
                <c:pt idx="514">
                  <c:v>-4.1426675035687319</c:v>
                </c:pt>
                <c:pt idx="515">
                  <c:v>-4.2232988160115887</c:v>
                </c:pt>
                <c:pt idx="516">
                  <c:v>-5.4497716469449058</c:v>
                </c:pt>
                <c:pt idx="517">
                  <c:v>-5.0438315695246363</c:v>
                </c:pt>
                <c:pt idx="518">
                  <c:v>-4.8297382846050425</c:v>
                </c:pt>
                <c:pt idx="519">
                  <c:v>-4.7772835288524167</c:v>
                </c:pt>
                <c:pt idx="520">
                  <c:v>-3.217527375833714</c:v>
                </c:pt>
                <c:pt idx="521">
                  <c:v>-4.3716110699496884</c:v>
                </c:pt>
                <c:pt idx="522">
                  <c:v>-5.20690839982342</c:v>
                </c:pt>
                <c:pt idx="523">
                  <c:v>-5.4801720062242811</c:v>
                </c:pt>
                <c:pt idx="524">
                  <c:v>-3.6675615400843946</c:v>
                </c:pt>
                <c:pt idx="525">
                  <c:v>-5.1518108830086016</c:v>
                </c:pt>
                <c:pt idx="526">
                  <c:v>-4.9172146296835502</c:v>
                </c:pt>
                <c:pt idx="527">
                  <c:v>-4.8996294548824375</c:v>
                </c:pt>
                <c:pt idx="528">
                  <c:v>-5.1706962271689747</c:v>
                </c:pt>
                <c:pt idx="529">
                  <c:v>-4.4449055514216811</c:v>
                </c:pt>
                <c:pt idx="530">
                  <c:v>-4.1924649719311464</c:v>
                </c:pt>
                <c:pt idx="531">
                  <c:v>-4.3757179041643317</c:v>
                </c:pt>
                <c:pt idx="532">
                  <c:v>-3.7772835288524167</c:v>
                </c:pt>
                <c:pt idx="533">
                  <c:v>-4.8894102897007512</c:v>
                </c:pt>
                <c:pt idx="534">
                  <c:v>-5.0942041196321313</c:v>
                </c:pt>
                <c:pt idx="535">
                  <c:v>-4.3279021420642829</c:v>
                </c:pt>
                <c:pt idx="536">
                  <c:v>-4.5833594926617192</c:v>
                </c:pt>
                <c:pt idx="537">
                  <c:v>-3.336299074610352</c:v>
                </c:pt>
                <c:pt idx="538">
                  <c:v>-4.7721132953863261</c:v>
                </c:pt>
                <c:pt idx="539">
                  <c:v>-4.7471469690201067</c:v>
                </c:pt>
                <c:pt idx="540">
                  <c:v>-4.779891911959945</c:v>
                </c:pt>
                <c:pt idx="541">
                  <c:v>-4.8996294548824375</c:v>
                </c:pt>
                <c:pt idx="542">
                  <c:v>-3.0974532206860088</c:v>
                </c:pt>
                <c:pt idx="543">
                  <c:v>-4.5783960731301692</c:v>
                </c:pt>
                <c:pt idx="544">
                  <c:v>-5.1348960253588718</c:v>
                </c:pt>
                <c:pt idx="545">
                  <c:v>-4.8181564120552274</c:v>
                </c:pt>
                <c:pt idx="546">
                  <c:v>-5.2668027348934308</c:v>
                </c:pt>
                <c:pt idx="547">
                  <c:v>-3.3605135107314141</c:v>
                </c:pt>
                <c:pt idx="548">
                  <c:v>-4.987162775294828</c:v>
                </c:pt>
                <c:pt idx="549">
                  <c:v>-4.7304870557820839</c:v>
                </c:pt>
                <c:pt idx="550">
                  <c:v>-4.1999706407558657</c:v>
                </c:pt>
                <c:pt idx="551">
                  <c:v>-6.1784864715952263</c:v>
                </c:pt>
                <c:pt idx="552">
                  <c:v>-4.0614802748235084</c:v>
                </c:pt>
                <c:pt idx="553">
                  <c:v>-4.991399828238082</c:v>
                </c:pt>
                <c:pt idx="554">
                  <c:v>-3.5734887386354246</c:v>
                </c:pt>
                <c:pt idx="555">
                  <c:v>-4.9546770212133424</c:v>
                </c:pt>
                <c:pt idx="556">
                  <c:v>-5.4485500020271251</c:v>
                </c:pt>
                <c:pt idx="557">
                  <c:v>-5.6126101736612704</c:v>
                </c:pt>
                <c:pt idx="558">
                  <c:v>-4.928117992693875</c:v>
                </c:pt>
                <c:pt idx="559">
                  <c:v>-4.5718652059712115</c:v>
                </c:pt>
                <c:pt idx="560">
                  <c:v>-4.6382721639824069</c:v>
                </c:pt>
                <c:pt idx="561">
                  <c:v>-4.7166987712964508</c:v>
                </c:pt>
                <c:pt idx="562">
                  <c:v>-4.8894102897007512</c:v>
                </c:pt>
                <c:pt idx="563">
                  <c:v>-4.9355420107730819</c:v>
                </c:pt>
                <c:pt idx="564">
                  <c:v>-4.8210230527068303</c:v>
                </c:pt>
                <c:pt idx="565">
                  <c:v>-6.1999706407558657</c:v>
                </c:pt>
                <c:pt idx="566">
                  <c:v>-3.9318141382538383</c:v>
                </c:pt>
                <c:pt idx="567">
                  <c:v>-3.490797477668897</c:v>
                </c:pt>
                <c:pt idx="568">
                  <c:v>-5.2048154103175763</c:v>
                </c:pt>
                <c:pt idx="569">
                  <c:v>-5.1001794975729036</c:v>
                </c:pt>
                <c:pt idx="570">
                  <c:v>-5.1911141326401875</c:v>
                </c:pt>
                <c:pt idx="571">
                  <c:v>-5.5833594926617192</c:v>
                </c:pt>
                <c:pt idx="572">
                  <c:v>-5.3133637307377066</c:v>
                </c:pt>
                <c:pt idx="573">
                  <c:v>-2.9935339577507682</c:v>
                </c:pt>
                <c:pt idx="574">
                  <c:v>-5.1824346304402189</c:v>
                </c:pt>
                <c:pt idx="575">
                  <c:v>-6.5361070110140931</c:v>
                </c:pt>
                <c:pt idx="576">
                  <c:v>-5.5702477199975924</c:v>
                </c:pt>
                <c:pt idx="577">
                  <c:v>-6.7423214251308154</c:v>
                </c:pt>
                <c:pt idx="578">
                  <c:v>-4.6478174818886373</c:v>
                </c:pt>
                <c:pt idx="579">
                  <c:v>-5.669586226650809</c:v>
                </c:pt>
                <c:pt idx="580">
                  <c:v>-5.5406075122407694</c:v>
                </c:pt>
                <c:pt idx="581">
                  <c:v>-4.669586226650809</c:v>
                </c:pt>
                <c:pt idx="582">
                  <c:v>-4.0746879085003505</c:v>
                </c:pt>
                <c:pt idx="583">
                  <c:v>-5.0798766737092764</c:v>
                </c:pt>
                <c:pt idx="584">
                  <c:v>-4.6657473576657695</c:v>
                </c:pt>
                <c:pt idx="585">
                  <c:v>-5.4294570601181027</c:v>
                </c:pt>
                <c:pt idx="586">
                  <c:v>-4.761953896871205</c:v>
                </c:pt>
                <c:pt idx="587">
                  <c:v>-5.3098039199714862</c:v>
                </c:pt>
                <c:pt idx="588">
                  <c:v>-5.6989700043360187</c:v>
                </c:pt>
                <c:pt idx="589">
                  <c:v>-5.9956786262173578</c:v>
                </c:pt>
                <c:pt idx="590">
                  <c:v>-4.9355420107730819</c:v>
                </c:pt>
                <c:pt idx="591">
                  <c:v>-5.4921441283041688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D-A944-88C3-8A839FF2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607615"/>
        <c:axId val="1531609327"/>
      </c:scatterChart>
      <c:valAx>
        <c:axId val="153160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9327"/>
        <c:crosses val="autoZero"/>
        <c:crossBetween val="midCat"/>
      </c:valAx>
      <c:valAx>
        <c:axId val="1531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0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7742270637525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02422352054891E-2"/>
          <c:y val="5.7745590243105133E-2"/>
          <c:w val="0.91000960480741866"/>
          <c:h val="0.9051231541615170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329319519563392E-2"/>
                  <c:y val="-0.28327082817635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'$k_{app}$ Values'!$D$2:$D$282</c:f>
              <c:numCache>
                <c:formatCode>General</c:formatCode>
                <c:ptCount val="281"/>
                <c:pt idx="0">
                  <c:v>5.0641186872317485</c:v>
                </c:pt>
                <c:pt idx="1">
                  <c:v>4.7099596106859378</c:v>
                </c:pt>
                <c:pt idx="2">
                  <c:v>5.2364248202533501</c:v>
                </c:pt>
                <c:pt idx="3">
                  <c:v>5.8008994985133997</c:v>
                </c:pt>
                <c:pt idx="4">
                  <c:v>4.8762397475685271</c:v>
                </c:pt>
                <c:pt idx="5">
                  <c:v>4.8762397475685271</c:v>
                </c:pt>
                <c:pt idx="6">
                  <c:v>4.9102139811124657</c:v>
                </c:pt>
                <c:pt idx="7">
                  <c:v>6.7554431143963969</c:v>
                </c:pt>
                <c:pt idx="8">
                  <c:v>4.7877688897598123</c:v>
                </c:pt>
                <c:pt idx="9">
                  <c:v>4.0084482509554968</c:v>
                </c:pt>
                <c:pt idx="10">
                  <c:v>4.4825385345452968</c:v>
                </c:pt>
                <c:pt idx="11">
                  <c:v>3.9732005887537403</c:v>
                </c:pt>
                <c:pt idx="12">
                  <c:v>3.493791236731703</c:v>
                </c:pt>
                <c:pt idx="13">
                  <c:v>5.099984407298666</c:v>
                </c:pt>
                <c:pt idx="14">
                  <c:v>4.4733039731922695</c:v>
                </c:pt>
                <c:pt idx="15">
                  <c:v>4.4733039731922695</c:v>
                </c:pt>
                <c:pt idx="16">
                  <c:v>3.3481771061906098</c:v>
                </c:pt>
                <c:pt idx="17">
                  <c:v>4.954792963671915</c:v>
                </c:pt>
                <c:pt idx="18">
                  <c:v>4.954792963671915</c:v>
                </c:pt>
                <c:pt idx="19">
                  <c:v>5.2478867104304658</c:v>
                </c:pt>
                <c:pt idx="20">
                  <c:v>4.7992523536213412</c:v>
                </c:pt>
                <c:pt idx="21">
                  <c:v>5.1038656471548949</c:v>
                </c:pt>
                <c:pt idx="22">
                  <c:v>3.2103652253629869</c:v>
                </c:pt>
                <c:pt idx="23">
                  <c:v>5.9844038323057243</c:v>
                </c:pt>
                <c:pt idx="24">
                  <c:v>3.8353210232933339</c:v>
                </c:pt>
                <c:pt idx="25">
                  <c:v>4.6123915328992382</c:v>
                </c:pt>
                <c:pt idx="26">
                  <c:v>4.6123915328992382</c:v>
                </c:pt>
                <c:pt idx="27">
                  <c:v>4.1106633737345177</c:v>
                </c:pt>
                <c:pt idx="28">
                  <c:v>2.1171021139871913</c:v>
                </c:pt>
                <c:pt idx="29">
                  <c:v>5.1612677844071824</c:v>
                </c:pt>
                <c:pt idx="30">
                  <c:v>5.099984407298666</c:v>
                </c:pt>
                <c:pt idx="31">
                  <c:v>2.9139462675471735</c:v>
                </c:pt>
                <c:pt idx="32">
                  <c:v>3.5323227564890787</c:v>
                </c:pt>
                <c:pt idx="33">
                  <c:v>5.0626494534369018</c:v>
                </c:pt>
                <c:pt idx="34">
                  <c:v>3.8724779397683635</c:v>
                </c:pt>
                <c:pt idx="35">
                  <c:v>-1.2675528528445001</c:v>
                </c:pt>
                <c:pt idx="36">
                  <c:v>5.5149007803506152</c:v>
                </c:pt>
                <c:pt idx="37">
                  <c:v>5.2364248202533501</c:v>
                </c:pt>
                <c:pt idx="38">
                  <c:v>2.2593863310681161</c:v>
                </c:pt>
                <c:pt idx="39">
                  <c:v>4.2311933868650637</c:v>
                </c:pt>
                <c:pt idx="40">
                  <c:v>5.1159670185880897</c:v>
                </c:pt>
                <c:pt idx="41">
                  <c:v>4.9576643466968884</c:v>
                </c:pt>
                <c:pt idx="42">
                  <c:v>4.6597325953045052</c:v>
                </c:pt>
                <c:pt idx="43">
                  <c:v>4.5547870017830459</c:v>
                </c:pt>
                <c:pt idx="44">
                  <c:v>4.1404214795927716</c:v>
                </c:pt>
                <c:pt idx="45">
                  <c:v>4.7176763659941869</c:v>
                </c:pt>
                <c:pt idx="46">
                  <c:v>4.663973933608804</c:v>
                </c:pt>
                <c:pt idx="47">
                  <c:v>3.7930646816279423</c:v>
                </c:pt>
                <c:pt idx="48">
                  <c:v>4.1140847682611774</c:v>
                </c:pt>
                <c:pt idx="49">
                  <c:v>5.0353512502082252</c:v>
                </c:pt>
                <c:pt idx="50">
                  <c:v>4.414568668456206</c:v>
                </c:pt>
                <c:pt idx="51">
                  <c:v>4.814379743414281</c:v>
                </c:pt>
                <c:pt idx="52">
                  <c:v>3.5238787374001856</c:v>
                </c:pt>
                <c:pt idx="53">
                  <c:v>4.556110608356609</c:v>
                </c:pt>
                <c:pt idx="54">
                  <c:v>4.0925999535044406</c:v>
                </c:pt>
                <c:pt idx="55">
                  <c:v>3.9971418965710823</c:v>
                </c:pt>
                <c:pt idx="56">
                  <c:v>4.0814577040593303</c:v>
                </c:pt>
                <c:pt idx="57">
                  <c:v>3.988834260758872</c:v>
                </c:pt>
                <c:pt idx="58">
                  <c:v>3.6319768905409018</c:v>
                </c:pt>
                <c:pt idx="59">
                  <c:v>4.1140847682611774</c:v>
                </c:pt>
                <c:pt idx="60">
                  <c:v>4.3921667583434951</c:v>
                </c:pt>
                <c:pt idx="61">
                  <c:v>5.0830546299794683</c:v>
                </c:pt>
                <c:pt idx="62">
                  <c:v>4.7704103358474175</c:v>
                </c:pt>
                <c:pt idx="63">
                  <c:v>4.327825337796642</c:v>
                </c:pt>
                <c:pt idx="64">
                  <c:v>5.8258069946844131</c:v>
                </c:pt>
                <c:pt idx="65">
                  <c:v>1.4099293049094368</c:v>
                </c:pt>
                <c:pt idx="66">
                  <c:v>5.3402674289250651</c:v>
                </c:pt>
                <c:pt idx="67">
                  <c:v>4.0815648560045368</c:v>
                </c:pt>
                <c:pt idx="68">
                  <c:v>3.5323227564890787</c:v>
                </c:pt>
                <c:pt idx="69">
                  <c:v>4.1417228420137953</c:v>
                </c:pt>
                <c:pt idx="70">
                  <c:v>3.9869794048069984</c:v>
                </c:pt>
                <c:pt idx="71">
                  <c:v>4.2687757060290643</c:v>
                </c:pt>
                <c:pt idx="72">
                  <c:v>4.0414996232866667</c:v>
                </c:pt>
                <c:pt idx="73">
                  <c:v>3.9604867837309961</c:v>
                </c:pt>
                <c:pt idx="74">
                  <c:v>4.5485124289330354</c:v>
                </c:pt>
                <c:pt idx="75">
                  <c:v>4.5485124289330354</c:v>
                </c:pt>
                <c:pt idx="76">
                  <c:v>3.6025764223800496</c:v>
                </c:pt>
                <c:pt idx="77">
                  <c:v>4.389570384250419</c:v>
                </c:pt>
                <c:pt idx="78">
                  <c:v>4.1756145272921819</c:v>
                </c:pt>
                <c:pt idx="79">
                  <c:v>5.4247671102560364</c:v>
                </c:pt>
                <c:pt idx="80">
                  <c:v>5.4247671102560364</c:v>
                </c:pt>
                <c:pt idx="81">
                  <c:v>3.7258411633536324</c:v>
                </c:pt>
                <c:pt idx="82">
                  <c:v>5.2045091132290775</c:v>
                </c:pt>
                <c:pt idx="83">
                  <c:v>4.2733082696568871</c:v>
                </c:pt>
                <c:pt idx="84">
                  <c:v>4.195625306178659</c:v>
                </c:pt>
                <c:pt idx="85">
                  <c:v>3.8180933447012264</c:v>
                </c:pt>
                <c:pt idx="86">
                  <c:v>2.8704017560633459</c:v>
                </c:pt>
                <c:pt idx="87">
                  <c:v>6.9323947798612044</c:v>
                </c:pt>
                <c:pt idx="88">
                  <c:v>5.419443721447049</c:v>
                </c:pt>
                <c:pt idx="89">
                  <c:v>5.6960951263428763</c:v>
                </c:pt>
                <c:pt idx="90">
                  <c:v>5.6036148777407755</c:v>
                </c:pt>
                <c:pt idx="91">
                  <c:v>0.94549034862257308</c:v>
                </c:pt>
                <c:pt idx="92">
                  <c:v>8.5859064414993735</c:v>
                </c:pt>
                <c:pt idx="93">
                  <c:v>2.5309241910381184</c:v>
                </c:pt>
                <c:pt idx="94">
                  <c:v>6.2837636906417211</c:v>
                </c:pt>
                <c:pt idx="95">
                  <c:v>5.3695443889507102</c:v>
                </c:pt>
                <c:pt idx="96">
                  <c:v>5.7457561998213054</c:v>
                </c:pt>
                <c:pt idx="97">
                  <c:v>4.2687757060290643</c:v>
                </c:pt>
                <c:pt idx="98">
                  <c:v>5.8504113977255257</c:v>
                </c:pt>
                <c:pt idx="99">
                  <c:v>4.7327924859010553</c:v>
                </c:pt>
                <c:pt idx="100">
                  <c:v>5.0739291721058715</c:v>
                </c:pt>
                <c:pt idx="101">
                  <c:v>5.9275929035003232</c:v>
                </c:pt>
                <c:pt idx="102">
                  <c:v>5.8553515718909939</c:v>
                </c:pt>
                <c:pt idx="103">
                  <c:v>4.2696633780933126</c:v>
                </c:pt>
                <c:pt idx="104">
                  <c:v>3.4312926638025458</c:v>
                </c:pt>
                <c:pt idx="105">
                  <c:v>5.1230849188107825</c:v>
                </c:pt>
                <c:pt idx="106">
                  <c:v>3.6060499211022439</c:v>
                </c:pt>
                <c:pt idx="107">
                  <c:v>6.7491012140736455</c:v>
                </c:pt>
                <c:pt idx="108">
                  <c:v>6.0426998515112214</c:v>
                </c:pt>
                <c:pt idx="109">
                  <c:v>4.2384344032220165</c:v>
                </c:pt>
                <c:pt idx="110">
                  <c:v>5.3135667473706452</c:v>
                </c:pt>
                <c:pt idx="111">
                  <c:v>5.051817503091943</c:v>
                </c:pt>
                <c:pt idx="112">
                  <c:v>4.0081714041626748</c:v>
                </c:pt>
                <c:pt idx="113">
                  <c:v>4.469510519580286</c:v>
                </c:pt>
                <c:pt idx="114">
                  <c:v>6.0080855053758864</c:v>
                </c:pt>
                <c:pt idx="115">
                  <c:v>5.3890737933761921</c:v>
                </c:pt>
                <c:pt idx="116">
                  <c:v>6.0298337395628154</c:v>
                </c:pt>
                <c:pt idx="117">
                  <c:v>4.3569438085787056</c:v>
                </c:pt>
                <c:pt idx="118">
                  <c:v>5.8512143526506675</c:v>
                </c:pt>
                <c:pt idx="119">
                  <c:v>4.5143634763859977</c:v>
                </c:pt>
                <c:pt idx="120">
                  <c:v>3.7258411633536324</c:v>
                </c:pt>
                <c:pt idx="121">
                  <c:v>6.9323947798612044</c:v>
                </c:pt>
                <c:pt idx="122">
                  <c:v>3.9823303837200963</c:v>
                </c:pt>
                <c:pt idx="123">
                  <c:v>4.6197145191798716</c:v>
                </c:pt>
                <c:pt idx="124">
                  <c:v>3.8752274981743611</c:v>
                </c:pt>
                <c:pt idx="125">
                  <c:v>5.7944439883375702</c:v>
                </c:pt>
                <c:pt idx="126">
                  <c:v>5.9851551909964087</c:v>
                </c:pt>
                <c:pt idx="127">
                  <c:v>6.1026930405374387</c:v>
                </c:pt>
                <c:pt idx="128">
                  <c:v>3.8189337012186679</c:v>
                </c:pt>
                <c:pt idx="129">
                  <c:v>3.762281761942369</c:v>
                </c:pt>
                <c:pt idx="130">
                  <c:v>4.8890314191231754</c:v>
                </c:pt>
                <c:pt idx="131">
                  <c:v>3.8254471399894978</c:v>
                </c:pt>
                <c:pt idx="132">
                  <c:v>4.8154332439294851</c:v>
                </c:pt>
                <c:pt idx="133">
                  <c:v>4.00628608514221</c:v>
                </c:pt>
                <c:pt idx="134">
                  <c:v>5.0064156770516135</c:v>
                </c:pt>
                <c:pt idx="135">
                  <c:v>5.014368481419254</c:v>
                </c:pt>
                <c:pt idx="136">
                  <c:v>3.6235596996660244</c:v>
                </c:pt>
                <c:pt idx="137">
                  <c:v>-1.2858093888635889</c:v>
                </c:pt>
                <c:pt idx="138">
                  <c:v>3.6376503701189131</c:v>
                </c:pt>
                <c:pt idx="139">
                  <c:v>3.824513443714086</c:v>
                </c:pt>
                <c:pt idx="140">
                  <c:v>4.9576643466968884</c:v>
                </c:pt>
                <c:pt idx="141">
                  <c:v>4.1556105950012023</c:v>
                </c:pt>
                <c:pt idx="142">
                  <c:v>5.0626494534369018</c:v>
                </c:pt>
                <c:pt idx="143">
                  <c:v>3.8772275971624892</c:v>
                </c:pt>
                <c:pt idx="144">
                  <c:v>3.0692595291342566</c:v>
                </c:pt>
                <c:pt idx="145">
                  <c:v>3.9622897535022195</c:v>
                </c:pt>
                <c:pt idx="146">
                  <c:v>4.2788348956354589</c:v>
                </c:pt>
                <c:pt idx="147">
                  <c:v>4.3904882885934775</c:v>
                </c:pt>
                <c:pt idx="148">
                  <c:v>4.3904882885934775</c:v>
                </c:pt>
                <c:pt idx="149">
                  <c:v>4.6543194172584057</c:v>
                </c:pt>
                <c:pt idx="150">
                  <c:v>3.8364786189746827</c:v>
                </c:pt>
                <c:pt idx="151">
                  <c:v>3.8364786189746827</c:v>
                </c:pt>
                <c:pt idx="152">
                  <c:v>6.4827883579439893</c:v>
                </c:pt>
                <c:pt idx="153">
                  <c:v>4.391495926702941</c:v>
                </c:pt>
                <c:pt idx="154">
                  <c:v>4.3572970245218512</c:v>
                </c:pt>
                <c:pt idx="155">
                  <c:v>3.6300121685338027</c:v>
                </c:pt>
                <c:pt idx="156">
                  <c:v>4.239621136826341</c:v>
                </c:pt>
                <c:pt idx="157">
                  <c:v>7.2911018617839494</c:v>
                </c:pt>
                <c:pt idx="158">
                  <c:v>4.5328473428855958</c:v>
                </c:pt>
                <c:pt idx="159">
                  <c:v>5.3587089119201599</c:v>
                </c:pt>
                <c:pt idx="160">
                  <c:v>3.439512008475762</c:v>
                </c:pt>
                <c:pt idx="161">
                  <c:v>2.8135961544503965</c:v>
                </c:pt>
                <c:pt idx="162">
                  <c:v>3.8299360310283634</c:v>
                </c:pt>
                <c:pt idx="163">
                  <c:v>4.8956534100025371</c:v>
                </c:pt>
                <c:pt idx="164">
                  <c:v>6.2837636906417211</c:v>
                </c:pt>
                <c:pt idx="165">
                  <c:v>-1.4110364233698134</c:v>
                </c:pt>
                <c:pt idx="166">
                  <c:v>5.642902192715213</c:v>
                </c:pt>
                <c:pt idx="167">
                  <c:v>6.2837636906417211</c:v>
                </c:pt>
                <c:pt idx="168">
                  <c:v>4.1184998960570587</c:v>
                </c:pt>
                <c:pt idx="169">
                  <c:v>4.3077727771408405</c:v>
                </c:pt>
                <c:pt idx="170">
                  <c:v>5.5652527460271495</c:v>
                </c:pt>
                <c:pt idx="171">
                  <c:v>3.2058827880248755</c:v>
                </c:pt>
                <c:pt idx="172">
                  <c:v>2.7205973263606396</c:v>
                </c:pt>
                <c:pt idx="173">
                  <c:v>6.2002651761136773</c:v>
                </c:pt>
                <c:pt idx="174">
                  <c:v>6.2002651761136773</c:v>
                </c:pt>
                <c:pt idx="175">
                  <c:v>6.2002651761136773</c:v>
                </c:pt>
                <c:pt idx="176">
                  <c:v>6.2002651761136773</c:v>
                </c:pt>
                <c:pt idx="177">
                  <c:v>6.2002651761136773</c:v>
                </c:pt>
                <c:pt idx="178">
                  <c:v>6.2002651761136773</c:v>
                </c:pt>
                <c:pt idx="179">
                  <c:v>6.2002651761136773</c:v>
                </c:pt>
                <c:pt idx="180">
                  <c:v>6.5489560977614527</c:v>
                </c:pt>
                <c:pt idx="181">
                  <c:v>4.0403865342010707</c:v>
                </c:pt>
                <c:pt idx="182">
                  <c:v>4.0395848715913392</c:v>
                </c:pt>
                <c:pt idx="183">
                  <c:v>6.4827883579439893</c:v>
                </c:pt>
                <c:pt idx="184">
                  <c:v>4.0962830281673881</c:v>
                </c:pt>
                <c:pt idx="185">
                  <c:v>5.0927011907395316</c:v>
                </c:pt>
                <c:pt idx="186">
                  <c:v>5.6111606550803641</c:v>
                </c:pt>
                <c:pt idx="187">
                  <c:v>5.8572795245575273</c:v>
                </c:pt>
                <c:pt idx="188">
                  <c:v>3.9219940618077711</c:v>
                </c:pt>
                <c:pt idx="189">
                  <c:v>5.362444037683427</c:v>
                </c:pt>
                <c:pt idx="190">
                  <c:v>3.2095585710284658</c:v>
                </c:pt>
                <c:pt idx="191">
                  <c:v>4.2694430694783998</c:v>
                </c:pt>
                <c:pt idx="192">
                  <c:v>6.2312110690258882</c:v>
                </c:pt>
                <c:pt idx="193">
                  <c:v>6.0252978397989647</c:v>
                </c:pt>
                <c:pt idx="194">
                  <c:v>5.9143816962672267</c:v>
                </c:pt>
                <c:pt idx="195">
                  <c:v>4.2636683878500037</c:v>
                </c:pt>
                <c:pt idx="196">
                  <c:v>4.0869726702170794</c:v>
                </c:pt>
                <c:pt idx="197">
                  <c:v>7.0336462444681489</c:v>
                </c:pt>
                <c:pt idx="198">
                  <c:v>4.7014384804283242</c:v>
                </c:pt>
                <c:pt idx="199">
                  <c:v>6.4964134835738525</c:v>
                </c:pt>
                <c:pt idx="200">
                  <c:v>5.6163183873320977</c:v>
                </c:pt>
                <c:pt idx="201">
                  <c:v>5.1210779165379341</c:v>
                </c:pt>
                <c:pt idx="202">
                  <c:v>5.5665048240245953</c:v>
                </c:pt>
                <c:pt idx="203">
                  <c:v>6.3425770568529201</c:v>
                </c:pt>
                <c:pt idx="204">
                  <c:v>4.7877688897598123</c:v>
                </c:pt>
                <c:pt idx="205">
                  <c:v>4.4041193051737153</c:v>
                </c:pt>
                <c:pt idx="206">
                  <c:v>6.0165033762119293</c:v>
                </c:pt>
                <c:pt idx="207">
                  <c:v>5.624311749647732</c:v>
                </c:pt>
                <c:pt idx="208">
                  <c:v>4.5014976612722064</c:v>
                </c:pt>
                <c:pt idx="209">
                  <c:v>4.2636683878500037</c:v>
                </c:pt>
                <c:pt idx="210">
                  <c:v>4.8621363474156505</c:v>
                </c:pt>
                <c:pt idx="211">
                  <c:v>1.7773258851356277</c:v>
                </c:pt>
                <c:pt idx="212">
                  <c:v>3.8334777003536717</c:v>
                </c:pt>
                <c:pt idx="213">
                  <c:v>4.7826880557808984</c:v>
                </c:pt>
                <c:pt idx="214">
                  <c:v>1.1268499449598182</c:v>
                </c:pt>
                <c:pt idx="215">
                  <c:v>2.0542315692917072</c:v>
                </c:pt>
                <c:pt idx="216">
                  <c:v>2.4146583334259928</c:v>
                </c:pt>
                <c:pt idx="217">
                  <c:v>2.070677092316827</c:v>
                </c:pt>
                <c:pt idx="218">
                  <c:v>4.7753455738847421</c:v>
                </c:pt>
                <c:pt idx="219">
                  <c:v>5.0596774511717726</c:v>
                </c:pt>
                <c:pt idx="220">
                  <c:v>1.1575271018592634</c:v>
                </c:pt>
                <c:pt idx="221">
                  <c:v>3.6697099317893671</c:v>
                </c:pt>
                <c:pt idx="222">
                  <c:v>3.6697099317893671</c:v>
                </c:pt>
                <c:pt idx="223">
                  <c:v>5.5388302846762167</c:v>
                </c:pt>
                <c:pt idx="224">
                  <c:v>3.762281761942369</c:v>
                </c:pt>
                <c:pt idx="225">
                  <c:v>3.6224951010824498</c:v>
                </c:pt>
                <c:pt idx="226">
                  <c:v>3.762281761942369</c:v>
                </c:pt>
                <c:pt idx="227">
                  <c:v>3.7205088964864119</c:v>
                </c:pt>
                <c:pt idx="228">
                  <c:v>4.7335735687730685</c:v>
                </c:pt>
                <c:pt idx="229">
                  <c:v>4.0265276298501647</c:v>
                </c:pt>
                <c:pt idx="230">
                  <c:v>4.7134399422119539</c:v>
                </c:pt>
                <c:pt idx="231">
                  <c:v>5.4247671102560364</c:v>
                </c:pt>
                <c:pt idx="232">
                  <c:v>4.2657643085928836</c:v>
                </c:pt>
                <c:pt idx="233">
                  <c:v>5.3940527809628565</c:v>
                </c:pt>
                <c:pt idx="234">
                  <c:v>5.8255053886501553</c:v>
                </c:pt>
                <c:pt idx="235">
                  <c:v>3.8538282326956002</c:v>
                </c:pt>
                <c:pt idx="236">
                  <c:v>6.2677636732038016</c:v>
                </c:pt>
                <c:pt idx="237">
                  <c:v>5.4969724907597142</c:v>
                </c:pt>
                <c:pt idx="238">
                  <c:v>1.5523038796923097</c:v>
                </c:pt>
                <c:pt idx="239">
                  <c:v>3.3368209984315516</c:v>
                </c:pt>
                <c:pt idx="240">
                  <c:v>3.3368209984315516</c:v>
                </c:pt>
                <c:pt idx="241">
                  <c:v>3.3368209984315516</c:v>
                </c:pt>
                <c:pt idx="242">
                  <c:v>5.3190794851393957</c:v>
                </c:pt>
                <c:pt idx="243">
                  <c:v>5.2162085663307902</c:v>
                </c:pt>
                <c:pt idx="244">
                  <c:v>3.7139048448062795</c:v>
                </c:pt>
                <c:pt idx="245">
                  <c:v>4.0778771666824465</c:v>
                </c:pt>
                <c:pt idx="246">
                  <c:v>4.1926785538676361</c:v>
                </c:pt>
                <c:pt idx="247">
                  <c:v>2.9384701896326262</c:v>
                </c:pt>
                <c:pt idx="248">
                  <c:v>4.3653844314482129</c:v>
                </c:pt>
                <c:pt idx="249">
                  <c:v>4.2061152692039245</c:v>
                </c:pt>
                <c:pt idx="250">
                  <c:v>1.2318524014274161</c:v>
                </c:pt>
                <c:pt idx="251">
                  <c:v>1.2318524014274161</c:v>
                </c:pt>
                <c:pt idx="252">
                  <c:v>5.4247671102560364</c:v>
                </c:pt>
                <c:pt idx="253">
                  <c:v>5.4247671102560364</c:v>
                </c:pt>
                <c:pt idx="254">
                  <c:v>3.9991669269192762</c:v>
                </c:pt>
                <c:pt idx="255">
                  <c:v>5.1215260588610834</c:v>
                </c:pt>
                <c:pt idx="256">
                  <c:v>4.9726202182582719</c:v>
                </c:pt>
                <c:pt idx="257">
                  <c:v>4.5522684045398361</c:v>
                </c:pt>
                <c:pt idx="258">
                  <c:v>11.437701114439429</c:v>
                </c:pt>
                <c:pt idx="259">
                  <c:v>4.5159794808926002</c:v>
                </c:pt>
                <c:pt idx="260">
                  <c:v>4.1115925342935364</c:v>
                </c:pt>
                <c:pt idx="261">
                  <c:v>6.1433292626356648</c:v>
                </c:pt>
                <c:pt idx="262">
                  <c:v>6.1433292626356648</c:v>
                </c:pt>
                <c:pt idx="263">
                  <c:v>3.0522106128340454</c:v>
                </c:pt>
                <c:pt idx="264">
                  <c:v>5.7140351038096409</c:v>
                </c:pt>
                <c:pt idx="265">
                  <c:v>3.8415618000899503</c:v>
                </c:pt>
                <c:pt idx="266">
                  <c:v>4.5983383940569533</c:v>
                </c:pt>
                <c:pt idx="267">
                  <c:v>4.5983383940569533</c:v>
                </c:pt>
                <c:pt idx="268">
                  <c:v>4.1740440562723871</c:v>
                </c:pt>
                <c:pt idx="269">
                  <c:v>3.9527326359763508</c:v>
                </c:pt>
                <c:pt idx="270">
                  <c:v>4.7877688897598123</c:v>
                </c:pt>
                <c:pt idx="271">
                  <c:v>4.2972214082813371</c:v>
                </c:pt>
                <c:pt idx="272">
                  <c:v>3.5617378331834555</c:v>
                </c:pt>
                <c:pt idx="273">
                  <c:v>4.42937961164965</c:v>
                </c:pt>
                <c:pt idx="274">
                  <c:v>0.486247051712343</c:v>
                </c:pt>
                <c:pt idx="275">
                  <c:v>1.4193275735184869</c:v>
                </c:pt>
                <c:pt idx="276">
                  <c:v>1.2267262385215447</c:v>
                </c:pt>
                <c:pt idx="277">
                  <c:v>6.4827883579439893</c:v>
                </c:pt>
                <c:pt idx="278">
                  <c:v>4.6748848186344576</c:v>
                </c:pt>
                <c:pt idx="279">
                  <c:v>4.2624328066119874</c:v>
                </c:pt>
                <c:pt idx="280">
                  <c:v>-11.697793519246478</c:v>
                </c:pt>
              </c:numCache>
            </c:numRef>
          </c:xVal>
          <c:yVal>
            <c:numRef>
              <c:f>'$k_{app}$ Values'!$E$2:$E$282</c:f>
              <c:numCache>
                <c:formatCode>General</c:formatCode>
                <c:ptCount val="281"/>
                <c:pt idx="0">
                  <c:v>5.7490953208355062</c:v>
                </c:pt>
                <c:pt idx="1">
                  <c:v>4.7732042449173768</c:v>
                </c:pt>
                <c:pt idx="2">
                  <c:v>5.77583440250908</c:v>
                </c:pt>
                <c:pt idx="3">
                  <c:v>4.06892798551669</c:v>
                </c:pt>
                <c:pt idx="4">
                  <c:v>7.238501697367532</c:v>
                </c:pt>
                <c:pt idx="5">
                  <c:v>7.238501697367532</c:v>
                </c:pt>
                <c:pt idx="6">
                  <c:v>3.9268308799526825</c:v>
                </c:pt>
                <c:pt idx="7">
                  <c:v>7.3882716095024286</c:v>
                </c:pt>
                <c:pt idx="8">
                  <c:v>5.6202973309061095</c:v>
                </c:pt>
                <c:pt idx="9">
                  <c:v>3.8867181816628795</c:v>
                </c:pt>
                <c:pt idx="10">
                  <c:v>5.1666531680786649</c:v>
                </c:pt>
                <c:pt idx="11">
                  <c:v>4.0138312824578595</c:v>
                </c:pt>
                <c:pt idx="12">
                  <c:v>3.4890531771592013</c:v>
                </c:pt>
                <c:pt idx="13">
                  <c:v>4.5743456593271592</c:v>
                </c:pt>
                <c:pt idx="14">
                  <c:v>13.103451675196823</c:v>
                </c:pt>
                <c:pt idx="15">
                  <c:v>13.103451675196823</c:v>
                </c:pt>
                <c:pt idx="16">
                  <c:v>4.4882303785889341</c:v>
                </c:pt>
                <c:pt idx="17">
                  <c:v>6.3952775908391448</c:v>
                </c:pt>
                <c:pt idx="18">
                  <c:v>6.3952775908391448</c:v>
                </c:pt>
                <c:pt idx="19">
                  <c:v>4.857520912510477</c:v>
                </c:pt>
                <c:pt idx="20">
                  <c:v>4.1323389138825224</c:v>
                </c:pt>
                <c:pt idx="21">
                  <c:v>5.1378691933740166</c:v>
                </c:pt>
                <c:pt idx="22">
                  <c:v>3.6418849326035123</c:v>
                </c:pt>
                <c:pt idx="23">
                  <c:v>5.8288265792684868</c:v>
                </c:pt>
                <c:pt idx="24">
                  <c:v>3.9802906403463392</c:v>
                </c:pt>
                <c:pt idx="25">
                  <c:v>4.8885131709525407</c:v>
                </c:pt>
                <c:pt idx="26">
                  <c:v>4.8885131709525407</c:v>
                </c:pt>
                <c:pt idx="27">
                  <c:v>4.1190428352283979</c:v>
                </c:pt>
                <c:pt idx="28">
                  <c:v>1.7421901586428559</c:v>
                </c:pt>
                <c:pt idx="29">
                  <c:v>4.6339468034227584</c:v>
                </c:pt>
                <c:pt idx="30">
                  <c:v>4.5743456593271592</c:v>
                </c:pt>
                <c:pt idx="31">
                  <c:v>3.5708089015146065</c:v>
                </c:pt>
                <c:pt idx="32">
                  <c:v>5.705271675352412</c:v>
                </c:pt>
                <c:pt idx="33">
                  <c:v>4.0741650381074876</c:v>
                </c:pt>
                <c:pt idx="34">
                  <c:v>4.2753735873656638</c:v>
                </c:pt>
                <c:pt idx="35">
                  <c:v>4.3486525582110209</c:v>
                </c:pt>
                <c:pt idx="36">
                  <c:v>5.8462191602448268</c:v>
                </c:pt>
                <c:pt idx="37">
                  <c:v>5.77583440250908</c:v>
                </c:pt>
                <c:pt idx="38">
                  <c:v>2.1176591899496877</c:v>
                </c:pt>
                <c:pt idx="39">
                  <c:v>4.5888702882678363</c:v>
                </c:pt>
                <c:pt idx="40">
                  <c:v>4.6990306390082637</c:v>
                </c:pt>
                <c:pt idx="41">
                  <c:v>4.3543494110269325</c:v>
                </c:pt>
                <c:pt idx="42">
                  <c:v>3.9782944072622146</c:v>
                </c:pt>
                <c:pt idx="43">
                  <c:v>3.8029428641162508</c:v>
                </c:pt>
                <c:pt idx="44">
                  <c:v>4.1489050548416886</c:v>
                </c:pt>
                <c:pt idx="45">
                  <c:v>4.2290553240868194</c:v>
                </c:pt>
                <c:pt idx="46">
                  <c:v>3.5673005778057179</c:v>
                </c:pt>
                <c:pt idx="47">
                  <c:v>4.0873287739247015</c:v>
                </c:pt>
                <c:pt idx="48">
                  <c:v>12.409078306229755</c:v>
                </c:pt>
                <c:pt idx="49">
                  <c:v>4.6457261373767587</c:v>
                </c:pt>
                <c:pt idx="50">
                  <c:v>4.0291711394401917</c:v>
                </c:pt>
                <c:pt idx="51">
                  <c:v>5.0125125264037287</c:v>
                </c:pt>
                <c:pt idx="52">
                  <c:v>3.5443528032671066</c:v>
                </c:pt>
                <c:pt idx="53">
                  <c:v>6.5283638947704334</c:v>
                </c:pt>
                <c:pt idx="54">
                  <c:v>3.816976049523642</c:v>
                </c:pt>
                <c:pt idx="55">
                  <c:v>4.037596048534926</c:v>
                </c:pt>
                <c:pt idx="56">
                  <c:v>3.7033222338764658</c:v>
                </c:pt>
                <c:pt idx="57">
                  <c:v>4.4432641476599031</c:v>
                </c:pt>
                <c:pt idx="58">
                  <c:v>4.0913871149270022</c:v>
                </c:pt>
                <c:pt idx="59">
                  <c:v>4.0811113101194225</c:v>
                </c:pt>
                <c:pt idx="60">
                  <c:v>4.5196790423523856</c:v>
                </c:pt>
                <c:pt idx="61">
                  <c:v>4.5645500798006324</c:v>
                </c:pt>
                <c:pt idx="62">
                  <c:v>4.29371854691016</c:v>
                </c:pt>
                <c:pt idx="63">
                  <c:v>3.4570347238691848</c:v>
                </c:pt>
                <c:pt idx="64">
                  <c:v>5.9023248337984713</c:v>
                </c:pt>
                <c:pt idx="65">
                  <c:v>1.3242314636416546</c:v>
                </c:pt>
                <c:pt idx="66">
                  <c:v>4.7373234436402685</c:v>
                </c:pt>
                <c:pt idx="67">
                  <c:v>3.9924420343918099</c:v>
                </c:pt>
                <c:pt idx="68">
                  <c:v>3.1490811727428145</c:v>
                </c:pt>
                <c:pt idx="69">
                  <c:v>4.0934322351771506</c:v>
                </c:pt>
                <c:pt idx="70">
                  <c:v>3.9468932746165244</c:v>
                </c:pt>
                <c:pt idx="71">
                  <c:v>4.1181763966347971</c:v>
                </c:pt>
                <c:pt idx="72">
                  <c:v>3.9146234978687078</c:v>
                </c:pt>
                <c:pt idx="73">
                  <c:v>11.169269428026666</c:v>
                </c:pt>
                <c:pt idx="74">
                  <c:v>4.6156185828890868</c:v>
                </c:pt>
                <c:pt idx="75">
                  <c:v>4.6156185828890868</c:v>
                </c:pt>
                <c:pt idx="76">
                  <c:v>2.8033056725225074</c:v>
                </c:pt>
                <c:pt idx="77">
                  <c:v>4.3804730688471682</c:v>
                </c:pt>
                <c:pt idx="78">
                  <c:v>4.4636363185701535</c:v>
                </c:pt>
                <c:pt idx="79">
                  <c:v>5.4647591774095643</c:v>
                </c:pt>
                <c:pt idx="80">
                  <c:v>5.4647591774095643</c:v>
                </c:pt>
                <c:pt idx="81">
                  <c:v>4.2623119913093328</c:v>
                </c:pt>
                <c:pt idx="82">
                  <c:v>5.4046497696147719</c:v>
                </c:pt>
                <c:pt idx="83">
                  <c:v>5.7159320078952627</c:v>
                </c:pt>
                <c:pt idx="84">
                  <c:v>4.5591717488323074</c:v>
                </c:pt>
                <c:pt idx="85">
                  <c:v>3.461277097018856</c:v>
                </c:pt>
                <c:pt idx="86">
                  <c:v>2.7940726344744604</c:v>
                </c:pt>
                <c:pt idx="87">
                  <c:v>-0.87768072083563742</c:v>
                </c:pt>
                <c:pt idx="88">
                  <c:v>4.0686177750542578</c:v>
                </c:pt>
                <c:pt idx="89">
                  <c:v>5.0198381879969549</c:v>
                </c:pt>
                <c:pt idx="90">
                  <c:v>4.9607099058035189</c:v>
                </c:pt>
                <c:pt idx="91">
                  <c:v>1.250873525722604</c:v>
                </c:pt>
                <c:pt idx="92">
                  <c:v>13.850754182725986</c:v>
                </c:pt>
                <c:pt idx="93">
                  <c:v>1.7349157417072403</c:v>
                </c:pt>
                <c:pt idx="94">
                  <c:v>5.1296393071496889</c:v>
                </c:pt>
                <c:pt idx="95">
                  <c:v>4.2777677694723888</c:v>
                </c:pt>
                <c:pt idx="96">
                  <c:v>13.918811952180564</c:v>
                </c:pt>
                <c:pt idx="97">
                  <c:v>4.7881741214058646</c:v>
                </c:pt>
                <c:pt idx="98">
                  <c:v>3.60030737995918</c:v>
                </c:pt>
                <c:pt idx="99">
                  <c:v>-0.42301377700550374</c:v>
                </c:pt>
                <c:pt idx="100">
                  <c:v>5.3769429146436991</c:v>
                </c:pt>
                <c:pt idx="101">
                  <c:v>4.5684160815804589</c:v>
                </c:pt>
                <c:pt idx="102">
                  <c:v>5.5174416479528583</c:v>
                </c:pt>
                <c:pt idx="103">
                  <c:v>4.5861231053544831</c:v>
                </c:pt>
                <c:pt idx="104">
                  <c:v>11.357418140384739</c:v>
                </c:pt>
                <c:pt idx="105">
                  <c:v>5.0648165346111558</c:v>
                </c:pt>
                <c:pt idx="106">
                  <c:v>3.6603995357394559</c:v>
                </c:pt>
                <c:pt idx="107">
                  <c:v>7.3160976314237223</c:v>
                </c:pt>
                <c:pt idx="108">
                  <c:v>5.4541813045467675</c:v>
                </c:pt>
                <c:pt idx="109">
                  <c:v>4.2793719449638914</c:v>
                </c:pt>
                <c:pt idx="110">
                  <c:v>0.64463233045271906</c:v>
                </c:pt>
                <c:pt idx="111">
                  <c:v>5.8426827782590545</c:v>
                </c:pt>
                <c:pt idx="112">
                  <c:v>4.3627473852083654</c:v>
                </c:pt>
                <c:pt idx="113">
                  <c:v>4.3516427043964514</c:v>
                </c:pt>
                <c:pt idx="114">
                  <c:v>6.1947941613541326</c:v>
                </c:pt>
                <c:pt idx="115">
                  <c:v>5.7937286409033542</c:v>
                </c:pt>
                <c:pt idx="116">
                  <c:v>5.3694819983338355</c:v>
                </c:pt>
                <c:pt idx="117">
                  <c:v>4.2538503946769719</c:v>
                </c:pt>
                <c:pt idx="118">
                  <c:v>6.1947941613541326</c:v>
                </c:pt>
                <c:pt idx="119">
                  <c:v>5.1320998883674811</c:v>
                </c:pt>
                <c:pt idx="120">
                  <c:v>4.2623119913093328</c:v>
                </c:pt>
                <c:pt idx="121">
                  <c:v>-1.4091535286238401</c:v>
                </c:pt>
                <c:pt idx="122">
                  <c:v>6.3952775908391448</c:v>
                </c:pt>
                <c:pt idx="123">
                  <c:v>4.6847941765770997</c:v>
                </c:pt>
                <c:pt idx="124">
                  <c:v>12.591014223365015</c:v>
                </c:pt>
                <c:pt idx="125">
                  <c:v>5.4876206331598505</c:v>
                </c:pt>
                <c:pt idx="126">
                  <c:v>4.5693164207072945</c:v>
                </c:pt>
                <c:pt idx="127">
                  <c:v>5.5722542458332791</c:v>
                </c:pt>
                <c:pt idx="128">
                  <c:v>3.7347907319403042</c:v>
                </c:pt>
                <c:pt idx="129">
                  <c:v>4.5693164207072945</c:v>
                </c:pt>
                <c:pt idx="130">
                  <c:v>5.0625244177599011</c:v>
                </c:pt>
                <c:pt idx="131">
                  <c:v>4.1040070625772165</c:v>
                </c:pt>
                <c:pt idx="132">
                  <c:v>5.4849505200956505</c:v>
                </c:pt>
                <c:pt idx="133">
                  <c:v>4.0527561120081419</c:v>
                </c:pt>
                <c:pt idx="134">
                  <c:v>4.4894802619419405</c:v>
                </c:pt>
                <c:pt idx="135">
                  <c:v>5.0255306098811694</c:v>
                </c:pt>
                <c:pt idx="136">
                  <c:v>3.9669227682797898</c:v>
                </c:pt>
                <c:pt idx="137">
                  <c:v>5.8079606391723937</c:v>
                </c:pt>
                <c:pt idx="138">
                  <c:v>3.9133078934514942</c:v>
                </c:pt>
                <c:pt idx="139">
                  <c:v>4.4060955924942782</c:v>
                </c:pt>
                <c:pt idx="140">
                  <c:v>4.3918825847464991</c:v>
                </c:pt>
                <c:pt idx="141">
                  <c:v>4.1808454063053304</c:v>
                </c:pt>
                <c:pt idx="142">
                  <c:v>4.0741650381074876</c:v>
                </c:pt>
                <c:pt idx="143">
                  <c:v>4.2635481556957897</c:v>
                </c:pt>
                <c:pt idx="144">
                  <c:v>7.3160976314237223</c:v>
                </c:pt>
                <c:pt idx="145">
                  <c:v>4.1992730779196359</c:v>
                </c:pt>
                <c:pt idx="146">
                  <c:v>4.2038067541194275</c:v>
                </c:pt>
                <c:pt idx="147">
                  <c:v>4.5805304463827516</c:v>
                </c:pt>
                <c:pt idx="148">
                  <c:v>4.5805304463827516</c:v>
                </c:pt>
                <c:pt idx="149">
                  <c:v>3.9592877725959306</c:v>
                </c:pt>
                <c:pt idx="150">
                  <c:v>3.8870008567715497</c:v>
                </c:pt>
                <c:pt idx="151">
                  <c:v>3.8870008567715497</c:v>
                </c:pt>
                <c:pt idx="152">
                  <c:v>5.8547706623435278</c:v>
                </c:pt>
                <c:pt idx="153">
                  <c:v>4.2497831848549668</c:v>
                </c:pt>
                <c:pt idx="154">
                  <c:v>4.076329737925553</c:v>
                </c:pt>
                <c:pt idx="155">
                  <c:v>4.033523527163891</c:v>
                </c:pt>
                <c:pt idx="156">
                  <c:v>4.5508507664536388</c:v>
                </c:pt>
                <c:pt idx="157">
                  <c:v>5.2768863272427264</c:v>
                </c:pt>
                <c:pt idx="158">
                  <c:v>5.1558884420976669</c:v>
                </c:pt>
                <c:pt idx="159">
                  <c:v>5.6957060866420237</c:v>
                </c:pt>
                <c:pt idx="160">
                  <c:v>3.0314758417042267</c:v>
                </c:pt>
                <c:pt idx="161">
                  <c:v>3.0466571232181066</c:v>
                </c:pt>
                <c:pt idx="162">
                  <c:v>4.1101775530609874</c:v>
                </c:pt>
                <c:pt idx="163">
                  <c:v>4.3082290639835517</c:v>
                </c:pt>
                <c:pt idx="164">
                  <c:v>5.1296393071496889</c:v>
                </c:pt>
                <c:pt idx="165">
                  <c:v>6.1327132513716887</c:v>
                </c:pt>
                <c:pt idx="166">
                  <c:v>5.1296393071496889</c:v>
                </c:pt>
                <c:pt idx="167">
                  <c:v>5.1296393071496889</c:v>
                </c:pt>
                <c:pt idx="168">
                  <c:v>4.6884326819022251</c:v>
                </c:pt>
                <c:pt idx="169">
                  <c:v>4.4553921301238146</c:v>
                </c:pt>
                <c:pt idx="170">
                  <c:v>3.4809755174666317</c:v>
                </c:pt>
                <c:pt idx="171">
                  <c:v>2.9376854662204979</c:v>
                </c:pt>
                <c:pt idx="172">
                  <c:v>2.508089706102369</c:v>
                </c:pt>
                <c:pt idx="173">
                  <c:v>4.7651174376151575</c:v>
                </c:pt>
                <c:pt idx="174">
                  <c:v>4.7651174376151575</c:v>
                </c:pt>
                <c:pt idx="175">
                  <c:v>4.7651174376151575</c:v>
                </c:pt>
                <c:pt idx="176">
                  <c:v>4.7651174376151575</c:v>
                </c:pt>
                <c:pt idx="177">
                  <c:v>4.7651174376151575</c:v>
                </c:pt>
                <c:pt idx="178">
                  <c:v>4.7651174376151575</c:v>
                </c:pt>
                <c:pt idx="179">
                  <c:v>4.7651174376151575</c:v>
                </c:pt>
                <c:pt idx="180">
                  <c:v>6.4206701336654728</c:v>
                </c:pt>
                <c:pt idx="181">
                  <c:v>3.4394460007852761</c:v>
                </c:pt>
                <c:pt idx="182">
                  <c:v>4.1393776895401002</c:v>
                </c:pt>
                <c:pt idx="183">
                  <c:v>5.8547706623435278</c:v>
                </c:pt>
                <c:pt idx="184">
                  <c:v>4.1329035675775012</c:v>
                </c:pt>
                <c:pt idx="185">
                  <c:v>4.8039327590333789</c:v>
                </c:pt>
                <c:pt idx="186">
                  <c:v>4.1642426510565089</c:v>
                </c:pt>
                <c:pt idx="187">
                  <c:v>6.1274639059750431</c:v>
                </c:pt>
                <c:pt idx="188">
                  <c:v>4.2601904811816524</c:v>
                </c:pt>
                <c:pt idx="189">
                  <c:v>4.3073422818966174</c:v>
                </c:pt>
                <c:pt idx="190">
                  <c:v>3.4575343328056394</c:v>
                </c:pt>
                <c:pt idx="191">
                  <c:v>4.3999664674196817</c:v>
                </c:pt>
                <c:pt idx="192">
                  <c:v>4.2451367886351203</c:v>
                </c:pt>
                <c:pt idx="193">
                  <c:v>4.917556221412072</c:v>
                </c:pt>
                <c:pt idx="194">
                  <c:v>5.8555274772688906</c:v>
                </c:pt>
                <c:pt idx="195">
                  <c:v>3.7971237724395936</c:v>
                </c:pt>
                <c:pt idx="196">
                  <c:v>3.7971237724395936</c:v>
                </c:pt>
                <c:pt idx="197">
                  <c:v>7.0548598915961183</c:v>
                </c:pt>
                <c:pt idx="198">
                  <c:v>6.9241466899745863</c:v>
                </c:pt>
                <c:pt idx="199">
                  <c:v>4.9797100110960795</c:v>
                </c:pt>
                <c:pt idx="200">
                  <c:v>5.435830478354494</c:v>
                </c:pt>
                <c:pt idx="201">
                  <c:v>5.4702381644579603</c:v>
                </c:pt>
                <c:pt idx="202">
                  <c:v>4.4897315923862156</c:v>
                </c:pt>
                <c:pt idx="203">
                  <c:v>5.0679920957578508</c:v>
                </c:pt>
                <c:pt idx="204">
                  <c:v>5.6202973309061095</c:v>
                </c:pt>
                <c:pt idx="205">
                  <c:v>4.4053195544896848</c:v>
                </c:pt>
                <c:pt idx="206">
                  <c:v>6.2576044891263782</c:v>
                </c:pt>
                <c:pt idx="207">
                  <c:v>6.2779933494882982</c:v>
                </c:pt>
                <c:pt idx="208">
                  <c:v>4.355477977452102</c:v>
                </c:pt>
                <c:pt idx="209">
                  <c:v>3.7971237724395936</c:v>
                </c:pt>
                <c:pt idx="210">
                  <c:v>5.3241002269433348</c:v>
                </c:pt>
                <c:pt idx="211">
                  <c:v>-2.4649690908640807</c:v>
                </c:pt>
                <c:pt idx="212">
                  <c:v>2.8997974776781649E-2</c:v>
                </c:pt>
                <c:pt idx="213">
                  <c:v>4.94654466371734</c:v>
                </c:pt>
                <c:pt idx="214">
                  <c:v>1.5009108705528602</c:v>
                </c:pt>
                <c:pt idx="215">
                  <c:v>2.1006166520635383</c:v>
                </c:pt>
                <c:pt idx="216">
                  <c:v>4.5693164207072945</c:v>
                </c:pt>
                <c:pt idx="217">
                  <c:v>-2.8679205465707303</c:v>
                </c:pt>
                <c:pt idx="218">
                  <c:v>4.7345420528789868</c:v>
                </c:pt>
                <c:pt idx="219">
                  <c:v>5.5414329260776203</c:v>
                </c:pt>
                <c:pt idx="220">
                  <c:v>1.3063231542504032</c:v>
                </c:pt>
                <c:pt idx="221">
                  <c:v>4.192016135813045</c:v>
                </c:pt>
                <c:pt idx="222">
                  <c:v>4.192016135813045</c:v>
                </c:pt>
                <c:pt idx="223">
                  <c:v>4.3918825847464991</c:v>
                </c:pt>
                <c:pt idx="224">
                  <c:v>4.5693164207072945</c:v>
                </c:pt>
                <c:pt idx="225">
                  <c:v>3.957631095638185</c:v>
                </c:pt>
                <c:pt idx="226">
                  <c:v>4.5693164207072945</c:v>
                </c:pt>
                <c:pt idx="227">
                  <c:v>4.0908038880349133</c:v>
                </c:pt>
                <c:pt idx="228">
                  <c:v>4.319836275568794</c:v>
                </c:pt>
                <c:pt idx="229">
                  <c:v>3.7312885490391325</c:v>
                </c:pt>
                <c:pt idx="230">
                  <c:v>4.8976434432710532</c:v>
                </c:pt>
                <c:pt idx="231">
                  <c:v>5.4647591774095643</c:v>
                </c:pt>
                <c:pt idx="232">
                  <c:v>4.0026406926902265</c:v>
                </c:pt>
                <c:pt idx="233">
                  <c:v>5.7273481047004111</c:v>
                </c:pt>
                <c:pt idx="234">
                  <c:v>6.9241466899745863</c:v>
                </c:pt>
                <c:pt idx="235">
                  <c:v>4.8016065776522119</c:v>
                </c:pt>
                <c:pt idx="236">
                  <c:v>5.099656200657269</c:v>
                </c:pt>
                <c:pt idx="237">
                  <c:v>14.1580615821842</c:v>
                </c:pt>
                <c:pt idx="238">
                  <c:v>0.90808831840447179</c:v>
                </c:pt>
                <c:pt idx="239">
                  <c:v>4.4134370013582211</c:v>
                </c:pt>
                <c:pt idx="240">
                  <c:v>4.4134370013582211</c:v>
                </c:pt>
                <c:pt idx="241">
                  <c:v>4.4134370013582211</c:v>
                </c:pt>
                <c:pt idx="242">
                  <c:v>5.9543200529403446</c:v>
                </c:pt>
                <c:pt idx="243">
                  <c:v>5.5693844650118658</c:v>
                </c:pt>
                <c:pt idx="244">
                  <c:v>4.1794860649652401</c:v>
                </c:pt>
                <c:pt idx="245">
                  <c:v>4.1794860649652401</c:v>
                </c:pt>
                <c:pt idx="246">
                  <c:v>4.3150096571809691</c:v>
                </c:pt>
                <c:pt idx="247">
                  <c:v>3.8177526650053033</c:v>
                </c:pt>
                <c:pt idx="248">
                  <c:v>4.4856439345686567</c:v>
                </c:pt>
                <c:pt idx="249">
                  <c:v>4.1685160191106077</c:v>
                </c:pt>
                <c:pt idx="250">
                  <c:v>1.3693080051854978</c:v>
                </c:pt>
                <c:pt idx="251">
                  <c:v>1.3693080051854978</c:v>
                </c:pt>
                <c:pt idx="252">
                  <c:v>5.4647591774095643</c:v>
                </c:pt>
                <c:pt idx="253">
                  <c:v>5.4647591774095643</c:v>
                </c:pt>
                <c:pt idx="254">
                  <c:v>4.3871977583095392</c:v>
                </c:pt>
                <c:pt idx="255">
                  <c:v>5.4671810018975178</c:v>
                </c:pt>
                <c:pt idx="256">
                  <c:v>5.1920958055608875</c:v>
                </c:pt>
                <c:pt idx="257">
                  <c:v>4.1765955699368984</c:v>
                </c:pt>
                <c:pt idx="258">
                  <c:v>4.7986273867108817</c:v>
                </c:pt>
                <c:pt idx="259">
                  <c:v>4.4048006548282865</c:v>
                </c:pt>
                <c:pt idx="260">
                  <c:v>4.1822737389336746</c:v>
                </c:pt>
                <c:pt idx="261">
                  <c:v>5.2797662048752256</c:v>
                </c:pt>
                <c:pt idx="262">
                  <c:v>5.2797662048752256</c:v>
                </c:pt>
                <c:pt idx="263">
                  <c:v>2.989555679035337</c:v>
                </c:pt>
                <c:pt idx="264">
                  <c:v>5.4595652029909125</c:v>
                </c:pt>
                <c:pt idx="265">
                  <c:v>3.9207204196282981</c:v>
                </c:pt>
                <c:pt idx="266">
                  <c:v>4.8226644205753306</c:v>
                </c:pt>
                <c:pt idx="267">
                  <c:v>4.8226644205753306</c:v>
                </c:pt>
                <c:pt idx="268">
                  <c:v>3.631032533563622</c:v>
                </c:pt>
                <c:pt idx="269">
                  <c:v>3.5422815409788355</c:v>
                </c:pt>
                <c:pt idx="270">
                  <c:v>5.6202973309061095</c:v>
                </c:pt>
                <c:pt idx="271">
                  <c:v>4.0135606650343059</c:v>
                </c:pt>
                <c:pt idx="272">
                  <c:v>3.2324007729644566</c:v>
                </c:pt>
                <c:pt idx="273">
                  <c:v>4.4817414693632385</c:v>
                </c:pt>
                <c:pt idx="274">
                  <c:v>0.84700404576248034</c:v>
                </c:pt>
                <c:pt idx="275">
                  <c:v>4.5693164207072945</c:v>
                </c:pt>
                <c:pt idx="276">
                  <c:v>0.97115679438433034</c:v>
                </c:pt>
                <c:pt idx="277">
                  <c:v>5.8547706623435278</c:v>
                </c:pt>
                <c:pt idx="278">
                  <c:v>12.802421679532841</c:v>
                </c:pt>
                <c:pt idx="279">
                  <c:v>4.4406991212318232</c:v>
                </c:pt>
                <c:pt idx="280">
                  <c:v>-11.875400942005067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2-974E-A941-68EB68F14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xVal>
            <c:numRef>
              <c:f>'$k_{app}$ Values'!$X$2:$X$14</c:f>
              <c:numCache>
                <c:formatCode>General</c:formatCode>
                <c:ptCount val="13"/>
                <c:pt idx="0">
                  <c:v>5.6960951263428763</c:v>
                </c:pt>
                <c:pt idx="1">
                  <c:v>5.6036148777407755</c:v>
                </c:pt>
                <c:pt idx="2">
                  <c:v>5.8553515718909939</c:v>
                </c:pt>
                <c:pt idx="3">
                  <c:v>6.1026930405374387</c:v>
                </c:pt>
                <c:pt idx="4">
                  <c:v>7.0336462444681489</c:v>
                </c:pt>
                <c:pt idx="5">
                  <c:v>6.4964134835738525</c:v>
                </c:pt>
                <c:pt idx="6">
                  <c:v>5.6163183873320977</c:v>
                </c:pt>
                <c:pt idx="7">
                  <c:v>6.3425770568529201</c:v>
                </c:pt>
                <c:pt idx="8">
                  <c:v>6.2677636732038016</c:v>
                </c:pt>
                <c:pt idx="9">
                  <c:v>5.7140351038096409</c:v>
                </c:pt>
              </c:numCache>
            </c:numRef>
          </c:xVal>
          <c:yVal>
            <c:numRef>
              <c:f>'$k_{app}$ Values'!$Y$2:$Y$14</c:f>
              <c:numCache>
                <c:formatCode>General</c:formatCode>
                <c:ptCount val="13"/>
                <c:pt idx="0">
                  <c:v>5.0198381879969549</c:v>
                </c:pt>
                <c:pt idx="1">
                  <c:v>4.9607099058035189</c:v>
                </c:pt>
                <c:pt idx="2">
                  <c:v>5.5174416479528583</c:v>
                </c:pt>
                <c:pt idx="3">
                  <c:v>5.5722542458332791</c:v>
                </c:pt>
                <c:pt idx="4">
                  <c:v>7.0548598915961183</c:v>
                </c:pt>
                <c:pt idx="5">
                  <c:v>4.9797100110960795</c:v>
                </c:pt>
                <c:pt idx="6">
                  <c:v>5.435830478354494</c:v>
                </c:pt>
                <c:pt idx="7">
                  <c:v>5.0679920957578508</c:v>
                </c:pt>
                <c:pt idx="8">
                  <c:v>5.099656200657269</c:v>
                </c:pt>
                <c:pt idx="9">
                  <c:v>5.4595652029909125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81-FA4A-A0B7-CBAFCC55D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94768"/>
        <c:axId val="649996480"/>
      </c:scatterChart>
      <c:valAx>
        <c:axId val="64999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96480"/>
        <c:crosses val="autoZero"/>
        <c:crossBetween val="midCat"/>
      </c:valAx>
      <c:valAx>
        <c:axId val="6499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9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91208</xdr:colOff>
      <xdr:row>16</xdr:row>
      <xdr:rowOff>148359</xdr:rowOff>
    </xdr:from>
    <xdr:to>
      <xdr:col>20</xdr:col>
      <xdr:colOff>167986</xdr:colOff>
      <xdr:row>31</xdr:row>
      <xdr:rowOff>36945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E461C-325A-0424-627F-0E3658906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57728</xdr:colOff>
      <xdr:row>53</xdr:row>
      <xdr:rowOff>144318</xdr:rowOff>
    </xdr:from>
    <xdr:to>
      <xdr:col>23</xdr:col>
      <xdr:colOff>510030</xdr:colOff>
      <xdr:row>75</xdr:row>
      <xdr:rowOff>162205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1B895-8E4A-2B4C-8D24-5DFFED981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43297</xdr:colOff>
      <xdr:row>31</xdr:row>
      <xdr:rowOff>57727</xdr:rowOff>
    </xdr:from>
    <xdr:to>
      <xdr:col>23</xdr:col>
      <xdr:colOff>495599</xdr:colOff>
      <xdr:row>53</xdr:row>
      <xdr:rowOff>75614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FB7249-EF16-E541-AD42-4C60BAE1C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101024</xdr:colOff>
      <xdr:row>2</xdr:row>
      <xdr:rowOff>14433</xdr:rowOff>
    </xdr:from>
    <xdr:to>
      <xdr:col>20</xdr:col>
      <xdr:colOff>177801</xdr:colOff>
      <xdr:row>16</xdr:row>
      <xdr:rowOff>90633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AE0F3E-1C1B-9743-BAEB-963A31640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122768</xdr:colOff>
      <xdr:row>16</xdr:row>
      <xdr:rowOff>103011</xdr:rowOff>
    </xdr:from>
    <xdr:to>
      <xdr:col>16</xdr:col>
      <xdr:colOff>640646</xdr:colOff>
      <xdr:row>30</xdr:row>
      <xdr:rowOff>170744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B59E3B-D743-3B43-B4AC-20EB4B206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1</xdr:row>
      <xdr:rowOff>63500</xdr:rowOff>
    </xdr:from>
    <xdr:to>
      <xdr:col>16</xdr:col>
      <xdr:colOff>581378</xdr:colOff>
      <xdr:row>15</xdr:row>
      <xdr:rowOff>131233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97BF5-B5DA-3941-86AC-41837A98D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964406</xdr:colOff>
      <xdr:row>20</xdr:row>
      <xdr:rowOff>71721</xdr:rowOff>
    </xdr:from>
    <xdr:to>
      <xdr:col>24</xdr:col>
      <xdr:colOff>308699</xdr:colOff>
      <xdr:row>45</xdr:row>
      <xdr:rowOff>38864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19353-856F-5C2D-8BCD-341AC0454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jm6426/Documents/rtRBA-main/build_model/input/precursors/RekenaEtAl2023/kapp-comparisons.xlsx" TargetMode="External"/><Relationship Id="rId1" Type="http://schemas.openxmlformats.org/officeDocument/2006/relationships/externalLinkPath" Target="/Users/ejm6426/Documents/rtRBA-main/build_model/input/precursors/RekenaEtAl2023/kapp-comparis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 rxn"/>
      <sheetName val="by subsystem"/>
      <sheetName val="all datasets"/>
      <sheetName val="non-default kapp handler"/>
      <sheetName val="subsystem kapp (sc-rt)"/>
      <sheetName val="enzFluxes"/>
      <sheetName val="Sheet1"/>
      <sheetName val="enzs-with-kapps"/>
      <sheetName val="subsystem-analysis"/>
      <sheetName val="extras"/>
      <sheetName val="fva-mappings"/>
      <sheetName val="old-mappings"/>
      <sheetName val="RT_kapps_in_vivo"/>
      <sheetName val="adjusted_kapps"/>
      <sheetName val="fva-data"/>
      <sheetName val="enz-to-rxn"/>
      <sheetName val="rxn-to-enz"/>
      <sheetName val="rt"/>
      <sheetName val="rt-rabinowitz (1)"/>
      <sheetName val="rt-rabinowitz (2)"/>
      <sheetName val="rt-rabinowitz (template)"/>
      <sheetName val="S3 Dataset"/>
      <sheetName val="scRBA"/>
      <sheetName val="scRBA (raw)"/>
      <sheetName val="scRBA (allFormula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K1" t="str">
            <v>prot1</v>
          </cell>
          <cell r="N1" t="str">
            <v>rt-prot-match</v>
          </cell>
        </row>
        <row r="2">
          <cell r="K2" t="str">
            <v/>
          </cell>
          <cell r="N2" t="str">
            <v/>
          </cell>
        </row>
        <row r="3">
          <cell r="K3" t="str">
            <v>YAL060W</v>
          </cell>
          <cell r="N3" t="str">
            <v>rt5273</v>
          </cell>
        </row>
        <row r="4">
          <cell r="K4" t="str">
            <v>YAL060W</v>
          </cell>
          <cell r="N4" t="str">
            <v>rt5273</v>
          </cell>
        </row>
        <row r="5">
          <cell r="K5" t="str">
            <v>GSC2RHO1</v>
          </cell>
          <cell r="N5" t="str">
            <v/>
          </cell>
        </row>
        <row r="6">
          <cell r="K6" t="str">
            <v>GSC1RHO1</v>
          </cell>
          <cell r="N6" t="str">
            <v/>
          </cell>
        </row>
        <row r="7">
          <cell r="K7" t="str">
            <v>YPR159W</v>
          </cell>
          <cell r="N7" t="str">
            <v>rt3279</v>
          </cell>
        </row>
        <row r="8">
          <cell r="K8" t="str">
            <v>YGR143W</v>
          </cell>
          <cell r="N8" t="str">
            <v>rt0150</v>
          </cell>
        </row>
        <row r="9">
          <cell r="K9" t="str">
            <v>YIL020C</v>
          </cell>
          <cell r="N9" t="str">
            <v>rt3242</v>
          </cell>
        </row>
        <row r="10">
          <cell r="K10" t="str">
            <v>YHR037W</v>
          </cell>
          <cell r="N10" t="str">
            <v>rt0201</v>
          </cell>
        </row>
        <row r="11">
          <cell r="K11" t="str">
            <v>YHR037W</v>
          </cell>
          <cell r="N11" t="str">
            <v>rt0201</v>
          </cell>
        </row>
        <row r="12">
          <cell r="K12" t="str">
            <v>YOL066C</v>
          </cell>
          <cell r="N12" t="str">
            <v>rt7138</v>
          </cell>
        </row>
        <row r="13">
          <cell r="K13" t="str">
            <v>YBR153W</v>
          </cell>
          <cell r="N13" t="str">
            <v>rt8469</v>
          </cell>
        </row>
        <row r="14">
          <cell r="K14" t="str">
            <v>YNL256W</v>
          </cell>
          <cell r="N14" t="str">
            <v>rt6009</v>
          </cell>
        </row>
        <row r="15">
          <cell r="K15" t="str">
            <v>YJL060W</v>
          </cell>
          <cell r="N15" t="str">
            <v>rt0172</v>
          </cell>
        </row>
        <row r="16">
          <cell r="K16" t="str">
            <v>YJL060W</v>
          </cell>
          <cell r="N16" t="str">
            <v>rt0172</v>
          </cell>
        </row>
        <row r="17">
          <cell r="K17" t="str">
            <v>YER152C</v>
          </cell>
          <cell r="N17" t="str">
            <v/>
          </cell>
        </row>
        <row r="18">
          <cell r="K18" t="str">
            <v>YER152C</v>
          </cell>
          <cell r="N18" t="str">
            <v/>
          </cell>
        </row>
        <row r="19">
          <cell r="K19" t="str">
            <v>YGL202W</v>
          </cell>
          <cell r="N19" t="str">
            <v>rt7471</v>
          </cell>
        </row>
        <row r="20">
          <cell r="K20" t="str">
            <v>YGL202W</v>
          </cell>
          <cell r="N20" t="str">
            <v>rt7471</v>
          </cell>
        </row>
        <row r="21">
          <cell r="K21" t="str">
            <v>YHR063C</v>
          </cell>
          <cell r="N21" t="str">
            <v>rt5909</v>
          </cell>
        </row>
        <row r="22">
          <cell r="K22" t="str">
            <v>YGL009C</v>
          </cell>
          <cell r="N22" t="str">
            <v>rt6546</v>
          </cell>
        </row>
        <row r="23">
          <cell r="K23" t="str">
            <v>YGL009C</v>
          </cell>
          <cell r="N23" t="str">
            <v>rt6546</v>
          </cell>
        </row>
        <row r="24">
          <cell r="K24" t="str">
            <v>YOR108W</v>
          </cell>
          <cell r="N24" t="str">
            <v/>
          </cell>
        </row>
        <row r="25">
          <cell r="K25" t="str">
            <v>YHR208W</v>
          </cell>
          <cell r="N25" t="str">
            <v>rt6242</v>
          </cell>
        </row>
        <row r="26">
          <cell r="K26" t="str">
            <v>YJR148W</v>
          </cell>
          <cell r="N26" t="str">
            <v>rt5646</v>
          </cell>
        </row>
        <row r="27">
          <cell r="K27" t="str">
            <v>YHR137W</v>
          </cell>
          <cell r="N27" t="str">
            <v/>
          </cell>
        </row>
        <row r="28">
          <cell r="K28" t="str">
            <v>YGL202W</v>
          </cell>
          <cell r="N28" t="str">
            <v>rt7471</v>
          </cell>
        </row>
        <row r="29">
          <cell r="K29" t="str">
            <v>YDR234W</v>
          </cell>
          <cell r="N29" t="str">
            <v>rt7648</v>
          </cell>
        </row>
        <row r="30">
          <cell r="K30" t="str">
            <v>YDR234W</v>
          </cell>
          <cell r="N30" t="str">
            <v>rt7648</v>
          </cell>
        </row>
        <row r="31">
          <cell r="K31" t="str">
            <v>YPR001W</v>
          </cell>
          <cell r="N31" t="str">
            <v>rt2960</v>
          </cell>
        </row>
        <row r="32">
          <cell r="K32" t="str">
            <v>YJR148W</v>
          </cell>
          <cell r="N32" t="str">
            <v>rt5646</v>
          </cell>
        </row>
        <row r="33">
          <cell r="K33" t="str">
            <v>YHR208W</v>
          </cell>
          <cell r="N33" t="str">
            <v>rt6242</v>
          </cell>
        </row>
        <row r="34">
          <cell r="K34" t="str">
            <v>YOL064C</v>
          </cell>
          <cell r="N34" t="str">
            <v>rt2305</v>
          </cell>
        </row>
        <row r="35">
          <cell r="K35" t="str">
            <v>YOR360C</v>
          </cell>
          <cell r="N35" t="str">
            <v>rt3419</v>
          </cell>
        </row>
        <row r="36">
          <cell r="K36" t="str">
            <v>YGL248W</v>
          </cell>
          <cell r="N36" t="str">
            <v>rt5322</v>
          </cell>
        </row>
        <row r="37">
          <cell r="K37" t="str">
            <v>YOR360C</v>
          </cell>
          <cell r="N37" t="str">
            <v>rt3419</v>
          </cell>
        </row>
        <row r="38">
          <cell r="K38" t="str">
            <v>YOR360C</v>
          </cell>
          <cell r="N38" t="str">
            <v>rt3419</v>
          </cell>
        </row>
        <row r="39">
          <cell r="K39" t="str">
            <v>YOR360C</v>
          </cell>
          <cell r="N39" t="str">
            <v>rt3419</v>
          </cell>
        </row>
        <row r="40">
          <cell r="K40" t="str">
            <v>YOR360C</v>
          </cell>
          <cell r="N40" t="str">
            <v>rt3419</v>
          </cell>
        </row>
        <row r="41">
          <cell r="K41" t="str">
            <v>YDR487C</v>
          </cell>
          <cell r="N41" t="str">
            <v>rt8298</v>
          </cell>
        </row>
        <row r="42">
          <cell r="K42" t="str">
            <v>YDR127W</v>
          </cell>
          <cell r="N42" t="str">
            <v>rt5884</v>
          </cell>
        </row>
        <row r="43">
          <cell r="K43" t="str">
            <v>YDR127W</v>
          </cell>
          <cell r="N43" t="str">
            <v>rt5884</v>
          </cell>
        </row>
        <row r="44">
          <cell r="K44" t="str">
            <v>YBR265W</v>
          </cell>
          <cell r="N44" t="str">
            <v>rt1611</v>
          </cell>
        </row>
        <row r="45">
          <cell r="K45" t="str">
            <v>YDR035W</v>
          </cell>
          <cell r="N45" t="str">
            <v>rt3787</v>
          </cell>
        </row>
        <row r="46">
          <cell r="K46" t="str">
            <v>YBR249C</v>
          </cell>
          <cell r="N46" t="str">
            <v>rt2234</v>
          </cell>
        </row>
        <row r="47">
          <cell r="K47" t="str">
            <v>YDR376W</v>
          </cell>
          <cell r="N47" t="str">
            <v>rt8407</v>
          </cell>
        </row>
        <row r="48">
          <cell r="K48" t="str">
            <v>YPL252C</v>
          </cell>
          <cell r="N48" t="str">
            <v>rt7217</v>
          </cell>
        </row>
        <row r="49">
          <cell r="K49" t="str">
            <v>YLR231C</v>
          </cell>
          <cell r="N49" t="str">
            <v>rt0357</v>
          </cell>
        </row>
        <row r="50">
          <cell r="K50" t="str">
            <v>YKR009C</v>
          </cell>
          <cell r="N50" t="str">
            <v>rt2994</v>
          </cell>
        </row>
        <row r="51">
          <cell r="K51" t="str">
            <v>YJR025C</v>
          </cell>
          <cell r="N51" t="str">
            <v>rt0234</v>
          </cell>
        </row>
        <row r="52">
          <cell r="K52" t="str">
            <v>YER175C</v>
          </cell>
          <cell r="N52" t="str">
            <v>rt6691</v>
          </cell>
        </row>
        <row r="53">
          <cell r="K53" t="str">
            <v>YGL009C</v>
          </cell>
          <cell r="N53" t="str">
            <v>rt6546</v>
          </cell>
        </row>
        <row r="54">
          <cell r="K54" t="str">
            <v>YGL009C</v>
          </cell>
          <cell r="N54" t="str">
            <v>rt6546</v>
          </cell>
        </row>
        <row r="55">
          <cell r="K55" t="str">
            <v>YCL018W</v>
          </cell>
          <cell r="N55" t="str">
            <v>rt5526</v>
          </cell>
        </row>
        <row r="56">
          <cell r="K56" t="str">
            <v>YGR087C</v>
          </cell>
          <cell r="N56" t="str">
            <v/>
          </cell>
        </row>
        <row r="57">
          <cell r="K57" t="str">
            <v>YLR044C</v>
          </cell>
          <cell r="N57" t="str">
            <v>rt7423</v>
          </cell>
        </row>
        <row r="58">
          <cell r="K58" t="str">
            <v>YLR134W</v>
          </cell>
          <cell r="N58" t="str">
            <v/>
          </cell>
        </row>
        <row r="59">
          <cell r="K59" t="str">
            <v>YBR176W</v>
          </cell>
          <cell r="N59" t="str">
            <v>rt0075</v>
          </cell>
        </row>
        <row r="60">
          <cell r="K60" t="str">
            <v>YDR127W</v>
          </cell>
          <cell r="N60" t="str">
            <v>rt5884</v>
          </cell>
        </row>
        <row r="61">
          <cell r="K61" t="str">
            <v>YNR033W</v>
          </cell>
          <cell r="N61" t="str">
            <v>rt5301</v>
          </cell>
        </row>
        <row r="62">
          <cell r="K62" t="str">
            <v>YMR289W</v>
          </cell>
          <cell r="N62" t="str">
            <v>rt4108</v>
          </cell>
        </row>
        <row r="63">
          <cell r="K63" t="str">
            <v>YGR019W</v>
          </cell>
          <cell r="N63" t="str">
            <v>rt7537</v>
          </cell>
        </row>
        <row r="64">
          <cell r="K64" t="str">
            <v>YCR053W</v>
          </cell>
          <cell r="N64" t="str">
            <v>rt1374</v>
          </cell>
        </row>
        <row r="65">
          <cell r="K65" t="str">
            <v>YOR163W</v>
          </cell>
          <cell r="N65" t="str">
            <v/>
          </cell>
        </row>
        <row r="66">
          <cell r="K66" t="str">
            <v>YOR163W</v>
          </cell>
          <cell r="N66" t="str">
            <v/>
          </cell>
        </row>
        <row r="67">
          <cell r="K67" t="str">
            <v>YLR410W</v>
          </cell>
          <cell r="N67" t="str">
            <v>rt1973</v>
          </cell>
        </row>
        <row r="68">
          <cell r="K68" t="str">
            <v>YLR410W</v>
          </cell>
          <cell r="N68" t="str">
            <v>rt1973</v>
          </cell>
        </row>
        <row r="69">
          <cell r="K69" t="str">
            <v>YDR017C</v>
          </cell>
          <cell r="N69" t="str">
            <v>rt1395</v>
          </cell>
        </row>
        <row r="70">
          <cell r="K70" t="str">
            <v>YLR017W</v>
          </cell>
          <cell r="N70" t="str">
            <v>rt0004</v>
          </cell>
        </row>
        <row r="71">
          <cell r="K71" t="str">
            <v>YER037W</v>
          </cell>
          <cell r="N71" t="str">
            <v/>
          </cell>
        </row>
        <row r="72">
          <cell r="K72" t="str">
            <v>YGL224C</v>
          </cell>
          <cell r="N72" t="str">
            <v>rt1627</v>
          </cell>
        </row>
        <row r="73">
          <cell r="K73" t="str">
            <v>YOR155C</v>
          </cell>
          <cell r="N73" t="str">
            <v/>
          </cell>
        </row>
        <row r="74">
          <cell r="K74" t="str">
            <v>YER037W</v>
          </cell>
          <cell r="N74" t="str">
            <v/>
          </cell>
        </row>
        <row r="75">
          <cell r="K75" t="str">
            <v>YGL224C</v>
          </cell>
          <cell r="N75" t="str">
            <v>rt1627</v>
          </cell>
        </row>
        <row r="76">
          <cell r="K76" t="str">
            <v>YGR061C</v>
          </cell>
          <cell r="N76" t="str">
            <v>rt6665</v>
          </cell>
        </row>
        <row r="77">
          <cell r="K77" t="str">
            <v>YPL023C</v>
          </cell>
          <cell r="N77" t="str">
            <v>rt7115</v>
          </cell>
        </row>
        <row r="78">
          <cell r="K78" t="str">
            <v>YGL125W</v>
          </cell>
          <cell r="N78" t="str">
            <v>rt0876</v>
          </cell>
        </row>
        <row r="79">
          <cell r="K79" t="str">
            <v>YDR232W</v>
          </cell>
          <cell r="N79" t="str">
            <v>rt0309</v>
          </cell>
        </row>
        <row r="80">
          <cell r="K80" t="str">
            <v>YOR163W</v>
          </cell>
          <cell r="N80" t="str">
            <v/>
          </cell>
        </row>
        <row r="81">
          <cell r="K81" t="str">
            <v>YDR017C</v>
          </cell>
          <cell r="N81" t="str">
            <v>rt1395</v>
          </cell>
        </row>
        <row r="82">
          <cell r="K82" t="str">
            <v>YER091C</v>
          </cell>
          <cell r="N82" t="str">
            <v>rt1457</v>
          </cell>
        </row>
        <row r="83">
          <cell r="K83" t="str">
            <v>YJR024C</v>
          </cell>
          <cell r="N83" t="str">
            <v>rt7461</v>
          </cell>
        </row>
        <row r="84">
          <cell r="K84" t="str">
            <v>YPR118W</v>
          </cell>
          <cell r="N84" t="str">
            <v>rt5017</v>
          </cell>
        </row>
        <row r="85">
          <cell r="K85" t="str">
            <v>YPR118W</v>
          </cell>
          <cell r="N85" t="str">
            <v>rt5017</v>
          </cell>
        </row>
        <row r="86">
          <cell r="K86" t="str">
            <v>YLR410W</v>
          </cell>
          <cell r="N86" t="str">
            <v>rt1973</v>
          </cell>
        </row>
        <row r="87">
          <cell r="K87" t="str">
            <v>YLR410W</v>
          </cell>
          <cell r="N87" t="str">
            <v>rt1973</v>
          </cell>
        </row>
        <row r="88">
          <cell r="K88" t="str">
            <v>YLR410W</v>
          </cell>
          <cell r="N88" t="str">
            <v>rt1973</v>
          </cell>
        </row>
        <row r="89">
          <cell r="K89" t="str">
            <v>YLR410W</v>
          </cell>
          <cell r="N89" t="str">
            <v>rt1973</v>
          </cell>
        </row>
        <row r="90">
          <cell r="K90" t="str">
            <v>YOL136C</v>
          </cell>
          <cell r="N90" t="str">
            <v/>
          </cell>
        </row>
        <row r="91">
          <cell r="K91" t="str">
            <v>YIL107C</v>
          </cell>
          <cell r="N91" t="str">
            <v/>
          </cell>
        </row>
        <row r="92">
          <cell r="K92" t="str">
            <v>YGR248W</v>
          </cell>
          <cell r="N92" t="str">
            <v/>
          </cell>
        </row>
        <row r="93">
          <cell r="K93" t="str">
            <v>YHR163W</v>
          </cell>
          <cell r="N93" t="str">
            <v/>
          </cell>
        </row>
        <row r="94">
          <cell r="K94" t="str">
            <v>YLR410W</v>
          </cell>
          <cell r="N94" t="str">
            <v>rt1973</v>
          </cell>
        </row>
        <row r="95">
          <cell r="K95" t="str">
            <v>YLR410W</v>
          </cell>
          <cell r="N95" t="str">
            <v>rt1973</v>
          </cell>
        </row>
        <row r="96">
          <cell r="K96" t="str">
            <v>YOR163W</v>
          </cell>
          <cell r="N96" t="str">
            <v/>
          </cell>
        </row>
        <row r="97">
          <cell r="K97" t="str">
            <v>YOR163W</v>
          </cell>
          <cell r="N97" t="str">
            <v/>
          </cell>
        </row>
        <row r="98">
          <cell r="K98" t="str">
            <v>YDR017C</v>
          </cell>
          <cell r="N98" t="str">
            <v>rt1395</v>
          </cell>
        </row>
        <row r="99">
          <cell r="K99" t="str">
            <v>YAR069W-A</v>
          </cell>
          <cell r="N99" t="str">
            <v/>
          </cell>
        </row>
        <row r="100">
          <cell r="K100" t="str">
            <v>YHR214W-F</v>
          </cell>
          <cell r="N100" t="str">
            <v/>
          </cell>
        </row>
        <row r="101">
          <cell r="K101" t="str">
            <v>YGR087C</v>
          </cell>
          <cell r="N101" t="str">
            <v/>
          </cell>
        </row>
        <row r="102">
          <cell r="K102" t="str">
            <v>YLR044C</v>
          </cell>
          <cell r="N102" t="str">
            <v>rt7423</v>
          </cell>
        </row>
        <row r="103">
          <cell r="K103" t="str">
            <v>YLR134W</v>
          </cell>
          <cell r="N103" t="str">
            <v/>
          </cell>
        </row>
        <row r="104">
          <cell r="K104" t="str">
            <v>YLR355C</v>
          </cell>
          <cell r="N104" t="str">
            <v>rt0808</v>
          </cell>
        </row>
        <row r="105">
          <cell r="K105" t="str">
            <v>YKL192C</v>
          </cell>
          <cell r="N105" t="str">
            <v>rt5893</v>
          </cell>
        </row>
        <row r="106">
          <cell r="K106" t="str">
            <v>YKL192C</v>
          </cell>
          <cell r="N106" t="str">
            <v>rt5893</v>
          </cell>
        </row>
        <row r="107">
          <cell r="K107" t="str">
            <v>YIL160C</v>
          </cell>
          <cell r="N107" t="str">
            <v>rt5445</v>
          </cell>
        </row>
        <row r="108">
          <cell r="K108" t="str">
            <v>YIL160C</v>
          </cell>
          <cell r="N108" t="str">
            <v>rt5445</v>
          </cell>
        </row>
        <row r="109">
          <cell r="K109" t="str">
            <v>YIL160C</v>
          </cell>
          <cell r="N109" t="str">
            <v>rt5445</v>
          </cell>
        </row>
        <row r="110">
          <cell r="K110" t="str">
            <v>YPL028W</v>
          </cell>
          <cell r="N110" t="str">
            <v>rt0310</v>
          </cell>
        </row>
        <row r="111">
          <cell r="K111" t="str">
            <v>YPL028W</v>
          </cell>
          <cell r="N111" t="str">
            <v>rt0310</v>
          </cell>
        </row>
        <row r="112">
          <cell r="K112" t="str">
            <v>YPL028W</v>
          </cell>
          <cell r="N112" t="str">
            <v>rt0310</v>
          </cell>
        </row>
        <row r="113">
          <cell r="K113" t="str">
            <v>YPL028W</v>
          </cell>
          <cell r="N113" t="str">
            <v>rt0310</v>
          </cell>
        </row>
        <row r="114">
          <cell r="K114" t="str">
            <v>YIL160C</v>
          </cell>
          <cell r="N114" t="str">
            <v>rt5445</v>
          </cell>
        </row>
        <row r="115">
          <cell r="K115" t="str">
            <v>YIL160C</v>
          </cell>
          <cell r="N115" t="str">
            <v>rt5445</v>
          </cell>
        </row>
        <row r="116">
          <cell r="K116" t="str">
            <v>YIL160C</v>
          </cell>
          <cell r="N116" t="str">
            <v>rt5445</v>
          </cell>
        </row>
        <row r="117">
          <cell r="K117" t="str">
            <v>YMR207C</v>
          </cell>
          <cell r="N117" t="str">
            <v/>
          </cell>
        </row>
        <row r="118">
          <cell r="K118" t="str">
            <v>YBL015W</v>
          </cell>
          <cell r="N118" t="str">
            <v>rt5429</v>
          </cell>
        </row>
        <row r="119">
          <cell r="K119" t="str">
            <v>YLR153C</v>
          </cell>
          <cell r="N119" t="str">
            <v/>
          </cell>
        </row>
        <row r="120">
          <cell r="K120" t="str">
            <v>YER069W</v>
          </cell>
          <cell r="N120" t="str">
            <v>rt1009</v>
          </cell>
        </row>
        <row r="121">
          <cell r="K121" t="str">
            <v>YBR092C</v>
          </cell>
          <cell r="N121" t="str">
            <v/>
          </cell>
        </row>
        <row r="122">
          <cell r="K122" t="str">
            <v>YHR215W</v>
          </cell>
          <cell r="N122" t="str">
            <v/>
          </cell>
        </row>
        <row r="123">
          <cell r="K123" t="str">
            <v>YBR093C</v>
          </cell>
          <cell r="N123" t="str">
            <v/>
          </cell>
        </row>
        <row r="124">
          <cell r="K124" t="str">
            <v>YAR071W</v>
          </cell>
          <cell r="N124" t="str">
            <v>rt5051</v>
          </cell>
        </row>
        <row r="125">
          <cell r="K125" t="str">
            <v>YPR002W</v>
          </cell>
          <cell r="N125" t="str">
            <v>rt4274</v>
          </cell>
        </row>
        <row r="126">
          <cell r="K126" t="str">
            <v>YPR002W</v>
          </cell>
          <cell r="N126" t="str">
            <v>rt4274</v>
          </cell>
        </row>
        <row r="127">
          <cell r="K127" t="str">
            <v>YOL140W</v>
          </cell>
          <cell r="N127" t="str">
            <v>rt6510</v>
          </cell>
        </row>
        <row r="128">
          <cell r="K128" t="str">
            <v>YPL148C</v>
          </cell>
          <cell r="N128" t="str">
            <v/>
          </cell>
        </row>
        <row r="129">
          <cell r="K129" t="str">
            <v>YGL205W</v>
          </cell>
          <cell r="N129" t="str">
            <v>rt1332</v>
          </cell>
        </row>
        <row r="130">
          <cell r="K130" t="str">
            <v>YGL205W</v>
          </cell>
          <cell r="N130" t="str">
            <v>rt1332</v>
          </cell>
        </row>
        <row r="131">
          <cell r="K131" t="str">
            <v>YGL205W</v>
          </cell>
          <cell r="N131" t="str">
            <v>rt1332</v>
          </cell>
        </row>
        <row r="132">
          <cell r="K132" t="str">
            <v>YGL205W</v>
          </cell>
          <cell r="N132" t="str">
            <v>rt1332</v>
          </cell>
        </row>
        <row r="133">
          <cell r="K133" t="str">
            <v>YGL205W</v>
          </cell>
          <cell r="N133" t="str">
            <v>rt1332</v>
          </cell>
        </row>
        <row r="134">
          <cell r="K134" t="str">
            <v>YGL205W</v>
          </cell>
          <cell r="N134" t="str">
            <v>rt1332</v>
          </cell>
        </row>
        <row r="135">
          <cell r="K135" t="str">
            <v>YCR048W</v>
          </cell>
          <cell r="N135" t="str">
            <v/>
          </cell>
        </row>
        <row r="136">
          <cell r="K136" t="str">
            <v>YCR048W</v>
          </cell>
          <cell r="N136" t="str">
            <v/>
          </cell>
        </row>
        <row r="137">
          <cell r="K137" t="str">
            <v>YCR048W</v>
          </cell>
          <cell r="N137" t="str">
            <v/>
          </cell>
        </row>
        <row r="138">
          <cell r="K138" t="str">
            <v>YCR048W</v>
          </cell>
          <cell r="N138" t="str">
            <v/>
          </cell>
        </row>
        <row r="139">
          <cell r="K139" t="str">
            <v>YNR019W</v>
          </cell>
          <cell r="N139" t="str">
            <v>rt3431</v>
          </cell>
        </row>
        <row r="140">
          <cell r="K140" t="str">
            <v>YNR019W</v>
          </cell>
          <cell r="N140" t="str">
            <v>rt3431</v>
          </cell>
        </row>
        <row r="141">
          <cell r="K141" t="str">
            <v>YCR048W</v>
          </cell>
          <cell r="N141" t="str">
            <v/>
          </cell>
        </row>
        <row r="142">
          <cell r="K142" t="str">
            <v>YCR048W</v>
          </cell>
          <cell r="N142" t="str">
            <v/>
          </cell>
        </row>
        <row r="143">
          <cell r="K143" t="str">
            <v>YCR048W</v>
          </cell>
          <cell r="N143" t="str">
            <v/>
          </cell>
        </row>
        <row r="144">
          <cell r="K144" t="str">
            <v>YCR048W</v>
          </cell>
          <cell r="N144" t="str">
            <v/>
          </cell>
        </row>
        <row r="145">
          <cell r="K145" t="str">
            <v>YCR048W</v>
          </cell>
          <cell r="N145" t="str">
            <v/>
          </cell>
        </row>
        <row r="146">
          <cell r="K146" t="str">
            <v>YCR048W</v>
          </cell>
          <cell r="N146" t="str">
            <v/>
          </cell>
        </row>
        <row r="147">
          <cell r="K147" t="str">
            <v>YCR048W</v>
          </cell>
          <cell r="N147" t="str">
            <v/>
          </cell>
        </row>
        <row r="148">
          <cell r="K148" t="str">
            <v>YCR048W</v>
          </cell>
          <cell r="N148" t="str">
            <v/>
          </cell>
        </row>
        <row r="149">
          <cell r="K149" t="str">
            <v>YCR048W</v>
          </cell>
          <cell r="N149" t="str">
            <v/>
          </cell>
        </row>
        <row r="150">
          <cell r="K150" t="str">
            <v>YCR048W</v>
          </cell>
          <cell r="N150" t="str">
            <v/>
          </cell>
        </row>
        <row r="151">
          <cell r="K151" t="str">
            <v>YNR019W</v>
          </cell>
          <cell r="N151" t="str">
            <v>rt3431</v>
          </cell>
        </row>
        <row r="152">
          <cell r="K152" t="str">
            <v>YNR019W</v>
          </cell>
          <cell r="N152" t="str">
            <v>rt3431</v>
          </cell>
        </row>
        <row r="153">
          <cell r="K153" t="str">
            <v>YCR048W</v>
          </cell>
          <cell r="N153" t="str">
            <v/>
          </cell>
        </row>
        <row r="154">
          <cell r="K154" t="str">
            <v>YCR048W</v>
          </cell>
          <cell r="N154" t="str">
            <v/>
          </cell>
        </row>
        <row r="155">
          <cell r="K155" t="str">
            <v>YCR048W</v>
          </cell>
          <cell r="N155" t="str">
            <v/>
          </cell>
        </row>
        <row r="156">
          <cell r="K156" t="str">
            <v>YCR048W</v>
          </cell>
          <cell r="N156" t="str">
            <v/>
          </cell>
        </row>
        <row r="157">
          <cell r="K157" t="str">
            <v>YCR048W</v>
          </cell>
          <cell r="N157" t="str">
            <v/>
          </cell>
        </row>
        <row r="158">
          <cell r="K158" t="str">
            <v>YCR048W</v>
          </cell>
          <cell r="N158" t="str">
            <v/>
          </cell>
        </row>
        <row r="159">
          <cell r="K159" t="str">
            <v>YJL091C</v>
          </cell>
          <cell r="N159" t="str">
            <v>rt3333</v>
          </cell>
        </row>
        <row r="160">
          <cell r="K160" t="str">
            <v>YJL091C</v>
          </cell>
          <cell r="N160" t="str">
            <v>rt3333</v>
          </cell>
        </row>
        <row r="161">
          <cell r="K161" t="str">
            <v>YNL141W</v>
          </cell>
          <cell r="N161" t="str">
            <v>rt8364</v>
          </cell>
        </row>
        <row r="162">
          <cell r="K162" t="str">
            <v>YML022W</v>
          </cell>
          <cell r="N162" t="str">
            <v>rt7825</v>
          </cell>
        </row>
        <row r="163">
          <cell r="K163" t="str">
            <v>YDR441C</v>
          </cell>
          <cell r="N163" t="str">
            <v/>
          </cell>
        </row>
        <row r="164">
          <cell r="K164" t="str">
            <v>YNL141W</v>
          </cell>
          <cell r="N164" t="str">
            <v>rt8364</v>
          </cell>
        </row>
        <row r="165">
          <cell r="K165" t="str">
            <v>YJR105W</v>
          </cell>
          <cell r="N165" t="str">
            <v>rt0017</v>
          </cell>
        </row>
        <row r="166">
          <cell r="K166" t="str">
            <v>YML035C</v>
          </cell>
          <cell r="N166" t="str">
            <v>rt3101</v>
          </cell>
        </row>
        <row r="167">
          <cell r="K167" t="str">
            <v>YER043C</v>
          </cell>
          <cell r="N167" t="str">
            <v>rt4544</v>
          </cell>
        </row>
        <row r="168">
          <cell r="K168" t="str">
            <v>YOL052C</v>
          </cell>
          <cell r="N168" t="str">
            <v>rt2849</v>
          </cell>
        </row>
        <row r="169">
          <cell r="K169" t="str">
            <v>YNR058W</v>
          </cell>
          <cell r="N169" t="str">
            <v>rt4363</v>
          </cell>
        </row>
        <row r="170">
          <cell r="K170" t="str">
            <v>YNR058W</v>
          </cell>
          <cell r="N170" t="str">
            <v>rt4363</v>
          </cell>
        </row>
        <row r="171">
          <cell r="K171" t="str">
            <v>YJL005W</v>
          </cell>
          <cell r="N171" t="str">
            <v>rt4919</v>
          </cell>
        </row>
        <row r="172">
          <cell r="K172" t="str">
            <v>YDR226W</v>
          </cell>
          <cell r="N172" t="str">
            <v>rt7128</v>
          </cell>
        </row>
        <row r="173">
          <cell r="K173" t="str">
            <v>YDL166C</v>
          </cell>
          <cell r="N173" t="str">
            <v>rt3932</v>
          </cell>
        </row>
        <row r="174">
          <cell r="K174" t="str">
            <v>YER170W</v>
          </cell>
          <cell r="N174" t="str">
            <v>rt6761</v>
          </cell>
        </row>
        <row r="175">
          <cell r="K175" t="str">
            <v>YER170W</v>
          </cell>
          <cell r="N175" t="str">
            <v>rt6761</v>
          </cell>
        </row>
        <row r="176">
          <cell r="K176" t="str">
            <v>YER170W</v>
          </cell>
          <cell r="N176" t="str">
            <v>rt6761</v>
          </cell>
        </row>
        <row r="177">
          <cell r="K177" t="str">
            <v>YLR359W</v>
          </cell>
          <cell r="N177" t="str">
            <v>rt7437</v>
          </cell>
        </row>
        <row r="178">
          <cell r="K178" t="str">
            <v>YLR359W</v>
          </cell>
          <cell r="N178" t="str">
            <v>rt7437</v>
          </cell>
        </row>
        <row r="179">
          <cell r="K179" t="str">
            <v>YLR359W</v>
          </cell>
          <cell r="N179" t="str">
            <v>rt7437</v>
          </cell>
        </row>
        <row r="180">
          <cell r="K180" t="str">
            <v>YNL220W</v>
          </cell>
          <cell r="N180" t="str">
            <v>rt3802</v>
          </cell>
        </row>
        <row r="181">
          <cell r="K181" t="str">
            <v>YKL001C</v>
          </cell>
          <cell r="N181" t="str">
            <v>rt0341</v>
          </cell>
        </row>
        <row r="182">
          <cell r="K182" t="str">
            <v>YGR247W</v>
          </cell>
          <cell r="N182" t="str">
            <v/>
          </cell>
        </row>
        <row r="183">
          <cell r="K183" t="str">
            <v>YFL030W</v>
          </cell>
          <cell r="N183" t="str">
            <v>rt0451</v>
          </cell>
        </row>
        <row r="184">
          <cell r="K184" t="str">
            <v>YOR335C</v>
          </cell>
          <cell r="N184" t="str">
            <v>rt3605</v>
          </cell>
        </row>
        <row r="185">
          <cell r="K185" t="str">
            <v>YGR177C</v>
          </cell>
          <cell r="N185" t="str">
            <v/>
          </cell>
        </row>
        <row r="186">
          <cell r="K186" t="str">
            <v>YOR377W</v>
          </cell>
          <cell r="N186" t="str">
            <v/>
          </cell>
        </row>
        <row r="187">
          <cell r="K187" t="str">
            <v>YGR177C</v>
          </cell>
          <cell r="N187" t="str">
            <v/>
          </cell>
        </row>
        <row r="188">
          <cell r="K188" t="str">
            <v>YOR377W</v>
          </cell>
          <cell r="N188" t="str">
            <v/>
          </cell>
        </row>
        <row r="189">
          <cell r="K189" t="str">
            <v>YGR177C</v>
          </cell>
          <cell r="N189" t="str">
            <v/>
          </cell>
        </row>
        <row r="190">
          <cell r="K190" t="str">
            <v>YOR377W</v>
          </cell>
          <cell r="N190" t="str">
            <v/>
          </cell>
        </row>
        <row r="191">
          <cell r="K191" t="str">
            <v>YGR177C</v>
          </cell>
          <cell r="N191" t="str">
            <v/>
          </cell>
        </row>
        <row r="192">
          <cell r="K192" t="str">
            <v>YOR377W</v>
          </cell>
          <cell r="N192" t="str">
            <v/>
          </cell>
        </row>
        <row r="193">
          <cell r="K193" t="str">
            <v>YGR177C</v>
          </cell>
          <cell r="N193" t="str">
            <v/>
          </cell>
        </row>
        <row r="194">
          <cell r="K194" t="str">
            <v>YOR377W</v>
          </cell>
          <cell r="N194" t="str">
            <v/>
          </cell>
        </row>
        <row r="195">
          <cell r="K195" t="str">
            <v>YMR303C</v>
          </cell>
          <cell r="N195" t="str">
            <v>rt3282</v>
          </cell>
        </row>
        <row r="196">
          <cell r="K196" t="str">
            <v>YHR104W</v>
          </cell>
          <cell r="N196" t="str">
            <v/>
          </cell>
        </row>
        <row r="197">
          <cell r="K197" t="str">
            <v>YDR368W</v>
          </cell>
          <cell r="N197" t="str">
            <v>rt3514</v>
          </cell>
        </row>
        <row r="198">
          <cell r="K198" t="str">
            <v>YMR083W</v>
          </cell>
          <cell r="N198" t="str">
            <v>rt7070</v>
          </cell>
        </row>
        <row r="199">
          <cell r="K199" t="str">
            <v>YGL256W</v>
          </cell>
          <cell r="N199" t="str">
            <v>rt0733</v>
          </cell>
        </row>
        <row r="200">
          <cell r="K200" t="str">
            <v>YBR145W</v>
          </cell>
          <cell r="N200" t="str">
            <v>rt7110</v>
          </cell>
        </row>
        <row r="201">
          <cell r="K201" t="str">
            <v>YDL168W</v>
          </cell>
          <cell r="N201" t="str">
            <v>rt5740</v>
          </cell>
        </row>
        <row r="202">
          <cell r="K202" t="str">
            <v>YOL086C</v>
          </cell>
          <cell r="N202" t="str">
            <v>rt8149</v>
          </cell>
        </row>
        <row r="203">
          <cell r="K203" t="str">
            <v>YMR083W</v>
          </cell>
          <cell r="N203" t="str">
            <v>rt7070</v>
          </cell>
        </row>
        <row r="204">
          <cell r="K204" t="str">
            <v>YGL256W</v>
          </cell>
          <cell r="N204" t="str">
            <v>rt0733</v>
          </cell>
        </row>
        <row r="205">
          <cell r="K205" t="str">
            <v>YDR368W</v>
          </cell>
          <cell r="N205" t="str">
            <v>rt3514</v>
          </cell>
        </row>
        <row r="206">
          <cell r="K206" t="str">
            <v>YMR318C</v>
          </cell>
          <cell r="N206" t="str">
            <v>rt5579</v>
          </cell>
        </row>
        <row r="207">
          <cell r="K207" t="str">
            <v>YCR105W</v>
          </cell>
          <cell r="N207" t="str">
            <v>rt5194</v>
          </cell>
        </row>
        <row r="208">
          <cell r="K208" t="str">
            <v>YBR145W</v>
          </cell>
          <cell r="N208" t="str">
            <v>rt7110</v>
          </cell>
        </row>
        <row r="209">
          <cell r="K209" t="str">
            <v>YDL168W</v>
          </cell>
          <cell r="N209" t="str">
            <v>rt5740</v>
          </cell>
        </row>
        <row r="210">
          <cell r="K210" t="str">
            <v>YOL086C</v>
          </cell>
          <cell r="N210" t="str">
            <v>rt8149</v>
          </cell>
        </row>
        <row r="211">
          <cell r="K211" t="str">
            <v>YMR083W</v>
          </cell>
          <cell r="N211" t="str">
            <v>rt7070</v>
          </cell>
        </row>
        <row r="212">
          <cell r="K212" t="str">
            <v>YGL256W</v>
          </cell>
          <cell r="N212" t="str">
            <v>rt0733</v>
          </cell>
        </row>
        <row r="213">
          <cell r="K213" t="str">
            <v>YMR318C</v>
          </cell>
          <cell r="N213" t="str">
            <v>rt5579</v>
          </cell>
        </row>
        <row r="214">
          <cell r="K214" t="str">
            <v>YCR105W</v>
          </cell>
          <cell r="N214" t="str">
            <v>rt5194</v>
          </cell>
        </row>
        <row r="215">
          <cell r="K215" t="str">
            <v>YMR170C</v>
          </cell>
          <cell r="N215" t="str">
            <v/>
          </cell>
        </row>
        <row r="216">
          <cell r="K216" t="str">
            <v>YMR169C</v>
          </cell>
          <cell r="N216" t="str">
            <v/>
          </cell>
        </row>
        <row r="217">
          <cell r="K217" t="str">
            <v>YMR110C</v>
          </cell>
          <cell r="N217" t="str">
            <v>rt7955</v>
          </cell>
        </row>
        <row r="218">
          <cell r="K218" t="str">
            <v>YPL061W</v>
          </cell>
          <cell r="N218" t="str">
            <v/>
          </cell>
        </row>
        <row r="219">
          <cell r="K219" t="str">
            <v>YOR374W</v>
          </cell>
          <cell r="N219" t="str">
            <v>rt2756</v>
          </cell>
        </row>
        <row r="220">
          <cell r="K220" t="str">
            <v>YOR374W</v>
          </cell>
          <cell r="N220" t="str">
            <v>rt2756</v>
          </cell>
        </row>
        <row r="221">
          <cell r="K221" t="str">
            <v>YER073W</v>
          </cell>
          <cell r="N221" t="str">
            <v>rt3674</v>
          </cell>
        </row>
        <row r="222">
          <cell r="K222" t="str">
            <v>YOR374W</v>
          </cell>
          <cell r="N222" t="str">
            <v>rt2756</v>
          </cell>
        </row>
        <row r="223">
          <cell r="K223" t="str">
            <v>YPL061W</v>
          </cell>
          <cell r="N223" t="str">
            <v/>
          </cell>
        </row>
        <row r="224">
          <cell r="K224" t="str">
            <v>YER073W</v>
          </cell>
          <cell r="N224" t="str">
            <v>rt3674</v>
          </cell>
        </row>
        <row r="225">
          <cell r="K225" t="str">
            <v>YOR374W</v>
          </cell>
          <cell r="N225" t="str">
            <v>rt2756</v>
          </cell>
        </row>
        <row r="226">
          <cell r="K226" t="str">
            <v>YBR145W</v>
          </cell>
          <cell r="N226" t="str">
            <v>rt7110</v>
          </cell>
        </row>
        <row r="227">
          <cell r="K227" t="str">
            <v>YOL086C</v>
          </cell>
          <cell r="N227" t="str">
            <v>rt8149</v>
          </cell>
        </row>
        <row r="228">
          <cell r="K228" t="str">
            <v>YDL168W</v>
          </cell>
          <cell r="N228" t="str">
            <v>rt5740</v>
          </cell>
        </row>
        <row r="229">
          <cell r="K229" t="str">
            <v>YMR083W</v>
          </cell>
          <cell r="N229" t="str">
            <v>rt7070</v>
          </cell>
        </row>
        <row r="230">
          <cell r="K230" t="str">
            <v>YGL256W</v>
          </cell>
          <cell r="N230" t="str">
            <v>rt0733</v>
          </cell>
        </row>
        <row r="231">
          <cell r="K231" t="str">
            <v>YMR318C</v>
          </cell>
          <cell r="N231" t="str">
            <v>rt5579</v>
          </cell>
        </row>
        <row r="232">
          <cell r="K232" t="str">
            <v>YCR105W</v>
          </cell>
          <cell r="N232" t="str">
            <v>rt5194</v>
          </cell>
        </row>
        <row r="233">
          <cell r="K233" t="str">
            <v>YBR145W</v>
          </cell>
          <cell r="N233" t="str">
            <v>rt7110</v>
          </cell>
        </row>
        <row r="234">
          <cell r="K234" t="str">
            <v>YDL168W</v>
          </cell>
          <cell r="N234" t="str">
            <v>rt5740</v>
          </cell>
        </row>
        <row r="235">
          <cell r="K235" t="str">
            <v>YOL086C</v>
          </cell>
          <cell r="N235" t="str">
            <v>rt8149</v>
          </cell>
        </row>
        <row r="236">
          <cell r="K236" t="str">
            <v>YMR083W</v>
          </cell>
          <cell r="N236" t="str">
            <v>rt7070</v>
          </cell>
        </row>
        <row r="237">
          <cell r="K237" t="str">
            <v>YGL256W</v>
          </cell>
          <cell r="N237" t="str">
            <v>rt0733</v>
          </cell>
        </row>
        <row r="238">
          <cell r="K238" t="str">
            <v>YMR318C</v>
          </cell>
          <cell r="N238" t="str">
            <v>rt5579</v>
          </cell>
        </row>
        <row r="239">
          <cell r="K239" t="str">
            <v>YCR105W</v>
          </cell>
          <cell r="N239" t="str">
            <v>rt5194</v>
          </cell>
        </row>
        <row r="240">
          <cell r="K240" t="str">
            <v>YMR170C</v>
          </cell>
          <cell r="N240" t="str">
            <v/>
          </cell>
        </row>
        <row r="241">
          <cell r="K241" t="str">
            <v>YMR169C</v>
          </cell>
          <cell r="N241" t="str">
            <v/>
          </cell>
        </row>
        <row r="242">
          <cell r="K242" t="str">
            <v>YBR145W</v>
          </cell>
          <cell r="N242" t="str">
            <v>rt7110</v>
          </cell>
        </row>
        <row r="243">
          <cell r="K243" t="str">
            <v>YDL168W</v>
          </cell>
          <cell r="N243" t="str">
            <v>rt5740</v>
          </cell>
        </row>
        <row r="244">
          <cell r="K244" t="str">
            <v>YOL086C</v>
          </cell>
          <cell r="N244" t="str">
            <v>rt8149</v>
          </cell>
        </row>
        <row r="245">
          <cell r="K245" t="str">
            <v>YMR083W</v>
          </cell>
          <cell r="N245" t="str">
            <v>rt7070</v>
          </cell>
        </row>
        <row r="246">
          <cell r="K246" t="str">
            <v>YGL256W</v>
          </cell>
          <cell r="N246" t="str">
            <v>rt0733</v>
          </cell>
        </row>
        <row r="247">
          <cell r="K247" t="str">
            <v>YDR481C</v>
          </cell>
          <cell r="N247" t="str">
            <v>rt5041</v>
          </cell>
        </row>
        <row r="248">
          <cell r="K248" t="str">
            <v>YIR029W</v>
          </cell>
          <cell r="N248" t="str">
            <v>rt6356</v>
          </cell>
        </row>
        <row r="249">
          <cell r="K249" t="str">
            <v>YIR029W</v>
          </cell>
          <cell r="N249" t="str">
            <v>rt6356</v>
          </cell>
        </row>
        <row r="250">
          <cell r="K250" t="str">
            <v>YIR027C</v>
          </cell>
          <cell r="N250" t="str">
            <v>rt3516</v>
          </cell>
        </row>
        <row r="251">
          <cell r="K251" t="str">
            <v>YIR027C</v>
          </cell>
          <cell r="N251" t="str">
            <v>rt3516</v>
          </cell>
        </row>
        <row r="252">
          <cell r="K252" t="str">
            <v>YBR208C</v>
          </cell>
          <cell r="N252" t="str">
            <v>rt0958</v>
          </cell>
        </row>
        <row r="253">
          <cell r="K253" t="str">
            <v>YKR061W</v>
          </cell>
          <cell r="N253" t="str">
            <v/>
          </cell>
        </row>
        <row r="254">
          <cell r="K254" t="str">
            <v>YBR199W</v>
          </cell>
          <cell r="N254" t="str">
            <v/>
          </cell>
        </row>
        <row r="255">
          <cell r="K255" t="str">
            <v>YOR099W</v>
          </cell>
          <cell r="N255" t="str">
            <v>rt2093</v>
          </cell>
        </row>
        <row r="256">
          <cell r="K256" t="str">
            <v>YJL139C</v>
          </cell>
          <cell r="N256" t="str">
            <v/>
          </cell>
        </row>
        <row r="257">
          <cell r="K257" t="str">
            <v>YBR205W</v>
          </cell>
          <cell r="N257" t="str">
            <v/>
          </cell>
        </row>
        <row r="258">
          <cell r="K258" t="str">
            <v>YNL029C</v>
          </cell>
          <cell r="N258" t="str">
            <v/>
          </cell>
        </row>
        <row r="259">
          <cell r="K259" t="str">
            <v>YDR483W</v>
          </cell>
          <cell r="N259" t="str">
            <v>rt7201</v>
          </cell>
        </row>
        <row r="260">
          <cell r="K260" t="str">
            <v>YPL053C</v>
          </cell>
          <cell r="N260" t="str">
            <v/>
          </cell>
        </row>
        <row r="261">
          <cell r="K261" t="str">
            <v>YBR001C</v>
          </cell>
          <cell r="N261" t="str">
            <v/>
          </cell>
        </row>
        <row r="262">
          <cell r="K262" t="str">
            <v>YPR026W</v>
          </cell>
          <cell r="N262" t="str">
            <v>rt0008</v>
          </cell>
        </row>
        <row r="263">
          <cell r="K263" t="str">
            <v>YDR001C</v>
          </cell>
          <cell r="N263" t="str">
            <v/>
          </cell>
        </row>
        <row r="264">
          <cell r="K264" t="str">
            <v>YGR292W</v>
          </cell>
          <cell r="N264" t="str">
            <v/>
          </cell>
        </row>
        <row r="265">
          <cell r="K265" t="str">
            <v>YJL216C</v>
          </cell>
          <cell r="N265" t="str">
            <v/>
          </cell>
        </row>
        <row r="266">
          <cell r="K266" t="str">
            <v>YJL221C</v>
          </cell>
          <cell r="N266" t="str">
            <v/>
          </cell>
        </row>
        <row r="267">
          <cell r="K267" t="str">
            <v>YGR287C</v>
          </cell>
          <cell r="N267" t="str">
            <v/>
          </cell>
        </row>
        <row r="268">
          <cell r="K268" t="str">
            <v>YBR299W</v>
          </cell>
          <cell r="N268" t="str">
            <v/>
          </cell>
        </row>
        <row r="269">
          <cell r="K269" t="str">
            <v>YIL172C</v>
          </cell>
          <cell r="N269" t="str">
            <v/>
          </cell>
        </row>
        <row r="270">
          <cell r="K270" t="str">
            <v>HER2PET112GTF1</v>
          </cell>
          <cell r="N270" t="str">
            <v/>
          </cell>
        </row>
        <row r="271">
          <cell r="K271" t="str">
            <v>YOR374W</v>
          </cell>
          <cell r="N271" t="str">
            <v>rt2756</v>
          </cell>
        </row>
        <row r="272">
          <cell r="K272" t="str">
            <v>YDR354W</v>
          </cell>
          <cell r="N272" t="str">
            <v>rt1532</v>
          </cell>
        </row>
        <row r="273">
          <cell r="K273" t="str">
            <v>YDR305C</v>
          </cell>
          <cell r="N273" t="str">
            <v>rt0084</v>
          </cell>
        </row>
        <row r="274">
          <cell r="K274" t="str">
            <v>YDR305C</v>
          </cell>
          <cell r="N274" t="str">
            <v>rt0084</v>
          </cell>
        </row>
        <row r="275">
          <cell r="K275" t="str">
            <v>YHR104W</v>
          </cell>
          <cell r="N275" t="str">
            <v/>
          </cell>
        </row>
        <row r="276">
          <cell r="K276" t="str">
            <v>YPL111W</v>
          </cell>
          <cell r="N276" t="str">
            <v>rt7813</v>
          </cell>
        </row>
        <row r="277">
          <cell r="K277" t="str">
            <v>YHR018C</v>
          </cell>
          <cell r="N277" t="str">
            <v>rt3236</v>
          </cell>
        </row>
        <row r="278">
          <cell r="K278" t="str">
            <v>YHR018C</v>
          </cell>
          <cell r="N278" t="str">
            <v>rt3236</v>
          </cell>
        </row>
        <row r="279">
          <cell r="K279" t="str">
            <v>YOL058W</v>
          </cell>
          <cell r="N279" t="str">
            <v>rt7828</v>
          </cell>
        </row>
        <row r="280">
          <cell r="K280" t="str">
            <v>YOL058W</v>
          </cell>
          <cell r="N280" t="str">
            <v>rt7828</v>
          </cell>
        </row>
        <row r="281">
          <cell r="K281" t="str">
            <v>YDR341C</v>
          </cell>
          <cell r="N281" t="str">
            <v>rt1711</v>
          </cell>
        </row>
        <row r="282">
          <cell r="K282" t="str">
            <v>YHR091C</v>
          </cell>
          <cell r="N282" t="str">
            <v/>
          </cell>
        </row>
        <row r="283">
          <cell r="K283" t="str">
            <v>YPR145W</v>
          </cell>
          <cell r="N283" t="str">
            <v/>
          </cell>
        </row>
        <row r="284">
          <cell r="K284" t="str">
            <v>YGR124W</v>
          </cell>
          <cell r="N284" t="str">
            <v>rt6769</v>
          </cell>
        </row>
        <row r="285">
          <cell r="K285" t="str">
            <v>YHR019C</v>
          </cell>
          <cell r="N285" t="str">
            <v>rt0799</v>
          </cell>
        </row>
        <row r="286">
          <cell r="K286" t="str">
            <v>YCR024C</v>
          </cell>
          <cell r="N286" t="str">
            <v>rt3755</v>
          </cell>
        </row>
        <row r="287">
          <cell r="K287" t="str">
            <v>YJL130C</v>
          </cell>
          <cell r="N287" t="str">
            <v>rt8313</v>
          </cell>
        </row>
        <row r="288">
          <cell r="K288" t="str">
            <v>YER052C</v>
          </cell>
          <cell r="N288" t="str">
            <v>rt6294</v>
          </cell>
        </row>
        <row r="289">
          <cell r="K289" t="str">
            <v>YKL106W</v>
          </cell>
          <cell r="N289" t="str">
            <v>rt5913</v>
          </cell>
        </row>
        <row r="290">
          <cell r="K290" t="str">
            <v>YDR158W</v>
          </cell>
          <cell r="N290" t="str">
            <v>rt1962</v>
          </cell>
        </row>
        <row r="291">
          <cell r="K291" t="str">
            <v>YLL018C</v>
          </cell>
          <cell r="N291" t="str">
            <v>rt5890</v>
          </cell>
        </row>
        <row r="292">
          <cell r="K292" t="str">
            <v>YPL104W</v>
          </cell>
          <cell r="N292" t="str">
            <v/>
          </cell>
        </row>
        <row r="293">
          <cell r="K293" t="str">
            <v>YDR530C</v>
          </cell>
          <cell r="N293" t="str">
            <v>rt8184</v>
          </cell>
        </row>
        <row r="294">
          <cell r="K294" t="str">
            <v>YCL050C</v>
          </cell>
          <cell r="N294" t="str">
            <v/>
          </cell>
        </row>
        <row r="295">
          <cell r="K295" t="str">
            <v>YCL050C</v>
          </cell>
          <cell r="N295" t="str">
            <v/>
          </cell>
        </row>
        <row r="296">
          <cell r="K296" t="str">
            <v>YER055C</v>
          </cell>
          <cell r="N296" t="str">
            <v>rt1520</v>
          </cell>
        </row>
        <row r="297">
          <cell r="K297" t="str">
            <v>YBR110W</v>
          </cell>
          <cell r="N297" t="str">
            <v>rt6298</v>
          </cell>
        </row>
        <row r="298">
          <cell r="K298" t="str">
            <v>YGR286C</v>
          </cell>
          <cell r="N298" t="str">
            <v>rt7540</v>
          </cell>
        </row>
        <row r="299">
          <cell r="K299" t="str">
            <v>YGR286C</v>
          </cell>
          <cell r="N299" t="str">
            <v>rt7540</v>
          </cell>
        </row>
        <row r="300">
          <cell r="K300" t="str">
            <v>YNL280C</v>
          </cell>
          <cell r="N300" t="str">
            <v>rt0303</v>
          </cell>
        </row>
        <row r="301">
          <cell r="K301" t="str">
            <v>YMR015C</v>
          </cell>
          <cell r="N301" t="str">
            <v>rt3348</v>
          </cell>
        </row>
        <row r="302">
          <cell r="K302" t="str">
            <v>YGL001C</v>
          </cell>
          <cell r="N302" t="str">
            <v>rt0467</v>
          </cell>
        </row>
        <row r="303">
          <cell r="K303" t="str">
            <v>YGL001C</v>
          </cell>
          <cell r="N303" t="str">
            <v>rt0467</v>
          </cell>
        </row>
        <row r="304">
          <cell r="K304" t="str">
            <v>YLR100W</v>
          </cell>
          <cell r="N304" t="str">
            <v/>
          </cell>
        </row>
        <row r="305">
          <cell r="K305" t="str">
            <v>YLR100W</v>
          </cell>
          <cell r="N305" t="str">
            <v/>
          </cell>
        </row>
        <row r="306">
          <cell r="K306" t="str">
            <v>YGR060W</v>
          </cell>
          <cell r="N306" t="str">
            <v>rt8272</v>
          </cell>
        </row>
        <row r="307">
          <cell r="K307" t="str">
            <v>YGR060W</v>
          </cell>
          <cell r="N307" t="str">
            <v>rt8272</v>
          </cell>
        </row>
        <row r="308">
          <cell r="K308" t="str">
            <v>YGR060W</v>
          </cell>
          <cell r="N308" t="str">
            <v>rt8272</v>
          </cell>
        </row>
        <row r="309">
          <cell r="K309" t="str">
            <v>YGR060W</v>
          </cell>
          <cell r="N309" t="str">
            <v>rt8272</v>
          </cell>
        </row>
        <row r="310">
          <cell r="K310" t="str">
            <v>YLR056W</v>
          </cell>
          <cell r="N310" t="str">
            <v>rt0413</v>
          </cell>
        </row>
        <row r="311">
          <cell r="K311" t="str">
            <v>YMR202W</v>
          </cell>
          <cell r="N311" t="str">
            <v>rt1745</v>
          </cell>
        </row>
        <row r="312">
          <cell r="K312" t="str">
            <v>YGL012W</v>
          </cell>
          <cell r="N312" t="str">
            <v>rt2613</v>
          </cell>
        </row>
        <row r="313">
          <cell r="K313" t="str">
            <v>YAR035W</v>
          </cell>
          <cell r="N313" t="str">
            <v>rt5212</v>
          </cell>
        </row>
        <row r="314">
          <cell r="K314" t="str">
            <v>YER024W</v>
          </cell>
          <cell r="N314" t="str">
            <v/>
          </cell>
        </row>
        <row r="315">
          <cell r="K315" t="str">
            <v>YGR088W</v>
          </cell>
          <cell r="N315" t="str">
            <v>rt0986</v>
          </cell>
        </row>
        <row r="316">
          <cell r="K316" t="str">
            <v>YDR256C</v>
          </cell>
          <cell r="N316" t="str">
            <v>rt6937</v>
          </cell>
        </row>
        <row r="317">
          <cell r="K317" t="str">
            <v>YDR297W</v>
          </cell>
          <cell r="N317" t="str">
            <v>rt6946</v>
          </cell>
        </row>
        <row r="318">
          <cell r="K318" t="str">
            <v>YMR272C</v>
          </cell>
          <cell r="N318" t="str">
            <v>rt1296</v>
          </cell>
        </row>
        <row r="319">
          <cell r="K319" t="str">
            <v>YDR297W</v>
          </cell>
          <cell r="N319" t="str">
            <v>rt6946</v>
          </cell>
        </row>
        <row r="320">
          <cell r="K320" t="str">
            <v>YMR272C</v>
          </cell>
          <cell r="N320" t="str">
            <v>rt1296</v>
          </cell>
        </row>
        <row r="321">
          <cell r="K321" t="str">
            <v>YMR272C</v>
          </cell>
          <cell r="N321" t="str">
            <v>rt1296</v>
          </cell>
        </row>
        <row r="322">
          <cell r="K322" t="str">
            <v>YMR272C</v>
          </cell>
          <cell r="N322" t="str">
            <v>rt1296</v>
          </cell>
        </row>
        <row r="323">
          <cell r="K323" t="str">
            <v>YMR272C</v>
          </cell>
          <cell r="N323" t="str">
            <v>rt1296</v>
          </cell>
        </row>
        <row r="324">
          <cell r="K324" t="str">
            <v>YMR272C</v>
          </cell>
          <cell r="N324" t="str">
            <v>rt1296</v>
          </cell>
        </row>
        <row r="325">
          <cell r="K325" t="str">
            <v>YLR308W</v>
          </cell>
          <cell r="N325" t="str">
            <v>rt6259</v>
          </cell>
        </row>
        <row r="326">
          <cell r="K326" t="str">
            <v>YLR307W</v>
          </cell>
          <cell r="N326" t="str">
            <v>rt0086</v>
          </cell>
        </row>
        <row r="327">
          <cell r="K327" t="str">
            <v>YBR023C</v>
          </cell>
          <cell r="N327" t="str">
            <v>rt6173</v>
          </cell>
        </row>
        <row r="328">
          <cell r="K328" t="str">
            <v>YBR038W</v>
          </cell>
          <cell r="N328" t="str">
            <v>rt1343</v>
          </cell>
        </row>
        <row r="329">
          <cell r="K329" t="str">
            <v>YNL192W</v>
          </cell>
          <cell r="N329" t="str">
            <v/>
          </cell>
        </row>
        <row r="330">
          <cell r="K330" t="str">
            <v>YLR133W</v>
          </cell>
          <cell r="N330" t="str">
            <v>rt7614</v>
          </cell>
        </row>
        <row r="331">
          <cell r="K331" t="str">
            <v>YGR202C</v>
          </cell>
          <cell r="N331" t="str">
            <v>rt2172</v>
          </cell>
        </row>
        <row r="332">
          <cell r="K332" t="str">
            <v>YPR060C</v>
          </cell>
          <cell r="N332" t="str">
            <v>rt1336</v>
          </cell>
        </row>
        <row r="333">
          <cell r="K333" t="str">
            <v>YGL148W</v>
          </cell>
          <cell r="N333" t="str">
            <v>rt5669</v>
          </cell>
        </row>
        <row r="334">
          <cell r="K334" t="str">
            <v>SRT1NUS1</v>
          </cell>
          <cell r="N334" t="str">
            <v/>
          </cell>
        </row>
        <row r="335">
          <cell r="K335" t="str">
            <v>SRT1NUS1</v>
          </cell>
          <cell r="N335" t="str">
            <v/>
          </cell>
        </row>
        <row r="336">
          <cell r="K336" t="str">
            <v>SRT1NUS1</v>
          </cell>
          <cell r="N336" t="str">
            <v/>
          </cell>
        </row>
        <row r="337">
          <cell r="K337" t="str">
            <v>SRT1NUS1</v>
          </cell>
          <cell r="N337" t="str">
            <v/>
          </cell>
        </row>
        <row r="338">
          <cell r="K338" t="str">
            <v>SRT1NUS1</v>
          </cell>
          <cell r="N338" t="str">
            <v/>
          </cell>
        </row>
        <row r="339">
          <cell r="K339" t="str">
            <v>SRT1NUS1</v>
          </cell>
          <cell r="N339" t="str">
            <v/>
          </cell>
        </row>
        <row r="340">
          <cell r="K340" t="str">
            <v>SRT1NUS1</v>
          </cell>
          <cell r="N340" t="str">
            <v/>
          </cell>
        </row>
        <row r="341">
          <cell r="K341" t="str">
            <v>SRT1NUS1</v>
          </cell>
          <cell r="N341" t="str">
            <v/>
          </cell>
        </row>
        <row r="342">
          <cell r="K342" t="str">
            <v>SRT1NUS1</v>
          </cell>
          <cell r="N342" t="str">
            <v/>
          </cell>
        </row>
        <row r="343">
          <cell r="K343" t="str">
            <v>SRT1NUS1</v>
          </cell>
          <cell r="N343" t="str">
            <v/>
          </cell>
        </row>
        <row r="344">
          <cell r="K344" t="str">
            <v>SRT1NUS1</v>
          </cell>
          <cell r="N344" t="str">
            <v/>
          </cell>
        </row>
        <row r="345">
          <cell r="K345" t="str">
            <v>SRT1NUS1</v>
          </cell>
          <cell r="N345" t="str">
            <v/>
          </cell>
        </row>
        <row r="346">
          <cell r="K346" t="str">
            <v>SRT1NUS1</v>
          </cell>
          <cell r="N346" t="str">
            <v/>
          </cell>
        </row>
        <row r="347">
          <cell r="K347" t="str">
            <v>SRT1NUS1</v>
          </cell>
          <cell r="N347" t="str">
            <v/>
          </cell>
        </row>
        <row r="348">
          <cell r="K348" t="str">
            <v>SRT1NUS1</v>
          </cell>
          <cell r="N348" t="str">
            <v/>
          </cell>
        </row>
        <row r="349">
          <cell r="K349" t="str">
            <v>SRT1NUS1</v>
          </cell>
          <cell r="N349" t="str">
            <v/>
          </cell>
        </row>
        <row r="350">
          <cell r="K350" t="str">
            <v>SRT1NUS1</v>
          </cell>
          <cell r="N350" t="str">
            <v/>
          </cell>
        </row>
        <row r="351">
          <cell r="K351" t="str">
            <v>SRT1NUS1</v>
          </cell>
          <cell r="N351" t="str">
            <v/>
          </cell>
        </row>
        <row r="352">
          <cell r="K352" t="str">
            <v>SRT1NUS1</v>
          </cell>
          <cell r="N352" t="str">
            <v/>
          </cell>
        </row>
        <row r="353">
          <cell r="K353" t="str">
            <v>SRT1NUS1</v>
          </cell>
          <cell r="N353" t="str">
            <v/>
          </cell>
        </row>
        <row r="354">
          <cell r="K354" t="str">
            <v>SRT1NUS1</v>
          </cell>
          <cell r="N354" t="str">
            <v/>
          </cell>
        </row>
        <row r="355">
          <cell r="K355" t="str">
            <v>YPR001W</v>
          </cell>
          <cell r="N355" t="str">
            <v>rt2960</v>
          </cell>
        </row>
        <row r="356">
          <cell r="K356" t="str">
            <v>YNR001C</v>
          </cell>
          <cell r="N356" t="str">
            <v>rt2963</v>
          </cell>
        </row>
        <row r="357">
          <cell r="K357" t="str">
            <v>YCR005C</v>
          </cell>
          <cell r="N357" t="str">
            <v>rt0180</v>
          </cell>
        </row>
        <row r="358">
          <cell r="K358" t="str">
            <v>YDR044W</v>
          </cell>
          <cell r="N358" t="str">
            <v>rt5829</v>
          </cell>
        </row>
        <row r="359">
          <cell r="K359" t="str">
            <v>YBL039C</v>
          </cell>
          <cell r="N359" t="str">
            <v>rt8107</v>
          </cell>
        </row>
        <row r="360">
          <cell r="K360" t="str">
            <v>YJR103W</v>
          </cell>
          <cell r="N360" t="str">
            <v/>
          </cell>
        </row>
        <row r="361">
          <cell r="K361" t="str">
            <v>YFR055W</v>
          </cell>
          <cell r="N361" t="str">
            <v/>
          </cell>
        </row>
        <row r="362">
          <cell r="K362" t="str">
            <v>YGL184C</v>
          </cell>
          <cell r="N362" t="str">
            <v>rt0391</v>
          </cell>
        </row>
        <row r="363">
          <cell r="K363" t="str">
            <v>YGR155W</v>
          </cell>
          <cell r="N363" t="str">
            <v>rt7344</v>
          </cell>
        </row>
        <row r="364">
          <cell r="K364" t="str">
            <v>YAL012W</v>
          </cell>
          <cell r="N364" t="str">
            <v>rt1131</v>
          </cell>
        </row>
        <row r="365">
          <cell r="K365" t="str">
            <v>YJR130C</v>
          </cell>
          <cell r="N365" t="str">
            <v>rt3095</v>
          </cell>
        </row>
        <row r="366">
          <cell r="K366" t="str">
            <v>YLR303W</v>
          </cell>
          <cell r="N366" t="str">
            <v>rt8250</v>
          </cell>
        </row>
        <row r="367">
          <cell r="K367" t="str">
            <v>YNL247W</v>
          </cell>
          <cell r="N367" t="str">
            <v>rt1487</v>
          </cell>
        </row>
        <row r="368">
          <cell r="K368" t="str">
            <v>YLR245C</v>
          </cell>
          <cell r="N368" t="str">
            <v>rt7919</v>
          </cell>
        </row>
        <row r="369">
          <cell r="K369" t="str">
            <v>YNR012W</v>
          </cell>
          <cell r="N369" t="str">
            <v>rt0265</v>
          </cell>
        </row>
        <row r="370">
          <cell r="K370" t="str">
            <v>YPR062W</v>
          </cell>
          <cell r="N370" t="str">
            <v>rt6191</v>
          </cell>
        </row>
        <row r="371">
          <cell r="K371" t="str">
            <v>YML086C</v>
          </cell>
          <cell r="N371" t="str">
            <v>rt5365</v>
          </cell>
        </row>
        <row r="372">
          <cell r="K372" t="str">
            <v>YML086C</v>
          </cell>
          <cell r="N372" t="str">
            <v>rt5365</v>
          </cell>
        </row>
        <row r="373">
          <cell r="K373" t="str">
            <v>YMR041C</v>
          </cell>
          <cell r="N373" t="str">
            <v>rt8345</v>
          </cell>
        </row>
        <row r="374">
          <cell r="K374" t="str">
            <v>YBR149W</v>
          </cell>
          <cell r="N374" t="str">
            <v/>
          </cell>
        </row>
        <row r="375">
          <cell r="K375" t="str">
            <v>YKL060C</v>
          </cell>
          <cell r="N375" t="str">
            <v>rt7052</v>
          </cell>
        </row>
        <row r="376">
          <cell r="K376" t="str">
            <v>YKL060C</v>
          </cell>
          <cell r="N376" t="str">
            <v>rt7052</v>
          </cell>
        </row>
        <row r="377">
          <cell r="K377" t="str">
            <v>YDL246C</v>
          </cell>
          <cell r="N377" t="str">
            <v/>
          </cell>
        </row>
        <row r="378">
          <cell r="K378" t="str">
            <v>YJR159W</v>
          </cell>
          <cell r="N378" t="str">
            <v>rt4606</v>
          </cell>
        </row>
        <row r="379">
          <cell r="K379" t="str">
            <v>YHR144C</v>
          </cell>
          <cell r="N379" t="str">
            <v>rt0757</v>
          </cell>
        </row>
        <row r="380">
          <cell r="K380" t="str">
            <v>YHR144C</v>
          </cell>
          <cell r="N380" t="str">
            <v>rt0757</v>
          </cell>
        </row>
        <row r="381">
          <cell r="K381" t="str">
            <v>YNL141W</v>
          </cell>
          <cell r="N381" t="str">
            <v>rt8364</v>
          </cell>
        </row>
        <row r="382">
          <cell r="K382" t="str">
            <v>YLR245C</v>
          </cell>
          <cell r="N382" t="str">
            <v>rt7919</v>
          </cell>
        </row>
        <row r="383">
          <cell r="K383" t="str">
            <v>YDR454C</v>
          </cell>
          <cell r="N383" t="str">
            <v>rt3157</v>
          </cell>
        </row>
        <row r="384">
          <cell r="K384" t="str">
            <v>YDR454C</v>
          </cell>
          <cell r="N384" t="str">
            <v>rt3157</v>
          </cell>
        </row>
        <row r="385">
          <cell r="K385" t="str">
            <v>YHR068W</v>
          </cell>
          <cell r="N385" t="str">
            <v>rt1830</v>
          </cell>
        </row>
        <row r="386">
          <cell r="K386" t="str">
            <v>YCR036W</v>
          </cell>
          <cell r="N386" t="str">
            <v>rt2501</v>
          </cell>
        </row>
        <row r="387">
          <cell r="K387" t="str">
            <v>YDR196C</v>
          </cell>
          <cell r="N387" t="str">
            <v>rt2746</v>
          </cell>
        </row>
        <row r="388">
          <cell r="K388" t="str">
            <v>YNR057C</v>
          </cell>
          <cell r="N388" t="str">
            <v/>
          </cell>
        </row>
        <row r="389">
          <cell r="K389" t="str">
            <v>YNR057C</v>
          </cell>
          <cell r="N389" t="str">
            <v/>
          </cell>
        </row>
        <row r="390">
          <cell r="K390" t="str">
            <v>YPL087W</v>
          </cell>
          <cell r="N390" t="str">
            <v/>
          </cell>
        </row>
        <row r="391">
          <cell r="K391" t="str">
            <v>YPL087W</v>
          </cell>
          <cell r="N391" t="str">
            <v/>
          </cell>
        </row>
        <row r="392">
          <cell r="K392" t="str">
            <v>YPL087W</v>
          </cell>
          <cell r="N392" t="str">
            <v/>
          </cell>
        </row>
        <row r="393">
          <cell r="K393" t="str">
            <v>YPL087W</v>
          </cell>
          <cell r="N393" t="str">
            <v/>
          </cell>
        </row>
        <row r="394">
          <cell r="K394" t="str">
            <v>YPL087W</v>
          </cell>
          <cell r="N394" t="str">
            <v/>
          </cell>
        </row>
        <row r="395">
          <cell r="K395" t="str">
            <v>YPL087W</v>
          </cell>
          <cell r="N395" t="str">
            <v/>
          </cell>
        </row>
        <row r="396">
          <cell r="K396" t="str">
            <v>YMR113W</v>
          </cell>
          <cell r="N396" t="str">
            <v>rt2092</v>
          </cell>
        </row>
        <row r="397">
          <cell r="K397" t="str">
            <v>YNL256W</v>
          </cell>
          <cell r="N397" t="str">
            <v>rt6009</v>
          </cell>
        </row>
        <row r="398">
          <cell r="K398" t="str">
            <v>YDL100C</v>
          </cell>
          <cell r="N398" t="str">
            <v>rt6247</v>
          </cell>
        </row>
        <row r="399">
          <cell r="K399" t="str">
            <v>YLR420W</v>
          </cell>
          <cell r="N399" t="str">
            <v>rt3923</v>
          </cell>
        </row>
        <row r="400">
          <cell r="K400" t="str">
            <v>YLR420W</v>
          </cell>
          <cell r="N400" t="str">
            <v>rt3923</v>
          </cell>
        </row>
        <row r="401">
          <cell r="K401" t="str">
            <v>YNL256W</v>
          </cell>
          <cell r="N401" t="str">
            <v>rt6009</v>
          </cell>
        </row>
        <row r="402">
          <cell r="K402" t="str">
            <v>YNL256W</v>
          </cell>
          <cell r="N402" t="str">
            <v>rt6009</v>
          </cell>
        </row>
        <row r="403">
          <cell r="K403" t="str">
            <v>YJR016C</v>
          </cell>
          <cell r="N403" t="str">
            <v>rt6258</v>
          </cell>
        </row>
        <row r="404">
          <cell r="K404" t="str">
            <v>YJR016C</v>
          </cell>
          <cell r="N404" t="str">
            <v>rt6258</v>
          </cell>
        </row>
        <row r="405">
          <cell r="K405" t="str">
            <v>YML070W</v>
          </cell>
          <cell r="N405" t="str">
            <v/>
          </cell>
        </row>
        <row r="406">
          <cell r="K406" t="str">
            <v>YFL053W</v>
          </cell>
          <cell r="N406" t="str">
            <v>rt3901</v>
          </cell>
        </row>
        <row r="407">
          <cell r="K407" t="str">
            <v>YJL167W</v>
          </cell>
          <cell r="N407" t="str">
            <v>rt4576</v>
          </cell>
        </row>
        <row r="408">
          <cell r="K408" t="str">
            <v>YKL152C</v>
          </cell>
          <cell r="N408" t="str">
            <v>rt1542</v>
          </cell>
        </row>
        <row r="409">
          <cell r="K409" t="str">
            <v>YKL152C</v>
          </cell>
          <cell r="N409" t="str">
            <v>rt1542</v>
          </cell>
        </row>
        <row r="410">
          <cell r="K410" t="str">
            <v>YOR163W</v>
          </cell>
          <cell r="N410" t="str">
            <v/>
          </cell>
        </row>
        <row r="411">
          <cell r="K411" t="str">
            <v>YDR017C</v>
          </cell>
          <cell r="N411" t="str">
            <v>rt1395</v>
          </cell>
        </row>
        <row r="412">
          <cell r="K412" t="str">
            <v>YLR172C</v>
          </cell>
          <cell r="N412" t="str">
            <v>rt8137</v>
          </cell>
        </row>
        <row r="413">
          <cell r="K413" t="str">
            <v>YMR013C</v>
          </cell>
          <cell r="N413" t="str">
            <v>rt0544</v>
          </cell>
        </row>
        <row r="414">
          <cell r="K414" t="str">
            <v>YPR183W</v>
          </cell>
          <cell r="N414" t="str">
            <v>rt5116</v>
          </cell>
        </row>
        <row r="415">
          <cell r="K415" t="str">
            <v>YJR057W</v>
          </cell>
          <cell r="N415" t="str">
            <v>rt6884</v>
          </cell>
        </row>
        <row r="416">
          <cell r="K416" t="str">
            <v>YBR252W</v>
          </cell>
          <cell r="N416" t="str">
            <v>rt0031</v>
          </cell>
        </row>
        <row r="417">
          <cell r="K417" t="str">
            <v>YJR069C</v>
          </cell>
          <cell r="N417" t="str">
            <v>rt5532</v>
          </cell>
        </row>
        <row r="418">
          <cell r="K418" t="str">
            <v>YJR153W</v>
          </cell>
          <cell r="N418" t="str">
            <v>rt2116</v>
          </cell>
        </row>
        <row r="419">
          <cell r="K419" t="str">
            <v>YPL281C</v>
          </cell>
          <cell r="N419" t="str">
            <v/>
          </cell>
        </row>
        <row r="420">
          <cell r="K420" t="str">
            <v>YPL281C</v>
          </cell>
          <cell r="N420" t="str">
            <v/>
          </cell>
        </row>
        <row r="421">
          <cell r="K421" t="str">
            <v>YOR393W</v>
          </cell>
          <cell r="N421" t="str">
            <v/>
          </cell>
        </row>
        <row r="422">
          <cell r="K422" t="str">
            <v>YOR393W</v>
          </cell>
          <cell r="N422" t="str">
            <v/>
          </cell>
        </row>
        <row r="423">
          <cell r="K423" t="str">
            <v>YGR254W</v>
          </cell>
          <cell r="N423" t="str">
            <v>rt0669</v>
          </cell>
        </row>
        <row r="424">
          <cell r="K424" t="str">
            <v>YGR254W</v>
          </cell>
          <cell r="N424" t="str">
            <v>rt0669</v>
          </cell>
        </row>
        <row r="425">
          <cell r="K425" t="str">
            <v>YMR323W</v>
          </cell>
          <cell r="N425" t="str">
            <v/>
          </cell>
        </row>
        <row r="426">
          <cell r="K426" t="str">
            <v>YMR323W</v>
          </cell>
          <cell r="N426" t="str">
            <v/>
          </cell>
        </row>
        <row r="427">
          <cell r="K427" t="str">
            <v>YHR174W</v>
          </cell>
          <cell r="N427" t="str">
            <v/>
          </cell>
        </row>
        <row r="428">
          <cell r="K428" t="str">
            <v>YHR174W</v>
          </cell>
          <cell r="N428" t="str">
            <v/>
          </cell>
        </row>
        <row r="429">
          <cell r="K429" t="str">
            <v>YLR133W</v>
          </cell>
          <cell r="N429" t="str">
            <v>rt7614</v>
          </cell>
        </row>
        <row r="430">
          <cell r="K430" t="str">
            <v>YDR147W</v>
          </cell>
          <cell r="N430" t="str">
            <v/>
          </cell>
        </row>
        <row r="431">
          <cell r="K431" t="str">
            <v>YOR126C</v>
          </cell>
          <cell r="N431" t="str">
            <v>rt6872</v>
          </cell>
        </row>
        <row r="432">
          <cell r="K432" t="str">
            <v>YNR067C</v>
          </cell>
          <cell r="N432" t="str">
            <v/>
          </cell>
        </row>
        <row r="433">
          <cell r="K433" t="str">
            <v>YGR282C</v>
          </cell>
          <cell r="N433" t="str">
            <v/>
          </cell>
        </row>
        <row r="434">
          <cell r="K434" t="str">
            <v>YLR300W</v>
          </cell>
          <cell r="N434" t="str">
            <v>rt5185</v>
          </cell>
        </row>
        <row r="435">
          <cell r="K435" t="str">
            <v>YDR261C</v>
          </cell>
          <cell r="N435" t="str">
            <v/>
          </cell>
        </row>
        <row r="436">
          <cell r="K436" t="str">
            <v>YOR190W</v>
          </cell>
          <cell r="N436" t="str">
            <v/>
          </cell>
        </row>
        <row r="437">
          <cell r="K437" t="str">
            <v>YPL069C</v>
          </cell>
          <cell r="N437" t="str">
            <v>rt8135</v>
          </cell>
        </row>
        <row r="438">
          <cell r="K438" t="str">
            <v>YER015W</v>
          </cell>
          <cell r="N438" t="str">
            <v>rt4187</v>
          </cell>
        </row>
        <row r="439">
          <cell r="K439" t="str">
            <v>YER015W</v>
          </cell>
          <cell r="N439" t="str">
            <v>rt4187</v>
          </cell>
        </row>
        <row r="440">
          <cell r="K440" t="str">
            <v>YER015W</v>
          </cell>
          <cell r="N440" t="str">
            <v>rt4187</v>
          </cell>
        </row>
        <row r="441">
          <cell r="K441" t="str">
            <v>YER015W</v>
          </cell>
          <cell r="N441" t="str">
            <v>rt4187</v>
          </cell>
        </row>
        <row r="442">
          <cell r="K442" t="str">
            <v>YER015W</v>
          </cell>
          <cell r="N442" t="str">
            <v>rt4187</v>
          </cell>
        </row>
        <row r="443">
          <cell r="K443" t="str">
            <v>YOR176W</v>
          </cell>
          <cell r="N443" t="str">
            <v/>
          </cell>
        </row>
        <row r="444">
          <cell r="K444" t="str">
            <v>YDL045C</v>
          </cell>
          <cell r="N444" t="str">
            <v>rt3174</v>
          </cell>
        </row>
        <row r="445">
          <cell r="K445" t="str">
            <v>YLR011W</v>
          </cell>
          <cell r="N445" t="str">
            <v>rt8485</v>
          </cell>
        </row>
        <row r="446">
          <cell r="K446" t="str">
            <v>YLR011W</v>
          </cell>
          <cell r="N446" t="str">
            <v>rt8485</v>
          </cell>
        </row>
        <row r="447">
          <cell r="K447" t="str">
            <v>YDL168W</v>
          </cell>
          <cell r="N447" t="str">
            <v>rt5740</v>
          </cell>
        </row>
        <row r="448">
          <cell r="K448" t="str">
            <v>YOR388C</v>
          </cell>
          <cell r="N448" t="str">
            <v>rt3584</v>
          </cell>
        </row>
        <row r="449">
          <cell r="K449" t="str">
            <v>YGR204W</v>
          </cell>
          <cell r="N449" t="str">
            <v/>
          </cell>
        </row>
        <row r="450">
          <cell r="K450" t="str">
            <v>YGR204W</v>
          </cell>
          <cell r="N450" t="str">
            <v/>
          </cell>
        </row>
        <row r="451">
          <cell r="K451" t="str">
            <v>YBR084W</v>
          </cell>
          <cell r="N451" t="str">
            <v>rt6998</v>
          </cell>
        </row>
        <row r="452">
          <cell r="K452" t="str">
            <v>YBR084W</v>
          </cell>
          <cell r="N452" t="str">
            <v>rt6998</v>
          </cell>
        </row>
        <row r="453">
          <cell r="K453" t="str">
            <v>YLR345W</v>
          </cell>
          <cell r="N453" t="str">
            <v>rt7376</v>
          </cell>
        </row>
        <row r="454">
          <cell r="K454" t="str">
            <v>YJL155C</v>
          </cell>
          <cell r="N454" t="str">
            <v>rt6827</v>
          </cell>
        </row>
        <row r="455">
          <cell r="K455" t="str">
            <v>YLR377C</v>
          </cell>
          <cell r="N455" t="str">
            <v>rt7055</v>
          </cell>
        </row>
        <row r="456">
          <cell r="K456" t="str">
            <v>YKL060C</v>
          </cell>
          <cell r="N456" t="str">
            <v>rt7052</v>
          </cell>
        </row>
        <row r="457">
          <cell r="K457" t="str">
            <v>YKL060C</v>
          </cell>
          <cell r="N457" t="str">
            <v>rt7052</v>
          </cell>
        </row>
        <row r="458">
          <cell r="K458" t="str">
            <v>YKL216W</v>
          </cell>
          <cell r="N458" t="str">
            <v>rt6498</v>
          </cell>
        </row>
        <row r="459">
          <cell r="K459" t="str">
            <v>YJR051W</v>
          </cell>
          <cell r="N459" t="str">
            <v/>
          </cell>
        </row>
        <row r="460">
          <cell r="K460" t="str">
            <v>YEL047C</v>
          </cell>
          <cell r="N460" t="str">
            <v>rt3052</v>
          </cell>
        </row>
        <row r="461">
          <cell r="K461" t="str">
            <v>YLR299W</v>
          </cell>
          <cell r="N461" t="str">
            <v>rt1470</v>
          </cell>
        </row>
        <row r="462">
          <cell r="K462" t="str">
            <v>YBR020W</v>
          </cell>
          <cell r="N462" t="str">
            <v>rt5622</v>
          </cell>
        </row>
        <row r="463">
          <cell r="K463" t="str">
            <v>YJL101C</v>
          </cell>
          <cell r="N463" t="str">
            <v>rt3639</v>
          </cell>
        </row>
        <row r="464">
          <cell r="K464" t="str">
            <v>YJL167W</v>
          </cell>
          <cell r="N464" t="str">
            <v>rt4576</v>
          </cell>
        </row>
        <row r="465">
          <cell r="K465" t="str">
            <v>YPR184W</v>
          </cell>
          <cell r="N465" t="str">
            <v>rt4271</v>
          </cell>
        </row>
        <row r="466">
          <cell r="K466" t="str">
            <v>YIL099W</v>
          </cell>
          <cell r="N466" t="str">
            <v>rt6375</v>
          </cell>
        </row>
        <row r="467">
          <cell r="K467" t="str">
            <v>YNL241C</v>
          </cell>
          <cell r="N467" t="str">
            <v>rt1632</v>
          </cell>
        </row>
        <row r="468">
          <cell r="K468" t="str">
            <v>YBR196C</v>
          </cell>
          <cell r="N468" t="str">
            <v>rt1221</v>
          </cell>
        </row>
        <row r="469">
          <cell r="K469" t="str">
            <v>YBR196C</v>
          </cell>
          <cell r="N469" t="str">
            <v>rt1221</v>
          </cell>
        </row>
        <row r="470">
          <cell r="K470" t="str">
            <v>YDR300C</v>
          </cell>
          <cell r="N470" t="str">
            <v>rt6820</v>
          </cell>
        </row>
        <row r="471">
          <cell r="K471" t="str">
            <v>YMR250W</v>
          </cell>
          <cell r="N471" t="str">
            <v>rt1067</v>
          </cell>
        </row>
        <row r="472">
          <cell r="K472" t="str">
            <v>YDL215C</v>
          </cell>
          <cell r="N472" t="str">
            <v>rt1488</v>
          </cell>
        </row>
        <row r="473">
          <cell r="K473" t="str">
            <v>YAL062W</v>
          </cell>
          <cell r="N473" t="str">
            <v>rt3880</v>
          </cell>
        </row>
        <row r="474">
          <cell r="K474" t="str">
            <v>YOR375C</v>
          </cell>
          <cell r="N474" t="str">
            <v/>
          </cell>
        </row>
        <row r="475">
          <cell r="K475" t="str">
            <v>YDL171C</v>
          </cell>
          <cell r="N475" t="str">
            <v>rt7345</v>
          </cell>
        </row>
        <row r="476">
          <cell r="K476" t="str">
            <v>YOR323C</v>
          </cell>
          <cell r="N476" t="str">
            <v>rt7905</v>
          </cell>
        </row>
        <row r="477">
          <cell r="K477" t="str">
            <v>YFL060C</v>
          </cell>
          <cell r="N477" t="str">
            <v/>
          </cell>
        </row>
        <row r="478">
          <cell r="K478" t="str">
            <v>YNL334C</v>
          </cell>
          <cell r="N478" t="str">
            <v/>
          </cell>
        </row>
        <row r="479">
          <cell r="K479" t="str">
            <v>YPR035W</v>
          </cell>
          <cell r="N479" t="str">
            <v>rt3476</v>
          </cell>
        </row>
        <row r="480">
          <cell r="K480" t="str">
            <v>YKL104C</v>
          </cell>
          <cell r="N480" t="str">
            <v>rt3731</v>
          </cell>
        </row>
        <row r="481">
          <cell r="K481" t="str">
            <v>YMR084W</v>
          </cell>
          <cell r="N481" t="str">
            <v/>
          </cell>
        </row>
        <row r="482">
          <cell r="K482" t="str">
            <v>YOR168W</v>
          </cell>
          <cell r="N482" t="str">
            <v>rt5012</v>
          </cell>
        </row>
        <row r="483">
          <cell r="K483" t="str">
            <v>GUS1ARC1</v>
          </cell>
          <cell r="N483" t="str">
            <v/>
          </cell>
        </row>
        <row r="484">
          <cell r="K484" t="str">
            <v>YOL033W</v>
          </cell>
          <cell r="N484" t="str">
            <v>rt6197</v>
          </cell>
        </row>
        <row r="485">
          <cell r="K485" t="str">
            <v>YPL091W</v>
          </cell>
          <cell r="N485" t="str">
            <v>rt7114</v>
          </cell>
        </row>
        <row r="486">
          <cell r="K486" t="str">
            <v>YPL091W</v>
          </cell>
          <cell r="N486" t="str">
            <v>rt7114</v>
          </cell>
        </row>
        <row r="487">
          <cell r="K487" t="str">
            <v>YBL064C</v>
          </cell>
          <cell r="N487" t="str">
            <v/>
          </cell>
        </row>
        <row r="488">
          <cell r="K488" t="str">
            <v>YBL064C</v>
          </cell>
          <cell r="N488" t="str">
            <v/>
          </cell>
        </row>
        <row r="489">
          <cell r="K489" t="str">
            <v>YOL049W</v>
          </cell>
          <cell r="N489" t="str">
            <v>rt1561</v>
          </cell>
        </row>
        <row r="490">
          <cell r="K490" t="str">
            <v>YJR009C</v>
          </cell>
          <cell r="N490" t="str">
            <v/>
          </cell>
        </row>
        <row r="491">
          <cell r="K491" t="str">
            <v>YJR009C</v>
          </cell>
          <cell r="N491" t="str">
            <v/>
          </cell>
        </row>
        <row r="492">
          <cell r="K492" t="str">
            <v>YGR192C</v>
          </cell>
          <cell r="N492" t="str">
            <v/>
          </cell>
        </row>
        <row r="493">
          <cell r="K493" t="str">
            <v>YGR192C</v>
          </cell>
          <cell r="N493" t="str">
            <v/>
          </cell>
        </row>
        <row r="494">
          <cell r="K494" t="str">
            <v>YJL052W</v>
          </cell>
          <cell r="N494" t="str">
            <v>rt2245</v>
          </cell>
        </row>
        <row r="495">
          <cell r="K495" t="str">
            <v>YJL052W</v>
          </cell>
          <cell r="N495" t="str">
            <v>rt2245</v>
          </cell>
        </row>
        <row r="496">
          <cell r="K496" t="str">
            <v>YOR120W</v>
          </cell>
          <cell r="N496" t="str">
            <v>rt3388</v>
          </cell>
        </row>
        <row r="497">
          <cell r="K497" t="str">
            <v>YHL032C</v>
          </cell>
          <cell r="N497" t="str">
            <v>rt2654</v>
          </cell>
        </row>
        <row r="498">
          <cell r="K498" t="str">
            <v>YIL053W</v>
          </cell>
          <cell r="N498" t="str">
            <v/>
          </cell>
        </row>
        <row r="499">
          <cell r="K499" t="str">
            <v>YER062C</v>
          </cell>
          <cell r="N499" t="str">
            <v/>
          </cell>
        </row>
        <row r="500">
          <cell r="K500" t="str">
            <v>YIL155C</v>
          </cell>
          <cell r="N500" t="str">
            <v>rt2671</v>
          </cell>
        </row>
        <row r="501">
          <cell r="K501" t="str">
            <v>YDL022W</v>
          </cell>
          <cell r="N501" t="str">
            <v>rt3786</v>
          </cell>
        </row>
        <row r="502">
          <cell r="K502" t="str">
            <v>YPL110C</v>
          </cell>
          <cell r="N502" t="str">
            <v/>
          </cell>
        </row>
        <row r="503">
          <cell r="K503" t="str">
            <v>YDR408C</v>
          </cell>
          <cell r="N503" t="str">
            <v>rt5227</v>
          </cell>
        </row>
        <row r="504">
          <cell r="K504" t="str">
            <v>YLR058C</v>
          </cell>
          <cell r="N504" t="str">
            <v>rt1299</v>
          </cell>
        </row>
        <row r="505">
          <cell r="K505" t="str">
            <v>YLR058C</v>
          </cell>
          <cell r="N505" t="str">
            <v>rt1299</v>
          </cell>
        </row>
        <row r="506">
          <cell r="K506" t="str">
            <v>YBR263W</v>
          </cell>
          <cell r="N506" t="str">
            <v/>
          </cell>
        </row>
        <row r="507">
          <cell r="K507" t="str">
            <v>YBR263W</v>
          </cell>
          <cell r="N507" t="str">
            <v/>
          </cell>
        </row>
        <row r="508">
          <cell r="K508" t="str">
            <v>YPR160W</v>
          </cell>
          <cell r="N508" t="str">
            <v>rt5888</v>
          </cell>
        </row>
        <row r="509">
          <cell r="K509" t="str">
            <v>YPR081C</v>
          </cell>
          <cell r="N509" t="str">
            <v/>
          </cell>
        </row>
        <row r="510">
          <cell r="K510" t="str">
            <v>YBR121C</v>
          </cell>
          <cell r="N510" t="str">
            <v>rt7136</v>
          </cell>
        </row>
        <row r="511">
          <cell r="K511" t="str">
            <v>YMR217W</v>
          </cell>
          <cell r="N511" t="str">
            <v>rt7388</v>
          </cell>
        </row>
        <row r="512">
          <cell r="K512" t="str">
            <v>YMR281W</v>
          </cell>
          <cell r="N512" t="str">
            <v>rt1519</v>
          </cell>
        </row>
        <row r="513">
          <cell r="K513" t="str">
            <v>YMR281W</v>
          </cell>
          <cell r="N513" t="str">
            <v>rt1519</v>
          </cell>
        </row>
        <row r="514">
          <cell r="K514" t="str">
            <v>YKL165C</v>
          </cell>
          <cell r="N514" t="str">
            <v>rt8421</v>
          </cell>
        </row>
        <row r="515">
          <cell r="K515" t="str">
            <v>YKL165C</v>
          </cell>
          <cell r="N515" t="str">
            <v>rt8421</v>
          </cell>
        </row>
        <row r="516">
          <cell r="K516" t="str">
            <v>GPI18PGA1</v>
          </cell>
          <cell r="N516" t="str">
            <v/>
          </cell>
        </row>
        <row r="517">
          <cell r="K517" t="str">
            <v>GPI18PGA1</v>
          </cell>
          <cell r="N517" t="str">
            <v/>
          </cell>
        </row>
        <row r="518">
          <cell r="K518" t="str">
            <v>YGL142C</v>
          </cell>
          <cell r="N518" t="str">
            <v>rt4593</v>
          </cell>
        </row>
        <row r="519">
          <cell r="K519" t="str">
            <v>YGL142C</v>
          </cell>
          <cell r="N519" t="str">
            <v>rt4593</v>
          </cell>
        </row>
        <row r="520">
          <cell r="K520" t="str">
            <v>YLL031C</v>
          </cell>
          <cell r="N520" t="str">
            <v>rt4069</v>
          </cell>
        </row>
        <row r="521">
          <cell r="K521" t="str">
            <v>YLL031C</v>
          </cell>
          <cell r="N521" t="str">
            <v>rt4069</v>
          </cell>
        </row>
        <row r="522">
          <cell r="K522" t="str">
            <v>YDR302W</v>
          </cell>
          <cell r="N522" t="str">
            <v>rt0563</v>
          </cell>
        </row>
        <row r="523">
          <cell r="K523" t="str">
            <v>YDR302W</v>
          </cell>
          <cell r="N523" t="str">
            <v>rt0563</v>
          </cell>
        </row>
        <row r="524">
          <cell r="K524" t="str">
            <v>YGR267C</v>
          </cell>
          <cell r="N524" t="str">
            <v>rt1964</v>
          </cell>
        </row>
        <row r="525">
          <cell r="K525" t="str">
            <v>YBL033C</v>
          </cell>
          <cell r="N525" t="str">
            <v>rt4183</v>
          </cell>
        </row>
        <row r="526">
          <cell r="K526" t="str">
            <v>YDL238C</v>
          </cell>
          <cell r="N526" t="str">
            <v>rt0682</v>
          </cell>
        </row>
        <row r="527">
          <cell r="K527" t="str">
            <v>YDR399W</v>
          </cell>
          <cell r="N527" t="str">
            <v/>
          </cell>
        </row>
        <row r="528">
          <cell r="K528" t="str">
            <v>YDR454C</v>
          </cell>
          <cell r="N528" t="str">
            <v>rt3157</v>
          </cell>
        </row>
        <row r="529">
          <cell r="K529" t="str">
            <v>YDR454C</v>
          </cell>
          <cell r="N529" t="str">
            <v>rt3157</v>
          </cell>
        </row>
        <row r="530">
          <cell r="K530" t="str">
            <v>YDR454C</v>
          </cell>
          <cell r="N530" t="str">
            <v>rt3157</v>
          </cell>
        </row>
        <row r="531">
          <cell r="K531" t="str">
            <v>YPL172C</v>
          </cell>
          <cell r="N531" t="str">
            <v>rt2735</v>
          </cell>
        </row>
        <row r="532">
          <cell r="K532" t="str">
            <v>YGL253W</v>
          </cell>
          <cell r="N532" t="str">
            <v>rt3614</v>
          </cell>
        </row>
        <row r="533">
          <cell r="K533" t="str">
            <v>YLR446W</v>
          </cell>
          <cell r="N533" t="str">
            <v/>
          </cell>
        </row>
        <row r="534">
          <cell r="K534" t="str">
            <v>YFR053C</v>
          </cell>
          <cell r="N534" t="str">
            <v/>
          </cell>
        </row>
        <row r="535">
          <cell r="K535" t="str">
            <v>YGL253W</v>
          </cell>
          <cell r="N535" t="str">
            <v>rt3614</v>
          </cell>
        </row>
        <row r="536">
          <cell r="K536" t="str">
            <v>YLR446W</v>
          </cell>
          <cell r="N536" t="str">
            <v/>
          </cell>
        </row>
        <row r="537">
          <cell r="K537" t="str">
            <v>YFR053C</v>
          </cell>
          <cell r="N537" t="str">
            <v/>
          </cell>
        </row>
        <row r="538">
          <cell r="K538" t="str">
            <v>YCL040W</v>
          </cell>
          <cell r="N538" t="str">
            <v/>
          </cell>
        </row>
        <row r="539">
          <cell r="K539" t="str">
            <v>YGL253W</v>
          </cell>
          <cell r="N539" t="str">
            <v>rt3614</v>
          </cell>
        </row>
        <row r="540">
          <cell r="K540" t="str">
            <v>YFR053C</v>
          </cell>
          <cell r="N540" t="str">
            <v/>
          </cell>
        </row>
        <row r="541">
          <cell r="K541" t="str">
            <v>YLR446W</v>
          </cell>
          <cell r="N541" t="str">
            <v/>
          </cell>
        </row>
        <row r="542">
          <cell r="K542" t="str">
            <v>YCL030C</v>
          </cell>
          <cell r="N542" t="str">
            <v>rt3278</v>
          </cell>
        </row>
        <row r="543">
          <cell r="K543" t="str">
            <v>YFR025C</v>
          </cell>
          <cell r="N543" t="str">
            <v>rt1838</v>
          </cell>
        </row>
        <row r="544">
          <cell r="K544" t="str">
            <v>YIL116W</v>
          </cell>
          <cell r="N544" t="str">
            <v>rt4862</v>
          </cell>
        </row>
        <row r="545">
          <cell r="K545" t="str">
            <v>YBR034C</v>
          </cell>
          <cell r="N545" t="str">
            <v>rt7912</v>
          </cell>
        </row>
        <row r="546">
          <cell r="K546" t="str">
            <v>YDR234W</v>
          </cell>
          <cell r="N546" t="str">
            <v>rt7648</v>
          </cell>
        </row>
        <row r="547">
          <cell r="K547" t="str">
            <v>YDR234W</v>
          </cell>
          <cell r="N547" t="str">
            <v>rt7648</v>
          </cell>
        </row>
        <row r="548">
          <cell r="K548" t="str">
            <v>YJL200C</v>
          </cell>
          <cell r="N548" t="str">
            <v>rt6232</v>
          </cell>
        </row>
        <row r="549">
          <cell r="K549" t="str">
            <v>YJL200C</v>
          </cell>
          <cell r="N549" t="str">
            <v>rt6232</v>
          </cell>
        </row>
        <row r="550">
          <cell r="K550" t="str">
            <v>YLL062C</v>
          </cell>
          <cell r="N550" t="str">
            <v>rt7391</v>
          </cell>
        </row>
        <row r="551">
          <cell r="K551" t="str">
            <v>YPL273W</v>
          </cell>
          <cell r="N551" t="str">
            <v/>
          </cell>
        </row>
        <row r="552">
          <cell r="K552" t="str">
            <v>YIL094C</v>
          </cell>
          <cell r="N552" t="str">
            <v>rt2060</v>
          </cell>
        </row>
        <row r="553">
          <cell r="K553" t="str">
            <v>YJR139C</v>
          </cell>
          <cell r="N553" t="str">
            <v>rt3712</v>
          </cell>
        </row>
        <row r="554">
          <cell r="K554" t="str">
            <v>YJR139C</v>
          </cell>
          <cell r="N554" t="str">
            <v>rt3712</v>
          </cell>
        </row>
        <row r="555">
          <cell r="K555" t="str">
            <v>YHR025W</v>
          </cell>
          <cell r="N555" t="str">
            <v>rt0283</v>
          </cell>
        </row>
        <row r="556">
          <cell r="K556" t="str">
            <v>YNL277W</v>
          </cell>
          <cell r="N556" t="str">
            <v>rt4145</v>
          </cell>
        </row>
        <row r="557">
          <cell r="K557" t="str">
            <v>YDR272W</v>
          </cell>
          <cell r="N557" t="str">
            <v>rt4673</v>
          </cell>
        </row>
        <row r="558">
          <cell r="K558" t="str">
            <v>YOR040W</v>
          </cell>
          <cell r="N558" t="str">
            <v/>
          </cell>
        </row>
        <row r="559">
          <cell r="K559" t="str">
            <v>YNR041C</v>
          </cell>
          <cell r="N559" t="str">
            <v>rt6869</v>
          </cell>
        </row>
        <row r="560">
          <cell r="K560" t="str">
            <v>YPL214C</v>
          </cell>
          <cell r="N560" t="str">
            <v>rt7845</v>
          </cell>
        </row>
        <row r="561">
          <cell r="K561" t="str">
            <v>YDL205C</v>
          </cell>
          <cell r="N561" t="str">
            <v>rt6350</v>
          </cell>
        </row>
        <row r="562">
          <cell r="K562" t="str">
            <v>YML075C</v>
          </cell>
          <cell r="N562" t="str">
            <v/>
          </cell>
        </row>
        <row r="563">
          <cell r="K563" t="str">
            <v>YLR450W</v>
          </cell>
          <cell r="N563" t="str">
            <v>rt1206</v>
          </cell>
        </row>
        <row r="564">
          <cell r="K564" t="str">
            <v>YML126C</v>
          </cell>
          <cell r="N564" t="str">
            <v>rt3754</v>
          </cell>
        </row>
        <row r="565">
          <cell r="K565" t="str">
            <v>YML126C</v>
          </cell>
          <cell r="N565" t="str">
            <v>rt3754</v>
          </cell>
        </row>
        <row r="566">
          <cell r="K566" t="str">
            <v>YPR121W</v>
          </cell>
          <cell r="N566" t="str">
            <v/>
          </cell>
        </row>
        <row r="567">
          <cell r="K567" t="str">
            <v>YPL258C</v>
          </cell>
          <cell r="N567" t="str">
            <v/>
          </cell>
        </row>
        <row r="568">
          <cell r="K568" t="str">
            <v>YOL055C</v>
          </cell>
          <cell r="N568" t="str">
            <v>rt4410</v>
          </cell>
        </row>
        <row r="569">
          <cell r="K569" t="str">
            <v>YDR399W</v>
          </cell>
          <cell r="N569" t="str">
            <v/>
          </cell>
        </row>
        <row r="570">
          <cell r="K570" t="str">
            <v>YBR248C</v>
          </cell>
          <cell r="N570" t="str">
            <v>rt0716</v>
          </cell>
        </row>
        <row r="571">
          <cell r="K571" t="str">
            <v>YOR202W</v>
          </cell>
          <cell r="N571" t="str">
            <v>rt0339</v>
          </cell>
        </row>
        <row r="572">
          <cell r="K572" t="str">
            <v>YML056C</v>
          </cell>
          <cell r="N572" t="str">
            <v/>
          </cell>
        </row>
        <row r="573">
          <cell r="K573" t="str">
            <v>YLR432W</v>
          </cell>
          <cell r="N573" t="str">
            <v/>
          </cell>
        </row>
        <row r="574">
          <cell r="K574" t="str">
            <v>YHR216W</v>
          </cell>
          <cell r="N574" t="str">
            <v/>
          </cell>
        </row>
        <row r="575">
          <cell r="K575" t="str">
            <v>TRP23</v>
          </cell>
          <cell r="N575" t="str">
            <v/>
          </cell>
        </row>
        <row r="576">
          <cell r="K576" t="str">
            <v>YGR087C</v>
          </cell>
          <cell r="N576" t="str">
            <v/>
          </cell>
        </row>
        <row r="577">
          <cell r="K577" t="str">
            <v>YLR044C</v>
          </cell>
          <cell r="N577" t="str">
            <v>rt7423</v>
          </cell>
        </row>
        <row r="578">
          <cell r="K578" t="str">
            <v>YLR134W</v>
          </cell>
          <cell r="N578" t="str">
            <v/>
          </cell>
        </row>
        <row r="579">
          <cell r="K579" t="str">
            <v>YBR011C</v>
          </cell>
          <cell r="N579" t="str">
            <v>rt7511</v>
          </cell>
        </row>
        <row r="580">
          <cell r="K580" t="str">
            <v>YMR267W</v>
          </cell>
          <cell r="N580" t="str">
            <v/>
          </cell>
        </row>
        <row r="581">
          <cell r="K581" t="str">
            <v>YMR120C</v>
          </cell>
          <cell r="N581" t="str">
            <v/>
          </cell>
        </row>
        <row r="582">
          <cell r="K582" t="str">
            <v>YMR120C</v>
          </cell>
          <cell r="N582" t="str">
            <v/>
          </cell>
        </row>
        <row r="583">
          <cell r="K583" t="str">
            <v>YLR028C</v>
          </cell>
          <cell r="N583" t="str">
            <v/>
          </cell>
        </row>
        <row r="584">
          <cell r="K584" t="str">
            <v>YLR028C</v>
          </cell>
          <cell r="N584" t="str">
            <v/>
          </cell>
        </row>
        <row r="585">
          <cell r="K585" t="str">
            <v>YDR315C</v>
          </cell>
          <cell r="N585" t="str">
            <v/>
          </cell>
        </row>
        <row r="586">
          <cell r="K586" t="str">
            <v>YDR173C</v>
          </cell>
          <cell r="N586" t="str">
            <v>rt4892</v>
          </cell>
        </row>
        <row r="587">
          <cell r="K587" t="str">
            <v>YDR173C</v>
          </cell>
          <cell r="N587" t="str">
            <v>rt4892</v>
          </cell>
        </row>
        <row r="588">
          <cell r="K588" t="str">
            <v>YDR173C</v>
          </cell>
          <cell r="N588" t="str">
            <v>rt4892</v>
          </cell>
        </row>
        <row r="589">
          <cell r="K589" t="str">
            <v>YDR173C</v>
          </cell>
          <cell r="N589" t="str">
            <v>rt4892</v>
          </cell>
        </row>
        <row r="590">
          <cell r="K590" t="str">
            <v>YOR126C</v>
          </cell>
          <cell r="N590" t="str">
            <v>rt6872</v>
          </cell>
        </row>
        <row r="591">
          <cell r="K591" t="str">
            <v>YOR126C</v>
          </cell>
          <cell r="N591" t="str">
            <v>rt6872</v>
          </cell>
        </row>
        <row r="592">
          <cell r="K592" t="str">
            <v>YLR174W</v>
          </cell>
          <cell r="N592" t="str">
            <v/>
          </cell>
        </row>
        <row r="593">
          <cell r="K593" t="str">
            <v>YLR174W</v>
          </cell>
          <cell r="N593" t="str">
            <v/>
          </cell>
        </row>
        <row r="594">
          <cell r="K594" t="str">
            <v>YNL009W</v>
          </cell>
          <cell r="N594" t="str">
            <v/>
          </cell>
        </row>
        <row r="595">
          <cell r="K595" t="str">
            <v>YER065C</v>
          </cell>
          <cell r="N595" t="str">
            <v>rt5654</v>
          </cell>
        </row>
        <row r="596">
          <cell r="K596" t="str">
            <v>YJR148W</v>
          </cell>
          <cell r="N596" t="str">
            <v>rt5646</v>
          </cell>
        </row>
        <row r="597">
          <cell r="K597" t="str">
            <v>YJR148W</v>
          </cell>
          <cell r="N597" t="str">
            <v>rt5646</v>
          </cell>
        </row>
        <row r="598">
          <cell r="K598" t="str">
            <v>YHR208W</v>
          </cell>
          <cell r="N598" t="str">
            <v>rt6242</v>
          </cell>
        </row>
        <row r="599">
          <cell r="K599" t="str">
            <v>YHR208W</v>
          </cell>
          <cell r="N599" t="str">
            <v>rt6242</v>
          </cell>
        </row>
        <row r="600">
          <cell r="K600" t="str">
            <v>YBL076C</v>
          </cell>
          <cell r="N600" t="str">
            <v>rt5078</v>
          </cell>
        </row>
        <row r="601">
          <cell r="K601" t="str">
            <v>YPL040C</v>
          </cell>
          <cell r="N601" t="str">
            <v>rt7188</v>
          </cell>
        </row>
        <row r="602">
          <cell r="K602" t="str">
            <v>YPL117C</v>
          </cell>
          <cell r="N602" t="str">
            <v>rt7835</v>
          </cell>
        </row>
        <row r="603">
          <cell r="K603" t="str">
            <v>YPL117C</v>
          </cell>
          <cell r="N603" t="str">
            <v>rt7835</v>
          </cell>
        </row>
        <row r="604">
          <cell r="K604" t="str">
            <v>YLR355C</v>
          </cell>
          <cell r="N604" t="str">
            <v>rt0808</v>
          </cell>
        </row>
        <row r="605">
          <cell r="K605" t="str">
            <v>YLR231C</v>
          </cell>
          <cell r="N605" t="str">
            <v>rt0357</v>
          </cell>
        </row>
        <row r="606">
          <cell r="K606" t="str">
            <v>YBL098W</v>
          </cell>
          <cell r="N606" t="str">
            <v>rt0899</v>
          </cell>
        </row>
        <row r="607">
          <cell r="K607" t="str">
            <v>YHR037W</v>
          </cell>
          <cell r="N607" t="str">
            <v>rt0201</v>
          </cell>
        </row>
        <row r="608">
          <cell r="K608" t="str">
            <v>YHR037W</v>
          </cell>
          <cell r="N608" t="str">
            <v>rt0201</v>
          </cell>
        </row>
        <row r="609">
          <cell r="K609" t="str">
            <v>YHR037W</v>
          </cell>
          <cell r="N609" t="str">
            <v>rt0201</v>
          </cell>
        </row>
        <row r="610">
          <cell r="K610" t="str">
            <v>YHR037W</v>
          </cell>
          <cell r="N610" t="str">
            <v>rt0201</v>
          </cell>
        </row>
        <row r="611">
          <cell r="K611" t="str">
            <v>YLR089C</v>
          </cell>
          <cell r="N611" t="str">
            <v/>
          </cell>
        </row>
        <row r="612">
          <cell r="K612" t="str">
            <v>YLR089C</v>
          </cell>
          <cell r="N612" t="str">
            <v/>
          </cell>
        </row>
        <row r="613">
          <cell r="K613" t="str">
            <v>YEL046C</v>
          </cell>
          <cell r="N613" t="str">
            <v>rt0854</v>
          </cell>
        </row>
        <row r="614">
          <cell r="K614" t="str">
            <v>YMR226C</v>
          </cell>
          <cell r="N614" t="str">
            <v>rt1844</v>
          </cell>
        </row>
        <row r="615">
          <cell r="K615" t="str">
            <v>YMR226C</v>
          </cell>
          <cell r="N615" t="str">
            <v>rt1844</v>
          </cell>
        </row>
        <row r="616">
          <cell r="K616" t="str">
            <v>YDR321W</v>
          </cell>
          <cell r="N616" t="str">
            <v/>
          </cell>
        </row>
        <row r="617">
          <cell r="K617" t="str">
            <v>YLR157C</v>
          </cell>
          <cell r="N617" t="str">
            <v/>
          </cell>
        </row>
        <row r="618">
          <cell r="K618" t="str">
            <v>YLR160C</v>
          </cell>
          <cell r="N618" t="str">
            <v/>
          </cell>
        </row>
        <row r="619">
          <cell r="K619" t="str">
            <v>YLR155C</v>
          </cell>
          <cell r="N619" t="str">
            <v/>
          </cell>
        </row>
        <row r="620">
          <cell r="K620" t="str">
            <v>YLR158C</v>
          </cell>
          <cell r="N620" t="str">
            <v/>
          </cell>
        </row>
        <row r="621">
          <cell r="K621" t="str">
            <v>YKL106W</v>
          </cell>
          <cell r="N621" t="str">
            <v>rt5913</v>
          </cell>
        </row>
        <row r="622">
          <cell r="K622" t="str">
            <v>YER023W</v>
          </cell>
          <cell r="N622" t="str">
            <v>rt5064</v>
          </cell>
        </row>
        <row r="623">
          <cell r="K623" t="str">
            <v>YHR104W</v>
          </cell>
          <cell r="N623" t="str">
            <v/>
          </cell>
        </row>
        <row r="624">
          <cell r="K624" t="str">
            <v>YOL151W</v>
          </cell>
          <cell r="N624" t="str">
            <v>rt3783</v>
          </cell>
        </row>
        <row r="625">
          <cell r="K625" t="str">
            <v>YCL064C</v>
          </cell>
          <cell r="N625" t="str">
            <v/>
          </cell>
        </row>
        <row r="626">
          <cell r="K626" t="str">
            <v>YMR226C</v>
          </cell>
          <cell r="N626" t="str">
            <v>rt1844</v>
          </cell>
        </row>
        <row r="627">
          <cell r="K627" t="str">
            <v>YJR159W</v>
          </cell>
          <cell r="N627" t="str">
            <v>rt4606</v>
          </cell>
        </row>
        <row r="628">
          <cell r="K628" t="str">
            <v>YCL064C</v>
          </cell>
          <cell r="N628" t="str">
            <v/>
          </cell>
        </row>
        <row r="629">
          <cell r="K629" t="str">
            <v>YCL064C</v>
          </cell>
          <cell r="N629" t="str">
            <v/>
          </cell>
        </row>
        <row r="630">
          <cell r="K630" t="str">
            <v>YJR078W</v>
          </cell>
          <cell r="N630" t="str">
            <v>rt7555</v>
          </cell>
        </row>
        <row r="631">
          <cell r="K631" t="str">
            <v>YDR403W</v>
          </cell>
          <cell r="N631" t="str">
            <v/>
          </cell>
        </row>
        <row r="632">
          <cell r="K632" t="str">
            <v>YOL151W</v>
          </cell>
          <cell r="N632" t="str">
            <v>rt3783</v>
          </cell>
        </row>
        <row r="633">
          <cell r="K633" t="str">
            <v>YML004C</v>
          </cell>
          <cell r="N633" t="str">
            <v>rt4897</v>
          </cell>
        </row>
        <row r="634">
          <cell r="K634" t="str">
            <v>YHR072W</v>
          </cell>
          <cell r="N634" t="str">
            <v>rt0872</v>
          </cell>
        </row>
        <row r="635">
          <cell r="K635" t="str">
            <v>YJR148W</v>
          </cell>
          <cell r="N635" t="str">
            <v>rt5646</v>
          </cell>
        </row>
        <row r="636">
          <cell r="K636" t="str">
            <v>YJR148W</v>
          </cell>
          <cell r="N636" t="str">
            <v>rt5646</v>
          </cell>
        </row>
        <row r="637">
          <cell r="K637" t="str">
            <v>YHR208W</v>
          </cell>
          <cell r="N637" t="str">
            <v>rt6242</v>
          </cell>
        </row>
        <row r="638">
          <cell r="K638" t="str">
            <v>YHR208W</v>
          </cell>
          <cell r="N638" t="str">
            <v>rt6242</v>
          </cell>
        </row>
        <row r="639">
          <cell r="K639" t="str">
            <v>YPL160W</v>
          </cell>
          <cell r="N639" t="str">
            <v>rt1776</v>
          </cell>
        </row>
        <row r="640">
          <cell r="K640" t="str">
            <v>YLR382C</v>
          </cell>
          <cell r="N640" t="str">
            <v/>
          </cell>
        </row>
        <row r="641">
          <cell r="K641" t="str">
            <v>YDR037W</v>
          </cell>
          <cell r="N641" t="str">
            <v>rt3577</v>
          </cell>
        </row>
        <row r="642">
          <cell r="K642" t="str">
            <v>YNL073W</v>
          </cell>
          <cell r="N642" t="str">
            <v/>
          </cell>
        </row>
        <row r="643">
          <cell r="K643" t="str">
            <v>YKL085W</v>
          </cell>
          <cell r="N643" t="str">
            <v>rt2810</v>
          </cell>
        </row>
        <row r="644">
          <cell r="K644" t="str">
            <v>YKL085W</v>
          </cell>
          <cell r="N644" t="str">
            <v>rt2810</v>
          </cell>
        </row>
        <row r="645">
          <cell r="K645" t="str">
            <v>YOL126C</v>
          </cell>
          <cell r="N645" t="str">
            <v>rt2246</v>
          </cell>
        </row>
        <row r="646">
          <cell r="K646" t="str">
            <v>YOL126C</v>
          </cell>
          <cell r="N646" t="str">
            <v>rt2246</v>
          </cell>
        </row>
        <row r="647">
          <cell r="K647" t="str">
            <v>YDL078C</v>
          </cell>
          <cell r="N647" t="str">
            <v/>
          </cell>
        </row>
        <row r="648">
          <cell r="K648" t="str">
            <v>YDL078C</v>
          </cell>
          <cell r="N648" t="str">
            <v/>
          </cell>
        </row>
        <row r="649">
          <cell r="K649" t="str">
            <v>YNL117W</v>
          </cell>
          <cell r="N649" t="str">
            <v/>
          </cell>
        </row>
        <row r="650">
          <cell r="K650" t="str">
            <v>YIR031C</v>
          </cell>
          <cell r="N650" t="str">
            <v/>
          </cell>
        </row>
        <row r="651">
          <cell r="K651" t="str">
            <v>YNL117W</v>
          </cell>
          <cell r="N651" t="str">
            <v/>
          </cell>
        </row>
        <row r="652">
          <cell r="K652" t="str">
            <v>YKL029C</v>
          </cell>
          <cell r="N652" t="str">
            <v>rt5549</v>
          </cell>
        </row>
        <row r="653">
          <cell r="K653" t="str">
            <v>YKL029C</v>
          </cell>
          <cell r="N653" t="str">
            <v>rt5549</v>
          </cell>
        </row>
        <row r="654">
          <cell r="K654" t="str">
            <v>YDL055C</v>
          </cell>
          <cell r="N654" t="str">
            <v>rt6588</v>
          </cell>
        </row>
        <row r="655">
          <cell r="K655" t="str">
            <v>YER003C</v>
          </cell>
          <cell r="N655" t="str">
            <v>rt0239</v>
          </cell>
        </row>
        <row r="656">
          <cell r="K656" t="str">
            <v>YER003C</v>
          </cell>
          <cell r="N656" t="str">
            <v>rt0239</v>
          </cell>
        </row>
        <row r="657">
          <cell r="K657" t="str">
            <v>YBR084W</v>
          </cell>
          <cell r="N657" t="str">
            <v>rt6998</v>
          </cell>
        </row>
        <row r="658">
          <cell r="K658" t="str">
            <v>YBR084W</v>
          </cell>
          <cell r="N658" t="str">
            <v>rt6998</v>
          </cell>
        </row>
        <row r="659">
          <cell r="K659" t="str">
            <v>YGR204W</v>
          </cell>
          <cell r="N659" t="str">
            <v/>
          </cell>
        </row>
        <row r="660">
          <cell r="K660" t="str">
            <v>YGR204W</v>
          </cell>
          <cell r="N660" t="str">
            <v/>
          </cell>
        </row>
        <row r="661">
          <cell r="K661" t="str">
            <v>YDR502C</v>
          </cell>
          <cell r="N661" t="str">
            <v>rt5403</v>
          </cell>
        </row>
        <row r="662">
          <cell r="K662" t="str">
            <v>YLR180W</v>
          </cell>
          <cell r="N662" t="str">
            <v/>
          </cell>
        </row>
        <row r="663">
          <cell r="K663" t="str">
            <v>YER091C</v>
          </cell>
          <cell r="N663" t="str">
            <v>rt1457</v>
          </cell>
        </row>
        <row r="664">
          <cell r="K664" t="str">
            <v>YBL013W_m</v>
          </cell>
          <cell r="N664" t="str">
            <v/>
          </cell>
        </row>
        <row r="665">
          <cell r="K665" t="str">
            <v>YBL013W_c</v>
          </cell>
          <cell r="N665" t="str">
            <v/>
          </cell>
        </row>
        <row r="666">
          <cell r="K666" t="str">
            <v>MES1ARC1</v>
          </cell>
          <cell r="N666" t="str">
            <v/>
          </cell>
        </row>
        <row r="667">
          <cell r="K667" t="str">
            <v>YGR171C</v>
          </cell>
          <cell r="N667" t="str">
            <v>rt7150</v>
          </cell>
        </row>
        <row r="668">
          <cell r="K668" t="str">
            <v>YKR080W</v>
          </cell>
          <cell r="N668" t="str">
            <v>rt4257</v>
          </cell>
        </row>
        <row r="669">
          <cell r="K669" t="str">
            <v>YGR204W</v>
          </cell>
          <cell r="N669" t="str">
            <v/>
          </cell>
        </row>
        <row r="670">
          <cell r="K670" t="str">
            <v>YGR204W</v>
          </cell>
          <cell r="N670" t="str">
            <v/>
          </cell>
        </row>
        <row r="671">
          <cell r="K671" t="str">
            <v>YBR084W</v>
          </cell>
          <cell r="N671" t="str">
            <v>rt6998</v>
          </cell>
        </row>
        <row r="672">
          <cell r="K672" t="str">
            <v>YBR084W</v>
          </cell>
          <cell r="N672" t="str">
            <v>rt6998</v>
          </cell>
        </row>
        <row r="673">
          <cell r="K673" t="str">
            <v>YPR006C</v>
          </cell>
          <cell r="N673" t="str">
            <v>rt5794</v>
          </cell>
        </row>
        <row r="674">
          <cell r="K674" t="str">
            <v>YMR208W</v>
          </cell>
          <cell r="N674" t="str">
            <v>rt0390</v>
          </cell>
        </row>
        <row r="675">
          <cell r="K675" t="str">
            <v>YMR208W</v>
          </cell>
          <cell r="N675" t="str">
            <v>rt0390</v>
          </cell>
        </row>
        <row r="676">
          <cell r="K676" t="str">
            <v>YMR208W</v>
          </cell>
          <cell r="N676" t="str">
            <v>rt0390</v>
          </cell>
        </row>
        <row r="677">
          <cell r="K677" t="str">
            <v>YMR208W</v>
          </cell>
          <cell r="N677" t="str">
            <v>rt0390</v>
          </cell>
        </row>
        <row r="678">
          <cell r="K678" t="str">
            <v>YNR043W</v>
          </cell>
          <cell r="N678" t="str">
            <v>rt3542</v>
          </cell>
        </row>
        <row r="679">
          <cell r="K679" t="str">
            <v>YHR046C</v>
          </cell>
          <cell r="N679" t="str">
            <v>rt5340</v>
          </cell>
        </row>
        <row r="680">
          <cell r="K680" t="str">
            <v>YDR287W</v>
          </cell>
          <cell r="N680" t="str">
            <v>rt8001</v>
          </cell>
        </row>
        <row r="681">
          <cell r="K681" t="str">
            <v>YJL153C</v>
          </cell>
          <cell r="N681" t="str">
            <v>rt1768</v>
          </cell>
        </row>
        <row r="682">
          <cell r="K682" t="str">
            <v>YER069W</v>
          </cell>
          <cell r="N682" t="str">
            <v>rt1009</v>
          </cell>
        </row>
        <row r="683">
          <cell r="K683" t="str">
            <v>YFL017C</v>
          </cell>
          <cell r="N683" t="str">
            <v>rt4107</v>
          </cell>
        </row>
        <row r="684">
          <cell r="K684" t="str">
            <v>YFL017C</v>
          </cell>
          <cell r="N684" t="str">
            <v>rt4107</v>
          </cell>
        </row>
        <row r="685">
          <cell r="K685" t="str">
            <v>YJL071W</v>
          </cell>
          <cell r="N685" t="str">
            <v>rt7899</v>
          </cell>
        </row>
        <row r="686">
          <cell r="K686" t="str">
            <v>YJL071W</v>
          </cell>
          <cell r="N686" t="str">
            <v>rt7899</v>
          </cell>
        </row>
        <row r="687">
          <cell r="K687" t="str">
            <v>YMR062C</v>
          </cell>
          <cell r="N687" t="str">
            <v>rt7840</v>
          </cell>
        </row>
        <row r="688">
          <cell r="K688" t="str">
            <v>YMR062C</v>
          </cell>
          <cell r="N688" t="str">
            <v>rt7840</v>
          </cell>
        </row>
        <row r="689">
          <cell r="K689" t="str">
            <v>YDR428C</v>
          </cell>
          <cell r="N689" t="str">
            <v>rt6420</v>
          </cell>
        </row>
        <row r="690">
          <cell r="K690" t="str">
            <v>YGL067W</v>
          </cell>
          <cell r="N690" t="str">
            <v>rt4066</v>
          </cell>
        </row>
        <row r="691">
          <cell r="K691" t="str">
            <v>YJR049C</v>
          </cell>
          <cell r="N691" t="str">
            <v/>
          </cell>
        </row>
        <row r="692">
          <cell r="K692" t="str">
            <v>YEL041W</v>
          </cell>
          <cell r="N692" t="str">
            <v>rt1814</v>
          </cell>
        </row>
        <row r="693">
          <cell r="K693" t="str">
            <v>YPL188W</v>
          </cell>
          <cell r="N693" t="str">
            <v/>
          </cell>
        </row>
        <row r="694">
          <cell r="K694" t="str">
            <v>YEL041W</v>
          </cell>
          <cell r="N694" t="str">
            <v>rt1814</v>
          </cell>
        </row>
        <row r="695">
          <cell r="K695" t="str">
            <v>YJR049C</v>
          </cell>
          <cell r="N695" t="str">
            <v/>
          </cell>
        </row>
        <row r="696">
          <cell r="K696" t="str">
            <v>YDR191W</v>
          </cell>
          <cell r="N696" t="str">
            <v/>
          </cell>
        </row>
        <row r="697">
          <cell r="K697" t="str">
            <v>YPL015C</v>
          </cell>
          <cell r="N697" t="str">
            <v>rt3107</v>
          </cell>
        </row>
        <row r="698">
          <cell r="K698" t="str">
            <v>YOR025W</v>
          </cell>
          <cell r="N698" t="str">
            <v>rt4419</v>
          </cell>
        </row>
        <row r="699">
          <cell r="K699" t="str">
            <v>YOL068C</v>
          </cell>
          <cell r="N699" t="str">
            <v/>
          </cell>
        </row>
        <row r="700">
          <cell r="K700" t="str">
            <v>YDL042C</v>
          </cell>
          <cell r="N700" t="str">
            <v>rt7872</v>
          </cell>
        </row>
        <row r="701">
          <cell r="K701" t="str">
            <v>YDL085W</v>
          </cell>
          <cell r="N701" t="str">
            <v>rt1441</v>
          </cell>
        </row>
        <row r="702">
          <cell r="K702" t="str">
            <v>YMR145C</v>
          </cell>
          <cell r="N702" t="str">
            <v>rt0604</v>
          </cell>
        </row>
        <row r="703">
          <cell r="K703" t="str">
            <v>YJR049C</v>
          </cell>
          <cell r="N703" t="str">
            <v/>
          </cell>
        </row>
        <row r="704">
          <cell r="K704" t="str">
            <v>YEL041W</v>
          </cell>
          <cell r="N704" t="str">
            <v>rt1814</v>
          </cell>
        </row>
        <row r="705">
          <cell r="K705" t="str">
            <v>YPL188W</v>
          </cell>
          <cell r="N705" t="str">
            <v/>
          </cell>
        </row>
        <row r="706">
          <cell r="K706" t="str">
            <v>YJR049C</v>
          </cell>
          <cell r="N706" t="str">
            <v/>
          </cell>
        </row>
        <row r="707">
          <cell r="K707" t="str">
            <v>YEL041W</v>
          </cell>
          <cell r="N707" t="str">
            <v>rt1814</v>
          </cell>
        </row>
        <row r="708">
          <cell r="K708" t="str">
            <v>YML120C</v>
          </cell>
          <cell r="N708" t="str">
            <v/>
          </cell>
        </row>
        <row r="709">
          <cell r="K709" t="str">
            <v>YOR209C</v>
          </cell>
          <cell r="N709" t="str">
            <v>rt1924</v>
          </cell>
        </row>
        <row r="710">
          <cell r="K710" t="str">
            <v>YOR209C</v>
          </cell>
          <cell r="N710" t="str">
            <v>rt1924</v>
          </cell>
        </row>
        <row r="711">
          <cell r="K711" t="str">
            <v>YGL037C</v>
          </cell>
          <cell r="N711" t="str">
            <v>rt3293</v>
          </cell>
        </row>
        <row r="712">
          <cell r="K712" t="str">
            <v>YLR285W</v>
          </cell>
          <cell r="N712" t="str">
            <v>rt8212</v>
          </cell>
        </row>
        <row r="713">
          <cell r="K713" t="str">
            <v>YCL047C</v>
          </cell>
          <cell r="N713" t="str">
            <v>rt7589</v>
          </cell>
        </row>
        <row r="714">
          <cell r="K714" t="str">
            <v>YGR010W</v>
          </cell>
          <cell r="N714" t="str">
            <v/>
          </cell>
        </row>
        <row r="715">
          <cell r="K715" t="str">
            <v>YGR010W</v>
          </cell>
          <cell r="N715" t="str">
            <v/>
          </cell>
        </row>
        <row r="716">
          <cell r="K716" t="str">
            <v>YFR047C</v>
          </cell>
          <cell r="N716" t="str">
            <v>rt1963</v>
          </cell>
        </row>
        <row r="717">
          <cell r="K717" t="str">
            <v>YFR047C</v>
          </cell>
          <cell r="N717" t="str">
            <v>rt1963</v>
          </cell>
        </row>
        <row r="718">
          <cell r="K718" t="str">
            <v>YER005W</v>
          </cell>
          <cell r="N718" t="str">
            <v>rt0602</v>
          </cell>
        </row>
        <row r="719">
          <cell r="K719" t="str">
            <v>YER005W</v>
          </cell>
          <cell r="N719" t="str">
            <v>rt0602</v>
          </cell>
        </row>
        <row r="720">
          <cell r="K720" t="str">
            <v>YER005W</v>
          </cell>
          <cell r="N720" t="str">
            <v>rt0602</v>
          </cell>
        </row>
        <row r="721">
          <cell r="K721" t="str">
            <v>YEL042W</v>
          </cell>
          <cell r="N721" t="str">
            <v>rt1437</v>
          </cell>
        </row>
        <row r="722">
          <cell r="K722" t="str">
            <v>YER005W</v>
          </cell>
          <cell r="N722" t="str">
            <v>rt0602</v>
          </cell>
        </row>
        <row r="723">
          <cell r="K723" t="str">
            <v>YER005W</v>
          </cell>
          <cell r="N723" t="str">
            <v>rt0602</v>
          </cell>
        </row>
        <row r="724">
          <cell r="K724" t="str">
            <v>YKL067W</v>
          </cell>
          <cell r="N724" t="str">
            <v>rt7311</v>
          </cell>
        </row>
        <row r="725">
          <cell r="K725" t="str">
            <v>YKL067W</v>
          </cell>
          <cell r="N725" t="str">
            <v>rt7311</v>
          </cell>
        </row>
        <row r="726">
          <cell r="K726" t="str">
            <v>YKL067W</v>
          </cell>
          <cell r="N726" t="str">
            <v>rt7311</v>
          </cell>
        </row>
        <row r="727">
          <cell r="K727" t="str">
            <v>YKL067W</v>
          </cell>
          <cell r="N727" t="str">
            <v>rt7311</v>
          </cell>
        </row>
        <row r="728">
          <cell r="K728" t="str">
            <v>YKL067W</v>
          </cell>
          <cell r="N728" t="str">
            <v>rt7311</v>
          </cell>
        </row>
        <row r="729">
          <cell r="K729" t="str">
            <v>YKL067W</v>
          </cell>
          <cell r="N729" t="str">
            <v>rt7311</v>
          </cell>
        </row>
        <row r="730">
          <cell r="K730" t="str">
            <v>YKL067W</v>
          </cell>
          <cell r="N730" t="str">
            <v>rt7311</v>
          </cell>
        </row>
        <row r="731">
          <cell r="K731" t="str">
            <v>YKL067W</v>
          </cell>
          <cell r="N731" t="str">
            <v>rt7311</v>
          </cell>
        </row>
        <row r="732">
          <cell r="K732" t="str">
            <v>YKL067W</v>
          </cell>
          <cell r="N732" t="str">
            <v>rt7311</v>
          </cell>
        </row>
        <row r="733">
          <cell r="K733" t="str">
            <v>YKL067W</v>
          </cell>
          <cell r="N733" t="str">
            <v>rt7311</v>
          </cell>
        </row>
        <row r="734">
          <cell r="K734" t="str">
            <v>YKL067W</v>
          </cell>
          <cell r="N734" t="str">
            <v>rt7311</v>
          </cell>
        </row>
        <row r="735">
          <cell r="K735" t="str">
            <v>YAL035W</v>
          </cell>
          <cell r="N735" t="str">
            <v>rt5972</v>
          </cell>
        </row>
        <row r="736">
          <cell r="K736" t="str">
            <v>YER005W</v>
          </cell>
          <cell r="N736" t="str">
            <v>rt0602</v>
          </cell>
        </row>
        <row r="737">
          <cell r="K737" t="str">
            <v>YER005W</v>
          </cell>
          <cell r="N737" t="str">
            <v>rt0602</v>
          </cell>
        </row>
        <row r="738">
          <cell r="K738" t="str">
            <v>YER005W</v>
          </cell>
          <cell r="N738" t="str">
            <v>rt0602</v>
          </cell>
        </row>
        <row r="739">
          <cell r="K739" t="str">
            <v>YER005W</v>
          </cell>
          <cell r="N739" t="str">
            <v>rt0602</v>
          </cell>
        </row>
        <row r="740">
          <cell r="K740" t="str">
            <v>YEL042W</v>
          </cell>
          <cell r="N740" t="str">
            <v>rt1437</v>
          </cell>
        </row>
        <row r="741">
          <cell r="K741" t="str">
            <v>YKL067W</v>
          </cell>
          <cell r="N741" t="str">
            <v>rt7311</v>
          </cell>
        </row>
        <row r="742">
          <cell r="K742" t="str">
            <v>YLR303W</v>
          </cell>
          <cell r="N742" t="str">
            <v>rt8250</v>
          </cell>
        </row>
        <row r="743">
          <cell r="K743" t="str">
            <v>YLR303W</v>
          </cell>
          <cell r="N743" t="str">
            <v>rt8250</v>
          </cell>
        </row>
        <row r="744">
          <cell r="K744" t="str">
            <v>YAL012W</v>
          </cell>
          <cell r="N744" t="str">
            <v>rt1131</v>
          </cell>
        </row>
        <row r="745">
          <cell r="K745" t="str">
            <v>YAL012W</v>
          </cell>
          <cell r="N745" t="str">
            <v>rt1131</v>
          </cell>
        </row>
        <row r="746">
          <cell r="K746" t="str">
            <v>YML082W</v>
          </cell>
          <cell r="N746" t="str">
            <v/>
          </cell>
        </row>
        <row r="747">
          <cell r="K747" t="str">
            <v>YML082W</v>
          </cell>
          <cell r="N747" t="str">
            <v/>
          </cell>
        </row>
        <row r="748">
          <cell r="K748" t="str">
            <v>YLL058W</v>
          </cell>
          <cell r="N748" t="str">
            <v/>
          </cell>
        </row>
        <row r="749">
          <cell r="K749" t="str">
            <v>YLL058W</v>
          </cell>
          <cell r="N749" t="str">
            <v/>
          </cell>
        </row>
        <row r="750">
          <cell r="K750" t="str">
            <v>YJL088W</v>
          </cell>
          <cell r="N750" t="str">
            <v>rt4934</v>
          </cell>
        </row>
        <row r="751">
          <cell r="K751" t="str">
            <v>YKL184W</v>
          </cell>
          <cell r="N751" t="str">
            <v>rt4267</v>
          </cell>
        </row>
        <row r="752">
          <cell r="K752" t="str">
            <v>YMR062C</v>
          </cell>
          <cell r="N752" t="str">
            <v>rt7840</v>
          </cell>
        </row>
        <row r="753">
          <cell r="K753" t="str">
            <v>YLR438W</v>
          </cell>
          <cell r="N753" t="str">
            <v>rt6698</v>
          </cell>
        </row>
        <row r="754">
          <cell r="K754" t="str">
            <v>YML106W</v>
          </cell>
          <cell r="N754" t="str">
            <v>rt2348</v>
          </cell>
        </row>
        <row r="755">
          <cell r="K755" t="str">
            <v>YML106W</v>
          </cell>
          <cell r="N755" t="str">
            <v>rt2348</v>
          </cell>
        </row>
        <row r="756">
          <cell r="K756" t="str">
            <v>YMR271C</v>
          </cell>
          <cell r="N756" t="str">
            <v/>
          </cell>
        </row>
        <row r="757">
          <cell r="K757" t="str">
            <v>YMR271C</v>
          </cell>
          <cell r="N757" t="str">
            <v/>
          </cell>
        </row>
        <row r="758">
          <cell r="K758" t="str">
            <v>YEL021W</v>
          </cell>
          <cell r="N758" t="str">
            <v>rt3750</v>
          </cell>
        </row>
        <row r="759">
          <cell r="K759" t="str">
            <v>YGR277C</v>
          </cell>
          <cell r="N759" t="str">
            <v>rt6481</v>
          </cell>
        </row>
        <row r="760">
          <cell r="K760" t="str">
            <v>YDR531W</v>
          </cell>
          <cell r="N760" t="str">
            <v>rt5817</v>
          </cell>
        </row>
        <row r="761">
          <cell r="K761" t="str">
            <v>YIL145C</v>
          </cell>
          <cell r="N761" t="str">
            <v>rt2107</v>
          </cell>
        </row>
        <row r="762">
          <cell r="K762" t="str">
            <v>YJR019C</v>
          </cell>
          <cell r="N762" t="str">
            <v>rt7680</v>
          </cell>
        </row>
        <row r="763">
          <cell r="K763" t="str">
            <v>YJR019C</v>
          </cell>
          <cell r="N763" t="str">
            <v>rt7680</v>
          </cell>
        </row>
        <row r="764">
          <cell r="K764" t="str">
            <v>YJR019C</v>
          </cell>
          <cell r="N764" t="str">
            <v>rt7680</v>
          </cell>
        </row>
        <row r="765">
          <cell r="K765" t="str">
            <v>YJR019C</v>
          </cell>
          <cell r="N765" t="str">
            <v>rt7680</v>
          </cell>
        </row>
        <row r="766">
          <cell r="K766" t="str">
            <v>YJR019C</v>
          </cell>
          <cell r="N766" t="str">
            <v>rt7680</v>
          </cell>
        </row>
        <row r="767">
          <cell r="K767" t="str">
            <v>YJR019C</v>
          </cell>
          <cell r="N767" t="str">
            <v>rt7680</v>
          </cell>
        </row>
        <row r="768">
          <cell r="K768" t="str">
            <v>YHR137W</v>
          </cell>
          <cell r="N768" t="str">
            <v/>
          </cell>
        </row>
        <row r="769">
          <cell r="K769" t="str">
            <v>YHR137W</v>
          </cell>
          <cell r="N769" t="str">
            <v/>
          </cell>
        </row>
        <row r="770">
          <cell r="K770" t="str">
            <v>YGL202W</v>
          </cell>
          <cell r="N770" t="str">
            <v>rt7471</v>
          </cell>
        </row>
        <row r="771">
          <cell r="K771" t="str">
            <v>YGL202W</v>
          </cell>
          <cell r="N771" t="str">
            <v>rt7471</v>
          </cell>
        </row>
        <row r="772">
          <cell r="K772" t="str">
            <v>YPR047W</v>
          </cell>
          <cell r="N772" t="str">
            <v>rt5030</v>
          </cell>
        </row>
        <row r="773">
          <cell r="K773" t="str">
            <v>YDR380W</v>
          </cell>
          <cell r="N773" t="str">
            <v/>
          </cell>
        </row>
        <row r="774">
          <cell r="K774" t="str">
            <v>YGL234W</v>
          </cell>
          <cell r="N774" t="str">
            <v>rt5891</v>
          </cell>
        </row>
        <row r="775">
          <cell r="K775" t="str">
            <v>YEL058W</v>
          </cell>
          <cell r="N775" t="str">
            <v>rt4597</v>
          </cell>
        </row>
        <row r="776">
          <cell r="K776" t="str">
            <v>YEL058W</v>
          </cell>
          <cell r="N776" t="str">
            <v>rt4597</v>
          </cell>
        </row>
        <row r="777">
          <cell r="K777" t="str">
            <v>YKR097W</v>
          </cell>
          <cell r="N777" t="str">
            <v>rt2473</v>
          </cell>
        </row>
        <row r="778">
          <cell r="K778" t="str">
            <v>YGR007W</v>
          </cell>
          <cell r="N778" t="str">
            <v/>
          </cell>
        </row>
        <row r="779">
          <cell r="K779" t="str">
            <v>YKL127W</v>
          </cell>
          <cell r="N779" t="str">
            <v/>
          </cell>
        </row>
        <row r="780">
          <cell r="K780" t="str">
            <v>YKL127W</v>
          </cell>
          <cell r="N780" t="str">
            <v/>
          </cell>
        </row>
        <row r="781">
          <cell r="K781" t="str">
            <v>YMR105C</v>
          </cell>
          <cell r="N781" t="str">
            <v/>
          </cell>
        </row>
        <row r="782">
          <cell r="K782" t="str">
            <v>YMR105C</v>
          </cell>
          <cell r="N782" t="str">
            <v/>
          </cell>
        </row>
        <row r="783">
          <cell r="K783" t="str">
            <v>YHR183W</v>
          </cell>
          <cell r="N783" t="str">
            <v/>
          </cell>
        </row>
        <row r="784">
          <cell r="K784" t="str">
            <v>YGR256W</v>
          </cell>
          <cell r="N784" t="str">
            <v>rt6799</v>
          </cell>
        </row>
        <row r="785">
          <cell r="K785" t="str">
            <v>YEL058W</v>
          </cell>
          <cell r="N785" t="str">
            <v>rt4597</v>
          </cell>
        </row>
        <row r="786">
          <cell r="K786" t="str">
            <v>YEL058W</v>
          </cell>
          <cell r="N786" t="str">
            <v>rt4597</v>
          </cell>
        </row>
        <row r="787">
          <cell r="K787" t="str">
            <v>YIL074C</v>
          </cell>
          <cell r="N787" t="str">
            <v>rt1147</v>
          </cell>
        </row>
        <row r="788">
          <cell r="K788" t="str">
            <v>YER081W</v>
          </cell>
          <cell r="N788" t="str">
            <v/>
          </cell>
        </row>
        <row r="789">
          <cell r="K789" t="str">
            <v>YCR012W</v>
          </cell>
          <cell r="N789" t="str">
            <v>rt7353</v>
          </cell>
        </row>
        <row r="790">
          <cell r="K790" t="str">
            <v>YCR012W</v>
          </cell>
          <cell r="N790" t="str">
            <v>rt7353</v>
          </cell>
        </row>
        <row r="791">
          <cell r="K791" t="str">
            <v>YOR283W</v>
          </cell>
          <cell r="N791" t="str">
            <v>rt7057</v>
          </cell>
        </row>
        <row r="792">
          <cell r="K792" t="str">
            <v>YOR283W</v>
          </cell>
          <cell r="N792" t="str">
            <v>rt7057</v>
          </cell>
        </row>
        <row r="793">
          <cell r="K793" t="str">
            <v>YKL152C</v>
          </cell>
          <cell r="N793" t="str">
            <v>rt1542</v>
          </cell>
        </row>
        <row r="794">
          <cell r="K794" t="str">
            <v>YKL152C</v>
          </cell>
          <cell r="N794" t="str">
            <v>rt1542</v>
          </cell>
        </row>
        <row r="795">
          <cell r="K795" t="str">
            <v>YFL045C</v>
          </cell>
          <cell r="N795" t="str">
            <v>rt0873</v>
          </cell>
        </row>
        <row r="796">
          <cell r="K796" t="str">
            <v>YFL045C</v>
          </cell>
          <cell r="N796" t="str">
            <v>rt0873</v>
          </cell>
        </row>
        <row r="797">
          <cell r="K797" t="str">
            <v>YPR121W</v>
          </cell>
          <cell r="N797" t="str">
            <v/>
          </cell>
        </row>
        <row r="798">
          <cell r="K798" t="str">
            <v>YOL055C</v>
          </cell>
          <cell r="N798" t="str">
            <v>rt4410</v>
          </cell>
        </row>
        <row r="799">
          <cell r="K799" t="str">
            <v>YPL258C</v>
          </cell>
          <cell r="N799" t="str">
            <v/>
          </cell>
        </row>
        <row r="800">
          <cell r="K800" t="str">
            <v>YMR220W</v>
          </cell>
          <cell r="N800" t="str">
            <v>rt0334</v>
          </cell>
        </row>
        <row r="801">
          <cell r="K801" t="str">
            <v>YIL083C</v>
          </cell>
          <cell r="N801" t="str">
            <v>rt0510</v>
          </cell>
        </row>
        <row r="802">
          <cell r="K802" t="str">
            <v>YKL127W</v>
          </cell>
          <cell r="N802" t="str">
            <v/>
          </cell>
        </row>
        <row r="803">
          <cell r="K803" t="str">
            <v>YKL127W</v>
          </cell>
          <cell r="N803" t="str">
            <v/>
          </cell>
        </row>
        <row r="804">
          <cell r="K804" t="str">
            <v>YMR105C</v>
          </cell>
          <cell r="N804" t="str">
            <v/>
          </cell>
        </row>
        <row r="805">
          <cell r="K805" t="str">
            <v>YMR105C</v>
          </cell>
          <cell r="N805" t="str">
            <v/>
          </cell>
        </row>
        <row r="806">
          <cell r="K806" t="str">
            <v>YMR278W</v>
          </cell>
          <cell r="N806" t="str">
            <v>rt5343</v>
          </cell>
        </row>
        <row r="807">
          <cell r="K807" t="str">
            <v>YMR278W</v>
          </cell>
          <cell r="N807" t="str">
            <v>rt5343</v>
          </cell>
        </row>
        <row r="808">
          <cell r="K808" t="str">
            <v>YAR015W</v>
          </cell>
          <cell r="N808" t="str">
            <v>rt0852</v>
          </cell>
        </row>
        <row r="809">
          <cell r="K809" t="str">
            <v>YCL030C</v>
          </cell>
          <cell r="N809" t="str">
            <v>rt3278</v>
          </cell>
        </row>
        <row r="810">
          <cell r="K810" t="str">
            <v>YCL030C</v>
          </cell>
          <cell r="N810" t="str">
            <v>rt3278</v>
          </cell>
        </row>
        <row r="811">
          <cell r="K811" t="str">
            <v>YOR128C</v>
          </cell>
          <cell r="N811" t="str">
            <v>rt3764</v>
          </cell>
        </row>
        <row r="812">
          <cell r="K812" t="str">
            <v>YMR120C</v>
          </cell>
          <cell r="N812" t="str">
            <v/>
          </cell>
        </row>
        <row r="813">
          <cell r="K813" t="str">
            <v>YMR120C</v>
          </cell>
          <cell r="N813" t="str">
            <v/>
          </cell>
        </row>
        <row r="814">
          <cell r="K814" t="str">
            <v>YLR028C</v>
          </cell>
          <cell r="N814" t="str">
            <v/>
          </cell>
        </row>
        <row r="815">
          <cell r="K815" t="str">
            <v>YLR028C</v>
          </cell>
          <cell r="N815" t="str">
            <v/>
          </cell>
        </row>
        <row r="816">
          <cell r="K816" t="str">
            <v>YDR007W</v>
          </cell>
          <cell r="N816" t="str">
            <v/>
          </cell>
        </row>
        <row r="817">
          <cell r="K817" t="str">
            <v>YGL234W</v>
          </cell>
          <cell r="N817" t="str">
            <v>rt5891</v>
          </cell>
        </row>
        <row r="818">
          <cell r="K818" t="str">
            <v>YMR300C</v>
          </cell>
          <cell r="N818" t="str">
            <v>rt6932</v>
          </cell>
        </row>
        <row r="819">
          <cell r="K819" t="str">
            <v>YGR208W</v>
          </cell>
          <cell r="N819" t="str">
            <v/>
          </cell>
        </row>
        <row r="820">
          <cell r="K820" t="str">
            <v>YOR184W</v>
          </cell>
          <cell r="N820" t="str">
            <v>rt7036</v>
          </cell>
        </row>
        <row r="821">
          <cell r="K821" t="str">
            <v>YBR183W</v>
          </cell>
          <cell r="N821" t="str">
            <v/>
          </cell>
        </row>
        <row r="822">
          <cell r="K822" t="str">
            <v>YDR294C</v>
          </cell>
          <cell r="N822" t="str">
            <v>rt3557</v>
          </cell>
        </row>
        <row r="823">
          <cell r="K823" t="str">
            <v>YDR297W</v>
          </cell>
          <cell r="N823" t="str">
            <v>rt6946</v>
          </cell>
        </row>
        <row r="824">
          <cell r="K824" t="str">
            <v>YMR020W</v>
          </cell>
          <cell r="N824" t="str">
            <v>rt7571</v>
          </cell>
        </row>
        <row r="825">
          <cell r="K825" t="str">
            <v>YGL040C</v>
          </cell>
          <cell r="N825" t="str">
            <v>rt5026</v>
          </cell>
        </row>
        <row r="826">
          <cell r="K826" t="str">
            <v>YMR020W</v>
          </cell>
          <cell r="N826" t="str">
            <v>rt7571</v>
          </cell>
        </row>
        <row r="827">
          <cell r="K827" t="str">
            <v>YMR020W</v>
          </cell>
          <cell r="N827" t="str">
            <v>rt7571</v>
          </cell>
        </row>
        <row r="828">
          <cell r="K828" t="str">
            <v>YNL316C</v>
          </cell>
          <cell r="N828" t="str">
            <v>rt5827</v>
          </cell>
        </row>
        <row r="829">
          <cell r="K829" t="str">
            <v>YBR166C</v>
          </cell>
          <cell r="N829" t="str">
            <v>rt7857</v>
          </cell>
        </row>
        <row r="830">
          <cell r="K830" t="str">
            <v>YLR142W</v>
          </cell>
          <cell r="N830" t="str">
            <v>rt6234</v>
          </cell>
        </row>
        <row r="831">
          <cell r="K831" t="str">
            <v>YHR020W</v>
          </cell>
          <cell r="N831" t="str">
            <v>rt3118</v>
          </cell>
        </row>
        <row r="832">
          <cell r="K832" t="str">
            <v>YER014W</v>
          </cell>
          <cell r="N832" t="str">
            <v>rt3499</v>
          </cell>
        </row>
        <row r="833">
          <cell r="K833" t="str">
            <v>YLR209C</v>
          </cell>
          <cell r="N833" t="str">
            <v>rt7908</v>
          </cell>
        </row>
        <row r="834">
          <cell r="K834" t="str">
            <v>YLR209C</v>
          </cell>
          <cell r="N834" t="str">
            <v>rt7908</v>
          </cell>
        </row>
        <row r="835">
          <cell r="K835" t="str">
            <v>YLR209C</v>
          </cell>
          <cell r="N835" t="str">
            <v>rt7908</v>
          </cell>
        </row>
        <row r="836">
          <cell r="K836" t="str">
            <v>YLR209C</v>
          </cell>
          <cell r="N836" t="str">
            <v>rt7908</v>
          </cell>
        </row>
        <row r="837">
          <cell r="K837" t="str">
            <v>YLR209C</v>
          </cell>
          <cell r="N837" t="str">
            <v>rt7908</v>
          </cell>
        </row>
        <row r="838">
          <cell r="K838" t="str">
            <v>YLR209C</v>
          </cell>
          <cell r="N838" t="str">
            <v>rt7908</v>
          </cell>
        </row>
        <row r="839">
          <cell r="K839" t="str">
            <v>YBR035C</v>
          </cell>
          <cell r="N839" t="str">
            <v>rt2312</v>
          </cell>
        </row>
        <row r="840">
          <cell r="K840" t="str">
            <v>YBR035C</v>
          </cell>
          <cell r="N840" t="str">
            <v>rt2312</v>
          </cell>
        </row>
        <row r="841">
          <cell r="K841" t="str">
            <v>YBR035C</v>
          </cell>
          <cell r="N841" t="str">
            <v>rt2312</v>
          </cell>
        </row>
        <row r="842">
          <cell r="K842" t="str">
            <v>YBR035C</v>
          </cell>
          <cell r="N842" t="str">
            <v>rt2312</v>
          </cell>
        </row>
        <row r="843">
          <cell r="K843" t="str">
            <v>YBR035C</v>
          </cell>
          <cell r="N843" t="str">
            <v>rt2312</v>
          </cell>
        </row>
        <row r="844">
          <cell r="K844" t="str">
            <v>YER023W</v>
          </cell>
          <cell r="N844" t="str">
            <v>rt5064</v>
          </cell>
        </row>
        <row r="845">
          <cell r="K845" t="str">
            <v>YGL062W</v>
          </cell>
          <cell r="N845" t="str">
            <v>rt7325</v>
          </cell>
        </row>
        <row r="846">
          <cell r="K846" t="str">
            <v>YBR218C</v>
          </cell>
          <cell r="N846" t="str">
            <v>rt8262</v>
          </cell>
        </row>
        <row r="847">
          <cell r="K847" t="str">
            <v>YGR087C</v>
          </cell>
          <cell r="N847" t="str">
            <v/>
          </cell>
        </row>
        <row r="848">
          <cell r="K848" t="str">
            <v>YLR044C</v>
          </cell>
          <cell r="N848" t="str">
            <v>rt7423</v>
          </cell>
        </row>
        <row r="849">
          <cell r="K849" t="str">
            <v>YLR134W</v>
          </cell>
          <cell r="N849" t="str">
            <v/>
          </cell>
        </row>
        <row r="850">
          <cell r="K850" t="str">
            <v>YGR087C</v>
          </cell>
          <cell r="N850" t="str">
            <v/>
          </cell>
        </row>
        <row r="851">
          <cell r="K851" t="str">
            <v>YLR044C</v>
          </cell>
          <cell r="N851" t="str">
            <v>rt7423</v>
          </cell>
        </row>
        <row r="852">
          <cell r="K852" t="str">
            <v>YLR134W</v>
          </cell>
          <cell r="N852" t="str">
            <v/>
          </cell>
        </row>
        <row r="853">
          <cell r="K853" t="str">
            <v>YOR347C</v>
          </cell>
          <cell r="N853" t="str">
            <v/>
          </cell>
        </row>
        <row r="854">
          <cell r="K854" t="str">
            <v>YAL038W</v>
          </cell>
          <cell r="N854" t="str">
            <v>rt4634</v>
          </cell>
        </row>
        <row r="855">
          <cell r="K855" t="str">
            <v>YOL143C</v>
          </cell>
          <cell r="N855" t="str">
            <v>rt0910</v>
          </cell>
        </row>
        <row r="856">
          <cell r="K856" t="str">
            <v>YBR256C</v>
          </cell>
          <cell r="N856" t="str">
            <v>rt4127</v>
          </cell>
        </row>
        <row r="857">
          <cell r="K857" t="str">
            <v>YCR036W</v>
          </cell>
          <cell r="N857" t="str">
            <v>rt2501</v>
          </cell>
        </row>
        <row r="858">
          <cell r="K858" t="str">
            <v>RNR124</v>
          </cell>
          <cell r="N858" t="str">
            <v/>
          </cell>
        </row>
        <row r="859">
          <cell r="K859" t="str">
            <v>RNR1234</v>
          </cell>
          <cell r="N859" t="str">
            <v/>
          </cell>
        </row>
        <row r="860">
          <cell r="K860" t="str">
            <v>RNR124</v>
          </cell>
          <cell r="N860" t="str">
            <v/>
          </cell>
        </row>
        <row r="861">
          <cell r="K861" t="str">
            <v>RNR1234</v>
          </cell>
          <cell r="N861" t="str">
            <v/>
          </cell>
        </row>
        <row r="862">
          <cell r="K862" t="str">
            <v>RNR124</v>
          </cell>
          <cell r="N862" t="str">
            <v/>
          </cell>
        </row>
        <row r="863">
          <cell r="K863" t="str">
            <v>RNR1234</v>
          </cell>
          <cell r="N863" t="str">
            <v/>
          </cell>
        </row>
        <row r="864">
          <cell r="K864" t="str">
            <v>RNR124</v>
          </cell>
          <cell r="N864" t="str">
            <v/>
          </cell>
        </row>
        <row r="865">
          <cell r="K865" t="str">
            <v>RNR1234</v>
          </cell>
          <cell r="N865" t="str">
            <v/>
          </cell>
        </row>
        <row r="866">
          <cell r="K866" t="str">
            <v>RNR124</v>
          </cell>
          <cell r="N866" t="str">
            <v/>
          </cell>
        </row>
        <row r="867">
          <cell r="K867" t="str">
            <v>RNR1234</v>
          </cell>
          <cell r="N867" t="str">
            <v/>
          </cell>
        </row>
        <row r="868">
          <cell r="K868" t="str">
            <v>RNR124</v>
          </cell>
          <cell r="N868" t="str">
            <v/>
          </cell>
        </row>
        <row r="869">
          <cell r="K869" t="str">
            <v>RNR1234</v>
          </cell>
          <cell r="N869" t="str">
            <v/>
          </cell>
        </row>
        <row r="870">
          <cell r="K870" t="str">
            <v>YOR095C</v>
          </cell>
          <cell r="N870" t="str">
            <v>rt4920</v>
          </cell>
        </row>
        <row r="871">
          <cell r="K871" t="str">
            <v>YOR095C</v>
          </cell>
          <cell r="N871" t="str">
            <v>rt4920</v>
          </cell>
        </row>
        <row r="872">
          <cell r="K872" t="str">
            <v>YNL129W</v>
          </cell>
          <cell r="N872" t="str">
            <v>rt6206</v>
          </cell>
        </row>
        <row r="873">
          <cell r="K873" t="str">
            <v>YJL121C</v>
          </cell>
          <cell r="N873" t="str">
            <v>rt7896</v>
          </cell>
        </row>
        <row r="874">
          <cell r="K874" t="str">
            <v>YJL121C</v>
          </cell>
          <cell r="N874" t="str">
            <v>rt7896</v>
          </cell>
        </row>
        <row r="875">
          <cell r="K875" t="str">
            <v>YML008C</v>
          </cell>
          <cell r="N875" t="str">
            <v>rt4692</v>
          </cell>
        </row>
        <row r="876">
          <cell r="K876" t="str">
            <v>YJL068C</v>
          </cell>
          <cell r="N876" t="str">
            <v>rt1276</v>
          </cell>
        </row>
        <row r="877">
          <cell r="K877" t="str">
            <v>YJL068C</v>
          </cell>
          <cell r="N877" t="str">
            <v>rt1276</v>
          </cell>
        </row>
        <row r="878">
          <cell r="K878" t="str">
            <v>YIR034C</v>
          </cell>
          <cell r="N878" t="str">
            <v>rt5719</v>
          </cell>
        </row>
        <row r="879">
          <cell r="K879" t="str">
            <v>YNR050C</v>
          </cell>
          <cell r="N879" t="str">
            <v>rt8465</v>
          </cell>
        </row>
        <row r="880">
          <cell r="K880" t="str">
            <v>YKL060C</v>
          </cell>
          <cell r="N880" t="str">
            <v>rt7052</v>
          </cell>
        </row>
        <row r="881">
          <cell r="K881" t="str">
            <v>YKL060C</v>
          </cell>
          <cell r="N881" t="str">
            <v>rt7052</v>
          </cell>
        </row>
        <row r="882">
          <cell r="K882" t="str">
            <v>YDR023W</v>
          </cell>
          <cell r="N882" t="str">
            <v>rt1878</v>
          </cell>
        </row>
        <row r="883">
          <cell r="K883" t="str">
            <v>YHR011W</v>
          </cell>
          <cell r="N883" t="str">
            <v>rt5857</v>
          </cell>
        </row>
        <row r="884">
          <cell r="K884" t="str">
            <v>YDR127W</v>
          </cell>
          <cell r="N884" t="str">
            <v>rt5884</v>
          </cell>
        </row>
        <row r="885">
          <cell r="K885" t="str">
            <v>YDR127W</v>
          </cell>
          <cell r="N885" t="str">
            <v>rt5884</v>
          </cell>
        </row>
        <row r="886">
          <cell r="K886" t="str">
            <v>YBR213W</v>
          </cell>
          <cell r="N886" t="str">
            <v>rt5201</v>
          </cell>
        </row>
        <row r="887">
          <cell r="K887" t="str">
            <v>YBR213W</v>
          </cell>
          <cell r="N887" t="str">
            <v>rt5201</v>
          </cell>
        </row>
        <row r="888">
          <cell r="K888" t="str">
            <v>YPR069C</v>
          </cell>
          <cell r="N888" t="str">
            <v/>
          </cell>
        </row>
        <row r="889">
          <cell r="K889" t="str">
            <v>YLR146C</v>
          </cell>
          <cell r="N889" t="str">
            <v>rt4913</v>
          </cell>
        </row>
        <row r="890">
          <cell r="K890" t="str">
            <v>YDR294C</v>
          </cell>
          <cell r="N890" t="str">
            <v>rt3557</v>
          </cell>
        </row>
        <row r="891">
          <cell r="K891" t="str">
            <v>YKR053C</v>
          </cell>
          <cell r="N891" t="str">
            <v>rt5044</v>
          </cell>
        </row>
        <row r="892">
          <cell r="K892" t="str">
            <v>YJL134W</v>
          </cell>
          <cell r="N892" t="str">
            <v/>
          </cell>
        </row>
        <row r="893">
          <cell r="K893" t="str">
            <v>YKR053C</v>
          </cell>
          <cell r="N893" t="str">
            <v>rt5044</v>
          </cell>
        </row>
        <row r="894">
          <cell r="K894" t="str">
            <v>YJL134W</v>
          </cell>
          <cell r="N894" t="str">
            <v/>
          </cell>
        </row>
        <row r="895">
          <cell r="K895" t="str">
            <v>YOR171C</v>
          </cell>
          <cell r="N895" t="str">
            <v/>
          </cell>
        </row>
        <row r="896">
          <cell r="K896" t="str">
            <v>YLR260W</v>
          </cell>
          <cell r="N896" t="str">
            <v>rt2023</v>
          </cell>
        </row>
        <row r="897">
          <cell r="K897" t="str">
            <v>YOR171C</v>
          </cell>
          <cell r="N897" t="str">
            <v/>
          </cell>
        </row>
        <row r="898">
          <cell r="K898" t="str">
            <v>YLR260W</v>
          </cell>
          <cell r="N898" t="str">
            <v>rt2023</v>
          </cell>
        </row>
        <row r="899">
          <cell r="K899" t="str">
            <v>YGR175C</v>
          </cell>
          <cell r="N899" t="str">
            <v>rt5361</v>
          </cell>
        </row>
        <row r="900">
          <cell r="K900" t="str">
            <v>YGR175C</v>
          </cell>
          <cell r="N900" t="str">
            <v>rt5361</v>
          </cell>
        </row>
        <row r="901">
          <cell r="K901" t="str">
            <v>YHR190W</v>
          </cell>
          <cell r="N901" t="str">
            <v>rt8223</v>
          </cell>
        </row>
        <row r="902">
          <cell r="K902" t="str">
            <v>YBR006W</v>
          </cell>
          <cell r="N902" t="str">
            <v>rt0324</v>
          </cell>
        </row>
        <row r="903">
          <cell r="K903" t="str">
            <v>YIL162W</v>
          </cell>
          <cell r="N903" t="str">
            <v>rt6458</v>
          </cell>
        </row>
        <row r="904">
          <cell r="K904" t="str">
            <v>YJR010W</v>
          </cell>
          <cell r="N904" t="str">
            <v>rt5075</v>
          </cell>
        </row>
        <row r="905">
          <cell r="K905" t="str">
            <v>YCL050C</v>
          </cell>
          <cell r="N905" t="str">
            <v/>
          </cell>
        </row>
        <row r="906">
          <cell r="K906" t="str">
            <v>YLL057C</v>
          </cell>
          <cell r="N906" t="str">
            <v>rt1858</v>
          </cell>
        </row>
        <row r="907">
          <cell r="K907" t="str">
            <v>YOR241W</v>
          </cell>
          <cell r="N907" t="str">
            <v>rt6435</v>
          </cell>
        </row>
        <row r="908">
          <cell r="K908" t="str">
            <v>YBR092C</v>
          </cell>
          <cell r="N908" t="str">
            <v/>
          </cell>
        </row>
        <row r="909">
          <cell r="K909" t="str">
            <v>YBR092C</v>
          </cell>
          <cell r="N909" t="str">
            <v/>
          </cell>
        </row>
        <row r="910">
          <cell r="K910" t="str">
            <v>YOR143C</v>
          </cell>
          <cell r="N910" t="str">
            <v>rt8116</v>
          </cell>
        </row>
        <row r="911">
          <cell r="K911" t="str">
            <v>YOR143C</v>
          </cell>
          <cell r="N911" t="str">
            <v>rt8116</v>
          </cell>
        </row>
        <row r="912">
          <cell r="K912" t="str">
            <v>YPL214C</v>
          </cell>
          <cell r="N912" t="str">
            <v>rt7845</v>
          </cell>
        </row>
        <row r="913">
          <cell r="K913" t="str">
            <v>YEL046C</v>
          </cell>
          <cell r="N913" t="str">
            <v>rt0854</v>
          </cell>
        </row>
        <row r="914">
          <cell r="K914" t="str">
            <v>YCR053W</v>
          </cell>
          <cell r="N914" t="str">
            <v>rt1374</v>
          </cell>
        </row>
        <row r="915">
          <cell r="K915" t="str">
            <v>YIL078W</v>
          </cell>
          <cell r="N915" t="str">
            <v>rt7480</v>
          </cell>
        </row>
        <row r="916">
          <cell r="K916" t="str">
            <v>YKL194C</v>
          </cell>
          <cell r="N916" t="str">
            <v/>
          </cell>
        </row>
        <row r="917">
          <cell r="K917" t="str">
            <v>YOR074C</v>
          </cell>
          <cell r="N917" t="str">
            <v>rt2477</v>
          </cell>
        </row>
        <row r="918">
          <cell r="K918" t="str">
            <v>YER175C</v>
          </cell>
          <cell r="N918" t="str">
            <v>rt6691</v>
          </cell>
        </row>
        <row r="919">
          <cell r="K919" t="str">
            <v>YBR003W</v>
          </cell>
          <cell r="N919" t="str">
            <v>rt0532</v>
          </cell>
        </row>
        <row r="920">
          <cell r="K920" t="str">
            <v>YLR354C</v>
          </cell>
          <cell r="N920" t="str">
            <v>rt1805</v>
          </cell>
        </row>
        <row r="921">
          <cell r="K921" t="str">
            <v>YLR354C</v>
          </cell>
          <cell r="N921" t="str">
            <v>rt1805</v>
          </cell>
        </row>
        <row r="922">
          <cell r="K922" t="str">
            <v>YGR043C</v>
          </cell>
          <cell r="N922" t="str">
            <v/>
          </cell>
        </row>
        <row r="923">
          <cell r="K923" t="str">
            <v>YGR043C</v>
          </cell>
          <cell r="N923" t="str">
            <v/>
          </cell>
        </row>
        <row r="924">
          <cell r="K924" t="str">
            <v>YBR117C</v>
          </cell>
          <cell r="N924" t="str">
            <v/>
          </cell>
        </row>
        <row r="925">
          <cell r="K925" t="str">
            <v>YBR117C</v>
          </cell>
          <cell r="N925" t="str">
            <v/>
          </cell>
        </row>
        <row r="926">
          <cell r="K926" t="str">
            <v>YPR074C</v>
          </cell>
          <cell r="N926" t="str">
            <v>rt7263</v>
          </cell>
        </row>
        <row r="927">
          <cell r="K927" t="str">
            <v>YPR074C</v>
          </cell>
          <cell r="N927" t="str">
            <v>rt7263</v>
          </cell>
        </row>
        <row r="928">
          <cell r="K928" t="str">
            <v>YPR074C</v>
          </cell>
          <cell r="N928" t="str">
            <v>rt7263</v>
          </cell>
        </row>
        <row r="929">
          <cell r="K929" t="str">
            <v>YPR074C</v>
          </cell>
          <cell r="N929" t="str">
            <v>rt7263</v>
          </cell>
        </row>
        <row r="930">
          <cell r="K930" t="str">
            <v>YBR117C</v>
          </cell>
          <cell r="N930" t="str">
            <v/>
          </cell>
        </row>
        <row r="931">
          <cell r="K931" t="str">
            <v>YBR117C</v>
          </cell>
          <cell r="N931" t="str">
            <v/>
          </cell>
        </row>
        <row r="932">
          <cell r="K932" t="str">
            <v>YDR050C</v>
          </cell>
          <cell r="N932" t="str">
            <v>rt0932</v>
          </cell>
        </row>
        <row r="933">
          <cell r="K933" t="str">
            <v>YDR050C</v>
          </cell>
          <cell r="N933" t="str">
            <v>rt0932</v>
          </cell>
        </row>
        <row r="934">
          <cell r="K934" t="str">
            <v>YGL026C</v>
          </cell>
          <cell r="N934" t="str">
            <v>rt0894</v>
          </cell>
        </row>
        <row r="935">
          <cell r="K935" t="str">
            <v>YGL202W</v>
          </cell>
          <cell r="N935" t="str">
            <v>rt7471</v>
          </cell>
        </row>
        <row r="936">
          <cell r="K936" t="str">
            <v>YOL097C</v>
          </cell>
          <cell r="N936" t="str">
            <v>rt6341</v>
          </cell>
        </row>
        <row r="937">
          <cell r="K937" t="str">
            <v>YDR268W</v>
          </cell>
          <cell r="N937" t="str">
            <v>rt7165</v>
          </cell>
        </row>
        <row r="938">
          <cell r="K938" t="str">
            <v>YHR137W</v>
          </cell>
          <cell r="N938" t="str">
            <v/>
          </cell>
        </row>
        <row r="939">
          <cell r="K939" t="str">
            <v>YHR137W</v>
          </cell>
          <cell r="N939" t="str">
            <v/>
          </cell>
        </row>
        <row r="940">
          <cell r="K940" t="str">
            <v>YGL202W</v>
          </cell>
          <cell r="N940" t="str">
            <v>rt7471</v>
          </cell>
        </row>
        <row r="941">
          <cell r="K941" t="str">
            <v>YGL202W</v>
          </cell>
          <cell r="N941" t="str">
            <v>rt7471</v>
          </cell>
        </row>
        <row r="942">
          <cell r="K942" t="str">
            <v>YGR185C</v>
          </cell>
          <cell r="N942" t="str">
            <v>rt8273</v>
          </cell>
        </row>
        <row r="943">
          <cell r="K943" t="str">
            <v>YPL097W</v>
          </cell>
          <cell r="N943" t="str">
            <v>rt4769</v>
          </cell>
        </row>
        <row r="944">
          <cell r="K944" t="str">
            <v>YLR189C</v>
          </cell>
          <cell r="N944" t="str">
            <v>rt5466</v>
          </cell>
        </row>
        <row r="945">
          <cell r="K945" t="str">
            <v>YDL103C</v>
          </cell>
          <cell r="N945" t="str">
            <v>rt0711</v>
          </cell>
        </row>
        <row r="946">
          <cell r="K946" t="str">
            <v>YDL103C</v>
          </cell>
          <cell r="N946" t="str">
            <v>rt0711</v>
          </cell>
        </row>
        <row r="947">
          <cell r="K947" t="str">
            <v>YBR019C</v>
          </cell>
          <cell r="N947" t="str">
            <v>rt0601</v>
          </cell>
        </row>
        <row r="948">
          <cell r="K948" t="str">
            <v>YBR019C</v>
          </cell>
          <cell r="N948" t="str">
            <v>rt0601</v>
          </cell>
        </row>
        <row r="949">
          <cell r="K949" t="str">
            <v>YBR018C</v>
          </cell>
          <cell r="N949" t="str">
            <v>rt2964</v>
          </cell>
        </row>
        <row r="950">
          <cell r="K950" t="str">
            <v>YBR018C</v>
          </cell>
          <cell r="N950" t="str">
            <v>rt2964</v>
          </cell>
        </row>
        <row r="951">
          <cell r="K951" t="str">
            <v>YHR128W</v>
          </cell>
          <cell r="N951" t="str">
            <v>rt5873</v>
          </cell>
        </row>
        <row r="952">
          <cell r="K952" t="str">
            <v>YBR208C</v>
          </cell>
          <cell r="N952" t="str">
            <v>rt0958</v>
          </cell>
        </row>
        <row r="953">
          <cell r="K953" t="str">
            <v>YIR032C</v>
          </cell>
          <cell r="N953" t="str">
            <v/>
          </cell>
        </row>
        <row r="954">
          <cell r="K954" t="str">
            <v>YDR020C</v>
          </cell>
          <cell r="N954" t="str">
            <v/>
          </cell>
        </row>
        <row r="955">
          <cell r="K955" t="str">
            <v>YNR012W</v>
          </cell>
          <cell r="N955" t="str">
            <v>rt0265</v>
          </cell>
        </row>
        <row r="956">
          <cell r="K956" t="str">
            <v>YDR020C</v>
          </cell>
          <cell r="N956" t="str">
            <v/>
          </cell>
        </row>
        <row r="957">
          <cell r="K957" t="str">
            <v>YNR012W</v>
          </cell>
          <cell r="N957" t="str">
            <v>rt0265</v>
          </cell>
        </row>
        <row r="958">
          <cell r="K958" t="str">
            <v>YDR047W</v>
          </cell>
          <cell r="N958" t="str">
            <v>rt5811</v>
          </cell>
        </row>
        <row r="959">
          <cell r="K959" t="str">
            <v>YKR069W</v>
          </cell>
          <cell r="N959" t="str">
            <v>rt2682</v>
          </cell>
        </row>
        <row r="960">
          <cell r="K960" t="str">
            <v>YOR278W</v>
          </cell>
          <cell r="N960" t="str">
            <v>rt2147</v>
          </cell>
        </row>
        <row r="961">
          <cell r="K961" t="str">
            <v>YKL035W</v>
          </cell>
          <cell r="N961" t="str">
            <v>rt3384</v>
          </cell>
        </row>
        <row r="962">
          <cell r="K962" t="str">
            <v>YKL035W</v>
          </cell>
          <cell r="N962" t="str">
            <v>rt3384</v>
          </cell>
        </row>
        <row r="963">
          <cell r="K963" t="str">
            <v>YHL012W</v>
          </cell>
          <cell r="N963" t="str">
            <v/>
          </cell>
        </row>
        <row r="964">
          <cell r="K964" t="str">
            <v>YHL012W</v>
          </cell>
          <cell r="N964" t="str">
            <v/>
          </cell>
        </row>
        <row r="965">
          <cell r="K965" t="str">
            <v>YJR148W</v>
          </cell>
          <cell r="N965" t="str">
            <v>rt5646</v>
          </cell>
        </row>
        <row r="966">
          <cell r="K966" t="str">
            <v>YJR148W</v>
          </cell>
          <cell r="N966" t="str">
            <v>rt5646</v>
          </cell>
        </row>
        <row r="967">
          <cell r="K967" t="str">
            <v>YHR208W</v>
          </cell>
          <cell r="N967" t="str">
            <v>rt6242</v>
          </cell>
        </row>
        <row r="968">
          <cell r="K968" t="str">
            <v>YHR208W</v>
          </cell>
          <cell r="N968" t="str">
            <v>rt6242</v>
          </cell>
        </row>
        <row r="969">
          <cell r="K969" t="str">
            <v>YJR133W</v>
          </cell>
          <cell r="N969" t="str">
            <v>rt4077</v>
          </cell>
        </row>
        <row r="970">
          <cell r="K970" t="str">
            <v>YLR070C</v>
          </cell>
          <cell r="N970" t="str">
            <v>rt4609</v>
          </cell>
        </row>
        <row r="971">
          <cell r="K971" t="str">
            <v>YHR104W</v>
          </cell>
          <cell r="N971" t="str">
            <v/>
          </cell>
        </row>
        <row r="972">
          <cell r="K972" t="str">
            <v>YGR194C</v>
          </cell>
          <cell r="N972" t="str">
            <v>rt8482</v>
          </cell>
        </row>
        <row r="973">
          <cell r="K973" t="str">
            <v>YPL212C</v>
          </cell>
          <cell r="N973" t="str">
            <v>rt8055</v>
          </cell>
        </row>
        <row r="974">
          <cell r="K974" t="str">
            <v>YPL212C</v>
          </cell>
          <cell r="N974" t="str">
            <v>rt8055</v>
          </cell>
        </row>
        <row r="975">
          <cell r="K975" t="str">
            <v>YNL292W</v>
          </cell>
          <cell r="N975" t="str">
            <v>rt7720</v>
          </cell>
        </row>
        <row r="976">
          <cell r="K976" t="str">
            <v>YNL292W</v>
          </cell>
          <cell r="N976" t="str">
            <v>rt7720</v>
          </cell>
        </row>
        <row r="977">
          <cell r="K977" t="str">
            <v>YGL063W</v>
          </cell>
          <cell r="N977" t="str">
            <v/>
          </cell>
        </row>
        <row r="978">
          <cell r="K978" t="str">
            <v>YGL063W</v>
          </cell>
          <cell r="N978" t="str">
            <v/>
          </cell>
        </row>
        <row r="979">
          <cell r="K979" t="str">
            <v>YFL001W</v>
          </cell>
          <cell r="N979" t="str">
            <v>rt6068</v>
          </cell>
        </row>
        <row r="980">
          <cell r="K980" t="str">
            <v>YFL001W</v>
          </cell>
          <cell r="N980" t="str">
            <v>rt6068</v>
          </cell>
        </row>
        <row r="981">
          <cell r="K981" t="str">
            <v>YER037W</v>
          </cell>
          <cell r="N981" t="str">
            <v/>
          </cell>
        </row>
        <row r="982">
          <cell r="K982" t="str">
            <v>YDL131W</v>
          </cell>
          <cell r="N982" t="str">
            <v/>
          </cell>
        </row>
        <row r="983">
          <cell r="K983" t="str">
            <v>YEL029C</v>
          </cell>
          <cell r="N983" t="str">
            <v>rt6177</v>
          </cell>
        </row>
        <row r="984">
          <cell r="K984" t="str">
            <v>YJL060W</v>
          </cell>
          <cell r="N984" t="str">
            <v>rt0172</v>
          </cell>
        </row>
        <row r="985">
          <cell r="K985" t="str">
            <v>YJL060W</v>
          </cell>
          <cell r="N985" t="str">
            <v>rt0172</v>
          </cell>
        </row>
        <row r="986">
          <cell r="K986" t="str">
            <v>YBR145W</v>
          </cell>
          <cell r="N986" t="str">
            <v>rt7110</v>
          </cell>
        </row>
        <row r="987">
          <cell r="K987" t="str">
            <v>YOL086C</v>
          </cell>
          <cell r="N987" t="str">
            <v>rt8149</v>
          </cell>
        </row>
        <row r="988">
          <cell r="K988" t="str">
            <v>YMR170C</v>
          </cell>
          <cell r="N988" t="str">
            <v/>
          </cell>
        </row>
        <row r="989">
          <cell r="K989" t="str">
            <v>YOR374W</v>
          </cell>
          <cell r="N989" t="str">
            <v>rt2756</v>
          </cell>
        </row>
        <row r="990">
          <cell r="K990" t="str">
            <v>YHR137W</v>
          </cell>
          <cell r="N990" t="str">
            <v/>
          </cell>
        </row>
        <row r="991">
          <cell r="K991" t="str">
            <v>YKR043C</v>
          </cell>
          <cell r="N991" t="str">
            <v>rt4269</v>
          </cell>
        </row>
        <row r="992">
          <cell r="K992" t="str">
            <v>YDL066W</v>
          </cell>
          <cell r="N992" t="str">
            <v>rt2761</v>
          </cell>
        </row>
        <row r="993">
          <cell r="K993" t="str">
            <v>YKL055C</v>
          </cell>
          <cell r="N993" t="str">
            <v>rt2183</v>
          </cell>
        </row>
        <row r="994">
          <cell r="K994" t="str">
            <v>YKL055C</v>
          </cell>
          <cell r="N994" t="str">
            <v>rt2183</v>
          </cell>
        </row>
        <row r="995">
          <cell r="K995" t="str">
            <v>YKL055C</v>
          </cell>
          <cell r="N995" t="str">
            <v>rt2183</v>
          </cell>
        </row>
        <row r="996">
          <cell r="K996" t="str">
            <v>YHR067W</v>
          </cell>
          <cell r="N996" t="str">
            <v/>
          </cell>
        </row>
        <row r="997">
          <cell r="K997" t="str">
            <v>YHR067W</v>
          </cell>
          <cell r="N997" t="str">
            <v/>
          </cell>
        </row>
        <row r="998">
          <cell r="K998" t="str">
            <v>YHR067W</v>
          </cell>
          <cell r="N998" t="str">
            <v/>
          </cell>
        </row>
        <row r="999">
          <cell r="K999" t="str">
            <v>YHR067W</v>
          </cell>
          <cell r="N999" t="str">
            <v/>
          </cell>
        </row>
        <row r="1000">
          <cell r="K1000" t="str">
            <v>YHR067W</v>
          </cell>
          <cell r="N1000" t="str">
            <v/>
          </cell>
        </row>
        <row r="1001">
          <cell r="K1001" t="str">
            <v>YHR067W</v>
          </cell>
          <cell r="N1001" t="str">
            <v/>
          </cell>
        </row>
        <row r="1002">
          <cell r="K1002" t="str">
            <v>YBR026C</v>
          </cell>
          <cell r="N1002" t="str">
            <v>rt3469</v>
          </cell>
        </row>
        <row r="1003">
          <cell r="K1003" t="str">
            <v>YBR026C</v>
          </cell>
          <cell r="N1003" t="str">
            <v>rt3469</v>
          </cell>
        </row>
        <row r="1004">
          <cell r="K1004" t="str">
            <v>YBR026C</v>
          </cell>
          <cell r="N1004" t="str">
            <v>rt3469</v>
          </cell>
        </row>
        <row r="1005">
          <cell r="K1005" t="str">
            <v>YCR034W</v>
          </cell>
          <cell r="N1005" t="str">
            <v/>
          </cell>
        </row>
        <row r="1006">
          <cell r="K1006" t="str">
            <v>YLR372W</v>
          </cell>
          <cell r="N1006" t="str">
            <v>rt8287</v>
          </cell>
        </row>
        <row r="1007">
          <cell r="K1007" t="str">
            <v>YCR034W</v>
          </cell>
          <cell r="N1007" t="str">
            <v/>
          </cell>
        </row>
        <row r="1008">
          <cell r="K1008" t="str">
            <v>YLR372W</v>
          </cell>
          <cell r="N1008" t="str">
            <v>rt8287</v>
          </cell>
        </row>
        <row r="1009">
          <cell r="K1009" t="str">
            <v>YLR372W</v>
          </cell>
          <cell r="N1009" t="str">
            <v>rt8287</v>
          </cell>
        </row>
        <row r="1010">
          <cell r="K1010" t="str">
            <v>YCR034W</v>
          </cell>
          <cell r="N1010" t="str">
            <v/>
          </cell>
        </row>
        <row r="1011">
          <cell r="K1011" t="str">
            <v>YLR372W</v>
          </cell>
          <cell r="N1011" t="str">
            <v>rt8287</v>
          </cell>
        </row>
        <row r="1012">
          <cell r="K1012" t="str">
            <v>YBR159W</v>
          </cell>
          <cell r="N1012" t="str">
            <v>rt8327</v>
          </cell>
        </row>
        <row r="1013">
          <cell r="K1013" t="str">
            <v>YBR159W</v>
          </cell>
          <cell r="N1013" t="str">
            <v>rt8327</v>
          </cell>
        </row>
        <row r="1014">
          <cell r="K1014" t="str">
            <v>YBR159W</v>
          </cell>
          <cell r="N1014" t="str">
            <v>rt8327</v>
          </cell>
        </row>
        <row r="1015">
          <cell r="K1015" t="str">
            <v>YBR159W</v>
          </cell>
          <cell r="N1015" t="str">
            <v>rt8327</v>
          </cell>
        </row>
        <row r="1016">
          <cell r="K1016" t="str">
            <v>YJL097W</v>
          </cell>
          <cell r="N1016" t="str">
            <v>rt2309</v>
          </cell>
        </row>
        <row r="1017">
          <cell r="K1017" t="str">
            <v>YJL097W</v>
          </cell>
          <cell r="N1017" t="str">
            <v>rt2309</v>
          </cell>
        </row>
        <row r="1018">
          <cell r="K1018" t="str">
            <v>YJL097W</v>
          </cell>
          <cell r="N1018" t="str">
            <v>rt2309</v>
          </cell>
        </row>
        <row r="1019">
          <cell r="K1019" t="str">
            <v>YJL097W</v>
          </cell>
          <cell r="N1019" t="str">
            <v>rt2309</v>
          </cell>
        </row>
        <row r="1020">
          <cell r="K1020" t="str">
            <v>YJL097W</v>
          </cell>
          <cell r="N1020" t="str">
            <v>rt2309</v>
          </cell>
        </row>
        <row r="1021">
          <cell r="K1021" t="str">
            <v>YJL097W</v>
          </cell>
          <cell r="N1021" t="str">
            <v>rt2309</v>
          </cell>
        </row>
        <row r="1022">
          <cell r="K1022" t="str">
            <v>YJL097W</v>
          </cell>
          <cell r="N1022" t="str">
            <v>rt2309</v>
          </cell>
        </row>
        <row r="1023">
          <cell r="K1023" t="str">
            <v>YJL097W</v>
          </cell>
          <cell r="N1023" t="str">
            <v>rt2309</v>
          </cell>
        </row>
        <row r="1024">
          <cell r="K1024" t="str">
            <v>YDL015C</v>
          </cell>
          <cell r="N1024" t="str">
            <v>rt7873</v>
          </cell>
        </row>
        <row r="1025">
          <cell r="K1025" t="str">
            <v>YDL015C</v>
          </cell>
          <cell r="N1025" t="str">
            <v>rt7873</v>
          </cell>
        </row>
        <row r="1026">
          <cell r="K1026" t="str">
            <v>YDL015C</v>
          </cell>
          <cell r="N1026" t="str">
            <v>rt7873</v>
          </cell>
        </row>
        <row r="1027">
          <cell r="K1027" t="str">
            <v>YDL015C</v>
          </cell>
          <cell r="N1027" t="str">
            <v>rt7873</v>
          </cell>
        </row>
        <row r="1028">
          <cell r="K1028" t="str">
            <v>YGL055W</v>
          </cell>
          <cell r="N1028" t="str">
            <v>rt1362</v>
          </cell>
        </row>
        <row r="1029">
          <cell r="K1029" t="str">
            <v>YGL055W</v>
          </cell>
          <cell r="N1029" t="str">
            <v>rt1362</v>
          </cell>
        </row>
        <row r="1030">
          <cell r="K1030" t="str">
            <v>YOR317W</v>
          </cell>
          <cell r="N1030" t="str">
            <v>rt2799</v>
          </cell>
        </row>
        <row r="1031">
          <cell r="K1031" t="str">
            <v>YMR246W</v>
          </cell>
          <cell r="N1031" t="str">
            <v/>
          </cell>
        </row>
        <row r="1032">
          <cell r="K1032" t="str">
            <v>YOR317W</v>
          </cell>
          <cell r="N1032" t="str">
            <v>rt2799</v>
          </cell>
        </row>
        <row r="1033">
          <cell r="K1033" t="str">
            <v>YMR246W</v>
          </cell>
          <cell r="N1033" t="str">
            <v/>
          </cell>
        </row>
        <row r="1034">
          <cell r="K1034" t="str">
            <v>YOR317W</v>
          </cell>
          <cell r="N1034" t="str">
            <v>rt2799</v>
          </cell>
        </row>
        <row r="1035">
          <cell r="K1035" t="str">
            <v>YMR246W</v>
          </cell>
          <cell r="N1035" t="str">
            <v/>
          </cell>
        </row>
        <row r="1036">
          <cell r="K1036" t="str">
            <v>YOR317W</v>
          </cell>
          <cell r="N1036" t="str">
            <v>rt2799</v>
          </cell>
        </row>
        <row r="1037">
          <cell r="K1037" t="str">
            <v>YMR246W</v>
          </cell>
          <cell r="N1037" t="str">
            <v/>
          </cell>
        </row>
        <row r="1038">
          <cell r="K1038" t="str">
            <v>YOR317W</v>
          </cell>
          <cell r="N1038" t="str">
            <v>rt2799</v>
          </cell>
        </row>
        <row r="1039">
          <cell r="K1039" t="str">
            <v>YMR246W</v>
          </cell>
          <cell r="N1039" t="str">
            <v/>
          </cell>
        </row>
        <row r="1040">
          <cell r="K1040" t="str">
            <v>YOR317W</v>
          </cell>
          <cell r="N1040" t="str">
            <v>rt2799</v>
          </cell>
        </row>
        <row r="1041">
          <cell r="K1041" t="str">
            <v>YOR317W</v>
          </cell>
          <cell r="N1041" t="str">
            <v>rt2799</v>
          </cell>
        </row>
        <row r="1042">
          <cell r="K1042" t="str">
            <v>YMR246W</v>
          </cell>
          <cell r="N1042" t="str">
            <v/>
          </cell>
        </row>
        <row r="1043">
          <cell r="K1043" t="str">
            <v>YOR317W</v>
          </cell>
          <cell r="N1043" t="str">
            <v>rt2799</v>
          </cell>
        </row>
        <row r="1044">
          <cell r="K1044" t="str">
            <v>YMR246W</v>
          </cell>
          <cell r="N1044" t="str">
            <v/>
          </cell>
        </row>
        <row r="1045">
          <cell r="K1045" t="str">
            <v>YOR317W</v>
          </cell>
          <cell r="N1045" t="str">
            <v>rt2799</v>
          </cell>
        </row>
        <row r="1046">
          <cell r="K1046" t="str">
            <v>YMR246W</v>
          </cell>
          <cell r="N1046" t="str">
            <v/>
          </cell>
        </row>
        <row r="1047">
          <cell r="K1047" t="str">
            <v>YOR317W</v>
          </cell>
          <cell r="N1047" t="str">
            <v>rt2799</v>
          </cell>
        </row>
        <row r="1048">
          <cell r="K1048" t="str">
            <v>YMR246W</v>
          </cell>
          <cell r="N1048" t="str">
            <v/>
          </cell>
        </row>
        <row r="1049">
          <cell r="K1049" t="str">
            <v>YOR317W</v>
          </cell>
          <cell r="N1049" t="str">
            <v>rt2799</v>
          </cell>
        </row>
        <row r="1050">
          <cell r="K1050" t="str">
            <v>YMR246W</v>
          </cell>
          <cell r="N1050" t="str">
            <v/>
          </cell>
        </row>
        <row r="1051">
          <cell r="K1051" t="str">
            <v>YOR317W</v>
          </cell>
          <cell r="N1051" t="str">
            <v>rt2799</v>
          </cell>
        </row>
        <row r="1052">
          <cell r="K1052" t="str">
            <v>YER015W</v>
          </cell>
          <cell r="N1052" t="str">
            <v>rt4187</v>
          </cell>
        </row>
        <row r="1053">
          <cell r="K1053" t="str">
            <v>YER015W</v>
          </cell>
          <cell r="N1053" t="str">
            <v>rt4187</v>
          </cell>
        </row>
        <row r="1054">
          <cell r="K1054" t="str">
            <v>YER015W</v>
          </cell>
          <cell r="N1054" t="str">
            <v>rt4187</v>
          </cell>
        </row>
        <row r="1055">
          <cell r="K1055" t="str">
            <v>YIL009W</v>
          </cell>
          <cell r="N1055" t="str">
            <v>rt7380</v>
          </cell>
        </row>
        <row r="1056">
          <cell r="K1056" t="str">
            <v>YIL009W</v>
          </cell>
          <cell r="N1056" t="str">
            <v>rt7380</v>
          </cell>
        </row>
        <row r="1057">
          <cell r="K1057" t="str">
            <v>YIL009W</v>
          </cell>
          <cell r="N1057" t="str">
            <v>rt7380</v>
          </cell>
        </row>
        <row r="1058">
          <cell r="K1058" t="str">
            <v>YIL009W</v>
          </cell>
          <cell r="N1058" t="str">
            <v>rt7380</v>
          </cell>
        </row>
        <row r="1059">
          <cell r="K1059" t="str">
            <v>YBR041W</v>
          </cell>
          <cell r="N1059" t="str">
            <v>rt1544</v>
          </cell>
        </row>
        <row r="1060">
          <cell r="K1060" t="str">
            <v>YBR041W</v>
          </cell>
          <cell r="N1060" t="str">
            <v>rt1544</v>
          </cell>
        </row>
        <row r="1061">
          <cell r="K1061" t="str">
            <v>YBR041W</v>
          </cell>
          <cell r="N1061" t="str">
            <v>rt1544</v>
          </cell>
        </row>
        <row r="1062">
          <cell r="K1062" t="str">
            <v>YJR019C</v>
          </cell>
          <cell r="N1062" t="str">
            <v>rt7680</v>
          </cell>
        </row>
        <row r="1063">
          <cell r="K1063" t="str">
            <v>YJR019C</v>
          </cell>
          <cell r="N1063" t="str">
            <v>rt7680</v>
          </cell>
        </row>
        <row r="1064">
          <cell r="K1064" t="str">
            <v>YJR019C</v>
          </cell>
          <cell r="N1064" t="str">
            <v>rt7680</v>
          </cell>
        </row>
        <row r="1065">
          <cell r="K1065" t="str">
            <v>YJR019C</v>
          </cell>
          <cell r="N1065" t="str">
            <v>rt7680</v>
          </cell>
        </row>
        <row r="1066">
          <cell r="K1066" t="str">
            <v>YGL205W</v>
          </cell>
          <cell r="N1066" t="str">
            <v>rt1332</v>
          </cell>
        </row>
        <row r="1067">
          <cell r="K1067" t="str">
            <v>YGL205W</v>
          </cell>
          <cell r="N1067" t="str">
            <v>rt1332</v>
          </cell>
        </row>
        <row r="1068">
          <cell r="K1068" t="str">
            <v>YGL205W</v>
          </cell>
          <cell r="N1068" t="str">
            <v>rt1332</v>
          </cell>
        </row>
        <row r="1069">
          <cell r="K1069" t="str">
            <v>YGL205W</v>
          </cell>
          <cell r="N1069" t="str">
            <v>rt1332</v>
          </cell>
        </row>
        <row r="1070">
          <cell r="K1070" t="str">
            <v>YGL205W</v>
          </cell>
          <cell r="N1070" t="str">
            <v>rt1332</v>
          </cell>
        </row>
        <row r="1071">
          <cell r="K1071" t="str">
            <v>YGL205W</v>
          </cell>
          <cell r="N1071" t="str">
            <v>rt1332</v>
          </cell>
        </row>
        <row r="1072">
          <cell r="K1072" t="str">
            <v>YGL205W</v>
          </cell>
          <cell r="N1072" t="str">
            <v>rt1332</v>
          </cell>
        </row>
        <row r="1073">
          <cell r="K1073" t="str">
            <v>YGL205W</v>
          </cell>
          <cell r="N1073" t="str">
            <v>rt1332</v>
          </cell>
        </row>
        <row r="1074">
          <cell r="K1074" t="str">
            <v>YGL205W</v>
          </cell>
          <cell r="N1074" t="str">
            <v>rt1332</v>
          </cell>
        </row>
        <row r="1075">
          <cell r="K1075" t="str">
            <v>YGL205W</v>
          </cell>
          <cell r="N1075" t="str">
            <v>rt1332</v>
          </cell>
        </row>
        <row r="1076">
          <cell r="K1076" t="str">
            <v>YGL205W</v>
          </cell>
          <cell r="N1076" t="str">
            <v>rt1332</v>
          </cell>
        </row>
        <row r="1077">
          <cell r="K1077" t="str">
            <v>YGL205W</v>
          </cell>
          <cell r="N1077" t="str">
            <v>rt1332</v>
          </cell>
        </row>
        <row r="1078">
          <cell r="K1078" t="str">
            <v>YKR009C</v>
          </cell>
          <cell r="N1078" t="str">
            <v>rt2994</v>
          </cell>
        </row>
        <row r="1079">
          <cell r="K1079" t="str">
            <v>YKR009C</v>
          </cell>
          <cell r="N1079" t="str">
            <v>rt2994</v>
          </cell>
        </row>
        <row r="1080">
          <cell r="K1080" t="str">
            <v>YKR009C</v>
          </cell>
          <cell r="N1080" t="str">
            <v>rt2994</v>
          </cell>
        </row>
        <row r="1081">
          <cell r="K1081" t="str">
            <v>YKR009C</v>
          </cell>
          <cell r="N1081" t="str">
            <v>rt2994</v>
          </cell>
        </row>
        <row r="1082">
          <cell r="K1082" t="str">
            <v>YKR009C</v>
          </cell>
          <cell r="N1082" t="str">
            <v>rt2994</v>
          </cell>
        </row>
        <row r="1083">
          <cell r="K1083" t="str">
            <v>YKR009C</v>
          </cell>
          <cell r="N1083" t="str">
            <v>rt2994</v>
          </cell>
        </row>
        <row r="1084">
          <cell r="K1084" t="str">
            <v>YKR009C</v>
          </cell>
          <cell r="N1084" t="str">
            <v>rt2994</v>
          </cell>
        </row>
        <row r="1085">
          <cell r="K1085" t="str">
            <v>YKR009C</v>
          </cell>
          <cell r="N1085" t="str">
            <v>rt2994</v>
          </cell>
        </row>
        <row r="1086">
          <cell r="K1086" t="str">
            <v>YKR009C</v>
          </cell>
          <cell r="N1086" t="str">
            <v>rt2994</v>
          </cell>
        </row>
        <row r="1087">
          <cell r="K1087" t="str">
            <v>YKR009C</v>
          </cell>
          <cell r="N1087" t="str">
            <v>rt2994</v>
          </cell>
        </row>
        <row r="1088">
          <cell r="K1088" t="str">
            <v>YKR009C</v>
          </cell>
          <cell r="N1088" t="str">
            <v>rt2994</v>
          </cell>
        </row>
        <row r="1089">
          <cell r="K1089" t="str">
            <v>YKR009C</v>
          </cell>
          <cell r="N1089" t="str">
            <v>rt2994</v>
          </cell>
        </row>
        <row r="1090">
          <cell r="K1090" t="str">
            <v>YKR009C</v>
          </cell>
          <cell r="N1090" t="str">
            <v>rt2994</v>
          </cell>
        </row>
        <row r="1091">
          <cell r="K1091" t="str">
            <v>YKR009C</v>
          </cell>
          <cell r="N1091" t="str">
            <v>rt2994</v>
          </cell>
        </row>
        <row r="1092">
          <cell r="K1092" t="str">
            <v>YKR009C</v>
          </cell>
          <cell r="N1092" t="str">
            <v>rt2994</v>
          </cell>
        </row>
        <row r="1093">
          <cell r="K1093" t="str">
            <v>YKR009C</v>
          </cell>
          <cell r="N1093" t="str">
            <v>rt2994</v>
          </cell>
        </row>
        <row r="1094">
          <cell r="K1094" t="str">
            <v>YKR009C</v>
          </cell>
          <cell r="N1094" t="str">
            <v>rt2994</v>
          </cell>
        </row>
        <row r="1095">
          <cell r="K1095" t="str">
            <v>YKR009C</v>
          </cell>
          <cell r="N1095" t="str">
            <v>rt2994</v>
          </cell>
        </row>
        <row r="1096">
          <cell r="K1096" t="str">
            <v>YKR009C</v>
          </cell>
          <cell r="N1096" t="str">
            <v>rt2994</v>
          </cell>
        </row>
        <row r="1097">
          <cell r="K1097" t="str">
            <v>YKR009C</v>
          </cell>
          <cell r="N1097" t="str">
            <v>rt2994</v>
          </cell>
        </row>
        <row r="1098">
          <cell r="K1098" t="str">
            <v>YKR009C</v>
          </cell>
          <cell r="N1098" t="str">
            <v>rt2994</v>
          </cell>
        </row>
        <row r="1099">
          <cell r="K1099" t="str">
            <v>YKR009C</v>
          </cell>
          <cell r="N1099" t="str">
            <v>rt2994</v>
          </cell>
        </row>
        <row r="1100">
          <cell r="K1100" t="str">
            <v>YKR009C</v>
          </cell>
          <cell r="N1100" t="str">
            <v>rt2994</v>
          </cell>
        </row>
        <row r="1101">
          <cell r="K1101" t="str">
            <v>YKR009C</v>
          </cell>
          <cell r="N1101" t="str">
            <v>rt2994</v>
          </cell>
        </row>
        <row r="1102">
          <cell r="K1102" t="str">
            <v>YKR009C</v>
          </cell>
          <cell r="N1102" t="str">
            <v>rt2994</v>
          </cell>
        </row>
        <row r="1103">
          <cell r="K1103" t="str">
            <v>YKR009C</v>
          </cell>
          <cell r="N1103" t="str">
            <v>rt2994</v>
          </cell>
        </row>
        <row r="1104">
          <cell r="K1104" t="str">
            <v>YKR009C</v>
          </cell>
          <cell r="N1104" t="str">
            <v>rt2994</v>
          </cell>
        </row>
        <row r="1105">
          <cell r="K1105" t="str">
            <v>YKR009C</v>
          </cell>
          <cell r="N1105" t="str">
            <v>rt2994</v>
          </cell>
        </row>
        <row r="1106">
          <cell r="K1106" t="str">
            <v>YKR009C</v>
          </cell>
          <cell r="N1106" t="str">
            <v>rt2994</v>
          </cell>
        </row>
        <row r="1107">
          <cell r="K1107" t="str">
            <v>YKR009C</v>
          </cell>
          <cell r="N1107" t="str">
            <v>rt2994</v>
          </cell>
        </row>
        <row r="1108">
          <cell r="K1108" t="str">
            <v>YKR009C</v>
          </cell>
          <cell r="N1108" t="str">
            <v>rt2994</v>
          </cell>
        </row>
        <row r="1109">
          <cell r="K1109" t="str">
            <v>YKR009C</v>
          </cell>
          <cell r="N1109" t="str">
            <v>rt2994</v>
          </cell>
        </row>
        <row r="1110">
          <cell r="K1110" t="str">
            <v>YKR009C</v>
          </cell>
          <cell r="N1110" t="str">
            <v>rt2994</v>
          </cell>
        </row>
        <row r="1111">
          <cell r="K1111" t="str">
            <v>YKR009C</v>
          </cell>
          <cell r="N1111" t="str">
            <v>rt2994</v>
          </cell>
        </row>
        <row r="1112">
          <cell r="K1112" t="str">
            <v>YKR009C</v>
          </cell>
          <cell r="N1112" t="str">
            <v>rt2994</v>
          </cell>
        </row>
        <row r="1113">
          <cell r="K1113" t="str">
            <v>YIL160C</v>
          </cell>
          <cell r="N1113" t="str">
            <v>rt5445</v>
          </cell>
        </row>
        <row r="1114">
          <cell r="K1114" t="str">
            <v>YIL160C</v>
          </cell>
          <cell r="N1114" t="str">
            <v>rt5445</v>
          </cell>
        </row>
        <row r="1115">
          <cell r="K1115" t="str">
            <v>YIL160C</v>
          </cell>
          <cell r="N1115" t="str">
            <v>rt5445</v>
          </cell>
        </row>
        <row r="1116">
          <cell r="K1116" t="str">
            <v>YIL160C</v>
          </cell>
          <cell r="N1116" t="str">
            <v>rt5445</v>
          </cell>
        </row>
        <row r="1117">
          <cell r="K1117" t="str">
            <v>YIL160C</v>
          </cell>
          <cell r="N1117" t="str">
            <v>rt5445</v>
          </cell>
        </row>
        <row r="1118">
          <cell r="K1118" t="str">
            <v>YIL160C</v>
          </cell>
          <cell r="N1118" t="str">
            <v>rt5445</v>
          </cell>
        </row>
        <row r="1119">
          <cell r="K1119" t="str">
            <v>YIL160C</v>
          </cell>
          <cell r="N1119" t="str">
            <v>rt5445</v>
          </cell>
        </row>
        <row r="1120">
          <cell r="K1120" t="str">
            <v>YIL160C</v>
          </cell>
          <cell r="N1120" t="str">
            <v>rt5445</v>
          </cell>
        </row>
        <row r="1121">
          <cell r="K1121" t="str">
            <v>YIL160C</v>
          </cell>
          <cell r="N1121" t="str">
            <v>rt5445</v>
          </cell>
        </row>
        <row r="1122">
          <cell r="K1122" t="str">
            <v>YIL160C</v>
          </cell>
          <cell r="N1122" t="str">
            <v>rt5445</v>
          </cell>
        </row>
        <row r="1123">
          <cell r="K1123" t="str">
            <v>YIL160C</v>
          </cell>
          <cell r="N1123" t="str">
            <v>rt5445</v>
          </cell>
        </row>
        <row r="1124">
          <cell r="K1124" t="str">
            <v>YIL160C</v>
          </cell>
          <cell r="N1124" t="str">
            <v>rt5445</v>
          </cell>
        </row>
        <row r="1125">
          <cell r="K1125" t="str">
            <v>YLR284C</v>
          </cell>
          <cell r="N1125" t="str">
            <v>rt1925</v>
          </cell>
        </row>
        <row r="1126">
          <cell r="K1126" t="str">
            <v>YLR284C</v>
          </cell>
          <cell r="N1126" t="str">
            <v>rt1925</v>
          </cell>
        </row>
        <row r="1127">
          <cell r="K1127" t="str">
            <v>YLR284C</v>
          </cell>
          <cell r="N1127" t="str">
            <v>rt1925</v>
          </cell>
        </row>
        <row r="1128">
          <cell r="K1128" t="str">
            <v>YLR284C</v>
          </cell>
          <cell r="N1128" t="str">
            <v>rt1925</v>
          </cell>
        </row>
        <row r="1129">
          <cell r="K1129" t="str">
            <v>YLR284C</v>
          </cell>
          <cell r="N1129" t="str">
            <v>rt1925</v>
          </cell>
        </row>
        <row r="1130">
          <cell r="K1130" t="str">
            <v>YLR284C</v>
          </cell>
          <cell r="N1130" t="str">
            <v>rt1925</v>
          </cell>
        </row>
        <row r="1131">
          <cell r="K1131" t="str">
            <v>YOR180C</v>
          </cell>
          <cell r="N1131" t="str">
            <v/>
          </cell>
        </row>
        <row r="1132">
          <cell r="K1132" t="str">
            <v>YOR180C</v>
          </cell>
          <cell r="N1132" t="str">
            <v/>
          </cell>
        </row>
        <row r="1133">
          <cell r="K1133" t="str">
            <v>YNL202W</v>
          </cell>
          <cell r="N1133" t="str">
            <v>rt4860</v>
          </cell>
        </row>
        <row r="1134">
          <cell r="K1134" t="str">
            <v>YNL202W</v>
          </cell>
          <cell r="N1134" t="str">
            <v>rt4860</v>
          </cell>
        </row>
        <row r="1135">
          <cell r="K1135" t="str">
            <v>YLL012W</v>
          </cell>
          <cell r="N1135" t="str">
            <v/>
          </cell>
        </row>
        <row r="1136">
          <cell r="K1136" t="str">
            <v>YKL140W</v>
          </cell>
          <cell r="N1136" t="str">
            <v/>
          </cell>
        </row>
        <row r="1137">
          <cell r="K1137" t="str">
            <v>YKL140W</v>
          </cell>
          <cell r="N1137" t="str">
            <v/>
          </cell>
        </row>
        <row r="1138">
          <cell r="K1138" t="str">
            <v>YLL012W</v>
          </cell>
          <cell r="N1138" t="str">
            <v/>
          </cell>
        </row>
        <row r="1139">
          <cell r="K1139" t="str">
            <v>YLL012W</v>
          </cell>
          <cell r="N1139" t="str">
            <v/>
          </cell>
        </row>
        <row r="1140">
          <cell r="K1140" t="str">
            <v>YLL012W</v>
          </cell>
          <cell r="N1140" t="str">
            <v/>
          </cell>
        </row>
        <row r="1141">
          <cell r="K1141" t="str">
            <v>YLL012W</v>
          </cell>
          <cell r="N1141" t="str">
            <v/>
          </cell>
        </row>
        <row r="1142">
          <cell r="K1142" t="str">
            <v>YLL012W</v>
          </cell>
          <cell r="N1142" t="str">
            <v/>
          </cell>
        </row>
        <row r="1143">
          <cell r="K1143" t="str">
            <v>YLL012W</v>
          </cell>
          <cell r="N1143" t="str">
            <v/>
          </cell>
        </row>
        <row r="1144">
          <cell r="K1144" t="str">
            <v>YLL012W</v>
          </cell>
          <cell r="N1144" t="str">
            <v/>
          </cell>
        </row>
        <row r="1145">
          <cell r="K1145" t="str">
            <v>YLL012W</v>
          </cell>
          <cell r="N1145" t="str">
            <v/>
          </cell>
        </row>
        <row r="1146">
          <cell r="K1146" t="str">
            <v>YLL012W</v>
          </cell>
          <cell r="N1146" t="str">
            <v/>
          </cell>
        </row>
        <row r="1147">
          <cell r="K1147" t="str">
            <v>YLR020C</v>
          </cell>
          <cell r="N1147" t="str">
            <v>rt5879</v>
          </cell>
        </row>
        <row r="1148">
          <cell r="K1148" t="str">
            <v>YLR020C</v>
          </cell>
          <cell r="N1148" t="str">
            <v>rt5879</v>
          </cell>
        </row>
        <row r="1149">
          <cell r="K1149" t="str">
            <v>YBL015W</v>
          </cell>
          <cell r="N1149" t="str">
            <v>rt5429</v>
          </cell>
        </row>
        <row r="1150">
          <cell r="K1150" t="str">
            <v>YBL015W</v>
          </cell>
          <cell r="N1150" t="str">
            <v>rt5429</v>
          </cell>
        </row>
        <row r="1151">
          <cell r="K1151" t="str">
            <v>YIL020C</v>
          </cell>
          <cell r="N1151" t="str">
            <v>rt3242</v>
          </cell>
        </row>
        <row r="1152">
          <cell r="K1152" t="str">
            <v>YDR400W</v>
          </cell>
          <cell r="N1152" t="str">
            <v>rt4016</v>
          </cell>
        </row>
        <row r="1153">
          <cell r="K1153" t="str">
            <v>YDR135C</v>
          </cell>
          <cell r="N1153" t="str">
            <v>rt4896</v>
          </cell>
        </row>
        <row r="1154">
          <cell r="K1154" t="str">
            <v>YLL048C</v>
          </cell>
          <cell r="N1154" t="str">
            <v/>
          </cell>
        </row>
        <row r="1155">
          <cell r="K1155" t="str">
            <v>YOR222W</v>
          </cell>
          <cell r="N1155" t="str">
            <v>rt2267</v>
          </cell>
        </row>
        <row r="1156">
          <cell r="K1156" t="str">
            <v>YOR222W</v>
          </cell>
          <cell r="N1156" t="str">
            <v>rt2267</v>
          </cell>
        </row>
        <row r="1157">
          <cell r="K1157" t="str">
            <v>YPL134C</v>
          </cell>
          <cell r="N1157" t="str">
            <v/>
          </cell>
        </row>
        <row r="1158">
          <cell r="K1158" t="str">
            <v>YPL134C</v>
          </cell>
          <cell r="N1158" t="str">
            <v/>
          </cell>
        </row>
        <row r="1159">
          <cell r="K1159" t="str">
            <v>YDL210W</v>
          </cell>
          <cell r="N1159" t="str">
            <v>rt2901</v>
          </cell>
        </row>
        <row r="1160">
          <cell r="K1160" t="str">
            <v>YOR348C</v>
          </cell>
          <cell r="N1160" t="str">
            <v/>
          </cell>
        </row>
        <row r="1161">
          <cell r="K1161" t="str">
            <v>YDL210W</v>
          </cell>
          <cell r="N1161" t="str">
            <v>rt2901</v>
          </cell>
        </row>
        <row r="1162">
          <cell r="K1162" t="str">
            <v>YNR056C</v>
          </cell>
          <cell r="N1162" t="str">
            <v/>
          </cell>
        </row>
        <row r="1163">
          <cell r="K1163" t="str">
            <v>YNR056C</v>
          </cell>
          <cell r="N1163" t="str">
            <v/>
          </cell>
        </row>
        <row r="1164">
          <cell r="K1164" t="str">
            <v>YCR010C</v>
          </cell>
          <cell r="N1164" t="str">
            <v/>
          </cell>
        </row>
        <row r="1165">
          <cell r="K1165" t="str">
            <v>YCR010C</v>
          </cell>
          <cell r="N1165" t="str">
            <v/>
          </cell>
        </row>
        <row r="1166">
          <cell r="K1166" t="str">
            <v>YGL186C</v>
          </cell>
          <cell r="N1166" t="str">
            <v/>
          </cell>
        </row>
        <row r="1167">
          <cell r="K1167" t="str">
            <v>YER060W</v>
          </cell>
          <cell r="N1167" t="str">
            <v/>
          </cell>
        </row>
        <row r="1168">
          <cell r="K1168" t="str">
            <v>YER060W-A</v>
          </cell>
          <cell r="N1168" t="str">
            <v/>
          </cell>
        </row>
        <row r="1169">
          <cell r="K1169" t="str">
            <v>YER056C</v>
          </cell>
          <cell r="N1169" t="str">
            <v>rt6190</v>
          </cell>
        </row>
        <row r="1170">
          <cell r="K1170" t="str">
            <v>YAL022C</v>
          </cell>
          <cell r="N1170" t="str">
            <v>rt5601</v>
          </cell>
        </row>
        <row r="1171">
          <cell r="K1171" t="str">
            <v>YMR056C</v>
          </cell>
          <cell r="N1171" t="str">
            <v/>
          </cell>
        </row>
        <row r="1172">
          <cell r="K1172" t="str">
            <v>YMR056C</v>
          </cell>
          <cell r="N1172" t="str">
            <v/>
          </cell>
        </row>
        <row r="1173">
          <cell r="K1173" t="str">
            <v>YBR085W</v>
          </cell>
          <cell r="N1173" t="str">
            <v/>
          </cell>
        </row>
        <row r="1174">
          <cell r="K1174" t="str">
            <v>YBR085W</v>
          </cell>
          <cell r="N1174" t="str">
            <v/>
          </cell>
        </row>
        <row r="1175">
          <cell r="K1175" t="str">
            <v>YBL030C</v>
          </cell>
          <cell r="N1175" t="str">
            <v>rt4336</v>
          </cell>
        </row>
        <row r="1176">
          <cell r="K1176" t="str">
            <v>YBL030C</v>
          </cell>
          <cell r="N1176" t="str">
            <v>rt4336</v>
          </cell>
        </row>
        <row r="1177">
          <cell r="K1177" t="str">
            <v>YPR128C</v>
          </cell>
          <cell r="N1177" t="str">
            <v>rt7777</v>
          </cell>
        </row>
        <row r="1178">
          <cell r="K1178" t="str">
            <v>YMR241W</v>
          </cell>
          <cell r="N1178" t="str">
            <v>rt8378</v>
          </cell>
        </row>
        <row r="1179">
          <cell r="K1179" t="str">
            <v>YMR241W</v>
          </cell>
          <cell r="N1179" t="str">
            <v>rt8378</v>
          </cell>
        </row>
        <row r="1180">
          <cell r="K1180" t="str">
            <v>YJR152W</v>
          </cell>
          <cell r="N1180" t="str">
            <v>rt6702</v>
          </cell>
        </row>
        <row r="1181">
          <cell r="K1181" t="str">
            <v>YIR028W</v>
          </cell>
          <cell r="N1181" t="str">
            <v>rt4534</v>
          </cell>
        </row>
        <row r="1182">
          <cell r="K1182" t="str">
            <v>YDR384C</v>
          </cell>
          <cell r="N1182" t="str">
            <v/>
          </cell>
        </row>
        <row r="1183">
          <cell r="K1183" t="str">
            <v>YDR384C</v>
          </cell>
          <cell r="N1183" t="str">
            <v/>
          </cell>
        </row>
        <row r="1184">
          <cell r="K1184" t="str">
            <v>YPR138C</v>
          </cell>
          <cell r="N1184" t="str">
            <v/>
          </cell>
        </row>
        <row r="1185">
          <cell r="K1185" t="str">
            <v>YPR138C</v>
          </cell>
          <cell r="N1185" t="str">
            <v/>
          </cell>
        </row>
        <row r="1186">
          <cell r="K1186" t="str">
            <v>YGR121C</v>
          </cell>
          <cell r="N1186" t="str">
            <v/>
          </cell>
        </row>
        <row r="1187">
          <cell r="K1187" t="str">
            <v>YGR121C</v>
          </cell>
          <cell r="N1187" t="str">
            <v/>
          </cell>
        </row>
        <row r="1188">
          <cell r="K1188" t="str">
            <v>YNL142W</v>
          </cell>
          <cell r="N1188" t="str">
            <v>rt4558</v>
          </cell>
        </row>
        <row r="1189">
          <cell r="K1189" t="str">
            <v>YNL142W</v>
          </cell>
          <cell r="N1189" t="str">
            <v>rt4558</v>
          </cell>
        </row>
        <row r="1190">
          <cell r="K1190" t="str">
            <v>YPR128C</v>
          </cell>
          <cell r="N1190" t="str">
            <v>rt7777</v>
          </cell>
        </row>
        <row r="1191">
          <cell r="K1191" t="str">
            <v>YPR021C</v>
          </cell>
          <cell r="N1191" t="str">
            <v>rt8431</v>
          </cell>
        </row>
        <row r="1192">
          <cell r="K1192" t="str">
            <v>YGR065C</v>
          </cell>
          <cell r="N1192" t="str">
            <v/>
          </cell>
        </row>
        <row r="1193">
          <cell r="K1193" t="str">
            <v>YOR100C</v>
          </cell>
          <cell r="N1193" t="str">
            <v>rt0963</v>
          </cell>
        </row>
        <row r="1194">
          <cell r="K1194" t="str">
            <v>YGL077C</v>
          </cell>
          <cell r="N1194" t="str">
            <v>rt7623</v>
          </cell>
        </row>
        <row r="1195">
          <cell r="K1195" t="str">
            <v>YBR291C</v>
          </cell>
          <cell r="N1195" t="str">
            <v>rt2146</v>
          </cell>
        </row>
        <row r="1196">
          <cell r="K1196" t="str">
            <v>YBR291C</v>
          </cell>
          <cell r="N1196" t="str">
            <v>rt2146</v>
          </cell>
        </row>
        <row r="1197">
          <cell r="K1197" t="str">
            <v>YBR291C</v>
          </cell>
          <cell r="N1197" t="str">
            <v>rt2146</v>
          </cell>
        </row>
        <row r="1198">
          <cell r="K1198" t="str">
            <v>YBR291C</v>
          </cell>
          <cell r="N1198" t="str">
            <v>rt2146</v>
          </cell>
        </row>
        <row r="1199">
          <cell r="K1199" t="str">
            <v>YBR291C</v>
          </cell>
          <cell r="N1199" t="str">
            <v>rt2146</v>
          </cell>
        </row>
        <row r="1200">
          <cell r="K1200" t="str">
            <v>YBR291C</v>
          </cell>
          <cell r="N1200" t="str">
            <v>rt2146</v>
          </cell>
        </row>
        <row r="1201">
          <cell r="K1201" t="str">
            <v>YHR002W</v>
          </cell>
          <cell r="N1201" t="str">
            <v>rt0548</v>
          </cell>
        </row>
        <row r="1202">
          <cell r="K1202" t="str">
            <v>YBR192W</v>
          </cell>
          <cell r="N1202" t="str">
            <v>rt4019</v>
          </cell>
        </row>
        <row r="1203">
          <cell r="K1203" t="str">
            <v>YBR192W</v>
          </cell>
          <cell r="N1203" t="str">
            <v>rt4019</v>
          </cell>
        </row>
        <row r="1204">
          <cell r="K1204" t="str">
            <v>YAL022C</v>
          </cell>
          <cell r="N1204" t="str">
            <v>rt5601</v>
          </cell>
        </row>
        <row r="1205">
          <cell r="K1205" t="str">
            <v>YGL186C</v>
          </cell>
          <cell r="N1205" t="str">
            <v/>
          </cell>
        </row>
        <row r="1206">
          <cell r="K1206" t="str">
            <v>YER060W</v>
          </cell>
          <cell r="N1206" t="str">
            <v/>
          </cell>
        </row>
        <row r="1207">
          <cell r="K1207" t="str">
            <v>YER060W-A</v>
          </cell>
          <cell r="N1207" t="str">
            <v/>
          </cell>
        </row>
        <row r="1208">
          <cell r="K1208" t="str">
            <v>YER056C</v>
          </cell>
          <cell r="N1208" t="str">
            <v>rt6190</v>
          </cell>
        </row>
        <row r="1209">
          <cell r="K1209" t="str">
            <v>YOL156W</v>
          </cell>
          <cell r="N1209" t="str">
            <v/>
          </cell>
        </row>
        <row r="1210">
          <cell r="K1210" t="str">
            <v>YEL069C</v>
          </cell>
          <cell r="N1210" t="str">
            <v/>
          </cell>
        </row>
        <row r="1211">
          <cell r="K1211" t="str">
            <v>YDR342C</v>
          </cell>
          <cell r="N1211" t="str">
            <v/>
          </cell>
        </row>
        <row r="1212">
          <cell r="K1212" t="str">
            <v>YNR072W</v>
          </cell>
          <cell r="N1212" t="str">
            <v/>
          </cell>
        </row>
        <row r="1213">
          <cell r="K1213" t="str">
            <v>YDR343C</v>
          </cell>
          <cell r="N1213" t="str">
            <v/>
          </cell>
        </row>
        <row r="1214">
          <cell r="K1214" t="str">
            <v>YJR158W</v>
          </cell>
          <cell r="N1214" t="str">
            <v/>
          </cell>
        </row>
        <row r="1215">
          <cell r="K1215" t="str">
            <v>YHR092C</v>
          </cell>
          <cell r="N1215" t="str">
            <v/>
          </cell>
        </row>
        <row r="1216">
          <cell r="K1216" t="str">
            <v>YDR345C</v>
          </cell>
          <cell r="N1216" t="str">
            <v/>
          </cell>
        </row>
        <row r="1217">
          <cell r="K1217" t="str">
            <v>YJL214W</v>
          </cell>
          <cell r="N1217" t="str">
            <v/>
          </cell>
        </row>
        <row r="1218">
          <cell r="K1218" t="str">
            <v>YMR011W</v>
          </cell>
          <cell r="N1218" t="str">
            <v/>
          </cell>
        </row>
        <row r="1219">
          <cell r="K1219" t="str">
            <v>YHR094C</v>
          </cell>
          <cell r="N1219" t="str">
            <v/>
          </cell>
        </row>
        <row r="1220">
          <cell r="K1220" t="str">
            <v>YHR096C</v>
          </cell>
          <cell r="N1220" t="str">
            <v/>
          </cell>
        </row>
        <row r="1221">
          <cell r="K1221" t="str">
            <v>YFL011W</v>
          </cell>
          <cell r="N1221" t="str">
            <v/>
          </cell>
        </row>
        <row r="1222">
          <cell r="K1222" t="str">
            <v>YJL219W</v>
          </cell>
          <cell r="N1222" t="str">
            <v/>
          </cell>
        </row>
        <row r="1223">
          <cell r="K1223" t="str">
            <v>YDL245C</v>
          </cell>
          <cell r="N1223" t="str">
            <v/>
          </cell>
        </row>
        <row r="1224">
          <cell r="K1224" t="str">
            <v>YDR536W</v>
          </cell>
          <cell r="N1224" t="str">
            <v>rt2336</v>
          </cell>
        </row>
        <row r="1225">
          <cell r="K1225" t="str">
            <v>YOL156W</v>
          </cell>
          <cell r="N1225" t="str">
            <v/>
          </cell>
        </row>
        <row r="1226">
          <cell r="K1226" t="str">
            <v>YFL011W</v>
          </cell>
          <cell r="N1226" t="str">
            <v/>
          </cell>
        </row>
        <row r="1227">
          <cell r="K1227" t="str">
            <v>YNL318C</v>
          </cell>
          <cell r="N1227" t="str">
            <v/>
          </cell>
        </row>
        <row r="1228">
          <cell r="K1228" t="str">
            <v>YJL219W</v>
          </cell>
          <cell r="N1228" t="str">
            <v/>
          </cell>
        </row>
        <row r="1229">
          <cell r="K1229" t="str">
            <v>YLR081W</v>
          </cell>
          <cell r="N1229" t="str">
            <v/>
          </cell>
        </row>
        <row r="1230">
          <cell r="K1230" t="str">
            <v>YKL217W</v>
          </cell>
          <cell r="N1230" t="str">
            <v>rt1816</v>
          </cell>
        </row>
        <row r="1231">
          <cell r="K1231" t="str">
            <v>YKL217W</v>
          </cell>
          <cell r="N1231" t="str">
            <v>rt1816</v>
          </cell>
        </row>
        <row r="1232">
          <cell r="K1232" t="str">
            <v>YOL156W</v>
          </cell>
          <cell r="N1232" t="str">
            <v/>
          </cell>
        </row>
        <row r="1233">
          <cell r="K1233" t="str">
            <v>YEL069C</v>
          </cell>
          <cell r="N1233" t="str">
            <v/>
          </cell>
        </row>
        <row r="1234">
          <cell r="K1234" t="str">
            <v>YDR342C</v>
          </cell>
          <cell r="N1234" t="str">
            <v/>
          </cell>
        </row>
        <row r="1235">
          <cell r="K1235" t="str">
            <v>YNR072W</v>
          </cell>
          <cell r="N1235" t="str">
            <v/>
          </cell>
        </row>
        <row r="1236">
          <cell r="K1236" t="str">
            <v>YDR343C</v>
          </cell>
          <cell r="N1236" t="str">
            <v/>
          </cell>
        </row>
        <row r="1237">
          <cell r="K1237" t="str">
            <v>YJR158W</v>
          </cell>
          <cell r="N1237" t="str">
            <v/>
          </cell>
        </row>
        <row r="1238">
          <cell r="K1238" t="str">
            <v>YHR092C</v>
          </cell>
          <cell r="N1238" t="str">
            <v/>
          </cell>
        </row>
        <row r="1239">
          <cell r="K1239" t="str">
            <v>YDR345C</v>
          </cell>
          <cell r="N1239" t="str">
            <v/>
          </cell>
        </row>
        <row r="1240">
          <cell r="K1240" t="str">
            <v>YJL214W</v>
          </cell>
          <cell r="N1240" t="str">
            <v/>
          </cell>
        </row>
        <row r="1241">
          <cell r="K1241" t="str">
            <v>YMR011W</v>
          </cell>
          <cell r="N1241" t="str">
            <v/>
          </cell>
        </row>
        <row r="1242">
          <cell r="K1242" t="str">
            <v>YHR094C</v>
          </cell>
          <cell r="N1242" t="str">
            <v/>
          </cell>
        </row>
        <row r="1243">
          <cell r="K1243" t="str">
            <v>YHR096C</v>
          </cell>
          <cell r="N1243" t="str">
            <v/>
          </cell>
        </row>
        <row r="1244">
          <cell r="K1244" t="str">
            <v>YFL011W</v>
          </cell>
          <cell r="N1244" t="str">
            <v/>
          </cell>
        </row>
        <row r="1245">
          <cell r="K1245" t="str">
            <v>YJL219W</v>
          </cell>
          <cell r="N1245" t="str">
            <v/>
          </cell>
        </row>
        <row r="1246">
          <cell r="K1246" t="str">
            <v>YDL245C</v>
          </cell>
          <cell r="N1246" t="str">
            <v/>
          </cell>
        </row>
        <row r="1247">
          <cell r="K1247" t="str">
            <v>YIL013C</v>
          </cell>
          <cell r="N1247" t="str">
            <v/>
          </cell>
        </row>
        <row r="1248">
          <cell r="K1248" t="str">
            <v>YIL013C</v>
          </cell>
          <cell r="N1248" t="str">
            <v/>
          </cell>
        </row>
        <row r="1249">
          <cell r="K1249" t="str">
            <v>YOR011W</v>
          </cell>
          <cell r="N1249" t="str">
            <v/>
          </cell>
        </row>
        <row r="1250">
          <cell r="K1250" t="str">
            <v>YOR011W</v>
          </cell>
          <cell r="N1250" t="str">
            <v/>
          </cell>
        </row>
        <row r="1251">
          <cell r="K1251" t="str">
            <v>YGL077C</v>
          </cell>
          <cell r="N1251" t="str">
            <v>rt7623</v>
          </cell>
        </row>
        <row r="1252">
          <cell r="K1252" t="str">
            <v>YGL077C</v>
          </cell>
          <cell r="N1252" t="str">
            <v>rt7623</v>
          </cell>
        </row>
        <row r="1253">
          <cell r="K1253" t="str">
            <v>YIL134W</v>
          </cell>
          <cell r="N1253" t="str">
            <v>rt5791</v>
          </cell>
        </row>
        <row r="1254">
          <cell r="K1254" t="str">
            <v>YIL013C</v>
          </cell>
          <cell r="N1254" t="str">
            <v/>
          </cell>
        </row>
        <row r="1255">
          <cell r="K1255" t="str">
            <v>YIL013C</v>
          </cell>
          <cell r="N1255" t="str">
            <v/>
          </cell>
        </row>
        <row r="1256">
          <cell r="K1256" t="str">
            <v>YOR011W</v>
          </cell>
          <cell r="N1256" t="str">
            <v/>
          </cell>
        </row>
        <row r="1257">
          <cell r="K1257" t="str">
            <v>YOR011W</v>
          </cell>
          <cell r="N1257" t="str">
            <v/>
          </cell>
        </row>
        <row r="1258">
          <cell r="K1258" t="str">
            <v>YIL013C</v>
          </cell>
          <cell r="N1258" t="str">
            <v/>
          </cell>
        </row>
        <row r="1259">
          <cell r="K1259" t="str">
            <v>YIL013C</v>
          </cell>
          <cell r="N1259" t="str">
            <v/>
          </cell>
        </row>
        <row r="1260">
          <cell r="K1260" t="str">
            <v>YOR011W</v>
          </cell>
          <cell r="N1260" t="str">
            <v/>
          </cell>
        </row>
        <row r="1261">
          <cell r="K1261" t="str">
            <v>YOR011W</v>
          </cell>
          <cell r="N1261" t="str">
            <v/>
          </cell>
        </row>
        <row r="1262">
          <cell r="K1262" t="str">
            <v>YGL225W</v>
          </cell>
          <cell r="N1262" t="str">
            <v>rt4177</v>
          </cell>
        </row>
        <row r="1263">
          <cell r="K1263" t="str">
            <v>YOL156W</v>
          </cell>
          <cell r="N1263" t="str">
            <v/>
          </cell>
        </row>
        <row r="1264">
          <cell r="K1264" t="str">
            <v>YJR158W</v>
          </cell>
          <cell r="N1264" t="str">
            <v/>
          </cell>
        </row>
        <row r="1265">
          <cell r="K1265" t="str">
            <v>YJL214W</v>
          </cell>
          <cell r="N1265" t="str">
            <v/>
          </cell>
        </row>
        <row r="1266">
          <cell r="K1266" t="str">
            <v>YJR160C</v>
          </cell>
          <cell r="N1266" t="str">
            <v/>
          </cell>
        </row>
        <row r="1267">
          <cell r="K1267" t="str">
            <v>YJL219W</v>
          </cell>
          <cell r="N1267" t="str">
            <v/>
          </cell>
        </row>
        <row r="1268">
          <cell r="K1268" t="str">
            <v>YDL245C</v>
          </cell>
          <cell r="N1268" t="str">
            <v/>
          </cell>
        </row>
        <row r="1269">
          <cell r="K1269" t="str">
            <v>YDL247W</v>
          </cell>
          <cell r="N1269" t="str">
            <v/>
          </cell>
        </row>
        <row r="1270">
          <cell r="K1270" t="str">
            <v>YDR342C</v>
          </cell>
          <cell r="N1270" t="str">
            <v/>
          </cell>
        </row>
        <row r="1271">
          <cell r="K1271" t="str">
            <v>YDR536W</v>
          </cell>
          <cell r="N1271" t="str">
            <v>rt2336</v>
          </cell>
        </row>
        <row r="1272">
          <cell r="K1272" t="str">
            <v>YEL069C</v>
          </cell>
          <cell r="N1272" t="str">
            <v/>
          </cell>
        </row>
        <row r="1273">
          <cell r="K1273" t="str">
            <v>YDR343C</v>
          </cell>
          <cell r="N1273" t="str">
            <v/>
          </cell>
        </row>
        <row r="1274">
          <cell r="K1274" t="str">
            <v>YDR387C</v>
          </cell>
          <cell r="N1274" t="str">
            <v/>
          </cell>
        </row>
        <row r="1275">
          <cell r="K1275" t="str">
            <v>YNR072W</v>
          </cell>
          <cell r="N1275" t="str">
            <v/>
          </cell>
        </row>
        <row r="1276">
          <cell r="K1276" t="str">
            <v>YDR345C</v>
          </cell>
          <cell r="N1276" t="str">
            <v/>
          </cell>
        </row>
        <row r="1277">
          <cell r="K1277" t="str">
            <v>YHR092C</v>
          </cell>
          <cell r="N1277" t="str">
            <v/>
          </cell>
        </row>
        <row r="1278">
          <cell r="K1278" t="str">
            <v>YMR011W</v>
          </cell>
          <cell r="N1278" t="str">
            <v/>
          </cell>
        </row>
        <row r="1279">
          <cell r="K1279" t="str">
            <v>YHR094C</v>
          </cell>
          <cell r="N1279" t="str">
            <v/>
          </cell>
        </row>
        <row r="1280">
          <cell r="K1280" t="str">
            <v>YFL011W</v>
          </cell>
          <cell r="N1280" t="str">
            <v/>
          </cell>
        </row>
        <row r="1281">
          <cell r="K1281" t="str">
            <v>YHR096C</v>
          </cell>
          <cell r="N1281" t="str">
            <v/>
          </cell>
        </row>
        <row r="1282">
          <cell r="K1282" t="str">
            <v>YLR081W</v>
          </cell>
          <cell r="N1282" t="str">
            <v/>
          </cell>
        </row>
        <row r="1283">
          <cell r="K1283" t="str">
            <v>YJL212C</v>
          </cell>
          <cell r="N1283" t="str">
            <v>rt5171</v>
          </cell>
        </row>
        <row r="1284">
          <cell r="K1284" t="str">
            <v>YDR135C</v>
          </cell>
          <cell r="N1284" t="str">
            <v>rt4896</v>
          </cell>
        </row>
        <row r="1285">
          <cell r="K1285" t="str">
            <v>YDR135C</v>
          </cell>
          <cell r="N1285" t="str">
            <v>rt4896</v>
          </cell>
        </row>
        <row r="1286">
          <cell r="K1286" t="str">
            <v>YLL015W</v>
          </cell>
          <cell r="N1286" t="str">
            <v/>
          </cell>
        </row>
        <row r="1287">
          <cell r="K1287" t="str">
            <v>YLL015W</v>
          </cell>
          <cell r="N1287" t="str">
            <v/>
          </cell>
        </row>
        <row r="1288">
          <cell r="K1288" t="str">
            <v>YCR098C</v>
          </cell>
          <cell r="N1288" t="str">
            <v>rt4413</v>
          </cell>
        </row>
        <row r="1289">
          <cell r="K1289" t="str">
            <v>YCR098C</v>
          </cell>
          <cell r="N1289" t="str">
            <v>rt4413</v>
          </cell>
        </row>
        <row r="1290">
          <cell r="K1290" t="str">
            <v>YCR098C</v>
          </cell>
          <cell r="N1290" t="str">
            <v>rt4413</v>
          </cell>
        </row>
        <row r="1291">
          <cell r="K1291" t="str">
            <v>YCR098C</v>
          </cell>
          <cell r="N1291" t="str">
            <v>rt4413</v>
          </cell>
        </row>
        <row r="1292">
          <cell r="K1292" t="str">
            <v>YDR536W</v>
          </cell>
          <cell r="N1292" t="str">
            <v>rt2336</v>
          </cell>
        </row>
        <row r="1293">
          <cell r="K1293" t="str">
            <v>YGL084C</v>
          </cell>
          <cell r="N1293" t="str">
            <v/>
          </cell>
        </row>
        <row r="1294">
          <cell r="K1294" t="str">
            <v>YLL043W</v>
          </cell>
          <cell r="N1294" t="str">
            <v/>
          </cell>
        </row>
        <row r="1295">
          <cell r="K1295" t="str">
            <v>YFL054C</v>
          </cell>
          <cell r="N1295" t="str">
            <v/>
          </cell>
        </row>
        <row r="1296">
          <cell r="K1296" t="str">
            <v>YPL265W</v>
          </cell>
          <cell r="N1296" t="str">
            <v>rt0594</v>
          </cell>
        </row>
        <row r="1297">
          <cell r="K1297" t="str">
            <v>YPL265W</v>
          </cell>
          <cell r="N1297" t="str">
            <v>rt0594</v>
          </cell>
        </row>
        <row r="1298">
          <cell r="K1298" t="str">
            <v>YCL025C</v>
          </cell>
          <cell r="N1298" t="str">
            <v/>
          </cell>
        </row>
        <row r="1299">
          <cell r="K1299" t="str">
            <v>YCL025C</v>
          </cell>
          <cell r="N1299" t="str">
            <v/>
          </cell>
        </row>
        <row r="1300">
          <cell r="K1300" t="str">
            <v>YOL020W</v>
          </cell>
          <cell r="N1300" t="str">
            <v/>
          </cell>
        </row>
        <row r="1301">
          <cell r="K1301" t="str">
            <v>YOL020W</v>
          </cell>
          <cell r="N1301" t="str">
            <v/>
          </cell>
        </row>
        <row r="1302">
          <cell r="K1302" t="str">
            <v>YOR348C</v>
          </cell>
          <cell r="N1302" t="str">
            <v/>
          </cell>
        </row>
        <row r="1303">
          <cell r="K1303" t="str">
            <v>YOR348C</v>
          </cell>
          <cell r="N1303" t="str">
            <v/>
          </cell>
        </row>
        <row r="1304">
          <cell r="K1304" t="str">
            <v>YDL198C</v>
          </cell>
          <cell r="N1304" t="str">
            <v>rt5389</v>
          </cell>
        </row>
        <row r="1305">
          <cell r="K1305" t="str">
            <v>YGL186C</v>
          </cell>
          <cell r="N1305" t="str">
            <v/>
          </cell>
        </row>
        <row r="1306">
          <cell r="K1306" t="str">
            <v>YGL186C</v>
          </cell>
          <cell r="N1306" t="str">
            <v/>
          </cell>
        </row>
        <row r="1307">
          <cell r="K1307" t="str">
            <v>YER060W</v>
          </cell>
          <cell r="N1307" t="str">
            <v/>
          </cell>
        </row>
        <row r="1308">
          <cell r="K1308" t="str">
            <v>YER060W</v>
          </cell>
          <cell r="N1308" t="str">
            <v/>
          </cell>
        </row>
        <row r="1309">
          <cell r="K1309" t="str">
            <v>YER060W-A</v>
          </cell>
          <cell r="N1309" t="str">
            <v/>
          </cell>
        </row>
        <row r="1310">
          <cell r="K1310" t="str">
            <v>YER060W-A</v>
          </cell>
          <cell r="N1310" t="str">
            <v/>
          </cell>
        </row>
        <row r="1311">
          <cell r="K1311" t="str">
            <v>YER056C</v>
          </cell>
          <cell r="N1311" t="str">
            <v>rt6190</v>
          </cell>
        </row>
        <row r="1312">
          <cell r="K1312" t="str">
            <v>YER056C</v>
          </cell>
          <cell r="N1312" t="str">
            <v>rt6190</v>
          </cell>
        </row>
        <row r="1313">
          <cell r="K1313" t="str">
            <v>YOL103W</v>
          </cell>
          <cell r="N1313" t="str">
            <v>rt4674</v>
          </cell>
        </row>
        <row r="1314">
          <cell r="K1314" t="str">
            <v>YDR497C</v>
          </cell>
          <cell r="N1314" t="str">
            <v>rt0734</v>
          </cell>
        </row>
        <row r="1315">
          <cell r="K1315" t="str">
            <v>YMR319C</v>
          </cell>
          <cell r="N1315" t="str">
            <v>rt2087</v>
          </cell>
        </row>
        <row r="1316">
          <cell r="K1316" t="str">
            <v>YMR058W</v>
          </cell>
          <cell r="N1316" t="str">
            <v>rt0996</v>
          </cell>
        </row>
        <row r="1317">
          <cell r="K1317" t="str">
            <v>YKR052C</v>
          </cell>
          <cell r="N1317" t="str">
            <v/>
          </cell>
        </row>
        <row r="1318">
          <cell r="K1318" t="str">
            <v>YJL133W</v>
          </cell>
          <cell r="N1318" t="str">
            <v/>
          </cell>
        </row>
        <row r="1319">
          <cell r="K1319" t="str">
            <v>YBR068C</v>
          </cell>
          <cell r="N1319" t="str">
            <v/>
          </cell>
        </row>
        <row r="1320">
          <cell r="K1320" t="str">
            <v>YBR068C</v>
          </cell>
          <cell r="N1320" t="str">
            <v/>
          </cell>
        </row>
        <row r="1321">
          <cell r="K1321" t="str">
            <v>YPL265W</v>
          </cell>
          <cell r="N1321" t="str">
            <v>rt0594</v>
          </cell>
        </row>
        <row r="1322">
          <cell r="K1322" t="str">
            <v>YPL265W</v>
          </cell>
          <cell r="N1322" t="str">
            <v>rt0594</v>
          </cell>
        </row>
        <row r="1323">
          <cell r="K1323" t="str">
            <v>YOL020W</v>
          </cell>
          <cell r="N1323" t="str">
            <v/>
          </cell>
        </row>
        <row r="1324">
          <cell r="K1324" t="str">
            <v>YOL020W</v>
          </cell>
          <cell r="N1324" t="str">
            <v/>
          </cell>
        </row>
        <row r="1325">
          <cell r="K1325" t="str">
            <v>YDR046C</v>
          </cell>
          <cell r="N1325" t="str">
            <v/>
          </cell>
        </row>
        <row r="1326">
          <cell r="K1326" t="str">
            <v>YDR046C</v>
          </cell>
          <cell r="N1326" t="str">
            <v/>
          </cell>
        </row>
        <row r="1327">
          <cell r="K1327" t="str">
            <v>YCL025C</v>
          </cell>
          <cell r="N1327" t="str">
            <v/>
          </cell>
        </row>
        <row r="1328">
          <cell r="K1328" t="str">
            <v>YCL025C</v>
          </cell>
          <cell r="N1328" t="str">
            <v/>
          </cell>
        </row>
        <row r="1329">
          <cell r="K1329" t="str">
            <v>YOR348C</v>
          </cell>
          <cell r="N1329" t="str">
            <v/>
          </cell>
        </row>
        <row r="1330">
          <cell r="K1330" t="str">
            <v>YOR348C</v>
          </cell>
          <cell r="N1330" t="str">
            <v/>
          </cell>
        </row>
        <row r="1331">
          <cell r="K1331" t="str">
            <v>YNL270C</v>
          </cell>
          <cell r="N1331" t="str">
            <v/>
          </cell>
        </row>
        <row r="1332">
          <cell r="K1332" t="str">
            <v>YNL270C</v>
          </cell>
          <cell r="N1332" t="str">
            <v/>
          </cell>
        </row>
        <row r="1333">
          <cell r="K1333" t="str">
            <v>YEL063C</v>
          </cell>
          <cell r="N1333" t="str">
            <v/>
          </cell>
        </row>
        <row r="1334">
          <cell r="K1334" t="str">
            <v>YEL063C</v>
          </cell>
          <cell r="N1334" t="str">
            <v/>
          </cell>
        </row>
        <row r="1335">
          <cell r="K1335" t="str">
            <v>YBR293W</v>
          </cell>
          <cell r="N1335" t="str">
            <v/>
          </cell>
        </row>
        <row r="1336">
          <cell r="K1336" t="str">
            <v>YOL092W</v>
          </cell>
          <cell r="N1336" t="str">
            <v/>
          </cell>
        </row>
        <row r="1337">
          <cell r="K1337" t="str">
            <v>YDR508C</v>
          </cell>
          <cell r="N1337" t="str">
            <v/>
          </cell>
        </row>
        <row r="1338">
          <cell r="K1338" t="str">
            <v>YDR508C</v>
          </cell>
          <cell r="N1338" t="str">
            <v/>
          </cell>
        </row>
        <row r="1339">
          <cell r="K1339" t="str">
            <v>YPL265W</v>
          </cell>
          <cell r="N1339" t="str">
            <v>rt0594</v>
          </cell>
        </row>
        <row r="1340">
          <cell r="K1340" t="str">
            <v>YPL265W</v>
          </cell>
          <cell r="N1340" t="str">
            <v>rt0594</v>
          </cell>
        </row>
        <row r="1341">
          <cell r="K1341" t="str">
            <v>YCL025C</v>
          </cell>
          <cell r="N1341" t="str">
            <v/>
          </cell>
        </row>
        <row r="1342">
          <cell r="K1342" t="str">
            <v>YCL025C</v>
          </cell>
          <cell r="N1342" t="str">
            <v/>
          </cell>
        </row>
        <row r="1343">
          <cell r="K1343" t="str">
            <v>YJR001W</v>
          </cell>
          <cell r="N1343" t="str">
            <v>rt7819</v>
          </cell>
        </row>
        <row r="1344">
          <cell r="K1344" t="str">
            <v>YNL101W</v>
          </cell>
          <cell r="N1344" t="str">
            <v/>
          </cell>
        </row>
        <row r="1345">
          <cell r="K1345" t="str">
            <v>YKL146W</v>
          </cell>
          <cell r="N1345" t="str">
            <v>rt4375</v>
          </cell>
        </row>
        <row r="1346">
          <cell r="K1346" t="str">
            <v>YER119C</v>
          </cell>
          <cell r="N1346" t="str">
            <v>rt0398</v>
          </cell>
        </row>
        <row r="1347">
          <cell r="K1347" t="str">
            <v>YPL265W</v>
          </cell>
          <cell r="N1347" t="str">
            <v>rt0594</v>
          </cell>
        </row>
        <row r="1348">
          <cell r="K1348" t="str">
            <v>YPL265W</v>
          </cell>
          <cell r="N1348" t="str">
            <v>rt0594</v>
          </cell>
        </row>
        <row r="1349">
          <cell r="K1349" t="str">
            <v>YFL055W</v>
          </cell>
          <cell r="N1349" t="str">
            <v/>
          </cell>
        </row>
        <row r="1350">
          <cell r="K1350" t="str">
            <v>YFL055W</v>
          </cell>
          <cell r="N1350" t="str">
            <v/>
          </cell>
        </row>
        <row r="1351">
          <cell r="K1351" t="str">
            <v>YBR132C</v>
          </cell>
          <cell r="N1351" t="str">
            <v/>
          </cell>
        </row>
        <row r="1352">
          <cell r="K1352" t="str">
            <v>YBR132C</v>
          </cell>
          <cell r="N1352" t="str">
            <v/>
          </cell>
        </row>
        <row r="1353">
          <cell r="K1353" t="str">
            <v>YBR068C</v>
          </cell>
          <cell r="N1353" t="str">
            <v/>
          </cell>
        </row>
        <row r="1354">
          <cell r="K1354" t="str">
            <v>YBR068C</v>
          </cell>
          <cell r="N1354" t="str">
            <v/>
          </cell>
        </row>
        <row r="1355">
          <cell r="K1355" t="str">
            <v>YOL020W</v>
          </cell>
          <cell r="N1355" t="str">
            <v/>
          </cell>
        </row>
        <row r="1356">
          <cell r="K1356" t="str">
            <v>YOL020W</v>
          </cell>
          <cell r="N1356" t="str">
            <v/>
          </cell>
        </row>
        <row r="1357">
          <cell r="K1357" t="str">
            <v>YDR046C</v>
          </cell>
          <cell r="N1357" t="str">
            <v/>
          </cell>
        </row>
        <row r="1358">
          <cell r="K1358" t="str">
            <v>YDR046C</v>
          </cell>
          <cell r="N1358" t="str">
            <v/>
          </cell>
        </row>
        <row r="1359">
          <cell r="K1359" t="str">
            <v>YBR069C</v>
          </cell>
          <cell r="N1359" t="str">
            <v/>
          </cell>
        </row>
        <row r="1360">
          <cell r="K1360" t="str">
            <v>YBR069C</v>
          </cell>
          <cell r="N1360" t="str">
            <v/>
          </cell>
        </row>
        <row r="1361">
          <cell r="K1361" t="str">
            <v>YDR508C</v>
          </cell>
          <cell r="N1361" t="str">
            <v/>
          </cell>
        </row>
        <row r="1362">
          <cell r="K1362" t="str">
            <v>YDR508C</v>
          </cell>
          <cell r="N1362" t="str">
            <v/>
          </cell>
        </row>
        <row r="1363">
          <cell r="K1363" t="str">
            <v>YCL025C</v>
          </cell>
          <cell r="N1363" t="str">
            <v/>
          </cell>
        </row>
        <row r="1364">
          <cell r="K1364" t="str">
            <v>YCL025C</v>
          </cell>
          <cell r="N1364" t="str">
            <v/>
          </cell>
        </row>
        <row r="1365">
          <cell r="K1365" t="str">
            <v>YCR075C</v>
          </cell>
          <cell r="N1365" t="str">
            <v>rt6589</v>
          </cell>
        </row>
        <row r="1366">
          <cell r="K1366" t="str">
            <v>YPR021C</v>
          </cell>
          <cell r="N1366" t="str">
            <v>rt8431</v>
          </cell>
        </row>
        <row r="1367">
          <cell r="K1367" t="str">
            <v>YBR104W</v>
          </cell>
          <cell r="N1367" t="str">
            <v>rt4150</v>
          </cell>
        </row>
        <row r="1368">
          <cell r="K1368" t="str">
            <v>YER119C</v>
          </cell>
          <cell r="N1368" t="str">
            <v>rt0398</v>
          </cell>
        </row>
        <row r="1369">
          <cell r="K1369" t="str">
            <v>YFL055W</v>
          </cell>
          <cell r="N1369" t="str">
            <v/>
          </cell>
        </row>
        <row r="1370">
          <cell r="K1370" t="str">
            <v>YFL055W</v>
          </cell>
          <cell r="N1370" t="str">
            <v/>
          </cell>
        </row>
        <row r="1371">
          <cell r="K1371" t="str">
            <v>YPL265W</v>
          </cell>
          <cell r="N1371" t="str">
            <v>rt0594</v>
          </cell>
        </row>
        <row r="1372">
          <cell r="K1372" t="str">
            <v>YPL265W</v>
          </cell>
          <cell r="N1372" t="str">
            <v>rt0594</v>
          </cell>
        </row>
        <row r="1373">
          <cell r="K1373" t="str">
            <v>YCL025C</v>
          </cell>
          <cell r="N1373" t="str">
            <v/>
          </cell>
        </row>
        <row r="1374">
          <cell r="K1374" t="str">
            <v>YCL025C</v>
          </cell>
          <cell r="N1374" t="str">
            <v/>
          </cell>
        </row>
        <row r="1375">
          <cell r="K1375" t="str">
            <v>YJR001W</v>
          </cell>
          <cell r="N1375" t="str">
            <v>rt7819</v>
          </cell>
        </row>
        <row r="1376">
          <cell r="K1376" t="str">
            <v>YNL101W</v>
          </cell>
          <cell r="N1376" t="str">
            <v/>
          </cell>
        </row>
        <row r="1377">
          <cell r="K1377" t="str">
            <v>YKL146W</v>
          </cell>
          <cell r="N1377" t="str">
            <v>rt4375</v>
          </cell>
        </row>
        <row r="1378">
          <cell r="K1378" t="str">
            <v>YPL265W</v>
          </cell>
          <cell r="N1378" t="str">
            <v>rt0594</v>
          </cell>
        </row>
        <row r="1379">
          <cell r="K1379" t="str">
            <v>YPL265W</v>
          </cell>
          <cell r="N1379" t="str">
            <v>rt0594</v>
          </cell>
        </row>
        <row r="1380">
          <cell r="K1380" t="str">
            <v>YDR508C</v>
          </cell>
          <cell r="N1380" t="str">
            <v/>
          </cell>
        </row>
        <row r="1381">
          <cell r="K1381" t="str">
            <v>YDR508C</v>
          </cell>
          <cell r="N1381" t="str">
            <v/>
          </cell>
        </row>
        <row r="1382">
          <cell r="K1382" t="str">
            <v>YCL025C</v>
          </cell>
          <cell r="N1382" t="str">
            <v/>
          </cell>
        </row>
        <row r="1383">
          <cell r="K1383" t="str">
            <v>YCL025C</v>
          </cell>
          <cell r="N1383" t="str">
            <v/>
          </cell>
        </row>
        <row r="1384">
          <cell r="K1384" t="str">
            <v>YBR293W</v>
          </cell>
          <cell r="N1384" t="str">
            <v/>
          </cell>
        </row>
        <row r="1385">
          <cell r="K1385" t="str">
            <v>YCL069W</v>
          </cell>
          <cell r="N1385" t="str">
            <v/>
          </cell>
        </row>
        <row r="1386">
          <cell r="K1386" t="str">
            <v>YMR088C</v>
          </cell>
          <cell r="N1386" t="str">
            <v>rt1949</v>
          </cell>
        </row>
        <row r="1387">
          <cell r="K1387" t="str">
            <v>YOL092W</v>
          </cell>
          <cell r="N1387" t="str">
            <v/>
          </cell>
        </row>
        <row r="1388">
          <cell r="K1388" t="str">
            <v>YGR191W</v>
          </cell>
          <cell r="N1388" t="str">
            <v/>
          </cell>
        </row>
        <row r="1389">
          <cell r="K1389" t="str">
            <v>YGR191W</v>
          </cell>
          <cell r="N1389" t="str">
            <v/>
          </cell>
        </row>
        <row r="1390">
          <cell r="K1390" t="str">
            <v>YBR069C</v>
          </cell>
          <cell r="N1390" t="str">
            <v/>
          </cell>
        </row>
        <row r="1391">
          <cell r="K1391" t="str">
            <v>YBR069C</v>
          </cell>
          <cell r="N1391" t="str">
            <v/>
          </cell>
        </row>
        <row r="1392">
          <cell r="K1392" t="str">
            <v>YCL038C</v>
          </cell>
          <cell r="N1392" t="str">
            <v>rt6501</v>
          </cell>
        </row>
        <row r="1393">
          <cell r="K1393" t="str">
            <v>YCL038C</v>
          </cell>
          <cell r="N1393" t="str">
            <v>rt6501</v>
          </cell>
        </row>
        <row r="1394">
          <cell r="K1394" t="str">
            <v>YJR001W</v>
          </cell>
          <cell r="N1394" t="str">
            <v>rt7819</v>
          </cell>
        </row>
        <row r="1395">
          <cell r="K1395" t="str">
            <v>YNL101W</v>
          </cell>
          <cell r="N1395" t="str">
            <v/>
          </cell>
        </row>
        <row r="1396">
          <cell r="K1396" t="str">
            <v>YKL146W</v>
          </cell>
          <cell r="N1396" t="str">
            <v>rt4375</v>
          </cell>
        </row>
        <row r="1397">
          <cell r="K1397" t="str">
            <v>YBR068C</v>
          </cell>
          <cell r="N1397" t="str">
            <v/>
          </cell>
        </row>
        <row r="1398">
          <cell r="K1398" t="str">
            <v>YBR068C</v>
          </cell>
          <cell r="N1398" t="str">
            <v/>
          </cell>
        </row>
        <row r="1399">
          <cell r="K1399" t="str">
            <v>YDR046C</v>
          </cell>
          <cell r="N1399" t="str">
            <v/>
          </cell>
        </row>
        <row r="1400">
          <cell r="K1400" t="str">
            <v>YDR046C</v>
          </cell>
          <cell r="N1400" t="str">
            <v/>
          </cell>
        </row>
        <row r="1401">
          <cell r="K1401" t="str">
            <v>YBR069C</v>
          </cell>
          <cell r="N1401" t="str">
            <v/>
          </cell>
        </row>
        <row r="1402">
          <cell r="K1402" t="str">
            <v>YBR069C</v>
          </cell>
          <cell r="N1402" t="str">
            <v/>
          </cell>
        </row>
        <row r="1403">
          <cell r="K1403" t="str">
            <v>YCL025C</v>
          </cell>
          <cell r="N1403" t="str">
            <v/>
          </cell>
        </row>
        <row r="1404">
          <cell r="K1404" t="str">
            <v>YCL025C</v>
          </cell>
          <cell r="N1404" t="str">
            <v/>
          </cell>
        </row>
        <row r="1405">
          <cell r="K1405" t="str">
            <v>YKL217W</v>
          </cell>
          <cell r="N1405" t="str">
            <v>rt1816</v>
          </cell>
        </row>
        <row r="1406">
          <cell r="K1406" t="str">
            <v>YKL217W</v>
          </cell>
          <cell r="N1406" t="str">
            <v>rt1816</v>
          </cell>
        </row>
        <row r="1407">
          <cell r="K1407" t="str">
            <v>YKL217W</v>
          </cell>
          <cell r="N1407" t="str">
            <v>rt1816</v>
          </cell>
        </row>
        <row r="1408">
          <cell r="K1408" t="str">
            <v>YCL038C</v>
          </cell>
          <cell r="N1408" t="str">
            <v>rt6501</v>
          </cell>
        </row>
        <row r="1409">
          <cell r="K1409" t="str">
            <v>YCL038C</v>
          </cell>
          <cell r="N1409" t="str">
            <v>rt6501</v>
          </cell>
        </row>
        <row r="1410">
          <cell r="K1410" t="str">
            <v>YJR001W</v>
          </cell>
          <cell r="N1410" t="str">
            <v>rt7819</v>
          </cell>
        </row>
        <row r="1411">
          <cell r="K1411" t="str">
            <v>YNL101W</v>
          </cell>
          <cell r="N1411" t="str">
            <v/>
          </cell>
        </row>
        <row r="1412">
          <cell r="K1412" t="str">
            <v>YKL146W</v>
          </cell>
          <cell r="N1412" t="str">
            <v>rt4375</v>
          </cell>
        </row>
        <row r="1413">
          <cell r="K1413" t="str">
            <v>YBR068C</v>
          </cell>
          <cell r="N1413" t="str">
            <v/>
          </cell>
        </row>
        <row r="1414">
          <cell r="K1414" t="str">
            <v>YBR068C</v>
          </cell>
          <cell r="N1414" t="str">
            <v/>
          </cell>
        </row>
        <row r="1415">
          <cell r="K1415" t="str">
            <v>YDR046C</v>
          </cell>
          <cell r="N1415" t="str">
            <v/>
          </cell>
        </row>
        <row r="1416">
          <cell r="K1416" t="str">
            <v>YDR046C</v>
          </cell>
          <cell r="N1416" t="str">
            <v/>
          </cell>
        </row>
        <row r="1417">
          <cell r="K1417" t="str">
            <v>YBR069C</v>
          </cell>
          <cell r="N1417" t="str">
            <v/>
          </cell>
        </row>
        <row r="1418">
          <cell r="K1418" t="str">
            <v>YBR069C</v>
          </cell>
          <cell r="N1418" t="str">
            <v/>
          </cell>
        </row>
        <row r="1419">
          <cell r="K1419" t="str">
            <v>YDR508C</v>
          </cell>
          <cell r="N1419" t="str">
            <v/>
          </cell>
        </row>
        <row r="1420">
          <cell r="K1420" t="str">
            <v>YDR508C</v>
          </cell>
          <cell r="N1420" t="str">
            <v/>
          </cell>
        </row>
        <row r="1421">
          <cell r="K1421" t="str">
            <v>YCL025C</v>
          </cell>
          <cell r="N1421" t="str">
            <v/>
          </cell>
        </row>
        <row r="1422">
          <cell r="K1422" t="str">
            <v>YCL025C</v>
          </cell>
          <cell r="N1422" t="str">
            <v/>
          </cell>
        </row>
        <row r="1423">
          <cell r="K1423" t="str">
            <v>YBR293W</v>
          </cell>
          <cell r="N1423" t="str">
            <v/>
          </cell>
        </row>
        <row r="1424">
          <cell r="K1424" t="str">
            <v>YCL069W</v>
          </cell>
          <cell r="N1424" t="str">
            <v/>
          </cell>
        </row>
        <row r="1425">
          <cell r="K1425" t="str">
            <v>YMR088C</v>
          </cell>
          <cell r="N1425" t="str">
            <v>rt1949</v>
          </cell>
        </row>
        <row r="1426">
          <cell r="K1426" t="str">
            <v>YOL092W</v>
          </cell>
          <cell r="N1426" t="str">
            <v/>
          </cell>
        </row>
        <row r="1427">
          <cell r="K1427" t="str">
            <v>YNL268W</v>
          </cell>
          <cell r="N1427" t="str">
            <v/>
          </cell>
        </row>
        <row r="1428">
          <cell r="K1428" t="str">
            <v>YNL268W</v>
          </cell>
          <cell r="N1428" t="str">
            <v/>
          </cell>
        </row>
        <row r="1429">
          <cell r="K1429" t="str">
            <v>YBR068C</v>
          </cell>
          <cell r="N1429" t="str">
            <v/>
          </cell>
        </row>
        <row r="1430">
          <cell r="K1430" t="str">
            <v>YBR068C</v>
          </cell>
          <cell r="N1430" t="str">
            <v/>
          </cell>
        </row>
        <row r="1431">
          <cell r="K1431" t="str">
            <v>YDR046C</v>
          </cell>
          <cell r="N1431" t="str">
            <v/>
          </cell>
        </row>
        <row r="1432">
          <cell r="K1432" t="str">
            <v>YDR046C</v>
          </cell>
          <cell r="N1432" t="str">
            <v/>
          </cell>
        </row>
        <row r="1433">
          <cell r="K1433" t="str">
            <v>YGR055W</v>
          </cell>
          <cell r="N1433" t="str">
            <v>rt3257</v>
          </cell>
        </row>
        <row r="1434">
          <cell r="K1434" t="str">
            <v>YGR055W</v>
          </cell>
          <cell r="N1434" t="str">
            <v>rt3257</v>
          </cell>
        </row>
        <row r="1435">
          <cell r="K1435" t="str">
            <v>YHL036W</v>
          </cell>
          <cell r="N1435" t="str">
            <v/>
          </cell>
        </row>
        <row r="1436">
          <cell r="K1436" t="str">
            <v>YHL036W</v>
          </cell>
          <cell r="N1436" t="str">
            <v/>
          </cell>
        </row>
        <row r="1437">
          <cell r="K1437" t="str">
            <v>YCL025C</v>
          </cell>
          <cell r="N1437" t="str">
            <v/>
          </cell>
        </row>
        <row r="1438">
          <cell r="K1438" t="str">
            <v>YCL025C</v>
          </cell>
          <cell r="N1438" t="str">
            <v/>
          </cell>
        </row>
        <row r="1439">
          <cell r="K1439" t="str">
            <v>YDR508C</v>
          </cell>
          <cell r="N1439" t="str">
            <v/>
          </cell>
        </row>
        <row r="1440">
          <cell r="K1440" t="str">
            <v>YDR508C</v>
          </cell>
          <cell r="N1440" t="str">
            <v/>
          </cell>
        </row>
        <row r="1441">
          <cell r="K1441" t="str">
            <v>YBR068C</v>
          </cell>
          <cell r="N1441" t="str">
            <v/>
          </cell>
        </row>
        <row r="1442">
          <cell r="K1442" t="str">
            <v>YBR068C</v>
          </cell>
          <cell r="N1442" t="str">
            <v/>
          </cell>
        </row>
        <row r="1443">
          <cell r="K1443" t="str">
            <v>YDR046C</v>
          </cell>
          <cell r="N1443" t="str">
            <v/>
          </cell>
        </row>
        <row r="1444">
          <cell r="K1444" t="str">
            <v>YDR046C</v>
          </cell>
          <cell r="N1444" t="str">
            <v/>
          </cell>
        </row>
        <row r="1445">
          <cell r="K1445" t="str">
            <v>YCL025C</v>
          </cell>
          <cell r="N1445" t="str">
            <v/>
          </cell>
        </row>
        <row r="1446">
          <cell r="K1446" t="str">
            <v>YCL025C</v>
          </cell>
          <cell r="N1446" t="str">
            <v/>
          </cell>
        </row>
        <row r="1447">
          <cell r="K1447" t="str">
            <v>YOL020W</v>
          </cell>
          <cell r="N1447" t="str">
            <v/>
          </cell>
        </row>
        <row r="1448">
          <cell r="K1448" t="str">
            <v>YOL020W</v>
          </cell>
          <cell r="N1448" t="str">
            <v/>
          </cell>
        </row>
        <row r="1449">
          <cell r="K1449" t="str">
            <v>YOR348C</v>
          </cell>
          <cell r="N1449" t="str">
            <v/>
          </cell>
        </row>
        <row r="1450">
          <cell r="K1450" t="str">
            <v>YOR348C</v>
          </cell>
          <cell r="N1450" t="str">
            <v/>
          </cell>
        </row>
        <row r="1451">
          <cell r="K1451" t="str">
            <v>YFL055W</v>
          </cell>
          <cell r="N1451" t="str">
            <v/>
          </cell>
        </row>
        <row r="1452">
          <cell r="K1452" t="str">
            <v>YFL055W</v>
          </cell>
          <cell r="N1452" t="str">
            <v/>
          </cell>
        </row>
        <row r="1453">
          <cell r="K1453" t="str">
            <v>YPL265W</v>
          </cell>
          <cell r="N1453" t="str">
            <v>rt0594</v>
          </cell>
        </row>
        <row r="1454">
          <cell r="K1454" t="str">
            <v>YPL265W</v>
          </cell>
          <cell r="N1454" t="str">
            <v>rt0594</v>
          </cell>
        </row>
        <row r="1455">
          <cell r="K1455" t="str">
            <v>YDR105C</v>
          </cell>
          <cell r="N1455" t="str">
            <v>rt2976</v>
          </cell>
        </row>
        <row r="1456">
          <cell r="K1456" t="str">
            <v>YDR105C</v>
          </cell>
          <cell r="N1456" t="str">
            <v>rt2976</v>
          </cell>
        </row>
        <row r="1457">
          <cell r="K1457" t="str">
            <v>YDR508C</v>
          </cell>
          <cell r="N1457" t="str">
            <v/>
          </cell>
        </row>
        <row r="1458">
          <cell r="K1458" t="str">
            <v>YDR508C</v>
          </cell>
          <cell r="N1458" t="str">
            <v/>
          </cell>
        </row>
        <row r="1459">
          <cell r="K1459" t="str">
            <v>YCL025C</v>
          </cell>
          <cell r="N1459" t="str">
            <v/>
          </cell>
        </row>
        <row r="1460">
          <cell r="K1460" t="str">
            <v>YCL025C</v>
          </cell>
          <cell r="N1460" t="str">
            <v/>
          </cell>
        </row>
        <row r="1461">
          <cell r="K1461" t="str">
            <v>YBR069C</v>
          </cell>
          <cell r="N1461" t="str">
            <v/>
          </cell>
        </row>
        <row r="1462">
          <cell r="K1462" t="str">
            <v>YBR069C</v>
          </cell>
          <cell r="N1462" t="str">
            <v/>
          </cell>
        </row>
        <row r="1463">
          <cell r="K1463" t="str">
            <v>YDR046C</v>
          </cell>
          <cell r="N1463" t="str">
            <v/>
          </cell>
        </row>
        <row r="1464">
          <cell r="K1464" t="str">
            <v>YDR046C</v>
          </cell>
          <cell r="N1464" t="str">
            <v/>
          </cell>
        </row>
        <row r="1465">
          <cell r="K1465" t="str">
            <v>YDR508C</v>
          </cell>
          <cell r="N1465" t="str">
            <v/>
          </cell>
        </row>
        <row r="1466">
          <cell r="K1466" t="str">
            <v>YDR508C</v>
          </cell>
          <cell r="N1466" t="str">
            <v/>
          </cell>
        </row>
        <row r="1467">
          <cell r="K1467" t="str">
            <v>YCL025C</v>
          </cell>
          <cell r="N1467" t="str">
            <v/>
          </cell>
        </row>
        <row r="1468">
          <cell r="K1468" t="str">
            <v>YCL025C</v>
          </cell>
          <cell r="N1468" t="str">
            <v/>
          </cell>
        </row>
        <row r="1469">
          <cell r="K1469" t="str">
            <v>YBR068C</v>
          </cell>
          <cell r="N1469" t="str">
            <v/>
          </cell>
        </row>
        <row r="1470">
          <cell r="K1470" t="str">
            <v>YBR068C</v>
          </cell>
          <cell r="N1470" t="str">
            <v/>
          </cell>
        </row>
        <row r="1471">
          <cell r="K1471" t="str">
            <v>YDR046C</v>
          </cell>
          <cell r="N1471" t="str">
            <v/>
          </cell>
        </row>
        <row r="1472">
          <cell r="K1472" t="str">
            <v>YDR046C</v>
          </cell>
          <cell r="N1472" t="str">
            <v/>
          </cell>
        </row>
        <row r="1473">
          <cell r="K1473" t="str">
            <v>YBR069C</v>
          </cell>
          <cell r="N1473" t="str">
            <v/>
          </cell>
        </row>
        <row r="1474">
          <cell r="K1474" t="str">
            <v>YBR069C</v>
          </cell>
          <cell r="N1474" t="str">
            <v/>
          </cell>
        </row>
        <row r="1475">
          <cell r="K1475" t="str">
            <v>YOL020W</v>
          </cell>
          <cell r="N1475" t="str">
            <v/>
          </cell>
        </row>
        <row r="1476">
          <cell r="K1476" t="str">
            <v>YOL020W</v>
          </cell>
          <cell r="N1476" t="str">
            <v/>
          </cell>
        </row>
        <row r="1477">
          <cell r="K1477" t="str">
            <v>YCL038C</v>
          </cell>
          <cell r="N1477" t="str">
            <v>rt6501</v>
          </cell>
        </row>
        <row r="1478">
          <cell r="K1478" t="str">
            <v>YCL038C</v>
          </cell>
          <cell r="N1478" t="str">
            <v>rt6501</v>
          </cell>
        </row>
        <row r="1479">
          <cell r="K1479" t="str">
            <v>YJR001W</v>
          </cell>
          <cell r="N1479" t="str">
            <v>rt7819</v>
          </cell>
        </row>
        <row r="1480">
          <cell r="K1480" t="str">
            <v>YBR293W</v>
          </cell>
          <cell r="N1480" t="str">
            <v/>
          </cell>
        </row>
        <row r="1481">
          <cell r="K1481" t="str">
            <v>YNL101W</v>
          </cell>
          <cell r="N1481" t="str">
            <v/>
          </cell>
        </row>
        <row r="1482">
          <cell r="K1482" t="str">
            <v>YKL146W</v>
          </cell>
          <cell r="N1482" t="str">
            <v>rt4375</v>
          </cell>
        </row>
        <row r="1483">
          <cell r="K1483" t="str">
            <v>YBR068C</v>
          </cell>
          <cell r="N1483" t="str">
            <v/>
          </cell>
        </row>
        <row r="1484">
          <cell r="K1484" t="str">
            <v>YBR068C</v>
          </cell>
          <cell r="N1484" t="str">
            <v/>
          </cell>
        </row>
        <row r="1485">
          <cell r="K1485" t="str">
            <v>YDR046C</v>
          </cell>
          <cell r="N1485" t="str">
            <v/>
          </cell>
        </row>
        <row r="1486">
          <cell r="K1486" t="str">
            <v>YDR046C</v>
          </cell>
          <cell r="N1486" t="str">
            <v/>
          </cell>
        </row>
        <row r="1487">
          <cell r="K1487" t="str">
            <v>YBR069C</v>
          </cell>
          <cell r="N1487" t="str">
            <v/>
          </cell>
        </row>
        <row r="1488">
          <cell r="K1488" t="str">
            <v>YBR069C</v>
          </cell>
          <cell r="N1488" t="str">
            <v/>
          </cell>
        </row>
        <row r="1489">
          <cell r="K1489" t="str">
            <v>YCL025C</v>
          </cell>
          <cell r="N1489" t="str">
            <v/>
          </cell>
        </row>
        <row r="1490">
          <cell r="K1490" t="str">
            <v>YCL025C</v>
          </cell>
          <cell r="N1490" t="str">
            <v/>
          </cell>
        </row>
        <row r="1491">
          <cell r="K1491" t="str">
            <v>YOL020W</v>
          </cell>
          <cell r="N1491" t="str">
            <v/>
          </cell>
        </row>
        <row r="1492">
          <cell r="K1492" t="str">
            <v>YOL020W</v>
          </cell>
          <cell r="N1492" t="str">
            <v/>
          </cell>
        </row>
        <row r="1493">
          <cell r="K1493" t="str">
            <v>YBR068C</v>
          </cell>
          <cell r="N1493" t="str">
            <v/>
          </cell>
        </row>
        <row r="1494">
          <cell r="K1494" t="str">
            <v>YBR068C</v>
          </cell>
          <cell r="N1494" t="str">
            <v/>
          </cell>
        </row>
        <row r="1495">
          <cell r="K1495" t="str">
            <v>YDR046C</v>
          </cell>
          <cell r="N1495" t="str">
            <v/>
          </cell>
        </row>
        <row r="1496">
          <cell r="K1496" t="str">
            <v>YDR046C</v>
          </cell>
          <cell r="N1496" t="str">
            <v/>
          </cell>
        </row>
        <row r="1497">
          <cell r="K1497" t="str">
            <v>YBR069C</v>
          </cell>
          <cell r="N1497" t="str">
            <v/>
          </cell>
        </row>
        <row r="1498">
          <cell r="K1498" t="str">
            <v>YBR069C</v>
          </cell>
          <cell r="N1498" t="str">
            <v/>
          </cell>
        </row>
        <row r="1499">
          <cell r="K1499" t="str">
            <v>YCL025C</v>
          </cell>
          <cell r="N1499" t="str">
            <v/>
          </cell>
        </row>
        <row r="1500">
          <cell r="K1500" t="str">
            <v>YCL025C</v>
          </cell>
          <cell r="N1500" t="str">
            <v/>
          </cell>
        </row>
        <row r="1501">
          <cell r="K1501" t="str">
            <v>YIL013C</v>
          </cell>
          <cell r="N1501" t="str">
            <v/>
          </cell>
        </row>
        <row r="1502">
          <cell r="K1502" t="str">
            <v>YIL013C</v>
          </cell>
          <cell r="N1502" t="str">
            <v/>
          </cell>
        </row>
        <row r="1503">
          <cell r="K1503" t="str">
            <v>YOR011W</v>
          </cell>
          <cell r="N1503" t="str">
            <v/>
          </cell>
        </row>
        <row r="1504">
          <cell r="K1504" t="str">
            <v>YOR011W</v>
          </cell>
          <cell r="N1504" t="str">
            <v/>
          </cell>
        </row>
        <row r="1505">
          <cell r="K1505" t="str">
            <v>YLR348C</v>
          </cell>
          <cell r="N1505" t="str">
            <v>rt5142</v>
          </cell>
        </row>
        <row r="1506">
          <cell r="K1506" t="str">
            <v>YBR298C</v>
          </cell>
          <cell r="N1506" t="str">
            <v/>
          </cell>
        </row>
        <row r="1507">
          <cell r="K1507" t="str">
            <v>YJR160C</v>
          </cell>
          <cell r="N1507" t="str">
            <v/>
          </cell>
        </row>
        <row r="1508">
          <cell r="K1508" t="str">
            <v>YDL247W</v>
          </cell>
          <cell r="N1508" t="str">
            <v/>
          </cell>
        </row>
        <row r="1509">
          <cell r="K1509" t="str">
            <v>YGR289C</v>
          </cell>
          <cell r="N1509" t="str">
            <v>rt0769</v>
          </cell>
        </row>
        <row r="1510">
          <cell r="K1510" t="str">
            <v>YBR180W</v>
          </cell>
          <cell r="N1510" t="str">
            <v>rt2566</v>
          </cell>
        </row>
        <row r="1511">
          <cell r="K1511" t="str">
            <v>YEL006W</v>
          </cell>
          <cell r="N1511" t="str">
            <v/>
          </cell>
        </row>
        <row r="1512">
          <cell r="K1512" t="str">
            <v>YIL006W</v>
          </cell>
          <cell r="N1512" t="str">
            <v>rt2593</v>
          </cell>
        </row>
        <row r="1513">
          <cell r="K1513" t="str">
            <v>YIL006W</v>
          </cell>
          <cell r="N1513" t="str">
            <v>rt2593</v>
          </cell>
        </row>
        <row r="1514">
          <cell r="K1514" t="str">
            <v>YIL006W</v>
          </cell>
          <cell r="N1514" t="str">
            <v>rt2593</v>
          </cell>
        </row>
        <row r="1515">
          <cell r="K1515" t="str">
            <v>YIL006W</v>
          </cell>
          <cell r="N1515" t="str">
            <v>rt2593</v>
          </cell>
        </row>
        <row r="1516">
          <cell r="K1516" t="str">
            <v>YGR260W</v>
          </cell>
          <cell r="N1516" t="str">
            <v>rt3853</v>
          </cell>
        </row>
        <row r="1517">
          <cell r="K1517" t="str">
            <v>YGR260W</v>
          </cell>
          <cell r="N1517" t="str">
            <v>rt3853</v>
          </cell>
        </row>
        <row r="1518">
          <cell r="K1518" t="str">
            <v>YOR130C</v>
          </cell>
          <cell r="N1518" t="str">
            <v>rt4951</v>
          </cell>
        </row>
        <row r="1519">
          <cell r="K1519" t="str">
            <v>YEL063C</v>
          </cell>
          <cell r="N1519" t="str">
            <v/>
          </cell>
        </row>
        <row r="1520">
          <cell r="K1520" t="str">
            <v>YEL063C</v>
          </cell>
          <cell r="N1520" t="str">
            <v/>
          </cell>
        </row>
        <row r="1521">
          <cell r="K1521" t="str">
            <v>YKL120W</v>
          </cell>
          <cell r="N1521" t="str">
            <v>rt0643</v>
          </cell>
        </row>
        <row r="1522">
          <cell r="K1522" t="str">
            <v>YCR028C</v>
          </cell>
          <cell r="N1522" t="str">
            <v>rt3985</v>
          </cell>
        </row>
        <row r="1523">
          <cell r="K1523" t="str">
            <v>YCR028C</v>
          </cell>
          <cell r="N1523" t="str">
            <v>rt3985</v>
          </cell>
        </row>
        <row r="1524">
          <cell r="K1524" t="str">
            <v>YML123C</v>
          </cell>
          <cell r="N1524" t="str">
            <v>rt1948</v>
          </cell>
        </row>
        <row r="1525">
          <cell r="K1525" t="str">
            <v>YML123C</v>
          </cell>
          <cell r="N1525" t="str">
            <v>rt1948</v>
          </cell>
        </row>
        <row r="1526">
          <cell r="K1526" t="str">
            <v>YCR037C</v>
          </cell>
          <cell r="N1526" t="str">
            <v/>
          </cell>
        </row>
        <row r="1527">
          <cell r="K1527" t="str">
            <v>YCR037C</v>
          </cell>
          <cell r="N1527" t="str">
            <v/>
          </cell>
        </row>
        <row r="1528">
          <cell r="K1528" t="str">
            <v>YBR296C</v>
          </cell>
          <cell r="N1528" t="str">
            <v>rt3318</v>
          </cell>
        </row>
        <row r="1529">
          <cell r="K1529" t="str">
            <v>YBR296C</v>
          </cell>
          <cell r="N1529" t="str">
            <v>rt3318</v>
          </cell>
        </row>
        <row r="1530">
          <cell r="K1530" t="str">
            <v>YJL198W</v>
          </cell>
          <cell r="N1530" t="str">
            <v/>
          </cell>
        </row>
        <row r="1531">
          <cell r="K1531" t="str">
            <v>YJL198W</v>
          </cell>
          <cell r="N1531" t="str">
            <v/>
          </cell>
        </row>
        <row r="1532">
          <cell r="K1532" t="str">
            <v>YNR013C</v>
          </cell>
          <cell r="N1532" t="str">
            <v/>
          </cell>
        </row>
        <row r="1533">
          <cell r="K1533" t="str">
            <v>YNR013C</v>
          </cell>
          <cell r="N1533" t="str">
            <v/>
          </cell>
        </row>
        <row r="1534">
          <cell r="K1534" t="str">
            <v>YJR077C</v>
          </cell>
          <cell r="N1534" t="str">
            <v>rt7506</v>
          </cell>
        </row>
        <row r="1535">
          <cell r="K1535" t="str">
            <v>YER053C</v>
          </cell>
          <cell r="N1535" t="str">
            <v>rt0521</v>
          </cell>
        </row>
        <row r="1536">
          <cell r="K1536" t="str">
            <v>YDR456W</v>
          </cell>
          <cell r="N1536" t="str">
            <v>rt2101</v>
          </cell>
        </row>
        <row r="1537">
          <cell r="K1537" t="str">
            <v>YDR456W</v>
          </cell>
          <cell r="N1537" t="str">
            <v>rt2101</v>
          </cell>
        </row>
        <row r="1538">
          <cell r="K1538" t="str">
            <v>YJL129C</v>
          </cell>
          <cell r="N1538" t="str">
            <v/>
          </cell>
        </row>
        <row r="1539">
          <cell r="K1539" t="str">
            <v>YJL129C</v>
          </cell>
          <cell r="N1539" t="str">
            <v/>
          </cell>
        </row>
        <row r="1540">
          <cell r="K1540" t="str">
            <v>YOR273C</v>
          </cell>
          <cell r="N1540" t="str">
            <v/>
          </cell>
        </row>
        <row r="1541">
          <cell r="K1541" t="str">
            <v>YOR273C</v>
          </cell>
          <cell r="N1541" t="str">
            <v/>
          </cell>
        </row>
        <row r="1542">
          <cell r="K1542" t="str">
            <v>YLL028W</v>
          </cell>
          <cell r="N1542" t="str">
            <v>rt2649</v>
          </cell>
        </row>
        <row r="1543">
          <cell r="K1543" t="str">
            <v>YLL028W</v>
          </cell>
          <cell r="N1543" t="str">
            <v>rt2649</v>
          </cell>
        </row>
        <row r="1544">
          <cell r="K1544" t="str">
            <v>YLL028W</v>
          </cell>
          <cell r="N1544" t="str">
            <v>rt2649</v>
          </cell>
        </row>
        <row r="1545">
          <cell r="K1545" t="str">
            <v>YLL028W</v>
          </cell>
          <cell r="N1545" t="str">
            <v>rt2649</v>
          </cell>
        </row>
        <row r="1546">
          <cell r="K1546" t="str">
            <v>YOR273C</v>
          </cell>
          <cell r="N1546" t="str">
            <v/>
          </cell>
        </row>
        <row r="1547">
          <cell r="K1547" t="str">
            <v>YOR273C</v>
          </cell>
          <cell r="N1547" t="str">
            <v/>
          </cell>
        </row>
        <row r="1548">
          <cell r="K1548" t="str">
            <v>YGL186C</v>
          </cell>
          <cell r="N1548" t="str">
            <v/>
          </cell>
        </row>
        <row r="1549">
          <cell r="K1549" t="str">
            <v>YGL186C</v>
          </cell>
          <cell r="N1549" t="str">
            <v/>
          </cell>
        </row>
        <row r="1550">
          <cell r="K1550" t="str">
            <v>YKL217W</v>
          </cell>
          <cell r="N1550" t="str">
            <v>rt1816</v>
          </cell>
        </row>
        <row r="1551">
          <cell r="K1551" t="str">
            <v>YKL217W</v>
          </cell>
          <cell r="N1551" t="str">
            <v>rt1816</v>
          </cell>
        </row>
        <row r="1552">
          <cell r="K1552" t="str">
            <v>YPL274W</v>
          </cell>
          <cell r="N1552" t="str">
            <v/>
          </cell>
        </row>
        <row r="1553">
          <cell r="K1553" t="str">
            <v>YNL003C</v>
          </cell>
          <cell r="N1553" t="str">
            <v>rt3664</v>
          </cell>
        </row>
        <row r="1554">
          <cell r="K1554" t="str">
            <v>YNL003C</v>
          </cell>
          <cell r="N1554" t="str">
            <v>rt3664</v>
          </cell>
        </row>
        <row r="1555">
          <cell r="K1555" t="str">
            <v>YLL061W</v>
          </cell>
          <cell r="N1555" t="str">
            <v/>
          </cell>
        </row>
        <row r="1556">
          <cell r="K1556" t="str">
            <v>YLR138W</v>
          </cell>
          <cell r="N1556" t="str">
            <v>rt2444</v>
          </cell>
        </row>
        <row r="1557">
          <cell r="K1557" t="str">
            <v>YLR138W</v>
          </cell>
          <cell r="N1557" t="str">
            <v>rt2444</v>
          </cell>
        </row>
        <row r="1558">
          <cell r="K1558" t="str">
            <v>YDR456W</v>
          </cell>
          <cell r="N1558" t="str">
            <v>rt2101</v>
          </cell>
        </row>
        <row r="1559">
          <cell r="K1559" t="str">
            <v>YDR456W</v>
          </cell>
          <cell r="N1559" t="str">
            <v>rt2101</v>
          </cell>
        </row>
        <row r="1560">
          <cell r="K1560" t="str">
            <v>YOR273C</v>
          </cell>
          <cell r="N1560" t="str">
            <v/>
          </cell>
        </row>
        <row r="1561">
          <cell r="K1561" t="str">
            <v>YOR273C</v>
          </cell>
          <cell r="N1561" t="str">
            <v/>
          </cell>
        </row>
        <row r="1562">
          <cell r="K1562" t="str">
            <v>YHL016C</v>
          </cell>
          <cell r="N1562" t="str">
            <v>rt7439</v>
          </cell>
        </row>
        <row r="1563">
          <cell r="K1563" t="str">
            <v>YHL016C</v>
          </cell>
          <cell r="N1563" t="str">
            <v>rt7439</v>
          </cell>
        </row>
        <row r="1564">
          <cell r="K1564" t="str">
            <v>YBR132C</v>
          </cell>
          <cell r="N1564" t="str">
            <v/>
          </cell>
        </row>
        <row r="1565">
          <cell r="K1565" t="str">
            <v>YBR132C</v>
          </cell>
          <cell r="N1565" t="str">
            <v/>
          </cell>
        </row>
        <row r="1566">
          <cell r="K1566" t="str">
            <v>YLL028W</v>
          </cell>
          <cell r="N1566" t="str">
            <v>rt2649</v>
          </cell>
        </row>
        <row r="1567">
          <cell r="K1567" t="str">
            <v>YLL028W</v>
          </cell>
          <cell r="N1567" t="str">
            <v>rt2649</v>
          </cell>
        </row>
        <row r="1568">
          <cell r="K1568" t="str">
            <v>YPL274W</v>
          </cell>
          <cell r="N1568" t="str">
            <v/>
          </cell>
        </row>
        <row r="1569">
          <cell r="K1569" t="str">
            <v>YPL274W</v>
          </cell>
          <cell r="N1569" t="str">
            <v/>
          </cell>
        </row>
        <row r="1570">
          <cell r="K1570" t="str">
            <v>YLL028W</v>
          </cell>
          <cell r="N1570" t="str">
            <v>rt2649</v>
          </cell>
        </row>
        <row r="1571">
          <cell r="K1571" t="str">
            <v>YLL028W</v>
          </cell>
          <cell r="N1571" t="str">
            <v>rt2649</v>
          </cell>
        </row>
        <row r="1572">
          <cell r="K1572" t="str">
            <v>YOR273C</v>
          </cell>
          <cell r="N1572" t="str">
            <v/>
          </cell>
        </row>
        <row r="1573">
          <cell r="K1573" t="str">
            <v>YOR273C</v>
          </cell>
          <cell r="N1573" t="str">
            <v/>
          </cell>
        </row>
        <row r="1574">
          <cell r="K1574" t="str">
            <v>YLL028W</v>
          </cell>
          <cell r="N1574" t="str">
            <v>rt2649</v>
          </cell>
        </row>
        <row r="1575">
          <cell r="K1575" t="str">
            <v>YLL028W</v>
          </cell>
          <cell r="N1575" t="str">
            <v>rt2649</v>
          </cell>
        </row>
        <row r="1576">
          <cell r="K1576" t="str">
            <v>YGR138C</v>
          </cell>
          <cell r="N1576" t="str">
            <v>rt6406</v>
          </cell>
        </row>
        <row r="1577">
          <cell r="K1577" t="str">
            <v>YGR138C</v>
          </cell>
          <cell r="N1577" t="str">
            <v>rt6406</v>
          </cell>
        </row>
        <row r="1578">
          <cell r="K1578" t="str">
            <v>YOR273C</v>
          </cell>
          <cell r="N1578" t="str">
            <v/>
          </cell>
        </row>
        <row r="1579">
          <cell r="K1579" t="str">
            <v>YOR273C</v>
          </cell>
          <cell r="N1579" t="str">
            <v/>
          </cell>
        </row>
        <row r="1580">
          <cell r="K1580" t="str">
            <v>YPR156C</v>
          </cell>
          <cell r="N1580" t="str">
            <v>rt3281</v>
          </cell>
        </row>
        <row r="1581">
          <cell r="K1581" t="str">
            <v>YPR156C</v>
          </cell>
          <cell r="N1581" t="str">
            <v>rt3281</v>
          </cell>
        </row>
        <row r="1582">
          <cell r="K1582" t="str">
            <v>YLL028W</v>
          </cell>
          <cell r="N1582" t="str">
            <v>rt2649</v>
          </cell>
        </row>
        <row r="1583">
          <cell r="K1583" t="str">
            <v>YLL028W</v>
          </cell>
          <cell r="N1583" t="str">
            <v>rt2649</v>
          </cell>
        </row>
        <row r="1584">
          <cell r="K1584" t="str">
            <v>YGR138C</v>
          </cell>
          <cell r="N1584" t="str">
            <v>rt6406</v>
          </cell>
        </row>
        <row r="1585">
          <cell r="K1585" t="str">
            <v>YGR138C</v>
          </cell>
          <cell r="N1585" t="str">
            <v>rt6406</v>
          </cell>
        </row>
        <row r="1586">
          <cell r="K1586" t="str">
            <v>YOR273C</v>
          </cell>
          <cell r="N1586" t="str">
            <v/>
          </cell>
        </row>
        <row r="1587">
          <cell r="K1587" t="str">
            <v>YOR273C</v>
          </cell>
          <cell r="N1587" t="str">
            <v/>
          </cell>
        </row>
        <row r="1588">
          <cell r="K1588" t="str">
            <v>YPR156C</v>
          </cell>
          <cell r="N1588" t="str">
            <v>rt3281</v>
          </cell>
        </row>
        <row r="1589">
          <cell r="K1589" t="str">
            <v>YPR156C</v>
          </cell>
          <cell r="N1589" t="str">
            <v>rt3281</v>
          </cell>
        </row>
        <row r="1590">
          <cell r="K1590" t="str">
            <v>YLR348C</v>
          </cell>
          <cell r="N1590" t="str">
            <v>rt5142</v>
          </cell>
        </row>
        <row r="1591">
          <cell r="K1591" t="str">
            <v>YJR095W</v>
          </cell>
          <cell r="N1591" t="str">
            <v>rt4237</v>
          </cell>
        </row>
        <row r="1592">
          <cell r="K1592" t="str">
            <v>YBR294W</v>
          </cell>
          <cell r="N1592" t="str">
            <v>rt5751</v>
          </cell>
        </row>
        <row r="1593">
          <cell r="K1593" t="str">
            <v>YLR092W</v>
          </cell>
          <cell r="N1593" t="str">
            <v/>
          </cell>
        </row>
        <row r="1594">
          <cell r="K1594" t="str">
            <v>YPL092W</v>
          </cell>
          <cell r="N1594" t="str">
            <v>rt4278</v>
          </cell>
        </row>
        <row r="1595">
          <cell r="K1595" t="str">
            <v>YGR096W</v>
          </cell>
          <cell r="N1595" t="str">
            <v/>
          </cell>
        </row>
        <row r="1596">
          <cell r="K1596" t="str">
            <v>YOR192C</v>
          </cell>
          <cell r="N1596" t="str">
            <v/>
          </cell>
        </row>
        <row r="1597">
          <cell r="K1597" t="str">
            <v>YOR071C</v>
          </cell>
          <cell r="N1597" t="str">
            <v/>
          </cell>
        </row>
        <row r="1598">
          <cell r="K1598" t="str">
            <v>YLR237W</v>
          </cell>
          <cell r="N1598" t="str">
            <v/>
          </cell>
        </row>
        <row r="1599">
          <cell r="K1599" t="str">
            <v>YBR021W</v>
          </cell>
          <cell r="N1599" t="str">
            <v>rt4541</v>
          </cell>
        </row>
        <row r="1600">
          <cell r="K1600" t="str">
            <v>YHL016C</v>
          </cell>
          <cell r="N1600" t="str">
            <v>rt7439</v>
          </cell>
        </row>
        <row r="1601">
          <cell r="K1601" t="str">
            <v>YHL016C</v>
          </cell>
          <cell r="N1601" t="str">
            <v>rt7439</v>
          </cell>
        </row>
        <row r="1602">
          <cell r="K1602" t="str">
            <v>YBL042C</v>
          </cell>
          <cell r="N1602" t="str">
            <v>rt1991</v>
          </cell>
        </row>
        <row r="1603">
          <cell r="K1603" t="str">
            <v>YBR192W</v>
          </cell>
          <cell r="N1603" t="str">
            <v>rt4019</v>
          </cell>
        </row>
        <row r="1604">
          <cell r="K1604" t="str">
            <v>YBR192W</v>
          </cell>
          <cell r="N1604" t="str">
            <v>rt4019</v>
          </cell>
        </row>
        <row r="1605">
          <cell r="K1605" t="str">
            <v>YIL013C</v>
          </cell>
          <cell r="N1605" t="str">
            <v/>
          </cell>
        </row>
        <row r="1606">
          <cell r="K1606" t="str">
            <v>YIL013C</v>
          </cell>
          <cell r="N1606" t="str">
            <v/>
          </cell>
        </row>
        <row r="1607">
          <cell r="K1607" t="str">
            <v>YOR011W</v>
          </cell>
          <cell r="N1607" t="str">
            <v/>
          </cell>
        </row>
        <row r="1608">
          <cell r="K1608" t="str">
            <v>YOR011W</v>
          </cell>
          <cell r="N1608" t="str">
            <v/>
          </cell>
        </row>
        <row r="1609">
          <cell r="K1609" t="str">
            <v>YGR289C</v>
          </cell>
          <cell r="N1609" t="str">
            <v>rt0769</v>
          </cell>
        </row>
        <row r="1610">
          <cell r="K1610" t="str">
            <v>YGR289C</v>
          </cell>
          <cell r="N1610" t="str">
            <v>rt0769</v>
          </cell>
        </row>
        <row r="1611">
          <cell r="K1611" t="str">
            <v>YOR222W</v>
          </cell>
          <cell r="N1611" t="str">
            <v>rt2267</v>
          </cell>
        </row>
        <row r="1612">
          <cell r="K1612" t="str">
            <v>YPL134C</v>
          </cell>
          <cell r="N1612" t="str">
            <v/>
          </cell>
        </row>
        <row r="1613">
          <cell r="K1613" t="str">
            <v>YKL120W</v>
          </cell>
          <cell r="N1613" t="str">
            <v>rt0643</v>
          </cell>
        </row>
        <row r="1614">
          <cell r="K1614" t="str">
            <v>YKL120W</v>
          </cell>
          <cell r="N1614" t="str">
            <v>rt0643</v>
          </cell>
        </row>
        <row r="1615">
          <cell r="K1615" t="str">
            <v>YFL058W</v>
          </cell>
          <cell r="N1615" t="str">
            <v>rt2779</v>
          </cell>
        </row>
        <row r="1616">
          <cell r="K1616" t="str">
            <v>YER183C</v>
          </cell>
          <cell r="N1616" t="str">
            <v>rt4194</v>
          </cell>
        </row>
        <row r="1617">
          <cell r="K1617" t="str">
            <v>YPR011C</v>
          </cell>
          <cell r="N1617" t="str">
            <v/>
          </cell>
        </row>
        <row r="1618">
          <cell r="K1618" t="str">
            <v>YPR011C</v>
          </cell>
          <cell r="N1618" t="str">
            <v/>
          </cell>
        </row>
        <row r="1619">
          <cell r="K1619" t="str">
            <v>YDR508C</v>
          </cell>
          <cell r="N1619" t="str">
            <v/>
          </cell>
        </row>
        <row r="1620">
          <cell r="K1620" t="str">
            <v>YNL036W</v>
          </cell>
          <cell r="N1620" t="str">
            <v>rt4213</v>
          </cell>
        </row>
        <row r="1621">
          <cell r="K1621" t="str">
            <v>YNL036W</v>
          </cell>
          <cell r="N1621" t="str">
            <v>rt4213</v>
          </cell>
        </row>
        <row r="1622">
          <cell r="K1622" t="str">
            <v>YOR161C</v>
          </cell>
          <cell r="N1622" t="str">
            <v/>
          </cell>
        </row>
        <row r="1623">
          <cell r="K1623" t="str">
            <v>YOR161C</v>
          </cell>
          <cell r="N1623" t="str">
            <v/>
          </cell>
        </row>
        <row r="1624">
          <cell r="K1624" t="str">
            <v>YGL077C</v>
          </cell>
          <cell r="N1624" t="str">
            <v>rt7623</v>
          </cell>
        </row>
        <row r="1625">
          <cell r="K1625" t="str">
            <v>YGL077C</v>
          </cell>
          <cell r="N1625" t="str">
            <v>rt7623</v>
          </cell>
        </row>
        <row r="1626">
          <cell r="K1626" t="str">
            <v>YDR342C</v>
          </cell>
          <cell r="N1626" t="str">
            <v/>
          </cell>
        </row>
        <row r="1627">
          <cell r="K1627" t="str">
            <v>YDR342C</v>
          </cell>
          <cell r="N1627" t="str">
            <v/>
          </cell>
        </row>
        <row r="1628">
          <cell r="K1628" t="str">
            <v>YHR092C</v>
          </cell>
          <cell r="N1628" t="str">
            <v/>
          </cell>
        </row>
        <row r="1629">
          <cell r="K1629" t="str">
            <v>YHR092C</v>
          </cell>
          <cell r="N1629" t="str">
            <v/>
          </cell>
        </row>
        <row r="1630">
          <cell r="K1630" t="str">
            <v>YEL069C</v>
          </cell>
          <cell r="N1630" t="str">
            <v/>
          </cell>
        </row>
        <row r="1631">
          <cell r="K1631" t="str">
            <v>YEL069C</v>
          </cell>
          <cell r="N1631" t="str">
            <v/>
          </cell>
        </row>
        <row r="1632">
          <cell r="K1632" t="str">
            <v>YJR158W</v>
          </cell>
          <cell r="N1632" t="str">
            <v/>
          </cell>
        </row>
        <row r="1633">
          <cell r="K1633" t="str">
            <v>YJR158W</v>
          </cell>
          <cell r="N1633" t="str">
            <v/>
          </cell>
        </row>
        <row r="1634">
          <cell r="K1634" t="str">
            <v>YDL245C</v>
          </cell>
          <cell r="N1634" t="str">
            <v/>
          </cell>
        </row>
        <row r="1635">
          <cell r="K1635" t="str">
            <v>YDL245C</v>
          </cell>
          <cell r="N1635" t="str">
            <v/>
          </cell>
        </row>
        <row r="1636">
          <cell r="K1636" t="str">
            <v>YNR072W</v>
          </cell>
          <cell r="N1636" t="str">
            <v/>
          </cell>
        </row>
        <row r="1637">
          <cell r="K1637" t="str">
            <v>YNR072W</v>
          </cell>
          <cell r="N1637" t="str">
            <v/>
          </cell>
        </row>
        <row r="1638">
          <cell r="K1638" t="str">
            <v>YHR092C</v>
          </cell>
          <cell r="N1638" t="str">
            <v/>
          </cell>
        </row>
        <row r="1639">
          <cell r="K1639" t="str">
            <v>YHR092C</v>
          </cell>
          <cell r="N1639" t="str">
            <v/>
          </cell>
        </row>
        <row r="1640">
          <cell r="K1640" t="str">
            <v>YDL166C</v>
          </cell>
          <cell r="N1640" t="str">
            <v>rt3932</v>
          </cell>
        </row>
        <row r="1641">
          <cell r="K1641" t="str">
            <v>YDL166C</v>
          </cell>
          <cell r="N1641" t="str">
            <v>rt3932</v>
          </cell>
        </row>
        <row r="1642">
          <cell r="K1642" t="str">
            <v>YBL042C</v>
          </cell>
          <cell r="N1642" t="str">
            <v>rt1991</v>
          </cell>
        </row>
        <row r="1643">
          <cell r="K1643" t="str">
            <v>YDR071C</v>
          </cell>
          <cell r="N1643" t="str">
            <v>rt1145</v>
          </cell>
        </row>
        <row r="1644">
          <cell r="K1644" t="str">
            <v>YDL045C</v>
          </cell>
          <cell r="N1644" t="str">
            <v>rt3174</v>
          </cell>
        </row>
        <row r="1645">
          <cell r="K1645" t="str">
            <v>YNL065W</v>
          </cell>
          <cell r="N1645" t="str">
            <v/>
          </cell>
        </row>
        <row r="1646">
          <cell r="K1646" t="str">
            <v>YNL065W</v>
          </cell>
          <cell r="N1646" t="str">
            <v/>
          </cell>
        </row>
        <row r="1647">
          <cell r="K1647" t="str">
            <v>YGL225W</v>
          </cell>
          <cell r="N1647" t="str">
            <v>rt4177</v>
          </cell>
        </row>
        <row r="1648">
          <cell r="K1648" t="str">
            <v>YGL225W</v>
          </cell>
          <cell r="N1648" t="str">
            <v>rt4177</v>
          </cell>
        </row>
        <row r="1649">
          <cell r="K1649" t="str">
            <v>YGL104C</v>
          </cell>
          <cell r="N1649" t="str">
            <v/>
          </cell>
        </row>
        <row r="1650">
          <cell r="K1650" t="str">
            <v>YGL104C</v>
          </cell>
          <cell r="N1650" t="str">
            <v/>
          </cell>
        </row>
        <row r="1651">
          <cell r="K1651" t="str">
            <v>YBR241C</v>
          </cell>
          <cell r="N1651" t="str">
            <v>rt7394</v>
          </cell>
        </row>
        <row r="1652">
          <cell r="K1652" t="str">
            <v>YBR241C</v>
          </cell>
          <cell r="N1652" t="str">
            <v>rt7394</v>
          </cell>
        </row>
        <row r="1653">
          <cell r="K1653" t="str">
            <v>YDL119C</v>
          </cell>
          <cell r="N1653" t="str">
            <v>rt0066</v>
          </cell>
        </row>
        <row r="1654">
          <cell r="K1654" t="str">
            <v>YDL119C</v>
          </cell>
          <cell r="N1654" t="str">
            <v>rt0066</v>
          </cell>
        </row>
        <row r="1655">
          <cell r="K1655" t="str">
            <v>YPR058W</v>
          </cell>
          <cell r="N1655" t="str">
            <v/>
          </cell>
        </row>
        <row r="1656">
          <cell r="K1656" t="str">
            <v>YPR058W</v>
          </cell>
          <cell r="N1656" t="str">
            <v/>
          </cell>
        </row>
        <row r="1657">
          <cell r="K1657" t="str">
            <v>YNL065W</v>
          </cell>
          <cell r="N1657" t="str">
            <v/>
          </cell>
        </row>
        <row r="1658">
          <cell r="K1658" t="str">
            <v>YNL065W</v>
          </cell>
          <cell r="N1658" t="str">
            <v/>
          </cell>
        </row>
        <row r="1659">
          <cell r="K1659" t="str">
            <v>YDR342C</v>
          </cell>
          <cell r="N1659" t="str">
            <v/>
          </cell>
        </row>
        <row r="1660">
          <cell r="K1660" t="str">
            <v>YDR342C</v>
          </cell>
          <cell r="N1660" t="str">
            <v/>
          </cell>
        </row>
        <row r="1661">
          <cell r="K1661" t="str">
            <v>YHR092C</v>
          </cell>
          <cell r="N1661" t="str">
            <v/>
          </cell>
        </row>
        <row r="1662">
          <cell r="K1662" t="str">
            <v>YHR092C</v>
          </cell>
          <cell r="N1662" t="str">
            <v/>
          </cell>
        </row>
        <row r="1663">
          <cell r="K1663" t="str">
            <v>YOR100C</v>
          </cell>
          <cell r="N1663" t="str">
            <v>rt0963</v>
          </cell>
        </row>
        <row r="1664">
          <cell r="K1664" t="str">
            <v>YEL069C</v>
          </cell>
          <cell r="N1664" t="str">
            <v/>
          </cell>
        </row>
        <row r="1665">
          <cell r="K1665" t="str">
            <v>YEL069C</v>
          </cell>
          <cell r="N1665" t="str">
            <v/>
          </cell>
        </row>
        <row r="1666">
          <cell r="K1666" t="str">
            <v>YJR158W</v>
          </cell>
          <cell r="N1666" t="str">
            <v/>
          </cell>
        </row>
        <row r="1667">
          <cell r="K1667" t="str">
            <v>YJR158W</v>
          </cell>
          <cell r="N1667" t="str">
            <v/>
          </cell>
        </row>
        <row r="1668">
          <cell r="K1668" t="str">
            <v>YDL245C</v>
          </cell>
          <cell r="N1668" t="str">
            <v/>
          </cell>
        </row>
        <row r="1669">
          <cell r="K1669" t="str">
            <v>YDL245C</v>
          </cell>
          <cell r="N1669" t="str">
            <v/>
          </cell>
        </row>
        <row r="1670">
          <cell r="K1670" t="str">
            <v>YNR072W</v>
          </cell>
          <cell r="N1670" t="str">
            <v/>
          </cell>
        </row>
        <row r="1671">
          <cell r="K1671" t="str">
            <v>YNR072W</v>
          </cell>
          <cell r="N1671" t="str">
            <v/>
          </cell>
        </row>
        <row r="1672">
          <cell r="K1672" t="str">
            <v>YOL156W</v>
          </cell>
          <cell r="N1672" t="str">
            <v/>
          </cell>
        </row>
        <row r="1673">
          <cell r="K1673" t="str">
            <v>YOL156W</v>
          </cell>
          <cell r="N1673" t="str">
            <v/>
          </cell>
        </row>
        <row r="1674">
          <cell r="K1674" t="str">
            <v>YEL069C</v>
          </cell>
          <cell r="N1674" t="str">
            <v/>
          </cell>
        </row>
        <row r="1675">
          <cell r="K1675" t="str">
            <v>YEL069C</v>
          </cell>
          <cell r="N1675" t="str">
            <v/>
          </cell>
        </row>
        <row r="1676">
          <cell r="K1676" t="str">
            <v>YDR342C</v>
          </cell>
          <cell r="N1676" t="str">
            <v/>
          </cell>
        </row>
        <row r="1677">
          <cell r="K1677" t="str">
            <v>YDR342C</v>
          </cell>
          <cell r="N1677" t="str">
            <v/>
          </cell>
        </row>
        <row r="1678">
          <cell r="K1678" t="str">
            <v>YNR072W</v>
          </cell>
          <cell r="N1678" t="str">
            <v/>
          </cell>
        </row>
        <row r="1679">
          <cell r="K1679" t="str">
            <v>YNR072W</v>
          </cell>
          <cell r="N1679" t="str">
            <v/>
          </cell>
        </row>
        <row r="1680">
          <cell r="K1680" t="str">
            <v>YDR343C</v>
          </cell>
          <cell r="N1680" t="str">
            <v/>
          </cell>
        </row>
        <row r="1681">
          <cell r="K1681" t="str">
            <v>YDR343C</v>
          </cell>
          <cell r="N1681" t="str">
            <v/>
          </cell>
        </row>
        <row r="1682">
          <cell r="K1682" t="str">
            <v>YJR158W</v>
          </cell>
          <cell r="N1682" t="str">
            <v/>
          </cell>
        </row>
        <row r="1683">
          <cell r="K1683" t="str">
            <v>YJR158W</v>
          </cell>
          <cell r="N1683" t="str">
            <v/>
          </cell>
        </row>
        <row r="1684">
          <cell r="K1684" t="str">
            <v>YHR092C</v>
          </cell>
          <cell r="N1684" t="str">
            <v/>
          </cell>
        </row>
        <row r="1685">
          <cell r="K1685" t="str">
            <v>YHR092C</v>
          </cell>
          <cell r="N1685" t="str">
            <v/>
          </cell>
        </row>
        <row r="1686">
          <cell r="K1686" t="str">
            <v>YDR345C</v>
          </cell>
          <cell r="N1686" t="str">
            <v/>
          </cell>
        </row>
        <row r="1687">
          <cell r="K1687" t="str">
            <v>YDR345C</v>
          </cell>
          <cell r="N1687" t="str">
            <v/>
          </cell>
        </row>
        <row r="1688">
          <cell r="K1688" t="str">
            <v>YJL214W</v>
          </cell>
          <cell r="N1688" t="str">
            <v/>
          </cell>
        </row>
        <row r="1689">
          <cell r="K1689" t="str">
            <v>YJL214W</v>
          </cell>
          <cell r="N1689" t="str">
            <v/>
          </cell>
        </row>
        <row r="1690">
          <cell r="K1690" t="str">
            <v>YMR011W</v>
          </cell>
          <cell r="N1690" t="str">
            <v/>
          </cell>
        </row>
        <row r="1691">
          <cell r="K1691" t="str">
            <v>YMR011W</v>
          </cell>
          <cell r="N1691" t="str">
            <v/>
          </cell>
        </row>
        <row r="1692">
          <cell r="K1692" t="str">
            <v>YHR094C</v>
          </cell>
          <cell r="N1692" t="str">
            <v/>
          </cell>
        </row>
        <row r="1693">
          <cell r="K1693" t="str">
            <v>YHR094C</v>
          </cell>
          <cell r="N1693" t="str">
            <v/>
          </cell>
        </row>
        <row r="1694">
          <cell r="K1694" t="str">
            <v>YFL011W</v>
          </cell>
          <cell r="N1694" t="str">
            <v/>
          </cell>
        </row>
        <row r="1695">
          <cell r="K1695" t="str">
            <v>YFL011W</v>
          </cell>
          <cell r="N1695" t="str">
            <v/>
          </cell>
        </row>
        <row r="1696">
          <cell r="K1696" t="str">
            <v>YHR096C</v>
          </cell>
          <cell r="N1696" t="str">
            <v/>
          </cell>
        </row>
        <row r="1697">
          <cell r="K1697" t="str">
            <v>YHR096C</v>
          </cell>
          <cell r="N1697" t="str">
            <v/>
          </cell>
        </row>
        <row r="1698">
          <cell r="K1698" t="str">
            <v>YJL219W</v>
          </cell>
          <cell r="N1698" t="str">
            <v/>
          </cell>
        </row>
        <row r="1699">
          <cell r="K1699" t="str">
            <v>YJL219W</v>
          </cell>
          <cell r="N1699" t="str">
            <v/>
          </cell>
        </row>
        <row r="1700">
          <cell r="K1700" t="str">
            <v>YDL245C</v>
          </cell>
          <cell r="N1700" t="str">
            <v/>
          </cell>
        </row>
        <row r="1701">
          <cell r="K1701" t="str">
            <v>YDL245C</v>
          </cell>
          <cell r="N1701" t="str">
            <v/>
          </cell>
        </row>
        <row r="1702">
          <cell r="K1702" t="str">
            <v>YDR508C</v>
          </cell>
          <cell r="N1702" t="str">
            <v/>
          </cell>
        </row>
        <row r="1703">
          <cell r="K1703" t="str">
            <v>YOR100C</v>
          </cell>
          <cell r="N1703" t="str">
            <v>rt0963</v>
          </cell>
        </row>
        <row r="1704">
          <cell r="K1704" t="str">
            <v>YJL212C</v>
          </cell>
          <cell r="N1704" t="str">
            <v>rt5171</v>
          </cell>
        </row>
        <row r="1705">
          <cell r="K1705" t="str">
            <v>YNR013C</v>
          </cell>
          <cell r="N1705" t="str">
            <v/>
          </cell>
        </row>
        <row r="1706">
          <cell r="K1706" t="str">
            <v>YNR013C</v>
          </cell>
          <cell r="N1706" t="str">
            <v/>
          </cell>
        </row>
        <row r="1707">
          <cell r="K1707" t="str">
            <v>YNR027W</v>
          </cell>
          <cell r="N1707" t="str">
            <v/>
          </cell>
        </row>
        <row r="1708">
          <cell r="K1708" t="str">
            <v>YOR306C</v>
          </cell>
          <cell r="N1708" t="str">
            <v/>
          </cell>
        </row>
        <row r="1709">
          <cell r="K1709" t="str">
            <v>YHR092C</v>
          </cell>
          <cell r="N1709" t="str">
            <v/>
          </cell>
        </row>
        <row r="1710">
          <cell r="K1710" t="str">
            <v>YDR342C</v>
          </cell>
          <cell r="N1710" t="str">
            <v/>
          </cell>
        </row>
        <row r="1711">
          <cell r="K1711" t="str">
            <v>YDR508C</v>
          </cell>
          <cell r="N1711" t="str">
            <v/>
          </cell>
        </row>
        <row r="1712">
          <cell r="K1712" t="str">
            <v>YDR508C</v>
          </cell>
          <cell r="N1712" t="str">
            <v/>
          </cell>
        </row>
        <row r="1713">
          <cell r="K1713" t="str">
            <v>YDL024C</v>
          </cell>
          <cell r="N1713" t="str">
            <v>rt2517</v>
          </cell>
        </row>
        <row r="1714">
          <cell r="K1714" t="str">
            <v>YDR508C</v>
          </cell>
          <cell r="N1714" t="str">
            <v/>
          </cell>
        </row>
        <row r="1715">
          <cell r="K1715" t="str">
            <v>YLL043W</v>
          </cell>
          <cell r="N1715" t="str">
            <v/>
          </cell>
        </row>
        <row r="1716">
          <cell r="K1716" t="str">
            <v>YLL043W</v>
          </cell>
          <cell r="N1716" t="str">
            <v/>
          </cell>
        </row>
        <row r="1717">
          <cell r="K1717" t="str">
            <v>YDL245C</v>
          </cell>
          <cell r="N1717" t="str">
            <v/>
          </cell>
        </row>
        <row r="1718">
          <cell r="K1718" t="str">
            <v>YDL245C</v>
          </cell>
          <cell r="N1718" t="str">
            <v/>
          </cell>
        </row>
        <row r="1719">
          <cell r="K1719" t="str">
            <v>YIL013C</v>
          </cell>
          <cell r="N1719" t="str">
            <v/>
          </cell>
        </row>
        <row r="1720">
          <cell r="K1720" t="str">
            <v>YIL013C</v>
          </cell>
          <cell r="N1720" t="str">
            <v/>
          </cell>
        </row>
        <row r="1721">
          <cell r="K1721" t="str">
            <v>YOR011W</v>
          </cell>
          <cell r="N1721" t="str">
            <v/>
          </cell>
        </row>
        <row r="1722">
          <cell r="K1722" t="str">
            <v>YOR011W</v>
          </cell>
          <cell r="N1722" t="str">
            <v/>
          </cell>
        </row>
        <row r="1723">
          <cell r="K1723" t="str">
            <v>YNL065W</v>
          </cell>
          <cell r="N1723" t="str">
            <v/>
          </cell>
        </row>
        <row r="1724">
          <cell r="K1724" t="str">
            <v>YNL065W</v>
          </cell>
          <cell r="N1724" t="str">
            <v/>
          </cell>
        </row>
        <row r="1725">
          <cell r="K1725" t="str">
            <v>YNL065W</v>
          </cell>
          <cell r="N1725" t="str">
            <v/>
          </cell>
        </row>
        <row r="1726">
          <cell r="K1726" t="str">
            <v>YNL065W</v>
          </cell>
          <cell r="N1726" t="str">
            <v/>
          </cell>
        </row>
        <row r="1727">
          <cell r="K1727" t="str">
            <v>YML123C</v>
          </cell>
          <cell r="N1727" t="str">
            <v>rt1948</v>
          </cell>
        </row>
        <row r="1728">
          <cell r="K1728" t="str">
            <v>YML123C</v>
          </cell>
          <cell r="N1728" t="str">
            <v>rt1948</v>
          </cell>
        </row>
        <row r="1729">
          <cell r="K1729" t="str">
            <v>YCR037C</v>
          </cell>
          <cell r="N1729" t="str">
            <v/>
          </cell>
        </row>
        <row r="1730">
          <cell r="K1730" t="str">
            <v>YCR037C</v>
          </cell>
          <cell r="N1730" t="str">
            <v/>
          </cell>
        </row>
        <row r="1731">
          <cell r="K1731" t="str">
            <v>YJL198W</v>
          </cell>
          <cell r="N1731" t="str">
            <v/>
          </cell>
        </row>
        <row r="1732">
          <cell r="K1732" t="str">
            <v>YJL198W</v>
          </cell>
          <cell r="N1732" t="str">
            <v/>
          </cell>
        </row>
        <row r="1733">
          <cell r="K1733" t="str">
            <v>YCR098C</v>
          </cell>
          <cell r="N1733" t="str">
            <v>rt4413</v>
          </cell>
        </row>
        <row r="1734">
          <cell r="K1734" t="str">
            <v>YCR098C</v>
          </cell>
          <cell r="N1734" t="str">
            <v>rt4413</v>
          </cell>
        </row>
        <row r="1735">
          <cell r="K1735" t="str">
            <v>YCR098C</v>
          </cell>
          <cell r="N1735" t="str">
            <v>rt4413</v>
          </cell>
        </row>
        <row r="1736">
          <cell r="K1736" t="str">
            <v>YCR098C</v>
          </cell>
          <cell r="N1736" t="str">
            <v>rt4413</v>
          </cell>
        </row>
        <row r="1737">
          <cell r="K1737" t="str">
            <v>YNR013C</v>
          </cell>
          <cell r="N1737" t="str">
            <v/>
          </cell>
        </row>
        <row r="1738">
          <cell r="K1738" t="str">
            <v>YNR013C</v>
          </cell>
          <cell r="N1738" t="str">
            <v/>
          </cell>
        </row>
        <row r="1739">
          <cell r="K1739" t="str">
            <v>YHR002W</v>
          </cell>
          <cell r="N1739" t="str">
            <v>rt0548</v>
          </cell>
        </row>
        <row r="1740">
          <cell r="K1740" t="str">
            <v>YHR002W</v>
          </cell>
          <cell r="N1740" t="str">
            <v>rt0548</v>
          </cell>
        </row>
        <row r="1741">
          <cell r="K1741" t="str">
            <v>YBR192W</v>
          </cell>
          <cell r="N1741" t="str">
            <v>rt4019</v>
          </cell>
        </row>
        <row r="1742">
          <cell r="K1742" t="str">
            <v>YBR192W</v>
          </cell>
          <cell r="N1742" t="str">
            <v>rt4019</v>
          </cell>
        </row>
        <row r="1743">
          <cell r="K1743" t="str">
            <v>YBR192W</v>
          </cell>
          <cell r="N1743" t="str">
            <v>rt4019</v>
          </cell>
        </row>
        <row r="1744">
          <cell r="K1744" t="str">
            <v>YBR192W</v>
          </cell>
          <cell r="N1744" t="str">
            <v>rt4019</v>
          </cell>
        </row>
        <row r="1745">
          <cell r="K1745" t="str">
            <v>YJR077C</v>
          </cell>
          <cell r="N1745" t="str">
            <v>rt7506</v>
          </cell>
        </row>
        <row r="1746">
          <cell r="K1746" t="str">
            <v>YJR077C</v>
          </cell>
          <cell r="N1746" t="str">
            <v>rt7506</v>
          </cell>
        </row>
        <row r="1747">
          <cell r="K1747" t="str">
            <v>YLR348C</v>
          </cell>
          <cell r="N1747" t="str">
            <v>rt5142</v>
          </cell>
        </row>
        <row r="1748">
          <cell r="K1748" t="str">
            <v>YLR348C</v>
          </cell>
          <cell r="N1748" t="str">
            <v>rt5142</v>
          </cell>
        </row>
        <row r="1749">
          <cell r="K1749" t="str">
            <v>YER053C</v>
          </cell>
          <cell r="N1749" t="str">
            <v>rt0521</v>
          </cell>
        </row>
        <row r="1750">
          <cell r="K1750" t="str">
            <v>YER053C</v>
          </cell>
          <cell r="N1750" t="str">
            <v>rt0521</v>
          </cell>
        </row>
        <row r="1751">
          <cell r="K1751" t="str">
            <v>YKL087C</v>
          </cell>
          <cell r="N1751" t="str">
            <v/>
          </cell>
        </row>
        <row r="1752">
          <cell r="K1752" t="str">
            <v>YKL087C</v>
          </cell>
          <cell r="N1752" t="str">
            <v/>
          </cell>
        </row>
        <row r="1753">
          <cell r="K1753" t="str">
            <v>YAL039C</v>
          </cell>
          <cell r="N1753" t="str">
            <v/>
          </cell>
        </row>
        <row r="1754">
          <cell r="K1754" t="str">
            <v>YAL039C</v>
          </cell>
          <cell r="N1754" t="str">
            <v/>
          </cell>
        </row>
        <row r="1755">
          <cell r="K1755" t="str">
            <v>YBR022W</v>
          </cell>
          <cell r="N1755" t="str">
            <v/>
          </cell>
        </row>
        <row r="1756">
          <cell r="K1756" t="str">
            <v>YBR022W</v>
          </cell>
          <cell r="N1756" t="str">
            <v/>
          </cell>
        </row>
        <row r="1757">
          <cell r="K1757" t="str">
            <v>YMR087W</v>
          </cell>
          <cell r="N1757" t="str">
            <v/>
          </cell>
        </row>
        <row r="1758">
          <cell r="K1758" t="str">
            <v>YMR087W</v>
          </cell>
          <cell r="N1758" t="str">
            <v/>
          </cell>
        </row>
        <row r="1759">
          <cell r="K1759" t="str">
            <v>YBR046C</v>
          </cell>
          <cell r="N1759" t="str">
            <v/>
          </cell>
        </row>
        <row r="1760">
          <cell r="K1760" t="str">
            <v>YBR046C</v>
          </cell>
          <cell r="N1760" t="str">
            <v/>
          </cell>
        </row>
        <row r="1761">
          <cell r="K1761" t="str">
            <v>YDR352W</v>
          </cell>
          <cell r="N1761" t="str">
            <v/>
          </cell>
        </row>
        <row r="1762">
          <cell r="K1762" t="str">
            <v>YDR352W</v>
          </cell>
          <cell r="N1762" t="str">
            <v/>
          </cell>
        </row>
        <row r="1763">
          <cell r="K1763" t="str">
            <v>YDR352W</v>
          </cell>
          <cell r="N1763" t="str">
            <v/>
          </cell>
        </row>
        <row r="1764">
          <cell r="K1764" t="str">
            <v>YDR352W</v>
          </cell>
          <cell r="N1764" t="str">
            <v/>
          </cell>
        </row>
        <row r="1765">
          <cell r="K1765" t="str">
            <v>YDR352W</v>
          </cell>
          <cell r="N1765" t="str">
            <v/>
          </cell>
        </row>
        <row r="1766">
          <cell r="K1766" t="str">
            <v>YDR352W</v>
          </cell>
          <cell r="N1766" t="str">
            <v/>
          </cell>
        </row>
        <row r="1767">
          <cell r="K1767" t="str">
            <v>YBR235W</v>
          </cell>
          <cell r="N1767" t="str">
            <v/>
          </cell>
        </row>
        <row r="1768">
          <cell r="K1768" t="str">
            <v>YBR235W</v>
          </cell>
          <cell r="N1768" t="str">
            <v/>
          </cell>
        </row>
        <row r="1769">
          <cell r="K1769" t="str">
            <v>YEL031W</v>
          </cell>
          <cell r="N1769" t="str">
            <v/>
          </cell>
        </row>
        <row r="1770">
          <cell r="K1770" t="str">
            <v>YEL031W</v>
          </cell>
          <cell r="N1770" t="str">
            <v/>
          </cell>
        </row>
        <row r="1771">
          <cell r="K1771" t="str">
            <v>YER010C</v>
          </cell>
          <cell r="N1771" t="str">
            <v>rt7226</v>
          </cell>
        </row>
        <row r="1772">
          <cell r="K1772" t="str">
            <v>YER163C</v>
          </cell>
          <cell r="N1772" t="str">
            <v/>
          </cell>
        </row>
        <row r="1773">
          <cell r="K1773" t="str">
            <v>YIL023C</v>
          </cell>
          <cell r="N1773" t="str">
            <v/>
          </cell>
        </row>
        <row r="1774">
          <cell r="K1774" t="str">
            <v>YIL023C</v>
          </cell>
          <cell r="N1774" t="str">
            <v/>
          </cell>
        </row>
        <row r="1775">
          <cell r="K1775" t="str">
            <v>YKL215C</v>
          </cell>
          <cell r="N1775" t="str">
            <v>rt6960</v>
          </cell>
        </row>
        <row r="1776">
          <cell r="K1776" t="str">
            <v>YFR044C</v>
          </cell>
          <cell r="N1776" t="str">
            <v/>
          </cell>
        </row>
        <row r="1777">
          <cell r="K1777" t="str">
            <v>YDL024C</v>
          </cell>
          <cell r="N1777" t="str">
            <v>rt2517</v>
          </cell>
        </row>
        <row r="1778">
          <cell r="K1778" t="str">
            <v>YDL024C</v>
          </cell>
          <cell r="N1778" t="str">
            <v>rt2517</v>
          </cell>
        </row>
        <row r="1779">
          <cell r="K1779" t="str">
            <v>YDR039C</v>
          </cell>
          <cell r="N1779" t="str">
            <v/>
          </cell>
        </row>
        <row r="1780">
          <cell r="K1780" t="str">
            <v>YDR040C</v>
          </cell>
          <cell r="N1780" t="str">
            <v/>
          </cell>
        </row>
        <row r="1781">
          <cell r="K1781" t="str">
            <v>YDR038C</v>
          </cell>
          <cell r="N1781" t="str">
            <v/>
          </cell>
        </row>
        <row r="1782">
          <cell r="K1782" t="str">
            <v>YDR248C</v>
          </cell>
          <cell r="N1782" t="str">
            <v>rt8291</v>
          </cell>
        </row>
        <row r="1783">
          <cell r="K1783" t="str">
            <v>YJR069C</v>
          </cell>
          <cell r="N1783" t="str">
            <v>rt5532</v>
          </cell>
        </row>
        <row r="1784">
          <cell r="K1784" t="str">
            <v>YJR069C</v>
          </cell>
          <cell r="N1784" t="str">
            <v>rt5532</v>
          </cell>
        </row>
        <row r="1785">
          <cell r="K1785" t="str">
            <v>YJR069C</v>
          </cell>
          <cell r="N1785" t="str">
            <v>rt5532</v>
          </cell>
        </row>
        <row r="1786">
          <cell r="K1786" t="str">
            <v>YLR239C</v>
          </cell>
          <cell r="N1786" t="str">
            <v/>
          </cell>
        </row>
        <row r="1787">
          <cell r="K1787" t="str">
            <v>YLR239C</v>
          </cell>
          <cell r="N1787" t="str">
            <v/>
          </cell>
        </row>
        <row r="1788">
          <cell r="K1788" t="str">
            <v>YLR239C</v>
          </cell>
          <cell r="N1788" t="str">
            <v/>
          </cell>
        </row>
        <row r="1789">
          <cell r="K1789" t="str">
            <v>YLR239C</v>
          </cell>
          <cell r="N1789" t="str">
            <v/>
          </cell>
        </row>
        <row r="1790">
          <cell r="K1790" t="str">
            <v>YMR110C</v>
          </cell>
          <cell r="N1790" t="str">
            <v>rt7955</v>
          </cell>
        </row>
        <row r="1791">
          <cell r="K1791" t="str">
            <v>YMR110C</v>
          </cell>
          <cell r="N1791" t="str">
            <v>rt7955</v>
          </cell>
        </row>
        <row r="1792">
          <cell r="K1792" t="str">
            <v>YMR110C</v>
          </cell>
          <cell r="N1792" t="str">
            <v>rt7955</v>
          </cell>
        </row>
        <row r="1793">
          <cell r="K1793" t="str">
            <v>YOR196C</v>
          </cell>
          <cell r="N1793" t="str">
            <v/>
          </cell>
        </row>
        <row r="1794">
          <cell r="K1794" t="str">
            <v>YOR196C</v>
          </cell>
          <cell r="N1794" t="str">
            <v/>
          </cell>
        </row>
        <row r="1795">
          <cell r="K1795" t="str">
            <v>YPL060W</v>
          </cell>
          <cell r="N1795" t="str">
            <v/>
          </cell>
        </row>
        <row r="1796">
          <cell r="K1796" t="str">
            <v>YPL060W</v>
          </cell>
          <cell r="N1796" t="str">
            <v/>
          </cell>
        </row>
        <row r="1797">
          <cell r="K1797" t="str">
            <v>YOR334W</v>
          </cell>
          <cell r="N1797" t="str">
            <v/>
          </cell>
        </row>
        <row r="1798">
          <cell r="K1798" t="str">
            <v>YOR334W</v>
          </cell>
          <cell r="N1798" t="str">
            <v/>
          </cell>
        </row>
        <row r="1799">
          <cell r="K1799" t="str">
            <v>YPR127W</v>
          </cell>
          <cell r="N1799" t="str">
            <v>rt3182</v>
          </cell>
        </row>
        <row r="1800">
          <cell r="K1800" t="str">
            <v>YPR127W</v>
          </cell>
          <cell r="N1800" t="str">
            <v>rt3182</v>
          </cell>
        </row>
        <row r="1801">
          <cell r="K1801" t="str">
            <v>YOR161C</v>
          </cell>
          <cell r="N1801" t="str">
            <v/>
          </cell>
        </row>
        <row r="1802">
          <cell r="K1802" t="str">
            <v>YOR161C</v>
          </cell>
          <cell r="N1802" t="str">
            <v/>
          </cell>
        </row>
        <row r="1803">
          <cell r="K1803" t="str">
            <v>YDR452W</v>
          </cell>
          <cell r="N1803" t="str">
            <v/>
          </cell>
        </row>
        <row r="1804">
          <cell r="K1804" t="str">
            <v>YOL122C</v>
          </cell>
          <cell r="N1804" t="str">
            <v/>
          </cell>
        </row>
        <row r="1805">
          <cell r="K1805" t="str">
            <v>YOL122C</v>
          </cell>
          <cell r="N1805" t="str">
            <v/>
          </cell>
        </row>
        <row r="1806">
          <cell r="K1806" t="str">
            <v>YOL122C</v>
          </cell>
          <cell r="N1806" t="str">
            <v/>
          </cell>
        </row>
        <row r="1807">
          <cell r="K1807" t="str">
            <v>YOL122C</v>
          </cell>
          <cell r="N1807" t="str">
            <v/>
          </cell>
        </row>
        <row r="1808">
          <cell r="K1808" t="str">
            <v>YGR191W</v>
          </cell>
          <cell r="N1808" t="str">
            <v/>
          </cell>
        </row>
        <row r="1809">
          <cell r="K1809" t="str">
            <v>YGR191W</v>
          </cell>
          <cell r="N1809" t="str">
            <v/>
          </cell>
        </row>
        <row r="1810">
          <cell r="K1810" t="str">
            <v>YLR130C</v>
          </cell>
          <cell r="N1810" t="str">
            <v/>
          </cell>
        </row>
        <row r="1811">
          <cell r="K1811" t="str">
            <v>YLR130C</v>
          </cell>
          <cell r="N1811" t="str">
            <v/>
          </cell>
        </row>
        <row r="1812">
          <cell r="K1812" t="str">
            <v>YGL255W</v>
          </cell>
          <cell r="N1812" t="str">
            <v/>
          </cell>
        </row>
        <row r="1813">
          <cell r="K1813" t="str">
            <v>YGL255W</v>
          </cell>
          <cell r="N1813" t="str">
            <v/>
          </cell>
        </row>
        <row r="1814">
          <cell r="K1814" t="str">
            <v>YGR191W</v>
          </cell>
          <cell r="N1814" t="str">
            <v/>
          </cell>
        </row>
        <row r="1815">
          <cell r="K1815" t="str">
            <v>YGR191W</v>
          </cell>
          <cell r="N1815" t="str">
            <v/>
          </cell>
        </row>
        <row r="1816">
          <cell r="K1816" t="str">
            <v>YOL130W</v>
          </cell>
          <cell r="N1816" t="str">
            <v/>
          </cell>
        </row>
        <row r="1817">
          <cell r="K1817" t="str">
            <v>YOL130W</v>
          </cell>
          <cell r="N1817" t="str">
            <v/>
          </cell>
        </row>
        <row r="1818">
          <cell r="K1818" t="str">
            <v>YBL011W</v>
          </cell>
          <cell r="N1818" t="str">
            <v>rt7067</v>
          </cell>
        </row>
        <row r="1819">
          <cell r="K1819" t="str">
            <v>YBL011W</v>
          </cell>
          <cell r="N1819" t="str">
            <v>rt7067</v>
          </cell>
        </row>
        <row r="1820">
          <cell r="K1820" t="str">
            <v>YOR175C</v>
          </cell>
          <cell r="N1820" t="str">
            <v>rt7662</v>
          </cell>
        </row>
        <row r="1821">
          <cell r="K1821" t="str">
            <v>YDL052C</v>
          </cell>
          <cell r="N1821" t="str">
            <v>rt2059</v>
          </cell>
        </row>
        <row r="1822">
          <cell r="K1822" t="str">
            <v>YKR089C</v>
          </cell>
          <cell r="N1822" t="str">
            <v/>
          </cell>
        </row>
        <row r="1823">
          <cell r="K1823" t="str">
            <v>YOR081C</v>
          </cell>
          <cell r="N1823" t="str">
            <v>rt1378</v>
          </cell>
        </row>
        <row r="1824">
          <cell r="K1824" t="str">
            <v>YDL052C</v>
          </cell>
          <cell r="N1824" t="str">
            <v>rt2059</v>
          </cell>
        </row>
        <row r="1825">
          <cell r="K1825" t="str">
            <v>YHR123W</v>
          </cell>
          <cell r="N1825" t="str">
            <v>rt2983</v>
          </cell>
        </row>
        <row r="1826">
          <cell r="K1826" t="str">
            <v>YNL130C</v>
          </cell>
          <cell r="N1826" t="str">
            <v>rt0720</v>
          </cell>
        </row>
        <row r="1827">
          <cell r="K1827" t="str">
            <v>YHR123W</v>
          </cell>
          <cell r="N1827" t="str">
            <v>rt2983</v>
          </cell>
        </row>
        <row r="1828">
          <cell r="K1828" t="str">
            <v>YBR029C</v>
          </cell>
          <cell r="N1828" t="str">
            <v>rt4513</v>
          </cell>
        </row>
        <row r="1829">
          <cell r="K1829" t="str">
            <v>YER026C</v>
          </cell>
          <cell r="N1829" t="str">
            <v>rt3215</v>
          </cell>
        </row>
        <row r="1830">
          <cell r="K1830" t="str">
            <v>YPR113W</v>
          </cell>
          <cell r="N1830" t="str">
            <v>rt6753</v>
          </cell>
        </row>
        <row r="1831">
          <cell r="K1831" t="str">
            <v>YCL004W</v>
          </cell>
          <cell r="N1831" t="str">
            <v>rt4228</v>
          </cell>
        </row>
        <row r="1832">
          <cell r="K1832" t="str">
            <v>YHR100C</v>
          </cell>
          <cell r="N1832" t="str">
            <v>rt2532</v>
          </cell>
        </row>
        <row r="1833">
          <cell r="K1833" t="str">
            <v>YDL142C</v>
          </cell>
          <cell r="N1833" t="str">
            <v>rt8047</v>
          </cell>
        </row>
        <row r="1834">
          <cell r="K1834" t="str">
            <v>YPR140W</v>
          </cell>
          <cell r="N1834" t="str">
            <v>rt8106</v>
          </cell>
        </row>
        <row r="1835">
          <cell r="K1835" t="str">
            <v>YPR140W</v>
          </cell>
          <cell r="N1835" t="str">
            <v>rt8106</v>
          </cell>
        </row>
        <row r="1836">
          <cell r="K1836" t="str">
            <v>YPR140W</v>
          </cell>
          <cell r="N1836" t="str">
            <v>rt8106</v>
          </cell>
        </row>
        <row r="1837">
          <cell r="K1837" t="str">
            <v>YPR140W</v>
          </cell>
          <cell r="N1837" t="str">
            <v>rt8106</v>
          </cell>
        </row>
        <row r="1838">
          <cell r="K1838" t="str">
            <v>YMR165C</v>
          </cell>
          <cell r="N1838" t="str">
            <v>rt4117</v>
          </cell>
        </row>
        <row r="1839">
          <cell r="K1839" t="str">
            <v>YDR284C</v>
          </cell>
          <cell r="N1839" t="str">
            <v>rt4719</v>
          </cell>
        </row>
        <row r="1840">
          <cell r="K1840" t="str">
            <v>YDR503C</v>
          </cell>
          <cell r="N1840" t="str">
            <v/>
          </cell>
        </row>
        <row r="1841">
          <cell r="K1841" t="str">
            <v>YOR081C</v>
          </cell>
          <cell r="N1841" t="str">
            <v>rt1378</v>
          </cell>
        </row>
        <row r="1842">
          <cell r="K1842" t="str">
            <v>YBR204C</v>
          </cell>
          <cell r="N1842" t="str">
            <v/>
          </cell>
        </row>
        <row r="1843">
          <cell r="K1843" t="str">
            <v>YKR089C</v>
          </cell>
          <cell r="N1843" t="str">
            <v/>
          </cell>
        </row>
        <row r="1844">
          <cell r="K1844" t="str">
            <v>YCR068W</v>
          </cell>
          <cell r="N1844" t="str">
            <v>rt0632</v>
          </cell>
        </row>
        <row r="1845">
          <cell r="K1845" t="str">
            <v>YMR313C</v>
          </cell>
          <cell r="N1845" t="str">
            <v/>
          </cell>
        </row>
        <row r="1846">
          <cell r="K1846" t="str">
            <v>YMR313C</v>
          </cell>
          <cell r="N1846" t="str">
            <v/>
          </cell>
        </row>
        <row r="1847">
          <cell r="K1847" t="str">
            <v>YDR058C</v>
          </cell>
          <cell r="N1847" t="str">
            <v>rt5949</v>
          </cell>
        </row>
        <row r="1848">
          <cell r="K1848" t="str">
            <v>YKL094W</v>
          </cell>
          <cell r="N1848" t="str">
            <v>rt1360</v>
          </cell>
        </row>
        <row r="1849">
          <cell r="K1849" t="str">
            <v>YOR311C</v>
          </cell>
          <cell r="N1849" t="str">
            <v>rt1788</v>
          </cell>
        </row>
        <row r="1850">
          <cell r="K1850" t="str">
            <v>YDR284C</v>
          </cell>
          <cell r="N1850" t="str">
            <v>rt4719</v>
          </cell>
        </row>
        <row r="1851">
          <cell r="K1851" t="str">
            <v>YDR503C</v>
          </cell>
          <cell r="N1851" t="str">
            <v/>
          </cell>
        </row>
        <row r="1852">
          <cell r="K1852" t="str">
            <v>YDR284C</v>
          </cell>
          <cell r="N1852" t="str">
            <v>rt4719</v>
          </cell>
        </row>
        <row r="1853">
          <cell r="K1853" t="str">
            <v>YER037W</v>
          </cell>
          <cell r="N1853" t="str">
            <v/>
          </cell>
        </row>
        <row r="1854">
          <cell r="K1854" t="str">
            <v>YDR503C</v>
          </cell>
          <cell r="N1854" t="str">
            <v/>
          </cell>
        </row>
        <row r="1855">
          <cell r="K1855" t="str">
            <v>YNR008W</v>
          </cell>
          <cell r="N1855" t="str">
            <v>rt8109</v>
          </cell>
        </row>
        <row r="1856">
          <cell r="K1856" t="str">
            <v>YNR008W</v>
          </cell>
          <cell r="N1856" t="str">
            <v>rt8109</v>
          </cell>
        </row>
        <row r="1857">
          <cell r="K1857" t="str">
            <v>YNR008W</v>
          </cell>
          <cell r="N1857" t="str">
            <v>rt8109</v>
          </cell>
        </row>
        <row r="1858">
          <cell r="K1858" t="str">
            <v>YNR008W</v>
          </cell>
          <cell r="N1858" t="str">
            <v>rt8109</v>
          </cell>
        </row>
        <row r="1859">
          <cell r="K1859" t="str">
            <v>YNL169C</v>
          </cell>
          <cell r="N1859" t="str">
            <v>rt6186</v>
          </cell>
        </row>
        <row r="1860">
          <cell r="K1860" t="str">
            <v>YGR170W</v>
          </cell>
          <cell r="N1860" t="str">
            <v>rt3078</v>
          </cell>
        </row>
        <row r="1861">
          <cell r="K1861" t="str">
            <v>YGR170W</v>
          </cell>
          <cell r="N1861" t="str">
            <v>rt3078</v>
          </cell>
        </row>
        <row r="1862">
          <cell r="K1862" t="str">
            <v>YGR157W</v>
          </cell>
          <cell r="N1862" t="str">
            <v>rt2279</v>
          </cell>
        </row>
        <row r="1863">
          <cell r="K1863" t="str">
            <v>YJR073C</v>
          </cell>
          <cell r="N1863" t="str">
            <v>rt4380</v>
          </cell>
        </row>
        <row r="1864">
          <cell r="K1864" t="str">
            <v>YJR073C</v>
          </cell>
          <cell r="N1864" t="str">
            <v>rt4380</v>
          </cell>
        </row>
        <row r="1865">
          <cell r="K1865" t="str">
            <v>YMR313C</v>
          </cell>
          <cell r="N1865" t="str">
            <v/>
          </cell>
        </row>
        <row r="1866">
          <cell r="K1866" t="str">
            <v>YKR089C</v>
          </cell>
          <cell r="N1866" t="str">
            <v/>
          </cell>
        </row>
        <row r="1867">
          <cell r="K1867" t="str">
            <v>YKR089C</v>
          </cell>
          <cell r="N1867" t="str">
            <v/>
          </cell>
        </row>
        <row r="1868">
          <cell r="K1868" t="str">
            <v>YGR110W</v>
          </cell>
          <cell r="N1868" t="str">
            <v/>
          </cell>
        </row>
        <row r="1869">
          <cell r="K1869" t="str">
            <v>YGR110W</v>
          </cell>
          <cell r="N1869" t="str">
            <v/>
          </cell>
        </row>
        <row r="1870">
          <cell r="K1870" t="str">
            <v>YMR008C</v>
          </cell>
          <cell r="N1870" t="str">
            <v>rt4017</v>
          </cell>
        </row>
        <row r="1871">
          <cell r="K1871" t="str">
            <v>YML059C</v>
          </cell>
          <cell r="N1871" t="str">
            <v>rt5941</v>
          </cell>
        </row>
        <row r="1872">
          <cell r="K1872" t="str">
            <v>YMR008C</v>
          </cell>
          <cell r="N1872" t="str">
            <v>rt4017</v>
          </cell>
        </row>
        <row r="1873">
          <cell r="K1873" t="str">
            <v>YMR006C</v>
          </cell>
          <cell r="N1873" t="str">
            <v/>
          </cell>
        </row>
        <row r="1874">
          <cell r="K1874" t="str">
            <v>YOL011W</v>
          </cell>
          <cell r="N1874" t="str">
            <v/>
          </cell>
        </row>
        <row r="1875">
          <cell r="K1875" t="str">
            <v>YOL011W</v>
          </cell>
          <cell r="N1875" t="str">
            <v/>
          </cell>
        </row>
        <row r="1876">
          <cell r="K1876" t="str">
            <v>YMR006C</v>
          </cell>
          <cell r="N1876" t="str">
            <v/>
          </cell>
        </row>
        <row r="1877">
          <cell r="K1877" t="str">
            <v>YMR008C</v>
          </cell>
          <cell r="N1877" t="str">
            <v>rt4017</v>
          </cell>
        </row>
        <row r="1878">
          <cell r="K1878" t="str">
            <v>YML059C</v>
          </cell>
          <cell r="N1878" t="str">
            <v>rt5941</v>
          </cell>
        </row>
        <row r="1879">
          <cell r="K1879" t="str">
            <v>YMR008C</v>
          </cell>
          <cell r="N1879" t="str">
            <v>rt4017</v>
          </cell>
        </row>
        <row r="1880">
          <cell r="K1880" t="str">
            <v>YMR006C</v>
          </cell>
          <cell r="N1880" t="str">
            <v/>
          </cell>
        </row>
        <row r="1881">
          <cell r="K1881" t="str">
            <v>YOL011W</v>
          </cell>
          <cell r="N1881" t="str">
            <v/>
          </cell>
        </row>
        <row r="1882">
          <cell r="K1882" t="str">
            <v>YOL011W</v>
          </cell>
          <cell r="N1882" t="str">
            <v/>
          </cell>
        </row>
        <row r="1883">
          <cell r="K1883" t="str">
            <v>YMR006C</v>
          </cell>
          <cell r="N1883" t="str">
            <v/>
          </cell>
        </row>
        <row r="1884">
          <cell r="K1884" t="str">
            <v>YPL268W</v>
          </cell>
          <cell r="N1884" t="str">
            <v>rt4487</v>
          </cell>
        </row>
        <row r="1885">
          <cell r="K1885" t="str">
            <v>YPL268W</v>
          </cell>
          <cell r="N1885" t="str">
            <v>rt4487</v>
          </cell>
        </row>
        <row r="1886">
          <cell r="K1886" t="str">
            <v>YPL206C</v>
          </cell>
          <cell r="N1886" t="str">
            <v>rt3355</v>
          </cell>
        </row>
        <row r="1887">
          <cell r="K1887" t="str">
            <v>YKR031C</v>
          </cell>
          <cell r="N1887" t="str">
            <v>rt5655</v>
          </cell>
        </row>
        <row r="1888">
          <cell r="K1888" t="str">
            <v>YNL106C</v>
          </cell>
          <cell r="N1888" t="str">
            <v>rt7049</v>
          </cell>
        </row>
        <row r="1889">
          <cell r="K1889" t="str">
            <v>YOR109W</v>
          </cell>
          <cell r="N1889" t="str">
            <v>rt7001</v>
          </cell>
        </row>
        <row r="1890">
          <cell r="K1890" t="str">
            <v>YNL106C</v>
          </cell>
          <cell r="N1890" t="str">
            <v>rt7049</v>
          </cell>
        </row>
        <row r="1891">
          <cell r="K1891" t="str">
            <v>YOR109W</v>
          </cell>
          <cell r="N1891" t="str">
            <v>rt7001</v>
          </cell>
        </row>
        <row r="1892">
          <cell r="K1892" t="str">
            <v>YJR110W</v>
          </cell>
          <cell r="N1892" t="str">
            <v>rt6512</v>
          </cell>
        </row>
        <row r="1893">
          <cell r="K1893" t="str">
            <v>YNL106C</v>
          </cell>
          <cell r="N1893" t="str">
            <v>rt7049</v>
          </cell>
        </row>
        <row r="1894">
          <cell r="K1894" t="str">
            <v>YOR109W</v>
          </cell>
          <cell r="N1894" t="str">
            <v>rt7001</v>
          </cell>
        </row>
        <row r="1895">
          <cell r="K1895" t="str">
            <v>YNL106C</v>
          </cell>
          <cell r="N1895" t="str">
            <v>rt7049</v>
          </cell>
        </row>
        <row r="1896">
          <cell r="K1896" t="str">
            <v>YOR109W</v>
          </cell>
          <cell r="N1896" t="str">
            <v>rt7001</v>
          </cell>
        </row>
        <row r="1897">
          <cell r="K1897" t="str">
            <v>YBR042C</v>
          </cell>
          <cell r="N1897" t="str">
            <v>rt1153</v>
          </cell>
        </row>
        <row r="1898">
          <cell r="K1898" t="str">
            <v>YLR305C</v>
          </cell>
          <cell r="N1898" t="str">
            <v>rt6791</v>
          </cell>
        </row>
        <row r="1899">
          <cell r="K1899" t="str">
            <v>YNL267W</v>
          </cell>
          <cell r="N1899" t="str">
            <v>rt1414</v>
          </cell>
        </row>
        <row r="1900">
          <cell r="K1900" t="str">
            <v>YNL106C</v>
          </cell>
          <cell r="N1900" t="str">
            <v>rt7049</v>
          </cell>
        </row>
        <row r="1901">
          <cell r="K1901" t="str">
            <v>YOR109W</v>
          </cell>
          <cell r="N1901" t="str">
            <v>rt7001</v>
          </cell>
        </row>
        <row r="1902">
          <cell r="K1902" t="str">
            <v>YIL002C</v>
          </cell>
          <cell r="N1902" t="str">
            <v>rt7177</v>
          </cell>
        </row>
        <row r="1903">
          <cell r="K1903" t="str">
            <v>YNL106C</v>
          </cell>
          <cell r="N1903" t="str">
            <v>rt7049</v>
          </cell>
        </row>
        <row r="1904">
          <cell r="K1904" t="str">
            <v>YOR109W</v>
          </cell>
          <cell r="N1904" t="str">
            <v>rt7001</v>
          </cell>
        </row>
        <row r="1905">
          <cell r="K1905" t="str">
            <v>YIL002C</v>
          </cell>
          <cell r="N1905" t="str">
            <v>rt7177</v>
          </cell>
        </row>
        <row r="1906">
          <cell r="K1906" t="str">
            <v>YOL065C</v>
          </cell>
          <cell r="N1906" t="str">
            <v/>
          </cell>
        </row>
        <row r="1907">
          <cell r="K1907" t="str">
            <v>PI35P2REGCPLX</v>
          </cell>
          <cell r="N1907" t="str">
            <v/>
          </cell>
        </row>
        <row r="1908">
          <cell r="K1908" t="str">
            <v>YNL106C</v>
          </cell>
          <cell r="N1908" t="str">
            <v>rt7049</v>
          </cell>
        </row>
        <row r="1909">
          <cell r="K1909" t="str">
            <v>YOR109W</v>
          </cell>
          <cell r="N1909" t="str">
            <v>rt7001</v>
          </cell>
        </row>
        <row r="1910">
          <cell r="K1910" t="str">
            <v>YNL106C</v>
          </cell>
          <cell r="N1910" t="str">
            <v>rt7049</v>
          </cell>
        </row>
        <row r="1911">
          <cell r="K1911" t="str">
            <v>YOR109W</v>
          </cell>
          <cell r="N1911" t="str">
            <v>rt7001</v>
          </cell>
        </row>
        <row r="1912">
          <cell r="K1912" t="str">
            <v>YDR072C</v>
          </cell>
          <cell r="N1912" t="str">
            <v>rt4804</v>
          </cell>
        </row>
        <row r="1913">
          <cell r="K1913" t="str">
            <v>YIL048W</v>
          </cell>
          <cell r="N1913" t="str">
            <v/>
          </cell>
        </row>
        <row r="1914">
          <cell r="K1914" t="str">
            <v>YIL048W</v>
          </cell>
          <cell r="N1914" t="str">
            <v/>
          </cell>
        </row>
        <row r="1915">
          <cell r="K1915" t="str">
            <v>YMR162C</v>
          </cell>
          <cell r="N1915" t="str">
            <v/>
          </cell>
        </row>
        <row r="1916">
          <cell r="K1916" t="str">
            <v>YMR162C</v>
          </cell>
          <cell r="N1916" t="str">
            <v/>
          </cell>
        </row>
        <row r="1917">
          <cell r="K1917" t="str">
            <v>YAL026C</v>
          </cell>
          <cell r="N1917" t="str">
            <v>rt4312</v>
          </cell>
        </row>
        <row r="1918">
          <cell r="K1918" t="str">
            <v>YAL026C</v>
          </cell>
          <cell r="N1918" t="str">
            <v>rt4312</v>
          </cell>
        </row>
        <row r="1919">
          <cell r="K1919" t="str">
            <v>YIL134W</v>
          </cell>
          <cell r="N1919" t="str">
            <v>rt5791</v>
          </cell>
        </row>
        <row r="1920">
          <cell r="K1920" t="str">
            <v>YIL134W</v>
          </cell>
          <cell r="N1920" t="str">
            <v>rt5791</v>
          </cell>
        </row>
        <row r="1921">
          <cell r="K1921" t="str">
            <v>RER2NUS1</v>
          </cell>
          <cell r="N1921" t="str">
            <v/>
          </cell>
        </row>
        <row r="1922">
          <cell r="K1922" t="str">
            <v>RER2NUS1</v>
          </cell>
          <cell r="N1922" t="str">
            <v/>
          </cell>
        </row>
        <row r="1923">
          <cell r="K1923" t="str">
            <v>RER2NUS1</v>
          </cell>
          <cell r="N1923" t="str">
            <v/>
          </cell>
        </row>
        <row r="1924">
          <cell r="K1924" t="str">
            <v>RER2NUS1</v>
          </cell>
          <cell r="N1924" t="str">
            <v/>
          </cell>
        </row>
        <row r="1925">
          <cell r="K1925" t="str">
            <v>RER2NUS1</v>
          </cell>
          <cell r="N1925" t="str">
            <v/>
          </cell>
        </row>
        <row r="1926">
          <cell r="K1926" t="str">
            <v>RER2NUS1</v>
          </cell>
          <cell r="N1926" t="str">
            <v/>
          </cell>
        </row>
        <row r="1927">
          <cell r="K1927" t="str">
            <v>RER2NUS1</v>
          </cell>
          <cell r="N1927" t="str">
            <v/>
          </cell>
        </row>
        <row r="1928">
          <cell r="K1928" t="str">
            <v>RER2NUS1</v>
          </cell>
          <cell r="N1928" t="str">
            <v/>
          </cell>
        </row>
        <row r="1929">
          <cell r="K1929" t="str">
            <v>RER2NUS1</v>
          </cell>
          <cell r="N1929" t="str">
            <v/>
          </cell>
        </row>
        <row r="1930">
          <cell r="K1930" t="str">
            <v>RER2NUS1</v>
          </cell>
          <cell r="N1930" t="str">
            <v/>
          </cell>
        </row>
        <row r="1931">
          <cell r="K1931" t="str">
            <v>RER2NUS1</v>
          </cell>
          <cell r="N1931" t="str">
            <v/>
          </cell>
        </row>
        <row r="1932">
          <cell r="K1932" t="str">
            <v>RER2NUS1</v>
          </cell>
          <cell r="N1932" t="str">
            <v/>
          </cell>
        </row>
        <row r="1933">
          <cell r="K1933" t="str">
            <v>RER2NUS1</v>
          </cell>
          <cell r="N1933" t="str">
            <v/>
          </cell>
        </row>
        <row r="1934">
          <cell r="K1934" t="str">
            <v>RER2NUS1</v>
          </cell>
          <cell r="N1934" t="str">
            <v/>
          </cell>
        </row>
        <row r="1935">
          <cell r="K1935" t="str">
            <v>RER2NUS1</v>
          </cell>
          <cell r="N1935" t="str">
            <v/>
          </cell>
        </row>
        <row r="1936">
          <cell r="K1936" t="str">
            <v>RER2NUS1</v>
          </cell>
          <cell r="N1936" t="str">
            <v/>
          </cell>
        </row>
        <row r="1937">
          <cell r="K1937" t="str">
            <v>RER2NUS1</v>
          </cell>
          <cell r="N1937" t="str">
            <v/>
          </cell>
        </row>
        <row r="1938">
          <cell r="K1938" t="str">
            <v>RER2NUS1</v>
          </cell>
          <cell r="N1938" t="str">
            <v/>
          </cell>
        </row>
        <row r="1939">
          <cell r="K1939" t="str">
            <v>RER2NUS1</v>
          </cell>
          <cell r="N1939" t="str">
            <v/>
          </cell>
        </row>
        <row r="1940">
          <cell r="K1940" t="str">
            <v>YCL064C</v>
          </cell>
          <cell r="N1940" t="str">
            <v/>
          </cell>
        </row>
        <row r="1941">
          <cell r="K1941" t="str">
            <v>YDL182W</v>
          </cell>
          <cell r="N1941" t="str">
            <v/>
          </cell>
        </row>
        <row r="1942">
          <cell r="K1942" t="str">
            <v>YKL132C</v>
          </cell>
          <cell r="N1942" t="str">
            <v/>
          </cell>
        </row>
        <row r="1943">
          <cell r="K1943" t="str">
            <v>YBL091C</v>
          </cell>
          <cell r="N1943" t="str">
            <v/>
          </cell>
        </row>
        <row r="1944">
          <cell r="K1944" t="str">
            <v>YLR244C</v>
          </cell>
          <cell r="N1944" t="str">
            <v/>
          </cell>
        </row>
        <row r="1945">
          <cell r="K1945" t="str">
            <v>UTR4ADI1</v>
          </cell>
          <cell r="N1945" t="str">
            <v/>
          </cell>
        </row>
        <row r="1946">
          <cell r="K1946" t="str">
            <v>YMR108W</v>
          </cell>
          <cell r="N1946" t="str">
            <v>rt7317</v>
          </cell>
        </row>
        <row r="1947">
          <cell r="K1947" t="str">
            <v>ILV26</v>
          </cell>
          <cell r="N1947" t="str">
            <v/>
          </cell>
        </row>
        <row r="1948">
          <cell r="K1948" t="str">
            <v>COQCPLX</v>
          </cell>
          <cell r="N1948" t="str">
            <v/>
          </cell>
        </row>
        <row r="1949">
          <cell r="K1949" t="str">
            <v>COQCPLX</v>
          </cell>
          <cell r="N1949" t="str">
            <v/>
          </cell>
        </row>
        <row r="1950">
          <cell r="K1950" t="str">
            <v>YNL104C_c</v>
          </cell>
          <cell r="N1950" t="str">
            <v/>
          </cell>
        </row>
        <row r="1951">
          <cell r="K1951" t="str">
            <v>YNL104C_m</v>
          </cell>
          <cell r="N1951" t="str">
            <v/>
          </cell>
        </row>
        <row r="1952">
          <cell r="K1952" t="str">
            <v>YDR539W</v>
          </cell>
          <cell r="N1952" t="str">
            <v/>
          </cell>
        </row>
        <row r="1953">
          <cell r="K1953" t="str">
            <v>YDR538W</v>
          </cell>
          <cell r="N1953" t="str">
            <v/>
          </cell>
        </row>
        <row r="1954">
          <cell r="K1954" t="str">
            <v>YMR108W</v>
          </cell>
          <cell r="N1954" t="str">
            <v>rt7317</v>
          </cell>
        </row>
        <row r="1955">
          <cell r="K1955" t="str">
            <v>ILV26</v>
          </cell>
          <cell r="N1955" t="str">
            <v/>
          </cell>
        </row>
        <row r="1956">
          <cell r="K1956" t="str">
            <v>YNR016C</v>
          </cell>
          <cell r="N1956" t="str">
            <v/>
          </cell>
        </row>
        <row r="1957">
          <cell r="K1957" t="str">
            <v>YAL054C_c</v>
          </cell>
          <cell r="N1957" t="str">
            <v/>
          </cell>
        </row>
        <row r="1958">
          <cell r="K1958" t="str">
            <v>TPS12TSL1</v>
          </cell>
          <cell r="N1958" t="str">
            <v/>
          </cell>
        </row>
        <row r="1959">
          <cell r="K1959" t="str">
            <v>TPS123</v>
          </cell>
          <cell r="N1959" t="str">
            <v/>
          </cell>
        </row>
        <row r="1960">
          <cell r="K1960" t="str">
            <v>TRP23</v>
          </cell>
          <cell r="N1960" t="str">
            <v/>
          </cell>
        </row>
        <row r="1961">
          <cell r="K1961" t="str">
            <v>YLR027C_c</v>
          </cell>
          <cell r="N1961" t="str">
            <v/>
          </cell>
        </row>
        <row r="1962">
          <cell r="K1962" t="str">
            <v>YLR027C_c</v>
          </cell>
          <cell r="N1962" t="str">
            <v/>
          </cell>
        </row>
        <row r="1963">
          <cell r="K1963" t="str">
            <v>YLR027C_x</v>
          </cell>
          <cell r="N1963" t="str">
            <v/>
          </cell>
        </row>
        <row r="1964">
          <cell r="K1964" t="str">
            <v>YLR027C_x</v>
          </cell>
          <cell r="N1964" t="str">
            <v/>
          </cell>
        </row>
        <row r="1965">
          <cell r="K1965" t="str">
            <v>ATPSCPLX</v>
          </cell>
          <cell r="N1965" t="str">
            <v/>
          </cell>
        </row>
        <row r="1966">
          <cell r="K1966" t="str">
            <v>YGL008C</v>
          </cell>
          <cell r="N1966" t="str">
            <v>rt7216</v>
          </cell>
        </row>
        <row r="1967">
          <cell r="K1967" t="str">
            <v>YPL036W</v>
          </cell>
          <cell r="N1967" t="str">
            <v>rt5249</v>
          </cell>
        </row>
        <row r="1968">
          <cell r="K1968" t="str">
            <v>RAM12</v>
          </cell>
          <cell r="N1968" t="str">
            <v/>
          </cell>
        </row>
        <row r="1969">
          <cell r="K1969" t="str">
            <v>RAM12</v>
          </cell>
          <cell r="N1969" t="str">
            <v/>
          </cell>
        </row>
        <row r="1970">
          <cell r="K1970" t="str">
            <v>CPA12</v>
          </cell>
          <cell r="N1970" t="str">
            <v/>
          </cell>
        </row>
        <row r="1971">
          <cell r="K1971" t="str">
            <v>YJL130C</v>
          </cell>
          <cell r="N1971" t="str">
            <v>rt8313</v>
          </cell>
        </row>
        <row r="1972">
          <cell r="K1972" t="str">
            <v>YML042W_x</v>
          </cell>
          <cell r="N1972" t="str">
            <v/>
          </cell>
        </row>
        <row r="1973">
          <cell r="K1973" t="str">
            <v>YML042W_mm</v>
          </cell>
          <cell r="N1973" t="str">
            <v/>
          </cell>
        </row>
        <row r="1974">
          <cell r="K1974" t="str">
            <v>LIP1LAG1</v>
          </cell>
          <cell r="N1974" t="str">
            <v/>
          </cell>
        </row>
        <row r="1975">
          <cell r="K1975" t="str">
            <v>LIP1LAC1</v>
          </cell>
          <cell r="N1975" t="str">
            <v/>
          </cell>
        </row>
        <row r="1976">
          <cell r="K1976" t="str">
            <v>LIP1LAG1</v>
          </cell>
          <cell r="N1976" t="str">
            <v/>
          </cell>
        </row>
        <row r="1977">
          <cell r="K1977" t="str">
            <v>LIP1LAC1</v>
          </cell>
          <cell r="N1977" t="str">
            <v/>
          </cell>
        </row>
        <row r="1978">
          <cell r="K1978" t="str">
            <v>LIP1LAG1</v>
          </cell>
          <cell r="N1978" t="str">
            <v/>
          </cell>
        </row>
        <row r="1979">
          <cell r="K1979" t="str">
            <v>LIP1LAC1</v>
          </cell>
          <cell r="N1979" t="str">
            <v/>
          </cell>
        </row>
        <row r="1980">
          <cell r="K1980" t="str">
            <v>LIP1LAG1</v>
          </cell>
          <cell r="N1980" t="str">
            <v/>
          </cell>
        </row>
        <row r="1981">
          <cell r="K1981" t="str">
            <v>LIP1LAC1</v>
          </cell>
          <cell r="N1981" t="str">
            <v/>
          </cell>
        </row>
        <row r="1982">
          <cell r="K1982" t="str">
            <v>YLR304C_m</v>
          </cell>
          <cell r="N1982" t="str">
            <v/>
          </cell>
        </row>
        <row r="1983">
          <cell r="K1983" t="str">
            <v>YLR304C_m</v>
          </cell>
          <cell r="N1983" t="str">
            <v/>
          </cell>
        </row>
        <row r="1984">
          <cell r="K1984" t="str">
            <v>YLR304C_m</v>
          </cell>
          <cell r="N1984" t="str">
            <v/>
          </cell>
        </row>
        <row r="1985">
          <cell r="K1985" t="str">
            <v>YLR304C_m</v>
          </cell>
          <cell r="N1985" t="str">
            <v/>
          </cell>
        </row>
        <row r="1986">
          <cell r="K1986" t="str">
            <v>YLR304C_c</v>
          </cell>
          <cell r="N1986" t="str">
            <v/>
          </cell>
        </row>
        <row r="1987">
          <cell r="K1987" t="str">
            <v>YLR304C_c</v>
          </cell>
          <cell r="N1987" t="str">
            <v/>
          </cell>
        </row>
        <row r="1988">
          <cell r="K1988" t="str">
            <v>ERG11NCP1</v>
          </cell>
          <cell r="N1988" t="str">
            <v/>
          </cell>
        </row>
        <row r="1989">
          <cell r="K1989" t="str">
            <v>YOR236W_c</v>
          </cell>
          <cell r="N1989" t="str">
            <v/>
          </cell>
        </row>
        <row r="1990">
          <cell r="K1990" t="str">
            <v>YOR236W_m</v>
          </cell>
          <cell r="N1990" t="str">
            <v/>
          </cell>
        </row>
        <row r="1991">
          <cell r="K1991" t="str">
            <v>PMT12</v>
          </cell>
          <cell r="N1991" t="str">
            <v/>
          </cell>
        </row>
        <row r="1992">
          <cell r="K1992" t="str">
            <v>PMT13</v>
          </cell>
          <cell r="N1992" t="str">
            <v/>
          </cell>
        </row>
        <row r="1993">
          <cell r="K1993" t="str">
            <v>PMT4</v>
          </cell>
          <cell r="N1993" t="str">
            <v/>
          </cell>
        </row>
        <row r="1994">
          <cell r="K1994" t="str">
            <v>PMT35</v>
          </cell>
          <cell r="N1994" t="str">
            <v/>
          </cell>
        </row>
        <row r="1995">
          <cell r="K1995" t="str">
            <v>CCP1CYC7</v>
          </cell>
          <cell r="N1995" t="str">
            <v/>
          </cell>
        </row>
        <row r="1996">
          <cell r="K1996" t="str">
            <v>CCP1CYC1</v>
          </cell>
          <cell r="N1996" t="str">
            <v/>
          </cell>
        </row>
        <row r="1997">
          <cell r="K1997" t="str">
            <v>FECOORCPLX1</v>
          </cell>
          <cell r="N1997" t="str">
            <v/>
          </cell>
        </row>
        <row r="1998">
          <cell r="K1998" t="str">
            <v>FECOORCPLX2</v>
          </cell>
          <cell r="N1998" t="str">
            <v/>
          </cell>
        </row>
        <row r="1999">
          <cell r="K1999" t="str">
            <v>FECRq6CPLX</v>
          </cell>
          <cell r="N1999" t="str">
            <v/>
          </cell>
        </row>
        <row r="2000">
          <cell r="K2000" t="str">
            <v>YPL262W_m</v>
          </cell>
          <cell r="N2000" t="str">
            <v/>
          </cell>
        </row>
        <row r="2001">
          <cell r="K2001" t="str">
            <v>YPL262W_m</v>
          </cell>
          <cell r="N2001" t="str">
            <v/>
          </cell>
        </row>
        <row r="2002">
          <cell r="K2002" t="str">
            <v>YPL262W_c</v>
          </cell>
          <cell r="N2002" t="str">
            <v/>
          </cell>
        </row>
        <row r="2003">
          <cell r="K2003" t="str">
            <v>YPL262W_c</v>
          </cell>
          <cell r="N2003" t="str">
            <v/>
          </cell>
        </row>
        <row r="2004">
          <cell r="K2004" t="str">
            <v>GLR1GRX1</v>
          </cell>
          <cell r="N2004" t="str">
            <v/>
          </cell>
        </row>
        <row r="2005">
          <cell r="K2005" t="str">
            <v>GLR1GRX3</v>
          </cell>
          <cell r="N2005" t="str">
            <v/>
          </cell>
        </row>
        <row r="2006">
          <cell r="K2006" t="str">
            <v>GLR1GRX2</v>
          </cell>
          <cell r="N2006" t="str">
            <v/>
          </cell>
        </row>
        <row r="2007">
          <cell r="K2007" t="str">
            <v>GLR1GRX4</v>
          </cell>
          <cell r="N2007" t="str">
            <v/>
          </cell>
        </row>
        <row r="2008">
          <cell r="K2008" t="str">
            <v>GLR1GRX5</v>
          </cell>
          <cell r="N2008" t="str">
            <v/>
          </cell>
        </row>
        <row r="2009">
          <cell r="K2009" t="str">
            <v>YOL059W_c</v>
          </cell>
          <cell r="N2009" t="str">
            <v/>
          </cell>
        </row>
        <row r="2010">
          <cell r="K2010" t="str">
            <v>YOL059W_m</v>
          </cell>
          <cell r="N2010" t="str">
            <v/>
          </cell>
        </row>
        <row r="2011">
          <cell r="K2011" t="str">
            <v>GCV123LPD1</v>
          </cell>
          <cell r="N2011" t="str">
            <v/>
          </cell>
        </row>
        <row r="2012">
          <cell r="K2012" t="str">
            <v>GSY1GLG2</v>
          </cell>
          <cell r="N2012" t="str">
            <v/>
          </cell>
        </row>
        <row r="2013">
          <cell r="K2013" t="str">
            <v>GSY1GLG1</v>
          </cell>
          <cell r="N2013" t="str">
            <v/>
          </cell>
        </row>
        <row r="2014">
          <cell r="K2014" t="str">
            <v>GSY2GLG2</v>
          </cell>
          <cell r="N2014" t="str">
            <v/>
          </cell>
        </row>
        <row r="2015">
          <cell r="K2015" t="str">
            <v>GSY2GLG1</v>
          </cell>
          <cell r="N2015" t="str">
            <v/>
          </cell>
        </row>
        <row r="2016">
          <cell r="K2016" t="str">
            <v>GPI14PBN1</v>
          </cell>
          <cell r="N2016" t="str">
            <v/>
          </cell>
        </row>
        <row r="2017">
          <cell r="K2017" t="str">
            <v>GPI14PBN1</v>
          </cell>
          <cell r="N2017" t="str">
            <v/>
          </cell>
        </row>
        <row r="2018">
          <cell r="K2018" t="str">
            <v>COX15ARH1YAH1</v>
          </cell>
          <cell r="N2018" t="str">
            <v/>
          </cell>
        </row>
        <row r="2019">
          <cell r="K2019" t="str">
            <v>COQCPLX</v>
          </cell>
          <cell r="N2019" t="str">
            <v/>
          </cell>
        </row>
        <row r="2020">
          <cell r="K2020" t="str">
            <v>YPR033C_c</v>
          </cell>
          <cell r="N2020" t="str">
            <v/>
          </cell>
        </row>
        <row r="2021">
          <cell r="K2021" t="str">
            <v>YPR033C_m</v>
          </cell>
          <cell r="N2021" t="str">
            <v/>
          </cell>
        </row>
        <row r="2022">
          <cell r="K2022" t="str">
            <v>YDR453C</v>
          </cell>
          <cell r="N2022" t="str">
            <v/>
          </cell>
        </row>
        <row r="2023">
          <cell r="K2023" t="str">
            <v>YLR109W</v>
          </cell>
          <cell r="N2023" t="str">
            <v>rt4894</v>
          </cell>
        </row>
        <row r="2024">
          <cell r="K2024" t="str">
            <v>IDH12</v>
          </cell>
          <cell r="N2024" t="str">
            <v/>
          </cell>
        </row>
        <row r="2025">
          <cell r="K2025" t="str">
            <v>LSC12</v>
          </cell>
          <cell r="N2025" t="str">
            <v/>
          </cell>
        </row>
        <row r="2026">
          <cell r="K2026" t="str">
            <v>LYS25</v>
          </cell>
          <cell r="N2026" t="str">
            <v/>
          </cell>
        </row>
        <row r="2027">
          <cell r="K2027" t="str">
            <v>YLR027C_c</v>
          </cell>
          <cell r="N2027" t="str">
            <v/>
          </cell>
        </row>
        <row r="2028">
          <cell r="K2028" t="str">
            <v>YLR027C_x</v>
          </cell>
          <cell r="N2028" t="str">
            <v/>
          </cell>
        </row>
        <row r="2029">
          <cell r="K2029" t="str">
            <v>YNL045W_c</v>
          </cell>
          <cell r="N2029" t="str">
            <v/>
          </cell>
        </row>
        <row r="2030">
          <cell r="K2030" t="str">
            <v>YNL045W_c</v>
          </cell>
          <cell r="N2030" t="str">
            <v/>
          </cell>
        </row>
        <row r="2031">
          <cell r="K2031" t="str">
            <v>YNL045W_n</v>
          </cell>
          <cell r="N2031" t="str">
            <v/>
          </cell>
        </row>
        <row r="2032">
          <cell r="K2032" t="str">
            <v>YNL045W_n</v>
          </cell>
          <cell r="N2032" t="str">
            <v/>
          </cell>
        </row>
        <row r="2033">
          <cell r="K2033" t="str">
            <v>YNL045W_c</v>
          </cell>
          <cell r="N2033" t="str">
            <v/>
          </cell>
        </row>
        <row r="2034">
          <cell r="K2034" t="str">
            <v>YNL045W_c</v>
          </cell>
          <cell r="N2034" t="str">
            <v/>
          </cell>
        </row>
        <row r="2035">
          <cell r="K2035" t="str">
            <v>YNL045W_n</v>
          </cell>
          <cell r="N2035" t="str">
            <v/>
          </cell>
        </row>
        <row r="2036">
          <cell r="K2036" t="str">
            <v>YNL045W_n</v>
          </cell>
          <cell r="N2036" t="str">
            <v/>
          </cell>
        </row>
        <row r="2037">
          <cell r="K2037" t="str">
            <v>YNL045W_c</v>
          </cell>
          <cell r="N2037" t="str">
            <v/>
          </cell>
        </row>
        <row r="2038">
          <cell r="K2038" t="str">
            <v>YNL045W_c</v>
          </cell>
          <cell r="N2038" t="str">
            <v/>
          </cell>
        </row>
        <row r="2039">
          <cell r="K2039" t="str">
            <v>YNL045W_n</v>
          </cell>
          <cell r="N2039" t="str">
            <v/>
          </cell>
        </row>
        <row r="2040">
          <cell r="K2040" t="str">
            <v>YNL045W_n</v>
          </cell>
          <cell r="N2040" t="str">
            <v/>
          </cell>
        </row>
        <row r="2041">
          <cell r="K2041" t="str">
            <v>ACP1MCT1</v>
          </cell>
          <cell r="N2041" t="str">
            <v/>
          </cell>
        </row>
        <row r="2042">
          <cell r="K2042" t="str">
            <v>ACP1MCT1</v>
          </cell>
          <cell r="N2042" t="str">
            <v/>
          </cell>
        </row>
        <row r="2043">
          <cell r="K2043" t="str">
            <v>DIT12</v>
          </cell>
          <cell r="N2043" t="str">
            <v/>
          </cell>
        </row>
        <row r="2044">
          <cell r="K2044" t="str">
            <v>YHR074W_c</v>
          </cell>
          <cell r="N2044" t="str">
            <v/>
          </cell>
        </row>
        <row r="2045">
          <cell r="K2045" t="str">
            <v>YHR074W_n</v>
          </cell>
          <cell r="N2045" t="str">
            <v/>
          </cell>
        </row>
        <row r="2046">
          <cell r="K2046" t="str">
            <v>YHR074W_n</v>
          </cell>
          <cell r="N2046" t="str">
            <v/>
          </cell>
        </row>
        <row r="2047">
          <cell r="K2047" t="str">
            <v>YLR328W_c</v>
          </cell>
          <cell r="N2047" t="str">
            <v/>
          </cell>
        </row>
        <row r="2048">
          <cell r="K2048" t="str">
            <v>YLR328W_n</v>
          </cell>
          <cell r="N2048" t="str">
            <v/>
          </cell>
        </row>
        <row r="2049">
          <cell r="K2049" t="str">
            <v>YLR328W_c</v>
          </cell>
          <cell r="N2049" t="str">
            <v/>
          </cell>
        </row>
        <row r="2050">
          <cell r="K2050" t="str">
            <v>FRS12</v>
          </cell>
          <cell r="N2050" t="str">
            <v/>
          </cell>
        </row>
        <row r="2051">
          <cell r="K2051" t="str">
            <v>MET16TRX2</v>
          </cell>
          <cell r="N2051" t="str">
            <v/>
          </cell>
        </row>
        <row r="2052">
          <cell r="K2052" t="str">
            <v>MET16TRX1</v>
          </cell>
          <cell r="N2052" t="str">
            <v/>
          </cell>
        </row>
        <row r="2053">
          <cell r="K2053" t="str">
            <v>PFK12</v>
          </cell>
          <cell r="N2053" t="str">
            <v/>
          </cell>
        </row>
        <row r="2054">
          <cell r="K2054" t="str">
            <v>CAB3SIS2VHS3</v>
          </cell>
          <cell r="N2054" t="str">
            <v/>
          </cell>
        </row>
        <row r="2055">
          <cell r="K2055" t="str">
            <v>CAB3SIS2</v>
          </cell>
          <cell r="N2055" t="str">
            <v/>
          </cell>
        </row>
        <row r="2056">
          <cell r="K2056" t="str">
            <v>CAB3VHS3</v>
          </cell>
          <cell r="N2056" t="str">
            <v/>
          </cell>
        </row>
        <row r="2057">
          <cell r="K2057" t="str">
            <v>PRS12</v>
          </cell>
          <cell r="N2057" t="str">
            <v/>
          </cell>
        </row>
        <row r="2058">
          <cell r="K2058" t="str">
            <v>PRS13</v>
          </cell>
          <cell r="N2058" t="str">
            <v/>
          </cell>
        </row>
        <row r="2059">
          <cell r="K2059" t="str">
            <v>PRS14</v>
          </cell>
          <cell r="N2059" t="str">
            <v/>
          </cell>
        </row>
        <row r="2060">
          <cell r="K2060" t="str">
            <v>PRS25</v>
          </cell>
          <cell r="N2060" t="str">
            <v/>
          </cell>
        </row>
        <row r="2061">
          <cell r="K2061" t="str">
            <v>PRS45</v>
          </cell>
          <cell r="N2061" t="str">
            <v/>
          </cell>
        </row>
        <row r="2062">
          <cell r="K2062" t="str">
            <v>YLR209C</v>
          </cell>
          <cell r="N2062" t="str">
            <v>rt7908</v>
          </cell>
        </row>
        <row r="2063">
          <cell r="K2063" t="str">
            <v>PDHCPLX</v>
          </cell>
          <cell r="N2063" t="str">
            <v/>
          </cell>
        </row>
        <row r="2064">
          <cell r="K2064" t="str">
            <v>COQCPLX</v>
          </cell>
          <cell r="N2064" t="str">
            <v/>
          </cell>
        </row>
        <row r="2065">
          <cell r="K2065" t="str">
            <v>YDR236C_r</v>
          </cell>
          <cell r="N2065" t="str">
            <v/>
          </cell>
        </row>
        <row r="2066">
          <cell r="K2066" t="str">
            <v>YDR236C_mm</v>
          </cell>
          <cell r="N2066" t="str">
            <v/>
          </cell>
        </row>
        <row r="2067">
          <cell r="K2067" t="str">
            <v>COQCPLX</v>
          </cell>
          <cell r="N2067" t="str">
            <v/>
          </cell>
        </row>
        <row r="2068">
          <cell r="K2068" t="str">
            <v>NATACPLX</v>
          </cell>
          <cell r="N2068" t="str">
            <v/>
          </cell>
        </row>
        <row r="2069">
          <cell r="K2069" t="str">
            <v>LCB12</v>
          </cell>
          <cell r="N2069" t="str">
            <v/>
          </cell>
        </row>
        <row r="2070">
          <cell r="K2070" t="str">
            <v>LCB12TSC3</v>
          </cell>
          <cell r="N2070" t="str">
            <v/>
          </cell>
        </row>
        <row r="2071">
          <cell r="K2071" t="str">
            <v>SDH9234</v>
          </cell>
          <cell r="N2071" t="str">
            <v/>
          </cell>
        </row>
        <row r="2072">
          <cell r="K2072" t="str">
            <v>SDH9234</v>
          </cell>
          <cell r="N2072" t="str">
            <v/>
          </cell>
        </row>
        <row r="2073">
          <cell r="K2073" t="str">
            <v>SDH1234</v>
          </cell>
          <cell r="N2073" t="str">
            <v/>
          </cell>
        </row>
        <row r="2074">
          <cell r="K2074" t="str">
            <v>SDH1234</v>
          </cell>
          <cell r="N2074" t="str">
            <v/>
          </cell>
        </row>
        <row r="2075">
          <cell r="K2075" t="str">
            <v>LSC12</v>
          </cell>
          <cell r="N2075" t="str">
            <v/>
          </cell>
        </row>
        <row r="2076">
          <cell r="K2076" t="str">
            <v>MET510</v>
          </cell>
          <cell r="N2076" t="str">
            <v/>
          </cell>
        </row>
        <row r="2077">
          <cell r="K2077" t="str">
            <v>YIL010W</v>
          </cell>
          <cell r="N2077" t="str">
            <v>rt6669</v>
          </cell>
        </row>
        <row r="2078">
          <cell r="K2078" t="str">
            <v>YDR353W</v>
          </cell>
          <cell r="N2078" t="str">
            <v>rt1320</v>
          </cell>
        </row>
        <row r="2079">
          <cell r="K2079" t="str">
            <v>YHR106W</v>
          </cell>
          <cell r="N2079" t="str">
            <v/>
          </cell>
        </row>
        <row r="2080">
          <cell r="K2080" t="str">
            <v>TPS12TSL1</v>
          </cell>
          <cell r="N2080" t="str">
            <v/>
          </cell>
        </row>
        <row r="2081">
          <cell r="K2081" t="str">
            <v>TPS123</v>
          </cell>
          <cell r="N2081" t="str">
            <v/>
          </cell>
        </row>
        <row r="2082">
          <cell r="K2082" t="str">
            <v>YLR027C_x</v>
          </cell>
          <cell r="N2082" t="str">
            <v/>
          </cell>
        </row>
        <row r="2083">
          <cell r="K2083" t="str">
            <v>YKL024C_c</v>
          </cell>
          <cell r="N2083" t="str">
            <v/>
          </cell>
        </row>
        <row r="2084">
          <cell r="K2084" t="str">
            <v>YKL024C_n</v>
          </cell>
          <cell r="N2084" t="str">
            <v/>
          </cell>
        </row>
        <row r="2085">
          <cell r="K2085" t="str">
            <v>YKL024C_c</v>
          </cell>
          <cell r="N2085" t="str">
            <v/>
          </cell>
        </row>
        <row r="2086">
          <cell r="K2086" t="str">
            <v>YKL024C_n</v>
          </cell>
          <cell r="N2086" t="str">
            <v/>
          </cell>
        </row>
        <row r="2087">
          <cell r="K2087" t="str">
            <v>YGR094W_c</v>
          </cell>
          <cell r="N2087" t="str">
            <v/>
          </cell>
        </row>
        <row r="2088">
          <cell r="K2088" t="str">
            <v>YGR094W_m</v>
          </cell>
          <cell r="N2088" t="str">
            <v/>
          </cell>
        </row>
        <row r="2089">
          <cell r="K2089" t="str">
            <v>FAS12</v>
          </cell>
          <cell r="N2089" t="str">
            <v/>
          </cell>
        </row>
        <row r="2090">
          <cell r="K2090" t="str">
            <v>FAS12</v>
          </cell>
          <cell r="N2090" t="str">
            <v/>
          </cell>
        </row>
        <row r="2091">
          <cell r="K2091" t="str">
            <v>ACP1CEM1</v>
          </cell>
          <cell r="N2091" t="str">
            <v/>
          </cell>
        </row>
        <row r="2092">
          <cell r="K2092" t="str">
            <v>ACP1CEM1</v>
          </cell>
          <cell r="N2092" t="str">
            <v/>
          </cell>
        </row>
        <row r="2093">
          <cell r="K2093" t="str">
            <v>ACP1CEM1</v>
          </cell>
          <cell r="N2093" t="str">
            <v/>
          </cell>
        </row>
        <row r="2094">
          <cell r="K2094" t="str">
            <v>YLR304C_c</v>
          </cell>
          <cell r="N2094" t="str">
            <v/>
          </cell>
        </row>
        <row r="2095">
          <cell r="K2095" t="str">
            <v>YLR304C_c</v>
          </cell>
          <cell r="N2095" t="str">
            <v/>
          </cell>
        </row>
        <row r="2096">
          <cell r="K2096" t="str">
            <v>ATPASECPLXgm</v>
          </cell>
          <cell r="N2096" t="str">
            <v/>
          </cell>
        </row>
        <row r="2097">
          <cell r="K2097" t="str">
            <v>ATPASECPLXvm</v>
          </cell>
          <cell r="N2097" t="str">
            <v/>
          </cell>
        </row>
        <row r="2098">
          <cell r="K2098" t="str">
            <v>YKR039W_en</v>
          </cell>
          <cell r="N2098" t="str">
            <v/>
          </cell>
        </row>
        <row r="2099">
          <cell r="K2099" t="str">
            <v>YKR039W_en</v>
          </cell>
          <cell r="N2099" t="str">
            <v/>
          </cell>
        </row>
        <row r="2100">
          <cell r="K2100" t="str">
            <v>YKR039W_en</v>
          </cell>
          <cell r="N2100" t="str">
            <v/>
          </cell>
        </row>
        <row r="2101">
          <cell r="K2101" t="str">
            <v>YKR039W_en</v>
          </cell>
          <cell r="N2101" t="str">
            <v/>
          </cell>
        </row>
        <row r="2102">
          <cell r="K2102" t="str">
            <v>YKR039W_en</v>
          </cell>
          <cell r="N2102" t="str">
            <v/>
          </cell>
        </row>
        <row r="2103">
          <cell r="K2103" t="str">
            <v>YKR039W_en</v>
          </cell>
          <cell r="N2103" t="str">
            <v/>
          </cell>
        </row>
        <row r="2104">
          <cell r="K2104" t="str">
            <v>YKR039W_en</v>
          </cell>
          <cell r="N2104" t="str">
            <v/>
          </cell>
        </row>
        <row r="2105">
          <cell r="K2105" t="str">
            <v>YKR039W_en</v>
          </cell>
          <cell r="N2105" t="str">
            <v/>
          </cell>
        </row>
        <row r="2106">
          <cell r="K2106" t="str">
            <v>YKR039W_en</v>
          </cell>
          <cell r="N2106" t="str">
            <v/>
          </cell>
        </row>
        <row r="2107">
          <cell r="K2107" t="str">
            <v>YKR039W_en</v>
          </cell>
          <cell r="N2107" t="str">
            <v/>
          </cell>
        </row>
        <row r="2108">
          <cell r="K2108" t="str">
            <v>YKR039W_en</v>
          </cell>
          <cell r="N2108" t="str">
            <v/>
          </cell>
        </row>
        <row r="2109">
          <cell r="K2109" t="str">
            <v>YKR039W_en</v>
          </cell>
          <cell r="N2109" t="str">
            <v/>
          </cell>
        </row>
        <row r="2110">
          <cell r="K2110" t="str">
            <v>YKR039W_en</v>
          </cell>
          <cell r="N2110" t="str">
            <v/>
          </cell>
        </row>
        <row r="2111">
          <cell r="K2111" t="str">
            <v>YKR039W_en</v>
          </cell>
          <cell r="N2111" t="str">
            <v/>
          </cell>
        </row>
        <row r="2112">
          <cell r="K2112" t="str">
            <v>YKR039W_en</v>
          </cell>
          <cell r="N2112" t="str">
            <v/>
          </cell>
        </row>
        <row r="2113">
          <cell r="K2113" t="str">
            <v>YKR039W_en</v>
          </cell>
          <cell r="N2113" t="str">
            <v/>
          </cell>
        </row>
        <row r="2114">
          <cell r="K2114" t="str">
            <v>YKR039W_en</v>
          </cell>
          <cell r="N2114" t="str">
            <v/>
          </cell>
        </row>
        <row r="2115">
          <cell r="K2115" t="str">
            <v>YKR039W_en</v>
          </cell>
          <cell r="N2115" t="str">
            <v/>
          </cell>
        </row>
        <row r="2116">
          <cell r="K2116" t="str">
            <v>YKR039W_en</v>
          </cell>
          <cell r="N2116" t="str">
            <v/>
          </cell>
        </row>
        <row r="2117">
          <cell r="K2117" t="str">
            <v>YKR039W_en</v>
          </cell>
          <cell r="N2117" t="str">
            <v/>
          </cell>
        </row>
        <row r="2118">
          <cell r="K2118" t="str">
            <v>YKR039W_en</v>
          </cell>
          <cell r="N2118" t="str">
            <v/>
          </cell>
        </row>
        <row r="2119">
          <cell r="K2119" t="str">
            <v>YKR039W_en</v>
          </cell>
          <cell r="N2119" t="str">
            <v/>
          </cell>
        </row>
        <row r="2120">
          <cell r="K2120" t="str">
            <v>YKR039W_en</v>
          </cell>
          <cell r="N2120" t="str">
            <v/>
          </cell>
        </row>
        <row r="2121">
          <cell r="K2121" t="str">
            <v>YKR039W_en</v>
          </cell>
          <cell r="N2121" t="str">
            <v/>
          </cell>
        </row>
        <row r="2122">
          <cell r="K2122" t="str">
            <v>YKR039W_en</v>
          </cell>
          <cell r="N2122" t="str">
            <v/>
          </cell>
        </row>
        <row r="2123">
          <cell r="K2123" t="str">
            <v>YKR039W_en</v>
          </cell>
          <cell r="N2123" t="str">
            <v/>
          </cell>
        </row>
        <row r="2124">
          <cell r="K2124" t="str">
            <v>YKR039W_en</v>
          </cell>
          <cell r="N2124" t="str">
            <v/>
          </cell>
        </row>
        <row r="2125">
          <cell r="K2125" t="str">
            <v>YKR039W_en</v>
          </cell>
          <cell r="N2125" t="str">
            <v/>
          </cell>
        </row>
        <row r="2126">
          <cell r="K2126" t="str">
            <v>YKR039W_en</v>
          </cell>
          <cell r="N2126" t="str">
            <v/>
          </cell>
        </row>
        <row r="2127">
          <cell r="K2127" t="str">
            <v>YKR039W_en</v>
          </cell>
          <cell r="N2127" t="str">
            <v/>
          </cell>
        </row>
        <row r="2128">
          <cell r="K2128" t="str">
            <v>YKR039W_en</v>
          </cell>
          <cell r="N2128" t="str">
            <v/>
          </cell>
        </row>
        <row r="2129">
          <cell r="K2129" t="str">
            <v>YKR039W_en</v>
          </cell>
          <cell r="N2129" t="str">
            <v/>
          </cell>
        </row>
        <row r="2130">
          <cell r="K2130" t="str">
            <v>YKR039W_en</v>
          </cell>
          <cell r="N2130" t="str">
            <v/>
          </cell>
        </row>
        <row r="2131">
          <cell r="K2131" t="str">
            <v>YKR039W_en</v>
          </cell>
          <cell r="N2131" t="str">
            <v/>
          </cell>
        </row>
        <row r="2132">
          <cell r="K2132" t="str">
            <v>YKR039W_en</v>
          </cell>
          <cell r="N2132" t="str">
            <v/>
          </cell>
        </row>
        <row r="2133">
          <cell r="K2133" t="str">
            <v>YKR039W_en</v>
          </cell>
          <cell r="N2133" t="str">
            <v/>
          </cell>
        </row>
        <row r="2134">
          <cell r="K2134" t="str">
            <v>YKR039W_en</v>
          </cell>
          <cell r="N2134" t="str">
            <v/>
          </cell>
        </row>
        <row r="2135">
          <cell r="K2135" t="str">
            <v>YKR039W_en</v>
          </cell>
          <cell r="N2135" t="str">
            <v/>
          </cell>
        </row>
        <row r="2136">
          <cell r="K2136" t="str">
            <v>YKR039W_en</v>
          </cell>
          <cell r="N2136" t="str">
            <v/>
          </cell>
        </row>
        <row r="2137">
          <cell r="K2137" t="str">
            <v>YKR039W_en</v>
          </cell>
          <cell r="N2137" t="str">
            <v/>
          </cell>
        </row>
        <row r="2138">
          <cell r="K2138" t="str">
            <v>YKR039W_en</v>
          </cell>
          <cell r="N2138" t="str">
            <v/>
          </cell>
        </row>
        <row r="2139">
          <cell r="K2139" t="str">
            <v>YKR039W_en</v>
          </cell>
          <cell r="N2139" t="str">
            <v/>
          </cell>
        </row>
        <row r="2140">
          <cell r="K2140" t="str">
            <v>YKR039W_en</v>
          </cell>
          <cell r="N2140" t="str">
            <v/>
          </cell>
        </row>
        <row r="2141">
          <cell r="K2141" t="str">
            <v>YKR039W_en</v>
          </cell>
          <cell r="N2141" t="str">
            <v/>
          </cell>
        </row>
        <row r="2142">
          <cell r="K2142" t="str">
            <v>YLL052C_en</v>
          </cell>
          <cell r="N2142" t="str">
            <v/>
          </cell>
        </row>
        <row r="2143">
          <cell r="K2143" t="str">
            <v>YLL052C_en</v>
          </cell>
          <cell r="N2143" t="str">
            <v/>
          </cell>
        </row>
        <row r="2144">
          <cell r="K2144" t="str">
            <v>YPR192W_en</v>
          </cell>
          <cell r="N2144" t="str">
            <v/>
          </cell>
        </row>
        <row r="2145">
          <cell r="K2145" t="str">
            <v>YPR192W_en</v>
          </cell>
          <cell r="N2145" t="str">
            <v/>
          </cell>
        </row>
        <row r="2146">
          <cell r="K2146" t="str">
            <v>YBR147W_mm</v>
          </cell>
          <cell r="N2146" t="str">
            <v/>
          </cell>
        </row>
        <row r="2147">
          <cell r="K2147" t="str">
            <v>MPC13</v>
          </cell>
          <cell r="N2147" t="str">
            <v/>
          </cell>
        </row>
        <row r="2148">
          <cell r="K2148" t="str">
            <v>MPC12</v>
          </cell>
          <cell r="N2148" t="str">
            <v/>
          </cell>
        </row>
        <row r="2149">
          <cell r="K2149" t="str">
            <v>PXA12</v>
          </cell>
          <cell r="N2149" t="str">
            <v/>
          </cell>
        </row>
        <row r="2150">
          <cell r="K2150" t="str">
            <v>PXA12</v>
          </cell>
          <cell r="N2150" t="str">
            <v/>
          </cell>
        </row>
        <row r="2151">
          <cell r="K2151" t="str">
            <v>PXA12</v>
          </cell>
          <cell r="N2151" t="str">
            <v/>
          </cell>
        </row>
        <row r="2152">
          <cell r="K2152" t="str">
            <v>PXA12</v>
          </cell>
          <cell r="N2152" t="str">
            <v/>
          </cell>
        </row>
        <row r="2153">
          <cell r="K2153" t="str">
            <v>PXA12</v>
          </cell>
          <cell r="N2153" t="str">
            <v/>
          </cell>
        </row>
        <row r="2154">
          <cell r="K2154" t="str">
            <v>PXA12</v>
          </cell>
          <cell r="N2154" t="str">
            <v/>
          </cell>
        </row>
        <row r="2155">
          <cell r="K2155" t="str">
            <v>PXA12</v>
          </cell>
          <cell r="N2155" t="str">
            <v/>
          </cell>
        </row>
        <row r="2156">
          <cell r="K2156" t="str">
            <v>PXA12</v>
          </cell>
          <cell r="N2156" t="str">
            <v/>
          </cell>
        </row>
        <row r="2157">
          <cell r="K2157" t="str">
            <v>PXA12</v>
          </cell>
          <cell r="N2157" t="str">
            <v/>
          </cell>
        </row>
        <row r="2158">
          <cell r="K2158" t="str">
            <v>PXA12</v>
          </cell>
          <cell r="N2158" t="str">
            <v/>
          </cell>
        </row>
        <row r="2159">
          <cell r="K2159" t="str">
            <v>YBR147W_mm</v>
          </cell>
          <cell r="N2159" t="str">
            <v/>
          </cell>
        </row>
        <row r="2160">
          <cell r="K2160" t="str">
            <v>YKR039W_rm</v>
          </cell>
          <cell r="N2160" t="str">
            <v/>
          </cell>
        </row>
        <row r="2161">
          <cell r="K2161" t="str">
            <v>YKR039W_rm</v>
          </cell>
          <cell r="N2161" t="str">
            <v/>
          </cell>
        </row>
        <row r="2162">
          <cell r="K2162" t="str">
            <v>YBR147W_mm</v>
          </cell>
          <cell r="N2162" t="str">
            <v/>
          </cell>
        </row>
        <row r="2163">
          <cell r="K2163" t="str">
            <v>YLL052C_rm</v>
          </cell>
          <cell r="N2163" t="str">
            <v/>
          </cell>
        </row>
        <row r="2164">
          <cell r="K2164" t="str">
            <v>YLL052C_rm</v>
          </cell>
          <cell r="N2164" t="str">
            <v/>
          </cell>
        </row>
        <row r="2165">
          <cell r="K2165" t="str">
            <v>YPR192W_rm</v>
          </cell>
          <cell r="N2165" t="str">
            <v/>
          </cell>
        </row>
        <row r="2166">
          <cell r="K2166" t="str">
            <v>YPR192W_rm</v>
          </cell>
          <cell r="N2166" t="str">
            <v/>
          </cell>
        </row>
        <row r="2167">
          <cell r="K2167" t="str">
            <v>YLL052C_rm</v>
          </cell>
          <cell r="N2167" t="str">
            <v/>
          </cell>
        </row>
        <row r="2168">
          <cell r="K2168" t="str">
            <v>YLL052C_rm</v>
          </cell>
          <cell r="N2168" t="str">
            <v/>
          </cell>
        </row>
        <row r="2169">
          <cell r="K2169" t="str">
            <v>YPR192W_rm</v>
          </cell>
          <cell r="N2169" t="str">
            <v/>
          </cell>
        </row>
        <row r="2170">
          <cell r="K2170" t="str">
            <v>YPR192W_rm</v>
          </cell>
          <cell r="N2170" t="str">
            <v/>
          </cell>
        </row>
        <row r="2171">
          <cell r="K2171" t="str">
            <v>YKR039W_rm</v>
          </cell>
          <cell r="N2171" t="str">
            <v/>
          </cell>
        </row>
        <row r="2172">
          <cell r="K2172" t="str">
            <v>YKR039W_rm</v>
          </cell>
          <cell r="N2172" t="str">
            <v/>
          </cell>
        </row>
        <row r="2173">
          <cell r="K2173" t="str">
            <v>YLL052C_en</v>
          </cell>
          <cell r="N2173" t="str">
            <v/>
          </cell>
        </row>
        <row r="2174">
          <cell r="K2174" t="str">
            <v>YLL052C_en</v>
          </cell>
          <cell r="N2174" t="str">
            <v/>
          </cell>
        </row>
        <row r="2175">
          <cell r="K2175" t="str">
            <v>YPR192W_en</v>
          </cell>
          <cell r="N2175" t="str">
            <v/>
          </cell>
        </row>
        <row r="2176">
          <cell r="K2176" t="str">
            <v>YPR192W_en</v>
          </cell>
          <cell r="N2176" t="str">
            <v/>
          </cell>
        </row>
        <row r="2177">
          <cell r="K2177" t="str">
            <v>YAL061W_c</v>
          </cell>
          <cell r="N2177" t="str">
            <v/>
          </cell>
        </row>
        <row r="2178">
          <cell r="K2178" t="str">
            <v>YAL061W_c</v>
          </cell>
          <cell r="N2178" t="str">
            <v/>
          </cell>
        </row>
        <row r="2179">
          <cell r="K2179" t="str">
            <v>YAL061W_n</v>
          </cell>
          <cell r="N2179" t="str">
            <v/>
          </cell>
        </row>
        <row r="2180">
          <cell r="K2180" t="str">
            <v>YAL061W_n</v>
          </cell>
          <cell r="N2180" t="str">
            <v/>
          </cell>
        </row>
        <row r="2181">
          <cell r="K2181" t="str">
            <v>ALG1314</v>
          </cell>
          <cell r="N2181" t="str">
            <v/>
          </cell>
        </row>
        <row r="2182">
          <cell r="K2182" t="str">
            <v>ALG1314</v>
          </cell>
          <cell r="N2182" t="str">
            <v/>
          </cell>
        </row>
        <row r="2183">
          <cell r="K2183" t="str">
            <v>YBR147W_vm</v>
          </cell>
          <cell r="N2183" t="str">
            <v/>
          </cell>
        </row>
        <row r="2184">
          <cell r="K2184" t="str">
            <v>YBR147W_vm</v>
          </cell>
          <cell r="N2184" t="str">
            <v/>
          </cell>
        </row>
        <row r="2185">
          <cell r="K2185" t="str">
            <v>YBR147W_vm</v>
          </cell>
          <cell r="N2185" t="str">
            <v/>
          </cell>
        </row>
        <row r="2186">
          <cell r="K2186" t="str">
            <v>YBR147W_vm</v>
          </cell>
          <cell r="N2186" t="str">
            <v/>
          </cell>
        </row>
        <row r="2187">
          <cell r="K2187" t="str">
            <v>YBR147W_vm</v>
          </cell>
          <cell r="N2187" t="str">
            <v/>
          </cell>
        </row>
        <row r="2188">
          <cell r="K2188" t="str">
            <v>YBR147W_vm</v>
          </cell>
          <cell r="N2188" t="str">
            <v/>
          </cell>
        </row>
        <row r="2189">
          <cell r="K2189" t="str">
            <v>DUG23</v>
          </cell>
          <cell r="N2189" t="str">
            <v/>
          </cell>
        </row>
        <row r="2190">
          <cell r="K2190" t="str">
            <v>YKR067W_rm</v>
          </cell>
          <cell r="N2190" t="str">
            <v/>
          </cell>
        </row>
        <row r="2191">
          <cell r="K2191" t="str">
            <v>YKR067W_l</v>
          </cell>
          <cell r="N2191" t="str">
            <v/>
          </cell>
        </row>
        <row r="2192">
          <cell r="K2192" t="str">
            <v>YKR067W_rm</v>
          </cell>
          <cell r="N2192" t="str">
            <v/>
          </cell>
        </row>
        <row r="2193">
          <cell r="K2193" t="str">
            <v>YKR067W_l</v>
          </cell>
          <cell r="N2193" t="str">
            <v/>
          </cell>
        </row>
        <row r="2194">
          <cell r="K2194" t="str">
            <v>YIL124W_r</v>
          </cell>
          <cell r="N2194" t="str">
            <v/>
          </cell>
        </row>
        <row r="2195">
          <cell r="K2195" t="str">
            <v>YIL124W_l</v>
          </cell>
          <cell r="N2195" t="str">
            <v/>
          </cell>
        </row>
        <row r="2196">
          <cell r="K2196" t="str">
            <v>YOR245C_rm</v>
          </cell>
          <cell r="N2196" t="str">
            <v/>
          </cell>
        </row>
        <row r="2197">
          <cell r="K2197" t="str">
            <v>YOR245C_l</v>
          </cell>
          <cell r="N2197" t="str">
            <v/>
          </cell>
        </row>
        <row r="2198">
          <cell r="K2198" t="str">
            <v>YER019W_rm</v>
          </cell>
          <cell r="N2198" t="str">
            <v/>
          </cell>
        </row>
        <row r="2199">
          <cell r="K2199" t="str">
            <v>YER019W_rm</v>
          </cell>
          <cell r="N2199" t="str">
            <v/>
          </cell>
        </row>
        <row r="2200">
          <cell r="K2200" t="str">
            <v>YER019W_rm</v>
          </cell>
          <cell r="N2200" t="str">
            <v/>
          </cell>
        </row>
        <row r="2201">
          <cell r="K2201" t="str">
            <v>YER019W_mm</v>
          </cell>
          <cell r="N2201" t="str">
            <v/>
          </cell>
        </row>
        <row r="2202">
          <cell r="K2202" t="str">
            <v>YER019W_mm</v>
          </cell>
          <cell r="N2202" t="str">
            <v/>
          </cell>
        </row>
        <row r="2203">
          <cell r="K2203" t="str">
            <v>YER019W_mm</v>
          </cell>
          <cell r="N2203" t="str">
            <v/>
          </cell>
        </row>
        <row r="2204">
          <cell r="K2204" t="str">
            <v>YKL212W_rm</v>
          </cell>
          <cell r="N2204" t="str">
            <v/>
          </cell>
        </row>
        <row r="2205">
          <cell r="K2205" t="str">
            <v>YKL212W_gm</v>
          </cell>
          <cell r="N2205" t="str">
            <v/>
          </cell>
        </row>
        <row r="2206">
          <cell r="K2206" t="str">
            <v>YKL212W_rm</v>
          </cell>
          <cell r="N2206" t="str">
            <v/>
          </cell>
        </row>
        <row r="2207">
          <cell r="K2207" t="str">
            <v>YKL212W_gm</v>
          </cell>
          <cell r="N2207" t="str">
            <v/>
          </cell>
        </row>
        <row r="2208">
          <cell r="K2208" t="str">
            <v>YJL100W_en</v>
          </cell>
          <cell r="N2208" t="str">
            <v/>
          </cell>
        </row>
        <row r="2209">
          <cell r="K2209" t="str">
            <v>YJL100W_vm</v>
          </cell>
          <cell r="N2209" t="str">
            <v/>
          </cell>
        </row>
        <row r="2210">
          <cell r="K2210" t="str">
            <v>PIK1FRQ1</v>
          </cell>
          <cell r="N2210" t="str">
            <v/>
          </cell>
        </row>
        <row r="2211">
          <cell r="K2211" t="str">
            <v>VPS15VPS34</v>
          </cell>
          <cell r="N2211" t="str">
            <v/>
          </cell>
        </row>
        <row r="2212">
          <cell r="K2212" t="str">
            <v>YDR208W_n</v>
          </cell>
          <cell r="N2212" t="str">
            <v/>
          </cell>
        </row>
        <row r="2213">
          <cell r="K2213" t="str">
            <v>YDR208W_en</v>
          </cell>
          <cell r="N2213" t="str">
            <v/>
          </cell>
        </row>
        <row r="2214">
          <cell r="K2214" t="str">
            <v>VAC14FIG4</v>
          </cell>
          <cell r="N2214" t="str">
            <v/>
          </cell>
        </row>
        <row r="2215">
          <cell r="K2215" t="str">
            <v>KEI1AUR1</v>
          </cell>
          <cell r="N2215" t="str">
            <v/>
          </cell>
        </row>
        <row r="2216">
          <cell r="K2216" t="str">
            <v>CSG2CSH1</v>
          </cell>
          <cell r="N2216" t="str">
            <v/>
          </cell>
        </row>
        <row r="2217">
          <cell r="K2217" t="str">
            <v>CSG2SUR1</v>
          </cell>
          <cell r="N2217" t="str">
            <v/>
          </cell>
        </row>
        <row r="2218">
          <cell r="K2218" t="str">
            <v>KGDCPLX</v>
          </cell>
          <cell r="N2218" t="str">
            <v/>
          </cell>
        </row>
        <row r="2219">
          <cell r="K2219" t="str">
            <v>CIR1AIM45</v>
          </cell>
          <cell r="N2219" t="str">
            <v/>
          </cell>
        </row>
        <row r="2220">
          <cell r="K2220" t="str">
            <v>SNZ1SNO1</v>
          </cell>
          <cell r="N2220" t="str">
            <v/>
          </cell>
        </row>
        <row r="2221">
          <cell r="K2221" t="str">
            <v>SNZ2SNO1</v>
          </cell>
          <cell r="N2221" t="str">
            <v/>
          </cell>
        </row>
        <row r="2222">
          <cell r="K2222" t="str">
            <v>SNZ3SNO1</v>
          </cell>
          <cell r="N2222" t="str">
            <v/>
          </cell>
        </row>
        <row r="2223">
          <cell r="K2223" t="str">
            <v>YEL071W</v>
          </cell>
          <cell r="N2223" t="str">
            <v/>
          </cell>
        </row>
        <row r="2224">
          <cell r="K2224" t="str">
            <v>YDL174C</v>
          </cell>
          <cell r="N2224" t="str">
            <v>rt4960</v>
          </cell>
        </row>
        <row r="2225">
          <cell r="K2225" t="str">
            <v>YDL178W</v>
          </cell>
          <cell r="N2225" t="str">
            <v>rt8275</v>
          </cell>
        </row>
        <row r="2226">
          <cell r="K2226" t="str">
            <v>YML054C</v>
          </cell>
          <cell r="N2226" t="str">
            <v>rt8239</v>
          </cell>
        </row>
        <row r="2227">
          <cell r="K2227" t="str">
            <v/>
          </cell>
          <cell r="N2227" t="str">
            <v/>
          </cell>
        </row>
      </sheetData>
      <sheetData sheetId="24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48CCC-EB3B-CA4D-8D19-198552103AB9}" name="Table1" displayName="Table1" ref="A1:J2309" totalsRowShown="0" headerRowDxfId="33" headerRowBorderDxfId="32" tableBorderDxfId="31">
  <autoFilter ref="A1:J2309" xr:uid="{81648CCC-EB3B-CA4D-8D19-198552103AB9}"/>
  <sortState xmlns:xlrd2="http://schemas.microsoft.com/office/spreadsheetml/2017/richdata2" ref="A2:J2309">
    <sortCondition ref="A1:A2309"/>
  </sortState>
  <tableColumns count="10">
    <tableColumn id="1" xr3:uid="{329D6138-DE51-7444-8075-DECB83651550}" name="id"/>
    <tableColumn id="10" xr3:uid="{68C8F7F9-A07C-344D-92EB-B6756F468EA9}" name="subsystem"/>
    <tableColumn id="2" xr3:uid="{CEF9953D-DC0E-AB4F-9993-AE91D830363F}" name="Flux in SC / glucose uptake ($mmol/mmol\ glc$)"/>
    <tableColumn id="3" xr3:uid="{3F34923E-A50D-E64E-90F4-C2DEBAAD3813}" name="Flux in RT / glucose uptake ($mmol/mmol\ glc$)"/>
    <tableColumn id="4" xr3:uid="{8CC35A91-4D20-BC4B-B911-316F6AA7CD0C}" name="distance from 45-degree line" dataDxfId="30">
      <calculatedColumnFormula>ABS(Table1[[#This Row],[Flux in SC / glucose uptake ($mmol/mmol\ glc$)]]-Table1[[#This Row],[Flux in RT / glucose uptake ($mmol/mmol\ glc$)]])/SQRT(2)</calculatedColumnFormula>
    </tableColumn>
    <tableColumn id="5" xr3:uid="{58A223A6-EC59-BA42-AB71-37687F3CD81F}" name="distance from 45-degree line / max value of all points" dataDxfId="29">
      <calculatedColumnFormula>Table1[[#This Row],[distance from 45-degree line]]/MAX(Table1[[Flux in SC / glucose uptake ($mmol/mmol\ glc$)]:[Flux in RT / glucose uptake ($mmol/mmol\ glc$)]])</calculatedColumnFormula>
    </tableColumn>
    <tableColumn id="6" xr3:uid="{9DA756F7-FE96-A54F-A188-9F92E0DD7335}" name="x rank" dataDxfId="28">
      <calculatedColumnFormula>_xlfn.RANK.AVG(Table1[[#This Row],[Flux in SC / glucose uptake ($mmol/mmol\ glc$)]],Table1[Flux in SC / glucose uptake ($mmol/mmol\ glc$)])</calculatedColumnFormula>
    </tableColumn>
    <tableColumn id="7" xr3:uid="{319A66DD-08C5-5441-8CDA-98372F21B4E9}" name="y rank" dataDxfId="27">
      <calculatedColumnFormula>_xlfn.RANK.AVG(Table1[[#This Row],[Flux in RT / glucose uptake ($mmol/mmol\ glc$)]],Table1[Flux in RT / glucose uptake ($mmol/mmol\ glc$)])</calculatedColumnFormula>
    </tableColumn>
    <tableColumn id="8" xr3:uid="{8B7BBFE8-6D88-7F4B-ACB1-F4022451480C}" name="log(x)" dataDxfId="26">
      <calculatedColumnFormula>LOG(Table1[[#This Row],[Flux in SC / glucose uptake ($mmol/mmol\ glc$)]])</calculatedColumnFormula>
    </tableColumn>
    <tableColumn id="9" xr3:uid="{0A5C2E27-F6C3-DF4B-B4A6-D7903E6A1EE3}" name="log(y)" dataDxfId="25">
      <calculatedColumnFormula>LOG(Table1[[#This Row],[Flux in RT / glucose uptake ($mmol/mmol\ glc$)]])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6049D-FE6D-394C-8347-7E8D13159C70}" name="Table2" displayName="Table2" ref="A1:I593" totalsRowShown="0" headerRowDxfId="24" headerRowBorderDxfId="23" tableBorderDxfId="22">
  <autoFilter ref="A1:I593" xr:uid="{DB86049D-FE6D-394C-8347-7E8D13159C70}"/>
  <sortState xmlns:xlrd2="http://schemas.microsoft.com/office/spreadsheetml/2017/richdata2" ref="A2:D593">
    <sortCondition descending="1" ref="D1:D593"/>
  </sortState>
  <tableColumns count="9">
    <tableColumn id="1" xr3:uid="{04AD49EC-EDC5-3F4B-BAA4-7B1AFF881F53}" name="id"/>
    <tableColumn id="2" xr3:uid="{ADD0AFEA-FC29-1844-AE0A-2085857313F6}" name="Abundance in SC (g protein/g all proteins)"/>
    <tableColumn id="3" xr3:uid="{149F9D95-79F1-4A42-8546-827CAB86F98B}" name="Abundance in RT (g protein/g all proteins)"/>
    <tableColumn id="4" xr3:uid="{52FB120C-AED1-2D4D-86A3-9C4BDCD6531D}" name="distance from 45-degree line" dataDxfId="21">
      <calculatedColumnFormula>ABS(B2-C2)/SQRT(2)</calculatedColumnFormula>
    </tableColumn>
    <tableColumn id="5" xr3:uid="{C688BD76-24F7-6148-9893-C555673886D5}" name="distance from 45-degree line / max value of all points" dataDxfId="20">
      <calculatedColumnFormula>Table2[[#This Row],[distance from 45-degree line]]/MAX(Table2[[Abundance in SC (g protein/g all proteins)]:[Abundance in RT (g protein/g all proteins)]])</calculatedColumnFormula>
    </tableColumn>
    <tableColumn id="6" xr3:uid="{A8467ED5-2F40-0D4F-ADAA-C6CB5D4C2A8F}" name="x rank" dataDxfId="19">
      <calculatedColumnFormula>_xlfn.RANK.AVG(Table2[[#This Row],[Abundance in SC (g protein/g all proteins)]],Table2[Abundance in SC (g protein/g all proteins)])</calculatedColumnFormula>
    </tableColumn>
    <tableColumn id="7" xr3:uid="{45E45622-2528-C94C-8541-709CC947A640}" name="y rank" dataDxfId="18">
      <calculatedColumnFormula>_xlfn.RANK.AVG(Table2[[#This Row],[Abundance in RT (g protein/g all proteins)]],Table2[Abundance in RT (g protein/g all proteins)])</calculatedColumnFormula>
    </tableColumn>
    <tableColumn id="8" xr3:uid="{2960CB12-F1BA-FB47-AA5A-5AFAE62C4A50}" name="log(x)" dataDxfId="17">
      <calculatedColumnFormula>LOG(Table2[[#This Row],[Abundance in SC (g protein/g all proteins)]])</calculatedColumnFormula>
    </tableColumn>
    <tableColumn id="9" xr3:uid="{71441429-6EA7-D646-99D3-4D9A9AA77203}" name="log(y)" dataDxfId="16">
      <calculatedColumnFormula>LOG(Table2[[#This Row],[Abundance in RT (g protein/g all proteins)]])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72FFA-7CC0-E846-8E5D-8B916E437979}" name="Table3" displayName="Table3" ref="A1:N282" totalsRowShown="0" headerRowDxfId="15" headerRowBorderDxfId="14" tableBorderDxfId="13">
  <autoFilter ref="A1:N282" xr:uid="{09872FFA-7CC0-E846-8E5D-8B916E437979}"/>
  <sortState xmlns:xlrd2="http://schemas.microsoft.com/office/spreadsheetml/2017/richdata2" ref="A2:N360">
    <sortCondition ref="A1:A360"/>
  </sortState>
  <tableColumns count="14">
    <tableColumn id="1" xr3:uid="{69E9C2E2-52C4-A641-8349-3E58587456ED}" name="id"/>
    <tableColumn id="2" xr3:uid="{8447EFE3-E96E-7145-8C01-5FBB9BF3962F}" name="scRBA $k_{app}$ ($h^{-1}$)"/>
    <tableColumn id="3" xr3:uid="{5EAEDC4B-DD5E-7744-BE4D-C001FF69E421}" name="rtRBA $k_{app}$ ($h^{-1}$)"/>
    <tableColumn id="4" xr3:uid="{5D16D58C-4245-F04F-A8E9-15C9B448B387}" name="log(x)" dataDxfId="12">
      <calculatedColumnFormula>LOG(Table3[[#This Row],[scRBA $k_{app}$ ($h^{-1}$)]])</calculatedColumnFormula>
    </tableColumn>
    <tableColumn id="5" xr3:uid="{CE5FE08B-88AC-BD49-86C8-84E198B8A379}" name="log(y)" dataDxfId="11">
      <calculatedColumnFormula>LOG(Table3[[#This Row],[rtRBA $k_{app}$ ($h^{-1}$)]])</calculatedColumnFormula>
    </tableColumn>
    <tableColumn id="6" xr3:uid="{FAA7EB9B-6B28-E54B-886E-99F51FCB0150}" name="enz" dataDxfId="10">
      <calculatedColumnFormula>_xlfn.TEXTAFTER(Table3[[#This Row],[id]],"-",-1)</calculatedColumnFormula>
    </tableColumn>
    <tableColumn id="7" xr3:uid="{5EBFD9AC-8337-6D44-95FC-D0570462576E}" name="dir" dataDxfId="9">
      <calculatedColumnFormula>_xlfn.TEXTAFTER(_xlfn.TEXTBEFORE(Table3[[#This Row],[id]],"-"&amp;Table3[[#This Row],[enz]]),"_",-1)</calculatedColumnFormula>
    </tableColumn>
    <tableColumn id="8" xr3:uid="{40B5B2B7-B4B1-EB4B-9135-7A93F0605FC9}" name="rxn" dataDxfId="8">
      <calculatedColumnFormula>_xlfn.TEXTBEFORE(Table3[[#This Row],[id]],"_"&amp;Table3[[#This Row],[dir]])</calculatedColumnFormula>
    </tableColumn>
    <tableColumn id="9" xr3:uid="{6D3A169C-046C-F54D-BDC8-D8F97267511C}" name="subsystem" dataDxfId="7">
      <calculatedColumnFormula>_xlfn.XLOOKUP(Table3[[#This Row],[rxn]],Table1[id],Table1[subsystem],"")</calculatedColumnFormula>
    </tableColumn>
    <tableColumn id="10" xr3:uid="{06B0AFB6-1AA5-E242-9964-8D4889BEEC4C}" name="SC enz" dataDxfId="6">
      <calculatedColumnFormula>_xlfn.XLOOKUP(Table3[[#This Row],[enz]],'[1]scRBA (raw)'!$N:$N,'[1]scRBA (raw)'!$K:$K,"")</calculatedColumnFormula>
    </tableColumn>
    <tableColumn id="11" xr3:uid="{38FC9FC6-B652-B144-8A52-F3CDBBF67D42}" name="SC enz abundance" dataDxfId="5">
      <calculatedColumnFormula>_xlfn.XLOOKUP(Table3[[#This Row],[SC enz]],Table2[id],Table2[Abundance in SC (g protein/g all proteins)],"")</calculatedColumnFormula>
    </tableColumn>
    <tableColumn id="12" xr3:uid="{67045DEA-5B83-CB45-B512-223B9DE0F8A5}" name="RT enz abundance" dataDxfId="4">
      <calculatedColumnFormula>_xlfn.XLOOKUP(Table3[[#This Row],[SC enz]],Table2[id],Table2[Abundance in RT (g protein/g all proteins)],"")</calculatedColumnFormula>
    </tableColumn>
    <tableColumn id="13" xr3:uid="{CF92F0AC-2E7B-5F40-8F8B-F97F0670AAF1}" name="dist from 45-degree (RT - SC)" dataDxfId="3">
      <calculatedColumnFormula>Table3[[#This Row],[log(y)]]-Table3[[#This Row],[log(x)]]/SQRT(2)</calculatedColumnFormula>
    </tableColumn>
    <tableColumn id="14" xr3:uid="{D7705588-513C-F34D-9035-F34716A736AC}" name="abs. dist from 45-degree (RT - SC)" dataDxfId="2">
      <calculatedColumnFormula>ABS(Table3[[#This Row],[dist from 45-degree (RT - SC)]])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>
        <v>0</v>
      </c>
      <c r="B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09"/>
  <sheetViews>
    <sheetView tabSelected="1" zoomScale="107" workbookViewId="0">
      <selection activeCell="C6" sqref="C6"/>
    </sheetView>
  </sheetViews>
  <sheetFormatPr baseColWidth="10" defaultColWidth="8.83203125" defaultRowHeight="15" x14ac:dyDescent="0.2"/>
  <cols>
    <col min="2" max="2" width="40.1640625" customWidth="1"/>
    <col min="3" max="3" width="9.1640625" customWidth="1"/>
    <col min="4" max="4" width="9.6640625" customWidth="1"/>
    <col min="5" max="5" width="9" bestFit="1" customWidth="1"/>
    <col min="6" max="6" width="9.6640625" customWidth="1"/>
    <col min="7" max="7" width="9" bestFit="1" customWidth="1"/>
    <col min="8" max="8" width="11.83203125" bestFit="1" customWidth="1"/>
    <col min="9" max="10" width="9" bestFit="1" customWidth="1"/>
    <col min="11" max="11" width="11.6640625" bestFit="1" customWidth="1"/>
    <col min="14" max="15" width="9" bestFit="1" customWidth="1"/>
    <col min="19" max="20" width="9" bestFit="1" customWidth="1"/>
  </cols>
  <sheetData>
    <row r="1" spans="1:20" s="4" customFormat="1" ht="96" x14ac:dyDescent="0.2">
      <c r="A1" s="3" t="s">
        <v>2</v>
      </c>
      <c r="B1" s="3" t="s">
        <v>3112</v>
      </c>
      <c r="C1" s="3" t="s">
        <v>3</v>
      </c>
      <c r="D1" s="3" t="s">
        <v>4</v>
      </c>
      <c r="E1" s="3" t="s">
        <v>3106</v>
      </c>
      <c r="F1" s="3" t="s">
        <v>3107</v>
      </c>
      <c r="G1" s="3" t="s">
        <v>3108</v>
      </c>
      <c r="H1" s="3" t="s">
        <v>3109</v>
      </c>
      <c r="I1" s="3" t="s">
        <v>3110</v>
      </c>
      <c r="J1" s="3" t="s">
        <v>3111</v>
      </c>
      <c r="K1" s="4">
        <f>CORREL(Table1[x rank],Table1[y rank])</f>
        <v>0.86362161836178997</v>
      </c>
      <c r="L1" s="4" t="s">
        <v>3214</v>
      </c>
      <c r="Q1" s="4" t="s">
        <v>3213</v>
      </c>
    </row>
    <row r="2" spans="1:20" x14ac:dyDescent="0.2">
      <c r="A2" t="s">
        <v>5</v>
      </c>
      <c r="B2" t="s">
        <v>3113</v>
      </c>
      <c r="C2">
        <v>0</v>
      </c>
      <c r="D2">
        <v>0</v>
      </c>
      <c r="E2">
        <f>ABS(Table1[[#This Row],[Flux in SC / glucose uptake ($mmol/mmol\ glc$)]]-Table1[[#This Row],[Flux in RT / glucose uptake ($mmol/mmol\ glc$)]])/SQRT(2)</f>
        <v>0</v>
      </c>
      <c r="F2">
        <f>Table1[[#This Row],[distance from 45-degree line]]/MAX(Table1[[Flux in SC / glucose uptake ($mmol/mmol\ glc$)]:[Flux in RT / glucose uptake ($mmol/mmol\ glc$)]])</f>
        <v>0</v>
      </c>
      <c r="G2">
        <f>_xlfn.RANK.AVG(Table1[[#This Row],[Flux in SC / glucose uptake ($mmol/mmol\ glc$)]],Table1[Flux in SC / glucose uptake ($mmol/mmol\ glc$)])</f>
        <v>1310.5</v>
      </c>
      <c r="H2">
        <f>_xlfn.RANK.AVG(Table1[[#This Row],[Flux in RT / glucose uptake ($mmol/mmol\ glc$)]],Table1[Flux in RT / glucose uptake ($mmol/mmol\ glc$)])</f>
        <v>1290.5</v>
      </c>
      <c r="I2" t="e">
        <f>LOG(Table1[[#This Row],[Flux in SC / glucose uptake ($mmol/mmol\ glc$)]])</f>
        <v>#NUM!</v>
      </c>
      <c r="J2" t="e">
        <f>LOG(Table1[[#This Row],[Flux in RT / glucose uptake ($mmol/mmol\ glc$)]])</f>
        <v>#NUM!</v>
      </c>
      <c r="L2" t="str" cm="1">
        <f t="array" ref="L2:O276">_xlfn._xlws.FILTER(_xlfn.HSTACK(Table1[[id]:[subsystem]],Table1[[log(x)]:[log(y)]]),ISNUMBER(Table1[log(x)])*ISNUMBER(Table1[log(y)]))</f>
        <v>13GS_c</v>
      </c>
      <c r="M2" t="str">
        <v>Starch and sucrose metabolism</v>
      </c>
      <c r="N2">
        <v>-2.0747491377965193</v>
      </c>
      <c r="O2">
        <v>-1.3042235622317955</v>
      </c>
      <c r="Q2" t="str" cm="1">
        <f t="array" ref="Q2:T8">_xlfn._xlws.FILTER(_xlfn.ANCHORARRAY(L2),_xlfn.CHOOSECOLS(_xlfn.ANCHORARRAY(L2),2)="Folate metabolism")</f>
        <v>DHFRi_c</v>
      </c>
      <c r="R2" t="str">
        <v>Folate metabolism</v>
      </c>
      <c r="S2">
        <v>-4.2532448884507108</v>
      </c>
      <c r="T2">
        <v>-3.36082526416447</v>
      </c>
    </row>
    <row r="3" spans="1:20" x14ac:dyDescent="0.2">
      <c r="A3" t="s">
        <v>6</v>
      </c>
      <c r="B3" t="s">
        <v>3114</v>
      </c>
      <c r="C3">
        <v>0</v>
      </c>
      <c r="D3">
        <v>0</v>
      </c>
      <c r="E3">
        <f>ABS(Table1[[#This Row],[Flux in SC / glucose uptake ($mmol/mmol\ glc$)]]-Table1[[#This Row],[Flux in RT / glucose uptake ($mmol/mmol\ glc$)]])/SQRT(2)</f>
        <v>0</v>
      </c>
      <c r="F3">
        <f>Table1[[#This Row],[distance from 45-degree line]]/MAX(Table1[[Flux in SC / glucose uptake ($mmol/mmol\ glc$)]:[Flux in RT / glucose uptake ($mmol/mmol\ glc$)]])</f>
        <v>0</v>
      </c>
      <c r="G3">
        <f>_xlfn.RANK.AVG(Table1[[#This Row],[Flux in SC / glucose uptake ($mmol/mmol\ glc$)]],Table1[Flux in SC / glucose uptake ($mmol/mmol\ glc$)])</f>
        <v>1310.5</v>
      </c>
      <c r="H3">
        <f>_xlfn.RANK.AVG(Table1[[#This Row],[Flux in RT / glucose uptake ($mmol/mmol\ glc$)]],Table1[Flux in RT / glucose uptake ($mmol/mmol\ glc$)])</f>
        <v>1290.5</v>
      </c>
      <c r="I3" t="e">
        <f>LOG(Table1[[#This Row],[Flux in SC / glucose uptake ($mmol/mmol\ glc$)]])</f>
        <v>#NUM!</v>
      </c>
      <c r="J3" t="e">
        <f>LOG(Table1[[#This Row],[Flux in RT / glucose uptake ($mmol/mmol\ glc$)]])</f>
        <v>#NUM!</v>
      </c>
      <c r="L3" t="str">
        <v>16GS_c</v>
      </c>
      <c r="M3" t="str">
        <v>Cell wall biosynthesis</v>
      </c>
      <c r="N3">
        <v>-2.6545321517047102</v>
      </c>
      <c r="O3">
        <v>-1.8840076663890388</v>
      </c>
      <c r="Q3" t="str">
        <v>MTHFC_c</v>
      </c>
      <c r="R3" t="str">
        <v>Folate metabolism</v>
      </c>
      <c r="S3">
        <v>-1.105527669795543</v>
      </c>
      <c r="T3">
        <v>-0.20078712024543816</v>
      </c>
    </row>
    <row r="4" spans="1:20" x14ac:dyDescent="0.2">
      <c r="A4" t="s">
        <v>7</v>
      </c>
      <c r="B4" t="s">
        <v>3115</v>
      </c>
      <c r="C4">
        <v>0</v>
      </c>
      <c r="D4">
        <v>0</v>
      </c>
      <c r="E4">
        <f>ABS(Table1[[#This Row],[Flux in SC / glucose uptake ($mmol/mmol\ glc$)]]-Table1[[#This Row],[Flux in RT / glucose uptake ($mmol/mmol\ glc$)]])/SQRT(2)</f>
        <v>0</v>
      </c>
      <c r="F4">
        <f>Table1[[#This Row],[distance from 45-degree line]]/MAX(Table1[[Flux in SC / glucose uptake ($mmol/mmol\ glc$)]:[Flux in RT / glucose uptake ($mmol/mmol\ glc$)]])</f>
        <v>0</v>
      </c>
      <c r="G4">
        <f>_xlfn.RANK.AVG(Table1[[#This Row],[Flux in SC / glucose uptake ($mmol/mmol\ glc$)]],Table1[Flux in SC / glucose uptake ($mmol/mmol\ glc$)])</f>
        <v>1310.5</v>
      </c>
      <c r="H4">
        <f>_xlfn.RANK.AVG(Table1[[#This Row],[Flux in RT / glucose uptake ($mmol/mmol\ glc$)]],Table1[Flux in RT / glucose uptake ($mmol/mmol\ glc$)])</f>
        <v>1290.5</v>
      </c>
      <c r="I4" t="e">
        <f>LOG(Table1[[#This Row],[Flux in SC / glucose uptake ($mmol/mmol\ glc$)]])</f>
        <v>#NUM!</v>
      </c>
      <c r="J4" t="e">
        <f>LOG(Table1[[#This Row],[Flux in RT / glucose uptake ($mmol/mmol\ glc$)]])</f>
        <v>#NUM!</v>
      </c>
      <c r="L4" t="str">
        <v>2OBUTt_c_m</v>
      </c>
      <c r="M4" t="str">
        <v>Transport</v>
      </c>
      <c r="N4">
        <v>-4.0306935744315586</v>
      </c>
      <c r="O4">
        <v>-3.3750030703267271</v>
      </c>
      <c r="Q4" t="str">
        <v>MTHFC_m</v>
      </c>
      <c r="R4" t="str">
        <v>Folate metabolism</v>
      </c>
      <c r="S4">
        <v>-1.7514053309532274</v>
      </c>
      <c r="T4">
        <v>-0.76727297474992184</v>
      </c>
    </row>
    <row r="5" spans="1:20" x14ac:dyDescent="0.2">
      <c r="A5" t="s">
        <v>8</v>
      </c>
      <c r="B5" t="s">
        <v>3115</v>
      </c>
      <c r="C5">
        <v>8.4188129843820233E-3</v>
      </c>
      <c r="D5">
        <v>4.9633675587802281E-2</v>
      </c>
      <c r="E5">
        <f>ABS(Table1[[#This Row],[Flux in SC / glucose uptake ($mmol/mmol\ glc$)]]-Table1[[#This Row],[Flux in RT / glucose uptake ($mmol/mmol\ glc$)]])/SQRT(2)</f>
        <v>2.9143308832550306E-2</v>
      </c>
      <c r="F5">
        <f>Table1[[#This Row],[distance from 45-degree line]]/MAX(Table1[[Flux in SC / glucose uptake ($mmol/mmol\ glc$)]:[Flux in RT / glucose uptake ($mmol/mmol\ glc$)]])</f>
        <v>1.5707910916373975E-3</v>
      </c>
      <c r="G5">
        <f>_xlfn.RANK.AVG(Table1[[#This Row],[Flux in SC / glucose uptake ($mmol/mmol\ glc$)]],Table1[Flux in SC / glucose uptake ($mmol/mmol\ glc$)])</f>
        <v>87</v>
      </c>
      <c r="H5">
        <f>_xlfn.RANK.AVG(Table1[[#This Row],[Flux in RT / glucose uptake ($mmol/mmol\ glc$)]],Table1[Flux in RT / glucose uptake ($mmol/mmol\ glc$)])</f>
        <v>100</v>
      </c>
      <c r="I5">
        <f>LOG(Table1[[#This Row],[Flux in SC / glucose uptake ($mmol/mmol\ glc$)]])</f>
        <v>-2.0747491377965193</v>
      </c>
      <c r="J5">
        <f>LOG(Table1[[#This Row],[Flux in RT / glucose uptake ($mmol/mmol\ glc$)]])</f>
        <v>-1.3042235622317955</v>
      </c>
      <c r="L5" t="str">
        <v>2OXOADPt_c_m</v>
      </c>
      <c r="M5" t="str">
        <v>Transport</v>
      </c>
      <c r="N5">
        <v>-2.3592557396966845</v>
      </c>
      <c r="O5">
        <v>-1.7035443695357284</v>
      </c>
      <c r="Q5" t="str">
        <v>MTHFD_c</v>
      </c>
      <c r="R5" t="str">
        <v>Folate metabolism</v>
      </c>
      <c r="S5">
        <v>-1.1586315021315743</v>
      </c>
      <c r="T5">
        <v>-0.97594784616765329</v>
      </c>
    </row>
    <row r="6" spans="1:20" x14ac:dyDescent="0.2">
      <c r="A6" t="s">
        <v>9</v>
      </c>
      <c r="B6" t="s">
        <v>3113</v>
      </c>
      <c r="C6">
        <v>0</v>
      </c>
      <c r="D6">
        <v>0</v>
      </c>
      <c r="E6">
        <f>ABS(Table1[[#This Row],[Flux in SC / glucose uptake ($mmol/mmol\ glc$)]]-Table1[[#This Row],[Flux in RT / glucose uptake ($mmol/mmol\ glc$)]])/SQRT(2)</f>
        <v>0</v>
      </c>
      <c r="F6">
        <f>Table1[[#This Row],[distance from 45-degree line]]/MAX(Table1[[Flux in SC / glucose uptake ($mmol/mmol\ glc$)]:[Flux in RT / glucose uptake ($mmol/mmol\ glc$)]])</f>
        <v>0</v>
      </c>
      <c r="G6">
        <f>_xlfn.RANK.AVG(Table1[[#This Row],[Flux in SC / glucose uptake ($mmol/mmol\ glc$)]],Table1[Flux in SC / glucose uptake ($mmol/mmol\ glc$)])</f>
        <v>1310.5</v>
      </c>
      <c r="H6">
        <f>_xlfn.RANK.AVG(Table1[[#This Row],[Flux in RT / glucose uptake ($mmol/mmol\ glc$)]],Table1[Flux in RT / glucose uptake ($mmol/mmol\ glc$)])</f>
        <v>1290.5</v>
      </c>
      <c r="I6" t="e">
        <f>LOG(Table1[[#This Row],[Flux in SC / glucose uptake ($mmol/mmol\ glc$)]])</f>
        <v>#NUM!</v>
      </c>
      <c r="J6" t="e">
        <f>LOG(Table1[[#This Row],[Flux in RT / glucose uptake ($mmol/mmol\ glc$)]])</f>
        <v>#NUM!</v>
      </c>
      <c r="L6" t="str">
        <v>AASADy_c</v>
      </c>
      <c r="M6" t="str">
        <v>Lysine metabolism</v>
      </c>
      <c r="N6">
        <v>-2.3592557396966845</v>
      </c>
      <c r="O6">
        <v>-1.7035443695357284</v>
      </c>
      <c r="Q6" t="str">
        <v>MTHFD_m</v>
      </c>
      <c r="R6" t="str">
        <v>Folate metabolism</v>
      </c>
      <c r="S6">
        <v>-1.7514053309532274</v>
      </c>
      <c r="T6">
        <v>-0.76727297474992184</v>
      </c>
    </row>
    <row r="7" spans="1:20" x14ac:dyDescent="0.2">
      <c r="A7" t="s">
        <v>10</v>
      </c>
      <c r="B7" t="s">
        <v>3114</v>
      </c>
      <c r="C7">
        <v>0</v>
      </c>
      <c r="D7">
        <v>0</v>
      </c>
      <c r="E7">
        <f>ABS(Table1[[#This Row],[Flux in SC / glucose uptake ($mmol/mmol\ glc$)]]-Table1[[#This Row],[Flux in RT / glucose uptake ($mmol/mmol\ glc$)]])/SQRT(2)</f>
        <v>0</v>
      </c>
      <c r="F7">
        <f>Table1[[#This Row],[distance from 45-degree line]]/MAX(Table1[[Flux in SC / glucose uptake ($mmol/mmol\ glc$)]:[Flux in RT / glucose uptake ($mmol/mmol\ glc$)]])</f>
        <v>0</v>
      </c>
      <c r="G7">
        <f>_xlfn.RANK.AVG(Table1[[#This Row],[Flux in SC / glucose uptake ($mmol/mmol\ glc$)]],Table1[Flux in SC / glucose uptake ($mmol/mmol\ glc$)])</f>
        <v>1310.5</v>
      </c>
      <c r="H7">
        <f>_xlfn.RANK.AVG(Table1[[#This Row],[Flux in RT / glucose uptake ($mmol/mmol\ glc$)]],Table1[Flux in RT / glucose uptake ($mmol/mmol\ glc$)])</f>
        <v>1290.5</v>
      </c>
      <c r="I7" t="e">
        <f>LOG(Table1[[#This Row],[Flux in SC / glucose uptake ($mmol/mmol\ glc$)]])</f>
        <v>#NUM!</v>
      </c>
      <c r="J7" t="e">
        <f>LOG(Table1[[#This Row],[Flux in RT / glucose uptake ($mmol/mmol\ glc$)]])</f>
        <v>#NUM!</v>
      </c>
      <c r="L7" t="str">
        <v>AATA_c</v>
      </c>
      <c r="M7" t="str">
        <v>Lysine metabolism</v>
      </c>
      <c r="N7">
        <v>-2.3592557396966845</v>
      </c>
      <c r="O7">
        <v>-1.7035443695357284</v>
      </c>
      <c r="Q7" t="str">
        <v>MTHFD2i_c</v>
      </c>
      <c r="R7" t="str">
        <v>Folate metabolism</v>
      </c>
      <c r="S7">
        <v>-2.0444675117108249</v>
      </c>
      <c r="T7">
        <v>-0.28056895025757667</v>
      </c>
    </row>
    <row r="8" spans="1:20" x14ac:dyDescent="0.2">
      <c r="A8" t="s">
        <v>11</v>
      </c>
      <c r="B8" t="s">
        <v>3116</v>
      </c>
      <c r="C8">
        <v>2.2154800737409393E-3</v>
      </c>
      <c r="D8">
        <v>1.3061478311366118E-2</v>
      </c>
      <c r="E8">
        <f>ABS(Table1[[#This Row],[Flux in SC / glucose uptake ($mmol/mmol\ glc$)]]-Table1[[#This Row],[Flux in RT / glucose uptake ($mmol/mmol\ glc$)]])/SQRT(2)</f>
        <v>7.6692789025621074E-3</v>
      </c>
      <c r="F8">
        <f>Table1[[#This Row],[distance from 45-degree line]]/MAX(Table1[[Flux in SC / glucose uptake ($mmol/mmol\ glc$)]:[Flux in RT / glucose uptake ($mmol/mmol\ glc$)]])</f>
        <v>4.1336538169516377E-4</v>
      </c>
      <c r="G8">
        <f>_xlfn.RANK.AVG(Table1[[#This Row],[Flux in SC / glucose uptake ($mmol/mmol\ glc$)]],Table1[Flux in SC / glucose uptake ($mmol/mmol\ glc$)])</f>
        <v>192</v>
      </c>
      <c r="H8">
        <f>_xlfn.RANK.AVG(Table1[[#This Row],[Flux in RT / glucose uptake ($mmol/mmol\ glc$)]],Table1[Flux in RT / glucose uptake ($mmol/mmol\ glc$)])</f>
        <v>184</v>
      </c>
      <c r="I8">
        <f>LOG(Table1[[#This Row],[Flux in SC / glucose uptake ($mmol/mmol\ glc$)]])</f>
        <v>-2.6545321517047102</v>
      </c>
      <c r="J8">
        <f>LOG(Table1[[#This Row],[Flux in RT / glucose uptake ($mmol/mmol\ glc$)]])</f>
        <v>-1.8840076663890388</v>
      </c>
      <c r="L8" t="str">
        <v>ACACT40ir_c</v>
      </c>
      <c r="M8" t="str">
        <v>Terpenoid backbone biosynthesis</v>
      </c>
      <c r="N8">
        <v>-2.5501896200739957</v>
      </c>
      <c r="O8">
        <v>-1.6331138041248896</v>
      </c>
      <c r="Q8" t="str">
        <v>MTHFR3_c</v>
      </c>
      <c r="R8" t="str">
        <v>Folate metabolism</v>
      </c>
      <c r="S8">
        <v>-2.6352695996373861</v>
      </c>
      <c r="T8">
        <v>-1.86729595817412</v>
      </c>
    </row>
    <row r="9" spans="1:20" x14ac:dyDescent="0.2">
      <c r="A9" t="s">
        <v>12</v>
      </c>
      <c r="B9" t="s">
        <v>3114</v>
      </c>
      <c r="C9">
        <v>0</v>
      </c>
      <c r="D9">
        <v>0</v>
      </c>
      <c r="E9">
        <f>ABS(Table1[[#This Row],[Flux in SC / glucose uptake ($mmol/mmol\ glc$)]]-Table1[[#This Row],[Flux in RT / glucose uptake ($mmol/mmol\ glc$)]])/SQRT(2)</f>
        <v>0</v>
      </c>
      <c r="F9">
        <f>Table1[[#This Row],[distance from 45-degree line]]/MAX(Table1[[Flux in SC / glucose uptake ($mmol/mmol\ glc$)]:[Flux in RT / glucose uptake ($mmol/mmol\ glc$)]])</f>
        <v>0</v>
      </c>
      <c r="G9">
        <f>_xlfn.RANK.AVG(Table1[[#This Row],[Flux in SC / glucose uptake ($mmol/mmol\ glc$)]],Table1[Flux in SC / glucose uptake ($mmol/mmol\ glc$)])</f>
        <v>1310.5</v>
      </c>
      <c r="H9">
        <f>_xlfn.RANK.AVG(Table1[[#This Row],[Flux in RT / glucose uptake ($mmol/mmol\ glc$)]],Table1[Flux in RT / glucose uptake ($mmol/mmol\ glc$)])</f>
        <v>1290.5</v>
      </c>
      <c r="I9" t="e">
        <f>LOG(Table1[[#This Row],[Flux in SC / glucose uptake ($mmol/mmol\ glc$)]])</f>
        <v>#NUM!</v>
      </c>
      <c r="J9" t="e">
        <f>LOG(Table1[[#This Row],[Flux in RT / glucose uptake ($mmol/mmol\ glc$)]])</f>
        <v>#NUM!</v>
      </c>
      <c r="L9" t="str">
        <v>ACGAM6PS_c</v>
      </c>
      <c r="M9" t="str">
        <v>Amino sugar and nucleotide sugar metabolism</v>
      </c>
      <c r="N9">
        <v>-3.7010450030510671</v>
      </c>
      <c r="O9">
        <v>-2.9305415984149601</v>
      </c>
    </row>
    <row r="10" spans="1:20" x14ac:dyDescent="0.2">
      <c r="A10" t="s">
        <v>13</v>
      </c>
      <c r="B10" t="s">
        <v>3114</v>
      </c>
      <c r="C10">
        <v>0</v>
      </c>
      <c r="D10">
        <v>0</v>
      </c>
      <c r="E10">
        <f>ABS(Table1[[#This Row],[Flux in SC / glucose uptake ($mmol/mmol\ glc$)]]-Table1[[#This Row],[Flux in RT / glucose uptake ($mmol/mmol\ glc$)]])/SQRT(2)</f>
        <v>0</v>
      </c>
      <c r="F10">
        <f>Table1[[#This Row],[distance from 45-degree line]]/MAX(Table1[[Flux in SC / glucose uptake ($mmol/mmol\ glc$)]:[Flux in RT / glucose uptake ($mmol/mmol\ glc$)]])</f>
        <v>0</v>
      </c>
      <c r="G10">
        <f>_xlfn.RANK.AVG(Table1[[#This Row],[Flux in SC / glucose uptake ($mmol/mmol\ glc$)]],Table1[Flux in SC / glucose uptake ($mmol/mmol\ glc$)])</f>
        <v>1310.5</v>
      </c>
      <c r="H10">
        <f>_xlfn.RANK.AVG(Table1[[#This Row],[Flux in RT / glucose uptake ($mmol/mmol\ glc$)]],Table1[Flux in RT / glucose uptake ($mmol/mmol\ glc$)])</f>
        <v>1290.5</v>
      </c>
      <c r="I10" t="e">
        <f>LOG(Table1[[#This Row],[Flux in SC / glucose uptake ($mmol/mmol\ glc$)]])</f>
        <v>#NUM!</v>
      </c>
      <c r="J10" t="e">
        <f>LOG(Table1[[#This Row],[Flux in RT / glucose uptake ($mmol/mmol\ glc$)]])</f>
        <v>#NUM!</v>
      </c>
      <c r="L10" t="str">
        <v>ACGAMPM_c</v>
      </c>
      <c r="M10" t="str">
        <v>Amino sugar and nucleotide sugar metabolism</v>
      </c>
      <c r="N10">
        <v>-3.7010450030510671</v>
      </c>
      <c r="O10">
        <v>-2.9305415984149601</v>
      </c>
    </row>
    <row r="11" spans="1:20" x14ac:dyDescent="0.2">
      <c r="A11" t="s">
        <v>14</v>
      </c>
      <c r="B11" t="s">
        <v>3117</v>
      </c>
      <c r="C11">
        <v>0</v>
      </c>
      <c r="D11">
        <v>0</v>
      </c>
      <c r="E11">
        <f>ABS(Table1[[#This Row],[Flux in SC / glucose uptake ($mmol/mmol\ glc$)]]-Table1[[#This Row],[Flux in RT / glucose uptake ($mmol/mmol\ glc$)]])/SQRT(2)</f>
        <v>0</v>
      </c>
      <c r="F11">
        <f>Table1[[#This Row],[distance from 45-degree line]]/MAX(Table1[[Flux in SC / glucose uptake ($mmol/mmol\ glc$)]:[Flux in RT / glucose uptake ($mmol/mmol\ glc$)]])</f>
        <v>0</v>
      </c>
      <c r="G11">
        <f>_xlfn.RANK.AVG(Table1[[#This Row],[Flux in SC / glucose uptake ($mmol/mmol\ glc$)]],Table1[Flux in SC / glucose uptake ($mmol/mmol\ glc$)])</f>
        <v>1310.5</v>
      </c>
      <c r="H11">
        <f>_xlfn.RANK.AVG(Table1[[#This Row],[Flux in RT / glucose uptake ($mmol/mmol\ glc$)]],Table1[Flux in RT / glucose uptake ($mmol/mmol\ glc$)])</f>
        <v>1290.5</v>
      </c>
      <c r="I11" t="e">
        <f>LOG(Table1[[#This Row],[Flux in SC / glucose uptake ($mmol/mmol\ glc$)]])</f>
        <v>#NUM!</v>
      </c>
      <c r="J11" t="e">
        <f>LOG(Table1[[#This Row],[Flux in RT / glucose uptake ($mmol/mmol\ glc$)]])</f>
        <v>#NUM!</v>
      </c>
      <c r="L11" t="str">
        <v>ACGK_m</v>
      </c>
      <c r="M11" t="str">
        <v>Arginine and proline metabolism</v>
      </c>
      <c r="N11">
        <v>-2.4442037493305238</v>
      </c>
      <c r="O11">
        <v>-0.97084269676932011</v>
      </c>
    </row>
    <row r="12" spans="1:20" x14ac:dyDescent="0.2">
      <c r="A12" t="s">
        <v>15</v>
      </c>
      <c r="B12" t="s">
        <v>3114</v>
      </c>
      <c r="C12">
        <v>0</v>
      </c>
      <c r="D12">
        <v>0</v>
      </c>
      <c r="E12">
        <f>ABS(Table1[[#This Row],[Flux in SC / glucose uptake ($mmol/mmol\ glc$)]]-Table1[[#This Row],[Flux in RT / glucose uptake ($mmol/mmol\ glc$)]])/SQRT(2)</f>
        <v>0</v>
      </c>
      <c r="F12">
        <f>Table1[[#This Row],[distance from 45-degree line]]/MAX(Table1[[Flux in SC / glucose uptake ($mmol/mmol\ glc$)]:[Flux in RT / glucose uptake ($mmol/mmol\ glc$)]])</f>
        <v>0</v>
      </c>
      <c r="G12">
        <f>_xlfn.RANK.AVG(Table1[[#This Row],[Flux in SC / glucose uptake ($mmol/mmol\ glc$)]],Table1[Flux in SC / glucose uptake ($mmol/mmol\ glc$)])</f>
        <v>1310.5</v>
      </c>
      <c r="H12">
        <f>_xlfn.RANK.AVG(Table1[[#This Row],[Flux in RT / glucose uptake ($mmol/mmol\ glc$)]],Table1[Flux in RT / glucose uptake ($mmol/mmol\ glc$)])</f>
        <v>1290.5</v>
      </c>
      <c r="I12" t="e">
        <f>LOG(Table1[[#This Row],[Flux in SC / glucose uptake ($mmol/mmol\ glc$)]])</f>
        <v>#NUM!</v>
      </c>
      <c r="J12" t="e">
        <f>LOG(Table1[[#This Row],[Flux in RT / glucose uptake ($mmol/mmol\ glc$)]])</f>
        <v>#NUM!</v>
      </c>
      <c r="L12" t="str">
        <v>ACHBS_m</v>
      </c>
      <c r="M12" t="str">
        <v>Valine, leucine and isoleucine metabolism</v>
      </c>
      <c r="N12">
        <v>-2.4067068740001836</v>
      </c>
      <c r="O12">
        <v>-1.7509952736333134</v>
      </c>
    </row>
    <row r="13" spans="1:20" x14ac:dyDescent="0.2">
      <c r="A13" t="s">
        <v>16</v>
      </c>
      <c r="B13" t="s">
        <v>3114</v>
      </c>
      <c r="C13">
        <v>0</v>
      </c>
      <c r="D13">
        <v>0</v>
      </c>
      <c r="E13">
        <f>ABS(Table1[[#This Row],[Flux in SC / glucose uptake ($mmol/mmol\ glc$)]]-Table1[[#This Row],[Flux in RT / glucose uptake ($mmol/mmol\ glc$)]])/SQRT(2)</f>
        <v>0</v>
      </c>
      <c r="F13">
        <f>Table1[[#This Row],[distance from 45-degree line]]/MAX(Table1[[Flux in SC / glucose uptake ($mmol/mmol\ glc$)]:[Flux in RT / glucose uptake ($mmol/mmol\ glc$)]])</f>
        <v>0</v>
      </c>
      <c r="G13">
        <f>_xlfn.RANK.AVG(Table1[[#This Row],[Flux in SC / glucose uptake ($mmol/mmol\ glc$)]],Table1[Flux in SC / glucose uptake ($mmol/mmol\ glc$)])</f>
        <v>1310.5</v>
      </c>
      <c r="H13">
        <f>_xlfn.RANK.AVG(Table1[[#This Row],[Flux in RT / glucose uptake ($mmol/mmol\ glc$)]],Table1[Flux in RT / glucose uptake ($mmol/mmol\ glc$)])</f>
        <v>1290.5</v>
      </c>
      <c r="I13" t="e">
        <f>LOG(Table1[[#This Row],[Flux in SC / glucose uptake ($mmol/mmol\ glc$)]])</f>
        <v>#NUM!</v>
      </c>
      <c r="J13" t="e">
        <f>LOG(Table1[[#This Row],[Flux in RT / glucose uptake ($mmol/mmol\ glc$)]])</f>
        <v>#NUM!</v>
      </c>
      <c r="L13" t="str">
        <v>ACLS_m</v>
      </c>
      <c r="M13" t="str">
        <v>Valine, leucine and isoleucine metabolism</v>
      </c>
      <c r="N13">
        <v>-1.9909961646921943</v>
      </c>
      <c r="O13">
        <v>-1.3352849126200561</v>
      </c>
    </row>
    <row r="14" spans="1:20" x14ac:dyDescent="0.2">
      <c r="A14" t="s">
        <v>17</v>
      </c>
      <c r="B14" t="s">
        <v>3118</v>
      </c>
      <c r="C14">
        <v>0</v>
      </c>
      <c r="D14">
        <v>0</v>
      </c>
      <c r="E14">
        <f>ABS(Table1[[#This Row],[Flux in SC / glucose uptake ($mmol/mmol\ glc$)]]-Table1[[#This Row],[Flux in RT / glucose uptake ($mmol/mmol\ glc$)]])/SQRT(2)</f>
        <v>0</v>
      </c>
      <c r="F14">
        <f>Table1[[#This Row],[distance from 45-degree line]]/MAX(Table1[[Flux in SC / glucose uptake ($mmol/mmol\ glc$)]:[Flux in RT / glucose uptake ($mmol/mmol\ glc$)]])</f>
        <v>0</v>
      </c>
      <c r="G14">
        <f>_xlfn.RANK.AVG(Table1[[#This Row],[Flux in SC / glucose uptake ($mmol/mmol\ glc$)]],Table1[Flux in SC / glucose uptake ($mmol/mmol\ glc$)])</f>
        <v>1310.5</v>
      </c>
      <c r="H14">
        <f>_xlfn.RANK.AVG(Table1[[#This Row],[Flux in RT / glucose uptake ($mmol/mmol\ glc$)]],Table1[Flux in RT / glucose uptake ($mmol/mmol\ glc$)])</f>
        <v>1290.5</v>
      </c>
      <c r="I14" t="e">
        <f>LOG(Table1[[#This Row],[Flux in SC / glucose uptake ($mmol/mmol\ glc$)]])</f>
        <v>#NUM!</v>
      </c>
      <c r="J14" t="e">
        <f>LOG(Table1[[#This Row],[Flux in RT / glucose uptake ($mmol/mmol\ glc$)]])</f>
        <v>#NUM!</v>
      </c>
      <c r="L14" t="str">
        <v>ACONTa_m</v>
      </c>
      <c r="M14" t="str">
        <v>Citric acid cycle</v>
      </c>
      <c r="N14">
        <v>-1.6057653035082364</v>
      </c>
      <c r="O14">
        <v>-0.47065982396486084</v>
      </c>
    </row>
    <row r="15" spans="1:20" x14ac:dyDescent="0.2">
      <c r="A15" t="s">
        <v>18</v>
      </c>
      <c r="B15" t="s">
        <v>3114</v>
      </c>
      <c r="C15">
        <v>0</v>
      </c>
      <c r="D15">
        <v>0</v>
      </c>
      <c r="E15">
        <f>ABS(Table1[[#This Row],[Flux in SC / glucose uptake ($mmol/mmol\ glc$)]]-Table1[[#This Row],[Flux in RT / glucose uptake ($mmol/mmol\ glc$)]])/SQRT(2)</f>
        <v>0</v>
      </c>
      <c r="F15">
        <f>Table1[[#This Row],[distance from 45-degree line]]/MAX(Table1[[Flux in SC / glucose uptake ($mmol/mmol\ glc$)]:[Flux in RT / glucose uptake ($mmol/mmol\ glc$)]])</f>
        <v>0</v>
      </c>
      <c r="G15">
        <f>_xlfn.RANK.AVG(Table1[[#This Row],[Flux in SC / glucose uptake ($mmol/mmol\ glc$)]],Table1[Flux in SC / glucose uptake ($mmol/mmol\ glc$)])</f>
        <v>1310.5</v>
      </c>
      <c r="H15">
        <f>_xlfn.RANK.AVG(Table1[[#This Row],[Flux in RT / glucose uptake ($mmol/mmol\ glc$)]],Table1[Flux in RT / glucose uptake ($mmol/mmol\ glc$)])</f>
        <v>1290.5</v>
      </c>
      <c r="I15" t="e">
        <f>LOG(Table1[[#This Row],[Flux in SC / glucose uptake ($mmol/mmol\ glc$)]])</f>
        <v>#NUM!</v>
      </c>
      <c r="J15" t="e">
        <f>LOG(Table1[[#This Row],[Flux in RT / glucose uptake ($mmol/mmol\ glc$)]])</f>
        <v>#NUM!</v>
      </c>
      <c r="L15" t="str">
        <v>ACONTb_m</v>
      </c>
      <c r="M15" t="str">
        <v>Citric acid cycle</v>
      </c>
      <c r="N15">
        <v>-1.6057653035082364</v>
      </c>
      <c r="O15">
        <v>-0.47065982396486084</v>
      </c>
    </row>
    <row r="16" spans="1:20" x14ac:dyDescent="0.2">
      <c r="A16" t="s">
        <v>19</v>
      </c>
      <c r="B16" t="s">
        <v>3114</v>
      </c>
      <c r="C16">
        <v>0</v>
      </c>
      <c r="D16">
        <v>0</v>
      </c>
      <c r="E16">
        <f>ABS(Table1[[#This Row],[Flux in SC / glucose uptake ($mmol/mmol\ glc$)]]-Table1[[#This Row],[Flux in RT / glucose uptake ($mmol/mmol\ glc$)]])/SQRT(2)</f>
        <v>0</v>
      </c>
      <c r="F16">
        <f>Table1[[#This Row],[distance from 45-degree line]]/MAX(Table1[[Flux in SC / glucose uptake ($mmol/mmol\ glc$)]:[Flux in RT / glucose uptake ($mmol/mmol\ glc$)]])</f>
        <v>0</v>
      </c>
      <c r="G16">
        <f>_xlfn.RANK.AVG(Table1[[#This Row],[Flux in SC / glucose uptake ($mmol/mmol\ glc$)]],Table1[Flux in SC / glucose uptake ($mmol/mmol\ glc$)])</f>
        <v>1310.5</v>
      </c>
      <c r="H16">
        <f>_xlfn.RANK.AVG(Table1[[#This Row],[Flux in RT / glucose uptake ($mmol/mmol\ glc$)]],Table1[Flux in RT / glucose uptake ($mmol/mmol\ glc$)])</f>
        <v>1290.5</v>
      </c>
      <c r="I16" t="e">
        <f>LOG(Table1[[#This Row],[Flux in SC / glucose uptake ($mmol/mmol\ glc$)]])</f>
        <v>#NUM!</v>
      </c>
      <c r="J16" t="e">
        <f>LOG(Table1[[#This Row],[Flux in RT / glucose uptake ($mmol/mmol\ glc$)]])</f>
        <v>#NUM!</v>
      </c>
      <c r="L16" t="str">
        <v>ACOTAi_m</v>
      </c>
      <c r="M16" t="str">
        <v>Arginine and proline metabolism</v>
      </c>
      <c r="N16">
        <v>-2.4442037493305238</v>
      </c>
      <c r="O16">
        <v>-0.97084269676932011</v>
      </c>
    </row>
    <row r="17" spans="1:15" x14ac:dyDescent="0.2">
      <c r="A17" t="s">
        <v>20</v>
      </c>
      <c r="B17" t="s">
        <v>3114</v>
      </c>
      <c r="C17">
        <v>0</v>
      </c>
      <c r="D17">
        <v>0</v>
      </c>
      <c r="E17">
        <f>ABS(Table1[[#This Row],[Flux in SC / glucose uptake ($mmol/mmol\ glc$)]]-Table1[[#This Row],[Flux in RT / glucose uptake ($mmol/mmol\ glc$)]])/SQRT(2)</f>
        <v>0</v>
      </c>
      <c r="F17">
        <f>Table1[[#This Row],[distance from 45-degree line]]/MAX(Table1[[Flux in SC / glucose uptake ($mmol/mmol\ glc$)]:[Flux in RT / glucose uptake ($mmol/mmol\ glc$)]])</f>
        <v>0</v>
      </c>
      <c r="G17">
        <f>_xlfn.RANK.AVG(Table1[[#This Row],[Flux in SC / glucose uptake ($mmol/mmol\ glc$)]],Table1[Flux in SC / glucose uptake ($mmol/mmol\ glc$)])</f>
        <v>1310.5</v>
      </c>
      <c r="H17">
        <f>_xlfn.RANK.AVG(Table1[[#This Row],[Flux in RT / glucose uptake ($mmol/mmol\ glc$)]],Table1[Flux in RT / glucose uptake ($mmol/mmol\ glc$)])</f>
        <v>1290.5</v>
      </c>
      <c r="I17" t="e">
        <f>LOG(Table1[[#This Row],[Flux in SC / glucose uptake ($mmol/mmol\ glc$)]])</f>
        <v>#NUM!</v>
      </c>
      <c r="J17" t="e">
        <f>LOG(Table1[[#This Row],[Flux in RT / glucose uptake ($mmol/mmol\ glc$)]])</f>
        <v>#NUM!</v>
      </c>
      <c r="L17" t="str">
        <v>ACS_c</v>
      </c>
      <c r="M17" t="str">
        <v>Acetyl-CoA synthesis</v>
      </c>
      <c r="N17">
        <v>-1.5246916677871472</v>
      </c>
      <c r="O17">
        <v>-2.4139055646677594</v>
      </c>
    </row>
    <row r="18" spans="1:15" x14ac:dyDescent="0.2">
      <c r="A18" t="s">
        <v>21</v>
      </c>
      <c r="B18" t="s">
        <v>3114</v>
      </c>
      <c r="C18">
        <v>0</v>
      </c>
      <c r="D18">
        <v>0</v>
      </c>
      <c r="E18">
        <f>ABS(Table1[[#This Row],[Flux in SC / glucose uptake ($mmol/mmol\ glc$)]]-Table1[[#This Row],[Flux in RT / glucose uptake ($mmol/mmol\ glc$)]])/SQRT(2)</f>
        <v>0</v>
      </c>
      <c r="F18">
        <f>Table1[[#This Row],[distance from 45-degree line]]/MAX(Table1[[Flux in SC / glucose uptake ($mmol/mmol\ glc$)]:[Flux in RT / glucose uptake ($mmol/mmol\ glc$)]])</f>
        <v>0</v>
      </c>
      <c r="G18">
        <f>_xlfn.RANK.AVG(Table1[[#This Row],[Flux in SC / glucose uptake ($mmol/mmol\ glc$)]],Table1[Flux in SC / glucose uptake ($mmol/mmol\ glc$)])</f>
        <v>1310.5</v>
      </c>
      <c r="H18">
        <f>_xlfn.RANK.AVG(Table1[[#This Row],[Flux in RT / glucose uptake ($mmol/mmol\ glc$)]],Table1[Flux in RT / glucose uptake ($mmol/mmol\ glc$)])</f>
        <v>1290.5</v>
      </c>
      <c r="I18" t="e">
        <f>LOG(Table1[[#This Row],[Flux in SC / glucose uptake ($mmol/mmol\ glc$)]])</f>
        <v>#NUM!</v>
      </c>
      <c r="J18" t="e">
        <f>LOG(Table1[[#This Row],[Flux in RT / glucose uptake ($mmol/mmol\ glc$)]])</f>
        <v>#NUM!</v>
      </c>
      <c r="L18" t="str">
        <v>ADK1_c</v>
      </c>
      <c r="M18" t="str">
        <v>Purine metabolism</v>
      </c>
      <c r="N18">
        <v>-0.898671012293218</v>
      </c>
      <c r="O18">
        <v>-0.64125595691673287</v>
      </c>
    </row>
    <row r="19" spans="1:15" x14ac:dyDescent="0.2">
      <c r="A19" t="s">
        <v>22</v>
      </c>
      <c r="B19" t="s">
        <v>3114</v>
      </c>
      <c r="C19">
        <v>0</v>
      </c>
      <c r="D19">
        <v>0</v>
      </c>
      <c r="E19">
        <f>ABS(Table1[[#This Row],[Flux in SC / glucose uptake ($mmol/mmol\ glc$)]]-Table1[[#This Row],[Flux in RT / glucose uptake ($mmol/mmol\ glc$)]])/SQRT(2)</f>
        <v>0</v>
      </c>
      <c r="F19">
        <f>Table1[[#This Row],[distance from 45-degree line]]/MAX(Table1[[Flux in SC / glucose uptake ($mmol/mmol\ glc$)]:[Flux in RT / glucose uptake ($mmol/mmol\ glc$)]])</f>
        <v>0</v>
      </c>
      <c r="G19">
        <f>_xlfn.RANK.AVG(Table1[[#This Row],[Flux in SC / glucose uptake ($mmol/mmol\ glc$)]],Table1[Flux in SC / glucose uptake ($mmol/mmol\ glc$)])</f>
        <v>1310.5</v>
      </c>
      <c r="H19">
        <f>_xlfn.RANK.AVG(Table1[[#This Row],[Flux in RT / glucose uptake ($mmol/mmol\ glc$)]],Table1[Flux in RT / glucose uptake ($mmol/mmol\ glc$)])</f>
        <v>1290.5</v>
      </c>
      <c r="I19" t="e">
        <f>LOG(Table1[[#This Row],[Flux in SC / glucose uptake ($mmol/mmol\ glc$)]])</f>
        <v>#NUM!</v>
      </c>
      <c r="J19" t="e">
        <f>LOG(Table1[[#This Row],[Flux in RT / glucose uptake ($mmol/mmol\ glc$)]])</f>
        <v>#NUM!</v>
      </c>
      <c r="L19" t="str">
        <v>ADNK1_c</v>
      </c>
      <c r="M19" t="str">
        <v>Purine metabolism</v>
      </c>
      <c r="N19">
        <v>-2.8076463724064662</v>
      </c>
      <c r="O19">
        <v>-1.9939648008075515</v>
      </c>
    </row>
    <row r="20" spans="1:15" x14ac:dyDescent="0.2">
      <c r="A20" t="s">
        <v>23</v>
      </c>
      <c r="B20" t="s">
        <v>3114</v>
      </c>
      <c r="C20">
        <v>9.3176506995375956E-5</v>
      </c>
      <c r="D20">
        <v>4.2169352217617768E-4</v>
      </c>
      <c r="E20">
        <f>ABS(Table1[[#This Row],[Flux in SC / glucose uptake ($mmol/mmol\ glc$)]]-Table1[[#This Row],[Flux in RT / glucose uptake ($mmol/mmol\ glc$)]])/SQRT(2)</f>
        <v>2.3229660916950886E-4</v>
      </c>
      <c r="F20">
        <f>Table1[[#This Row],[distance from 45-degree line]]/MAX(Table1[[Flux in SC / glucose uptake ($mmol/mmol\ glc$)]:[Flux in RT / glucose uptake ($mmol/mmol\ glc$)]])</f>
        <v>1.2520522168488016E-5</v>
      </c>
      <c r="G20">
        <f>_xlfn.RANK.AVG(Table1[[#This Row],[Flux in SC / glucose uptake ($mmol/mmol\ glc$)]],Table1[Flux in SC / glucose uptake ($mmol/mmol\ glc$)])</f>
        <v>264</v>
      </c>
      <c r="H20">
        <f>_xlfn.RANK.AVG(Table1[[#This Row],[Flux in RT / glucose uptake ($mmol/mmol\ glc$)]],Table1[Flux in RT / glucose uptake ($mmol/mmol\ glc$)])</f>
        <v>273</v>
      </c>
      <c r="I20">
        <f>LOG(Table1[[#This Row],[Flux in SC / glucose uptake ($mmol/mmol\ glc$)]])</f>
        <v>-4.0306935744315586</v>
      </c>
      <c r="J20">
        <f>LOG(Table1[[#This Row],[Flux in RT / glucose uptake ($mmol/mmol\ glc$)]])</f>
        <v>-3.3750030703267271</v>
      </c>
      <c r="L20" t="str">
        <v>ADPATPt_c_m</v>
      </c>
      <c r="M20" t="str">
        <v>Transport</v>
      </c>
      <c r="N20">
        <v>-0.1482059373345801</v>
      </c>
      <c r="O20">
        <v>1.1615365198438017</v>
      </c>
    </row>
    <row r="21" spans="1:15" x14ac:dyDescent="0.2">
      <c r="A21" t="s">
        <v>24</v>
      </c>
      <c r="B21" t="s">
        <v>3119</v>
      </c>
      <c r="C21">
        <v>0</v>
      </c>
      <c r="D21">
        <v>0</v>
      </c>
      <c r="E21">
        <f>ABS(Table1[[#This Row],[Flux in SC / glucose uptake ($mmol/mmol\ glc$)]]-Table1[[#This Row],[Flux in RT / glucose uptake ($mmol/mmol\ glc$)]])/SQRT(2)</f>
        <v>0</v>
      </c>
      <c r="F21">
        <f>Table1[[#This Row],[distance from 45-degree line]]/MAX(Table1[[Flux in SC / glucose uptake ($mmol/mmol\ glc$)]:[Flux in RT / glucose uptake ($mmol/mmol\ glc$)]])</f>
        <v>0</v>
      </c>
      <c r="G21">
        <f>_xlfn.RANK.AVG(Table1[[#This Row],[Flux in SC / glucose uptake ($mmol/mmol\ glc$)]],Table1[Flux in SC / glucose uptake ($mmol/mmol\ glc$)])</f>
        <v>1310.5</v>
      </c>
      <c r="H21">
        <f>_xlfn.RANK.AVG(Table1[[#This Row],[Flux in RT / glucose uptake ($mmol/mmol\ glc$)]],Table1[Flux in RT / glucose uptake ($mmol/mmol\ glc$)])</f>
        <v>1290.5</v>
      </c>
      <c r="I21" t="e">
        <f>LOG(Table1[[#This Row],[Flux in SC / glucose uptake ($mmol/mmol\ glc$)]])</f>
        <v>#NUM!</v>
      </c>
      <c r="J21" t="e">
        <f>LOG(Table1[[#This Row],[Flux in RT / glucose uptake ($mmol/mmol\ glc$)]])</f>
        <v>#NUM!</v>
      </c>
      <c r="L21" t="str">
        <v>ADSK_c</v>
      </c>
      <c r="M21" t="str">
        <v>Purine metabolism</v>
      </c>
      <c r="N21">
        <v>-3.0696095838366184</v>
      </c>
      <c r="O21">
        <v>-2.413903635373893</v>
      </c>
    </row>
    <row r="22" spans="1:15" x14ac:dyDescent="0.2">
      <c r="A22" t="s">
        <v>25</v>
      </c>
      <c r="B22" t="s">
        <v>3119</v>
      </c>
      <c r="C22">
        <v>0</v>
      </c>
      <c r="D22">
        <v>0</v>
      </c>
      <c r="E22">
        <f>ABS(Table1[[#This Row],[Flux in SC / glucose uptake ($mmol/mmol\ glc$)]]-Table1[[#This Row],[Flux in RT / glucose uptake ($mmol/mmol\ glc$)]])/SQRT(2)</f>
        <v>0</v>
      </c>
      <c r="F22">
        <f>Table1[[#This Row],[distance from 45-degree line]]/MAX(Table1[[Flux in SC / glucose uptake ($mmol/mmol\ glc$)]:[Flux in RT / glucose uptake ($mmol/mmol\ glc$)]])</f>
        <v>0</v>
      </c>
      <c r="G22">
        <f>_xlfn.RANK.AVG(Table1[[#This Row],[Flux in SC / glucose uptake ($mmol/mmol\ glc$)]],Table1[Flux in SC / glucose uptake ($mmol/mmol\ glc$)])</f>
        <v>1310.5</v>
      </c>
      <c r="H22">
        <f>_xlfn.RANK.AVG(Table1[[#This Row],[Flux in RT / glucose uptake ($mmol/mmol\ glc$)]],Table1[Flux in RT / glucose uptake ($mmol/mmol\ glc$)])</f>
        <v>1290.5</v>
      </c>
      <c r="I22" t="e">
        <f>LOG(Table1[[#This Row],[Flux in SC / glucose uptake ($mmol/mmol\ glc$)]])</f>
        <v>#NUM!</v>
      </c>
      <c r="J22" t="e">
        <f>LOG(Table1[[#This Row],[Flux in RT / glucose uptake ($mmol/mmol\ glc$)]])</f>
        <v>#NUM!</v>
      </c>
      <c r="L22" t="str">
        <v>ADSL1r_c</v>
      </c>
      <c r="M22" t="str">
        <v>Purine metabolism</v>
      </c>
      <c r="N22">
        <v>-2.5682433838135745</v>
      </c>
      <c r="O22">
        <v>-1.950591764427974</v>
      </c>
    </row>
    <row r="23" spans="1:15" x14ac:dyDescent="0.2">
      <c r="A23" t="s">
        <v>26</v>
      </c>
      <c r="B23" t="s">
        <v>3114</v>
      </c>
      <c r="C23">
        <v>4.3726454067801205E-3</v>
      </c>
      <c r="D23">
        <v>1.9790448225238604E-2</v>
      </c>
      <c r="E23">
        <f>ABS(Table1[[#This Row],[Flux in SC / glucose uptake ($mmol/mmol\ glc$)]]-Table1[[#This Row],[Flux in RT / glucose uptake ($mmol/mmol\ glc$)]])/SQRT(2)</f>
        <v>1.0902032923929057E-2</v>
      </c>
      <c r="F23">
        <f>Table1[[#This Row],[distance from 45-degree line]]/MAX(Table1[[Flux in SC / glucose uptake ($mmol/mmol\ glc$)]:[Flux in RT / glucose uptake ($mmol/mmol\ glc$)]])</f>
        <v>5.876071346613388E-4</v>
      </c>
      <c r="G23">
        <f>_xlfn.RANK.AVG(Table1[[#This Row],[Flux in SC / glucose uptake ($mmol/mmol\ glc$)]],Table1[Flux in SC / glucose uptake ($mmol/mmol\ glc$)])</f>
        <v>124</v>
      </c>
      <c r="H23">
        <f>_xlfn.RANK.AVG(Table1[[#This Row],[Flux in RT / glucose uptake ($mmol/mmol\ glc$)]],Table1[Flux in RT / glucose uptake ($mmol/mmol\ glc$)])</f>
        <v>143</v>
      </c>
      <c r="I23">
        <f>LOG(Table1[[#This Row],[Flux in SC / glucose uptake ($mmol/mmol\ glc$)]])</f>
        <v>-2.3592557396966845</v>
      </c>
      <c r="J23">
        <f>LOG(Table1[[#This Row],[Flux in RT / glucose uptake ($mmol/mmol\ glc$)]])</f>
        <v>-1.7035443695357284</v>
      </c>
      <c r="L23" t="str">
        <v>ADSL2i_c</v>
      </c>
      <c r="M23" t="str">
        <v>Purine metabolism</v>
      </c>
      <c r="N23">
        <v>-2.5501003837924046</v>
      </c>
      <c r="O23">
        <v>-1.8648483105811549</v>
      </c>
    </row>
    <row r="24" spans="1:15" x14ac:dyDescent="0.2">
      <c r="A24" t="s">
        <v>27</v>
      </c>
      <c r="B24" t="s">
        <v>3114</v>
      </c>
      <c r="C24">
        <v>0</v>
      </c>
      <c r="D24">
        <v>0</v>
      </c>
      <c r="E24">
        <f>ABS(Table1[[#This Row],[Flux in SC / glucose uptake ($mmol/mmol\ glc$)]]-Table1[[#This Row],[Flux in RT / glucose uptake ($mmol/mmol\ glc$)]])/SQRT(2)</f>
        <v>0</v>
      </c>
      <c r="F24">
        <f>Table1[[#This Row],[distance from 45-degree line]]/MAX(Table1[[Flux in SC / glucose uptake ($mmol/mmol\ glc$)]:[Flux in RT / glucose uptake ($mmol/mmol\ glc$)]])</f>
        <v>0</v>
      </c>
      <c r="G24">
        <f>_xlfn.RANK.AVG(Table1[[#This Row],[Flux in SC / glucose uptake ($mmol/mmol\ glc$)]],Table1[Flux in SC / glucose uptake ($mmol/mmol\ glc$)])</f>
        <v>1310.5</v>
      </c>
      <c r="H24">
        <f>_xlfn.RANK.AVG(Table1[[#This Row],[Flux in RT / glucose uptake ($mmol/mmol\ glc$)]],Table1[Flux in RT / glucose uptake ($mmol/mmol\ glc$)])</f>
        <v>1290.5</v>
      </c>
      <c r="I24" t="e">
        <f>LOG(Table1[[#This Row],[Flux in SC / glucose uptake ($mmol/mmol\ glc$)]])</f>
        <v>#NUM!</v>
      </c>
      <c r="J24" t="e">
        <f>LOG(Table1[[#This Row],[Flux in RT / glucose uptake ($mmol/mmol\ glc$)]])</f>
        <v>#NUM!</v>
      </c>
      <c r="L24" t="str">
        <v>ADSS_c</v>
      </c>
      <c r="M24" t="str">
        <v>Purine metabolism</v>
      </c>
      <c r="N24">
        <v>-2.5682433838135745</v>
      </c>
      <c r="O24">
        <v>-1.950591764427974</v>
      </c>
    </row>
    <row r="25" spans="1:15" x14ac:dyDescent="0.2">
      <c r="A25" t="s">
        <v>28</v>
      </c>
      <c r="B25" t="s">
        <v>3114</v>
      </c>
      <c r="C25">
        <v>0</v>
      </c>
      <c r="D25">
        <v>0</v>
      </c>
      <c r="E25">
        <f>ABS(Table1[[#This Row],[Flux in SC / glucose uptake ($mmol/mmol\ glc$)]]-Table1[[#This Row],[Flux in RT / glucose uptake ($mmol/mmol\ glc$)]])/SQRT(2)</f>
        <v>0</v>
      </c>
      <c r="F25">
        <f>Table1[[#This Row],[distance from 45-degree line]]/MAX(Table1[[Flux in SC / glucose uptake ($mmol/mmol\ glc$)]:[Flux in RT / glucose uptake ($mmol/mmol\ glc$)]])</f>
        <v>0</v>
      </c>
      <c r="G25">
        <f>_xlfn.RANK.AVG(Table1[[#This Row],[Flux in SC / glucose uptake ($mmol/mmol\ glc$)]],Table1[Flux in SC / glucose uptake ($mmol/mmol\ glc$)])</f>
        <v>1310.5</v>
      </c>
      <c r="H25">
        <f>_xlfn.RANK.AVG(Table1[[#This Row],[Flux in RT / glucose uptake ($mmol/mmol\ glc$)]],Table1[Flux in RT / glucose uptake ($mmol/mmol\ glc$)])</f>
        <v>1290.5</v>
      </c>
      <c r="I25" t="e">
        <f>LOG(Table1[[#This Row],[Flux in SC / glucose uptake ($mmol/mmol\ glc$)]])</f>
        <v>#NUM!</v>
      </c>
      <c r="J25" t="e">
        <f>LOG(Table1[[#This Row],[Flux in RT / glucose uptake ($mmol/mmol\ glc$)]])</f>
        <v>#NUM!</v>
      </c>
      <c r="L25" t="str">
        <v>AGPRi_m</v>
      </c>
      <c r="M25" t="str">
        <v>Arginine and proline metabolism</v>
      </c>
      <c r="N25">
        <v>-2.4442037493305238</v>
      </c>
      <c r="O25">
        <v>-0.97084269676932011</v>
      </c>
    </row>
    <row r="26" spans="1:15" x14ac:dyDescent="0.2">
      <c r="A26" t="s">
        <v>29</v>
      </c>
      <c r="B26" t="s">
        <v>3114</v>
      </c>
      <c r="C26">
        <v>0</v>
      </c>
      <c r="D26">
        <v>0</v>
      </c>
      <c r="E26">
        <f>ABS(Table1[[#This Row],[Flux in SC / glucose uptake ($mmol/mmol\ glc$)]]-Table1[[#This Row],[Flux in RT / glucose uptake ($mmol/mmol\ glc$)]])/SQRT(2)</f>
        <v>0</v>
      </c>
      <c r="F26">
        <f>Table1[[#This Row],[distance from 45-degree line]]/MAX(Table1[[Flux in SC / glucose uptake ($mmol/mmol\ glc$)]:[Flux in RT / glucose uptake ($mmol/mmol\ glc$)]])</f>
        <v>0</v>
      </c>
      <c r="G26">
        <f>_xlfn.RANK.AVG(Table1[[#This Row],[Flux in SC / glucose uptake ($mmol/mmol\ glc$)]],Table1[Flux in SC / glucose uptake ($mmol/mmol\ glc$)])</f>
        <v>1310.5</v>
      </c>
      <c r="H26">
        <f>_xlfn.RANK.AVG(Table1[[#This Row],[Flux in RT / glucose uptake ($mmol/mmol\ glc$)]],Table1[Flux in RT / glucose uptake ($mmol/mmol\ glc$)])</f>
        <v>1290.5</v>
      </c>
      <c r="I26" t="e">
        <f>LOG(Table1[[#This Row],[Flux in SC / glucose uptake ($mmol/mmol\ glc$)]])</f>
        <v>#NUM!</v>
      </c>
      <c r="J26" t="e">
        <f>LOG(Table1[[#This Row],[Flux in RT / glucose uptake ($mmol/mmol\ glc$)]])</f>
        <v>#NUM!</v>
      </c>
      <c r="L26" t="str">
        <v>AHCi_c</v>
      </c>
      <c r="M26" t="str">
        <v>Cysteine and methionine metabolism</v>
      </c>
      <c r="N26">
        <v>-2.8076463724064662</v>
      </c>
      <c r="O26">
        <v>-1.9939648008075515</v>
      </c>
    </row>
    <row r="27" spans="1:15" x14ac:dyDescent="0.2">
      <c r="A27" t="s">
        <v>30</v>
      </c>
      <c r="B27" t="s">
        <v>3114</v>
      </c>
      <c r="C27">
        <v>0</v>
      </c>
      <c r="D27">
        <v>0</v>
      </c>
      <c r="E27">
        <f>ABS(Table1[[#This Row],[Flux in SC / glucose uptake ($mmol/mmol\ glc$)]]-Table1[[#This Row],[Flux in RT / glucose uptake ($mmol/mmol\ glc$)]])/SQRT(2)</f>
        <v>0</v>
      </c>
      <c r="F27">
        <f>Table1[[#This Row],[distance from 45-degree line]]/MAX(Table1[[Flux in SC / glucose uptake ($mmol/mmol\ glc$)]:[Flux in RT / glucose uptake ($mmol/mmol\ glc$)]])</f>
        <v>0</v>
      </c>
      <c r="G27">
        <f>_xlfn.RANK.AVG(Table1[[#This Row],[Flux in SC / glucose uptake ($mmol/mmol\ glc$)]],Table1[Flux in SC / glucose uptake ($mmol/mmol\ glc$)])</f>
        <v>1310.5</v>
      </c>
      <c r="H27">
        <f>_xlfn.RANK.AVG(Table1[[#This Row],[Flux in RT / glucose uptake ($mmol/mmol\ glc$)]],Table1[Flux in RT / glucose uptake ($mmol/mmol\ glc$)])</f>
        <v>1290.5</v>
      </c>
      <c r="I27" t="e">
        <f>LOG(Table1[[#This Row],[Flux in SC / glucose uptake ($mmol/mmol\ glc$)]])</f>
        <v>#NUM!</v>
      </c>
      <c r="J27" t="e">
        <f>LOG(Table1[[#This Row],[Flux in RT / glucose uptake ($mmol/mmol\ glc$)]])</f>
        <v>#NUM!</v>
      </c>
      <c r="L27" t="str">
        <v>AHSERL2_c</v>
      </c>
      <c r="M27" t="str">
        <v>Cysteine and methionine metabolism</v>
      </c>
      <c r="N27">
        <v>-3.0696114247195303</v>
      </c>
      <c r="O27">
        <v>-2.413903635373893</v>
      </c>
    </row>
    <row r="28" spans="1:15" x14ac:dyDescent="0.2">
      <c r="A28" t="s">
        <v>31</v>
      </c>
      <c r="B28" t="s">
        <v>3114</v>
      </c>
      <c r="C28">
        <v>0</v>
      </c>
      <c r="D28">
        <v>0</v>
      </c>
      <c r="E28">
        <f>ABS(Table1[[#This Row],[Flux in SC / glucose uptake ($mmol/mmol\ glc$)]]-Table1[[#This Row],[Flux in RT / glucose uptake ($mmol/mmol\ glc$)]])/SQRT(2)</f>
        <v>0</v>
      </c>
      <c r="F28">
        <f>Table1[[#This Row],[distance from 45-degree line]]/MAX(Table1[[Flux in SC / glucose uptake ($mmol/mmol\ glc$)]:[Flux in RT / glucose uptake ($mmol/mmol\ glc$)]])</f>
        <v>0</v>
      </c>
      <c r="G28">
        <f>_xlfn.RANK.AVG(Table1[[#This Row],[Flux in SC / glucose uptake ($mmol/mmol\ glc$)]],Table1[Flux in SC / glucose uptake ($mmol/mmol\ glc$)])</f>
        <v>1310.5</v>
      </c>
      <c r="H28">
        <f>_xlfn.RANK.AVG(Table1[[#This Row],[Flux in RT / glucose uptake ($mmol/mmol\ glc$)]],Table1[Flux in RT / glucose uptake ($mmol/mmol\ glc$)])</f>
        <v>1290.5</v>
      </c>
      <c r="I28" t="e">
        <f>LOG(Table1[[#This Row],[Flux in SC / glucose uptake ($mmol/mmol\ glc$)]])</f>
        <v>#NUM!</v>
      </c>
      <c r="J28" t="e">
        <f>LOG(Table1[[#This Row],[Flux in RT / glucose uptake ($mmol/mmol\ glc$)]])</f>
        <v>#NUM!</v>
      </c>
      <c r="L28" t="str">
        <v>AICART_c</v>
      </c>
      <c r="M28" t="str">
        <v>Purine metabolism</v>
      </c>
      <c r="N28">
        <v>-2.3869792238621645</v>
      </c>
      <c r="O28">
        <v>-1.7107622024136595</v>
      </c>
    </row>
    <row r="29" spans="1:15" x14ac:dyDescent="0.2">
      <c r="A29" t="s">
        <v>32</v>
      </c>
      <c r="B29" t="s">
        <v>3120</v>
      </c>
      <c r="C29">
        <v>0</v>
      </c>
      <c r="D29">
        <v>0</v>
      </c>
      <c r="E29">
        <f>ABS(Table1[[#This Row],[Flux in SC / glucose uptake ($mmol/mmol\ glc$)]]-Table1[[#This Row],[Flux in RT / glucose uptake ($mmol/mmol\ glc$)]])/SQRT(2)</f>
        <v>0</v>
      </c>
      <c r="F29">
        <f>Table1[[#This Row],[distance from 45-degree line]]/MAX(Table1[[Flux in SC / glucose uptake ($mmol/mmol\ glc$)]:[Flux in RT / glucose uptake ($mmol/mmol\ glc$)]])</f>
        <v>0</v>
      </c>
      <c r="G29">
        <f>_xlfn.RANK.AVG(Table1[[#This Row],[Flux in SC / glucose uptake ($mmol/mmol\ glc$)]],Table1[Flux in SC / glucose uptake ($mmol/mmol\ glc$)])</f>
        <v>1310.5</v>
      </c>
      <c r="H29">
        <f>_xlfn.RANK.AVG(Table1[[#This Row],[Flux in RT / glucose uptake ($mmol/mmol\ glc$)]],Table1[Flux in RT / glucose uptake ($mmol/mmol\ glc$)])</f>
        <v>1290.5</v>
      </c>
      <c r="I29" t="e">
        <f>LOG(Table1[[#This Row],[Flux in SC / glucose uptake ($mmol/mmol\ glc$)]])</f>
        <v>#NUM!</v>
      </c>
      <c r="J29" t="e">
        <f>LOG(Table1[[#This Row],[Flux in RT / glucose uptake ($mmol/mmol\ glc$)]])</f>
        <v>#NUM!</v>
      </c>
      <c r="L29" t="str">
        <v>AIRC1_c</v>
      </c>
      <c r="M29" t="str">
        <v>Purine metabolism</v>
      </c>
      <c r="N29">
        <v>-2.5501003837924046</v>
      </c>
      <c r="O29">
        <v>-1.8648483105811549</v>
      </c>
    </row>
    <row r="30" spans="1:15" x14ac:dyDescent="0.2">
      <c r="A30" t="s">
        <v>33</v>
      </c>
      <c r="B30" t="s">
        <v>3121</v>
      </c>
      <c r="C30">
        <v>0</v>
      </c>
      <c r="D30">
        <v>0</v>
      </c>
      <c r="E30">
        <f>ABS(Table1[[#This Row],[Flux in SC / glucose uptake ($mmol/mmol\ glc$)]]-Table1[[#This Row],[Flux in RT / glucose uptake ($mmol/mmol\ glc$)]])/SQRT(2)</f>
        <v>0</v>
      </c>
      <c r="F30">
        <f>Table1[[#This Row],[distance from 45-degree line]]/MAX(Table1[[Flux in SC / glucose uptake ($mmol/mmol\ glc$)]:[Flux in RT / glucose uptake ($mmol/mmol\ glc$)]])</f>
        <v>0</v>
      </c>
      <c r="G30">
        <f>_xlfn.RANK.AVG(Table1[[#This Row],[Flux in SC / glucose uptake ($mmol/mmol\ glc$)]],Table1[Flux in SC / glucose uptake ($mmol/mmol\ glc$)])</f>
        <v>1310.5</v>
      </c>
      <c r="H30">
        <f>_xlfn.RANK.AVG(Table1[[#This Row],[Flux in RT / glucose uptake ($mmol/mmol\ glc$)]],Table1[Flux in RT / glucose uptake ($mmol/mmol\ glc$)])</f>
        <v>1290.5</v>
      </c>
      <c r="I30" t="e">
        <f>LOG(Table1[[#This Row],[Flux in SC / glucose uptake ($mmol/mmol\ glc$)]])</f>
        <v>#NUM!</v>
      </c>
      <c r="J30" t="e">
        <f>LOG(Table1[[#This Row],[Flux in RT / glucose uptake ($mmol/mmol\ glc$)]])</f>
        <v>#NUM!</v>
      </c>
      <c r="L30" t="str">
        <v>AKGDH_m</v>
      </c>
      <c r="M30" t="str">
        <v>Citric acid cycle</v>
      </c>
      <c r="N30">
        <v>-3.1128499741398463</v>
      </c>
      <c r="O30">
        <v>-0.60630033258635219</v>
      </c>
    </row>
    <row r="31" spans="1:15" x14ac:dyDescent="0.2">
      <c r="A31" t="s">
        <v>34</v>
      </c>
      <c r="B31" t="s">
        <v>3122</v>
      </c>
      <c r="C31">
        <v>0</v>
      </c>
      <c r="D31">
        <v>0</v>
      </c>
      <c r="E31">
        <f>ABS(Table1[[#This Row],[Flux in SC / glucose uptake ($mmol/mmol\ glc$)]]-Table1[[#This Row],[Flux in RT / glucose uptake ($mmol/mmol\ glc$)]])/SQRT(2)</f>
        <v>0</v>
      </c>
      <c r="F31">
        <f>Table1[[#This Row],[distance from 45-degree line]]/MAX(Table1[[Flux in SC / glucose uptake ($mmol/mmol\ glc$)]:[Flux in RT / glucose uptake ($mmol/mmol\ glc$)]])</f>
        <v>0</v>
      </c>
      <c r="G31">
        <f>_xlfn.RANK.AVG(Table1[[#This Row],[Flux in SC / glucose uptake ($mmol/mmol\ glc$)]],Table1[Flux in SC / glucose uptake ($mmol/mmol\ glc$)])</f>
        <v>1310.5</v>
      </c>
      <c r="H31">
        <f>_xlfn.RANK.AVG(Table1[[#This Row],[Flux in RT / glucose uptake ($mmol/mmol\ glc$)]],Table1[Flux in RT / glucose uptake ($mmol/mmol\ glc$)])</f>
        <v>1290.5</v>
      </c>
      <c r="I31" t="e">
        <f>LOG(Table1[[#This Row],[Flux in SC / glucose uptake ($mmol/mmol\ glc$)]])</f>
        <v>#NUM!</v>
      </c>
      <c r="J31" t="e">
        <f>LOG(Table1[[#This Row],[Flux in RT / glucose uptake ($mmol/mmol\ glc$)]])</f>
        <v>#NUM!</v>
      </c>
      <c r="L31" t="str">
        <v>AKGMALta_m</v>
      </c>
      <c r="M31" t="str">
        <v>Transport</v>
      </c>
      <c r="N31">
        <v>-1.7514094871554933</v>
      </c>
      <c r="O31">
        <v>-0.24637670034601139</v>
      </c>
    </row>
    <row r="32" spans="1:15" x14ac:dyDescent="0.2">
      <c r="A32" t="s">
        <v>35</v>
      </c>
      <c r="B32" t="s">
        <v>3122</v>
      </c>
      <c r="C32">
        <v>0</v>
      </c>
      <c r="D32">
        <v>0</v>
      </c>
      <c r="E32">
        <f>ABS(Table1[[#This Row],[Flux in SC / glucose uptake ($mmol/mmol\ glc$)]]-Table1[[#This Row],[Flux in RT / glucose uptake ($mmol/mmol\ glc$)]])/SQRT(2)</f>
        <v>0</v>
      </c>
      <c r="F32">
        <f>Table1[[#This Row],[distance from 45-degree line]]/MAX(Table1[[Flux in SC / glucose uptake ($mmol/mmol\ glc$)]:[Flux in RT / glucose uptake ($mmol/mmol\ glc$)]])</f>
        <v>0</v>
      </c>
      <c r="G32">
        <f>_xlfn.RANK.AVG(Table1[[#This Row],[Flux in SC / glucose uptake ($mmol/mmol\ glc$)]],Table1[Flux in SC / glucose uptake ($mmol/mmol\ glc$)])</f>
        <v>1310.5</v>
      </c>
      <c r="H32">
        <f>_xlfn.RANK.AVG(Table1[[#This Row],[Flux in RT / glucose uptake ($mmol/mmol\ glc$)]],Table1[Flux in RT / glucose uptake ($mmol/mmol\ glc$)])</f>
        <v>1290.5</v>
      </c>
      <c r="I32" t="e">
        <f>LOG(Table1[[#This Row],[Flux in SC / glucose uptake ($mmol/mmol\ glc$)]])</f>
        <v>#NUM!</v>
      </c>
      <c r="J32" t="e">
        <f>LOG(Table1[[#This Row],[Flux in RT / glucose uptake ($mmol/mmol\ glc$)]])</f>
        <v>#NUM!</v>
      </c>
      <c r="L32" t="str">
        <v>ALATA_L_m</v>
      </c>
      <c r="M32" t="str">
        <v>Alanine, aspartate and glutamate metabolism</v>
      </c>
      <c r="N32">
        <v>-3.1129597530984534</v>
      </c>
      <c r="O32">
        <v>-1.0938621104077499</v>
      </c>
    </row>
    <row r="33" spans="1:15" x14ac:dyDescent="0.2">
      <c r="A33" t="s">
        <v>36</v>
      </c>
      <c r="B33" t="s">
        <v>3122</v>
      </c>
      <c r="C33">
        <v>0</v>
      </c>
      <c r="D33">
        <v>0</v>
      </c>
      <c r="E33">
        <f>ABS(Table1[[#This Row],[Flux in SC / glucose uptake ($mmol/mmol\ glc$)]]-Table1[[#This Row],[Flux in RT / glucose uptake ($mmol/mmol\ glc$)]])/SQRT(2)</f>
        <v>0</v>
      </c>
      <c r="F33">
        <f>Table1[[#This Row],[distance from 45-degree line]]/MAX(Table1[[Flux in SC / glucose uptake ($mmol/mmol\ glc$)]:[Flux in RT / glucose uptake ($mmol/mmol\ glc$)]])</f>
        <v>0</v>
      </c>
      <c r="G33">
        <f>_xlfn.RANK.AVG(Table1[[#This Row],[Flux in SC / glucose uptake ($mmol/mmol\ glc$)]],Table1[Flux in SC / glucose uptake ($mmol/mmol\ glc$)])</f>
        <v>1310.5</v>
      </c>
      <c r="H33">
        <f>_xlfn.RANK.AVG(Table1[[#This Row],[Flux in RT / glucose uptake ($mmol/mmol\ glc$)]],Table1[Flux in RT / glucose uptake ($mmol/mmol\ glc$)])</f>
        <v>1290.5</v>
      </c>
      <c r="I33" t="e">
        <f>LOG(Table1[[#This Row],[Flux in SC / glucose uptake ($mmol/mmol\ glc$)]])</f>
        <v>#NUM!</v>
      </c>
      <c r="J33" t="e">
        <f>LOG(Table1[[#This Row],[Flux in RT / glucose uptake ($mmol/mmol\ glc$)]])</f>
        <v>#NUM!</v>
      </c>
      <c r="L33" t="str">
        <v>ANPRT_c</v>
      </c>
      <c r="M33" t="str">
        <v>Phenylalanine, tyrosine and tryptophan metabolism</v>
      </c>
      <c r="N33">
        <v>-2.2101358912966407</v>
      </c>
      <c r="O33">
        <v>-0.95097222922367086</v>
      </c>
    </row>
    <row r="34" spans="1:15" x14ac:dyDescent="0.2">
      <c r="A34" t="s">
        <v>37</v>
      </c>
      <c r="B34" t="s">
        <v>3122</v>
      </c>
      <c r="C34">
        <v>0</v>
      </c>
      <c r="D34">
        <v>0</v>
      </c>
      <c r="E34">
        <f>ABS(Table1[[#This Row],[Flux in SC / glucose uptake ($mmol/mmol\ glc$)]]-Table1[[#This Row],[Flux in RT / glucose uptake ($mmol/mmol\ glc$)]])/SQRT(2)</f>
        <v>0</v>
      </c>
      <c r="F34">
        <f>Table1[[#This Row],[distance from 45-degree line]]/MAX(Table1[[Flux in SC / glucose uptake ($mmol/mmol\ glc$)]:[Flux in RT / glucose uptake ($mmol/mmol\ glc$)]])</f>
        <v>0</v>
      </c>
      <c r="G34">
        <f>_xlfn.RANK.AVG(Table1[[#This Row],[Flux in SC / glucose uptake ($mmol/mmol\ glc$)]],Table1[Flux in SC / glucose uptake ($mmol/mmol\ glc$)])</f>
        <v>1310.5</v>
      </c>
      <c r="H34">
        <f>_xlfn.RANK.AVG(Table1[[#This Row],[Flux in RT / glucose uptake ($mmol/mmol\ glc$)]],Table1[Flux in RT / glucose uptake ($mmol/mmol\ glc$)])</f>
        <v>1290.5</v>
      </c>
      <c r="I34" t="e">
        <f>LOG(Table1[[#This Row],[Flux in SC / glucose uptake ($mmol/mmol\ glc$)]])</f>
        <v>#NUM!</v>
      </c>
      <c r="J34" t="e">
        <f>LOG(Table1[[#This Row],[Flux in RT / glucose uptake ($mmol/mmol\ glc$)]])</f>
        <v>#NUM!</v>
      </c>
      <c r="L34" t="str">
        <v>ANS_c</v>
      </c>
      <c r="M34" t="str">
        <v>Phenylalanine, tyrosine and tryptophan metabolism</v>
      </c>
      <c r="N34">
        <v>-3.3639112909621374</v>
      </c>
      <c r="O34">
        <v>-2.7081993688609258</v>
      </c>
    </row>
    <row r="35" spans="1:15" x14ac:dyDescent="0.2">
      <c r="A35" t="s">
        <v>38</v>
      </c>
      <c r="B35" t="s">
        <v>3123</v>
      </c>
      <c r="C35">
        <v>0</v>
      </c>
      <c r="D35">
        <v>0</v>
      </c>
      <c r="E35">
        <f>ABS(Table1[[#This Row],[Flux in SC / glucose uptake ($mmol/mmol\ glc$)]]-Table1[[#This Row],[Flux in RT / glucose uptake ($mmol/mmol\ glc$)]])/SQRT(2)</f>
        <v>0</v>
      </c>
      <c r="F35">
        <f>Table1[[#This Row],[distance from 45-degree line]]/MAX(Table1[[Flux in SC / glucose uptake ($mmol/mmol\ glc$)]:[Flux in RT / glucose uptake ($mmol/mmol\ glc$)]])</f>
        <v>0</v>
      </c>
      <c r="G35">
        <f>_xlfn.RANK.AVG(Table1[[#This Row],[Flux in SC / glucose uptake ($mmol/mmol\ glc$)]],Table1[Flux in SC / glucose uptake ($mmol/mmol\ glc$)])</f>
        <v>1310.5</v>
      </c>
      <c r="H35">
        <f>_xlfn.RANK.AVG(Table1[[#This Row],[Flux in RT / glucose uptake ($mmol/mmol\ glc$)]],Table1[Flux in RT / glucose uptake ($mmol/mmol\ glc$)])</f>
        <v>1290.5</v>
      </c>
      <c r="I35" t="e">
        <f>LOG(Table1[[#This Row],[Flux in SC / glucose uptake ($mmol/mmol\ glc$)]])</f>
        <v>#NUM!</v>
      </c>
      <c r="J35" t="e">
        <f>LOG(Table1[[#This Row],[Flux in RT / glucose uptake ($mmol/mmol\ glc$)]])</f>
        <v>#NUM!</v>
      </c>
      <c r="L35" t="str">
        <v>ARGSL_c</v>
      </c>
      <c r="M35" t="str">
        <v>Arginine and proline metabolism</v>
      </c>
      <c r="N35">
        <v>-2.5907623243886508</v>
      </c>
      <c r="O35">
        <v>-1.9345238324266469</v>
      </c>
    </row>
    <row r="36" spans="1:15" x14ac:dyDescent="0.2">
      <c r="A36" t="s">
        <v>39</v>
      </c>
      <c r="B36" t="s">
        <v>3123</v>
      </c>
      <c r="C36">
        <v>0</v>
      </c>
      <c r="D36">
        <v>0</v>
      </c>
      <c r="E36">
        <f>ABS(Table1[[#This Row],[Flux in SC / glucose uptake ($mmol/mmol\ glc$)]]-Table1[[#This Row],[Flux in RT / glucose uptake ($mmol/mmol\ glc$)]])/SQRT(2)</f>
        <v>0</v>
      </c>
      <c r="F36">
        <f>Table1[[#This Row],[distance from 45-degree line]]/MAX(Table1[[Flux in SC / glucose uptake ($mmol/mmol\ glc$)]:[Flux in RT / glucose uptake ($mmol/mmol\ glc$)]])</f>
        <v>0</v>
      </c>
      <c r="G36">
        <f>_xlfn.RANK.AVG(Table1[[#This Row],[Flux in SC / glucose uptake ($mmol/mmol\ glc$)]],Table1[Flux in SC / glucose uptake ($mmol/mmol\ glc$)])</f>
        <v>1310.5</v>
      </c>
      <c r="H36">
        <f>_xlfn.RANK.AVG(Table1[[#This Row],[Flux in RT / glucose uptake ($mmol/mmol\ glc$)]],Table1[Flux in RT / glucose uptake ($mmol/mmol\ glc$)])</f>
        <v>1290.5</v>
      </c>
      <c r="I36" t="e">
        <f>LOG(Table1[[#This Row],[Flux in SC / glucose uptake ($mmol/mmol\ glc$)]])</f>
        <v>#NUM!</v>
      </c>
      <c r="J36" t="e">
        <f>LOG(Table1[[#This Row],[Flux in RT / glucose uptake ($mmol/mmol\ glc$)]])</f>
        <v>#NUM!</v>
      </c>
      <c r="L36" t="str">
        <v>ARGSS_c</v>
      </c>
      <c r="M36" t="str">
        <v>Arginine and proline metabolism</v>
      </c>
      <c r="N36">
        <v>-2.5907623243886508</v>
      </c>
      <c r="O36">
        <v>-1.9345238324266469</v>
      </c>
    </row>
    <row r="37" spans="1:15" x14ac:dyDescent="0.2">
      <c r="A37" t="s">
        <v>40</v>
      </c>
      <c r="B37" t="s">
        <v>3123</v>
      </c>
      <c r="C37">
        <v>0</v>
      </c>
      <c r="D37">
        <v>0</v>
      </c>
      <c r="E37">
        <f>ABS(Table1[[#This Row],[Flux in SC / glucose uptake ($mmol/mmol\ glc$)]]-Table1[[#This Row],[Flux in RT / glucose uptake ($mmol/mmol\ glc$)]])/SQRT(2)</f>
        <v>0</v>
      </c>
      <c r="F37">
        <f>Table1[[#This Row],[distance from 45-degree line]]/MAX(Table1[[Flux in SC / glucose uptake ($mmol/mmol\ glc$)]:[Flux in RT / glucose uptake ($mmol/mmol\ glc$)]])</f>
        <v>0</v>
      </c>
      <c r="G37">
        <f>_xlfn.RANK.AVG(Table1[[#This Row],[Flux in SC / glucose uptake ($mmol/mmol\ glc$)]],Table1[Flux in SC / glucose uptake ($mmol/mmol\ glc$)])</f>
        <v>1310.5</v>
      </c>
      <c r="H37">
        <f>_xlfn.RANK.AVG(Table1[[#This Row],[Flux in RT / glucose uptake ($mmol/mmol\ glc$)]],Table1[Flux in RT / glucose uptake ($mmol/mmol\ glc$)])</f>
        <v>1290.5</v>
      </c>
      <c r="I37" t="e">
        <f>LOG(Table1[[#This Row],[Flux in SC / glucose uptake ($mmol/mmol\ glc$)]])</f>
        <v>#NUM!</v>
      </c>
      <c r="J37" t="e">
        <f>LOG(Table1[[#This Row],[Flux in RT / glucose uptake ($mmol/mmol\ glc$)]])</f>
        <v>#NUM!</v>
      </c>
      <c r="L37" t="str">
        <v>ASAD_c</v>
      </c>
      <c r="M37" t="str">
        <v>Glycine, serine and threonine metabolism</v>
      </c>
      <c r="N37">
        <v>-2.0764508779814577</v>
      </c>
      <c r="O37">
        <v>-1.4207400194787898</v>
      </c>
    </row>
    <row r="38" spans="1:15" x14ac:dyDescent="0.2">
      <c r="A38" t="s">
        <v>41</v>
      </c>
      <c r="B38" t="s">
        <v>3123</v>
      </c>
      <c r="C38">
        <v>0</v>
      </c>
      <c r="D38">
        <v>0</v>
      </c>
      <c r="E38">
        <f>ABS(Table1[[#This Row],[Flux in SC / glucose uptake ($mmol/mmol\ glc$)]]-Table1[[#This Row],[Flux in RT / glucose uptake ($mmol/mmol\ glc$)]])/SQRT(2)</f>
        <v>0</v>
      </c>
      <c r="F38">
        <f>Table1[[#This Row],[distance from 45-degree line]]/MAX(Table1[[Flux in SC / glucose uptake ($mmol/mmol\ glc$)]:[Flux in RT / glucose uptake ($mmol/mmol\ glc$)]])</f>
        <v>0</v>
      </c>
      <c r="G38">
        <f>_xlfn.RANK.AVG(Table1[[#This Row],[Flux in SC / glucose uptake ($mmol/mmol\ glc$)]],Table1[Flux in SC / glucose uptake ($mmol/mmol\ glc$)])</f>
        <v>1310.5</v>
      </c>
      <c r="H38">
        <f>_xlfn.RANK.AVG(Table1[[#This Row],[Flux in RT / glucose uptake ($mmol/mmol\ glc$)]],Table1[Flux in RT / glucose uptake ($mmol/mmol\ glc$)])</f>
        <v>1290.5</v>
      </c>
      <c r="I38" t="e">
        <f>LOG(Table1[[#This Row],[Flux in SC / glucose uptake ($mmol/mmol\ glc$)]])</f>
        <v>#NUM!</v>
      </c>
      <c r="J38" t="e">
        <f>LOG(Table1[[#This Row],[Flux in RT / glucose uptake ($mmol/mmol\ glc$)]])</f>
        <v>#NUM!</v>
      </c>
      <c r="L38" t="str">
        <v>ASNS1_c</v>
      </c>
      <c r="M38" t="str">
        <v>Alanine, aspartate and glutamate metabolism</v>
      </c>
      <c r="N38">
        <v>-2.5103025543788933</v>
      </c>
      <c r="O38">
        <v>-1.8545925266651584</v>
      </c>
    </row>
    <row r="39" spans="1:15" x14ac:dyDescent="0.2">
      <c r="A39" t="s">
        <v>42</v>
      </c>
      <c r="B39" t="s">
        <v>3123</v>
      </c>
      <c r="C39">
        <v>0</v>
      </c>
      <c r="D39">
        <v>0</v>
      </c>
      <c r="E39">
        <f>ABS(Table1[[#This Row],[Flux in SC / glucose uptake ($mmol/mmol\ glc$)]]-Table1[[#This Row],[Flux in RT / glucose uptake ($mmol/mmol\ glc$)]])/SQRT(2)</f>
        <v>0</v>
      </c>
      <c r="F39">
        <f>Table1[[#This Row],[distance from 45-degree line]]/MAX(Table1[[Flux in SC / glucose uptake ($mmol/mmol\ glc$)]:[Flux in RT / glucose uptake ($mmol/mmol\ glc$)]])</f>
        <v>0</v>
      </c>
      <c r="G39">
        <f>_xlfn.RANK.AVG(Table1[[#This Row],[Flux in SC / glucose uptake ($mmol/mmol\ glc$)]],Table1[Flux in SC / glucose uptake ($mmol/mmol\ glc$)])</f>
        <v>1310.5</v>
      </c>
      <c r="H39">
        <f>_xlfn.RANK.AVG(Table1[[#This Row],[Flux in RT / glucose uptake ($mmol/mmol\ glc$)]],Table1[Flux in RT / glucose uptake ($mmol/mmol\ glc$)])</f>
        <v>1290.5</v>
      </c>
      <c r="I39" t="e">
        <f>LOG(Table1[[#This Row],[Flux in SC / glucose uptake ($mmol/mmol\ glc$)]])</f>
        <v>#NUM!</v>
      </c>
      <c r="J39" t="e">
        <f>LOG(Table1[[#This Row],[Flux in RT / glucose uptake ($mmol/mmol\ glc$)]])</f>
        <v>#NUM!</v>
      </c>
      <c r="L39" t="str">
        <v>ASPCT_c</v>
      </c>
      <c r="M39" t="str">
        <v>Pyrimidine metabolism</v>
      </c>
      <c r="N39">
        <v>-2.4960978548498174</v>
      </c>
      <c r="O39">
        <v>-1.8446610994166099</v>
      </c>
    </row>
    <row r="40" spans="1:15" x14ac:dyDescent="0.2">
      <c r="A40" t="s">
        <v>43</v>
      </c>
      <c r="B40" t="s">
        <v>3123</v>
      </c>
      <c r="C40">
        <v>0</v>
      </c>
      <c r="D40">
        <v>0</v>
      </c>
      <c r="E40">
        <f>ABS(Table1[[#This Row],[Flux in SC / glucose uptake ($mmol/mmol\ glc$)]]-Table1[[#This Row],[Flux in RT / glucose uptake ($mmol/mmol\ glc$)]])/SQRT(2)</f>
        <v>0</v>
      </c>
      <c r="F40">
        <f>Table1[[#This Row],[distance from 45-degree line]]/MAX(Table1[[Flux in SC / glucose uptake ($mmol/mmol\ glc$)]:[Flux in RT / glucose uptake ($mmol/mmol\ glc$)]])</f>
        <v>0</v>
      </c>
      <c r="G40">
        <f>_xlfn.RANK.AVG(Table1[[#This Row],[Flux in SC / glucose uptake ($mmol/mmol\ glc$)]],Table1[Flux in SC / glucose uptake ($mmol/mmol\ glc$)])</f>
        <v>1310.5</v>
      </c>
      <c r="H40">
        <f>_xlfn.RANK.AVG(Table1[[#This Row],[Flux in RT / glucose uptake ($mmol/mmol\ glc$)]],Table1[Flux in RT / glucose uptake ($mmol/mmol\ glc$)])</f>
        <v>1290.5</v>
      </c>
      <c r="I40" t="e">
        <f>LOG(Table1[[#This Row],[Flux in SC / glucose uptake ($mmol/mmol\ glc$)]])</f>
        <v>#NUM!</v>
      </c>
      <c r="J40" t="e">
        <f>LOG(Table1[[#This Row],[Flux in RT / glucose uptake ($mmol/mmol\ glc$)]])</f>
        <v>#NUM!</v>
      </c>
      <c r="L40" t="str">
        <v>ASPGLUt_c_m</v>
      </c>
      <c r="M40" t="str">
        <v>Transport</v>
      </c>
      <c r="N40">
        <v>-8.4423686491515095</v>
      </c>
      <c r="O40">
        <v>-0.41345424099640105</v>
      </c>
    </row>
    <row r="41" spans="1:15" x14ac:dyDescent="0.2">
      <c r="A41" t="s">
        <v>44</v>
      </c>
      <c r="B41" t="s">
        <v>3123</v>
      </c>
      <c r="C41">
        <v>0</v>
      </c>
      <c r="D41">
        <v>0</v>
      </c>
      <c r="E41">
        <f>ABS(Table1[[#This Row],[Flux in SC / glucose uptake ($mmol/mmol\ glc$)]]-Table1[[#This Row],[Flux in RT / glucose uptake ($mmol/mmol\ glc$)]])/SQRT(2)</f>
        <v>0</v>
      </c>
      <c r="F41">
        <f>Table1[[#This Row],[distance from 45-degree line]]/MAX(Table1[[Flux in SC / glucose uptake ($mmol/mmol\ glc$)]:[Flux in RT / glucose uptake ($mmol/mmol\ glc$)]])</f>
        <v>0</v>
      </c>
      <c r="G41">
        <f>_xlfn.RANK.AVG(Table1[[#This Row],[Flux in SC / glucose uptake ($mmol/mmol\ glc$)]],Table1[Flux in SC / glucose uptake ($mmol/mmol\ glc$)])</f>
        <v>1310.5</v>
      </c>
      <c r="H41">
        <f>_xlfn.RANK.AVG(Table1[[#This Row],[Flux in RT / glucose uptake ($mmol/mmol\ glc$)]],Table1[Flux in RT / glucose uptake ($mmol/mmol\ glc$)])</f>
        <v>1290.5</v>
      </c>
      <c r="I41" t="e">
        <f>LOG(Table1[[#This Row],[Flux in SC / glucose uptake ($mmol/mmol\ glc$)]])</f>
        <v>#NUM!</v>
      </c>
      <c r="J41" t="e">
        <f>LOG(Table1[[#This Row],[Flux in RT / glucose uptake ($mmol/mmol\ glc$)]])</f>
        <v>#NUM!</v>
      </c>
      <c r="L41" t="str">
        <v>ASPK_c</v>
      </c>
      <c r="M41" t="str">
        <v>Glycine, serine and threonine metabolism</v>
      </c>
      <c r="N41">
        <v>-2.0764508779814577</v>
      </c>
      <c r="O41">
        <v>-1.4207400194787898</v>
      </c>
    </row>
    <row r="42" spans="1:15" x14ac:dyDescent="0.2">
      <c r="A42" t="s">
        <v>45</v>
      </c>
      <c r="B42" t="s">
        <v>3123</v>
      </c>
      <c r="C42">
        <v>0</v>
      </c>
      <c r="D42">
        <v>0</v>
      </c>
      <c r="E42">
        <f>ABS(Table1[[#This Row],[Flux in SC / glucose uptake ($mmol/mmol\ glc$)]]-Table1[[#This Row],[Flux in RT / glucose uptake ($mmol/mmol\ glc$)]])/SQRT(2)</f>
        <v>0</v>
      </c>
      <c r="F42">
        <f>Table1[[#This Row],[distance from 45-degree line]]/MAX(Table1[[Flux in SC / glucose uptake ($mmol/mmol\ glc$)]:[Flux in RT / glucose uptake ($mmol/mmol\ glc$)]])</f>
        <v>0</v>
      </c>
      <c r="G42">
        <f>_xlfn.RANK.AVG(Table1[[#This Row],[Flux in SC / glucose uptake ($mmol/mmol\ glc$)]],Table1[Flux in SC / glucose uptake ($mmol/mmol\ glc$)])</f>
        <v>1310.5</v>
      </c>
      <c r="H42">
        <f>_xlfn.RANK.AVG(Table1[[#This Row],[Flux in RT / glucose uptake ($mmol/mmol\ glc$)]],Table1[Flux in RT / glucose uptake ($mmol/mmol\ glc$)])</f>
        <v>1290.5</v>
      </c>
      <c r="I42" t="e">
        <f>LOG(Table1[[#This Row],[Flux in SC / glucose uptake ($mmol/mmol\ glc$)]])</f>
        <v>#NUM!</v>
      </c>
      <c r="J42" t="e">
        <f>LOG(Table1[[#This Row],[Flux in RT / glucose uptake ($mmol/mmol\ glc$)]])</f>
        <v>#NUM!</v>
      </c>
      <c r="L42" t="str">
        <v>ASPTAi_m</v>
      </c>
      <c r="M42" t="str">
        <v>Oxidative phosphorylation</v>
      </c>
      <c r="N42">
        <v>-8.4423686491515095</v>
      </c>
      <c r="O42">
        <v>-0.41345424099640105</v>
      </c>
    </row>
    <row r="43" spans="1:15" x14ac:dyDescent="0.2">
      <c r="A43" t="s">
        <v>46</v>
      </c>
      <c r="B43" t="s">
        <v>3123</v>
      </c>
      <c r="C43">
        <v>0</v>
      </c>
      <c r="D43">
        <v>0</v>
      </c>
      <c r="E43">
        <f>ABS(Table1[[#This Row],[Flux in SC / glucose uptake ($mmol/mmol\ glc$)]]-Table1[[#This Row],[Flux in RT / glucose uptake ($mmol/mmol\ glc$)]])/SQRT(2)</f>
        <v>0</v>
      </c>
      <c r="F43">
        <f>Table1[[#This Row],[distance from 45-degree line]]/MAX(Table1[[Flux in SC / glucose uptake ($mmol/mmol\ glc$)]:[Flux in RT / glucose uptake ($mmol/mmol\ glc$)]])</f>
        <v>0</v>
      </c>
      <c r="G43">
        <f>_xlfn.RANK.AVG(Table1[[#This Row],[Flux in SC / glucose uptake ($mmol/mmol\ glc$)]],Table1[Flux in SC / glucose uptake ($mmol/mmol\ glc$)])</f>
        <v>1310.5</v>
      </c>
      <c r="H43">
        <f>_xlfn.RANK.AVG(Table1[[#This Row],[Flux in RT / glucose uptake ($mmol/mmol\ glc$)]],Table1[Flux in RT / glucose uptake ($mmol/mmol\ glc$)])</f>
        <v>1290.5</v>
      </c>
      <c r="I43" t="e">
        <f>LOG(Table1[[#This Row],[Flux in SC / glucose uptake ($mmol/mmol\ glc$)]])</f>
        <v>#NUM!</v>
      </c>
      <c r="J43" t="e">
        <f>LOG(Table1[[#This Row],[Flux in RT / glucose uptake ($mmol/mmol\ glc$)]])</f>
        <v>#NUM!</v>
      </c>
      <c r="L43" t="str">
        <v>ATPPRT_c</v>
      </c>
      <c r="M43" t="str">
        <v>Histidine metabolism</v>
      </c>
      <c r="N43">
        <v>-2.8912639601064796</v>
      </c>
      <c r="O43">
        <v>-2.235550583410487</v>
      </c>
    </row>
    <row r="44" spans="1:15" x14ac:dyDescent="0.2">
      <c r="A44" t="s">
        <v>47</v>
      </c>
      <c r="B44" t="s">
        <v>3123</v>
      </c>
      <c r="C44">
        <v>0</v>
      </c>
      <c r="D44">
        <v>0</v>
      </c>
      <c r="E44">
        <f>ABS(Table1[[#This Row],[Flux in SC / glucose uptake ($mmol/mmol\ glc$)]]-Table1[[#This Row],[Flux in RT / glucose uptake ($mmol/mmol\ glc$)]])/SQRT(2)</f>
        <v>0</v>
      </c>
      <c r="F44">
        <f>Table1[[#This Row],[distance from 45-degree line]]/MAX(Table1[[Flux in SC / glucose uptake ($mmol/mmol\ glc$)]:[Flux in RT / glucose uptake ($mmol/mmol\ glc$)]])</f>
        <v>0</v>
      </c>
      <c r="G44">
        <f>_xlfn.RANK.AVG(Table1[[#This Row],[Flux in SC / glucose uptake ($mmol/mmol\ glc$)]],Table1[Flux in SC / glucose uptake ($mmol/mmol\ glc$)])</f>
        <v>1310.5</v>
      </c>
      <c r="H44">
        <f>_xlfn.RANK.AVG(Table1[[#This Row],[Flux in RT / glucose uptake ($mmol/mmol\ glc$)]],Table1[Flux in RT / glucose uptake ($mmol/mmol\ glc$)])</f>
        <v>1290.5</v>
      </c>
      <c r="I44" t="e">
        <f>LOG(Table1[[#This Row],[Flux in SC / glucose uptake ($mmol/mmol\ glc$)]])</f>
        <v>#NUM!</v>
      </c>
      <c r="J44" t="e">
        <f>LOG(Table1[[#This Row],[Flux in RT / glucose uptake ($mmol/mmol\ glc$)]])</f>
        <v>#NUM!</v>
      </c>
      <c r="L44" t="str">
        <v>ATPS_m</v>
      </c>
      <c r="M44" t="str">
        <v>Oxidative phosphorylation</v>
      </c>
      <c r="N44">
        <v>-0.63452721766862563</v>
      </c>
      <c r="O44">
        <v>0.67498680974968994</v>
      </c>
    </row>
    <row r="45" spans="1:15" x14ac:dyDescent="0.2">
      <c r="A45" t="s">
        <v>48</v>
      </c>
      <c r="B45" t="s">
        <v>3123</v>
      </c>
      <c r="C45">
        <v>0</v>
      </c>
      <c r="D45">
        <v>0</v>
      </c>
      <c r="E45">
        <f>ABS(Table1[[#This Row],[Flux in SC / glucose uptake ($mmol/mmol\ glc$)]]-Table1[[#This Row],[Flux in RT / glucose uptake ($mmol/mmol\ glc$)]])/SQRT(2)</f>
        <v>0</v>
      </c>
      <c r="F45">
        <f>Table1[[#This Row],[distance from 45-degree line]]/MAX(Table1[[Flux in SC / glucose uptake ($mmol/mmol\ glc$)]:[Flux in RT / glucose uptake ($mmol/mmol\ glc$)]])</f>
        <v>0</v>
      </c>
      <c r="G45">
        <f>_xlfn.RANK.AVG(Table1[[#This Row],[Flux in SC / glucose uptake ($mmol/mmol\ glc$)]],Table1[Flux in SC / glucose uptake ($mmol/mmol\ glc$)])</f>
        <v>1310.5</v>
      </c>
      <c r="H45">
        <f>_xlfn.RANK.AVG(Table1[[#This Row],[Flux in RT / glucose uptake ($mmol/mmol\ glc$)]],Table1[Flux in RT / glucose uptake ($mmol/mmol\ glc$)])</f>
        <v>1290.5</v>
      </c>
      <c r="I45" t="e">
        <f>LOG(Table1[[#This Row],[Flux in SC / glucose uptake ($mmol/mmol\ glc$)]])</f>
        <v>#NUM!</v>
      </c>
      <c r="J45" t="e">
        <f>LOG(Table1[[#This Row],[Flux in RT / glucose uptake ($mmol/mmol\ glc$)]])</f>
        <v>#NUM!</v>
      </c>
      <c r="L45" t="str">
        <v>BPNT_c</v>
      </c>
      <c r="M45" t="str">
        <v>Sulfur metabolism</v>
      </c>
      <c r="N45">
        <v>-3.0696095838366184</v>
      </c>
      <c r="O45">
        <v>-2.413903635373893</v>
      </c>
    </row>
    <row r="46" spans="1:15" x14ac:dyDescent="0.2">
      <c r="A46" t="s">
        <v>49</v>
      </c>
      <c r="B46" t="s">
        <v>3124</v>
      </c>
      <c r="C46">
        <v>0</v>
      </c>
      <c r="D46">
        <v>0</v>
      </c>
      <c r="E46">
        <f>ABS(Table1[[#This Row],[Flux in SC / glucose uptake ($mmol/mmol\ glc$)]]-Table1[[#This Row],[Flux in RT / glucose uptake ($mmol/mmol\ glc$)]])/SQRT(2)</f>
        <v>0</v>
      </c>
      <c r="F46">
        <f>Table1[[#This Row],[distance from 45-degree line]]/MAX(Table1[[Flux in SC / glucose uptake ($mmol/mmol\ glc$)]:[Flux in RT / glucose uptake ($mmol/mmol\ glc$)]])</f>
        <v>0</v>
      </c>
      <c r="G46">
        <f>_xlfn.RANK.AVG(Table1[[#This Row],[Flux in SC / glucose uptake ($mmol/mmol\ glc$)]],Table1[Flux in SC / glucose uptake ($mmol/mmol\ glc$)])</f>
        <v>1310.5</v>
      </c>
      <c r="H46">
        <f>_xlfn.RANK.AVG(Table1[[#This Row],[Flux in RT / glucose uptake ($mmol/mmol\ glc$)]],Table1[Flux in RT / glucose uptake ($mmol/mmol\ glc$)])</f>
        <v>1290.5</v>
      </c>
      <c r="I46" t="e">
        <f>LOG(Table1[[#This Row],[Flux in SC / glucose uptake ($mmol/mmol\ glc$)]])</f>
        <v>#NUM!</v>
      </c>
      <c r="J46" t="e">
        <f>LOG(Table1[[#This Row],[Flux in RT / glucose uptake ($mmol/mmol\ glc$)]])</f>
        <v>#NUM!</v>
      </c>
      <c r="L46" t="str">
        <v>C14STR_c</v>
      </c>
      <c r="M46" t="str">
        <v>Ergosterol biosynthesis</v>
      </c>
      <c r="N46">
        <v>-3.3283408704576396</v>
      </c>
      <c r="O46">
        <v>-2.4112650545085335</v>
      </c>
    </row>
    <row r="47" spans="1:15" x14ac:dyDescent="0.2">
      <c r="A47" t="s">
        <v>50</v>
      </c>
      <c r="B47" t="s">
        <v>3125</v>
      </c>
      <c r="C47">
        <v>0</v>
      </c>
      <c r="D47">
        <v>0</v>
      </c>
      <c r="E47">
        <f>ABS(Table1[[#This Row],[Flux in SC / glucose uptake ($mmol/mmol\ glc$)]]-Table1[[#This Row],[Flux in RT / glucose uptake ($mmol/mmol\ glc$)]])/SQRT(2)</f>
        <v>0</v>
      </c>
      <c r="F47">
        <f>Table1[[#This Row],[distance from 45-degree line]]/MAX(Table1[[Flux in SC / glucose uptake ($mmol/mmol\ glc$)]:[Flux in RT / glucose uptake ($mmol/mmol\ glc$)]])</f>
        <v>0</v>
      </c>
      <c r="G47">
        <f>_xlfn.RANK.AVG(Table1[[#This Row],[Flux in SC / glucose uptake ($mmol/mmol\ glc$)]],Table1[Flux in SC / glucose uptake ($mmol/mmol\ glc$)])</f>
        <v>1310.5</v>
      </c>
      <c r="H47">
        <f>_xlfn.RANK.AVG(Table1[[#This Row],[Flux in RT / glucose uptake ($mmol/mmol\ glc$)]],Table1[Flux in RT / glucose uptake ($mmol/mmol\ glc$)])</f>
        <v>1290.5</v>
      </c>
      <c r="I47" t="e">
        <f>LOG(Table1[[#This Row],[Flux in SC / glucose uptake ($mmol/mmol\ glc$)]])</f>
        <v>#NUM!</v>
      </c>
      <c r="J47" t="e">
        <f>LOG(Table1[[#This Row],[Flux in RT / glucose uptake ($mmol/mmol\ glc$)]])</f>
        <v>#NUM!</v>
      </c>
      <c r="L47" t="str">
        <v>C22STDSy_c</v>
      </c>
      <c r="M47" t="str">
        <v>Ergosterol biosynthesis</v>
      </c>
      <c r="N47">
        <v>-3.3283408704576396</v>
      </c>
      <c r="O47">
        <v>-2.4112655685784778</v>
      </c>
    </row>
    <row r="48" spans="1:15" x14ac:dyDescent="0.2">
      <c r="A48" t="s">
        <v>51</v>
      </c>
      <c r="B48" t="s">
        <v>3126</v>
      </c>
      <c r="C48">
        <v>0</v>
      </c>
      <c r="D48">
        <v>0</v>
      </c>
      <c r="E48">
        <f>ABS(Table1[[#This Row],[Flux in SC / glucose uptake ($mmol/mmol\ glc$)]]-Table1[[#This Row],[Flux in RT / glucose uptake ($mmol/mmol\ glc$)]])/SQRT(2)</f>
        <v>0</v>
      </c>
      <c r="F48">
        <f>Table1[[#This Row],[distance from 45-degree line]]/MAX(Table1[[Flux in SC / glucose uptake ($mmol/mmol\ glc$)]:[Flux in RT / glucose uptake ($mmol/mmol\ glc$)]])</f>
        <v>0</v>
      </c>
      <c r="G48">
        <f>_xlfn.RANK.AVG(Table1[[#This Row],[Flux in SC / glucose uptake ($mmol/mmol\ glc$)]],Table1[Flux in SC / glucose uptake ($mmol/mmol\ glc$)])</f>
        <v>1310.5</v>
      </c>
      <c r="H48">
        <f>_xlfn.RANK.AVG(Table1[[#This Row],[Flux in RT / glucose uptake ($mmol/mmol\ glc$)]],Table1[Flux in RT / glucose uptake ($mmol/mmol\ glc$)])</f>
        <v>1290.5</v>
      </c>
      <c r="I48" t="e">
        <f>LOG(Table1[[#This Row],[Flux in SC / glucose uptake ($mmol/mmol\ glc$)]])</f>
        <v>#NUM!</v>
      </c>
      <c r="J48" t="e">
        <f>LOG(Table1[[#This Row],[Flux in RT / glucose uptake ($mmol/mmol\ glc$)]])</f>
        <v>#NUM!</v>
      </c>
      <c r="L48" t="str">
        <v>C3STDH1_c</v>
      </c>
      <c r="M48" t="str">
        <v>Ergosterol biosynthesis</v>
      </c>
      <c r="N48">
        <v>-3.3283408704576396</v>
      </c>
      <c r="O48">
        <v>-2.4112650545085335</v>
      </c>
    </row>
    <row r="49" spans="1:15" x14ac:dyDescent="0.2">
      <c r="A49" t="s">
        <v>52</v>
      </c>
      <c r="B49" t="s">
        <v>3120</v>
      </c>
      <c r="C49">
        <v>0</v>
      </c>
      <c r="D49">
        <v>0</v>
      </c>
      <c r="E49">
        <f>ABS(Table1[[#This Row],[Flux in SC / glucose uptake ($mmol/mmol\ glc$)]]-Table1[[#This Row],[Flux in RT / glucose uptake ($mmol/mmol\ glc$)]])/SQRT(2)</f>
        <v>0</v>
      </c>
      <c r="F49">
        <f>Table1[[#This Row],[distance from 45-degree line]]/MAX(Table1[[Flux in SC / glucose uptake ($mmol/mmol\ glc$)]:[Flux in RT / glucose uptake ($mmol/mmol\ glc$)]])</f>
        <v>0</v>
      </c>
      <c r="G49">
        <f>_xlfn.RANK.AVG(Table1[[#This Row],[Flux in SC / glucose uptake ($mmol/mmol\ glc$)]],Table1[Flux in SC / glucose uptake ($mmol/mmol\ glc$)])</f>
        <v>1310.5</v>
      </c>
      <c r="H49">
        <f>_xlfn.RANK.AVG(Table1[[#This Row],[Flux in RT / glucose uptake ($mmol/mmol\ glc$)]],Table1[Flux in RT / glucose uptake ($mmol/mmol\ glc$)])</f>
        <v>1290.5</v>
      </c>
      <c r="I49" t="e">
        <f>LOG(Table1[[#This Row],[Flux in SC / glucose uptake ($mmol/mmol\ glc$)]])</f>
        <v>#NUM!</v>
      </c>
      <c r="J49" t="e">
        <f>LOG(Table1[[#This Row],[Flux in RT / glucose uptake ($mmol/mmol\ glc$)]])</f>
        <v>#NUM!</v>
      </c>
      <c r="L49" t="str">
        <v>C3STDH2_c</v>
      </c>
      <c r="M49" t="str">
        <v>Ergosterol biosynthesis</v>
      </c>
      <c r="N49">
        <v>-3.3283408704576396</v>
      </c>
      <c r="O49">
        <v>-2.4112650545085335</v>
      </c>
    </row>
    <row r="50" spans="1:15" x14ac:dyDescent="0.2">
      <c r="A50" t="s">
        <v>53</v>
      </c>
      <c r="B50" t="s">
        <v>3120</v>
      </c>
      <c r="C50">
        <v>0</v>
      </c>
      <c r="D50">
        <v>0</v>
      </c>
      <c r="E50">
        <f>ABS(Table1[[#This Row],[Flux in SC / glucose uptake ($mmol/mmol\ glc$)]]-Table1[[#This Row],[Flux in RT / glucose uptake ($mmol/mmol\ glc$)]])/SQRT(2)</f>
        <v>0</v>
      </c>
      <c r="F50">
        <f>Table1[[#This Row],[distance from 45-degree line]]/MAX(Table1[[Flux in SC / glucose uptake ($mmol/mmol\ glc$)]:[Flux in RT / glucose uptake ($mmol/mmol\ glc$)]])</f>
        <v>0</v>
      </c>
      <c r="G50">
        <f>_xlfn.RANK.AVG(Table1[[#This Row],[Flux in SC / glucose uptake ($mmol/mmol\ glc$)]],Table1[Flux in SC / glucose uptake ($mmol/mmol\ glc$)])</f>
        <v>1310.5</v>
      </c>
      <c r="H50">
        <f>_xlfn.RANK.AVG(Table1[[#This Row],[Flux in RT / glucose uptake ($mmol/mmol\ glc$)]],Table1[Flux in RT / glucose uptake ($mmol/mmol\ glc$)])</f>
        <v>1290.5</v>
      </c>
      <c r="I50" t="e">
        <f>LOG(Table1[[#This Row],[Flux in SC / glucose uptake ($mmol/mmol\ glc$)]])</f>
        <v>#NUM!</v>
      </c>
      <c r="J50" t="e">
        <f>LOG(Table1[[#This Row],[Flux in RT / glucose uptake ($mmol/mmol\ glc$)]])</f>
        <v>#NUM!</v>
      </c>
      <c r="L50" t="str">
        <v>C3STKR1_c</v>
      </c>
      <c r="M50" t="str">
        <v>Ergosterol biosynthesis</v>
      </c>
      <c r="N50">
        <v>-3.3283408704576396</v>
      </c>
      <c r="O50">
        <v>-2.4112650545085335</v>
      </c>
    </row>
    <row r="51" spans="1:15" x14ac:dyDescent="0.2">
      <c r="A51" t="s">
        <v>54</v>
      </c>
      <c r="B51" t="s">
        <v>3114</v>
      </c>
      <c r="C51">
        <v>0</v>
      </c>
      <c r="D51">
        <v>0</v>
      </c>
      <c r="E51">
        <f>ABS(Table1[[#This Row],[Flux in SC / glucose uptake ($mmol/mmol\ glc$)]]-Table1[[#This Row],[Flux in RT / glucose uptake ($mmol/mmol\ glc$)]])/SQRT(2)</f>
        <v>0</v>
      </c>
      <c r="F51">
        <f>Table1[[#This Row],[distance from 45-degree line]]/MAX(Table1[[Flux in SC / glucose uptake ($mmol/mmol\ glc$)]:[Flux in RT / glucose uptake ($mmol/mmol\ glc$)]])</f>
        <v>0</v>
      </c>
      <c r="G51">
        <f>_xlfn.RANK.AVG(Table1[[#This Row],[Flux in SC / glucose uptake ($mmol/mmol\ glc$)]],Table1[Flux in SC / glucose uptake ($mmol/mmol\ glc$)])</f>
        <v>1310.5</v>
      </c>
      <c r="H51">
        <f>_xlfn.RANK.AVG(Table1[[#This Row],[Flux in RT / glucose uptake ($mmol/mmol\ glc$)]],Table1[Flux in RT / glucose uptake ($mmol/mmol\ glc$)])</f>
        <v>1290.5</v>
      </c>
      <c r="I51" t="e">
        <f>LOG(Table1[[#This Row],[Flux in SC / glucose uptake ($mmol/mmol\ glc$)]])</f>
        <v>#NUM!</v>
      </c>
      <c r="J51" t="e">
        <f>LOG(Table1[[#This Row],[Flux in RT / glucose uptake ($mmol/mmol\ glc$)]])</f>
        <v>#NUM!</v>
      </c>
      <c r="L51" t="str">
        <v>C3STKR2_c</v>
      </c>
      <c r="M51" t="str">
        <v>Ergosterol biosynthesis</v>
      </c>
      <c r="N51">
        <v>-3.3283408704576396</v>
      </c>
      <c r="O51">
        <v>-2.4112650545085335</v>
      </c>
    </row>
    <row r="52" spans="1:15" x14ac:dyDescent="0.2">
      <c r="A52" t="s">
        <v>55</v>
      </c>
      <c r="B52" t="s">
        <v>3124</v>
      </c>
      <c r="C52">
        <v>0</v>
      </c>
      <c r="D52">
        <v>0</v>
      </c>
      <c r="E52">
        <f>ABS(Table1[[#This Row],[Flux in SC / glucose uptake ($mmol/mmol\ glc$)]]-Table1[[#This Row],[Flux in RT / glucose uptake ($mmol/mmol\ glc$)]])/SQRT(2)</f>
        <v>0</v>
      </c>
      <c r="F52">
        <f>Table1[[#This Row],[distance from 45-degree line]]/MAX(Table1[[Flux in SC / glucose uptake ($mmol/mmol\ glc$)]:[Flux in RT / glucose uptake ($mmol/mmol\ glc$)]])</f>
        <v>0</v>
      </c>
      <c r="G52">
        <f>_xlfn.RANK.AVG(Table1[[#This Row],[Flux in SC / glucose uptake ($mmol/mmol\ glc$)]],Table1[Flux in SC / glucose uptake ($mmol/mmol\ glc$)])</f>
        <v>1310.5</v>
      </c>
      <c r="H52">
        <f>_xlfn.RANK.AVG(Table1[[#This Row],[Flux in RT / glucose uptake ($mmol/mmol\ glc$)]],Table1[Flux in RT / glucose uptake ($mmol/mmol\ glc$)])</f>
        <v>1290.5</v>
      </c>
      <c r="I52" t="e">
        <f>LOG(Table1[[#This Row],[Flux in SC / glucose uptake ($mmol/mmol\ glc$)]])</f>
        <v>#NUM!</v>
      </c>
      <c r="J52" t="e">
        <f>LOG(Table1[[#This Row],[Flux in RT / glucose uptake ($mmol/mmol\ glc$)]])</f>
        <v>#NUM!</v>
      </c>
      <c r="L52" t="str">
        <v>C4STMO1_c</v>
      </c>
      <c r="M52" t="str">
        <v>Ergosterol biosynthesis</v>
      </c>
      <c r="N52">
        <v>-3.3283408704576396</v>
      </c>
      <c r="O52">
        <v>-2.4112650545085335</v>
      </c>
    </row>
    <row r="53" spans="1:15" x14ac:dyDescent="0.2">
      <c r="A53" t="s">
        <v>56</v>
      </c>
      <c r="B53" t="s">
        <v>3125</v>
      </c>
      <c r="C53">
        <v>0</v>
      </c>
      <c r="D53">
        <v>0</v>
      </c>
      <c r="E53">
        <f>ABS(Table1[[#This Row],[Flux in SC / glucose uptake ($mmol/mmol\ glc$)]]-Table1[[#This Row],[Flux in RT / glucose uptake ($mmol/mmol\ glc$)]])/SQRT(2)</f>
        <v>0</v>
      </c>
      <c r="F53">
        <f>Table1[[#This Row],[distance from 45-degree line]]/MAX(Table1[[Flux in SC / glucose uptake ($mmol/mmol\ glc$)]:[Flux in RT / glucose uptake ($mmol/mmol\ glc$)]])</f>
        <v>0</v>
      </c>
      <c r="G53">
        <f>_xlfn.RANK.AVG(Table1[[#This Row],[Flux in SC / glucose uptake ($mmol/mmol\ glc$)]],Table1[Flux in SC / glucose uptake ($mmol/mmol\ glc$)])</f>
        <v>1310.5</v>
      </c>
      <c r="H53">
        <f>_xlfn.RANK.AVG(Table1[[#This Row],[Flux in RT / glucose uptake ($mmol/mmol\ glc$)]],Table1[Flux in RT / glucose uptake ($mmol/mmol\ glc$)])</f>
        <v>1290.5</v>
      </c>
      <c r="I53" t="e">
        <f>LOG(Table1[[#This Row],[Flux in SC / glucose uptake ($mmol/mmol\ glc$)]])</f>
        <v>#NUM!</v>
      </c>
      <c r="J53" t="e">
        <f>LOG(Table1[[#This Row],[Flux in RT / glucose uptake ($mmol/mmol\ glc$)]])</f>
        <v>#NUM!</v>
      </c>
      <c r="L53" t="str">
        <v>C4STMO2_c</v>
      </c>
      <c r="M53" t="str">
        <v>Ergosterol biosynthesis</v>
      </c>
      <c r="N53">
        <v>-3.3283408704576396</v>
      </c>
      <c r="O53">
        <v>-2.4112650545085335</v>
      </c>
    </row>
    <row r="54" spans="1:15" x14ac:dyDescent="0.2">
      <c r="A54" t="s">
        <v>57</v>
      </c>
      <c r="B54" t="s">
        <v>3114</v>
      </c>
      <c r="C54">
        <v>0</v>
      </c>
      <c r="D54">
        <v>0</v>
      </c>
      <c r="E54">
        <f>ABS(Table1[[#This Row],[Flux in SC / glucose uptake ($mmol/mmol\ glc$)]]-Table1[[#This Row],[Flux in RT / glucose uptake ($mmol/mmol\ glc$)]])/SQRT(2)</f>
        <v>0</v>
      </c>
      <c r="F54">
        <f>Table1[[#This Row],[distance from 45-degree line]]/MAX(Table1[[Flux in SC / glucose uptake ($mmol/mmol\ glc$)]:[Flux in RT / glucose uptake ($mmol/mmol\ glc$)]])</f>
        <v>0</v>
      </c>
      <c r="G54">
        <f>_xlfn.RANK.AVG(Table1[[#This Row],[Flux in SC / glucose uptake ($mmol/mmol\ glc$)]],Table1[Flux in SC / glucose uptake ($mmol/mmol\ glc$)])</f>
        <v>1310.5</v>
      </c>
      <c r="H54">
        <f>_xlfn.RANK.AVG(Table1[[#This Row],[Flux in RT / glucose uptake ($mmol/mmol\ glc$)]],Table1[Flux in RT / glucose uptake ($mmol/mmol\ glc$)])</f>
        <v>1290.5</v>
      </c>
      <c r="I54" t="e">
        <f>LOG(Table1[[#This Row],[Flux in SC / glucose uptake ($mmol/mmol\ glc$)]])</f>
        <v>#NUM!</v>
      </c>
      <c r="J54" t="e">
        <f>LOG(Table1[[#This Row],[Flux in RT / glucose uptake ($mmol/mmol\ glc$)]])</f>
        <v>#NUM!</v>
      </c>
      <c r="L54" t="str">
        <v>C4STMO3_c</v>
      </c>
      <c r="M54" t="str">
        <v>Ergosterol biosynthesis</v>
      </c>
      <c r="N54">
        <v>-3.3283408704576396</v>
      </c>
      <c r="O54">
        <v>-2.4112650545085335</v>
      </c>
    </row>
    <row r="55" spans="1:15" x14ac:dyDescent="0.2">
      <c r="A55" t="s">
        <v>58</v>
      </c>
      <c r="B55" t="s">
        <v>3114</v>
      </c>
      <c r="C55">
        <v>0</v>
      </c>
      <c r="D55">
        <v>0</v>
      </c>
      <c r="E55">
        <f>ABS(Table1[[#This Row],[Flux in SC / glucose uptake ($mmol/mmol\ glc$)]]-Table1[[#This Row],[Flux in RT / glucose uptake ($mmol/mmol\ glc$)]])/SQRT(2)</f>
        <v>0</v>
      </c>
      <c r="F55">
        <f>Table1[[#This Row],[distance from 45-degree line]]/MAX(Table1[[Flux in SC / glucose uptake ($mmol/mmol\ glc$)]:[Flux in RT / glucose uptake ($mmol/mmol\ glc$)]])</f>
        <v>0</v>
      </c>
      <c r="G55">
        <f>_xlfn.RANK.AVG(Table1[[#This Row],[Flux in SC / glucose uptake ($mmol/mmol\ glc$)]],Table1[Flux in SC / glucose uptake ($mmol/mmol\ glc$)])</f>
        <v>1310.5</v>
      </c>
      <c r="H55">
        <f>_xlfn.RANK.AVG(Table1[[#This Row],[Flux in RT / glucose uptake ($mmol/mmol\ glc$)]],Table1[Flux in RT / glucose uptake ($mmol/mmol\ glc$)])</f>
        <v>1290.5</v>
      </c>
      <c r="I55" t="e">
        <f>LOG(Table1[[#This Row],[Flux in SC / glucose uptake ($mmol/mmol\ glc$)]])</f>
        <v>#NUM!</v>
      </c>
      <c r="J55" t="e">
        <f>LOG(Table1[[#This Row],[Flux in RT / glucose uptake ($mmol/mmol\ glc$)]])</f>
        <v>#NUM!</v>
      </c>
      <c r="L55" t="str">
        <v>C4STMO4_c</v>
      </c>
      <c r="M55" t="str">
        <v>Ergosterol biosynthesis</v>
      </c>
      <c r="N55">
        <v>-3.3283408704576396</v>
      </c>
      <c r="O55">
        <v>-2.4112650545085335</v>
      </c>
    </row>
    <row r="56" spans="1:15" x14ac:dyDescent="0.2">
      <c r="A56" t="s">
        <v>59</v>
      </c>
      <c r="B56" t="s">
        <v>3117</v>
      </c>
      <c r="C56">
        <v>0</v>
      </c>
      <c r="D56">
        <v>0</v>
      </c>
      <c r="E56">
        <f>ABS(Table1[[#This Row],[Flux in SC / glucose uptake ($mmol/mmol\ glc$)]]-Table1[[#This Row],[Flux in RT / glucose uptake ($mmol/mmol\ glc$)]])/SQRT(2)</f>
        <v>0</v>
      </c>
      <c r="F56">
        <f>Table1[[#This Row],[distance from 45-degree line]]/MAX(Table1[[Flux in SC / glucose uptake ($mmol/mmol\ glc$)]:[Flux in RT / glucose uptake ($mmol/mmol\ glc$)]])</f>
        <v>0</v>
      </c>
      <c r="G56">
        <f>_xlfn.RANK.AVG(Table1[[#This Row],[Flux in SC / glucose uptake ($mmol/mmol\ glc$)]],Table1[Flux in SC / glucose uptake ($mmol/mmol\ glc$)])</f>
        <v>1310.5</v>
      </c>
      <c r="H56">
        <f>_xlfn.RANK.AVG(Table1[[#This Row],[Flux in RT / glucose uptake ($mmol/mmol\ glc$)]],Table1[Flux in RT / glucose uptake ($mmol/mmol\ glc$)])</f>
        <v>1290.5</v>
      </c>
      <c r="I56" t="e">
        <f>LOG(Table1[[#This Row],[Flux in SC / glucose uptake ($mmol/mmol\ glc$)]])</f>
        <v>#NUM!</v>
      </c>
      <c r="J56" t="e">
        <f>LOG(Table1[[#This Row],[Flux in RT / glucose uptake ($mmol/mmol\ glc$)]])</f>
        <v>#NUM!</v>
      </c>
      <c r="L56" t="str">
        <v>C5STDS_c</v>
      </c>
      <c r="M56" t="str">
        <v>Ergosterol biosynthesis</v>
      </c>
      <c r="N56">
        <v>-3.3283408704576396</v>
      </c>
      <c r="O56">
        <v>-2.4112655685784778</v>
      </c>
    </row>
    <row r="57" spans="1:15" x14ac:dyDescent="0.2">
      <c r="A57" t="s">
        <v>60</v>
      </c>
      <c r="B57" t="s">
        <v>3125</v>
      </c>
      <c r="C57">
        <v>0</v>
      </c>
      <c r="D57">
        <v>0</v>
      </c>
      <c r="E57">
        <f>ABS(Table1[[#This Row],[Flux in SC / glucose uptake ($mmol/mmol\ glc$)]]-Table1[[#This Row],[Flux in RT / glucose uptake ($mmol/mmol\ glc$)]])/SQRT(2)</f>
        <v>0</v>
      </c>
      <c r="F57">
        <f>Table1[[#This Row],[distance from 45-degree line]]/MAX(Table1[[Flux in SC / glucose uptake ($mmol/mmol\ glc$)]:[Flux in RT / glucose uptake ($mmol/mmol\ glc$)]])</f>
        <v>0</v>
      </c>
      <c r="G57">
        <f>_xlfn.RANK.AVG(Table1[[#This Row],[Flux in SC / glucose uptake ($mmol/mmol\ glc$)]],Table1[Flux in SC / glucose uptake ($mmol/mmol\ glc$)])</f>
        <v>1310.5</v>
      </c>
      <c r="H57">
        <f>_xlfn.RANK.AVG(Table1[[#This Row],[Flux in RT / glucose uptake ($mmol/mmol\ glc$)]],Table1[Flux in RT / glucose uptake ($mmol/mmol\ glc$)])</f>
        <v>1290.5</v>
      </c>
      <c r="I57" t="e">
        <f>LOG(Table1[[#This Row],[Flux in SC / glucose uptake ($mmol/mmol\ glc$)]])</f>
        <v>#NUM!</v>
      </c>
      <c r="J57" t="e">
        <f>LOG(Table1[[#This Row],[Flux in RT / glucose uptake ($mmol/mmol\ glc$)]])</f>
        <v>#NUM!</v>
      </c>
      <c r="L57" t="str">
        <v>C8STI_c</v>
      </c>
      <c r="M57" t="str">
        <v>Ergosterol biosynthesis</v>
      </c>
      <c r="N57">
        <v>-3.3283408704576396</v>
      </c>
      <c r="O57">
        <v>-2.4112650545085335</v>
      </c>
    </row>
    <row r="58" spans="1:15" x14ac:dyDescent="0.2">
      <c r="A58" t="s">
        <v>61</v>
      </c>
      <c r="B58" t="s">
        <v>3125</v>
      </c>
      <c r="C58">
        <v>0</v>
      </c>
      <c r="D58">
        <v>0</v>
      </c>
      <c r="E58">
        <f>ABS(Table1[[#This Row],[Flux in SC / glucose uptake ($mmol/mmol\ glc$)]]-Table1[[#This Row],[Flux in RT / glucose uptake ($mmol/mmol\ glc$)]])/SQRT(2)</f>
        <v>0</v>
      </c>
      <c r="F58">
        <f>Table1[[#This Row],[distance from 45-degree line]]/MAX(Table1[[Flux in SC / glucose uptake ($mmol/mmol\ glc$)]:[Flux in RT / glucose uptake ($mmol/mmol\ glc$)]])</f>
        <v>0</v>
      </c>
      <c r="G58">
        <f>_xlfn.RANK.AVG(Table1[[#This Row],[Flux in SC / glucose uptake ($mmol/mmol\ glc$)]],Table1[Flux in SC / glucose uptake ($mmol/mmol\ glc$)])</f>
        <v>1310.5</v>
      </c>
      <c r="H58">
        <f>_xlfn.RANK.AVG(Table1[[#This Row],[Flux in RT / glucose uptake ($mmol/mmol\ glc$)]],Table1[Flux in RT / glucose uptake ($mmol/mmol\ glc$)])</f>
        <v>1290.5</v>
      </c>
      <c r="I58" t="e">
        <f>LOG(Table1[[#This Row],[Flux in SC / glucose uptake ($mmol/mmol\ glc$)]])</f>
        <v>#NUM!</v>
      </c>
      <c r="J58" t="e">
        <f>LOG(Table1[[#This Row],[Flux in RT / glucose uptake ($mmol/mmol\ glc$)]])</f>
        <v>#NUM!</v>
      </c>
      <c r="L58" t="str">
        <v>CA2t_c_e</v>
      </c>
      <c r="M58" t="str">
        <v>Transport</v>
      </c>
      <c r="N58">
        <v>-4.7409307342054783</v>
      </c>
      <c r="O58">
        <v>-4.0303864995895049</v>
      </c>
    </row>
    <row r="59" spans="1:15" x14ac:dyDescent="0.2">
      <c r="A59" t="s">
        <v>62</v>
      </c>
      <c r="B59" t="s">
        <v>3125</v>
      </c>
      <c r="C59">
        <v>0</v>
      </c>
      <c r="D59">
        <v>0</v>
      </c>
      <c r="E59">
        <f>ABS(Table1[[#This Row],[Flux in SC / glucose uptake ($mmol/mmol\ glc$)]]-Table1[[#This Row],[Flux in RT / glucose uptake ($mmol/mmol\ glc$)]])/SQRT(2)</f>
        <v>0</v>
      </c>
      <c r="F59">
        <f>Table1[[#This Row],[distance from 45-degree line]]/MAX(Table1[[Flux in SC / glucose uptake ($mmol/mmol\ glc$)]:[Flux in RT / glucose uptake ($mmol/mmol\ glc$)]])</f>
        <v>0</v>
      </c>
      <c r="G59">
        <f>_xlfn.RANK.AVG(Table1[[#This Row],[Flux in SC / glucose uptake ($mmol/mmol\ glc$)]],Table1[Flux in SC / glucose uptake ($mmol/mmol\ glc$)])</f>
        <v>1310.5</v>
      </c>
      <c r="H59">
        <f>_xlfn.RANK.AVG(Table1[[#This Row],[Flux in RT / glucose uptake ($mmol/mmol\ glc$)]],Table1[Flux in RT / glucose uptake ($mmol/mmol\ glc$)])</f>
        <v>1290.5</v>
      </c>
      <c r="I59" t="e">
        <f>LOG(Table1[[#This Row],[Flux in SC / glucose uptake ($mmol/mmol\ glc$)]])</f>
        <v>#NUM!</v>
      </c>
      <c r="J59" t="e">
        <f>LOG(Table1[[#This Row],[Flux in RT / glucose uptake ($mmol/mmol\ glc$)]])</f>
        <v>#NUM!</v>
      </c>
      <c r="L59" t="str">
        <v>CBPS_c</v>
      </c>
      <c r="M59" t="str">
        <v>Pyrimidine metabolism</v>
      </c>
      <c r="N59">
        <v>-2.2398258967334193</v>
      </c>
      <c r="O59">
        <v>-1.586242343516451</v>
      </c>
    </row>
    <row r="60" spans="1:15" x14ac:dyDescent="0.2">
      <c r="A60" t="s">
        <v>63</v>
      </c>
      <c r="B60" t="s">
        <v>3125</v>
      </c>
      <c r="C60">
        <v>0</v>
      </c>
      <c r="D60">
        <v>0</v>
      </c>
      <c r="E60">
        <f>ABS(Table1[[#This Row],[Flux in SC / glucose uptake ($mmol/mmol\ glc$)]]-Table1[[#This Row],[Flux in RT / glucose uptake ($mmol/mmol\ glc$)]])/SQRT(2)</f>
        <v>0</v>
      </c>
      <c r="F60">
        <f>Table1[[#This Row],[distance from 45-degree line]]/MAX(Table1[[Flux in SC / glucose uptake ($mmol/mmol\ glc$)]:[Flux in RT / glucose uptake ($mmol/mmol\ glc$)]])</f>
        <v>0</v>
      </c>
      <c r="G60">
        <f>_xlfn.RANK.AVG(Table1[[#This Row],[Flux in SC / glucose uptake ($mmol/mmol\ glc$)]],Table1[Flux in SC / glucose uptake ($mmol/mmol\ glc$)])</f>
        <v>1310.5</v>
      </c>
      <c r="H60">
        <f>_xlfn.RANK.AVG(Table1[[#This Row],[Flux in RT / glucose uptake ($mmol/mmol\ glc$)]],Table1[Flux in RT / glucose uptake ($mmol/mmol\ glc$)])</f>
        <v>1290.5</v>
      </c>
      <c r="I60" t="e">
        <f>LOG(Table1[[#This Row],[Flux in SC / glucose uptake ($mmol/mmol\ glc$)]])</f>
        <v>#NUM!</v>
      </c>
      <c r="J60" t="e">
        <f>LOG(Table1[[#This Row],[Flux in RT / glucose uptake ($mmol/mmol\ glc$)]])</f>
        <v>#NUM!</v>
      </c>
      <c r="L60" t="str">
        <v>CHORM_c</v>
      </c>
      <c r="M60" t="str">
        <v>Phenylalanine, tyrosine and tryptophan metabolism</v>
      </c>
      <c r="N60">
        <v>-2.4194260415419522</v>
      </c>
      <c r="O60">
        <v>-1.763713407100856</v>
      </c>
    </row>
    <row r="61" spans="1:15" x14ac:dyDescent="0.2">
      <c r="A61" t="s">
        <v>64</v>
      </c>
      <c r="B61" t="s">
        <v>3114</v>
      </c>
      <c r="C61">
        <v>0</v>
      </c>
      <c r="D61">
        <v>0</v>
      </c>
      <c r="E61">
        <f>ABS(Table1[[#This Row],[Flux in SC / glucose uptake ($mmol/mmol\ glc$)]]-Table1[[#This Row],[Flux in RT / glucose uptake ($mmol/mmol\ glc$)]])/SQRT(2)</f>
        <v>0</v>
      </c>
      <c r="F61">
        <f>Table1[[#This Row],[distance from 45-degree line]]/MAX(Table1[[Flux in SC / glucose uptake ($mmol/mmol\ glc$)]:[Flux in RT / glucose uptake ($mmol/mmol\ glc$)]])</f>
        <v>0</v>
      </c>
      <c r="G61">
        <f>_xlfn.RANK.AVG(Table1[[#This Row],[Flux in SC / glucose uptake ($mmol/mmol\ glc$)]],Table1[Flux in SC / glucose uptake ($mmol/mmol\ glc$)])</f>
        <v>1310.5</v>
      </c>
      <c r="H61">
        <f>_xlfn.RANK.AVG(Table1[[#This Row],[Flux in RT / glucose uptake ($mmol/mmol\ glc$)]],Table1[Flux in RT / glucose uptake ($mmol/mmol\ glc$)])</f>
        <v>1290.5</v>
      </c>
      <c r="I61" t="e">
        <f>LOG(Table1[[#This Row],[Flux in SC / glucose uptake ($mmol/mmol\ glc$)]])</f>
        <v>#NUM!</v>
      </c>
      <c r="J61" t="e">
        <f>LOG(Table1[[#This Row],[Flux in RT / glucose uptake ($mmol/mmol\ glc$)]])</f>
        <v>#NUM!</v>
      </c>
      <c r="L61" t="str">
        <v>CHORS_c</v>
      </c>
      <c r="M61" t="str">
        <v>Phenylalanine, tyrosine and tryptophan metabolism</v>
      </c>
      <c r="N61">
        <v>-2.3726829009856614</v>
      </c>
      <c r="O61">
        <v>-1.7169703392318678</v>
      </c>
    </row>
    <row r="62" spans="1:15" x14ac:dyDescent="0.2">
      <c r="A62" t="s">
        <v>65</v>
      </c>
      <c r="B62" t="s">
        <v>3127</v>
      </c>
      <c r="C62">
        <v>0</v>
      </c>
      <c r="D62">
        <v>0</v>
      </c>
      <c r="E62">
        <f>ABS(Table1[[#This Row],[Flux in SC / glucose uptake ($mmol/mmol\ glc$)]]-Table1[[#This Row],[Flux in RT / glucose uptake ($mmol/mmol\ glc$)]])/SQRT(2)</f>
        <v>0</v>
      </c>
      <c r="F62">
        <f>Table1[[#This Row],[distance from 45-degree line]]/MAX(Table1[[Flux in SC / glucose uptake ($mmol/mmol\ glc$)]:[Flux in RT / glucose uptake ($mmol/mmol\ glc$)]])</f>
        <v>0</v>
      </c>
      <c r="G62">
        <f>_xlfn.RANK.AVG(Table1[[#This Row],[Flux in SC / glucose uptake ($mmol/mmol\ glc$)]],Table1[Flux in SC / glucose uptake ($mmol/mmol\ glc$)])</f>
        <v>1310.5</v>
      </c>
      <c r="H62">
        <f>_xlfn.RANK.AVG(Table1[[#This Row],[Flux in RT / glucose uptake ($mmol/mmol\ glc$)]],Table1[Flux in RT / glucose uptake ($mmol/mmol\ glc$)])</f>
        <v>1290.5</v>
      </c>
      <c r="I62" t="e">
        <f>LOG(Table1[[#This Row],[Flux in SC / glucose uptake ($mmol/mmol\ glc$)]])</f>
        <v>#NUM!</v>
      </c>
      <c r="J62" t="e">
        <f>LOG(Table1[[#This Row],[Flux in RT / glucose uptake ($mmol/mmol\ glc$)]])</f>
        <v>#NUM!</v>
      </c>
      <c r="L62" t="str">
        <v>CHTNS_c</v>
      </c>
      <c r="M62" t="str">
        <v>Amino sugar and nucleotide sugar metabolism</v>
      </c>
      <c r="N62">
        <v>-3.7010450030510671</v>
      </c>
      <c r="O62">
        <v>-2.9305415984149601</v>
      </c>
    </row>
    <row r="63" spans="1:15" x14ac:dyDescent="0.2">
      <c r="A63" t="s">
        <v>66</v>
      </c>
      <c r="B63" t="s">
        <v>3127</v>
      </c>
      <c r="C63">
        <v>0</v>
      </c>
      <c r="D63">
        <v>0</v>
      </c>
      <c r="E63">
        <f>ABS(Table1[[#This Row],[Flux in SC / glucose uptake ($mmol/mmol\ glc$)]]-Table1[[#This Row],[Flux in RT / glucose uptake ($mmol/mmol\ glc$)]])/SQRT(2)</f>
        <v>0</v>
      </c>
      <c r="F63">
        <f>Table1[[#This Row],[distance from 45-degree line]]/MAX(Table1[[Flux in SC / glucose uptake ($mmol/mmol\ glc$)]:[Flux in RT / glucose uptake ($mmol/mmol\ glc$)]])</f>
        <v>0</v>
      </c>
      <c r="G63">
        <f>_xlfn.RANK.AVG(Table1[[#This Row],[Flux in SC / glucose uptake ($mmol/mmol\ glc$)]],Table1[Flux in SC / glucose uptake ($mmol/mmol\ glc$)])</f>
        <v>1310.5</v>
      </c>
      <c r="H63">
        <f>_xlfn.RANK.AVG(Table1[[#This Row],[Flux in RT / glucose uptake ($mmol/mmol\ glc$)]],Table1[Flux in RT / glucose uptake ($mmol/mmol\ glc$)])</f>
        <v>1290.5</v>
      </c>
      <c r="I63" t="e">
        <f>LOG(Table1[[#This Row],[Flux in SC / glucose uptake ($mmol/mmol\ glc$)]])</f>
        <v>#NUM!</v>
      </c>
      <c r="J63" t="e">
        <f>LOG(Table1[[#This Row],[Flux in RT / glucose uptake ($mmol/mmol\ glc$)]])</f>
        <v>#NUM!</v>
      </c>
      <c r="L63" t="str">
        <v>CITMALta_m</v>
      </c>
      <c r="M63" t="str">
        <v>Transport</v>
      </c>
      <c r="N63">
        <v>-1.6057654933109053</v>
      </c>
      <c r="O63">
        <v>-0.70308579465152776</v>
      </c>
    </row>
    <row r="64" spans="1:15" x14ac:dyDescent="0.2">
      <c r="A64" t="s">
        <v>67</v>
      </c>
      <c r="B64" t="s">
        <v>3127</v>
      </c>
      <c r="C64">
        <v>0</v>
      </c>
      <c r="D64">
        <v>0</v>
      </c>
      <c r="E64">
        <f>ABS(Table1[[#This Row],[Flux in SC / glucose uptake ($mmol/mmol\ glc$)]]-Table1[[#This Row],[Flux in RT / glucose uptake ($mmol/mmol\ glc$)]])/SQRT(2)</f>
        <v>0</v>
      </c>
      <c r="F64">
        <f>Table1[[#This Row],[distance from 45-degree line]]/MAX(Table1[[Flux in SC / glucose uptake ($mmol/mmol\ glc$)]:[Flux in RT / glucose uptake ($mmol/mmol\ glc$)]])</f>
        <v>0</v>
      </c>
      <c r="G64">
        <f>_xlfn.RANK.AVG(Table1[[#This Row],[Flux in SC / glucose uptake ($mmol/mmol\ glc$)]],Table1[Flux in SC / glucose uptake ($mmol/mmol\ glc$)])</f>
        <v>1310.5</v>
      </c>
      <c r="H64">
        <f>_xlfn.RANK.AVG(Table1[[#This Row],[Flux in RT / glucose uptake ($mmol/mmol\ glc$)]],Table1[Flux in RT / glucose uptake ($mmol/mmol\ glc$)])</f>
        <v>1290.5</v>
      </c>
      <c r="I64" t="e">
        <f>LOG(Table1[[#This Row],[Flux in SC / glucose uptake ($mmol/mmol\ glc$)]])</f>
        <v>#NUM!</v>
      </c>
      <c r="J64" t="e">
        <f>LOG(Table1[[#This Row],[Flux in RT / glucose uptake ($mmol/mmol\ glc$)]])</f>
        <v>#NUM!</v>
      </c>
      <c r="L64" t="str">
        <v>CO2t_c_e</v>
      </c>
      <c r="M64" t="str">
        <v>Transport</v>
      </c>
      <c r="N64">
        <v>0.28199454129390544</v>
      </c>
      <c r="O64">
        <v>0.49423764908399231</v>
      </c>
    </row>
    <row r="65" spans="1:15" x14ac:dyDescent="0.2">
      <c r="A65" t="s">
        <v>68</v>
      </c>
      <c r="B65" t="s">
        <v>3122</v>
      </c>
      <c r="C65">
        <v>0</v>
      </c>
      <c r="D65">
        <v>0</v>
      </c>
      <c r="E65">
        <f>ABS(Table1[[#This Row],[Flux in SC / glucose uptake ($mmol/mmol\ glc$)]]-Table1[[#This Row],[Flux in RT / glucose uptake ($mmol/mmol\ glc$)]])/SQRT(2)</f>
        <v>0</v>
      </c>
      <c r="F65">
        <f>Table1[[#This Row],[distance from 45-degree line]]/MAX(Table1[[Flux in SC / glucose uptake ($mmol/mmol\ glc$)]:[Flux in RT / glucose uptake ($mmol/mmol\ glc$)]])</f>
        <v>0</v>
      </c>
      <c r="G65">
        <f>_xlfn.RANK.AVG(Table1[[#This Row],[Flux in SC / glucose uptake ($mmol/mmol\ glc$)]],Table1[Flux in SC / glucose uptake ($mmol/mmol\ glc$)])</f>
        <v>1310.5</v>
      </c>
      <c r="H65">
        <f>_xlfn.RANK.AVG(Table1[[#This Row],[Flux in RT / glucose uptake ($mmol/mmol\ glc$)]],Table1[Flux in RT / glucose uptake ($mmol/mmol\ glc$)])</f>
        <v>1290.5</v>
      </c>
      <c r="I65" t="e">
        <f>LOG(Table1[[#This Row],[Flux in SC / glucose uptake ($mmol/mmol\ glc$)]])</f>
        <v>#NUM!</v>
      </c>
      <c r="J65" t="e">
        <f>LOG(Table1[[#This Row],[Flux in RT / glucose uptake ($mmol/mmol\ glc$)]])</f>
        <v>#NUM!</v>
      </c>
      <c r="L65" t="str">
        <v>compACYLCOA_c</v>
      </c>
      <c r="M65" t="str">
        <v>Pseudoreaction</v>
      </c>
      <c r="N65">
        <v>-2.7781388227668247</v>
      </c>
      <c r="O65">
        <v>-1.9816148035512098</v>
      </c>
    </row>
    <row r="66" spans="1:15" x14ac:dyDescent="0.2">
      <c r="A66" t="s">
        <v>69</v>
      </c>
      <c r="B66" t="s">
        <v>3122</v>
      </c>
      <c r="C66">
        <v>0</v>
      </c>
      <c r="D66">
        <v>0</v>
      </c>
      <c r="E66">
        <f>ABS(Table1[[#This Row],[Flux in SC / glucose uptake ($mmol/mmol\ glc$)]]-Table1[[#This Row],[Flux in RT / glucose uptake ($mmol/mmol\ glc$)]])/SQRT(2)</f>
        <v>0</v>
      </c>
      <c r="F66">
        <f>Table1[[#This Row],[distance from 45-degree line]]/MAX(Table1[[Flux in SC / glucose uptake ($mmol/mmol\ glc$)]:[Flux in RT / glucose uptake ($mmol/mmol\ glc$)]])</f>
        <v>0</v>
      </c>
      <c r="G66">
        <f>_xlfn.RANK.AVG(Table1[[#This Row],[Flux in SC / glucose uptake ($mmol/mmol\ glc$)]],Table1[Flux in SC / glucose uptake ($mmol/mmol\ glc$)])</f>
        <v>1310.5</v>
      </c>
      <c r="H66">
        <f>_xlfn.RANK.AVG(Table1[[#This Row],[Flux in RT / glucose uptake ($mmol/mmol\ glc$)]],Table1[Flux in RT / glucose uptake ($mmol/mmol\ glc$)])</f>
        <v>1290.5</v>
      </c>
      <c r="I66" t="e">
        <f>LOG(Table1[[#This Row],[Flux in SC / glucose uptake ($mmol/mmol\ glc$)]])</f>
        <v>#NUM!</v>
      </c>
      <c r="J66" t="e">
        <f>LOG(Table1[[#This Row],[Flux in RT / glucose uptake ($mmol/mmol\ glc$)]])</f>
        <v>#NUM!</v>
      </c>
      <c r="L66" t="str">
        <v>CS_m</v>
      </c>
      <c r="M66" t="str">
        <v>Citric acid cycle</v>
      </c>
      <c r="N66">
        <v>-1.6057653035082364</v>
      </c>
      <c r="O66">
        <v>-0.27047617267982216</v>
      </c>
    </row>
    <row r="67" spans="1:15" x14ac:dyDescent="0.2">
      <c r="A67" t="s">
        <v>70</v>
      </c>
      <c r="B67" t="s">
        <v>3122</v>
      </c>
      <c r="C67">
        <v>0</v>
      </c>
      <c r="D67">
        <v>0</v>
      </c>
      <c r="E67">
        <f>ABS(Table1[[#This Row],[Flux in SC / glucose uptake ($mmol/mmol\ glc$)]]-Table1[[#This Row],[Flux in RT / glucose uptake ($mmol/mmol\ glc$)]])/SQRT(2)</f>
        <v>0</v>
      </c>
      <c r="F67">
        <f>Table1[[#This Row],[distance from 45-degree line]]/MAX(Table1[[Flux in SC / glucose uptake ($mmol/mmol\ glc$)]:[Flux in RT / glucose uptake ($mmol/mmol\ glc$)]])</f>
        <v>0</v>
      </c>
      <c r="G67">
        <f>_xlfn.RANK.AVG(Table1[[#This Row],[Flux in SC / glucose uptake ($mmol/mmol\ glc$)]],Table1[Flux in SC / glucose uptake ($mmol/mmol\ glc$)])</f>
        <v>1310.5</v>
      </c>
      <c r="H67">
        <f>_xlfn.RANK.AVG(Table1[[#This Row],[Flux in RT / glucose uptake ($mmol/mmol\ glc$)]],Table1[Flux in RT / glucose uptake ($mmol/mmol\ glc$)])</f>
        <v>1290.5</v>
      </c>
      <c r="I67" t="e">
        <f>LOG(Table1[[#This Row],[Flux in SC / glucose uptake ($mmol/mmol\ glc$)]])</f>
        <v>#NUM!</v>
      </c>
      <c r="J67" t="e">
        <f>LOG(Table1[[#This Row],[Flux in RT / glucose uptake ($mmol/mmol\ glc$)]])</f>
        <v>#NUM!</v>
      </c>
      <c r="L67" t="str">
        <v>CTPS2_c</v>
      </c>
      <c r="M67" t="str">
        <v>Pyrimidine metabolism</v>
      </c>
      <c r="N67">
        <v>-2.8660496199325713</v>
      </c>
      <c r="O67">
        <v>-2.0301130409649164</v>
      </c>
    </row>
    <row r="68" spans="1:15" x14ac:dyDescent="0.2">
      <c r="A68" t="s">
        <v>71</v>
      </c>
      <c r="B68" t="s">
        <v>3122</v>
      </c>
      <c r="C68">
        <v>0</v>
      </c>
      <c r="D68">
        <v>0</v>
      </c>
      <c r="E68">
        <f>ABS(Table1[[#This Row],[Flux in SC / glucose uptake ($mmol/mmol\ glc$)]]-Table1[[#This Row],[Flux in RT / glucose uptake ($mmol/mmol\ glc$)]])/SQRT(2)</f>
        <v>0</v>
      </c>
      <c r="F68">
        <f>Table1[[#This Row],[distance from 45-degree line]]/MAX(Table1[[Flux in SC / glucose uptake ($mmol/mmol\ glc$)]:[Flux in RT / glucose uptake ($mmol/mmol\ glc$)]])</f>
        <v>0</v>
      </c>
      <c r="G68">
        <f>_xlfn.RANK.AVG(Table1[[#This Row],[Flux in SC / glucose uptake ($mmol/mmol\ glc$)]],Table1[Flux in SC / glucose uptake ($mmol/mmol\ glc$)])</f>
        <v>1310.5</v>
      </c>
      <c r="H68">
        <f>_xlfn.RANK.AVG(Table1[[#This Row],[Flux in RT / glucose uptake ($mmol/mmol\ glc$)]],Table1[Flux in RT / glucose uptake ($mmol/mmol\ glc$)])</f>
        <v>1290.5</v>
      </c>
      <c r="I68" t="e">
        <f>LOG(Table1[[#This Row],[Flux in SC / glucose uptake ($mmol/mmol\ glc$)]])</f>
        <v>#NUM!</v>
      </c>
      <c r="J68" t="e">
        <f>LOG(Table1[[#This Row],[Flux in RT / glucose uptake ($mmol/mmol\ glc$)]])</f>
        <v>#NUM!</v>
      </c>
      <c r="L68" t="str">
        <v>CU2t_c_e</v>
      </c>
      <c r="M68" t="str">
        <v>Transport</v>
      </c>
      <c r="N68">
        <v>-5.7930337904393667</v>
      </c>
      <c r="O68">
        <v>-5.0827226168412363</v>
      </c>
    </row>
    <row r="69" spans="1:15" x14ac:dyDescent="0.2">
      <c r="A69" t="s">
        <v>72</v>
      </c>
      <c r="B69" t="s">
        <v>3122</v>
      </c>
      <c r="C69">
        <v>0</v>
      </c>
      <c r="D69">
        <v>0</v>
      </c>
      <c r="E69">
        <f>ABS(Table1[[#This Row],[Flux in SC / glucose uptake ($mmol/mmol\ glc$)]]-Table1[[#This Row],[Flux in RT / glucose uptake ($mmol/mmol\ glc$)]])/SQRT(2)</f>
        <v>0</v>
      </c>
      <c r="F69">
        <f>Table1[[#This Row],[distance from 45-degree line]]/MAX(Table1[[Flux in SC / glucose uptake ($mmol/mmol\ glc$)]:[Flux in RT / glucose uptake ($mmol/mmol\ glc$)]])</f>
        <v>0</v>
      </c>
      <c r="G69">
        <f>_xlfn.RANK.AVG(Table1[[#This Row],[Flux in SC / glucose uptake ($mmol/mmol\ glc$)]],Table1[Flux in SC / glucose uptake ($mmol/mmol\ glc$)])</f>
        <v>1310.5</v>
      </c>
      <c r="H69">
        <f>_xlfn.RANK.AVG(Table1[[#This Row],[Flux in RT / glucose uptake ($mmol/mmol\ glc$)]],Table1[Flux in RT / glucose uptake ($mmol/mmol\ glc$)])</f>
        <v>1290.5</v>
      </c>
      <c r="I69" t="e">
        <f>LOG(Table1[[#This Row],[Flux in SC / glucose uptake ($mmol/mmol\ glc$)]])</f>
        <v>#NUM!</v>
      </c>
      <c r="J69" t="e">
        <f>LOG(Table1[[#This Row],[Flux in RT / glucose uptake ($mmol/mmol\ glc$)]])</f>
        <v>#NUM!</v>
      </c>
      <c r="L69" t="str">
        <v>CYSTGL_c</v>
      </c>
      <c r="M69" t="str">
        <v>Glycine, serine and threonine metabolism</v>
      </c>
      <c r="N69">
        <v>-4.0306935744315586</v>
      </c>
      <c r="O69">
        <v>-3.3750030703267271</v>
      </c>
    </row>
    <row r="70" spans="1:15" x14ac:dyDescent="0.2">
      <c r="A70" t="s">
        <v>73</v>
      </c>
      <c r="B70" t="s">
        <v>3122</v>
      </c>
      <c r="C70">
        <v>0</v>
      </c>
      <c r="D70">
        <v>0</v>
      </c>
      <c r="E70">
        <f>ABS(Table1[[#This Row],[Flux in SC / glucose uptake ($mmol/mmol\ glc$)]]-Table1[[#This Row],[Flux in RT / glucose uptake ($mmol/mmol\ glc$)]])/SQRT(2)</f>
        <v>0</v>
      </c>
      <c r="F70">
        <f>Table1[[#This Row],[distance from 45-degree line]]/MAX(Table1[[Flux in SC / glucose uptake ($mmol/mmol\ glc$)]:[Flux in RT / glucose uptake ($mmol/mmol\ glc$)]])</f>
        <v>0</v>
      </c>
      <c r="G70">
        <f>_xlfn.RANK.AVG(Table1[[#This Row],[Flux in SC / glucose uptake ($mmol/mmol\ glc$)]],Table1[Flux in SC / glucose uptake ($mmol/mmol\ glc$)])</f>
        <v>1310.5</v>
      </c>
      <c r="H70">
        <f>_xlfn.RANK.AVG(Table1[[#This Row],[Flux in RT / glucose uptake ($mmol/mmol\ glc$)]],Table1[Flux in RT / glucose uptake ($mmol/mmol\ glc$)])</f>
        <v>1290.5</v>
      </c>
      <c r="I70" t="e">
        <f>LOG(Table1[[#This Row],[Flux in SC / glucose uptake ($mmol/mmol\ glc$)]])</f>
        <v>#NUM!</v>
      </c>
      <c r="J70" t="e">
        <f>LOG(Table1[[#This Row],[Flux in RT / glucose uptake ($mmol/mmol\ glc$)]])</f>
        <v>#NUM!</v>
      </c>
      <c r="L70" t="str">
        <v>CYSTS_c</v>
      </c>
      <c r="M70" t="str">
        <v>Glycine, serine and threonine metabolism</v>
      </c>
      <c r="N70">
        <v>-4.0306935744315586</v>
      </c>
      <c r="O70">
        <v>-3.3750030703267271</v>
      </c>
    </row>
    <row r="71" spans="1:15" x14ac:dyDescent="0.2">
      <c r="A71" t="s">
        <v>74</v>
      </c>
      <c r="B71" t="s">
        <v>3122</v>
      </c>
      <c r="C71">
        <v>0</v>
      </c>
      <c r="D71">
        <v>0</v>
      </c>
      <c r="E71">
        <f>ABS(Table1[[#This Row],[Flux in SC / glucose uptake ($mmol/mmol\ glc$)]]-Table1[[#This Row],[Flux in RT / glucose uptake ($mmol/mmol\ glc$)]])/SQRT(2)</f>
        <v>0</v>
      </c>
      <c r="F71">
        <f>Table1[[#This Row],[distance from 45-degree line]]/MAX(Table1[[Flux in SC / glucose uptake ($mmol/mmol\ glc$)]:[Flux in RT / glucose uptake ($mmol/mmol\ glc$)]])</f>
        <v>0</v>
      </c>
      <c r="G71">
        <f>_xlfn.RANK.AVG(Table1[[#This Row],[Flux in SC / glucose uptake ($mmol/mmol\ glc$)]],Table1[Flux in SC / glucose uptake ($mmol/mmol\ glc$)])</f>
        <v>1310.5</v>
      </c>
      <c r="H71">
        <f>_xlfn.RANK.AVG(Table1[[#This Row],[Flux in RT / glucose uptake ($mmol/mmol\ glc$)]],Table1[Flux in RT / glucose uptake ($mmol/mmol\ glc$)])</f>
        <v>1290.5</v>
      </c>
      <c r="I71" t="e">
        <f>LOG(Table1[[#This Row],[Flux in SC / glucose uptake ($mmol/mmol\ glc$)]])</f>
        <v>#NUM!</v>
      </c>
      <c r="J71" t="e">
        <f>LOG(Table1[[#This Row],[Flux in RT / glucose uptake ($mmol/mmol\ glc$)]])</f>
        <v>#NUM!</v>
      </c>
      <c r="L71" t="str">
        <v>CYTK1_c</v>
      </c>
      <c r="M71" t="str">
        <v>Pyrimidine metabolism</v>
      </c>
      <c r="N71">
        <v>-3.1580477408590668</v>
      </c>
      <c r="O71">
        <v>-2.3909741670498041</v>
      </c>
    </row>
    <row r="72" spans="1:15" x14ac:dyDescent="0.2">
      <c r="A72" t="s">
        <v>75</v>
      </c>
      <c r="B72" t="s">
        <v>3122</v>
      </c>
      <c r="C72">
        <v>0</v>
      </c>
      <c r="D72">
        <v>0</v>
      </c>
      <c r="E72">
        <f>ABS(Table1[[#This Row],[Flux in SC / glucose uptake ($mmol/mmol\ glc$)]]-Table1[[#This Row],[Flux in RT / glucose uptake ($mmol/mmol\ glc$)]])/SQRT(2)</f>
        <v>0</v>
      </c>
      <c r="F72">
        <f>Table1[[#This Row],[distance from 45-degree line]]/MAX(Table1[[Flux in SC / glucose uptake ($mmol/mmol\ glc$)]:[Flux in RT / glucose uptake ($mmol/mmol\ glc$)]])</f>
        <v>0</v>
      </c>
      <c r="G72">
        <f>_xlfn.RANK.AVG(Table1[[#This Row],[Flux in SC / glucose uptake ($mmol/mmol\ glc$)]],Table1[Flux in SC / glucose uptake ($mmol/mmol\ glc$)])</f>
        <v>1310.5</v>
      </c>
      <c r="H72">
        <f>_xlfn.RANK.AVG(Table1[[#This Row],[Flux in RT / glucose uptake ($mmol/mmol\ glc$)]],Table1[Flux in RT / glucose uptake ($mmol/mmol\ glc$)])</f>
        <v>1290.5</v>
      </c>
      <c r="I72" t="e">
        <f>LOG(Table1[[#This Row],[Flux in SC / glucose uptake ($mmol/mmol\ glc$)]])</f>
        <v>#NUM!</v>
      </c>
      <c r="J72" t="e">
        <f>LOG(Table1[[#This Row],[Flux in RT / glucose uptake ($mmol/mmol\ glc$)]])</f>
        <v>#NUM!</v>
      </c>
      <c r="L72" t="str">
        <v>DDPA_c</v>
      </c>
      <c r="M72" t="str">
        <v>Phenylalanine, tyrosine and tryptophan metabolism</v>
      </c>
      <c r="N72">
        <v>-2.3726829009856614</v>
      </c>
      <c r="O72">
        <v>-1.7169703392318678</v>
      </c>
    </row>
    <row r="73" spans="1:15" x14ac:dyDescent="0.2">
      <c r="A73" t="s">
        <v>76</v>
      </c>
      <c r="B73" t="s">
        <v>3128</v>
      </c>
      <c r="C73">
        <v>0</v>
      </c>
      <c r="D73">
        <v>0</v>
      </c>
      <c r="E73">
        <f>ABS(Table1[[#This Row],[Flux in SC / glucose uptake ($mmol/mmol\ glc$)]]-Table1[[#This Row],[Flux in RT / glucose uptake ($mmol/mmol\ glc$)]])/SQRT(2)</f>
        <v>0</v>
      </c>
      <c r="F73">
        <f>Table1[[#This Row],[distance from 45-degree line]]/MAX(Table1[[Flux in SC / glucose uptake ($mmol/mmol\ glc$)]:[Flux in RT / glucose uptake ($mmol/mmol\ glc$)]])</f>
        <v>0</v>
      </c>
      <c r="G73">
        <f>_xlfn.RANK.AVG(Table1[[#This Row],[Flux in SC / glucose uptake ($mmol/mmol\ glc$)]],Table1[Flux in SC / glucose uptake ($mmol/mmol\ glc$)])</f>
        <v>1310.5</v>
      </c>
      <c r="H73">
        <f>_xlfn.RANK.AVG(Table1[[#This Row],[Flux in RT / glucose uptake ($mmol/mmol\ glc$)]],Table1[Flux in RT / glucose uptake ($mmol/mmol\ glc$)])</f>
        <v>1290.5</v>
      </c>
      <c r="I73" t="e">
        <f>LOG(Table1[[#This Row],[Flux in SC / glucose uptake ($mmol/mmol\ glc$)]])</f>
        <v>#NUM!</v>
      </c>
      <c r="J73" t="e">
        <f>LOG(Table1[[#This Row],[Flux in RT / glucose uptake ($mmol/mmol\ glc$)]])</f>
        <v>#NUM!</v>
      </c>
      <c r="L73" t="str">
        <v>DHAD1_m</v>
      </c>
      <c r="M73" t="str">
        <v>Valine, leucine and isoleucine metabolism</v>
      </c>
      <c r="N73">
        <v>-1.9909961646921943</v>
      </c>
      <c r="O73">
        <v>-1.3352849126200561</v>
      </c>
    </row>
    <row r="74" spans="1:15" x14ac:dyDescent="0.2">
      <c r="A74" t="s">
        <v>77</v>
      </c>
      <c r="B74" t="s">
        <v>3123</v>
      </c>
      <c r="C74">
        <v>0</v>
      </c>
      <c r="D74">
        <v>0</v>
      </c>
      <c r="E74">
        <f>ABS(Table1[[#This Row],[Flux in SC / glucose uptake ($mmol/mmol\ glc$)]]-Table1[[#This Row],[Flux in RT / glucose uptake ($mmol/mmol\ glc$)]])/SQRT(2)</f>
        <v>0</v>
      </c>
      <c r="F74">
        <f>Table1[[#This Row],[distance from 45-degree line]]/MAX(Table1[[Flux in SC / glucose uptake ($mmol/mmol\ glc$)]:[Flux in RT / glucose uptake ($mmol/mmol\ glc$)]])</f>
        <v>0</v>
      </c>
      <c r="G74">
        <f>_xlfn.RANK.AVG(Table1[[#This Row],[Flux in SC / glucose uptake ($mmol/mmol\ glc$)]],Table1[Flux in SC / glucose uptake ($mmol/mmol\ glc$)])</f>
        <v>1310.5</v>
      </c>
      <c r="H74">
        <f>_xlfn.RANK.AVG(Table1[[#This Row],[Flux in RT / glucose uptake ($mmol/mmol\ glc$)]],Table1[Flux in RT / glucose uptake ($mmol/mmol\ glc$)])</f>
        <v>1290.5</v>
      </c>
      <c r="I74" t="e">
        <f>LOG(Table1[[#This Row],[Flux in SC / glucose uptake ($mmol/mmol\ glc$)]])</f>
        <v>#NUM!</v>
      </c>
      <c r="J74" t="e">
        <f>LOG(Table1[[#This Row],[Flux in RT / glucose uptake ($mmol/mmol\ glc$)]])</f>
        <v>#NUM!</v>
      </c>
      <c r="L74" t="str">
        <v>DHAD2_m</v>
      </c>
      <c r="M74" t="str">
        <v>Valine, leucine and isoleucine metabolism</v>
      </c>
      <c r="N74">
        <v>-2.4067068740001836</v>
      </c>
      <c r="O74">
        <v>-1.7509952736333134</v>
      </c>
    </row>
    <row r="75" spans="1:15" x14ac:dyDescent="0.2">
      <c r="A75" t="s">
        <v>78</v>
      </c>
      <c r="B75" t="s">
        <v>3123</v>
      </c>
      <c r="C75">
        <v>0</v>
      </c>
      <c r="D75">
        <v>0</v>
      </c>
      <c r="E75">
        <f>ABS(Table1[[#This Row],[Flux in SC / glucose uptake ($mmol/mmol\ glc$)]]-Table1[[#This Row],[Flux in RT / glucose uptake ($mmol/mmol\ glc$)]])/SQRT(2)</f>
        <v>0</v>
      </c>
      <c r="F75">
        <f>Table1[[#This Row],[distance from 45-degree line]]/MAX(Table1[[Flux in SC / glucose uptake ($mmol/mmol\ glc$)]:[Flux in RT / glucose uptake ($mmol/mmol\ glc$)]])</f>
        <v>0</v>
      </c>
      <c r="G75">
        <f>_xlfn.RANK.AVG(Table1[[#This Row],[Flux in SC / glucose uptake ($mmol/mmol\ glc$)]],Table1[Flux in SC / glucose uptake ($mmol/mmol\ glc$)])</f>
        <v>1310.5</v>
      </c>
      <c r="H75">
        <f>_xlfn.RANK.AVG(Table1[[#This Row],[Flux in RT / glucose uptake ($mmol/mmol\ glc$)]],Table1[Flux in RT / glucose uptake ($mmol/mmol\ glc$)])</f>
        <v>1290.5</v>
      </c>
      <c r="I75" t="e">
        <f>LOG(Table1[[#This Row],[Flux in SC / glucose uptake ($mmol/mmol\ glc$)]])</f>
        <v>#NUM!</v>
      </c>
      <c r="J75" t="e">
        <f>LOG(Table1[[#This Row],[Flux in RT / glucose uptake ($mmol/mmol\ glc$)]])</f>
        <v>#NUM!</v>
      </c>
      <c r="L75" t="str">
        <v>DHFRi_c</v>
      </c>
      <c r="M75" t="str">
        <v>Folate metabolism</v>
      </c>
      <c r="N75">
        <v>-4.2532448884507108</v>
      </c>
      <c r="O75">
        <v>-3.36082526416447</v>
      </c>
    </row>
    <row r="76" spans="1:15" x14ac:dyDescent="0.2">
      <c r="A76" t="s">
        <v>79</v>
      </c>
      <c r="B76" t="s">
        <v>3123</v>
      </c>
      <c r="C76">
        <v>0</v>
      </c>
      <c r="D76">
        <v>0</v>
      </c>
      <c r="E76">
        <f>ABS(Table1[[#This Row],[Flux in SC / glucose uptake ($mmol/mmol\ glc$)]]-Table1[[#This Row],[Flux in RT / glucose uptake ($mmol/mmol\ glc$)]])/SQRT(2)</f>
        <v>0</v>
      </c>
      <c r="F76">
        <f>Table1[[#This Row],[distance from 45-degree line]]/MAX(Table1[[Flux in SC / glucose uptake ($mmol/mmol\ glc$)]:[Flux in RT / glucose uptake ($mmol/mmol\ glc$)]])</f>
        <v>0</v>
      </c>
      <c r="G76">
        <f>_xlfn.RANK.AVG(Table1[[#This Row],[Flux in SC / glucose uptake ($mmol/mmol\ glc$)]],Table1[Flux in SC / glucose uptake ($mmol/mmol\ glc$)])</f>
        <v>1310.5</v>
      </c>
      <c r="H76">
        <f>_xlfn.RANK.AVG(Table1[[#This Row],[Flux in RT / glucose uptake ($mmol/mmol\ glc$)]],Table1[Flux in RT / glucose uptake ($mmol/mmol\ glc$)])</f>
        <v>1290.5</v>
      </c>
      <c r="I76" t="e">
        <f>LOG(Table1[[#This Row],[Flux in SC / glucose uptake ($mmol/mmol\ glc$)]])</f>
        <v>#NUM!</v>
      </c>
      <c r="J76" t="e">
        <f>LOG(Table1[[#This Row],[Flux in RT / glucose uptake ($mmol/mmol\ glc$)]])</f>
        <v>#NUM!</v>
      </c>
      <c r="L76" t="str">
        <v>DHORDfum_c</v>
      </c>
      <c r="M76" t="str">
        <v>Pyrimidine metabolism</v>
      </c>
      <c r="N76">
        <v>-2.4960978548498174</v>
      </c>
      <c r="O76">
        <v>-1.8446610994166099</v>
      </c>
    </row>
    <row r="77" spans="1:15" x14ac:dyDescent="0.2">
      <c r="A77" t="s">
        <v>80</v>
      </c>
      <c r="B77" t="s">
        <v>3123</v>
      </c>
      <c r="C77">
        <v>0</v>
      </c>
      <c r="D77">
        <v>0</v>
      </c>
      <c r="E77">
        <f>ABS(Table1[[#This Row],[Flux in SC / glucose uptake ($mmol/mmol\ glc$)]]-Table1[[#This Row],[Flux in RT / glucose uptake ($mmol/mmol\ glc$)]])/SQRT(2)</f>
        <v>0</v>
      </c>
      <c r="F77">
        <f>Table1[[#This Row],[distance from 45-degree line]]/MAX(Table1[[Flux in SC / glucose uptake ($mmol/mmol\ glc$)]:[Flux in RT / glucose uptake ($mmol/mmol\ glc$)]])</f>
        <v>0</v>
      </c>
      <c r="G77">
        <f>_xlfn.RANK.AVG(Table1[[#This Row],[Flux in SC / glucose uptake ($mmol/mmol\ glc$)]],Table1[Flux in SC / glucose uptake ($mmol/mmol\ glc$)])</f>
        <v>1310.5</v>
      </c>
      <c r="H77">
        <f>_xlfn.RANK.AVG(Table1[[#This Row],[Flux in RT / glucose uptake ($mmol/mmol\ glc$)]],Table1[Flux in RT / glucose uptake ($mmol/mmol\ glc$)])</f>
        <v>1290.5</v>
      </c>
      <c r="I77" t="e">
        <f>LOG(Table1[[#This Row],[Flux in SC / glucose uptake ($mmol/mmol\ glc$)]])</f>
        <v>#NUM!</v>
      </c>
      <c r="J77" t="e">
        <f>LOG(Table1[[#This Row],[Flux in RT / glucose uptake ($mmol/mmol\ glc$)]])</f>
        <v>#NUM!</v>
      </c>
      <c r="L77" t="str">
        <v>DHORTS_c</v>
      </c>
      <c r="M77" t="str">
        <v>Pyrimidine metabolism</v>
      </c>
      <c r="N77">
        <v>-2.4960978548498174</v>
      </c>
      <c r="O77">
        <v>-1.8446610994166099</v>
      </c>
    </row>
    <row r="78" spans="1:15" x14ac:dyDescent="0.2">
      <c r="A78" t="s">
        <v>81</v>
      </c>
      <c r="B78" t="s">
        <v>3123</v>
      </c>
      <c r="C78">
        <v>0</v>
      </c>
      <c r="D78">
        <v>0</v>
      </c>
      <c r="E78">
        <f>ABS(Table1[[#This Row],[Flux in SC / glucose uptake ($mmol/mmol\ glc$)]]-Table1[[#This Row],[Flux in RT / glucose uptake ($mmol/mmol\ glc$)]])/SQRT(2)</f>
        <v>0</v>
      </c>
      <c r="F78">
        <f>Table1[[#This Row],[distance from 45-degree line]]/MAX(Table1[[Flux in SC / glucose uptake ($mmol/mmol\ glc$)]:[Flux in RT / glucose uptake ($mmol/mmol\ glc$)]])</f>
        <v>0</v>
      </c>
      <c r="G78">
        <f>_xlfn.RANK.AVG(Table1[[#This Row],[Flux in SC / glucose uptake ($mmol/mmol\ glc$)]],Table1[Flux in SC / glucose uptake ($mmol/mmol\ glc$)])</f>
        <v>1310.5</v>
      </c>
      <c r="H78">
        <f>_xlfn.RANK.AVG(Table1[[#This Row],[Flux in RT / glucose uptake ($mmol/mmol\ glc$)]],Table1[Flux in RT / glucose uptake ($mmol/mmol\ glc$)])</f>
        <v>1290.5</v>
      </c>
      <c r="I78" t="e">
        <f>LOG(Table1[[#This Row],[Flux in SC / glucose uptake ($mmol/mmol\ glc$)]])</f>
        <v>#NUM!</v>
      </c>
      <c r="J78" t="e">
        <f>LOG(Table1[[#This Row],[Flux in RT / glucose uptake ($mmol/mmol\ glc$)]])</f>
        <v>#NUM!</v>
      </c>
      <c r="L78" t="str">
        <v>DHQS_c</v>
      </c>
      <c r="M78" t="str">
        <v>Phenylalanine, tyrosine and tryptophan metabolism</v>
      </c>
      <c r="N78">
        <v>-2.3726829009856614</v>
      </c>
      <c r="O78">
        <v>-1.7169703392318678</v>
      </c>
    </row>
    <row r="79" spans="1:15" x14ac:dyDescent="0.2">
      <c r="A79" t="s">
        <v>82</v>
      </c>
      <c r="B79" t="s">
        <v>3123</v>
      </c>
      <c r="C79">
        <v>0</v>
      </c>
      <c r="D79">
        <v>0</v>
      </c>
      <c r="E79">
        <f>ABS(Table1[[#This Row],[Flux in SC / glucose uptake ($mmol/mmol\ glc$)]]-Table1[[#This Row],[Flux in RT / glucose uptake ($mmol/mmol\ glc$)]])/SQRT(2)</f>
        <v>0</v>
      </c>
      <c r="F79">
        <f>Table1[[#This Row],[distance from 45-degree line]]/MAX(Table1[[Flux in SC / glucose uptake ($mmol/mmol\ glc$)]:[Flux in RT / glucose uptake ($mmol/mmol\ glc$)]])</f>
        <v>0</v>
      </c>
      <c r="G79">
        <f>_xlfn.RANK.AVG(Table1[[#This Row],[Flux in SC / glucose uptake ($mmol/mmol\ glc$)]],Table1[Flux in SC / glucose uptake ($mmol/mmol\ glc$)])</f>
        <v>1310.5</v>
      </c>
      <c r="H79">
        <f>_xlfn.RANK.AVG(Table1[[#This Row],[Flux in RT / glucose uptake ($mmol/mmol\ glc$)]],Table1[Flux in RT / glucose uptake ($mmol/mmol\ glc$)])</f>
        <v>1290.5</v>
      </c>
      <c r="I79" t="e">
        <f>LOG(Table1[[#This Row],[Flux in SC / glucose uptake ($mmol/mmol\ glc$)]])</f>
        <v>#NUM!</v>
      </c>
      <c r="J79" t="e">
        <f>LOG(Table1[[#This Row],[Flux in RT / glucose uptake ($mmol/mmol\ glc$)]])</f>
        <v>#NUM!</v>
      </c>
      <c r="L79" t="str">
        <v>DHQTi_c</v>
      </c>
      <c r="M79" t="str">
        <v>Phenylalanine, tyrosine and tryptophan metabolism</v>
      </c>
      <c r="N79">
        <v>-2.3726829009856614</v>
      </c>
      <c r="O79">
        <v>-1.7169703392318678</v>
      </c>
    </row>
    <row r="80" spans="1:15" x14ac:dyDescent="0.2">
      <c r="A80" t="s">
        <v>83</v>
      </c>
      <c r="B80" t="s">
        <v>3123</v>
      </c>
      <c r="C80">
        <v>0</v>
      </c>
      <c r="D80">
        <v>0</v>
      </c>
      <c r="E80">
        <f>ABS(Table1[[#This Row],[Flux in SC / glucose uptake ($mmol/mmol\ glc$)]]-Table1[[#This Row],[Flux in RT / glucose uptake ($mmol/mmol\ glc$)]])/SQRT(2)</f>
        <v>0</v>
      </c>
      <c r="F80">
        <f>Table1[[#This Row],[distance from 45-degree line]]/MAX(Table1[[Flux in SC / glucose uptake ($mmol/mmol\ glc$)]:[Flux in RT / glucose uptake ($mmol/mmol\ glc$)]])</f>
        <v>0</v>
      </c>
      <c r="G80">
        <f>_xlfn.RANK.AVG(Table1[[#This Row],[Flux in SC / glucose uptake ($mmol/mmol\ glc$)]],Table1[Flux in SC / glucose uptake ($mmol/mmol\ glc$)])</f>
        <v>1310.5</v>
      </c>
      <c r="H80">
        <f>_xlfn.RANK.AVG(Table1[[#This Row],[Flux in RT / glucose uptake ($mmol/mmol\ glc$)]],Table1[Flux in RT / glucose uptake ($mmol/mmol\ glc$)])</f>
        <v>1290.5</v>
      </c>
      <c r="I80" t="e">
        <f>LOG(Table1[[#This Row],[Flux in SC / glucose uptake ($mmol/mmol\ glc$)]])</f>
        <v>#NUM!</v>
      </c>
      <c r="J80" t="e">
        <f>LOG(Table1[[#This Row],[Flux in RT / glucose uptake ($mmol/mmol\ glc$)]])</f>
        <v>#NUM!</v>
      </c>
      <c r="L80" t="str">
        <v>DMATT_c</v>
      </c>
      <c r="M80" t="str">
        <v>Terpenoid backbone biosynthesis</v>
      </c>
      <c r="N80">
        <v>-3.0273108747936583</v>
      </c>
      <c r="O80">
        <v>-2.1102350588445518</v>
      </c>
    </row>
    <row r="81" spans="1:15" x14ac:dyDescent="0.2">
      <c r="A81" t="s">
        <v>84</v>
      </c>
      <c r="B81" t="s">
        <v>3123</v>
      </c>
      <c r="C81">
        <v>0</v>
      </c>
      <c r="D81">
        <v>0</v>
      </c>
      <c r="E81">
        <f>ABS(Table1[[#This Row],[Flux in SC / glucose uptake ($mmol/mmol\ glc$)]]-Table1[[#This Row],[Flux in RT / glucose uptake ($mmol/mmol\ glc$)]])/SQRT(2)</f>
        <v>0</v>
      </c>
      <c r="F81">
        <f>Table1[[#This Row],[distance from 45-degree line]]/MAX(Table1[[Flux in SC / glucose uptake ($mmol/mmol\ glc$)]:[Flux in RT / glucose uptake ($mmol/mmol\ glc$)]])</f>
        <v>0</v>
      </c>
      <c r="G81">
        <f>_xlfn.RANK.AVG(Table1[[#This Row],[Flux in SC / glucose uptake ($mmol/mmol\ glc$)]],Table1[Flux in SC / glucose uptake ($mmol/mmol\ glc$)])</f>
        <v>1310.5</v>
      </c>
      <c r="H81">
        <f>_xlfn.RANK.AVG(Table1[[#This Row],[Flux in RT / glucose uptake ($mmol/mmol\ glc$)]],Table1[Flux in RT / glucose uptake ($mmol/mmol\ glc$)])</f>
        <v>1290.5</v>
      </c>
      <c r="I81" t="e">
        <f>LOG(Table1[[#This Row],[Flux in SC / glucose uptake ($mmol/mmol\ glc$)]])</f>
        <v>#NUM!</v>
      </c>
      <c r="J81" t="e">
        <f>LOG(Table1[[#This Row],[Flux in RT / glucose uptake ($mmol/mmol\ glc$)]])</f>
        <v>#NUM!</v>
      </c>
      <c r="L81" t="str">
        <v>DOLPMT_c</v>
      </c>
      <c r="M81" t="str">
        <v>N-Glycan biosynthesis</v>
      </c>
      <c r="N81">
        <v>-2.2655804319978099</v>
      </c>
      <c r="O81">
        <v>-1.4492984612037394</v>
      </c>
    </row>
    <row r="82" spans="1:15" x14ac:dyDescent="0.2">
      <c r="A82" t="s">
        <v>85</v>
      </c>
      <c r="B82" t="s">
        <v>3123</v>
      </c>
      <c r="C82">
        <v>0</v>
      </c>
      <c r="D82">
        <v>0</v>
      </c>
      <c r="E82">
        <f>ABS(Table1[[#This Row],[Flux in SC / glucose uptake ($mmol/mmol\ glc$)]]-Table1[[#This Row],[Flux in RT / glucose uptake ($mmol/mmol\ glc$)]])/SQRT(2)</f>
        <v>0</v>
      </c>
      <c r="F82">
        <f>Table1[[#This Row],[distance from 45-degree line]]/MAX(Table1[[Flux in SC / glucose uptake ($mmol/mmol\ glc$)]:[Flux in RT / glucose uptake ($mmol/mmol\ glc$)]])</f>
        <v>0</v>
      </c>
      <c r="G82">
        <f>_xlfn.RANK.AVG(Table1[[#This Row],[Flux in SC / glucose uptake ($mmol/mmol\ glc$)]],Table1[Flux in SC / glucose uptake ($mmol/mmol\ glc$)])</f>
        <v>1310.5</v>
      </c>
      <c r="H82">
        <f>_xlfn.RANK.AVG(Table1[[#This Row],[Flux in RT / glucose uptake ($mmol/mmol\ glc$)]],Table1[Flux in RT / glucose uptake ($mmol/mmol\ glc$)])</f>
        <v>1290.5</v>
      </c>
      <c r="I82" t="e">
        <f>LOG(Table1[[#This Row],[Flux in SC / glucose uptake ($mmol/mmol\ glc$)]])</f>
        <v>#NUM!</v>
      </c>
      <c r="J82" t="e">
        <f>LOG(Table1[[#This Row],[Flux in RT / glucose uptake ($mmol/mmol\ glc$)]])</f>
        <v>#NUM!</v>
      </c>
      <c r="L82" t="str">
        <v>DPMVD_c</v>
      </c>
      <c r="M82" t="str">
        <v>Terpenoid backbone biosynthesis</v>
      </c>
      <c r="N82">
        <v>-2.5501896200739957</v>
      </c>
      <c r="O82">
        <v>-1.6331138041248896</v>
      </c>
    </row>
    <row r="83" spans="1:15" x14ac:dyDescent="0.2">
      <c r="A83" t="s">
        <v>86</v>
      </c>
      <c r="B83" t="s">
        <v>3123</v>
      </c>
      <c r="C83">
        <v>0</v>
      </c>
      <c r="D83">
        <v>0</v>
      </c>
      <c r="E83">
        <f>ABS(Table1[[#This Row],[Flux in SC / glucose uptake ($mmol/mmol\ glc$)]]-Table1[[#This Row],[Flux in RT / glucose uptake ($mmol/mmol\ glc$)]])/SQRT(2)</f>
        <v>0</v>
      </c>
      <c r="F83">
        <f>Table1[[#This Row],[distance from 45-degree line]]/MAX(Table1[[Flux in SC / glucose uptake ($mmol/mmol\ glc$)]:[Flux in RT / glucose uptake ($mmol/mmol\ glc$)]])</f>
        <v>0</v>
      </c>
      <c r="G83">
        <f>_xlfn.RANK.AVG(Table1[[#This Row],[Flux in SC / glucose uptake ($mmol/mmol\ glc$)]],Table1[Flux in SC / glucose uptake ($mmol/mmol\ glc$)])</f>
        <v>1310.5</v>
      </c>
      <c r="H83">
        <f>_xlfn.RANK.AVG(Table1[[#This Row],[Flux in RT / glucose uptake ($mmol/mmol\ glc$)]],Table1[Flux in RT / glucose uptake ($mmol/mmol\ glc$)])</f>
        <v>1290.5</v>
      </c>
      <c r="I83" t="e">
        <f>LOG(Table1[[#This Row],[Flux in SC / glucose uptake ($mmol/mmol\ glc$)]])</f>
        <v>#NUM!</v>
      </c>
      <c r="J83" t="e">
        <f>LOG(Table1[[#This Row],[Flux in RT / glucose uptake ($mmol/mmol\ glc$)]])</f>
        <v>#NUM!</v>
      </c>
      <c r="L83" t="str">
        <v>DTMPK_c</v>
      </c>
      <c r="M83" t="str">
        <v>Pyrimidine metabolism</v>
      </c>
      <c r="N83">
        <v>-4.2532448884507108</v>
      </c>
      <c r="O83">
        <v>-3.36082526416447</v>
      </c>
    </row>
    <row r="84" spans="1:15" x14ac:dyDescent="0.2">
      <c r="A84" t="s">
        <v>87</v>
      </c>
      <c r="B84" t="s">
        <v>3123</v>
      </c>
      <c r="C84">
        <v>0</v>
      </c>
      <c r="D84">
        <v>0</v>
      </c>
      <c r="E84">
        <f>ABS(Table1[[#This Row],[Flux in SC / glucose uptake ($mmol/mmol\ glc$)]]-Table1[[#This Row],[Flux in RT / glucose uptake ($mmol/mmol\ glc$)]])/SQRT(2)</f>
        <v>0</v>
      </c>
      <c r="F84">
        <f>Table1[[#This Row],[distance from 45-degree line]]/MAX(Table1[[Flux in SC / glucose uptake ($mmol/mmol\ glc$)]:[Flux in RT / glucose uptake ($mmol/mmol\ glc$)]])</f>
        <v>0</v>
      </c>
      <c r="G84">
        <f>_xlfn.RANK.AVG(Table1[[#This Row],[Flux in SC / glucose uptake ($mmol/mmol\ glc$)]],Table1[Flux in SC / glucose uptake ($mmol/mmol\ glc$)])</f>
        <v>1310.5</v>
      </c>
      <c r="H84">
        <f>_xlfn.RANK.AVG(Table1[[#This Row],[Flux in RT / glucose uptake ($mmol/mmol\ glc$)]],Table1[Flux in RT / glucose uptake ($mmol/mmol\ glc$)])</f>
        <v>1290.5</v>
      </c>
      <c r="I84" t="e">
        <f>LOG(Table1[[#This Row],[Flux in SC / glucose uptake ($mmol/mmol\ glc$)]])</f>
        <v>#NUM!</v>
      </c>
      <c r="J84" t="e">
        <f>LOG(Table1[[#This Row],[Flux in RT / glucose uptake ($mmol/mmol\ glc$)]])</f>
        <v>#NUM!</v>
      </c>
      <c r="L84" t="str">
        <v>DUTPDP_c</v>
      </c>
      <c r="M84" t="str">
        <v>Pyrimidine metabolism</v>
      </c>
      <c r="N84">
        <v>-4.2532448884507108</v>
      </c>
      <c r="O84">
        <v>-3.36082526416447</v>
      </c>
    </row>
    <row r="85" spans="1:15" x14ac:dyDescent="0.2">
      <c r="A85" t="s">
        <v>88</v>
      </c>
      <c r="B85" t="s">
        <v>3123</v>
      </c>
      <c r="C85">
        <v>0</v>
      </c>
      <c r="D85">
        <v>0</v>
      </c>
      <c r="E85">
        <f>ABS(Table1[[#This Row],[Flux in SC / glucose uptake ($mmol/mmol\ glc$)]]-Table1[[#This Row],[Flux in RT / glucose uptake ($mmol/mmol\ glc$)]])/SQRT(2)</f>
        <v>0</v>
      </c>
      <c r="F85">
        <f>Table1[[#This Row],[distance from 45-degree line]]/MAX(Table1[[Flux in SC / glucose uptake ($mmol/mmol\ glc$)]:[Flux in RT / glucose uptake ($mmol/mmol\ glc$)]])</f>
        <v>0</v>
      </c>
      <c r="G85">
        <f>_xlfn.RANK.AVG(Table1[[#This Row],[Flux in SC / glucose uptake ($mmol/mmol\ glc$)]],Table1[Flux in SC / glucose uptake ($mmol/mmol\ glc$)])</f>
        <v>1310.5</v>
      </c>
      <c r="H85">
        <f>_xlfn.RANK.AVG(Table1[[#This Row],[Flux in RT / glucose uptake ($mmol/mmol\ glc$)]],Table1[Flux in RT / glucose uptake ($mmol/mmol\ glc$)])</f>
        <v>1290.5</v>
      </c>
      <c r="I85" t="e">
        <f>LOG(Table1[[#This Row],[Flux in SC / glucose uptake ($mmol/mmol\ glc$)]])</f>
        <v>#NUM!</v>
      </c>
      <c r="J85" t="e">
        <f>LOG(Table1[[#This Row],[Flux in RT / glucose uptake ($mmol/mmol\ glc$)]])</f>
        <v>#NUM!</v>
      </c>
      <c r="L85" t="str">
        <v>ENO_c</v>
      </c>
      <c r="M85" t="str">
        <v>Glycolysis / Gluconeogenesis</v>
      </c>
      <c r="N85">
        <v>0.25198905151682927</v>
      </c>
      <c r="O85">
        <v>-0.11317009773276131</v>
      </c>
    </row>
    <row r="86" spans="1:15" x14ac:dyDescent="0.2">
      <c r="A86" t="s">
        <v>89</v>
      </c>
      <c r="B86" t="s">
        <v>3123</v>
      </c>
      <c r="C86">
        <v>0</v>
      </c>
      <c r="D86">
        <v>0</v>
      </c>
      <c r="E86">
        <f>ABS(Table1[[#This Row],[Flux in SC / glucose uptake ($mmol/mmol\ glc$)]]-Table1[[#This Row],[Flux in RT / glucose uptake ($mmol/mmol\ glc$)]])/SQRT(2)</f>
        <v>0</v>
      </c>
      <c r="F86">
        <f>Table1[[#This Row],[distance from 45-degree line]]/MAX(Table1[[Flux in SC / glucose uptake ($mmol/mmol\ glc$)]:[Flux in RT / glucose uptake ($mmol/mmol\ glc$)]])</f>
        <v>0</v>
      </c>
      <c r="G86">
        <f>_xlfn.RANK.AVG(Table1[[#This Row],[Flux in SC / glucose uptake ($mmol/mmol\ glc$)]],Table1[Flux in SC / glucose uptake ($mmol/mmol\ glc$)])</f>
        <v>1310.5</v>
      </c>
      <c r="H86">
        <f>_xlfn.RANK.AVG(Table1[[#This Row],[Flux in RT / glucose uptake ($mmol/mmol\ glc$)]],Table1[Flux in RT / glucose uptake ($mmol/mmol\ glc$)])</f>
        <v>1290.5</v>
      </c>
      <c r="I86" t="e">
        <f>LOG(Table1[[#This Row],[Flux in SC / glucose uptake ($mmol/mmol\ glc$)]])</f>
        <v>#NUM!</v>
      </c>
      <c r="J86" t="e">
        <f>LOG(Table1[[#This Row],[Flux in RT / glucose uptake ($mmol/mmol\ glc$)]])</f>
        <v>#NUM!</v>
      </c>
      <c r="L86" t="str">
        <v>EX_ca2_e</v>
      </c>
      <c r="M86" t="str">
        <v>Exchange</v>
      </c>
      <c r="N86">
        <v>-4.7409307342054783</v>
      </c>
      <c r="O86">
        <v>-4.0303864995895049</v>
      </c>
    </row>
    <row r="87" spans="1:15" x14ac:dyDescent="0.2">
      <c r="A87" t="s">
        <v>90</v>
      </c>
      <c r="B87" t="s">
        <v>3123</v>
      </c>
      <c r="C87">
        <v>0</v>
      </c>
      <c r="D87">
        <v>0</v>
      </c>
      <c r="E87">
        <f>ABS(Table1[[#This Row],[Flux in SC / glucose uptake ($mmol/mmol\ glc$)]]-Table1[[#This Row],[Flux in RT / glucose uptake ($mmol/mmol\ glc$)]])/SQRT(2)</f>
        <v>0</v>
      </c>
      <c r="F87">
        <f>Table1[[#This Row],[distance from 45-degree line]]/MAX(Table1[[Flux in SC / glucose uptake ($mmol/mmol\ glc$)]:[Flux in RT / glucose uptake ($mmol/mmol\ glc$)]])</f>
        <v>0</v>
      </c>
      <c r="G87">
        <f>_xlfn.RANK.AVG(Table1[[#This Row],[Flux in SC / glucose uptake ($mmol/mmol\ glc$)]],Table1[Flux in SC / glucose uptake ($mmol/mmol\ glc$)])</f>
        <v>1310.5</v>
      </c>
      <c r="H87">
        <f>_xlfn.RANK.AVG(Table1[[#This Row],[Flux in RT / glucose uptake ($mmol/mmol\ glc$)]],Table1[Flux in RT / glucose uptake ($mmol/mmol\ glc$)])</f>
        <v>1290.5</v>
      </c>
      <c r="I87" t="e">
        <f>LOG(Table1[[#This Row],[Flux in SC / glucose uptake ($mmol/mmol\ glc$)]])</f>
        <v>#NUM!</v>
      </c>
      <c r="J87" t="e">
        <f>LOG(Table1[[#This Row],[Flux in RT / glucose uptake ($mmol/mmol\ glc$)]])</f>
        <v>#NUM!</v>
      </c>
      <c r="L87" t="str">
        <v>EX_co2_e</v>
      </c>
      <c r="M87" t="str">
        <v>Exchange</v>
      </c>
      <c r="N87">
        <v>0.28199454129390544</v>
      </c>
      <c r="O87">
        <v>0.49423764908399231</v>
      </c>
    </row>
    <row r="88" spans="1:15" x14ac:dyDescent="0.2">
      <c r="A88" t="s">
        <v>91</v>
      </c>
      <c r="B88" t="s">
        <v>3123</v>
      </c>
      <c r="C88">
        <v>0</v>
      </c>
      <c r="D88">
        <v>0</v>
      </c>
      <c r="E88">
        <f>ABS(Table1[[#This Row],[Flux in SC / glucose uptake ($mmol/mmol\ glc$)]]-Table1[[#This Row],[Flux in RT / glucose uptake ($mmol/mmol\ glc$)]])/SQRT(2)</f>
        <v>0</v>
      </c>
      <c r="F88">
        <f>Table1[[#This Row],[distance from 45-degree line]]/MAX(Table1[[Flux in SC / glucose uptake ($mmol/mmol\ glc$)]:[Flux in RT / glucose uptake ($mmol/mmol\ glc$)]])</f>
        <v>0</v>
      </c>
      <c r="G88">
        <f>_xlfn.RANK.AVG(Table1[[#This Row],[Flux in SC / glucose uptake ($mmol/mmol\ glc$)]],Table1[Flux in SC / glucose uptake ($mmol/mmol\ glc$)])</f>
        <v>1310.5</v>
      </c>
      <c r="H88">
        <f>_xlfn.RANK.AVG(Table1[[#This Row],[Flux in RT / glucose uptake ($mmol/mmol\ glc$)]],Table1[Flux in RT / glucose uptake ($mmol/mmol\ glc$)])</f>
        <v>1290.5</v>
      </c>
      <c r="I88" t="e">
        <f>LOG(Table1[[#This Row],[Flux in SC / glucose uptake ($mmol/mmol\ glc$)]])</f>
        <v>#NUM!</v>
      </c>
      <c r="J88" t="e">
        <f>LOG(Table1[[#This Row],[Flux in RT / glucose uptake ($mmol/mmol\ glc$)]])</f>
        <v>#NUM!</v>
      </c>
      <c r="L88" t="str">
        <v>EX_cu2_e</v>
      </c>
      <c r="M88" t="str">
        <v>Exchange</v>
      </c>
      <c r="N88">
        <v>-5.7930337904393667</v>
      </c>
      <c r="O88">
        <v>-5.0827226168412363</v>
      </c>
    </row>
    <row r="89" spans="1:15" x14ac:dyDescent="0.2">
      <c r="A89" t="s">
        <v>92</v>
      </c>
      <c r="B89" t="s">
        <v>3123</v>
      </c>
      <c r="C89">
        <v>0</v>
      </c>
      <c r="D89">
        <v>0</v>
      </c>
      <c r="E89">
        <f>ABS(Table1[[#This Row],[Flux in SC / glucose uptake ($mmol/mmol\ glc$)]]-Table1[[#This Row],[Flux in RT / glucose uptake ($mmol/mmol\ glc$)]])/SQRT(2)</f>
        <v>0</v>
      </c>
      <c r="F89">
        <f>Table1[[#This Row],[distance from 45-degree line]]/MAX(Table1[[Flux in SC / glucose uptake ($mmol/mmol\ glc$)]:[Flux in RT / glucose uptake ($mmol/mmol\ glc$)]])</f>
        <v>0</v>
      </c>
      <c r="G89">
        <f>_xlfn.RANK.AVG(Table1[[#This Row],[Flux in SC / glucose uptake ($mmol/mmol\ glc$)]],Table1[Flux in SC / glucose uptake ($mmol/mmol\ glc$)])</f>
        <v>1310.5</v>
      </c>
      <c r="H89">
        <f>_xlfn.RANK.AVG(Table1[[#This Row],[Flux in RT / glucose uptake ($mmol/mmol\ glc$)]],Table1[Flux in RT / glucose uptake ($mmol/mmol\ glc$)])</f>
        <v>1290.5</v>
      </c>
      <c r="I89" t="e">
        <f>LOG(Table1[[#This Row],[Flux in SC / glucose uptake ($mmol/mmol\ glc$)]])</f>
        <v>#NUM!</v>
      </c>
      <c r="J89" t="e">
        <f>LOG(Table1[[#This Row],[Flux in RT / glucose uptake ($mmol/mmol\ glc$)]])</f>
        <v>#NUM!</v>
      </c>
      <c r="L89" t="str">
        <v>EX_fe2_e</v>
      </c>
      <c r="M89" t="str">
        <v>Exchange</v>
      </c>
      <c r="N89">
        <v>-5.028003623425664</v>
      </c>
      <c r="O89">
        <v>-4.3174593888096915</v>
      </c>
    </row>
    <row r="90" spans="1:15" x14ac:dyDescent="0.2">
      <c r="A90" t="s">
        <v>93</v>
      </c>
      <c r="B90" t="s">
        <v>3123</v>
      </c>
      <c r="C90">
        <v>0</v>
      </c>
      <c r="D90">
        <v>0</v>
      </c>
      <c r="E90">
        <f>ABS(Table1[[#This Row],[Flux in SC / glucose uptake ($mmol/mmol\ glc$)]]-Table1[[#This Row],[Flux in RT / glucose uptake ($mmol/mmol\ glc$)]])/SQRT(2)</f>
        <v>0</v>
      </c>
      <c r="F90">
        <f>Table1[[#This Row],[distance from 45-degree line]]/MAX(Table1[[Flux in SC / glucose uptake ($mmol/mmol\ glc$)]:[Flux in RT / glucose uptake ($mmol/mmol\ glc$)]])</f>
        <v>0</v>
      </c>
      <c r="G90">
        <f>_xlfn.RANK.AVG(Table1[[#This Row],[Flux in SC / glucose uptake ($mmol/mmol\ glc$)]],Table1[Flux in SC / glucose uptake ($mmol/mmol\ glc$)])</f>
        <v>1310.5</v>
      </c>
      <c r="H90">
        <f>_xlfn.RANK.AVG(Table1[[#This Row],[Flux in RT / glucose uptake ($mmol/mmol\ glc$)]],Table1[Flux in RT / glucose uptake ($mmol/mmol\ glc$)])</f>
        <v>1290.5</v>
      </c>
      <c r="I90" t="e">
        <f>LOG(Table1[[#This Row],[Flux in SC / glucose uptake ($mmol/mmol\ glc$)]])</f>
        <v>#NUM!</v>
      </c>
      <c r="J90" t="e">
        <f>LOG(Table1[[#This Row],[Flux in RT / glucose uptake ($mmol/mmol\ glc$)]])</f>
        <v>#NUM!</v>
      </c>
      <c r="L90" t="str">
        <v>EX_glc__D_e</v>
      </c>
      <c r="M90" t="str">
        <v>Exchange</v>
      </c>
      <c r="N90">
        <v>0</v>
      </c>
      <c r="O90">
        <v>0</v>
      </c>
    </row>
    <row r="91" spans="1:15" x14ac:dyDescent="0.2">
      <c r="A91" t="s">
        <v>94</v>
      </c>
      <c r="B91" t="s">
        <v>3123</v>
      </c>
      <c r="C91">
        <v>0</v>
      </c>
      <c r="D91">
        <v>0</v>
      </c>
      <c r="E91">
        <f>ABS(Table1[[#This Row],[Flux in SC / glucose uptake ($mmol/mmol\ glc$)]]-Table1[[#This Row],[Flux in RT / glucose uptake ($mmol/mmol\ glc$)]])/SQRT(2)</f>
        <v>0</v>
      </c>
      <c r="F91">
        <f>Table1[[#This Row],[distance from 45-degree line]]/MAX(Table1[[Flux in SC / glucose uptake ($mmol/mmol\ glc$)]:[Flux in RT / glucose uptake ($mmol/mmol\ glc$)]])</f>
        <v>0</v>
      </c>
      <c r="G91">
        <f>_xlfn.RANK.AVG(Table1[[#This Row],[Flux in SC / glucose uptake ($mmol/mmol\ glc$)]],Table1[Flux in SC / glucose uptake ($mmol/mmol\ glc$)])</f>
        <v>1310.5</v>
      </c>
      <c r="H91">
        <f>_xlfn.RANK.AVG(Table1[[#This Row],[Flux in RT / glucose uptake ($mmol/mmol\ glc$)]],Table1[Flux in RT / glucose uptake ($mmol/mmol\ glc$)])</f>
        <v>1290.5</v>
      </c>
      <c r="I91" t="e">
        <f>LOG(Table1[[#This Row],[Flux in SC / glucose uptake ($mmol/mmol\ glc$)]])</f>
        <v>#NUM!</v>
      </c>
      <c r="J91" t="e">
        <f>LOG(Table1[[#This Row],[Flux in RT / glucose uptake ($mmol/mmol\ glc$)]])</f>
        <v>#NUM!</v>
      </c>
      <c r="L91" t="str">
        <v>EX_h_e</v>
      </c>
      <c r="M91" t="str">
        <v>Exchange</v>
      </c>
      <c r="N91">
        <v>-1.4312482025063762</v>
      </c>
      <c r="O91">
        <v>-0.31777172104349249</v>
      </c>
    </row>
    <row r="92" spans="1:15" x14ac:dyDescent="0.2">
      <c r="A92" t="s">
        <v>95</v>
      </c>
      <c r="B92" t="s">
        <v>3123</v>
      </c>
      <c r="C92">
        <v>0</v>
      </c>
      <c r="D92">
        <v>0</v>
      </c>
      <c r="E92">
        <f>ABS(Table1[[#This Row],[Flux in SC / glucose uptake ($mmol/mmol\ glc$)]]-Table1[[#This Row],[Flux in RT / glucose uptake ($mmol/mmol\ glc$)]])/SQRT(2)</f>
        <v>0</v>
      </c>
      <c r="F92">
        <f>Table1[[#This Row],[distance from 45-degree line]]/MAX(Table1[[Flux in SC / glucose uptake ($mmol/mmol\ glc$)]:[Flux in RT / glucose uptake ($mmol/mmol\ glc$)]])</f>
        <v>0</v>
      </c>
      <c r="G92">
        <f>_xlfn.RANK.AVG(Table1[[#This Row],[Flux in SC / glucose uptake ($mmol/mmol\ glc$)]],Table1[Flux in SC / glucose uptake ($mmol/mmol\ glc$)])</f>
        <v>1310.5</v>
      </c>
      <c r="H92">
        <f>_xlfn.RANK.AVG(Table1[[#This Row],[Flux in RT / glucose uptake ($mmol/mmol\ glc$)]],Table1[Flux in RT / glucose uptake ($mmol/mmol\ glc$)])</f>
        <v>1290.5</v>
      </c>
      <c r="I92" t="e">
        <f>LOG(Table1[[#This Row],[Flux in SC / glucose uptake ($mmol/mmol\ glc$)]])</f>
        <v>#NUM!</v>
      </c>
      <c r="J92" t="e">
        <f>LOG(Table1[[#This Row],[Flux in RT / glucose uptake ($mmol/mmol\ glc$)]])</f>
        <v>#NUM!</v>
      </c>
      <c r="L92" t="str">
        <v>EX_h2o_e</v>
      </c>
      <c r="M92" t="str">
        <v>Exchange</v>
      </c>
      <c r="N92">
        <v>-0.2667416339469969</v>
      </c>
      <c r="O92">
        <v>0.65406472843702024</v>
      </c>
    </row>
    <row r="93" spans="1:15" x14ac:dyDescent="0.2">
      <c r="A93" t="s">
        <v>96</v>
      </c>
      <c r="B93" t="s">
        <v>3114</v>
      </c>
      <c r="C93">
        <v>0</v>
      </c>
      <c r="D93">
        <v>0</v>
      </c>
      <c r="E93">
        <f>ABS(Table1[[#This Row],[Flux in SC / glucose uptake ($mmol/mmol\ glc$)]]-Table1[[#This Row],[Flux in RT / glucose uptake ($mmol/mmol\ glc$)]])/SQRT(2)</f>
        <v>0</v>
      </c>
      <c r="F93">
        <f>Table1[[#This Row],[distance from 45-degree line]]/MAX(Table1[[Flux in SC / glucose uptake ($mmol/mmol\ glc$)]:[Flux in RT / glucose uptake ($mmol/mmol\ glc$)]])</f>
        <v>0</v>
      </c>
      <c r="G93">
        <f>_xlfn.RANK.AVG(Table1[[#This Row],[Flux in SC / glucose uptake ($mmol/mmol\ glc$)]],Table1[Flux in SC / glucose uptake ($mmol/mmol\ glc$)])</f>
        <v>1310.5</v>
      </c>
      <c r="H93">
        <f>_xlfn.RANK.AVG(Table1[[#This Row],[Flux in RT / glucose uptake ($mmol/mmol\ glc$)]],Table1[Flux in RT / glucose uptake ($mmol/mmol\ glc$)])</f>
        <v>1290.5</v>
      </c>
      <c r="I93" t="e">
        <f>LOG(Table1[[#This Row],[Flux in SC / glucose uptake ($mmol/mmol\ glc$)]])</f>
        <v>#NUM!</v>
      </c>
      <c r="J93" t="e">
        <f>LOG(Table1[[#This Row],[Flux in RT / glucose uptake ($mmol/mmol\ glc$)]])</f>
        <v>#NUM!</v>
      </c>
      <c r="L93" t="str">
        <v>EX_k_e</v>
      </c>
      <c r="M93" t="str">
        <v>Exchange</v>
      </c>
      <c r="N93">
        <v>-2.0693864978253829</v>
      </c>
      <c r="O93">
        <v>-1.3588422632094097</v>
      </c>
    </row>
    <row r="94" spans="1:15" x14ac:dyDescent="0.2">
      <c r="A94" t="s">
        <v>97</v>
      </c>
      <c r="B94" t="s">
        <v>3114</v>
      </c>
      <c r="C94">
        <v>0</v>
      </c>
      <c r="D94">
        <v>0</v>
      </c>
      <c r="E94">
        <f>ABS(Table1[[#This Row],[Flux in SC / glucose uptake ($mmol/mmol\ glc$)]]-Table1[[#This Row],[Flux in RT / glucose uptake ($mmol/mmol\ glc$)]])/SQRT(2)</f>
        <v>0</v>
      </c>
      <c r="F94">
        <f>Table1[[#This Row],[distance from 45-degree line]]/MAX(Table1[[Flux in SC / glucose uptake ($mmol/mmol\ glc$)]:[Flux in RT / glucose uptake ($mmol/mmol\ glc$)]])</f>
        <v>0</v>
      </c>
      <c r="G94">
        <f>_xlfn.RANK.AVG(Table1[[#This Row],[Flux in SC / glucose uptake ($mmol/mmol\ glc$)]],Table1[Flux in SC / glucose uptake ($mmol/mmol\ glc$)])</f>
        <v>1310.5</v>
      </c>
      <c r="H94">
        <f>_xlfn.RANK.AVG(Table1[[#This Row],[Flux in RT / glucose uptake ($mmol/mmol\ glc$)]],Table1[Flux in RT / glucose uptake ($mmol/mmol\ glc$)])</f>
        <v>1290.5</v>
      </c>
      <c r="I94" t="e">
        <f>LOG(Table1[[#This Row],[Flux in SC / glucose uptake ($mmol/mmol\ glc$)]])</f>
        <v>#NUM!</v>
      </c>
      <c r="J94" t="e">
        <f>LOG(Table1[[#This Row],[Flux in RT / glucose uptake ($mmol/mmol\ glc$)]])</f>
        <v>#NUM!</v>
      </c>
      <c r="L94" t="str">
        <v>EX_mg2_e</v>
      </c>
      <c r="M94" t="str">
        <v>Exchange</v>
      </c>
      <c r="N94">
        <v>-3.0466667900684339</v>
      </c>
      <c r="O94">
        <v>-2.3361225554524609</v>
      </c>
    </row>
    <row r="95" spans="1:15" x14ac:dyDescent="0.2">
      <c r="A95" t="s">
        <v>98</v>
      </c>
      <c r="B95" t="s">
        <v>3114</v>
      </c>
      <c r="C95">
        <v>0</v>
      </c>
      <c r="D95">
        <v>0</v>
      </c>
      <c r="E95">
        <f>ABS(Table1[[#This Row],[Flux in SC / glucose uptake ($mmol/mmol\ glc$)]]-Table1[[#This Row],[Flux in RT / glucose uptake ($mmol/mmol\ glc$)]])/SQRT(2)</f>
        <v>0</v>
      </c>
      <c r="F95">
        <f>Table1[[#This Row],[distance from 45-degree line]]/MAX(Table1[[Flux in SC / glucose uptake ($mmol/mmol\ glc$)]:[Flux in RT / glucose uptake ($mmol/mmol\ glc$)]])</f>
        <v>0</v>
      </c>
      <c r="G95">
        <f>_xlfn.RANK.AVG(Table1[[#This Row],[Flux in SC / glucose uptake ($mmol/mmol\ glc$)]],Table1[Flux in SC / glucose uptake ($mmol/mmol\ glc$)])</f>
        <v>1310.5</v>
      </c>
      <c r="H95">
        <f>_xlfn.RANK.AVG(Table1[[#This Row],[Flux in RT / glucose uptake ($mmol/mmol\ glc$)]],Table1[Flux in RT / glucose uptake ($mmol/mmol\ glc$)])</f>
        <v>1290.5</v>
      </c>
      <c r="I95" t="e">
        <f>LOG(Table1[[#This Row],[Flux in SC / glucose uptake ($mmol/mmol\ glc$)]])</f>
        <v>#NUM!</v>
      </c>
      <c r="J95" t="e">
        <f>LOG(Table1[[#This Row],[Flux in RT / glucose uptake ($mmol/mmol\ glc$)]])</f>
        <v>#NUM!</v>
      </c>
      <c r="L95" t="str">
        <v>EX_mn2_e</v>
      </c>
      <c r="M95" t="str">
        <v>Exchange</v>
      </c>
      <c r="N95">
        <v>-5.8770438491939831</v>
      </c>
      <c r="O95">
        <v>-5.1664996145780098</v>
      </c>
    </row>
    <row r="96" spans="1:15" x14ac:dyDescent="0.2">
      <c r="A96" t="s">
        <v>99</v>
      </c>
      <c r="B96" t="s">
        <v>3114</v>
      </c>
      <c r="C96">
        <v>0</v>
      </c>
      <c r="D96">
        <v>0</v>
      </c>
      <c r="E96">
        <f>ABS(Table1[[#This Row],[Flux in SC / glucose uptake ($mmol/mmol\ glc$)]]-Table1[[#This Row],[Flux in RT / glucose uptake ($mmol/mmol\ glc$)]])/SQRT(2)</f>
        <v>0</v>
      </c>
      <c r="F96">
        <f>Table1[[#This Row],[distance from 45-degree line]]/MAX(Table1[[Flux in SC / glucose uptake ($mmol/mmol\ glc$)]:[Flux in RT / glucose uptake ($mmol/mmol\ glc$)]])</f>
        <v>0</v>
      </c>
      <c r="G96">
        <f>_xlfn.RANK.AVG(Table1[[#This Row],[Flux in SC / glucose uptake ($mmol/mmol\ glc$)]],Table1[Flux in SC / glucose uptake ($mmol/mmol\ glc$)])</f>
        <v>1310.5</v>
      </c>
      <c r="H96">
        <f>_xlfn.RANK.AVG(Table1[[#This Row],[Flux in RT / glucose uptake ($mmol/mmol\ glc$)]],Table1[Flux in RT / glucose uptake ($mmol/mmol\ glc$)])</f>
        <v>1290.5</v>
      </c>
      <c r="I96" t="e">
        <f>LOG(Table1[[#This Row],[Flux in SC / glucose uptake ($mmol/mmol\ glc$)]])</f>
        <v>#NUM!</v>
      </c>
      <c r="J96" t="e">
        <f>LOG(Table1[[#This Row],[Flux in RT / glucose uptake ($mmol/mmol\ glc$)]])</f>
        <v>#NUM!</v>
      </c>
      <c r="L96" t="str">
        <v>EX_nh4_e</v>
      </c>
      <c r="M96" t="str">
        <v>Exchange</v>
      </c>
      <c r="N96">
        <v>-0.94939838469513282</v>
      </c>
      <c r="O96">
        <v>-0.28653405583725028</v>
      </c>
    </row>
    <row r="97" spans="1:15" x14ac:dyDescent="0.2">
      <c r="A97" t="s">
        <v>100</v>
      </c>
      <c r="B97" t="s">
        <v>3114</v>
      </c>
      <c r="C97">
        <v>0</v>
      </c>
      <c r="D97">
        <v>0</v>
      </c>
      <c r="E97">
        <f>ABS(Table1[[#This Row],[Flux in SC / glucose uptake ($mmol/mmol\ glc$)]]-Table1[[#This Row],[Flux in RT / glucose uptake ($mmol/mmol\ glc$)]])/SQRT(2)</f>
        <v>0</v>
      </c>
      <c r="F97">
        <f>Table1[[#This Row],[distance from 45-degree line]]/MAX(Table1[[Flux in SC / glucose uptake ($mmol/mmol\ glc$)]:[Flux in RT / glucose uptake ($mmol/mmol\ glc$)]])</f>
        <v>0</v>
      </c>
      <c r="G97">
        <f>_xlfn.RANK.AVG(Table1[[#This Row],[Flux in SC / glucose uptake ($mmol/mmol\ glc$)]],Table1[Flux in SC / glucose uptake ($mmol/mmol\ glc$)])</f>
        <v>1310.5</v>
      </c>
      <c r="H97">
        <f>_xlfn.RANK.AVG(Table1[[#This Row],[Flux in RT / glucose uptake ($mmol/mmol\ glc$)]],Table1[Flux in RT / glucose uptake ($mmol/mmol\ glc$)])</f>
        <v>1290.5</v>
      </c>
      <c r="I97" t="e">
        <f>LOG(Table1[[#This Row],[Flux in SC / glucose uptake ($mmol/mmol\ glc$)]])</f>
        <v>#NUM!</v>
      </c>
      <c r="J97" t="e">
        <f>LOG(Table1[[#This Row],[Flux in RT / glucose uptake ($mmol/mmol\ glc$)]])</f>
        <v>#NUM!</v>
      </c>
      <c r="L97" t="str">
        <v>EX_o2_e</v>
      </c>
      <c r="M97" t="str">
        <v>Exchange</v>
      </c>
      <c r="N97">
        <v>-0.69364898347030612</v>
      </c>
      <c r="O97">
        <v>0.47638304585800473</v>
      </c>
    </row>
    <row r="98" spans="1:15" x14ac:dyDescent="0.2">
      <c r="A98" t="s">
        <v>101</v>
      </c>
      <c r="B98" t="s">
        <v>3129</v>
      </c>
      <c r="C98">
        <v>0</v>
      </c>
      <c r="D98">
        <v>0</v>
      </c>
      <c r="E98">
        <f>ABS(Table1[[#This Row],[Flux in SC / glucose uptake ($mmol/mmol\ glc$)]]-Table1[[#This Row],[Flux in RT / glucose uptake ($mmol/mmol\ glc$)]])/SQRT(2)</f>
        <v>0</v>
      </c>
      <c r="F98">
        <f>Table1[[#This Row],[distance from 45-degree line]]/MAX(Table1[[Flux in SC / glucose uptake ($mmol/mmol\ glc$)]:[Flux in RT / glucose uptake ($mmol/mmol\ glc$)]])</f>
        <v>0</v>
      </c>
      <c r="G98">
        <f>_xlfn.RANK.AVG(Table1[[#This Row],[Flux in SC / glucose uptake ($mmol/mmol\ glc$)]],Table1[Flux in SC / glucose uptake ($mmol/mmol\ glc$)])</f>
        <v>1310.5</v>
      </c>
      <c r="H98">
        <f>_xlfn.RANK.AVG(Table1[[#This Row],[Flux in RT / glucose uptake ($mmol/mmol\ glc$)]],Table1[Flux in RT / glucose uptake ($mmol/mmol\ glc$)])</f>
        <v>1290.5</v>
      </c>
      <c r="I98" t="e">
        <f>LOG(Table1[[#This Row],[Flux in SC / glucose uptake ($mmol/mmol\ glc$)]])</f>
        <v>#NUM!</v>
      </c>
      <c r="J98" t="e">
        <f>LOG(Table1[[#This Row],[Flux in RT / glucose uptake ($mmol/mmol\ glc$)]])</f>
        <v>#NUM!</v>
      </c>
      <c r="L98" t="str">
        <v>EX_pi_e</v>
      </c>
      <c r="M98" t="str">
        <v>Exchange</v>
      </c>
      <c r="N98">
        <v>-2.0864338234090427</v>
      </c>
      <c r="O98">
        <v>-1.4014706878919523</v>
      </c>
    </row>
    <row r="99" spans="1:15" x14ac:dyDescent="0.2">
      <c r="A99" t="s">
        <v>102</v>
      </c>
      <c r="B99" t="s">
        <v>3127</v>
      </c>
      <c r="C99">
        <v>0</v>
      </c>
      <c r="D99">
        <v>0</v>
      </c>
      <c r="E99">
        <f>ABS(Table1[[#This Row],[Flux in SC / glucose uptake ($mmol/mmol\ glc$)]]-Table1[[#This Row],[Flux in RT / glucose uptake ($mmol/mmol\ glc$)]])/SQRT(2)</f>
        <v>0</v>
      </c>
      <c r="F99">
        <f>Table1[[#This Row],[distance from 45-degree line]]/MAX(Table1[[Flux in SC / glucose uptake ($mmol/mmol\ glc$)]:[Flux in RT / glucose uptake ($mmol/mmol\ glc$)]])</f>
        <v>0</v>
      </c>
      <c r="G99">
        <f>_xlfn.RANK.AVG(Table1[[#This Row],[Flux in SC / glucose uptake ($mmol/mmol\ glc$)]],Table1[Flux in SC / glucose uptake ($mmol/mmol\ glc$)])</f>
        <v>1310.5</v>
      </c>
      <c r="H99">
        <f>_xlfn.RANK.AVG(Table1[[#This Row],[Flux in RT / glucose uptake ($mmol/mmol\ glc$)]],Table1[Flux in RT / glucose uptake ($mmol/mmol\ glc$)])</f>
        <v>1290.5</v>
      </c>
      <c r="I99" t="e">
        <f>LOG(Table1[[#This Row],[Flux in SC / glucose uptake ($mmol/mmol\ glc$)]])</f>
        <v>#NUM!</v>
      </c>
      <c r="J99" t="e">
        <f>LOG(Table1[[#This Row],[Flux in RT / glucose uptake ($mmol/mmol\ glc$)]])</f>
        <v>#NUM!</v>
      </c>
      <c r="L99" t="str">
        <v>EX_so4_e</v>
      </c>
      <c r="M99" t="str">
        <v>Exchange</v>
      </c>
      <c r="N99">
        <v>-2.8884801488566079</v>
      </c>
      <c r="O99">
        <v>-2.2132850215520534</v>
      </c>
    </row>
    <row r="100" spans="1:15" x14ac:dyDescent="0.2">
      <c r="A100" t="s">
        <v>103</v>
      </c>
      <c r="B100" t="s">
        <v>3127</v>
      </c>
      <c r="C100">
        <v>0</v>
      </c>
      <c r="D100">
        <v>0</v>
      </c>
      <c r="E100">
        <f>ABS(Table1[[#This Row],[Flux in SC / glucose uptake ($mmol/mmol\ glc$)]]-Table1[[#This Row],[Flux in RT / glucose uptake ($mmol/mmol\ glc$)]])/SQRT(2)</f>
        <v>0</v>
      </c>
      <c r="F100">
        <f>Table1[[#This Row],[distance from 45-degree line]]/MAX(Table1[[Flux in SC / glucose uptake ($mmol/mmol\ glc$)]:[Flux in RT / glucose uptake ($mmol/mmol\ glc$)]])</f>
        <v>0</v>
      </c>
      <c r="G100">
        <f>_xlfn.RANK.AVG(Table1[[#This Row],[Flux in SC / glucose uptake ($mmol/mmol\ glc$)]],Table1[Flux in SC / glucose uptake ($mmol/mmol\ glc$)])</f>
        <v>1310.5</v>
      </c>
      <c r="H100">
        <f>_xlfn.RANK.AVG(Table1[[#This Row],[Flux in RT / glucose uptake ($mmol/mmol\ glc$)]],Table1[Flux in RT / glucose uptake ($mmol/mmol\ glc$)])</f>
        <v>1290.5</v>
      </c>
      <c r="I100" t="e">
        <f>LOG(Table1[[#This Row],[Flux in SC / glucose uptake ($mmol/mmol\ glc$)]])</f>
        <v>#NUM!</v>
      </c>
      <c r="J100" t="e">
        <f>LOG(Table1[[#This Row],[Flux in RT / glucose uptake ($mmol/mmol\ glc$)]])</f>
        <v>#NUM!</v>
      </c>
      <c r="L100" t="str">
        <v>EX_zn2_e</v>
      </c>
      <c r="M100" t="str">
        <v>Exchange</v>
      </c>
      <c r="N100">
        <v>-4.6526154896401453</v>
      </c>
      <c r="O100">
        <v>-3.9420712550241719</v>
      </c>
    </row>
    <row r="101" spans="1:15" x14ac:dyDescent="0.2">
      <c r="A101" t="s">
        <v>104</v>
      </c>
      <c r="B101" t="s">
        <v>3125</v>
      </c>
      <c r="C101">
        <v>0</v>
      </c>
      <c r="D101">
        <v>0</v>
      </c>
      <c r="E101">
        <f>ABS(Table1[[#This Row],[Flux in SC / glucose uptake ($mmol/mmol\ glc$)]]-Table1[[#This Row],[Flux in RT / glucose uptake ($mmol/mmol\ glc$)]])/SQRT(2)</f>
        <v>0</v>
      </c>
      <c r="F101">
        <f>Table1[[#This Row],[distance from 45-degree line]]/MAX(Table1[[Flux in SC / glucose uptake ($mmol/mmol\ glc$)]:[Flux in RT / glucose uptake ($mmol/mmol\ glc$)]])</f>
        <v>0</v>
      </c>
      <c r="G101">
        <f>_xlfn.RANK.AVG(Table1[[#This Row],[Flux in SC / glucose uptake ($mmol/mmol\ glc$)]],Table1[Flux in SC / glucose uptake ($mmol/mmol\ glc$)])</f>
        <v>1310.5</v>
      </c>
      <c r="H101">
        <f>_xlfn.RANK.AVG(Table1[[#This Row],[Flux in RT / glucose uptake ($mmol/mmol\ glc$)]],Table1[Flux in RT / glucose uptake ($mmol/mmol\ glc$)])</f>
        <v>1290.5</v>
      </c>
      <c r="I101" t="e">
        <f>LOG(Table1[[#This Row],[Flux in SC / glucose uptake ($mmol/mmol\ glc$)]])</f>
        <v>#NUM!</v>
      </c>
      <c r="J101" t="e">
        <f>LOG(Table1[[#This Row],[Flux in RT / glucose uptake ($mmol/mmol\ glc$)]])</f>
        <v>#NUM!</v>
      </c>
      <c r="L101" t="str">
        <v>FBA_c</v>
      </c>
      <c r="M101" t="str">
        <v>Glycolysis / Gluconeogenesis</v>
      </c>
      <c r="N101">
        <v>-1.8906293483769904E-2</v>
      </c>
      <c r="O101">
        <v>-0.26164864187753095</v>
      </c>
    </row>
    <row r="102" spans="1:15" x14ac:dyDescent="0.2">
      <c r="A102" t="s">
        <v>105</v>
      </c>
      <c r="B102" t="s">
        <v>3114</v>
      </c>
      <c r="C102">
        <v>0</v>
      </c>
      <c r="D102">
        <v>0</v>
      </c>
      <c r="E102">
        <f>ABS(Table1[[#This Row],[Flux in SC / glucose uptake ($mmol/mmol\ glc$)]]-Table1[[#This Row],[Flux in RT / glucose uptake ($mmol/mmol\ glc$)]])/SQRT(2)</f>
        <v>0</v>
      </c>
      <c r="F102">
        <f>Table1[[#This Row],[distance from 45-degree line]]/MAX(Table1[[Flux in SC / glucose uptake ($mmol/mmol\ glc$)]:[Flux in RT / glucose uptake ($mmol/mmol\ glc$)]])</f>
        <v>0</v>
      </c>
      <c r="G102">
        <f>_xlfn.RANK.AVG(Table1[[#This Row],[Flux in SC / glucose uptake ($mmol/mmol\ glc$)]],Table1[Flux in SC / glucose uptake ($mmol/mmol\ glc$)])</f>
        <v>1310.5</v>
      </c>
      <c r="H102">
        <f>_xlfn.RANK.AVG(Table1[[#This Row],[Flux in RT / glucose uptake ($mmol/mmol\ glc$)]],Table1[Flux in RT / glucose uptake ($mmol/mmol\ glc$)])</f>
        <v>1290.5</v>
      </c>
      <c r="I102" t="e">
        <f>LOG(Table1[[#This Row],[Flux in SC / glucose uptake ($mmol/mmol\ glc$)]])</f>
        <v>#NUM!</v>
      </c>
      <c r="J102" t="e">
        <f>LOG(Table1[[#This Row],[Flux in RT / glucose uptake ($mmol/mmol\ glc$)]])</f>
        <v>#NUM!</v>
      </c>
      <c r="L102" t="str">
        <v>FBP_c</v>
      </c>
      <c r="M102" t="str">
        <v>Glycolysis / Gluconeogenesis</v>
      </c>
      <c r="N102">
        <v>-2.2785762291557075</v>
      </c>
      <c r="O102">
        <v>-0.74981303677472477</v>
      </c>
    </row>
    <row r="103" spans="1:15" x14ac:dyDescent="0.2">
      <c r="A103" t="s">
        <v>106</v>
      </c>
      <c r="B103" t="s">
        <v>3114</v>
      </c>
      <c r="C103">
        <v>0</v>
      </c>
      <c r="D103">
        <v>0</v>
      </c>
      <c r="E103">
        <f>ABS(Table1[[#This Row],[Flux in SC / glucose uptake ($mmol/mmol\ glc$)]]-Table1[[#This Row],[Flux in RT / glucose uptake ($mmol/mmol\ glc$)]])/SQRT(2)</f>
        <v>0</v>
      </c>
      <c r="F103">
        <f>Table1[[#This Row],[distance from 45-degree line]]/MAX(Table1[[Flux in SC / glucose uptake ($mmol/mmol\ glc$)]:[Flux in RT / glucose uptake ($mmol/mmol\ glc$)]])</f>
        <v>0</v>
      </c>
      <c r="G103">
        <f>_xlfn.RANK.AVG(Table1[[#This Row],[Flux in SC / glucose uptake ($mmol/mmol\ glc$)]],Table1[Flux in SC / glucose uptake ($mmol/mmol\ glc$)])</f>
        <v>1310.5</v>
      </c>
      <c r="H103">
        <f>_xlfn.RANK.AVG(Table1[[#This Row],[Flux in RT / glucose uptake ($mmol/mmol\ glc$)]],Table1[Flux in RT / glucose uptake ($mmol/mmol\ glc$)])</f>
        <v>1290.5</v>
      </c>
      <c r="I103" t="e">
        <f>LOG(Table1[[#This Row],[Flux in SC / glucose uptake ($mmol/mmol\ glc$)]])</f>
        <v>#NUM!</v>
      </c>
      <c r="J103" t="e">
        <f>LOG(Table1[[#This Row],[Flux in RT / glucose uptake ($mmol/mmol\ glc$)]])</f>
        <v>#NUM!</v>
      </c>
      <c r="L103" t="str">
        <v>FDH_c</v>
      </c>
      <c r="M103" t="str">
        <v>Detoxification</v>
      </c>
      <c r="N103">
        <v>-1.0202944419572213</v>
      </c>
      <c r="O103">
        <v>-5.4794340466468777E-2</v>
      </c>
    </row>
    <row r="104" spans="1:15" x14ac:dyDescent="0.2">
      <c r="A104" t="s">
        <v>107</v>
      </c>
      <c r="B104" t="s">
        <v>3127</v>
      </c>
      <c r="C104">
        <v>0</v>
      </c>
      <c r="D104">
        <v>0</v>
      </c>
      <c r="E104">
        <f>ABS(Table1[[#This Row],[Flux in SC / glucose uptake ($mmol/mmol\ glc$)]]-Table1[[#This Row],[Flux in RT / glucose uptake ($mmol/mmol\ glc$)]])/SQRT(2)</f>
        <v>0</v>
      </c>
      <c r="F104">
        <f>Table1[[#This Row],[distance from 45-degree line]]/MAX(Table1[[Flux in SC / glucose uptake ($mmol/mmol\ glc$)]:[Flux in RT / glucose uptake ($mmol/mmol\ glc$)]])</f>
        <v>0</v>
      </c>
      <c r="G104">
        <f>_xlfn.RANK.AVG(Table1[[#This Row],[Flux in SC / glucose uptake ($mmol/mmol\ glc$)]],Table1[Flux in SC / glucose uptake ($mmol/mmol\ glc$)])</f>
        <v>1310.5</v>
      </c>
      <c r="H104">
        <f>_xlfn.RANK.AVG(Table1[[#This Row],[Flux in RT / glucose uptake ($mmol/mmol\ glc$)]],Table1[Flux in RT / glucose uptake ($mmol/mmol\ glc$)])</f>
        <v>1290.5</v>
      </c>
      <c r="I104" t="e">
        <f>LOG(Table1[[#This Row],[Flux in SC / glucose uptake ($mmol/mmol\ glc$)]])</f>
        <v>#NUM!</v>
      </c>
      <c r="J104" t="e">
        <f>LOG(Table1[[#This Row],[Flux in RT / glucose uptake ($mmol/mmol\ glc$)]])</f>
        <v>#NUM!</v>
      </c>
      <c r="L104" t="str">
        <v>FE2t_c_e</v>
      </c>
      <c r="M104" t="str">
        <v>Transport</v>
      </c>
      <c r="N104">
        <v>-5.028003623425664</v>
      </c>
      <c r="O104">
        <v>-4.3174593888096915</v>
      </c>
    </row>
    <row r="105" spans="1:15" x14ac:dyDescent="0.2">
      <c r="A105" t="s">
        <v>108</v>
      </c>
      <c r="B105" t="s">
        <v>3127</v>
      </c>
      <c r="C105">
        <v>0</v>
      </c>
      <c r="D105">
        <v>0</v>
      </c>
      <c r="E105">
        <f>ABS(Table1[[#This Row],[Flux in SC / glucose uptake ($mmol/mmol\ glc$)]]-Table1[[#This Row],[Flux in RT / glucose uptake ($mmol/mmol\ glc$)]])/SQRT(2)</f>
        <v>0</v>
      </c>
      <c r="F105">
        <f>Table1[[#This Row],[distance from 45-degree line]]/MAX(Table1[[Flux in SC / glucose uptake ($mmol/mmol\ glc$)]:[Flux in RT / glucose uptake ($mmol/mmol\ glc$)]])</f>
        <v>0</v>
      </c>
      <c r="G105">
        <f>_xlfn.RANK.AVG(Table1[[#This Row],[Flux in SC / glucose uptake ($mmol/mmol\ glc$)]],Table1[Flux in SC / glucose uptake ($mmol/mmol\ glc$)])</f>
        <v>1310.5</v>
      </c>
      <c r="H105">
        <f>_xlfn.RANK.AVG(Table1[[#This Row],[Flux in RT / glucose uptake ($mmol/mmol\ glc$)]],Table1[Flux in RT / glucose uptake ($mmol/mmol\ glc$)])</f>
        <v>1290.5</v>
      </c>
      <c r="I105" t="e">
        <f>LOG(Table1[[#This Row],[Flux in SC / glucose uptake ($mmol/mmol\ glc$)]])</f>
        <v>#NUM!</v>
      </c>
      <c r="J105" t="e">
        <f>LOG(Table1[[#This Row],[Flux in RT / glucose uptake ($mmol/mmol\ glc$)]])</f>
        <v>#NUM!</v>
      </c>
      <c r="L105" t="str">
        <v>FECOOR_m</v>
      </c>
      <c r="M105" t="str">
        <v>Oxidative phosphorylation</v>
      </c>
      <c r="N105">
        <v>-0.42068872689452141</v>
      </c>
      <c r="O105">
        <v>0.75215394689674486</v>
      </c>
    </row>
    <row r="106" spans="1:15" x14ac:dyDescent="0.2">
      <c r="A106" t="s">
        <v>109</v>
      </c>
      <c r="B106" t="s">
        <v>3127</v>
      </c>
      <c r="C106">
        <v>0</v>
      </c>
      <c r="D106">
        <v>0</v>
      </c>
      <c r="E106">
        <f>ABS(Table1[[#This Row],[Flux in SC / glucose uptake ($mmol/mmol\ glc$)]]-Table1[[#This Row],[Flux in RT / glucose uptake ($mmol/mmol\ glc$)]])/SQRT(2)</f>
        <v>0</v>
      </c>
      <c r="F106">
        <f>Table1[[#This Row],[distance from 45-degree line]]/MAX(Table1[[Flux in SC / glucose uptake ($mmol/mmol\ glc$)]:[Flux in RT / glucose uptake ($mmol/mmol\ glc$)]])</f>
        <v>0</v>
      </c>
      <c r="G106">
        <f>_xlfn.RANK.AVG(Table1[[#This Row],[Flux in SC / glucose uptake ($mmol/mmol\ glc$)]],Table1[Flux in SC / glucose uptake ($mmol/mmol\ glc$)])</f>
        <v>1310.5</v>
      </c>
      <c r="H106">
        <f>_xlfn.RANK.AVG(Table1[[#This Row],[Flux in RT / glucose uptake ($mmol/mmol\ glc$)]],Table1[Flux in RT / glucose uptake ($mmol/mmol\ glc$)])</f>
        <v>1290.5</v>
      </c>
      <c r="I106" t="e">
        <f>LOG(Table1[[#This Row],[Flux in SC / glucose uptake ($mmol/mmol\ glc$)]])</f>
        <v>#NUM!</v>
      </c>
      <c r="J106" t="e">
        <f>LOG(Table1[[#This Row],[Flux in RT / glucose uptake ($mmol/mmol\ glc$)]])</f>
        <v>#NUM!</v>
      </c>
      <c r="L106" t="str">
        <v>FKYNH_c</v>
      </c>
      <c r="M106" t="str">
        <v>Tryptophan metabolism</v>
      </c>
      <c r="N106">
        <v>-2.2417378559802317</v>
      </c>
      <c r="O106">
        <v>-0.95863494818755424</v>
      </c>
    </row>
    <row r="107" spans="1:15" x14ac:dyDescent="0.2">
      <c r="A107" t="s">
        <v>110</v>
      </c>
      <c r="B107" t="s">
        <v>3114</v>
      </c>
      <c r="C107">
        <v>0</v>
      </c>
      <c r="D107">
        <v>0</v>
      </c>
      <c r="E107">
        <f>ABS(Table1[[#This Row],[Flux in SC / glucose uptake ($mmol/mmol\ glc$)]]-Table1[[#This Row],[Flux in RT / glucose uptake ($mmol/mmol\ glc$)]])/SQRT(2)</f>
        <v>0</v>
      </c>
      <c r="F107">
        <f>Table1[[#This Row],[distance from 45-degree line]]/MAX(Table1[[Flux in SC / glucose uptake ($mmol/mmol\ glc$)]:[Flux in RT / glucose uptake ($mmol/mmol\ glc$)]])</f>
        <v>0</v>
      </c>
      <c r="G107">
        <f>_xlfn.RANK.AVG(Table1[[#This Row],[Flux in SC / glucose uptake ($mmol/mmol\ glc$)]],Table1[Flux in SC / glucose uptake ($mmol/mmol\ glc$)])</f>
        <v>1310.5</v>
      </c>
      <c r="H107">
        <f>_xlfn.RANK.AVG(Table1[[#This Row],[Flux in RT / glucose uptake ($mmol/mmol\ glc$)]],Table1[Flux in RT / glucose uptake ($mmol/mmol\ glc$)])</f>
        <v>1290.5</v>
      </c>
      <c r="I107" t="e">
        <f>LOG(Table1[[#This Row],[Flux in SC / glucose uptake ($mmol/mmol\ glc$)]])</f>
        <v>#NUM!</v>
      </c>
      <c r="J107" t="e">
        <f>LOG(Table1[[#This Row],[Flux in RT / glucose uptake ($mmol/mmol\ glc$)]])</f>
        <v>#NUM!</v>
      </c>
      <c r="L107" t="str">
        <v>FORt_c_m</v>
      </c>
      <c r="M107" t="str">
        <v>Transport</v>
      </c>
      <c r="N107">
        <v>-1.7514053309532274</v>
      </c>
      <c r="O107">
        <v>-0.76727297474992184</v>
      </c>
    </row>
    <row r="108" spans="1:15" x14ac:dyDescent="0.2">
      <c r="A108" t="s">
        <v>111</v>
      </c>
      <c r="B108" t="s">
        <v>3119</v>
      </c>
      <c r="C108">
        <v>0</v>
      </c>
      <c r="D108">
        <v>0</v>
      </c>
      <c r="E108">
        <f>ABS(Table1[[#This Row],[Flux in SC / glucose uptake ($mmol/mmol\ glc$)]]-Table1[[#This Row],[Flux in RT / glucose uptake ($mmol/mmol\ glc$)]])/SQRT(2)</f>
        <v>0</v>
      </c>
      <c r="F108">
        <f>Table1[[#This Row],[distance from 45-degree line]]/MAX(Table1[[Flux in SC / glucose uptake ($mmol/mmol\ glc$)]:[Flux in RT / glucose uptake ($mmol/mmol\ glc$)]])</f>
        <v>0</v>
      </c>
      <c r="G108">
        <f>_xlfn.RANK.AVG(Table1[[#This Row],[Flux in SC / glucose uptake ($mmol/mmol\ glc$)]],Table1[Flux in SC / glucose uptake ($mmol/mmol\ glc$)])</f>
        <v>1310.5</v>
      </c>
      <c r="H108">
        <f>_xlfn.RANK.AVG(Table1[[#This Row],[Flux in RT / glucose uptake ($mmol/mmol\ glc$)]],Table1[Flux in RT / glucose uptake ($mmol/mmol\ glc$)])</f>
        <v>1290.5</v>
      </c>
      <c r="I108" t="e">
        <f>LOG(Table1[[#This Row],[Flux in SC / glucose uptake ($mmol/mmol\ glc$)]])</f>
        <v>#NUM!</v>
      </c>
      <c r="J108" t="e">
        <f>LOG(Table1[[#This Row],[Flux in RT / glucose uptake ($mmol/mmol\ glc$)]])</f>
        <v>#NUM!</v>
      </c>
      <c r="L108" t="str">
        <v>FUM_c</v>
      </c>
      <c r="M108" t="str">
        <v>Glyoxylate metabolism</v>
      </c>
      <c r="N108">
        <v>-2.1111553681997224</v>
      </c>
      <c r="O108">
        <v>-1.4379126437050382</v>
      </c>
    </row>
    <row r="109" spans="1:15" x14ac:dyDescent="0.2">
      <c r="A109" t="s">
        <v>112</v>
      </c>
      <c r="B109" t="s">
        <v>3130</v>
      </c>
      <c r="C109">
        <v>0</v>
      </c>
      <c r="D109">
        <v>0</v>
      </c>
      <c r="E109">
        <f>ABS(Table1[[#This Row],[Flux in SC / glucose uptake ($mmol/mmol\ glc$)]]-Table1[[#This Row],[Flux in RT / glucose uptake ($mmol/mmol\ glc$)]])/SQRT(2)</f>
        <v>0</v>
      </c>
      <c r="F109">
        <f>Table1[[#This Row],[distance from 45-degree line]]/MAX(Table1[[Flux in SC / glucose uptake ($mmol/mmol\ glc$)]:[Flux in RT / glucose uptake ($mmol/mmol\ glc$)]])</f>
        <v>0</v>
      </c>
      <c r="G109">
        <f>_xlfn.RANK.AVG(Table1[[#This Row],[Flux in SC / glucose uptake ($mmol/mmol\ glc$)]],Table1[Flux in SC / glucose uptake ($mmol/mmol\ glc$)])</f>
        <v>1310.5</v>
      </c>
      <c r="H109">
        <f>_xlfn.RANK.AVG(Table1[[#This Row],[Flux in RT / glucose uptake ($mmol/mmol\ glc$)]],Table1[Flux in RT / glucose uptake ($mmol/mmol\ glc$)])</f>
        <v>1290.5</v>
      </c>
      <c r="I109" t="e">
        <f>LOG(Table1[[#This Row],[Flux in SC / glucose uptake ($mmol/mmol\ glc$)]])</f>
        <v>#NUM!</v>
      </c>
      <c r="J109" t="e">
        <f>LOG(Table1[[#This Row],[Flux in RT / glucose uptake ($mmol/mmol\ glc$)]])</f>
        <v>#NUM!</v>
      </c>
      <c r="L109" t="str">
        <v>FUM_m</v>
      </c>
      <c r="M109" t="str">
        <v>Citric acid cycle</v>
      </c>
      <c r="N109">
        <v>-2.2942292214271367</v>
      </c>
      <c r="O109">
        <v>-0.60630033258635219</v>
      </c>
    </row>
    <row r="110" spans="1:15" x14ac:dyDescent="0.2">
      <c r="A110" t="s">
        <v>113</v>
      </c>
      <c r="B110" t="s">
        <v>3127</v>
      </c>
      <c r="C110">
        <v>0</v>
      </c>
      <c r="D110">
        <v>0</v>
      </c>
      <c r="E110">
        <f>ABS(Table1[[#This Row],[Flux in SC / glucose uptake ($mmol/mmol\ glc$)]]-Table1[[#This Row],[Flux in RT / glucose uptake ($mmol/mmol\ glc$)]])/SQRT(2)</f>
        <v>0</v>
      </c>
      <c r="F110">
        <f>Table1[[#This Row],[distance from 45-degree line]]/MAX(Table1[[Flux in SC / glucose uptake ($mmol/mmol\ glc$)]:[Flux in RT / glucose uptake ($mmol/mmol\ glc$)]])</f>
        <v>0</v>
      </c>
      <c r="G110">
        <f>_xlfn.RANK.AVG(Table1[[#This Row],[Flux in SC / glucose uptake ($mmol/mmol\ glc$)]],Table1[Flux in SC / glucose uptake ($mmol/mmol\ glc$)])</f>
        <v>1310.5</v>
      </c>
      <c r="H110">
        <f>_xlfn.RANK.AVG(Table1[[#This Row],[Flux in RT / glucose uptake ($mmol/mmol\ glc$)]],Table1[Flux in RT / glucose uptake ($mmol/mmol\ glc$)])</f>
        <v>1290.5</v>
      </c>
      <c r="I110" t="e">
        <f>LOG(Table1[[#This Row],[Flux in SC / glucose uptake ($mmol/mmol\ glc$)]])</f>
        <v>#NUM!</v>
      </c>
      <c r="J110" t="e">
        <f>LOG(Table1[[#This Row],[Flux in RT / glucose uptake ($mmol/mmol\ glc$)]])</f>
        <v>#NUM!</v>
      </c>
      <c r="L110" t="str">
        <v>G5SADr_c</v>
      </c>
      <c r="M110" t="str">
        <v>Arginine and proline metabolism</v>
      </c>
      <c r="N110">
        <v>-2.452563893684145</v>
      </c>
      <c r="O110">
        <v>-1.8957984833559538</v>
      </c>
    </row>
    <row r="111" spans="1:15" x14ac:dyDescent="0.2">
      <c r="A111" t="s">
        <v>114</v>
      </c>
      <c r="B111" t="s">
        <v>3130</v>
      </c>
      <c r="C111">
        <v>0</v>
      </c>
      <c r="D111">
        <v>0</v>
      </c>
      <c r="E111">
        <f>ABS(Table1[[#This Row],[Flux in SC / glucose uptake ($mmol/mmol\ glc$)]]-Table1[[#This Row],[Flux in RT / glucose uptake ($mmol/mmol\ glc$)]])/SQRT(2)</f>
        <v>0</v>
      </c>
      <c r="F111">
        <f>Table1[[#This Row],[distance from 45-degree line]]/MAX(Table1[[Flux in SC / glucose uptake ($mmol/mmol\ glc$)]:[Flux in RT / glucose uptake ($mmol/mmol\ glc$)]])</f>
        <v>0</v>
      </c>
      <c r="G111">
        <f>_xlfn.RANK.AVG(Table1[[#This Row],[Flux in SC / glucose uptake ($mmol/mmol\ glc$)]],Table1[Flux in SC / glucose uptake ($mmol/mmol\ glc$)])</f>
        <v>1310.5</v>
      </c>
      <c r="H111">
        <f>_xlfn.RANK.AVG(Table1[[#This Row],[Flux in RT / glucose uptake ($mmol/mmol\ glc$)]],Table1[Flux in RT / glucose uptake ($mmol/mmol\ glc$)])</f>
        <v>1290.5</v>
      </c>
      <c r="I111" t="e">
        <f>LOG(Table1[[#This Row],[Flux in SC / glucose uptake ($mmol/mmol\ glc$)]])</f>
        <v>#NUM!</v>
      </c>
      <c r="J111" t="e">
        <f>LOG(Table1[[#This Row],[Flux in RT / glucose uptake ($mmol/mmol\ glc$)]])</f>
        <v>#NUM!</v>
      </c>
      <c r="L111" t="str">
        <v>G5SADr_m</v>
      </c>
      <c r="M111" t="str">
        <v>Arginine and proline metabolism</v>
      </c>
      <c r="N111">
        <v>-8.4423686491515095</v>
      </c>
      <c r="O111">
        <v>-1.0829896471727229</v>
      </c>
    </row>
    <row r="112" spans="1:15" x14ac:dyDescent="0.2">
      <c r="A112" t="s">
        <v>115</v>
      </c>
      <c r="B112" t="s">
        <v>3127</v>
      </c>
      <c r="C112">
        <v>0</v>
      </c>
      <c r="D112">
        <v>0</v>
      </c>
      <c r="E112">
        <f>ABS(Table1[[#This Row],[Flux in SC / glucose uptake ($mmol/mmol\ glc$)]]-Table1[[#This Row],[Flux in RT / glucose uptake ($mmol/mmol\ glc$)]])/SQRT(2)</f>
        <v>0</v>
      </c>
      <c r="F112">
        <f>Table1[[#This Row],[distance from 45-degree line]]/MAX(Table1[[Flux in SC / glucose uptake ($mmol/mmol\ glc$)]:[Flux in RT / glucose uptake ($mmol/mmol\ glc$)]])</f>
        <v>0</v>
      </c>
      <c r="G112">
        <f>_xlfn.RANK.AVG(Table1[[#This Row],[Flux in SC / glucose uptake ($mmol/mmol\ glc$)]],Table1[Flux in SC / glucose uptake ($mmol/mmol\ glc$)])</f>
        <v>1310.5</v>
      </c>
      <c r="H112">
        <f>_xlfn.RANK.AVG(Table1[[#This Row],[Flux in RT / glucose uptake ($mmol/mmol\ glc$)]],Table1[Flux in RT / glucose uptake ($mmol/mmol\ glc$)])</f>
        <v>1290.5</v>
      </c>
      <c r="I112" t="e">
        <f>LOG(Table1[[#This Row],[Flux in SC / glucose uptake ($mmol/mmol\ glc$)]])</f>
        <v>#NUM!</v>
      </c>
      <c r="J112" t="e">
        <f>LOG(Table1[[#This Row],[Flux in RT / glucose uptake ($mmol/mmol\ glc$)]])</f>
        <v>#NUM!</v>
      </c>
      <c r="L112" t="str">
        <v>G5SDy_c</v>
      </c>
      <c r="M112" t="str">
        <v>Arginine and proline metabolism</v>
      </c>
      <c r="N112">
        <v>-2.6019810718397274</v>
      </c>
      <c r="O112">
        <v>-6.3691934308442537</v>
      </c>
    </row>
    <row r="113" spans="1:15" x14ac:dyDescent="0.2">
      <c r="A113" t="s">
        <v>116</v>
      </c>
      <c r="B113" t="s">
        <v>3131</v>
      </c>
      <c r="C113">
        <v>0</v>
      </c>
      <c r="D113">
        <v>0</v>
      </c>
      <c r="E113">
        <f>ABS(Table1[[#This Row],[Flux in SC / glucose uptake ($mmol/mmol\ glc$)]]-Table1[[#This Row],[Flux in RT / glucose uptake ($mmol/mmol\ glc$)]])/SQRT(2)</f>
        <v>0</v>
      </c>
      <c r="F113">
        <f>Table1[[#This Row],[distance from 45-degree line]]/MAX(Table1[[Flux in SC / glucose uptake ($mmol/mmol\ glc$)]:[Flux in RT / glucose uptake ($mmol/mmol\ glc$)]])</f>
        <v>0</v>
      </c>
      <c r="G113">
        <f>_xlfn.RANK.AVG(Table1[[#This Row],[Flux in SC / glucose uptake ($mmol/mmol\ glc$)]],Table1[Flux in SC / glucose uptake ($mmol/mmol\ glc$)])</f>
        <v>1310.5</v>
      </c>
      <c r="H113">
        <f>_xlfn.RANK.AVG(Table1[[#This Row],[Flux in RT / glucose uptake ($mmol/mmol\ glc$)]],Table1[Flux in RT / glucose uptake ($mmol/mmol\ glc$)])</f>
        <v>1290.5</v>
      </c>
      <c r="I113" t="e">
        <f>LOG(Table1[[#This Row],[Flux in SC / glucose uptake ($mmol/mmol\ glc$)]])</f>
        <v>#NUM!</v>
      </c>
      <c r="J113" t="e">
        <f>LOG(Table1[[#This Row],[Flux in RT / glucose uptake ($mmol/mmol\ glc$)]])</f>
        <v>#NUM!</v>
      </c>
      <c r="L113" t="str">
        <v>G6PDH2i_c</v>
      </c>
      <c r="M113" t="str">
        <v>Pentose phosphate pathway</v>
      </c>
      <c r="N113">
        <v>-1.4682946559284533</v>
      </c>
      <c r="O113">
        <v>-0.19723194373135861</v>
      </c>
    </row>
    <row r="114" spans="1:15" x14ac:dyDescent="0.2">
      <c r="A114" t="s">
        <v>117</v>
      </c>
      <c r="B114" t="s">
        <v>3125</v>
      </c>
      <c r="C114">
        <v>0</v>
      </c>
      <c r="D114">
        <v>0</v>
      </c>
      <c r="E114">
        <f>ABS(Table1[[#This Row],[Flux in SC / glucose uptake ($mmol/mmol\ glc$)]]-Table1[[#This Row],[Flux in RT / glucose uptake ($mmol/mmol\ glc$)]])/SQRT(2)</f>
        <v>0</v>
      </c>
      <c r="F114">
        <f>Table1[[#This Row],[distance from 45-degree line]]/MAX(Table1[[Flux in SC / glucose uptake ($mmol/mmol\ glc$)]:[Flux in RT / glucose uptake ($mmol/mmol\ glc$)]])</f>
        <v>0</v>
      </c>
      <c r="G114">
        <f>_xlfn.RANK.AVG(Table1[[#This Row],[Flux in SC / glucose uptake ($mmol/mmol\ glc$)]],Table1[Flux in SC / glucose uptake ($mmol/mmol\ glc$)])</f>
        <v>1310.5</v>
      </c>
      <c r="H114">
        <f>_xlfn.RANK.AVG(Table1[[#This Row],[Flux in RT / glucose uptake ($mmol/mmol\ glc$)]],Table1[Flux in RT / glucose uptake ($mmol/mmol\ glc$)])</f>
        <v>1290.5</v>
      </c>
      <c r="I114" t="e">
        <f>LOG(Table1[[#This Row],[Flux in SC / glucose uptake ($mmol/mmol\ glc$)]])</f>
        <v>#NUM!</v>
      </c>
      <c r="J114" t="e">
        <f>LOG(Table1[[#This Row],[Flux in RT / glucose uptake ($mmol/mmol\ glc$)]])</f>
        <v>#NUM!</v>
      </c>
      <c r="L114" t="str">
        <v>GALUi_c</v>
      </c>
      <c r="M114" t="str">
        <v>Pentose and glucuronate interconversions</v>
      </c>
      <c r="N114">
        <v>-1.8269134800486859</v>
      </c>
      <c r="O114">
        <v>-1.0471840465594124</v>
      </c>
    </row>
    <row r="115" spans="1:15" x14ac:dyDescent="0.2">
      <c r="A115" t="s">
        <v>118</v>
      </c>
      <c r="B115" t="s">
        <v>3114</v>
      </c>
      <c r="C115">
        <v>0</v>
      </c>
      <c r="D115">
        <v>0</v>
      </c>
      <c r="E115">
        <f>ABS(Table1[[#This Row],[Flux in SC / glucose uptake ($mmol/mmol\ glc$)]]-Table1[[#This Row],[Flux in RT / glucose uptake ($mmol/mmol\ glc$)]])/SQRT(2)</f>
        <v>0</v>
      </c>
      <c r="F115">
        <f>Table1[[#This Row],[distance from 45-degree line]]/MAX(Table1[[Flux in SC / glucose uptake ($mmol/mmol\ glc$)]:[Flux in RT / glucose uptake ($mmol/mmol\ glc$)]])</f>
        <v>0</v>
      </c>
      <c r="G115">
        <f>_xlfn.RANK.AVG(Table1[[#This Row],[Flux in SC / glucose uptake ($mmol/mmol\ glc$)]],Table1[Flux in SC / glucose uptake ($mmol/mmol\ glc$)])</f>
        <v>1310.5</v>
      </c>
      <c r="H115">
        <f>_xlfn.RANK.AVG(Table1[[#This Row],[Flux in RT / glucose uptake ($mmol/mmol\ glc$)]],Table1[Flux in RT / glucose uptake ($mmol/mmol\ glc$)])</f>
        <v>1290.5</v>
      </c>
      <c r="I115" t="e">
        <f>LOG(Table1[[#This Row],[Flux in SC / glucose uptake ($mmol/mmol\ glc$)]])</f>
        <v>#NUM!</v>
      </c>
      <c r="J115" t="e">
        <f>LOG(Table1[[#This Row],[Flux in RT / glucose uptake ($mmol/mmol\ glc$)]])</f>
        <v>#NUM!</v>
      </c>
      <c r="L115" t="str">
        <v>GAPD_c</v>
      </c>
      <c r="M115" t="str">
        <v>Glycolysis / Gluconeogenesis</v>
      </c>
      <c r="N115">
        <v>0.26728312636959795</v>
      </c>
      <c r="O115">
        <v>0.12388660060176061</v>
      </c>
    </row>
    <row r="116" spans="1:15" x14ac:dyDescent="0.2">
      <c r="A116" t="s">
        <v>119</v>
      </c>
      <c r="B116" t="s">
        <v>3114</v>
      </c>
      <c r="C116">
        <v>0</v>
      </c>
      <c r="D116">
        <v>0</v>
      </c>
      <c r="E116">
        <f>ABS(Table1[[#This Row],[Flux in SC / glucose uptake ($mmol/mmol\ glc$)]]-Table1[[#This Row],[Flux in RT / glucose uptake ($mmol/mmol\ glc$)]])/SQRT(2)</f>
        <v>0</v>
      </c>
      <c r="F116">
        <f>Table1[[#This Row],[distance from 45-degree line]]/MAX(Table1[[Flux in SC / glucose uptake ($mmol/mmol\ glc$)]:[Flux in RT / glucose uptake ($mmol/mmol\ glc$)]])</f>
        <v>0</v>
      </c>
      <c r="G116">
        <f>_xlfn.RANK.AVG(Table1[[#This Row],[Flux in SC / glucose uptake ($mmol/mmol\ glc$)]],Table1[Flux in SC / glucose uptake ($mmol/mmol\ glc$)])</f>
        <v>1310.5</v>
      </c>
      <c r="H116">
        <f>_xlfn.RANK.AVG(Table1[[#This Row],[Flux in RT / glucose uptake ($mmol/mmol\ glc$)]],Table1[Flux in RT / glucose uptake ($mmol/mmol\ glc$)])</f>
        <v>1290.5</v>
      </c>
      <c r="I116" t="e">
        <f>LOG(Table1[[#This Row],[Flux in SC / glucose uptake ($mmol/mmol\ glc$)]])</f>
        <v>#NUM!</v>
      </c>
      <c r="J116" t="e">
        <f>LOG(Table1[[#This Row],[Flux in RT / glucose uptake ($mmol/mmol\ glc$)]])</f>
        <v>#NUM!</v>
      </c>
      <c r="L116" t="str">
        <v>GARFT_c</v>
      </c>
      <c r="M116" t="str">
        <v>Purine metabolism</v>
      </c>
      <c r="N116">
        <v>-2.5501003837924046</v>
      </c>
      <c r="O116">
        <v>-1.8648483105811549</v>
      </c>
    </row>
    <row r="117" spans="1:15" x14ac:dyDescent="0.2">
      <c r="A117" t="s">
        <v>120</v>
      </c>
      <c r="B117" t="s">
        <v>3114</v>
      </c>
      <c r="C117">
        <v>0</v>
      </c>
      <c r="D117">
        <v>0</v>
      </c>
      <c r="E117">
        <f>ABS(Table1[[#This Row],[Flux in SC / glucose uptake ($mmol/mmol\ glc$)]]-Table1[[#This Row],[Flux in RT / glucose uptake ($mmol/mmol\ glc$)]])/SQRT(2)</f>
        <v>0</v>
      </c>
      <c r="F117">
        <f>Table1[[#This Row],[distance from 45-degree line]]/MAX(Table1[[Flux in SC / glucose uptake ($mmol/mmol\ glc$)]:[Flux in RT / glucose uptake ($mmol/mmol\ glc$)]])</f>
        <v>0</v>
      </c>
      <c r="G117">
        <f>_xlfn.RANK.AVG(Table1[[#This Row],[Flux in SC / glucose uptake ($mmol/mmol\ glc$)]],Table1[Flux in SC / glucose uptake ($mmol/mmol\ glc$)])</f>
        <v>1310.5</v>
      </c>
      <c r="H117">
        <f>_xlfn.RANK.AVG(Table1[[#This Row],[Flux in RT / glucose uptake ($mmol/mmol\ glc$)]],Table1[Flux in RT / glucose uptake ($mmol/mmol\ glc$)])</f>
        <v>1290.5</v>
      </c>
      <c r="I117" t="e">
        <f>LOG(Table1[[#This Row],[Flux in SC / glucose uptake ($mmol/mmol\ glc$)]])</f>
        <v>#NUM!</v>
      </c>
      <c r="J117" t="e">
        <f>LOG(Table1[[#This Row],[Flux in RT / glucose uptake ($mmol/mmol\ glc$)]])</f>
        <v>#NUM!</v>
      </c>
      <c r="L117" t="str">
        <v>GF6PTA_c</v>
      </c>
      <c r="M117" t="str">
        <v>Alanine, aspartate and glutamate metabolism</v>
      </c>
      <c r="N117">
        <v>-3.7010450030510671</v>
      </c>
      <c r="O117">
        <v>-2.9305415984149601</v>
      </c>
    </row>
    <row r="118" spans="1:15" x14ac:dyDescent="0.2">
      <c r="A118" t="s">
        <v>121</v>
      </c>
      <c r="B118" t="s">
        <v>3125</v>
      </c>
      <c r="C118">
        <v>0</v>
      </c>
      <c r="D118">
        <v>0</v>
      </c>
      <c r="E118">
        <f>ABS(Table1[[#This Row],[Flux in SC / glucose uptake ($mmol/mmol\ glc$)]]-Table1[[#This Row],[Flux in RT / glucose uptake ($mmol/mmol\ glc$)]])/SQRT(2)</f>
        <v>0</v>
      </c>
      <c r="F118">
        <f>Table1[[#This Row],[distance from 45-degree line]]/MAX(Table1[[Flux in SC / glucose uptake ($mmol/mmol\ glc$)]:[Flux in RT / glucose uptake ($mmol/mmol\ glc$)]])</f>
        <v>0</v>
      </c>
      <c r="G118">
        <f>_xlfn.RANK.AVG(Table1[[#This Row],[Flux in SC / glucose uptake ($mmol/mmol\ glc$)]],Table1[Flux in SC / glucose uptake ($mmol/mmol\ glc$)])</f>
        <v>1310.5</v>
      </c>
      <c r="H118">
        <f>_xlfn.RANK.AVG(Table1[[#This Row],[Flux in RT / glucose uptake ($mmol/mmol\ glc$)]],Table1[Flux in RT / glucose uptake ($mmol/mmol\ glc$)])</f>
        <v>1290.5</v>
      </c>
      <c r="I118" t="e">
        <f>LOG(Table1[[#This Row],[Flux in SC / glucose uptake ($mmol/mmol\ glc$)]])</f>
        <v>#NUM!</v>
      </c>
      <c r="J118" t="e">
        <f>LOG(Table1[[#This Row],[Flux in RT / glucose uptake ($mmol/mmol\ glc$)]])</f>
        <v>#NUM!</v>
      </c>
      <c r="L118" t="str">
        <v>GHMT2r_c</v>
      </c>
      <c r="M118" t="str">
        <v>Glycine, serine and threonine metabolism</v>
      </c>
      <c r="N118">
        <v>-1.0925887093323983</v>
      </c>
      <c r="O118">
        <v>-0.19123257214647676</v>
      </c>
    </row>
    <row r="119" spans="1:15" x14ac:dyDescent="0.2">
      <c r="A119" t="s">
        <v>122</v>
      </c>
      <c r="B119" t="s">
        <v>3132</v>
      </c>
      <c r="C119">
        <v>0</v>
      </c>
      <c r="D119">
        <v>0</v>
      </c>
      <c r="E119">
        <f>ABS(Table1[[#This Row],[Flux in SC / glucose uptake ($mmol/mmol\ glc$)]]-Table1[[#This Row],[Flux in RT / glucose uptake ($mmol/mmol\ glc$)]])/SQRT(2)</f>
        <v>0</v>
      </c>
      <c r="F119">
        <f>Table1[[#This Row],[distance from 45-degree line]]/MAX(Table1[[Flux in SC / glucose uptake ($mmol/mmol\ glc$)]:[Flux in RT / glucose uptake ($mmol/mmol\ glc$)]])</f>
        <v>0</v>
      </c>
      <c r="G119">
        <f>_xlfn.RANK.AVG(Table1[[#This Row],[Flux in SC / glucose uptake ($mmol/mmol\ glc$)]],Table1[Flux in SC / glucose uptake ($mmol/mmol\ glc$)])</f>
        <v>1310.5</v>
      </c>
      <c r="H119">
        <f>_xlfn.RANK.AVG(Table1[[#This Row],[Flux in RT / glucose uptake ($mmol/mmol\ glc$)]],Table1[Flux in RT / glucose uptake ($mmol/mmol\ glc$)])</f>
        <v>1290.5</v>
      </c>
      <c r="I119" t="e">
        <f>LOG(Table1[[#This Row],[Flux in SC / glucose uptake ($mmol/mmol\ glc$)]])</f>
        <v>#NUM!</v>
      </c>
      <c r="J119" t="e">
        <f>LOG(Table1[[#This Row],[Flux in RT / glucose uptake ($mmol/mmol\ glc$)]])</f>
        <v>#NUM!</v>
      </c>
      <c r="L119" t="str">
        <v>GK1_c</v>
      </c>
      <c r="M119" t="str">
        <v>Purine metabolism</v>
      </c>
      <c r="N119">
        <v>-2.8539359302777965</v>
      </c>
      <c r="O119">
        <v>-2.0830547739932537</v>
      </c>
    </row>
    <row r="120" spans="1:15" x14ac:dyDescent="0.2">
      <c r="A120" t="s">
        <v>123</v>
      </c>
      <c r="B120" t="s">
        <v>3133</v>
      </c>
      <c r="C120">
        <v>4.3726454067801205E-3</v>
      </c>
      <c r="D120">
        <v>1.9790448225238604E-2</v>
      </c>
      <c r="E120">
        <f>ABS(Table1[[#This Row],[Flux in SC / glucose uptake ($mmol/mmol\ glc$)]]-Table1[[#This Row],[Flux in RT / glucose uptake ($mmol/mmol\ glc$)]])/SQRT(2)</f>
        <v>1.0902032923929057E-2</v>
      </c>
      <c r="F120">
        <f>Table1[[#This Row],[distance from 45-degree line]]/MAX(Table1[[Flux in SC / glucose uptake ($mmol/mmol\ glc$)]:[Flux in RT / glucose uptake ($mmol/mmol\ glc$)]])</f>
        <v>5.876071346613388E-4</v>
      </c>
      <c r="G120">
        <f>_xlfn.RANK.AVG(Table1[[#This Row],[Flux in SC / glucose uptake ($mmol/mmol\ glc$)]],Table1[Flux in SC / glucose uptake ($mmol/mmol\ glc$)])</f>
        <v>124</v>
      </c>
      <c r="H120">
        <f>_xlfn.RANK.AVG(Table1[[#This Row],[Flux in RT / glucose uptake ($mmol/mmol\ glc$)]],Table1[Flux in RT / glucose uptake ($mmol/mmol\ glc$)])</f>
        <v>143</v>
      </c>
      <c r="I120">
        <f>LOG(Table1[[#This Row],[Flux in SC / glucose uptake ($mmol/mmol\ glc$)]])</f>
        <v>-2.3592557396966845</v>
      </c>
      <c r="J120">
        <f>LOG(Table1[[#This Row],[Flux in RT / glucose uptake ($mmol/mmol\ glc$)]])</f>
        <v>-1.7035443695357284</v>
      </c>
      <c r="L120" t="str">
        <v>GLCt_c_e</v>
      </c>
      <c r="M120" t="str">
        <v>Transport</v>
      </c>
      <c r="N120">
        <v>0</v>
      </c>
      <c r="O120">
        <v>0</v>
      </c>
    </row>
    <row r="121" spans="1:15" x14ac:dyDescent="0.2">
      <c r="A121" t="s">
        <v>124</v>
      </c>
      <c r="B121" t="s">
        <v>3133</v>
      </c>
      <c r="C121">
        <v>4.3726454067801205E-3</v>
      </c>
      <c r="D121">
        <v>1.9790448225238604E-2</v>
      </c>
      <c r="E121">
        <f>ABS(Table1[[#This Row],[Flux in SC / glucose uptake ($mmol/mmol\ glc$)]]-Table1[[#This Row],[Flux in RT / glucose uptake ($mmol/mmol\ glc$)]])/SQRT(2)</f>
        <v>1.0902032923929057E-2</v>
      </c>
      <c r="F121">
        <f>Table1[[#This Row],[distance from 45-degree line]]/MAX(Table1[[Flux in SC / glucose uptake ($mmol/mmol\ glc$)]:[Flux in RT / glucose uptake ($mmol/mmol\ glc$)]])</f>
        <v>5.876071346613388E-4</v>
      </c>
      <c r="G121">
        <f>_xlfn.RANK.AVG(Table1[[#This Row],[Flux in SC / glucose uptake ($mmol/mmol\ glc$)]],Table1[Flux in SC / glucose uptake ($mmol/mmol\ glc$)])</f>
        <v>124</v>
      </c>
      <c r="H121">
        <f>_xlfn.RANK.AVG(Table1[[#This Row],[Flux in RT / glucose uptake ($mmol/mmol\ glc$)]],Table1[Flux in RT / glucose uptake ($mmol/mmol\ glc$)])</f>
        <v>143</v>
      </c>
      <c r="I121">
        <f>LOG(Table1[[#This Row],[Flux in SC / glucose uptake ($mmol/mmol\ glc$)]])</f>
        <v>-2.3592557396966845</v>
      </c>
      <c r="J121">
        <f>LOG(Table1[[#This Row],[Flux in RT / glucose uptake ($mmol/mmol\ glc$)]])</f>
        <v>-1.7035443695357284</v>
      </c>
      <c r="L121" t="str">
        <v>GLNS_c</v>
      </c>
      <c r="M121" t="str">
        <v>Alanine, aspartate and glutamate metabolism</v>
      </c>
      <c r="N121">
        <v>-1.4232522109860974</v>
      </c>
      <c r="O121">
        <v>-0.93161171966927281</v>
      </c>
    </row>
    <row r="122" spans="1:15" x14ac:dyDescent="0.2">
      <c r="A122" t="s">
        <v>125</v>
      </c>
      <c r="B122" t="s">
        <v>3119</v>
      </c>
      <c r="C122">
        <v>3.9635209639998512E-3</v>
      </c>
      <c r="D122">
        <v>0</v>
      </c>
      <c r="E122">
        <f>ABS(Table1[[#This Row],[Flux in SC / glucose uptake ($mmol/mmol\ glc$)]]-Table1[[#This Row],[Flux in RT / glucose uptake ($mmol/mmol\ glc$)]])/SQRT(2)</f>
        <v>2.8026325510193363E-3</v>
      </c>
      <c r="F122">
        <f>Table1[[#This Row],[distance from 45-degree line]]/MAX(Table1[[Flux in SC / glucose uptake ($mmol/mmol\ glc$)]:[Flux in RT / glucose uptake ($mmol/mmol\ glc$)]])</f>
        <v>1.510586965113982E-4</v>
      </c>
      <c r="G122">
        <f>_xlfn.RANK.AVG(Table1[[#This Row],[Flux in SC / glucose uptake ($mmol/mmol\ glc$)]],Table1[Flux in SC / glucose uptake ($mmol/mmol\ glc$)])</f>
        <v>142</v>
      </c>
      <c r="H122">
        <f>_xlfn.RANK.AVG(Table1[[#This Row],[Flux in RT / glucose uptake ($mmol/mmol\ glc$)]],Table1[Flux in RT / glucose uptake ($mmol/mmol\ glc$)])</f>
        <v>1290.5</v>
      </c>
      <c r="I122">
        <f>LOG(Table1[[#This Row],[Flux in SC / glucose uptake ($mmol/mmol\ glc$)]])</f>
        <v>-2.4019188403782703</v>
      </c>
      <c r="J122" t="e">
        <f>LOG(Table1[[#This Row],[Flux in RT / glucose uptake ($mmol/mmol\ glc$)]])</f>
        <v>#NUM!</v>
      </c>
      <c r="L122" t="str">
        <v>GLU5K_c</v>
      </c>
      <c r="M122" t="str">
        <v>Arginine and proline metabolism</v>
      </c>
      <c r="N122">
        <v>-2.6019810718397274</v>
      </c>
      <c r="O122">
        <v>-6.3691934308442537</v>
      </c>
    </row>
    <row r="123" spans="1:15" x14ac:dyDescent="0.2">
      <c r="A123" t="s">
        <v>126</v>
      </c>
      <c r="B123" t="s">
        <v>3118</v>
      </c>
      <c r="C123">
        <v>0</v>
      </c>
      <c r="D123">
        <v>0</v>
      </c>
      <c r="E123">
        <f>ABS(Table1[[#This Row],[Flux in SC / glucose uptake ($mmol/mmol\ glc$)]]-Table1[[#This Row],[Flux in RT / glucose uptake ($mmol/mmol\ glc$)]])/SQRT(2)</f>
        <v>0</v>
      </c>
      <c r="F123">
        <f>Table1[[#This Row],[distance from 45-degree line]]/MAX(Table1[[Flux in SC / glucose uptake ($mmol/mmol\ glc$)]:[Flux in RT / glucose uptake ($mmol/mmol\ glc$)]])</f>
        <v>0</v>
      </c>
      <c r="G123">
        <f>_xlfn.RANK.AVG(Table1[[#This Row],[Flux in SC / glucose uptake ($mmol/mmol\ glc$)]],Table1[Flux in SC / glucose uptake ($mmol/mmol\ glc$)])</f>
        <v>1310.5</v>
      </c>
      <c r="H123">
        <f>_xlfn.RANK.AVG(Table1[[#This Row],[Flux in RT / glucose uptake ($mmol/mmol\ glc$)]],Table1[Flux in RT / glucose uptake ($mmol/mmol\ glc$)])</f>
        <v>1290.5</v>
      </c>
      <c r="I123" t="e">
        <f>LOG(Table1[[#This Row],[Flux in SC / glucose uptake ($mmol/mmol\ glc$)]])</f>
        <v>#NUM!</v>
      </c>
      <c r="J123" t="e">
        <f>LOG(Table1[[#This Row],[Flux in RT / glucose uptake ($mmol/mmol\ glc$)]])</f>
        <v>#NUM!</v>
      </c>
      <c r="L123" t="str">
        <v>GLUDy_c</v>
      </c>
      <c r="M123" t="str">
        <v>Arginine and proline metabolism</v>
      </c>
      <c r="N123">
        <v>-0.90857502817620384</v>
      </c>
      <c r="O123">
        <v>-5.187641354618569E-2</v>
      </c>
    </row>
    <row r="124" spans="1:15" x14ac:dyDescent="0.2">
      <c r="A124" t="s">
        <v>127</v>
      </c>
      <c r="B124" t="s">
        <v>3118</v>
      </c>
      <c r="C124">
        <v>0</v>
      </c>
      <c r="D124">
        <v>0</v>
      </c>
      <c r="E124">
        <f>ABS(Table1[[#This Row],[Flux in SC / glucose uptake ($mmol/mmol\ glc$)]]-Table1[[#This Row],[Flux in RT / glucose uptake ($mmol/mmol\ glc$)]])/SQRT(2)</f>
        <v>0</v>
      </c>
      <c r="F124">
        <f>Table1[[#This Row],[distance from 45-degree line]]/MAX(Table1[[Flux in SC / glucose uptake ($mmol/mmol\ glc$)]:[Flux in RT / glucose uptake ($mmol/mmol\ glc$)]])</f>
        <v>0</v>
      </c>
      <c r="G124">
        <f>_xlfn.RANK.AVG(Table1[[#This Row],[Flux in SC / glucose uptake ($mmol/mmol\ glc$)]],Table1[Flux in SC / glucose uptake ($mmol/mmol\ glc$)])</f>
        <v>1310.5</v>
      </c>
      <c r="H124">
        <f>_xlfn.RANK.AVG(Table1[[#This Row],[Flux in RT / glucose uptake ($mmol/mmol\ glc$)]],Table1[Flux in RT / glucose uptake ($mmol/mmol\ glc$)])</f>
        <v>1290.5</v>
      </c>
      <c r="I124" t="e">
        <f>LOG(Table1[[#This Row],[Flux in SC / glucose uptake ($mmol/mmol\ glc$)]])</f>
        <v>#NUM!</v>
      </c>
      <c r="J124" t="e">
        <f>LOG(Table1[[#This Row],[Flux in RT / glucose uptake ($mmol/mmol\ glc$)]])</f>
        <v>#NUM!</v>
      </c>
      <c r="L124" t="str">
        <v>GLUPRT_c</v>
      </c>
      <c r="M124" t="str">
        <v>Purine metabolism</v>
      </c>
      <c r="N124">
        <v>-2.5501003837924046</v>
      </c>
      <c r="O124">
        <v>-1.8648483105811549</v>
      </c>
    </row>
    <row r="125" spans="1:15" x14ac:dyDescent="0.2">
      <c r="A125" t="s">
        <v>128</v>
      </c>
      <c r="B125" t="s">
        <v>3118</v>
      </c>
      <c r="C125">
        <v>0</v>
      </c>
      <c r="D125">
        <v>0</v>
      </c>
      <c r="E125">
        <f>ABS(Table1[[#This Row],[Flux in SC / glucose uptake ($mmol/mmol\ glc$)]]-Table1[[#This Row],[Flux in RT / glucose uptake ($mmol/mmol\ glc$)]])/SQRT(2)</f>
        <v>0</v>
      </c>
      <c r="F125">
        <f>Table1[[#This Row],[distance from 45-degree line]]/MAX(Table1[[Flux in SC / glucose uptake ($mmol/mmol\ glc$)]:[Flux in RT / glucose uptake ($mmol/mmol\ glc$)]])</f>
        <v>0</v>
      </c>
      <c r="G125">
        <f>_xlfn.RANK.AVG(Table1[[#This Row],[Flux in SC / glucose uptake ($mmol/mmol\ glc$)]],Table1[Flux in SC / glucose uptake ($mmol/mmol\ glc$)])</f>
        <v>1310.5</v>
      </c>
      <c r="H125">
        <f>_xlfn.RANK.AVG(Table1[[#This Row],[Flux in RT / glucose uptake ($mmol/mmol\ glc$)]],Table1[Flux in RT / glucose uptake ($mmol/mmol\ glc$)])</f>
        <v>1290.5</v>
      </c>
      <c r="I125" t="e">
        <f>LOG(Table1[[#This Row],[Flux in SC / glucose uptake ($mmol/mmol\ glc$)]])</f>
        <v>#NUM!</v>
      </c>
      <c r="J125" t="e">
        <f>LOG(Table1[[#This Row],[Flux in RT / glucose uptake ($mmol/mmol\ glc$)]])</f>
        <v>#NUM!</v>
      </c>
      <c r="L125" t="str">
        <v>GLUt_c_m</v>
      </c>
      <c r="M125" t="str">
        <v>Transport</v>
      </c>
      <c r="N125">
        <v>-1.6701244180842061</v>
      </c>
      <c r="O125">
        <v>-0.94055353567129363</v>
      </c>
    </row>
    <row r="126" spans="1:15" x14ac:dyDescent="0.2">
      <c r="A126" t="s">
        <v>129</v>
      </c>
      <c r="B126" t="s">
        <v>3118</v>
      </c>
      <c r="C126">
        <v>0</v>
      </c>
      <c r="D126">
        <v>0</v>
      </c>
      <c r="E126">
        <f>ABS(Table1[[#This Row],[Flux in SC / glucose uptake ($mmol/mmol\ glc$)]]-Table1[[#This Row],[Flux in RT / glucose uptake ($mmol/mmol\ glc$)]])/SQRT(2)</f>
        <v>0</v>
      </c>
      <c r="F126">
        <f>Table1[[#This Row],[distance from 45-degree line]]/MAX(Table1[[Flux in SC / glucose uptake ($mmol/mmol\ glc$)]:[Flux in RT / glucose uptake ($mmol/mmol\ glc$)]])</f>
        <v>0</v>
      </c>
      <c r="G126">
        <f>_xlfn.RANK.AVG(Table1[[#This Row],[Flux in SC / glucose uptake ($mmol/mmol\ glc$)]],Table1[Flux in SC / glucose uptake ($mmol/mmol\ glc$)])</f>
        <v>1310.5</v>
      </c>
      <c r="H126">
        <f>_xlfn.RANK.AVG(Table1[[#This Row],[Flux in RT / glucose uptake ($mmol/mmol\ glc$)]],Table1[Flux in RT / glucose uptake ($mmol/mmol\ glc$)])</f>
        <v>1290.5</v>
      </c>
      <c r="I126" t="e">
        <f>LOG(Table1[[#This Row],[Flux in SC / glucose uptake ($mmol/mmol\ glc$)]])</f>
        <v>#NUM!</v>
      </c>
      <c r="J126" t="e">
        <f>LOG(Table1[[#This Row],[Flux in RT / glucose uptake ($mmol/mmol\ glc$)]])</f>
        <v>#NUM!</v>
      </c>
      <c r="L126" t="str">
        <v>GLYCL_m</v>
      </c>
      <c r="M126" t="str">
        <v>Glycine, serine and threonine metabolism</v>
      </c>
      <c r="N126">
        <v>-1.3477976451543072</v>
      </c>
      <c r="O126">
        <v>-0.41212689655457224</v>
      </c>
    </row>
    <row r="127" spans="1:15" x14ac:dyDescent="0.2">
      <c r="A127" t="s">
        <v>130</v>
      </c>
      <c r="B127" t="s">
        <v>3114</v>
      </c>
      <c r="C127">
        <v>0</v>
      </c>
      <c r="D127">
        <v>0</v>
      </c>
      <c r="E127">
        <f>ABS(Table1[[#This Row],[Flux in SC / glucose uptake ($mmol/mmol\ glc$)]]-Table1[[#This Row],[Flux in RT / glucose uptake ($mmol/mmol\ glc$)]])/SQRT(2)</f>
        <v>0</v>
      </c>
      <c r="F127">
        <f>Table1[[#This Row],[distance from 45-degree line]]/MAX(Table1[[Flux in SC / glucose uptake ($mmol/mmol\ glc$)]:[Flux in RT / glucose uptake ($mmol/mmol\ glc$)]])</f>
        <v>0</v>
      </c>
      <c r="G127">
        <f>_xlfn.RANK.AVG(Table1[[#This Row],[Flux in SC / glucose uptake ($mmol/mmol\ glc$)]],Table1[Flux in SC / glucose uptake ($mmol/mmol\ glc$)])</f>
        <v>1310.5</v>
      </c>
      <c r="H127">
        <f>_xlfn.RANK.AVG(Table1[[#This Row],[Flux in RT / glucose uptake ($mmol/mmol\ glc$)]],Table1[Flux in RT / glucose uptake ($mmol/mmol\ glc$)])</f>
        <v>1290.5</v>
      </c>
      <c r="I127" t="e">
        <f>LOG(Table1[[#This Row],[Flux in SC / glucose uptake ($mmol/mmol\ glc$)]])</f>
        <v>#NUM!</v>
      </c>
      <c r="J127" t="e">
        <f>LOG(Table1[[#This Row],[Flux in RT / glucose uptake ($mmol/mmol\ glc$)]])</f>
        <v>#NUM!</v>
      </c>
      <c r="L127" t="str">
        <v>GLYGS_c</v>
      </c>
      <c r="M127" t="str">
        <v>Starch and sucrose metabolism</v>
      </c>
      <c r="N127">
        <v>-2.3915988139746447</v>
      </c>
      <c r="O127">
        <v>-1.7689090300850896</v>
      </c>
    </row>
    <row r="128" spans="1:15" x14ac:dyDescent="0.2">
      <c r="A128" t="s">
        <v>131</v>
      </c>
      <c r="B128" t="s">
        <v>3118</v>
      </c>
      <c r="C128">
        <v>0</v>
      </c>
      <c r="D128">
        <v>0</v>
      </c>
      <c r="E128">
        <f>ABS(Table1[[#This Row],[Flux in SC / glucose uptake ($mmol/mmol\ glc$)]]-Table1[[#This Row],[Flux in RT / glucose uptake ($mmol/mmol\ glc$)]])/SQRT(2)</f>
        <v>0</v>
      </c>
      <c r="F128">
        <f>Table1[[#This Row],[distance from 45-degree line]]/MAX(Table1[[Flux in SC / glucose uptake ($mmol/mmol\ glc$)]:[Flux in RT / glucose uptake ($mmol/mmol\ glc$)]])</f>
        <v>0</v>
      </c>
      <c r="G128">
        <f>_xlfn.RANK.AVG(Table1[[#This Row],[Flux in SC / glucose uptake ($mmol/mmol\ glc$)]],Table1[Flux in SC / glucose uptake ($mmol/mmol\ glc$)])</f>
        <v>1310.5</v>
      </c>
      <c r="H128">
        <f>_xlfn.RANK.AVG(Table1[[#This Row],[Flux in RT / glucose uptake ($mmol/mmol\ glc$)]],Table1[Flux in RT / glucose uptake ($mmol/mmol\ glc$)])</f>
        <v>1290.5</v>
      </c>
      <c r="I128" t="e">
        <f>LOG(Table1[[#This Row],[Flux in SC / glucose uptake ($mmol/mmol\ glc$)]])</f>
        <v>#NUM!</v>
      </c>
      <c r="J128" t="e">
        <f>LOG(Table1[[#This Row],[Flux in RT / glucose uptake ($mmol/mmol\ glc$)]])</f>
        <v>#NUM!</v>
      </c>
      <c r="L128" t="str">
        <v>GLYt_c_m</v>
      </c>
      <c r="M128" t="str">
        <v>Transport</v>
      </c>
      <c r="N128">
        <v>-1.142272225295264</v>
      </c>
      <c r="O128">
        <v>-0.21939834004021269</v>
      </c>
    </row>
    <row r="129" spans="1:15" x14ac:dyDescent="0.2">
      <c r="A129" t="s">
        <v>132</v>
      </c>
      <c r="B129" t="s">
        <v>3114</v>
      </c>
      <c r="C129">
        <v>0</v>
      </c>
      <c r="D129">
        <v>0</v>
      </c>
      <c r="E129">
        <f>ABS(Table1[[#This Row],[Flux in SC / glucose uptake ($mmol/mmol\ glc$)]]-Table1[[#This Row],[Flux in RT / glucose uptake ($mmol/mmol\ glc$)]])/SQRT(2)</f>
        <v>0</v>
      </c>
      <c r="F129">
        <f>Table1[[#This Row],[distance from 45-degree line]]/MAX(Table1[[Flux in SC / glucose uptake ($mmol/mmol\ glc$)]:[Flux in RT / glucose uptake ($mmol/mmol\ glc$)]])</f>
        <v>0</v>
      </c>
      <c r="G129">
        <f>_xlfn.RANK.AVG(Table1[[#This Row],[Flux in SC / glucose uptake ($mmol/mmol\ glc$)]],Table1[Flux in SC / glucose uptake ($mmol/mmol\ glc$)])</f>
        <v>1310.5</v>
      </c>
      <c r="H129">
        <f>_xlfn.RANK.AVG(Table1[[#This Row],[Flux in RT / glucose uptake ($mmol/mmol\ glc$)]],Table1[Flux in RT / glucose uptake ($mmol/mmol\ glc$)])</f>
        <v>1290.5</v>
      </c>
      <c r="I129" t="e">
        <f>LOG(Table1[[#This Row],[Flux in SC / glucose uptake ($mmol/mmol\ glc$)]])</f>
        <v>#NUM!</v>
      </c>
      <c r="J129" t="e">
        <f>LOG(Table1[[#This Row],[Flux in RT / glucose uptake ($mmol/mmol\ glc$)]])</f>
        <v>#NUM!</v>
      </c>
      <c r="L129" t="str">
        <v>GMPS2_c</v>
      </c>
      <c r="M129" t="str">
        <v>Purine metabolism</v>
      </c>
      <c r="N129">
        <v>-2.8539359302777965</v>
      </c>
      <c r="O129">
        <v>-2.0830541786368402</v>
      </c>
    </row>
    <row r="130" spans="1:15" x14ac:dyDescent="0.2">
      <c r="A130" t="s">
        <v>133</v>
      </c>
      <c r="B130" t="s">
        <v>3134</v>
      </c>
      <c r="C130">
        <v>0</v>
      </c>
      <c r="D130">
        <v>0</v>
      </c>
      <c r="E130">
        <f>ABS(Table1[[#This Row],[Flux in SC / glucose uptake ($mmol/mmol\ glc$)]]-Table1[[#This Row],[Flux in RT / glucose uptake ($mmol/mmol\ glc$)]])/SQRT(2)</f>
        <v>0</v>
      </c>
      <c r="F130">
        <f>Table1[[#This Row],[distance from 45-degree line]]/MAX(Table1[[Flux in SC / glucose uptake ($mmol/mmol\ glc$)]:[Flux in RT / glucose uptake ($mmol/mmol\ glc$)]])</f>
        <v>0</v>
      </c>
      <c r="G130">
        <f>_xlfn.RANK.AVG(Table1[[#This Row],[Flux in SC / glucose uptake ($mmol/mmol\ glc$)]],Table1[Flux in SC / glucose uptake ($mmol/mmol\ glc$)])</f>
        <v>1310.5</v>
      </c>
      <c r="H130">
        <f>_xlfn.RANK.AVG(Table1[[#This Row],[Flux in RT / glucose uptake ($mmol/mmol\ glc$)]],Table1[Flux in RT / glucose uptake ($mmol/mmol\ glc$)])</f>
        <v>1290.5</v>
      </c>
      <c r="I130" t="e">
        <f>LOG(Table1[[#This Row],[Flux in SC / glucose uptake ($mmol/mmol\ glc$)]])</f>
        <v>#NUM!</v>
      </c>
      <c r="J130" t="e">
        <f>LOG(Table1[[#This Row],[Flux in RT / glucose uptake ($mmol/mmol\ glc$)]])</f>
        <v>#NUM!</v>
      </c>
      <c r="L130" t="str">
        <v>GND_c</v>
      </c>
      <c r="M130" t="str">
        <v>Pentose phosphate pathway</v>
      </c>
      <c r="N130">
        <v>-1.4682946559284533</v>
      </c>
      <c r="O130">
        <v>-0.19723194373135861</v>
      </c>
    </row>
    <row r="131" spans="1:15" x14ac:dyDescent="0.2">
      <c r="A131" t="s">
        <v>134</v>
      </c>
      <c r="B131" t="s">
        <v>3135</v>
      </c>
      <c r="C131">
        <v>0</v>
      </c>
      <c r="D131">
        <v>0</v>
      </c>
      <c r="E131">
        <f>ABS(Table1[[#This Row],[Flux in SC / glucose uptake ($mmol/mmol\ glc$)]]-Table1[[#This Row],[Flux in RT / glucose uptake ($mmol/mmol\ glc$)]])/SQRT(2)</f>
        <v>0</v>
      </c>
      <c r="F131">
        <f>Table1[[#This Row],[distance from 45-degree line]]/MAX(Table1[[Flux in SC / glucose uptake ($mmol/mmol\ glc$)]:[Flux in RT / glucose uptake ($mmol/mmol\ glc$)]])</f>
        <v>0</v>
      </c>
      <c r="G131">
        <f>_xlfn.RANK.AVG(Table1[[#This Row],[Flux in SC / glucose uptake ($mmol/mmol\ glc$)]],Table1[Flux in SC / glucose uptake ($mmol/mmol\ glc$)])</f>
        <v>1310.5</v>
      </c>
      <c r="H131">
        <f>_xlfn.RANK.AVG(Table1[[#This Row],[Flux in RT / glucose uptake ($mmol/mmol\ glc$)]],Table1[Flux in RT / glucose uptake ($mmol/mmol\ glc$)])</f>
        <v>1290.5</v>
      </c>
      <c r="I131" t="e">
        <f>LOG(Table1[[#This Row],[Flux in SC / glucose uptake ($mmol/mmol\ glc$)]])</f>
        <v>#NUM!</v>
      </c>
      <c r="J131" t="e">
        <f>LOG(Table1[[#This Row],[Flux in RT / glucose uptake ($mmol/mmol\ glc$)]])</f>
        <v>#NUM!</v>
      </c>
      <c r="L131" t="str">
        <v>GRTT_c</v>
      </c>
      <c r="M131" t="str">
        <v>Terpenoid backbone biosynthesis</v>
      </c>
      <c r="N131">
        <v>-3.0273108747936583</v>
      </c>
      <c r="O131">
        <v>-2.1102350588445522</v>
      </c>
    </row>
    <row r="132" spans="1:15" x14ac:dyDescent="0.2">
      <c r="A132" t="s">
        <v>135</v>
      </c>
      <c r="B132" t="s">
        <v>3135</v>
      </c>
      <c r="C132">
        <v>0</v>
      </c>
      <c r="D132">
        <v>0</v>
      </c>
      <c r="E132">
        <f>ABS(Table1[[#This Row],[Flux in SC / glucose uptake ($mmol/mmol\ glc$)]]-Table1[[#This Row],[Flux in RT / glucose uptake ($mmol/mmol\ glc$)]])/SQRT(2)</f>
        <v>0</v>
      </c>
      <c r="F132">
        <f>Table1[[#This Row],[distance from 45-degree line]]/MAX(Table1[[Flux in SC / glucose uptake ($mmol/mmol\ glc$)]:[Flux in RT / glucose uptake ($mmol/mmol\ glc$)]])</f>
        <v>0</v>
      </c>
      <c r="G132">
        <f>_xlfn.RANK.AVG(Table1[[#This Row],[Flux in SC / glucose uptake ($mmol/mmol\ glc$)]],Table1[Flux in SC / glucose uptake ($mmol/mmol\ glc$)])</f>
        <v>1310.5</v>
      </c>
      <c r="H132">
        <f>_xlfn.RANK.AVG(Table1[[#This Row],[Flux in RT / glucose uptake ($mmol/mmol\ glc$)]],Table1[Flux in RT / glucose uptake ($mmol/mmol\ glc$)])</f>
        <v>1290.5</v>
      </c>
      <c r="I132" t="e">
        <f>LOG(Table1[[#This Row],[Flux in SC / glucose uptake ($mmol/mmol\ glc$)]])</f>
        <v>#NUM!</v>
      </c>
      <c r="J132" t="e">
        <f>LOG(Table1[[#This Row],[Flux in RT / glucose uptake ($mmol/mmol\ glc$)]])</f>
        <v>#NUM!</v>
      </c>
      <c r="L132" t="str">
        <v>H2Ot_c_e</v>
      </c>
      <c r="M132" t="str">
        <v>Transport</v>
      </c>
      <c r="N132">
        <v>-0.2667416339469969</v>
      </c>
      <c r="O132">
        <v>0.65406472843702024</v>
      </c>
    </row>
    <row r="133" spans="1:15" x14ac:dyDescent="0.2">
      <c r="A133" t="s">
        <v>136</v>
      </c>
      <c r="B133" t="s">
        <v>3135</v>
      </c>
      <c r="C133">
        <v>0</v>
      </c>
      <c r="D133">
        <v>0</v>
      </c>
      <c r="E133">
        <f>ABS(Table1[[#This Row],[Flux in SC / glucose uptake ($mmol/mmol\ glc$)]]-Table1[[#This Row],[Flux in RT / glucose uptake ($mmol/mmol\ glc$)]])/SQRT(2)</f>
        <v>0</v>
      </c>
      <c r="F133">
        <f>Table1[[#This Row],[distance from 45-degree line]]/MAX(Table1[[Flux in SC / glucose uptake ($mmol/mmol\ glc$)]:[Flux in RT / glucose uptake ($mmol/mmol\ glc$)]])</f>
        <v>0</v>
      </c>
      <c r="G133">
        <f>_xlfn.RANK.AVG(Table1[[#This Row],[Flux in SC / glucose uptake ($mmol/mmol\ glc$)]],Table1[Flux in SC / glucose uptake ($mmol/mmol\ glc$)])</f>
        <v>1310.5</v>
      </c>
      <c r="H133">
        <f>_xlfn.RANK.AVG(Table1[[#This Row],[Flux in RT / glucose uptake ($mmol/mmol\ glc$)]],Table1[Flux in RT / glucose uptake ($mmol/mmol\ glc$)])</f>
        <v>1290.5</v>
      </c>
      <c r="I133" t="e">
        <f>LOG(Table1[[#This Row],[Flux in SC / glucose uptake ($mmol/mmol\ glc$)]])</f>
        <v>#NUM!</v>
      </c>
      <c r="J133" t="e">
        <f>LOG(Table1[[#This Row],[Flux in RT / glucose uptake ($mmol/mmol\ glc$)]])</f>
        <v>#NUM!</v>
      </c>
      <c r="L133" t="str">
        <v>H2Ot_c_m</v>
      </c>
      <c r="M133" t="str">
        <v>Transport</v>
      </c>
      <c r="N133">
        <v>-6.8459519052606693E-2</v>
      </c>
      <c r="O133">
        <v>1.268420428948446</v>
      </c>
    </row>
    <row r="134" spans="1:15" x14ac:dyDescent="0.2">
      <c r="A134" t="s">
        <v>137</v>
      </c>
      <c r="B134" t="s">
        <v>3135</v>
      </c>
      <c r="C134">
        <v>0</v>
      </c>
      <c r="D134">
        <v>0</v>
      </c>
      <c r="E134">
        <f>ABS(Table1[[#This Row],[Flux in SC / glucose uptake ($mmol/mmol\ glc$)]]-Table1[[#This Row],[Flux in RT / glucose uptake ($mmol/mmol\ glc$)]])/SQRT(2)</f>
        <v>0</v>
      </c>
      <c r="F134">
        <f>Table1[[#This Row],[distance from 45-degree line]]/MAX(Table1[[Flux in SC / glucose uptake ($mmol/mmol\ glc$)]:[Flux in RT / glucose uptake ($mmol/mmol\ glc$)]])</f>
        <v>0</v>
      </c>
      <c r="G134">
        <f>_xlfn.RANK.AVG(Table1[[#This Row],[Flux in SC / glucose uptake ($mmol/mmol\ glc$)]],Table1[Flux in SC / glucose uptake ($mmol/mmol\ glc$)])</f>
        <v>1310.5</v>
      </c>
      <c r="H134">
        <f>_xlfn.RANK.AVG(Table1[[#This Row],[Flux in RT / glucose uptake ($mmol/mmol\ glc$)]],Table1[Flux in RT / glucose uptake ($mmol/mmol\ glc$)])</f>
        <v>1290.5</v>
      </c>
      <c r="I134" t="e">
        <f>LOG(Table1[[#This Row],[Flux in SC / glucose uptake ($mmol/mmol\ glc$)]])</f>
        <v>#NUM!</v>
      </c>
      <c r="J134" t="e">
        <f>LOG(Table1[[#This Row],[Flux in RT / glucose uptake ($mmol/mmol\ glc$)]])</f>
        <v>#NUM!</v>
      </c>
      <c r="L134" t="str">
        <v>HACNH_m</v>
      </c>
      <c r="M134" t="str">
        <v>Lysine metabolism</v>
      </c>
      <c r="N134">
        <v>-2.3592557396966845</v>
      </c>
      <c r="O134">
        <v>-1.7035443695357284</v>
      </c>
    </row>
    <row r="135" spans="1:15" x14ac:dyDescent="0.2">
      <c r="A135" t="s">
        <v>138</v>
      </c>
      <c r="B135" t="s">
        <v>3135</v>
      </c>
      <c r="C135">
        <v>0</v>
      </c>
      <c r="D135">
        <v>0</v>
      </c>
      <c r="E135">
        <f>ABS(Table1[[#This Row],[Flux in SC / glucose uptake ($mmol/mmol\ glc$)]]-Table1[[#This Row],[Flux in RT / glucose uptake ($mmol/mmol\ glc$)]])/SQRT(2)</f>
        <v>0</v>
      </c>
      <c r="F135">
        <f>Table1[[#This Row],[distance from 45-degree line]]/MAX(Table1[[Flux in SC / glucose uptake ($mmol/mmol\ glc$)]:[Flux in RT / glucose uptake ($mmol/mmol\ glc$)]])</f>
        <v>0</v>
      </c>
      <c r="G135">
        <f>_xlfn.RANK.AVG(Table1[[#This Row],[Flux in SC / glucose uptake ($mmol/mmol\ glc$)]],Table1[Flux in SC / glucose uptake ($mmol/mmol\ glc$)])</f>
        <v>1310.5</v>
      </c>
      <c r="H135">
        <f>_xlfn.RANK.AVG(Table1[[#This Row],[Flux in RT / glucose uptake ($mmol/mmol\ glc$)]],Table1[Flux in RT / glucose uptake ($mmol/mmol\ glc$)])</f>
        <v>1290.5</v>
      </c>
      <c r="I135" t="e">
        <f>LOG(Table1[[#This Row],[Flux in SC / glucose uptake ($mmol/mmol\ glc$)]])</f>
        <v>#NUM!</v>
      </c>
      <c r="J135" t="e">
        <f>LOG(Table1[[#This Row],[Flux in RT / glucose uptake ($mmol/mmol\ glc$)]])</f>
        <v>#NUM!</v>
      </c>
      <c r="L135" t="str">
        <v>HCITR_m</v>
      </c>
      <c r="M135" t="str">
        <v>Lysine metabolism</v>
      </c>
      <c r="N135">
        <v>-2.3592557396966845</v>
      </c>
      <c r="O135">
        <v>-1.7035443695357284</v>
      </c>
    </row>
    <row r="136" spans="1:15" x14ac:dyDescent="0.2">
      <c r="A136" t="s">
        <v>139</v>
      </c>
      <c r="B136" t="s">
        <v>3135</v>
      </c>
      <c r="C136">
        <v>0</v>
      </c>
      <c r="D136">
        <v>0</v>
      </c>
      <c r="E136">
        <f>ABS(Table1[[#This Row],[Flux in SC / glucose uptake ($mmol/mmol\ glc$)]]-Table1[[#This Row],[Flux in RT / glucose uptake ($mmol/mmol\ glc$)]])/SQRT(2)</f>
        <v>0</v>
      </c>
      <c r="F136">
        <f>Table1[[#This Row],[distance from 45-degree line]]/MAX(Table1[[Flux in SC / glucose uptake ($mmol/mmol\ glc$)]:[Flux in RT / glucose uptake ($mmol/mmol\ glc$)]])</f>
        <v>0</v>
      </c>
      <c r="G136">
        <f>_xlfn.RANK.AVG(Table1[[#This Row],[Flux in SC / glucose uptake ($mmol/mmol\ glc$)]],Table1[Flux in SC / glucose uptake ($mmol/mmol\ glc$)])</f>
        <v>1310.5</v>
      </c>
      <c r="H136">
        <f>_xlfn.RANK.AVG(Table1[[#This Row],[Flux in RT / glucose uptake ($mmol/mmol\ glc$)]],Table1[Flux in RT / glucose uptake ($mmol/mmol\ glc$)])</f>
        <v>1290.5</v>
      </c>
      <c r="I136" t="e">
        <f>LOG(Table1[[#This Row],[Flux in SC / glucose uptake ($mmol/mmol\ glc$)]])</f>
        <v>#NUM!</v>
      </c>
      <c r="J136" t="e">
        <f>LOG(Table1[[#This Row],[Flux in RT / glucose uptake ($mmol/mmol\ glc$)]])</f>
        <v>#NUM!</v>
      </c>
      <c r="L136" t="str">
        <v>HCITS_m</v>
      </c>
      <c r="M136" t="str">
        <v>Lysine metabolism</v>
      </c>
      <c r="N136">
        <v>-2.3592557396966845</v>
      </c>
      <c r="O136">
        <v>-1.7035443695357284</v>
      </c>
    </row>
    <row r="137" spans="1:15" x14ac:dyDescent="0.2">
      <c r="A137" t="s">
        <v>140</v>
      </c>
      <c r="B137" t="s">
        <v>3135</v>
      </c>
      <c r="C137">
        <v>0</v>
      </c>
      <c r="D137">
        <v>0</v>
      </c>
      <c r="E137">
        <f>ABS(Table1[[#This Row],[Flux in SC / glucose uptake ($mmol/mmol\ glc$)]]-Table1[[#This Row],[Flux in RT / glucose uptake ($mmol/mmol\ glc$)]])/SQRT(2)</f>
        <v>0</v>
      </c>
      <c r="F137">
        <f>Table1[[#This Row],[distance from 45-degree line]]/MAX(Table1[[Flux in SC / glucose uptake ($mmol/mmol\ glc$)]:[Flux in RT / glucose uptake ($mmol/mmol\ glc$)]])</f>
        <v>0</v>
      </c>
      <c r="G137">
        <f>_xlfn.RANK.AVG(Table1[[#This Row],[Flux in SC / glucose uptake ($mmol/mmol\ glc$)]],Table1[Flux in SC / glucose uptake ($mmol/mmol\ glc$)])</f>
        <v>1310.5</v>
      </c>
      <c r="H137">
        <f>_xlfn.RANK.AVG(Table1[[#This Row],[Flux in RT / glucose uptake ($mmol/mmol\ glc$)]],Table1[Flux in RT / glucose uptake ($mmol/mmol\ glc$)])</f>
        <v>1290.5</v>
      </c>
      <c r="I137" t="e">
        <f>LOG(Table1[[#This Row],[Flux in SC / glucose uptake ($mmol/mmol\ glc$)]])</f>
        <v>#NUM!</v>
      </c>
      <c r="J137" t="e">
        <f>LOG(Table1[[#This Row],[Flux in RT / glucose uptake ($mmol/mmol\ glc$)]])</f>
        <v>#NUM!</v>
      </c>
      <c r="L137" t="str">
        <v>HCO3E_c</v>
      </c>
      <c r="M137" t="str">
        <v>Nitrogen metabolism</v>
      </c>
      <c r="N137">
        <v>-0.9998098519535259</v>
      </c>
      <c r="O137">
        <v>-0.42148690913919978</v>
      </c>
    </row>
    <row r="138" spans="1:15" x14ac:dyDescent="0.2">
      <c r="A138" t="s">
        <v>141</v>
      </c>
      <c r="B138" t="s">
        <v>3135</v>
      </c>
      <c r="C138">
        <v>0</v>
      </c>
      <c r="D138">
        <v>0</v>
      </c>
      <c r="E138">
        <f>ABS(Table1[[#This Row],[Flux in SC / glucose uptake ($mmol/mmol\ glc$)]]-Table1[[#This Row],[Flux in RT / glucose uptake ($mmol/mmol\ glc$)]])/SQRT(2)</f>
        <v>0</v>
      </c>
      <c r="F138">
        <f>Table1[[#This Row],[distance from 45-degree line]]/MAX(Table1[[Flux in SC / glucose uptake ($mmol/mmol\ glc$)]:[Flux in RT / glucose uptake ($mmol/mmol\ glc$)]])</f>
        <v>0</v>
      </c>
      <c r="G138">
        <f>_xlfn.RANK.AVG(Table1[[#This Row],[Flux in SC / glucose uptake ($mmol/mmol\ glc$)]],Table1[Flux in SC / glucose uptake ($mmol/mmol\ glc$)])</f>
        <v>1310.5</v>
      </c>
      <c r="H138">
        <f>_xlfn.RANK.AVG(Table1[[#This Row],[Flux in RT / glucose uptake ($mmol/mmol\ glc$)]],Table1[Flux in RT / glucose uptake ($mmol/mmol\ glc$)])</f>
        <v>1290.5</v>
      </c>
      <c r="I138" t="e">
        <f>LOG(Table1[[#This Row],[Flux in SC / glucose uptake ($mmol/mmol\ glc$)]])</f>
        <v>#NUM!</v>
      </c>
      <c r="J138" t="e">
        <f>LOG(Table1[[#This Row],[Flux in RT / glucose uptake ($mmol/mmol\ glc$)]])</f>
        <v>#NUM!</v>
      </c>
      <c r="L138" t="str">
        <v>HEX1_c</v>
      </c>
      <c r="M138" t="str">
        <v>Glycolysis / Gluconeogenesis</v>
      </c>
      <c r="N138">
        <v>0</v>
      </c>
      <c r="O138">
        <v>0</v>
      </c>
    </row>
    <row r="139" spans="1:15" x14ac:dyDescent="0.2">
      <c r="A139" t="s">
        <v>142</v>
      </c>
      <c r="B139" t="s">
        <v>3135</v>
      </c>
      <c r="C139">
        <v>0</v>
      </c>
      <c r="D139">
        <v>0</v>
      </c>
      <c r="E139">
        <f>ABS(Table1[[#This Row],[Flux in SC / glucose uptake ($mmol/mmol\ glc$)]]-Table1[[#This Row],[Flux in RT / glucose uptake ($mmol/mmol\ glc$)]])/SQRT(2)</f>
        <v>0</v>
      </c>
      <c r="F139">
        <f>Table1[[#This Row],[distance from 45-degree line]]/MAX(Table1[[Flux in SC / glucose uptake ($mmol/mmol\ glc$)]:[Flux in RT / glucose uptake ($mmol/mmol\ glc$)]])</f>
        <v>0</v>
      </c>
      <c r="G139">
        <f>_xlfn.RANK.AVG(Table1[[#This Row],[Flux in SC / glucose uptake ($mmol/mmol\ glc$)]],Table1[Flux in SC / glucose uptake ($mmol/mmol\ glc$)])</f>
        <v>1310.5</v>
      </c>
      <c r="H139">
        <f>_xlfn.RANK.AVG(Table1[[#This Row],[Flux in RT / glucose uptake ($mmol/mmol\ glc$)]],Table1[Flux in RT / glucose uptake ($mmol/mmol\ glc$)])</f>
        <v>1290.5</v>
      </c>
      <c r="I139" t="e">
        <f>LOG(Table1[[#This Row],[Flux in SC / glucose uptake ($mmol/mmol\ glc$)]])</f>
        <v>#NUM!</v>
      </c>
      <c r="J139" t="e">
        <f>LOG(Table1[[#This Row],[Flux in RT / glucose uptake ($mmol/mmol\ glc$)]])</f>
        <v>#NUM!</v>
      </c>
      <c r="L139" t="str">
        <v>HICITD_m</v>
      </c>
      <c r="M139" t="str">
        <v>Lysine metabolism</v>
      </c>
      <c r="N139">
        <v>-2.3592557396966845</v>
      </c>
      <c r="O139">
        <v>-1.7035443695357284</v>
      </c>
    </row>
    <row r="140" spans="1:15" x14ac:dyDescent="0.2">
      <c r="A140" t="s">
        <v>143</v>
      </c>
      <c r="B140" t="s">
        <v>3135</v>
      </c>
      <c r="C140">
        <v>0</v>
      </c>
      <c r="D140">
        <v>0</v>
      </c>
      <c r="E140">
        <f>ABS(Table1[[#This Row],[Flux in SC / glucose uptake ($mmol/mmol\ glc$)]]-Table1[[#This Row],[Flux in RT / glucose uptake ($mmol/mmol\ glc$)]])/SQRT(2)</f>
        <v>0</v>
      </c>
      <c r="F140">
        <f>Table1[[#This Row],[distance from 45-degree line]]/MAX(Table1[[Flux in SC / glucose uptake ($mmol/mmol\ glc$)]:[Flux in RT / glucose uptake ($mmol/mmol\ glc$)]])</f>
        <v>0</v>
      </c>
      <c r="G140">
        <f>_xlfn.RANK.AVG(Table1[[#This Row],[Flux in SC / glucose uptake ($mmol/mmol\ glc$)]],Table1[Flux in SC / glucose uptake ($mmol/mmol\ glc$)])</f>
        <v>1310.5</v>
      </c>
      <c r="H140">
        <f>_xlfn.RANK.AVG(Table1[[#This Row],[Flux in RT / glucose uptake ($mmol/mmol\ glc$)]],Table1[Flux in RT / glucose uptake ($mmol/mmol\ glc$)])</f>
        <v>1290.5</v>
      </c>
      <c r="I140" t="e">
        <f>LOG(Table1[[#This Row],[Flux in SC / glucose uptake ($mmol/mmol\ glc$)]])</f>
        <v>#NUM!</v>
      </c>
      <c r="J140" t="e">
        <f>LOG(Table1[[#This Row],[Flux in RT / glucose uptake ($mmol/mmol\ glc$)]])</f>
        <v>#NUM!</v>
      </c>
      <c r="L140" t="str">
        <v>HISTD_c</v>
      </c>
      <c r="M140" t="str">
        <v>Histidine metabolism</v>
      </c>
      <c r="N140">
        <v>-2.8912639601064796</v>
      </c>
      <c r="O140">
        <v>-2.235550583410487</v>
      </c>
    </row>
    <row r="141" spans="1:15" x14ac:dyDescent="0.2">
      <c r="A141" t="s">
        <v>144</v>
      </c>
      <c r="B141" t="s">
        <v>3135</v>
      </c>
      <c r="C141">
        <v>0</v>
      </c>
      <c r="D141">
        <v>0</v>
      </c>
      <c r="E141">
        <f>ABS(Table1[[#This Row],[Flux in SC / glucose uptake ($mmol/mmol\ glc$)]]-Table1[[#This Row],[Flux in RT / glucose uptake ($mmol/mmol\ glc$)]])/SQRT(2)</f>
        <v>0</v>
      </c>
      <c r="F141">
        <f>Table1[[#This Row],[distance from 45-degree line]]/MAX(Table1[[Flux in SC / glucose uptake ($mmol/mmol\ glc$)]:[Flux in RT / glucose uptake ($mmol/mmol\ glc$)]])</f>
        <v>0</v>
      </c>
      <c r="G141">
        <f>_xlfn.RANK.AVG(Table1[[#This Row],[Flux in SC / glucose uptake ($mmol/mmol\ glc$)]],Table1[Flux in SC / glucose uptake ($mmol/mmol\ glc$)])</f>
        <v>1310.5</v>
      </c>
      <c r="H141">
        <f>_xlfn.RANK.AVG(Table1[[#This Row],[Flux in RT / glucose uptake ($mmol/mmol\ glc$)]],Table1[Flux in RT / glucose uptake ($mmol/mmol\ glc$)])</f>
        <v>1290.5</v>
      </c>
      <c r="I141" t="e">
        <f>LOG(Table1[[#This Row],[Flux in SC / glucose uptake ($mmol/mmol\ glc$)]])</f>
        <v>#NUM!</v>
      </c>
      <c r="J141" t="e">
        <f>LOG(Table1[[#This Row],[Flux in RT / glucose uptake ($mmol/mmol\ glc$)]])</f>
        <v>#NUM!</v>
      </c>
      <c r="L141" t="str">
        <v>HISTP_c</v>
      </c>
      <c r="M141" t="str">
        <v>Histidine metabolism</v>
      </c>
      <c r="N141">
        <v>-2.8912639601064796</v>
      </c>
      <c r="O141">
        <v>-2.235550583410487</v>
      </c>
    </row>
    <row r="142" spans="1:15" x14ac:dyDescent="0.2">
      <c r="A142" t="s">
        <v>145</v>
      </c>
      <c r="B142" t="s">
        <v>3135</v>
      </c>
      <c r="C142">
        <v>0</v>
      </c>
      <c r="D142">
        <v>0</v>
      </c>
      <c r="E142">
        <f>ABS(Table1[[#This Row],[Flux in SC / glucose uptake ($mmol/mmol\ glc$)]]-Table1[[#This Row],[Flux in RT / glucose uptake ($mmol/mmol\ glc$)]])/SQRT(2)</f>
        <v>0</v>
      </c>
      <c r="F142">
        <f>Table1[[#This Row],[distance from 45-degree line]]/MAX(Table1[[Flux in SC / glucose uptake ($mmol/mmol\ glc$)]:[Flux in RT / glucose uptake ($mmol/mmol\ glc$)]])</f>
        <v>0</v>
      </c>
      <c r="G142">
        <f>_xlfn.RANK.AVG(Table1[[#This Row],[Flux in SC / glucose uptake ($mmol/mmol\ glc$)]],Table1[Flux in SC / glucose uptake ($mmol/mmol\ glc$)])</f>
        <v>1310.5</v>
      </c>
      <c r="H142">
        <f>_xlfn.RANK.AVG(Table1[[#This Row],[Flux in RT / glucose uptake ($mmol/mmol\ glc$)]],Table1[Flux in RT / glucose uptake ($mmol/mmol\ glc$)])</f>
        <v>1290.5</v>
      </c>
      <c r="I142" t="e">
        <f>LOG(Table1[[#This Row],[Flux in SC / glucose uptake ($mmol/mmol\ glc$)]])</f>
        <v>#NUM!</v>
      </c>
      <c r="J142" t="e">
        <f>LOG(Table1[[#This Row],[Flux in RT / glucose uptake ($mmol/mmol\ glc$)]])</f>
        <v>#NUM!</v>
      </c>
      <c r="L142" t="str">
        <v>HMGCOAR_c</v>
      </c>
      <c r="M142" t="str">
        <v>Terpenoid backbone biosynthesis</v>
      </c>
      <c r="N142">
        <v>-2.5501896200739957</v>
      </c>
      <c r="O142">
        <v>-1.6331138041248896</v>
      </c>
    </row>
    <row r="143" spans="1:15" x14ac:dyDescent="0.2">
      <c r="A143" t="s">
        <v>146</v>
      </c>
      <c r="B143" t="s">
        <v>3135</v>
      </c>
      <c r="C143">
        <v>0</v>
      </c>
      <c r="D143">
        <v>0</v>
      </c>
      <c r="E143">
        <f>ABS(Table1[[#This Row],[Flux in SC / glucose uptake ($mmol/mmol\ glc$)]]-Table1[[#This Row],[Flux in RT / glucose uptake ($mmol/mmol\ glc$)]])/SQRT(2)</f>
        <v>0</v>
      </c>
      <c r="F143">
        <f>Table1[[#This Row],[distance from 45-degree line]]/MAX(Table1[[Flux in SC / glucose uptake ($mmol/mmol\ glc$)]:[Flux in RT / glucose uptake ($mmol/mmol\ glc$)]])</f>
        <v>0</v>
      </c>
      <c r="G143">
        <f>_xlfn.RANK.AVG(Table1[[#This Row],[Flux in SC / glucose uptake ($mmol/mmol\ glc$)]],Table1[Flux in SC / glucose uptake ($mmol/mmol\ glc$)])</f>
        <v>1310.5</v>
      </c>
      <c r="H143">
        <f>_xlfn.RANK.AVG(Table1[[#This Row],[Flux in RT / glucose uptake ($mmol/mmol\ glc$)]],Table1[Flux in RT / glucose uptake ($mmol/mmol\ glc$)])</f>
        <v>1290.5</v>
      </c>
      <c r="I143" t="e">
        <f>LOG(Table1[[#This Row],[Flux in SC / glucose uptake ($mmol/mmol\ glc$)]])</f>
        <v>#NUM!</v>
      </c>
      <c r="J143" t="e">
        <f>LOG(Table1[[#This Row],[Flux in RT / glucose uptake ($mmol/mmol\ glc$)]])</f>
        <v>#NUM!</v>
      </c>
      <c r="L143" t="str">
        <v>HMGCOAS_c</v>
      </c>
      <c r="M143" t="str">
        <v>Terpenoid backbone biosynthesis</v>
      </c>
      <c r="N143">
        <v>-2.5501896200739957</v>
      </c>
      <c r="O143">
        <v>-1.6331138041248896</v>
      </c>
    </row>
    <row r="144" spans="1:15" x14ac:dyDescent="0.2">
      <c r="A144" t="s">
        <v>147</v>
      </c>
      <c r="B144" t="s">
        <v>3135</v>
      </c>
      <c r="C144">
        <v>0</v>
      </c>
      <c r="D144">
        <v>0</v>
      </c>
      <c r="E144">
        <f>ABS(Table1[[#This Row],[Flux in SC / glucose uptake ($mmol/mmol\ glc$)]]-Table1[[#This Row],[Flux in RT / glucose uptake ($mmol/mmol\ glc$)]])/SQRT(2)</f>
        <v>0</v>
      </c>
      <c r="F144">
        <f>Table1[[#This Row],[distance from 45-degree line]]/MAX(Table1[[Flux in SC / glucose uptake ($mmol/mmol\ glc$)]:[Flux in RT / glucose uptake ($mmol/mmol\ glc$)]])</f>
        <v>0</v>
      </c>
      <c r="G144">
        <f>_xlfn.RANK.AVG(Table1[[#This Row],[Flux in SC / glucose uptake ($mmol/mmol\ glc$)]],Table1[Flux in SC / glucose uptake ($mmol/mmol\ glc$)])</f>
        <v>1310.5</v>
      </c>
      <c r="H144">
        <f>_xlfn.RANK.AVG(Table1[[#This Row],[Flux in RT / glucose uptake ($mmol/mmol\ glc$)]],Table1[Flux in RT / glucose uptake ($mmol/mmol\ glc$)])</f>
        <v>1290.5</v>
      </c>
      <c r="I144" t="e">
        <f>LOG(Table1[[#This Row],[Flux in SC / glucose uptake ($mmol/mmol\ glc$)]])</f>
        <v>#NUM!</v>
      </c>
      <c r="J144" t="e">
        <f>LOG(Table1[[#This Row],[Flux in RT / glucose uptake ($mmol/mmol\ glc$)]])</f>
        <v>#NUM!</v>
      </c>
      <c r="L144" t="str">
        <v>HSDy_c</v>
      </c>
      <c r="M144" t="str">
        <v>Glycine, serine and threonine metabolism</v>
      </c>
      <c r="N144">
        <v>-8.4423686491515095</v>
      </c>
      <c r="O144">
        <v>-1.4207400194787898</v>
      </c>
    </row>
    <row r="145" spans="1:15" x14ac:dyDescent="0.2">
      <c r="A145" t="s">
        <v>148</v>
      </c>
      <c r="B145" t="s">
        <v>3135</v>
      </c>
      <c r="C145">
        <v>0</v>
      </c>
      <c r="D145">
        <v>0</v>
      </c>
      <c r="E145">
        <f>ABS(Table1[[#This Row],[Flux in SC / glucose uptake ($mmol/mmol\ glc$)]]-Table1[[#This Row],[Flux in RT / glucose uptake ($mmol/mmol\ glc$)]])/SQRT(2)</f>
        <v>0</v>
      </c>
      <c r="F145">
        <f>Table1[[#This Row],[distance from 45-degree line]]/MAX(Table1[[Flux in SC / glucose uptake ($mmol/mmol\ glc$)]:[Flux in RT / glucose uptake ($mmol/mmol\ glc$)]])</f>
        <v>0</v>
      </c>
      <c r="G145">
        <f>_xlfn.RANK.AVG(Table1[[#This Row],[Flux in SC / glucose uptake ($mmol/mmol\ glc$)]],Table1[Flux in SC / glucose uptake ($mmol/mmol\ glc$)])</f>
        <v>1310.5</v>
      </c>
      <c r="H145">
        <f>_xlfn.RANK.AVG(Table1[[#This Row],[Flux in RT / glucose uptake ($mmol/mmol\ glc$)]],Table1[Flux in RT / glucose uptake ($mmol/mmol\ glc$)])</f>
        <v>1290.5</v>
      </c>
      <c r="I145" t="e">
        <f>LOG(Table1[[#This Row],[Flux in SC / glucose uptake ($mmol/mmol\ glc$)]])</f>
        <v>#NUM!</v>
      </c>
      <c r="J145" t="e">
        <f>LOG(Table1[[#This Row],[Flux in RT / glucose uptake ($mmol/mmol\ glc$)]])</f>
        <v>#NUM!</v>
      </c>
      <c r="L145" t="str">
        <v>HSERTA_c</v>
      </c>
      <c r="M145" t="str">
        <v>Cysteine and methionine metabolism</v>
      </c>
      <c r="N145">
        <v>-3.0696095838366184</v>
      </c>
      <c r="O145">
        <v>-2.413903635373893</v>
      </c>
    </row>
    <row r="146" spans="1:15" x14ac:dyDescent="0.2">
      <c r="A146" t="s">
        <v>149</v>
      </c>
      <c r="B146" t="s">
        <v>3135</v>
      </c>
      <c r="C146">
        <v>0</v>
      </c>
      <c r="D146">
        <v>0</v>
      </c>
      <c r="E146">
        <f>ABS(Table1[[#This Row],[Flux in SC / glucose uptake ($mmol/mmol\ glc$)]]-Table1[[#This Row],[Flux in RT / glucose uptake ($mmol/mmol\ glc$)]])/SQRT(2)</f>
        <v>0</v>
      </c>
      <c r="F146">
        <f>Table1[[#This Row],[distance from 45-degree line]]/MAX(Table1[[Flux in SC / glucose uptake ($mmol/mmol\ glc$)]:[Flux in RT / glucose uptake ($mmol/mmol\ glc$)]])</f>
        <v>0</v>
      </c>
      <c r="G146">
        <f>_xlfn.RANK.AVG(Table1[[#This Row],[Flux in SC / glucose uptake ($mmol/mmol\ glc$)]],Table1[Flux in SC / glucose uptake ($mmol/mmol\ glc$)])</f>
        <v>1310.5</v>
      </c>
      <c r="H146">
        <f>_xlfn.RANK.AVG(Table1[[#This Row],[Flux in RT / glucose uptake ($mmol/mmol\ glc$)]],Table1[Flux in RT / glucose uptake ($mmol/mmol\ glc$)])</f>
        <v>1290.5</v>
      </c>
      <c r="I146" t="e">
        <f>LOG(Table1[[#This Row],[Flux in SC / glucose uptake ($mmol/mmol\ glc$)]])</f>
        <v>#NUM!</v>
      </c>
      <c r="J146" t="e">
        <f>LOG(Table1[[#This Row],[Flux in RT / glucose uptake ($mmol/mmol\ glc$)]])</f>
        <v>#NUM!</v>
      </c>
      <c r="L146" t="str">
        <v>HSK_c</v>
      </c>
      <c r="M146" t="str">
        <v>Glycine, serine and threonine metabolism</v>
      </c>
      <c r="N146">
        <v>-2.1229752076524511</v>
      </c>
      <c r="O146">
        <v>-1.4672637939517537</v>
      </c>
    </row>
    <row r="147" spans="1:15" x14ac:dyDescent="0.2">
      <c r="A147" t="s">
        <v>150</v>
      </c>
      <c r="B147" t="s">
        <v>3135</v>
      </c>
      <c r="C147">
        <v>0</v>
      </c>
      <c r="D147">
        <v>0</v>
      </c>
      <c r="E147">
        <f>ABS(Table1[[#This Row],[Flux in SC / glucose uptake ($mmol/mmol\ glc$)]]-Table1[[#This Row],[Flux in RT / glucose uptake ($mmol/mmol\ glc$)]])/SQRT(2)</f>
        <v>0</v>
      </c>
      <c r="F147">
        <f>Table1[[#This Row],[distance from 45-degree line]]/MAX(Table1[[Flux in SC / glucose uptake ($mmol/mmol\ glc$)]:[Flux in RT / glucose uptake ($mmol/mmol\ glc$)]])</f>
        <v>0</v>
      </c>
      <c r="G147">
        <f>_xlfn.RANK.AVG(Table1[[#This Row],[Flux in SC / glucose uptake ($mmol/mmol\ glc$)]],Table1[Flux in SC / glucose uptake ($mmol/mmol\ glc$)])</f>
        <v>1310.5</v>
      </c>
      <c r="H147">
        <f>_xlfn.RANK.AVG(Table1[[#This Row],[Flux in RT / glucose uptake ($mmol/mmol\ glc$)]],Table1[Flux in RT / glucose uptake ($mmol/mmol\ glc$)])</f>
        <v>1290.5</v>
      </c>
      <c r="I147" t="e">
        <f>LOG(Table1[[#This Row],[Flux in SC / glucose uptake ($mmol/mmol\ glc$)]])</f>
        <v>#NUM!</v>
      </c>
      <c r="J147" t="e">
        <f>LOG(Table1[[#This Row],[Flux in RT / glucose uptake ($mmol/mmol\ glc$)]])</f>
        <v>#NUM!</v>
      </c>
      <c r="L147" t="str">
        <v>HSTPT_c</v>
      </c>
      <c r="M147" t="str">
        <v>Histidine metabolism</v>
      </c>
      <c r="N147">
        <v>-2.8912639601064796</v>
      </c>
      <c r="O147">
        <v>-2.235550583410487</v>
      </c>
    </row>
    <row r="148" spans="1:15" x14ac:dyDescent="0.2">
      <c r="A148" t="s">
        <v>151</v>
      </c>
      <c r="B148" t="s">
        <v>3135</v>
      </c>
      <c r="C148">
        <v>0</v>
      </c>
      <c r="D148">
        <v>0</v>
      </c>
      <c r="E148">
        <f>ABS(Table1[[#This Row],[Flux in SC / glucose uptake ($mmol/mmol\ glc$)]]-Table1[[#This Row],[Flux in RT / glucose uptake ($mmol/mmol\ glc$)]])/SQRT(2)</f>
        <v>0</v>
      </c>
      <c r="F148">
        <f>Table1[[#This Row],[distance from 45-degree line]]/MAX(Table1[[Flux in SC / glucose uptake ($mmol/mmol\ glc$)]:[Flux in RT / glucose uptake ($mmol/mmol\ glc$)]])</f>
        <v>0</v>
      </c>
      <c r="G148">
        <f>_xlfn.RANK.AVG(Table1[[#This Row],[Flux in SC / glucose uptake ($mmol/mmol\ glc$)]],Table1[Flux in SC / glucose uptake ($mmol/mmol\ glc$)])</f>
        <v>1310.5</v>
      </c>
      <c r="H148">
        <f>_xlfn.RANK.AVG(Table1[[#This Row],[Flux in RT / glucose uptake ($mmol/mmol\ glc$)]],Table1[Flux in RT / glucose uptake ($mmol/mmol\ glc$)])</f>
        <v>1290.5</v>
      </c>
      <c r="I148" t="e">
        <f>LOG(Table1[[#This Row],[Flux in SC / glucose uptake ($mmol/mmol\ glc$)]])</f>
        <v>#NUM!</v>
      </c>
      <c r="J148" t="e">
        <f>LOG(Table1[[#This Row],[Flux in RT / glucose uptake ($mmol/mmol\ glc$)]])</f>
        <v>#NUM!</v>
      </c>
      <c r="L148" t="str">
        <v>ICDHx_m</v>
      </c>
      <c r="M148" t="str">
        <v>Citric acid cycle</v>
      </c>
      <c r="N148">
        <v>-8.4423686491515095</v>
      </c>
      <c r="O148">
        <v>-0.47065982396486084</v>
      </c>
    </row>
    <row r="149" spans="1:15" x14ac:dyDescent="0.2">
      <c r="A149" t="s">
        <v>152</v>
      </c>
      <c r="B149" t="s">
        <v>3135</v>
      </c>
      <c r="C149">
        <v>0</v>
      </c>
      <c r="D149">
        <v>0</v>
      </c>
      <c r="E149">
        <f>ABS(Table1[[#This Row],[Flux in SC / glucose uptake ($mmol/mmol\ glc$)]]-Table1[[#This Row],[Flux in RT / glucose uptake ($mmol/mmol\ glc$)]])/SQRT(2)</f>
        <v>0</v>
      </c>
      <c r="F149">
        <f>Table1[[#This Row],[distance from 45-degree line]]/MAX(Table1[[Flux in SC / glucose uptake ($mmol/mmol\ glc$)]:[Flux in RT / glucose uptake ($mmol/mmol\ glc$)]])</f>
        <v>0</v>
      </c>
      <c r="G149">
        <f>_xlfn.RANK.AVG(Table1[[#This Row],[Flux in SC / glucose uptake ($mmol/mmol\ glc$)]],Table1[Flux in SC / glucose uptake ($mmol/mmol\ glc$)])</f>
        <v>1310.5</v>
      </c>
      <c r="H149">
        <f>_xlfn.RANK.AVG(Table1[[#This Row],[Flux in RT / glucose uptake ($mmol/mmol\ glc$)]],Table1[Flux in RT / glucose uptake ($mmol/mmol\ glc$)])</f>
        <v>1290.5</v>
      </c>
      <c r="I149" t="e">
        <f>LOG(Table1[[#This Row],[Flux in SC / glucose uptake ($mmol/mmol\ glc$)]])</f>
        <v>#NUM!</v>
      </c>
      <c r="J149" t="e">
        <f>LOG(Table1[[#This Row],[Flux in RT / glucose uptake ($mmol/mmol\ glc$)]])</f>
        <v>#NUM!</v>
      </c>
      <c r="L149" t="str">
        <v>IG3PS_c</v>
      </c>
      <c r="M149" t="str">
        <v>Histidine metabolism</v>
      </c>
      <c r="N149">
        <v>-2.8912639601064796</v>
      </c>
      <c r="O149">
        <v>-2.235550583410487</v>
      </c>
    </row>
    <row r="150" spans="1:15" x14ac:dyDescent="0.2">
      <c r="A150" t="s">
        <v>153</v>
      </c>
      <c r="B150" t="s">
        <v>3135</v>
      </c>
      <c r="C150">
        <v>0</v>
      </c>
      <c r="D150">
        <v>0</v>
      </c>
      <c r="E150">
        <f>ABS(Table1[[#This Row],[Flux in SC / glucose uptake ($mmol/mmol\ glc$)]]-Table1[[#This Row],[Flux in RT / glucose uptake ($mmol/mmol\ glc$)]])/SQRT(2)</f>
        <v>0</v>
      </c>
      <c r="F150">
        <f>Table1[[#This Row],[distance from 45-degree line]]/MAX(Table1[[Flux in SC / glucose uptake ($mmol/mmol\ glc$)]:[Flux in RT / glucose uptake ($mmol/mmol\ glc$)]])</f>
        <v>0</v>
      </c>
      <c r="G150">
        <f>_xlfn.RANK.AVG(Table1[[#This Row],[Flux in SC / glucose uptake ($mmol/mmol\ glc$)]],Table1[Flux in SC / glucose uptake ($mmol/mmol\ glc$)])</f>
        <v>1310.5</v>
      </c>
      <c r="H150">
        <f>_xlfn.RANK.AVG(Table1[[#This Row],[Flux in RT / glucose uptake ($mmol/mmol\ glc$)]],Table1[Flux in RT / glucose uptake ($mmol/mmol\ glc$)])</f>
        <v>1290.5</v>
      </c>
      <c r="I150" t="e">
        <f>LOG(Table1[[#This Row],[Flux in SC / glucose uptake ($mmol/mmol\ glc$)]])</f>
        <v>#NUM!</v>
      </c>
      <c r="J150" t="e">
        <f>LOG(Table1[[#This Row],[Flux in RT / glucose uptake ($mmol/mmol\ glc$)]])</f>
        <v>#NUM!</v>
      </c>
      <c r="L150" t="str">
        <v>IGPDH_c</v>
      </c>
      <c r="M150" t="str">
        <v>Histidine metabolism</v>
      </c>
      <c r="N150">
        <v>-2.8912639601064796</v>
      </c>
      <c r="O150">
        <v>-2.235550583410487</v>
      </c>
    </row>
    <row r="151" spans="1:15" x14ac:dyDescent="0.2">
      <c r="A151" t="s">
        <v>154</v>
      </c>
      <c r="B151" t="s">
        <v>3135</v>
      </c>
      <c r="C151">
        <v>0</v>
      </c>
      <c r="D151">
        <v>0</v>
      </c>
      <c r="E151">
        <f>ABS(Table1[[#This Row],[Flux in SC / glucose uptake ($mmol/mmol\ glc$)]]-Table1[[#This Row],[Flux in RT / glucose uptake ($mmol/mmol\ glc$)]])/SQRT(2)</f>
        <v>0</v>
      </c>
      <c r="F151">
        <f>Table1[[#This Row],[distance from 45-degree line]]/MAX(Table1[[Flux in SC / glucose uptake ($mmol/mmol\ glc$)]:[Flux in RT / glucose uptake ($mmol/mmol\ glc$)]])</f>
        <v>0</v>
      </c>
      <c r="G151">
        <f>_xlfn.RANK.AVG(Table1[[#This Row],[Flux in SC / glucose uptake ($mmol/mmol\ glc$)]],Table1[Flux in SC / glucose uptake ($mmol/mmol\ glc$)])</f>
        <v>1310.5</v>
      </c>
      <c r="H151">
        <f>_xlfn.RANK.AVG(Table1[[#This Row],[Flux in RT / glucose uptake ($mmol/mmol\ glc$)]],Table1[Flux in RT / glucose uptake ($mmol/mmol\ glc$)])</f>
        <v>1290.5</v>
      </c>
      <c r="I151" t="e">
        <f>LOG(Table1[[#This Row],[Flux in SC / glucose uptake ($mmol/mmol\ glc$)]])</f>
        <v>#NUM!</v>
      </c>
      <c r="J151" t="e">
        <f>LOG(Table1[[#This Row],[Flux in RT / glucose uptake ($mmol/mmol\ glc$)]])</f>
        <v>#NUM!</v>
      </c>
      <c r="L151" t="str">
        <v>IGPS_c</v>
      </c>
      <c r="M151" t="str">
        <v>Phenylalanine, tyrosine and tryptophan metabolism</v>
      </c>
      <c r="N151">
        <v>-2.2101358912966407</v>
      </c>
      <c r="O151">
        <v>-0.95097222922367086</v>
      </c>
    </row>
    <row r="152" spans="1:15" x14ac:dyDescent="0.2">
      <c r="A152" t="s">
        <v>155</v>
      </c>
      <c r="B152" t="s">
        <v>3135</v>
      </c>
      <c r="C152">
        <v>0</v>
      </c>
      <c r="D152">
        <v>0</v>
      </c>
      <c r="E152">
        <f>ABS(Table1[[#This Row],[Flux in SC / glucose uptake ($mmol/mmol\ glc$)]]-Table1[[#This Row],[Flux in RT / glucose uptake ($mmol/mmol\ glc$)]])/SQRT(2)</f>
        <v>0</v>
      </c>
      <c r="F152">
        <f>Table1[[#This Row],[distance from 45-degree line]]/MAX(Table1[[Flux in SC / glucose uptake ($mmol/mmol\ glc$)]:[Flux in RT / glucose uptake ($mmol/mmol\ glc$)]])</f>
        <v>0</v>
      </c>
      <c r="G152">
        <f>_xlfn.RANK.AVG(Table1[[#This Row],[Flux in SC / glucose uptake ($mmol/mmol\ glc$)]],Table1[Flux in SC / glucose uptake ($mmol/mmol\ glc$)])</f>
        <v>1310.5</v>
      </c>
      <c r="H152">
        <f>_xlfn.RANK.AVG(Table1[[#This Row],[Flux in RT / glucose uptake ($mmol/mmol\ glc$)]],Table1[Flux in RT / glucose uptake ($mmol/mmol\ glc$)])</f>
        <v>1290.5</v>
      </c>
      <c r="I152" t="e">
        <f>LOG(Table1[[#This Row],[Flux in SC / glucose uptake ($mmol/mmol\ glc$)]])</f>
        <v>#NUM!</v>
      </c>
      <c r="J152" t="e">
        <f>LOG(Table1[[#This Row],[Flux in RT / glucose uptake ($mmol/mmol\ glc$)]])</f>
        <v>#NUM!</v>
      </c>
      <c r="L152" t="str">
        <v>ILEt_c_m</v>
      </c>
      <c r="M152" t="str">
        <v>Transport</v>
      </c>
      <c r="N152">
        <v>-2.4067068740001836</v>
      </c>
      <c r="O152">
        <v>-1.7509952736333134</v>
      </c>
    </row>
    <row r="153" spans="1:15" x14ac:dyDescent="0.2">
      <c r="A153" t="s">
        <v>156</v>
      </c>
      <c r="B153" t="s">
        <v>3135</v>
      </c>
      <c r="C153">
        <v>0</v>
      </c>
      <c r="D153">
        <v>0</v>
      </c>
      <c r="E153">
        <f>ABS(Table1[[#This Row],[Flux in SC / glucose uptake ($mmol/mmol\ glc$)]]-Table1[[#This Row],[Flux in RT / glucose uptake ($mmol/mmol\ glc$)]])/SQRT(2)</f>
        <v>0</v>
      </c>
      <c r="F153">
        <f>Table1[[#This Row],[distance from 45-degree line]]/MAX(Table1[[Flux in SC / glucose uptake ($mmol/mmol\ glc$)]:[Flux in RT / glucose uptake ($mmol/mmol\ glc$)]])</f>
        <v>0</v>
      </c>
      <c r="G153">
        <f>_xlfn.RANK.AVG(Table1[[#This Row],[Flux in SC / glucose uptake ($mmol/mmol\ glc$)]],Table1[Flux in SC / glucose uptake ($mmol/mmol\ glc$)])</f>
        <v>1310.5</v>
      </c>
      <c r="H153">
        <f>_xlfn.RANK.AVG(Table1[[#This Row],[Flux in RT / glucose uptake ($mmol/mmol\ glc$)]],Table1[Flux in RT / glucose uptake ($mmol/mmol\ glc$)])</f>
        <v>1290.5</v>
      </c>
      <c r="I153" t="e">
        <f>LOG(Table1[[#This Row],[Flux in SC / glucose uptake ($mmol/mmol\ glc$)]])</f>
        <v>#NUM!</v>
      </c>
      <c r="J153" t="e">
        <f>LOG(Table1[[#This Row],[Flux in RT / glucose uptake ($mmol/mmol\ glc$)]])</f>
        <v>#NUM!</v>
      </c>
      <c r="L153" t="str">
        <v>ILETA_m</v>
      </c>
      <c r="M153" t="str">
        <v>Cysteine and methionine metabolism</v>
      </c>
      <c r="N153">
        <v>-2.4067068740001836</v>
      </c>
      <c r="O153">
        <v>-1.7509952736333134</v>
      </c>
    </row>
    <row r="154" spans="1:15" x14ac:dyDescent="0.2">
      <c r="A154" t="s">
        <v>157</v>
      </c>
      <c r="B154" t="s">
        <v>3135</v>
      </c>
      <c r="C154">
        <v>0</v>
      </c>
      <c r="D154">
        <v>0</v>
      </c>
      <c r="E154">
        <f>ABS(Table1[[#This Row],[Flux in SC / glucose uptake ($mmol/mmol\ glc$)]]-Table1[[#This Row],[Flux in RT / glucose uptake ($mmol/mmol\ glc$)]])/SQRT(2)</f>
        <v>0</v>
      </c>
      <c r="F154">
        <f>Table1[[#This Row],[distance from 45-degree line]]/MAX(Table1[[Flux in SC / glucose uptake ($mmol/mmol\ glc$)]:[Flux in RT / glucose uptake ($mmol/mmol\ glc$)]])</f>
        <v>0</v>
      </c>
      <c r="G154">
        <f>_xlfn.RANK.AVG(Table1[[#This Row],[Flux in SC / glucose uptake ($mmol/mmol\ glc$)]],Table1[Flux in SC / glucose uptake ($mmol/mmol\ glc$)])</f>
        <v>1310.5</v>
      </c>
      <c r="H154">
        <f>_xlfn.RANK.AVG(Table1[[#This Row],[Flux in RT / glucose uptake ($mmol/mmol\ glc$)]],Table1[Flux in RT / glucose uptake ($mmol/mmol\ glc$)])</f>
        <v>1290.5</v>
      </c>
      <c r="I154" t="e">
        <f>LOG(Table1[[#This Row],[Flux in SC / glucose uptake ($mmol/mmol\ glc$)]])</f>
        <v>#NUM!</v>
      </c>
      <c r="J154" t="e">
        <f>LOG(Table1[[#This Row],[Flux in RT / glucose uptake ($mmol/mmol\ glc$)]])</f>
        <v>#NUM!</v>
      </c>
      <c r="L154" t="str">
        <v>IMPC_c</v>
      </c>
      <c r="M154" t="str">
        <v>Purine metabolism</v>
      </c>
      <c r="N154">
        <v>-2.3869792238621645</v>
      </c>
      <c r="O154">
        <v>-1.7107622024136595</v>
      </c>
    </row>
    <row r="155" spans="1:15" x14ac:dyDescent="0.2">
      <c r="A155" t="s">
        <v>158</v>
      </c>
      <c r="B155" t="s">
        <v>3135</v>
      </c>
      <c r="C155">
        <v>0</v>
      </c>
      <c r="D155">
        <v>0</v>
      </c>
      <c r="E155">
        <f>ABS(Table1[[#This Row],[Flux in SC / glucose uptake ($mmol/mmol\ glc$)]]-Table1[[#This Row],[Flux in RT / glucose uptake ($mmol/mmol\ glc$)]])/SQRT(2)</f>
        <v>0</v>
      </c>
      <c r="F155">
        <f>Table1[[#This Row],[distance from 45-degree line]]/MAX(Table1[[Flux in SC / glucose uptake ($mmol/mmol\ glc$)]:[Flux in RT / glucose uptake ($mmol/mmol\ glc$)]])</f>
        <v>0</v>
      </c>
      <c r="G155">
        <f>_xlfn.RANK.AVG(Table1[[#This Row],[Flux in SC / glucose uptake ($mmol/mmol\ glc$)]],Table1[Flux in SC / glucose uptake ($mmol/mmol\ glc$)])</f>
        <v>1310.5</v>
      </c>
      <c r="H155">
        <f>_xlfn.RANK.AVG(Table1[[#This Row],[Flux in RT / glucose uptake ($mmol/mmol\ glc$)]],Table1[Flux in RT / glucose uptake ($mmol/mmol\ glc$)])</f>
        <v>1290.5</v>
      </c>
      <c r="I155" t="e">
        <f>LOG(Table1[[#This Row],[Flux in SC / glucose uptake ($mmol/mmol\ glc$)]])</f>
        <v>#NUM!</v>
      </c>
      <c r="J155" t="e">
        <f>LOG(Table1[[#This Row],[Flux in RT / glucose uptake ($mmol/mmol\ glc$)]])</f>
        <v>#NUM!</v>
      </c>
      <c r="L155" t="str">
        <v>IMPD_c</v>
      </c>
      <c r="M155" t="str">
        <v>Purine metabolism</v>
      </c>
      <c r="N155">
        <v>-2.8539359302777965</v>
      </c>
      <c r="O155">
        <v>-2.0830541786368402</v>
      </c>
    </row>
    <row r="156" spans="1:15" x14ac:dyDescent="0.2">
      <c r="A156" t="s">
        <v>159</v>
      </c>
      <c r="B156" t="s">
        <v>3135</v>
      </c>
      <c r="C156">
        <v>0</v>
      </c>
      <c r="D156">
        <v>0</v>
      </c>
      <c r="E156">
        <f>ABS(Table1[[#This Row],[Flux in SC / glucose uptake ($mmol/mmol\ glc$)]]-Table1[[#This Row],[Flux in RT / glucose uptake ($mmol/mmol\ glc$)]])/SQRT(2)</f>
        <v>0</v>
      </c>
      <c r="F156">
        <f>Table1[[#This Row],[distance from 45-degree line]]/MAX(Table1[[Flux in SC / glucose uptake ($mmol/mmol\ glc$)]:[Flux in RT / glucose uptake ($mmol/mmol\ glc$)]])</f>
        <v>0</v>
      </c>
      <c r="G156">
        <f>_xlfn.RANK.AVG(Table1[[#This Row],[Flux in SC / glucose uptake ($mmol/mmol\ glc$)]],Table1[Flux in SC / glucose uptake ($mmol/mmol\ glc$)])</f>
        <v>1310.5</v>
      </c>
      <c r="H156">
        <f>_xlfn.RANK.AVG(Table1[[#This Row],[Flux in RT / glucose uptake ($mmol/mmol\ glc$)]],Table1[Flux in RT / glucose uptake ($mmol/mmol\ glc$)])</f>
        <v>1290.5</v>
      </c>
      <c r="I156" t="e">
        <f>LOG(Table1[[#This Row],[Flux in SC / glucose uptake ($mmol/mmol\ glc$)]])</f>
        <v>#NUM!</v>
      </c>
      <c r="J156" t="e">
        <f>LOG(Table1[[#This Row],[Flux in RT / glucose uptake ($mmol/mmol\ glc$)]])</f>
        <v>#NUM!</v>
      </c>
      <c r="L156" t="str">
        <v>IPDDI_c</v>
      </c>
      <c r="M156" t="str">
        <v>Terpenoid backbone biosynthesis</v>
      </c>
      <c r="N156">
        <v>-3.0273108747936583</v>
      </c>
      <c r="O156">
        <v>-2.1102350588445518</v>
      </c>
    </row>
    <row r="157" spans="1:15" x14ac:dyDescent="0.2">
      <c r="A157" t="s">
        <v>160</v>
      </c>
      <c r="B157" t="s">
        <v>3135</v>
      </c>
      <c r="C157">
        <v>0</v>
      </c>
      <c r="D157">
        <v>0</v>
      </c>
      <c r="E157">
        <f>ABS(Table1[[#This Row],[Flux in SC / glucose uptake ($mmol/mmol\ glc$)]]-Table1[[#This Row],[Flux in RT / glucose uptake ($mmol/mmol\ glc$)]])/SQRT(2)</f>
        <v>0</v>
      </c>
      <c r="F157">
        <f>Table1[[#This Row],[distance from 45-degree line]]/MAX(Table1[[Flux in SC / glucose uptake ($mmol/mmol\ glc$)]:[Flux in RT / glucose uptake ($mmol/mmol\ glc$)]])</f>
        <v>0</v>
      </c>
      <c r="G157">
        <f>_xlfn.RANK.AVG(Table1[[#This Row],[Flux in SC / glucose uptake ($mmol/mmol\ glc$)]],Table1[Flux in SC / glucose uptake ($mmol/mmol\ glc$)])</f>
        <v>1310.5</v>
      </c>
      <c r="H157">
        <f>_xlfn.RANK.AVG(Table1[[#This Row],[Flux in RT / glucose uptake ($mmol/mmol\ glc$)]],Table1[Flux in RT / glucose uptake ($mmol/mmol\ glc$)])</f>
        <v>1290.5</v>
      </c>
      <c r="I157" t="e">
        <f>LOG(Table1[[#This Row],[Flux in SC / glucose uptake ($mmol/mmol\ glc$)]])</f>
        <v>#NUM!</v>
      </c>
      <c r="J157" t="e">
        <f>LOG(Table1[[#This Row],[Flux in RT / glucose uptake ($mmol/mmol\ glc$)]])</f>
        <v>#NUM!</v>
      </c>
      <c r="L157" t="str">
        <v>IPMD_c</v>
      </c>
      <c r="M157" t="str">
        <v>Valine, leucine and isoleucine metabolism</v>
      </c>
      <c r="N157">
        <v>-2.2731891761880711</v>
      </c>
      <c r="O157">
        <v>-1.6174780811408516</v>
      </c>
    </row>
    <row r="158" spans="1:15" x14ac:dyDescent="0.2">
      <c r="A158" t="s">
        <v>161</v>
      </c>
      <c r="B158" t="s">
        <v>3135</v>
      </c>
      <c r="C158">
        <v>0</v>
      </c>
      <c r="D158">
        <v>0</v>
      </c>
      <c r="E158">
        <f>ABS(Table1[[#This Row],[Flux in SC / glucose uptake ($mmol/mmol\ glc$)]]-Table1[[#This Row],[Flux in RT / glucose uptake ($mmol/mmol\ glc$)]])/SQRT(2)</f>
        <v>0</v>
      </c>
      <c r="F158">
        <f>Table1[[#This Row],[distance from 45-degree line]]/MAX(Table1[[Flux in SC / glucose uptake ($mmol/mmol\ glc$)]:[Flux in RT / glucose uptake ($mmol/mmol\ glc$)]])</f>
        <v>0</v>
      </c>
      <c r="G158">
        <f>_xlfn.RANK.AVG(Table1[[#This Row],[Flux in SC / glucose uptake ($mmol/mmol\ glc$)]],Table1[Flux in SC / glucose uptake ($mmol/mmol\ glc$)])</f>
        <v>1310.5</v>
      </c>
      <c r="H158">
        <f>_xlfn.RANK.AVG(Table1[[#This Row],[Flux in RT / glucose uptake ($mmol/mmol\ glc$)]],Table1[Flux in RT / glucose uptake ($mmol/mmol\ glc$)])</f>
        <v>1290.5</v>
      </c>
      <c r="I158" t="e">
        <f>LOG(Table1[[#This Row],[Flux in SC / glucose uptake ($mmol/mmol\ glc$)]])</f>
        <v>#NUM!</v>
      </c>
      <c r="J158" t="e">
        <f>LOG(Table1[[#This Row],[Flux in RT / glucose uptake ($mmol/mmol\ glc$)]])</f>
        <v>#NUM!</v>
      </c>
      <c r="L158" t="str">
        <v>IPPMIa_c</v>
      </c>
      <c r="M158" t="str">
        <v>Valine, leucine and isoleucine metabolism</v>
      </c>
      <c r="N158">
        <v>-2.2731891761880711</v>
      </c>
      <c r="O158">
        <v>-1.6174780811408516</v>
      </c>
    </row>
    <row r="159" spans="1:15" x14ac:dyDescent="0.2">
      <c r="A159" t="s">
        <v>162</v>
      </c>
      <c r="B159" t="s">
        <v>3135</v>
      </c>
      <c r="C159">
        <v>0</v>
      </c>
      <c r="D159">
        <v>0</v>
      </c>
      <c r="E159">
        <f>ABS(Table1[[#This Row],[Flux in SC / glucose uptake ($mmol/mmol\ glc$)]]-Table1[[#This Row],[Flux in RT / glucose uptake ($mmol/mmol\ glc$)]])/SQRT(2)</f>
        <v>0</v>
      </c>
      <c r="F159">
        <f>Table1[[#This Row],[distance from 45-degree line]]/MAX(Table1[[Flux in SC / glucose uptake ($mmol/mmol\ glc$)]:[Flux in RT / glucose uptake ($mmol/mmol\ glc$)]])</f>
        <v>0</v>
      </c>
      <c r="G159">
        <f>_xlfn.RANK.AVG(Table1[[#This Row],[Flux in SC / glucose uptake ($mmol/mmol\ glc$)]],Table1[Flux in SC / glucose uptake ($mmol/mmol\ glc$)])</f>
        <v>1310.5</v>
      </c>
      <c r="H159">
        <f>_xlfn.RANK.AVG(Table1[[#This Row],[Flux in RT / glucose uptake ($mmol/mmol\ glc$)]],Table1[Flux in RT / glucose uptake ($mmol/mmol\ glc$)])</f>
        <v>1290.5</v>
      </c>
      <c r="I159" t="e">
        <f>LOG(Table1[[#This Row],[Flux in SC / glucose uptake ($mmol/mmol\ glc$)]])</f>
        <v>#NUM!</v>
      </c>
      <c r="J159" t="e">
        <f>LOG(Table1[[#This Row],[Flux in RT / glucose uptake ($mmol/mmol\ glc$)]])</f>
        <v>#NUM!</v>
      </c>
      <c r="L159" t="str">
        <v>IPPMIb_c</v>
      </c>
      <c r="M159" t="str">
        <v>Valine, leucine and isoleucine metabolism</v>
      </c>
      <c r="N159">
        <v>-2.2731891761880711</v>
      </c>
      <c r="O159">
        <v>-1.6174780811408516</v>
      </c>
    </row>
    <row r="160" spans="1:15" x14ac:dyDescent="0.2">
      <c r="A160" t="s">
        <v>163</v>
      </c>
      <c r="B160" t="s">
        <v>3135</v>
      </c>
      <c r="C160">
        <v>0</v>
      </c>
      <c r="D160">
        <v>0</v>
      </c>
      <c r="E160">
        <f>ABS(Table1[[#This Row],[Flux in SC / glucose uptake ($mmol/mmol\ glc$)]]-Table1[[#This Row],[Flux in RT / glucose uptake ($mmol/mmol\ glc$)]])/SQRT(2)</f>
        <v>0</v>
      </c>
      <c r="F160">
        <f>Table1[[#This Row],[distance from 45-degree line]]/MAX(Table1[[Flux in SC / glucose uptake ($mmol/mmol\ glc$)]:[Flux in RT / glucose uptake ($mmol/mmol\ glc$)]])</f>
        <v>0</v>
      </c>
      <c r="G160">
        <f>_xlfn.RANK.AVG(Table1[[#This Row],[Flux in SC / glucose uptake ($mmol/mmol\ glc$)]],Table1[Flux in SC / glucose uptake ($mmol/mmol\ glc$)])</f>
        <v>1310.5</v>
      </c>
      <c r="H160">
        <f>_xlfn.RANK.AVG(Table1[[#This Row],[Flux in RT / glucose uptake ($mmol/mmol\ glc$)]],Table1[Flux in RT / glucose uptake ($mmol/mmol\ glc$)])</f>
        <v>1290.5</v>
      </c>
      <c r="I160" t="e">
        <f>LOG(Table1[[#This Row],[Flux in SC / glucose uptake ($mmol/mmol\ glc$)]])</f>
        <v>#NUM!</v>
      </c>
      <c r="J160" t="e">
        <f>LOG(Table1[[#This Row],[Flux in RT / glucose uptake ($mmol/mmol\ glc$)]])</f>
        <v>#NUM!</v>
      </c>
      <c r="L160" t="str">
        <v>IPPS_c</v>
      </c>
      <c r="M160" t="str">
        <v>Valine, leucine and isoleucine metabolism</v>
      </c>
      <c r="N160">
        <v>-2.2731891761880711</v>
      </c>
      <c r="O160">
        <v>-1.6174780811408516</v>
      </c>
    </row>
    <row r="161" spans="1:15" x14ac:dyDescent="0.2">
      <c r="A161" t="s">
        <v>164</v>
      </c>
      <c r="B161" t="s">
        <v>3135</v>
      </c>
      <c r="C161">
        <v>0</v>
      </c>
      <c r="D161">
        <v>0</v>
      </c>
      <c r="E161">
        <f>ABS(Table1[[#This Row],[Flux in SC / glucose uptake ($mmol/mmol\ glc$)]]-Table1[[#This Row],[Flux in RT / glucose uptake ($mmol/mmol\ glc$)]])/SQRT(2)</f>
        <v>0</v>
      </c>
      <c r="F161">
        <f>Table1[[#This Row],[distance from 45-degree line]]/MAX(Table1[[Flux in SC / glucose uptake ($mmol/mmol\ glc$)]:[Flux in RT / glucose uptake ($mmol/mmol\ glc$)]])</f>
        <v>0</v>
      </c>
      <c r="G161">
        <f>_xlfn.RANK.AVG(Table1[[#This Row],[Flux in SC / glucose uptake ($mmol/mmol\ glc$)]],Table1[Flux in SC / glucose uptake ($mmol/mmol\ glc$)])</f>
        <v>1310.5</v>
      </c>
      <c r="H161">
        <f>_xlfn.RANK.AVG(Table1[[#This Row],[Flux in RT / glucose uptake ($mmol/mmol\ glc$)]],Table1[Flux in RT / glucose uptake ($mmol/mmol\ glc$)])</f>
        <v>1290.5</v>
      </c>
      <c r="I161" t="e">
        <f>LOG(Table1[[#This Row],[Flux in SC / glucose uptake ($mmol/mmol\ glc$)]])</f>
        <v>#NUM!</v>
      </c>
      <c r="J161" t="e">
        <f>LOG(Table1[[#This Row],[Flux in RT / glucose uptake ($mmol/mmol\ glc$)]])</f>
        <v>#NUM!</v>
      </c>
      <c r="L161" t="str">
        <v>KARA1i_m</v>
      </c>
      <c r="M161" t="str">
        <v>Valine, leucine and isoleucine metabolism</v>
      </c>
      <c r="N161">
        <v>-1.9909961646921943</v>
      </c>
      <c r="O161">
        <v>-1.3352849126200561</v>
      </c>
    </row>
    <row r="162" spans="1:15" x14ac:dyDescent="0.2">
      <c r="A162" t="s">
        <v>165</v>
      </c>
      <c r="B162" t="s">
        <v>3135</v>
      </c>
      <c r="C162">
        <v>0</v>
      </c>
      <c r="D162">
        <v>0</v>
      </c>
      <c r="E162">
        <f>ABS(Table1[[#This Row],[Flux in SC / glucose uptake ($mmol/mmol\ glc$)]]-Table1[[#This Row],[Flux in RT / glucose uptake ($mmol/mmol\ glc$)]])/SQRT(2)</f>
        <v>0</v>
      </c>
      <c r="F162">
        <f>Table1[[#This Row],[distance from 45-degree line]]/MAX(Table1[[Flux in SC / glucose uptake ($mmol/mmol\ glc$)]:[Flux in RT / glucose uptake ($mmol/mmol\ glc$)]])</f>
        <v>0</v>
      </c>
      <c r="G162">
        <f>_xlfn.RANK.AVG(Table1[[#This Row],[Flux in SC / glucose uptake ($mmol/mmol\ glc$)]],Table1[Flux in SC / glucose uptake ($mmol/mmol\ glc$)])</f>
        <v>1310.5</v>
      </c>
      <c r="H162">
        <f>_xlfn.RANK.AVG(Table1[[#This Row],[Flux in RT / glucose uptake ($mmol/mmol\ glc$)]],Table1[Flux in RT / glucose uptake ($mmol/mmol\ glc$)])</f>
        <v>1290.5</v>
      </c>
      <c r="I162" t="e">
        <f>LOG(Table1[[#This Row],[Flux in SC / glucose uptake ($mmol/mmol\ glc$)]])</f>
        <v>#NUM!</v>
      </c>
      <c r="J162" t="e">
        <f>LOG(Table1[[#This Row],[Flux in RT / glucose uptake ($mmol/mmol\ glc$)]])</f>
        <v>#NUM!</v>
      </c>
      <c r="L162" t="str">
        <v>KARA2i_m</v>
      </c>
      <c r="M162" t="str">
        <v>Valine, leucine and isoleucine metabolism</v>
      </c>
      <c r="N162">
        <v>-2.4067068740001836</v>
      </c>
      <c r="O162">
        <v>-1.7509952736333134</v>
      </c>
    </row>
    <row r="163" spans="1:15" x14ac:dyDescent="0.2">
      <c r="A163" t="s">
        <v>166</v>
      </c>
      <c r="B163" t="s">
        <v>3135</v>
      </c>
      <c r="C163">
        <v>0</v>
      </c>
      <c r="D163">
        <v>0</v>
      </c>
      <c r="E163">
        <f>ABS(Table1[[#This Row],[Flux in SC / glucose uptake ($mmol/mmol\ glc$)]]-Table1[[#This Row],[Flux in RT / glucose uptake ($mmol/mmol\ glc$)]])/SQRT(2)</f>
        <v>0</v>
      </c>
      <c r="F163">
        <f>Table1[[#This Row],[distance from 45-degree line]]/MAX(Table1[[Flux in SC / glucose uptake ($mmol/mmol\ glc$)]:[Flux in RT / glucose uptake ($mmol/mmol\ glc$)]])</f>
        <v>0</v>
      </c>
      <c r="G163">
        <f>_xlfn.RANK.AVG(Table1[[#This Row],[Flux in SC / glucose uptake ($mmol/mmol\ glc$)]],Table1[Flux in SC / glucose uptake ($mmol/mmol\ glc$)])</f>
        <v>1310.5</v>
      </c>
      <c r="H163">
        <f>_xlfn.RANK.AVG(Table1[[#This Row],[Flux in RT / glucose uptake ($mmol/mmol\ glc$)]],Table1[Flux in RT / glucose uptake ($mmol/mmol\ glc$)])</f>
        <v>1290.5</v>
      </c>
      <c r="I163" t="e">
        <f>LOG(Table1[[#This Row],[Flux in SC / glucose uptake ($mmol/mmol\ glc$)]])</f>
        <v>#NUM!</v>
      </c>
      <c r="J163" t="e">
        <f>LOG(Table1[[#This Row],[Flux in RT / glucose uptake ($mmol/mmol\ glc$)]])</f>
        <v>#NUM!</v>
      </c>
      <c r="L163" t="str">
        <v>KYN_c</v>
      </c>
      <c r="M163" t="str">
        <v>Tryptophan metabolism</v>
      </c>
      <c r="N163">
        <v>-2.2417378559802317</v>
      </c>
      <c r="O163">
        <v>-0.95863494818755424</v>
      </c>
    </row>
    <row r="164" spans="1:15" x14ac:dyDescent="0.2">
      <c r="A164" t="s">
        <v>167</v>
      </c>
      <c r="B164" t="s">
        <v>3135</v>
      </c>
      <c r="C164">
        <v>0</v>
      </c>
      <c r="D164">
        <v>0</v>
      </c>
      <c r="E164">
        <f>ABS(Table1[[#This Row],[Flux in SC / glucose uptake ($mmol/mmol\ glc$)]]-Table1[[#This Row],[Flux in RT / glucose uptake ($mmol/mmol\ glc$)]])/SQRT(2)</f>
        <v>0</v>
      </c>
      <c r="F164">
        <f>Table1[[#This Row],[distance from 45-degree line]]/MAX(Table1[[Flux in SC / glucose uptake ($mmol/mmol\ glc$)]:[Flux in RT / glucose uptake ($mmol/mmol\ glc$)]])</f>
        <v>0</v>
      </c>
      <c r="G164">
        <f>_xlfn.RANK.AVG(Table1[[#This Row],[Flux in SC / glucose uptake ($mmol/mmol\ glc$)]],Table1[Flux in SC / glucose uptake ($mmol/mmol\ glc$)])</f>
        <v>1310.5</v>
      </c>
      <c r="H164">
        <f>_xlfn.RANK.AVG(Table1[[#This Row],[Flux in RT / glucose uptake ($mmol/mmol\ glc$)]],Table1[Flux in RT / glucose uptake ($mmol/mmol\ glc$)])</f>
        <v>1290.5</v>
      </c>
      <c r="I164" t="e">
        <f>LOG(Table1[[#This Row],[Flux in SC / glucose uptake ($mmol/mmol\ glc$)]])</f>
        <v>#NUM!</v>
      </c>
      <c r="J164" t="e">
        <f>LOG(Table1[[#This Row],[Flux in RT / glucose uptake ($mmol/mmol\ glc$)]])</f>
        <v>#NUM!</v>
      </c>
      <c r="L164" t="str">
        <v>LACtps_m</v>
      </c>
      <c r="M164" t="str">
        <v>Transport</v>
      </c>
      <c r="N164">
        <v>-8.4423686491515095</v>
      </c>
      <c r="O164">
        <v>-2.1898844314827781</v>
      </c>
    </row>
    <row r="165" spans="1:15" x14ac:dyDescent="0.2">
      <c r="A165" t="s">
        <v>168</v>
      </c>
      <c r="B165" t="s">
        <v>3135</v>
      </c>
      <c r="C165">
        <v>0</v>
      </c>
      <c r="D165">
        <v>0</v>
      </c>
      <c r="E165">
        <f>ABS(Table1[[#This Row],[Flux in SC / glucose uptake ($mmol/mmol\ glc$)]]-Table1[[#This Row],[Flux in RT / glucose uptake ($mmol/mmol\ glc$)]])/SQRT(2)</f>
        <v>0</v>
      </c>
      <c r="F165">
        <f>Table1[[#This Row],[distance from 45-degree line]]/MAX(Table1[[Flux in SC / glucose uptake ($mmol/mmol\ glc$)]:[Flux in RT / glucose uptake ($mmol/mmol\ glc$)]])</f>
        <v>0</v>
      </c>
      <c r="G165">
        <f>_xlfn.RANK.AVG(Table1[[#This Row],[Flux in SC / glucose uptake ($mmol/mmol\ glc$)]],Table1[Flux in SC / glucose uptake ($mmol/mmol\ glc$)])</f>
        <v>1310.5</v>
      </c>
      <c r="H165">
        <f>_xlfn.RANK.AVG(Table1[[#This Row],[Flux in RT / glucose uptake ($mmol/mmol\ glc$)]],Table1[Flux in RT / glucose uptake ($mmol/mmol\ glc$)])</f>
        <v>1290.5</v>
      </c>
      <c r="I165" t="e">
        <f>LOG(Table1[[#This Row],[Flux in SC / glucose uptake ($mmol/mmol\ glc$)]])</f>
        <v>#NUM!</v>
      </c>
      <c r="J165" t="e">
        <f>LOG(Table1[[#This Row],[Flux in RT / glucose uptake ($mmol/mmol\ glc$)]])</f>
        <v>#NUM!</v>
      </c>
      <c r="L165" t="str">
        <v>LEUTA_c</v>
      </c>
      <c r="M165" t="str">
        <v>Cysteine and methionine metabolism</v>
      </c>
      <c r="N165">
        <v>-2.2731891761880711</v>
      </c>
      <c r="O165">
        <v>-1.6174780811408516</v>
      </c>
    </row>
    <row r="166" spans="1:15" x14ac:dyDescent="0.2">
      <c r="A166" t="s">
        <v>169</v>
      </c>
      <c r="B166" t="s">
        <v>3135</v>
      </c>
      <c r="C166">
        <v>0</v>
      </c>
      <c r="D166">
        <v>0</v>
      </c>
      <c r="E166">
        <f>ABS(Table1[[#This Row],[Flux in SC / glucose uptake ($mmol/mmol\ glc$)]]-Table1[[#This Row],[Flux in RT / glucose uptake ($mmol/mmol\ glc$)]])/SQRT(2)</f>
        <v>0</v>
      </c>
      <c r="F166">
        <f>Table1[[#This Row],[distance from 45-degree line]]/MAX(Table1[[Flux in SC / glucose uptake ($mmol/mmol\ glc$)]:[Flux in RT / glucose uptake ($mmol/mmol\ glc$)]])</f>
        <v>0</v>
      </c>
      <c r="G166">
        <f>_xlfn.RANK.AVG(Table1[[#This Row],[Flux in SC / glucose uptake ($mmol/mmol\ glc$)]],Table1[Flux in SC / glucose uptake ($mmol/mmol\ glc$)])</f>
        <v>1310.5</v>
      </c>
      <c r="H166">
        <f>_xlfn.RANK.AVG(Table1[[#This Row],[Flux in RT / glucose uptake ($mmol/mmol\ glc$)]],Table1[Flux in RT / glucose uptake ($mmol/mmol\ glc$)])</f>
        <v>1290.5</v>
      </c>
      <c r="I166" t="e">
        <f>LOG(Table1[[#This Row],[Flux in SC / glucose uptake ($mmol/mmol\ glc$)]])</f>
        <v>#NUM!</v>
      </c>
      <c r="J166" t="e">
        <f>LOG(Table1[[#This Row],[Flux in RT / glucose uptake ($mmol/mmol\ glc$)]])</f>
        <v>#NUM!</v>
      </c>
      <c r="L166" t="str">
        <v>LNS14DMy_c</v>
      </c>
      <c r="M166" t="str">
        <v>Ergosterol biosynthesis</v>
      </c>
      <c r="N166">
        <v>-3.3283408704576396</v>
      </c>
      <c r="O166">
        <v>-2.4112650545085335</v>
      </c>
    </row>
    <row r="167" spans="1:15" x14ac:dyDescent="0.2">
      <c r="A167" t="s">
        <v>170</v>
      </c>
      <c r="B167" t="s">
        <v>3135</v>
      </c>
      <c r="C167">
        <v>0</v>
      </c>
      <c r="D167">
        <v>0</v>
      </c>
      <c r="E167">
        <f>ABS(Table1[[#This Row],[Flux in SC / glucose uptake ($mmol/mmol\ glc$)]]-Table1[[#This Row],[Flux in RT / glucose uptake ($mmol/mmol\ glc$)]])/SQRT(2)</f>
        <v>0</v>
      </c>
      <c r="F167">
        <f>Table1[[#This Row],[distance from 45-degree line]]/MAX(Table1[[Flux in SC / glucose uptake ($mmol/mmol\ glc$)]:[Flux in RT / glucose uptake ($mmol/mmol\ glc$)]])</f>
        <v>0</v>
      </c>
      <c r="G167">
        <f>_xlfn.RANK.AVG(Table1[[#This Row],[Flux in SC / glucose uptake ($mmol/mmol\ glc$)]],Table1[Flux in SC / glucose uptake ($mmol/mmol\ glc$)])</f>
        <v>1310.5</v>
      </c>
      <c r="H167">
        <f>_xlfn.RANK.AVG(Table1[[#This Row],[Flux in RT / glucose uptake ($mmol/mmol\ glc$)]],Table1[Flux in RT / glucose uptake ($mmol/mmol\ glc$)])</f>
        <v>1290.5</v>
      </c>
      <c r="I167" t="e">
        <f>LOG(Table1[[#This Row],[Flux in SC / glucose uptake ($mmol/mmol\ glc$)]])</f>
        <v>#NUM!</v>
      </c>
      <c r="J167" t="e">
        <f>LOG(Table1[[#This Row],[Flux in RT / glucose uptake ($mmol/mmol\ glc$)]])</f>
        <v>#NUM!</v>
      </c>
      <c r="L167" t="str">
        <v>LNSTLS_c</v>
      </c>
      <c r="M167" t="str">
        <v>Ergosterol biosynthesis</v>
      </c>
      <c r="N167">
        <v>-3.3283408704576396</v>
      </c>
      <c r="O167">
        <v>-2.4112650545085335</v>
      </c>
    </row>
    <row r="168" spans="1:15" x14ac:dyDescent="0.2">
      <c r="A168" t="s">
        <v>171</v>
      </c>
      <c r="B168" t="s">
        <v>3135</v>
      </c>
      <c r="C168">
        <v>0</v>
      </c>
      <c r="D168">
        <v>0</v>
      </c>
      <c r="E168">
        <f>ABS(Table1[[#This Row],[Flux in SC / glucose uptake ($mmol/mmol\ glc$)]]-Table1[[#This Row],[Flux in RT / glucose uptake ($mmol/mmol\ glc$)]])/SQRT(2)</f>
        <v>0</v>
      </c>
      <c r="F168">
        <f>Table1[[#This Row],[distance from 45-degree line]]/MAX(Table1[[Flux in SC / glucose uptake ($mmol/mmol\ glc$)]:[Flux in RT / glucose uptake ($mmol/mmol\ glc$)]])</f>
        <v>0</v>
      </c>
      <c r="G168">
        <f>_xlfn.RANK.AVG(Table1[[#This Row],[Flux in SC / glucose uptake ($mmol/mmol\ glc$)]],Table1[Flux in SC / glucose uptake ($mmol/mmol\ glc$)])</f>
        <v>1310.5</v>
      </c>
      <c r="H168">
        <f>_xlfn.RANK.AVG(Table1[[#This Row],[Flux in RT / glucose uptake ($mmol/mmol\ glc$)]],Table1[Flux in RT / glucose uptake ($mmol/mmol\ glc$)])</f>
        <v>1290.5</v>
      </c>
      <c r="I168" t="e">
        <f>LOG(Table1[[#This Row],[Flux in SC / glucose uptake ($mmol/mmol\ glc$)]])</f>
        <v>#NUM!</v>
      </c>
      <c r="J168" t="e">
        <f>LOG(Table1[[#This Row],[Flux in RT / glucose uptake ($mmol/mmol\ glc$)]])</f>
        <v>#NUM!</v>
      </c>
      <c r="L168" t="str">
        <v>M1PS_c</v>
      </c>
      <c r="M168" t="str">
        <v>Inositol phosphate metabolism</v>
      </c>
      <c r="N168">
        <v>-3.8203011387897292</v>
      </c>
      <c r="O168">
        <v>-3.0285657844618776</v>
      </c>
    </row>
    <row r="169" spans="1:15" x14ac:dyDescent="0.2">
      <c r="A169" t="s">
        <v>172</v>
      </c>
      <c r="B169" t="s">
        <v>3135</v>
      </c>
      <c r="C169">
        <v>0</v>
      </c>
      <c r="D169">
        <v>0</v>
      </c>
      <c r="E169">
        <f>ABS(Table1[[#This Row],[Flux in SC / glucose uptake ($mmol/mmol\ glc$)]]-Table1[[#This Row],[Flux in RT / glucose uptake ($mmol/mmol\ glc$)]])/SQRT(2)</f>
        <v>0</v>
      </c>
      <c r="F169">
        <f>Table1[[#This Row],[distance from 45-degree line]]/MAX(Table1[[Flux in SC / glucose uptake ($mmol/mmol\ glc$)]:[Flux in RT / glucose uptake ($mmol/mmol\ glc$)]])</f>
        <v>0</v>
      </c>
      <c r="G169">
        <f>_xlfn.RANK.AVG(Table1[[#This Row],[Flux in SC / glucose uptake ($mmol/mmol\ glc$)]],Table1[Flux in SC / glucose uptake ($mmol/mmol\ glc$)])</f>
        <v>1310.5</v>
      </c>
      <c r="H169">
        <f>_xlfn.RANK.AVG(Table1[[#This Row],[Flux in RT / glucose uptake ($mmol/mmol\ glc$)]],Table1[Flux in RT / glucose uptake ($mmol/mmol\ glc$)])</f>
        <v>1290.5</v>
      </c>
      <c r="I169" t="e">
        <f>LOG(Table1[[#This Row],[Flux in SC / glucose uptake ($mmol/mmol\ glc$)]])</f>
        <v>#NUM!</v>
      </c>
      <c r="J169" t="e">
        <f>LOG(Table1[[#This Row],[Flux in RT / glucose uptake ($mmol/mmol\ glc$)]])</f>
        <v>#NUM!</v>
      </c>
      <c r="L169" t="str">
        <v>MAN1PT_c</v>
      </c>
      <c r="M169" t="str">
        <v>Fructose and mannose metabolism</v>
      </c>
      <c r="N169">
        <v>-2.2655804319978099</v>
      </c>
      <c r="O169">
        <v>-1.4492984612037394</v>
      </c>
    </row>
    <row r="170" spans="1:15" x14ac:dyDescent="0.2">
      <c r="A170" t="s">
        <v>173</v>
      </c>
      <c r="B170" t="s">
        <v>3135</v>
      </c>
      <c r="C170">
        <v>0</v>
      </c>
      <c r="D170">
        <v>0</v>
      </c>
      <c r="E170">
        <f>ABS(Table1[[#This Row],[Flux in SC / glucose uptake ($mmol/mmol\ glc$)]]-Table1[[#This Row],[Flux in RT / glucose uptake ($mmol/mmol\ glc$)]])/SQRT(2)</f>
        <v>0</v>
      </c>
      <c r="F170">
        <f>Table1[[#This Row],[distance from 45-degree line]]/MAX(Table1[[Flux in SC / glucose uptake ($mmol/mmol\ glc$)]:[Flux in RT / glucose uptake ($mmol/mmol\ glc$)]])</f>
        <v>0</v>
      </c>
      <c r="G170">
        <f>_xlfn.RANK.AVG(Table1[[#This Row],[Flux in SC / glucose uptake ($mmol/mmol\ glc$)]],Table1[Flux in SC / glucose uptake ($mmol/mmol\ glc$)])</f>
        <v>1310.5</v>
      </c>
      <c r="H170">
        <f>_xlfn.RANK.AVG(Table1[[#This Row],[Flux in RT / glucose uptake ($mmol/mmol\ glc$)]],Table1[Flux in RT / glucose uptake ($mmol/mmol\ glc$)])</f>
        <v>1290.5</v>
      </c>
      <c r="I170" t="e">
        <f>LOG(Table1[[#This Row],[Flux in SC / glucose uptake ($mmol/mmol\ glc$)]])</f>
        <v>#NUM!</v>
      </c>
      <c r="J170" t="e">
        <f>LOG(Table1[[#This Row],[Flux in RT / glucose uptake ($mmol/mmol\ glc$)]])</f>
        <v>#NUM!</v>
      </c>
      <c r="L170" t="str">
        <v>MAN6PI_c</v>
      </c>
      <c r="M170" t="str">
        <v>Fructose and mannose metabolism</v>
      </c>
      <c r="N170">
        <v>-2.2655804319978099</v>
      </c>
      <c r="O170">
        <v>-1.4492984612037394</v>
      </c>
    </row>
    <row r="171" spans="1:15" x14ac:dyDescent="0.2">
      <c r="A171" t="s">
        <v>174</v>
      </c>
      <c r="B171" t="s">
        <v>3135</v>
      </c>
      <c r="C171">
        <v>0</v>
      </c>
      <c r="D171">
        <v>0</v>
      </c>
      <c r="E171">
        <f>ABS(Table1[[#This Row],[Flux in SC / glucose uptake ($mmol/mmol\ glc$)]]-Table1[[#This Row],[Flux in RT / glucose uptake ($mmol/mmol\ glc$)]])/SQRT(2)</f>
        <v>0</v>
      </c>
      <c r="F171">
        <f>Table1[[#This Row],[distance from 45-degree line]]/MAX(Table1[[Flux in SC / glucose uptake ($mmol/mmol\ glc$)]:[Flux in RT / glucose uptake ($mmol/mmol\ glc$)]])</f>
        <v>0</v>
      </c>
      <c r="G171">
        <f>_xlfn.RANK.AVG(Table1[[#This Row],[Flux in SC / glucose uptake ($mmol/mmol\ glc$)]],Table1[Flux in SC / glucose uptake ($mmol/mmol\ glc$)])</f>
        <v>1310.5</v>
      </c>
      <c r="H171">
        <f>_xlfn.RANK.AVG(Table1[[#This Row],[Flux in RT / glucose uptake ($mmol/mmol\ glc$)]],Table1[Flux in RT / glucose uptake ($mmol/mmol\ glc$)])</f>
        <v>1290.5</v>
      </c>
      <c r="I171" t="e">
        <f>LOG(Table1[[#This Row],[Flux in SC / glucose uptake ($mmol/mmol\ glc$)]])</f>
        <v>#NUM!</v>
      </c>
      <c r="J171" t="e">
        <f>LOG(Table1[[#This Row],[Flux in RT / glucose uptake ($mmol/mmol\ glc$)]])</f>
        <v>#NUM!</v>
      </c>
      <c r="L171" t="str">
        <v>MDH_m</v>
      </c>
      <c r="M171" t="str">
        <v>Citric acid cycle</v>
      </c>
      <c r="N171">
        <v>-2.3360352513417855</v>
      </c>
      <c r="O171">
        <v>-3.5077702596264387E-2</v>
      </c>
    </row>
    <row r="172" spans="1:15" x14ac:dyDescent="0.2">
      <c r="A172" t="s">
        <v>175</v>
      </c>
      <c r="B172" t="s">
        <v>3136</v>
      </c>
      <c r="C172">
        <v>2.8171526477804849E-3</v>
      </c>
      <c r="D172">
        <v>2.3274812759854133E-2</v>
      </c>
      <c r="E172">
        <f>ABS(Table1[[#This Row],[Flux in SC / glucose uptake ($mmol/mmol\ glc$)]]-Table1[[#This Row],[Flux in RT / glucose uptake ($mmol/mmol\ glc$)]])/SQRT(2)</f>
        <v>1.4465750192456821E-2</v>
      </c>
      <c r="F172">
        <f>Table1[[#This Row],[distance from 45-degree line]]/MAX(Table1[[Flux in SC / glucose uptake ($mmol/mmol\ glc$)]:[Flux in RT / glucose uptake ($mmol/mmol\ glc$)]])</f>
        <v>7.7968742899859331E-4</v>
      </c>
      <c r="G172">
        <f>_xlfn.RANK.AVG(Table1[[#This Row],[Flux in SC / glucose uptake ($mmol/mmol\ glc$)]],Table1[Flux in SC / glucose uptake ($mmol/mmol\ glc$)])</f>
        <v>177.5</v>
      </c>
      <c r="H172">
        <f>_xlfn.RANK.AVG(Table1[[#This Row],[Flux in RT / glucose uptake ($mmol/mmol\ glc$)]],Table1[Flux in RT / glucose uptake ($mmol/mmol\ glc$)])</f>
        <v>131.5</v>
      </c>
      <c r="I172">
        <f>LOG(Table1[[#This Row],[Flux in SC / glucose uptake ($mmol/mmol\ glc$)]])</f>
        <v>-2.5501896200739957</v>
      </c>
      <c r="J172">
        <f>LOG(Table1[[#This Row],[Flux in RT / glucose uptake ($mmol/mmol\ glc$)]])</f>
        <v>-1.6331138041248896</v>
      </c>
      <c r="L172" t="str">
        <v>ME1_m</v>
      </c>
      <c r="M172" t="str">
        <v>Citric acid cycle</v>
      </c>
      <c r="N172">
        <v>-1.3667448298984077</v>
      </c>
      <c r="O172">
        <v>-1.0441647996056815</v>
      </c>
    </row>
    <row r="173" spans="1:15" x14ac:dyDescent="0.2">
      <c r="A173" t="s">
        <v>176</v>
      </c>
      <c r="B173" t="s">
        <v>3135</v>
      </c>
      <c r="C173">
        <v>0</v>
      </c>
      <c r="D173">
        <v>0</v>
      </c>
      <c r="E173">
        <f>ABS(Table1[[#This Row],[Flux in SC / glucose uptake ($mmol/mmol\ glc$)]]-Table1[[#This Row],[Flux in RT / glucose uptake ($mmol/mmol\ glc$)]])/SQRT(2)</f>
        <v>0</v>
      </c>
      <c r="F173">
        <f>Table1[[#This Row],[distance from 45-degree line]]/MAX(Table1[[Flux in SC / glucose uptake ($mmol/mmol\ glc$)]:[Flux in RT / glucose uptake ($mmol/mmol\ glc$)]])</f>
        <v>0</v>
      </c>
      <c r="G173">
        <f>_xlfn.RANK.AVG(Table1[[#This Row],[Flux in SC / glucose uptake ($mmol/mmol\ glc$)]],Table1[Flux in SC / glucose uptake ($mmol/mmol\ glc$)])</f>
        <v>1310.5</v>
      </c>
      <c r="H173">
        <f>_xlfn.RANK.AVG(Table1[[#This Row],[Flux in RT / glucose uptake ($mmol/mmol\ glc$)]],Table1[Flux in RT / glucose uptake ($mmol/mmol\ glc$)])</f>
        <v>1290.5</v>
      </c>
      <c r="I173" t="e">
        <f>LOG(Table1[[#This Row],[Flux in SC / glucose uptake ($mmol/mmol\ glc$)]])</f>
        <v>#NUM!</v>
      </c>
      <c r="J173" t="e">
        <f>LOG(Table1[[#This Row],[Flux in RT / glucose uptake ($mmol/mmol\ glc$)]])</f>
        <v>#NUM!</v>
      </c>
      <c r="L173" t="str">
        <v>METAT_c</v>
      </c>
      <c r="M173" t="str">
        <v>Cysteine and methionine metabolism</v>
      </c>
      <c r="N173">
        <v>-2.8076463724064662</v>
      </c>
      <c r="O173">
        <v>-1.9939648008075515</v>
      </c>
    </row>
    <row r="174" spans="1:15" x14ac:dyDescent="0.2">
      <c r="A174" t="s">
        <v>177</v>
      </c>
      <c r="B174" t="s">
        <v>3135</v>
      </c>
      <c r="C174">
        <v>0</v>
      </c>
      <c r="D174">
        <v>0</v>
      </c>
      <c r="E174">
        <f>ABS(Table1[[#This Row],[Flux in SC / glucose uptake ($mmol/mmol\ glc$)]]-Table1[[#This Row],[Flux in RT / glucose uptake ($mmol/mmol\ glc$)]])/SQRT(2)</f>
        <v>0</v>
      </c>
      <c r="F174">
        <f>Table1[[#This Row],[distance from 45-degree line]]/MAX(Table1[[Flux in SC / glucose uptake ($mmol/mmol\ glc$)]:[Flux in RT / glucose uptake ($mmol/mmol\ glc$)]])</f>
        <v>0</v>
      </c>
      <c r="G174">
        <f>_xlfn.RANK.AVG(Table1[[#This Row],[Flux in SC / glucose uptake ($mmol/mmol\ glc$)]],Table1[Flux in SC / glucose uptake ($mmol/mmol\ glc$)])</f>
        <v>1310.5</v>
      </c>
      <c r="H174">
        <f>_xlfn.RANK.AVG(Table1[[#This Row],[Flux in RT / glucose uptake ($mmol/mmol\ glc$)]],Table1[Flux in RT / glucose uptake ($mmol/mmol\ glc$)])</f>
        <v>1290.5</v>
      </c>
      <c r="I174" t="e">
        <f>LOG(Table1[[#This Row],[Flux in SC / glucose uptake ($mmol/mmol\ glc$)]])</f>
        <v>#NUM!</v>
      </c>
      <c r="J174" t="e">
        <f>LOG(Table1[[#This Row],[Flux in RT / glucose uptake ($mmol/mmol\ glc$)]])</f>
        <v>#NUM!</v>
      </c>
      <c r="L174" t="str">
        <v>METS_c</v>
      </c>
      <c r="M174" t="str">
        <v>Cysteine and methionine metabolism</v>
      </c>
      <c r="N174">
        <v>-2.6352695996373861</v>
      </c>
      <c r="O174">
        <v>-1.86729595817412</v>
      </c>
    </row>
    <row r="175" spans="1:15" x14ac:dyDescent="0.2">
      <c r="A175" t="s">
        <v>178</v>
      </c>
      <c r="B175" t="s">
        <v>3135</v>
      </c>
      <c r="C175">
        <v>0</v>
      </c>
      <c r="D175">
        <v>0</v>
      </c>
      <c r="E175">
        <f>ABS(Table1[[#This Row],[Flux in SC / glucose uptake ($mmol/mmol\ glc$)]]-Table1[[#This Row],[Flux in RT / glucose uptake ($mmol/mmol\ glc$)]])/SQRT(2)</f>
        <v>0</v>
      </c>
      <c r="F175">
        <f>Table1[[#This Row],[distance from 45-degree line]]/MAX(Table1[[Flux in SC / glucose uptake ($mmol/mmol\ glc$)]:[Flux in RT / glucose uptake ($mmol/mmol\ glc$)]])</f>
        <v>0</v>
      </c>
      <c r="G175">
        <f>_xlfn.RANK.AVG(Table1[[#This Row],[Flux in SC / glucose uptake ($mmol/mmol\ glc$)]],Table1[Flux in SC / glucose uptake ($mmol/mmol\ glc$)])</f>
        <v>1310.5</v>
      </c>
      <c r="H175">
        <f>_xlfn.RANK.AVG(Table1[[#This Row],[Flux in RT / glucose uptake ($mmol/mmol\ glc$)]],Table1[Flux in RT / glucose uptake ($mmol/mmol\ glc$)])</f>
        <v>1290.5</v>
      </c>
      <c r="I175" t="e">
        <f>LOG(Table1[[#This Row],[Flux in SC / glucose uptake ($mmol/mmol\ glc$)]])</f>
        <v>#NUM!</v>
      </c>
      <c r="J175" t="e">
        <f>LOG(Table1[[#This Row],[Flux in RT / glucose uptake ($mmol/mmol\ glc$)]])</f>
        <v>#NUM!</v>
      </c>
      <c r="L175" t="str">
        <v>MEVK1_c</v>
      </c>
      <c r="M175" t="str">
        <v>Terpenoid backbone biosynthesis</v>
      </c>
      <c r="N175">
        <v>-2.5501896200739957</v>
      </c>
      <c r="O175">
        <v>-1.6331138041248896</v>
      </c>
    </row>
    <row r="176" spans="1:15" x14ac:dyDescent="0.2">
      <c r="A176" t="s">
        <v>179</v>
      </c>
      <c r="B176" t="s">
        <v>3135</v>
      </c>
      <c r="C176">
        <v>0</v>
      </c>
      <c r="D176">
        <v>0</v>
      </c>
      <c r="E176">
        <f>ABS(Table1[[#This Row],[Flux in SC / glucose uptake ($mmol/mmol\ glc$)]]-Table1[[#This Row],[Flux in RT / glucose uptake ($mmol/mmol\ glc$)]])/SQRT(2)</f>
        <v>0</v>
      </c>
      <c r="F176">
        <f>Table1[[#This Row],[distance from 45-degree line]]/MAX(Table1[[Flux in SC / glucose uptake ($mmol/mmol\ glc$)]:[Flux in RT / glucose uptake ($mmol/mmol\ glc$)]])</f>
        <v>0</v>
      </c>
      <c r="G176">
        <f>_xlfn.RANK.AVG(Table1[[#This Row],[Flux in SC / glucose uptake ($mmol/mmol\ glc$)]],Table1[Flux in SC / glucose uptake ($mmol/mmol\ glc$)])</f>
        <v>1310.5</v>
      </c>
      <c r="H176">
        <f>_xlfn.RANK.AVG(Table1[[#This Row],[Flux in RT / glucose uptake ($mmol/mmol\ glc$)]],Table1[Flux in RT / glucose uptake ($mmol/mmol\ glc$)])</f>
        <v>1290.5</v>
      </c>
      <c r="I176" t="e">
        <f>LOG(Table1[[#This Row],[Flux in SC / glucose uptake ($mmol/mmol\ glc$)]])</f>
        <v>#NUM!</v>
      </c>
      <c r="J176" t="e">
        <f>LOG(Table1[[#This Row],[Flux in RT / glucose uptake ($mmol/mmol\ glc$)]])</f>
        <v>#NUM!</v>
      </c>
      <c r="L176" t="str">
        <v>MG2t_c_e</v>
      </c>
      <c r="M176" t="str">
        <v>Transport</v>
      </c>
      <c r="N176">
        <v>-3.0466667900684339</v>
      </c>
      <c r="O176">
        <v>-2.3361225554524609</v>
      </c>
    </row>
    <row r="177" spans="1:15" x14ac:dyDescent="0.2">
      <c r="A177" t="s">
        <v>180</v>
      </c>
      <c r="B177" t="s">
        <v>3125</v>
      </c>
      <c r="C177">
        <v>0</v>
      </c>
      <c r="D177">
        <v>0</v>
      </c>
      <c r="E177">
        <f>ABS(Table1[[#This Row],[Flux in SC / glucose uptake ($mmol/mmol\ glc$)]]-Table1[[#This Row],[Flux in RT / glucose uptake ($mmol/mmol\ glc$)]])/SQRT(2)</f>
        <v>0</v>
      </c>
      <c r="F177">
        <f>Table1[[#This Row],[distance from 45-degree line]]/MAX(Table1[[Flux in SC / glucose uptake ($mmol/mmol\ glc$)]:[Flux in RT / glucose uptake ($mmol/mmol\ glc$)]])</f>
        <v>0</v>
      </c>
      <c r="G177">
        <f>_xlfn.RANK.AVG(Table1[[#This Row],[Flux in SC / glucose uptake ($mmol/mmol\ glc$)]],Table1[Flux in SC / glucose uptake ($mmol/mmol\ glc$)])</f>
        <v>1310.5</v>
      </c>
      <c r="H177">
        <f>_xlfn.RANK.AVG(Table1[[#This Row],[Flux in RT / glucose uptake ($mmol/mmol\ glc$)]],Table1[Flux in RT / glucose uptake ($mmol/mmol\ glc$)])</f>
        <v>1290.5</v>
      </c>
      <c r="I177" t="e">
        <f>LOG(Table1[[#This Row],[Flux in SC / glucose uptake ($mmol/mmol\ glc$)]])</f>
        <v>#NUM!</v>
      </c>
      <c r="J177" t="e">
        <f>LOG(Table1[[#This Row],[Flux in RT / glucose uptake ($mmol/mmol\ glc$)]])</f>
        <v>#NUM!</v>
      </c>
      <c r="L177" t="str">
        <v>MGSA_c</v>
      </c>
      <c r="M177" t="str">
        <v>Methylglyoxal metabolism</v>
      </c>
      <c r="N177">
        <v>-8.4423686491515095</v>
      </c>
      <c r="O177">
        <v>-1.6456775606788778</v>
      </c>
    </row>
    <row r="178" spans="1:15" x14ac:dyDescent="0.2">
      <c r="A178" t="s">
        <v>181</v>
      </c>
      <c r="B178" t="s">
        <v>3114</v>
      </c>
      <c r="C178">
        <v>0</v>
      </c>
      <c r="D178">
        <v>0</v>
      </c>
      <c r="E178">
        <f>ABS(Table1[[#This Row],[Flux in SC / glucose uptake ($mmol/mmol\ glc$)]]-Table1[[#This Row],[Flux in RT / glucose uptake ($mmol/mmol\ glc$)]])/SQRT(2)</f>
        <v>0</v>
      </c>
      <c r="F178">
        <f>Table1[[#This Row],[distance from 45-degree line]]/MAX(Table1[[Flux in SC / glucose uptake ($mmol/mmol\ glc$)]:[Flux in RT / glucose uptake ($mmol/mmol\ glc$)]])</f>
        <v>0</v>
      </c>
      <c r="G178">
        <f>_xlfn.RANK.AVG(Table1[[#This Row],[Flux in SC / glucose uptake ($mmol/mmol\ glc$)]],Table1[Flux in SC / glucose uptake ($mmol/mmol\ glc$)])</f>
        <v>1310.5</v>
      </c>
      <c r="H178">
        <f>_xlfn.RANK.AVG(Table1[[#This Row],[Flux in RT / glucose uptake ($mmol/mmol\ glc$)]],Table1[Flux in RT / glucose uptake ($mmol/mmol\ glc$)])</f>
        <v>1290.5</v>
      </c>
      <c r="I178" t="e">
        <f>LOG(Table1[[#This Row],[Flux in SC / glucose uptake ($mmol/mmol\ glc$)]])</f>
        <v>#NUM!</v>
      </c>
      <c r="J178" t="e">
        <f>LOG(Table1[[#This Row],[Flux in RT / glucose uptake ($mmol/mmol\ glc$)]])</f>
        <v>#NUM!</v>
      </c>
      <c r="L178" t="str">
        <v>MI1PP_c</v>
      </c>
      <c r="M178" t="str">
        <v>Inositol phosphate metabolism</v>
      </c>
      <c r="N178">
        <v>-3.8203011387897292</v>
      </c>
      <c r="O178">
        <v>-3.0285657844618776</v>
      </c>
    </row>
    <row r="179" spans="1:15" x14ac:dyDescent="0.2">
      <c r="A179" t="s">
        <v>182</v>
      </c>
      <c r="B179" t="s">
        <v>3114</v>
      </c>
      <c r="C179">
        <v>7.2220642295365566E-9</v>
      </c>
      <c r="D179">
        <v>0</v>
      </c>
      <c r="E179">
        <f>ABS(Table1[[#This Row],[Flux in SC / glucose uptake ($mmol/mmol\ glc$)]]-Table1[[#This Row],[Flux in RT / glucose uptake ($mmol/mmol\ glc$)]])/SQRT(2)</f>
        <v>5.1067705908700977E-9</v>
      </c>
      <c r="F179">
        <f>Table1[[#This Row],[distance from 45-degree line]]/MAX(Table1[[Flux in SC / glucose uptake ($mmol/mmol\ glc$)]:[Flux in RT / glucose uptake ($mmol/mmol\ glc$)]])</f>
        <v>2.752491076859178E-10</v>
      </c>
      <c r="G179">
        <f>_xlfn.RANK.AVG(Table1[[#This Row],[Flux in SC / glucose uptake ($mmol/mmol\ glc$)]],Table1[Flux in SC / glucose uptake ($mmol/mmol\ glc$)])</f>
        <v>291.5</v>
      </c>
      <c r="H179">
        <f>_xlfn.RANK.AVG(Table1[[#This Row],[Flux in RT / glucose uptake ($mmol/mmol\ glc$)]],Table1[Flux in RT / glucose uptake ($mmol/mmol\ glc$)])</f>
        <v>1290.5</v>
      </c>
      <c r="I179">
        <f>LOG(Table1[[#This Row],[Flux in SC / glucose uptake ($mmol/mmol\ glc$)]])</f>
        <v>-8.1413386534875283</v>
      </c>
      <c r="J179" t="e">
        <f>LOG(Table1[[#This Row],[Flux in RT / glucose uptake ($mmol/mmol\ glc$)]])</f>
        <v>#NUM!</v>
      </c>
      <c r="L179" t="str">
        <v>MN2t_c_e</v>
      </c>
      <c r="M179" t="str">
        <v>Transport</v>
      </c>
      <c r="N179">
        <v>-5.8770438491939831</v>
      </c>
      <c r="O179">
        <v>-5.1664996145780098</v>
      </c>
    </row>
    <row r="180" spans="1:15" x14ac:dyDescent="0.2">
      <c r="A180" t="s">
        <v>183</v>
      </c>
      <c r="B180" t="s">
        <v>3123</v>
      </c>
      <c r="C180">
        <v>0</v>
      </c>
      <c r="D180">
        <v>0</v>
      </c>
      <c r="E180">
        <f>ABS(Table1[[#This Row],[Flux in SC / glucose uptake ($mmol/mmol\ glc$)]]-Table1[[#This Row],[Flux in RT / glucose uptake ($mmol/mmol\ glc$)]])/SQRT(2)</f>
        <v>0</v>
      </c>
      <c r="F180">
        <f>Table1[[#This Row],[distance from 45-degree line]]/MAX(Table1[[Flux in SC / glucose uptake ($mmol/mmol\ glc$)]:[Flux in RT / glucose uptake ($mmol/mmol\ glc$)]])</f>
        <v>0</v>
      </c>
      <c r="G180">
        <f>_xlfn.RANK.AVG(Table1[[#This Row],[Flux in SC / glucose uptake ($mmol/mmol\ glc$)]],Table1[Flux in SC / glucose uptake ($mmol/mmol\ glc$)])</f>
        <v>1310.5</v>
      </c>
      <c r="H180">
        <f>_xlfn.RANK.AVG(Table1[[#This Row],[Flux in RT / glucose uptake ($mmol/mmol\ glc$)]],Table1[Flux in RT / glucose uptake ($mmol/mmol\ glc$)])</f>
        <v>1290.5</v>
      </c>
      <c r="I180" t="e">
        <f>LOG(Table1[[#This Row],[Flux in SC / glucose uptake ($mmol/mmol\ glc$)]])</f>
        <v>#NUM!</v>
      </c>
      <c r="J180" t="e">
        <f>LOG(Table1[[#This Row],[Flux in RT / glucose uptake ($mmol/mmol\ glc$)]])</f>
        <v>#NUM!</v>
      </c>
      <c r="L180" t="str">
        <v>MTHFC_c</v>
      </c>
      <c r="M180" t="str">
        <v>Folate metabolism</v>
      </c>
      <c r="N180">
        <v>-1.105527669795543</v>
      </c>
      <c r="O180">
        <v>-0.20078712024543816</v>
      </c>
    </row>
    <row r="181" spans="1:15" x14ac:dyDescent="0.2">
      <c r="A181" t="s">
        <v>184</v>
      </c>
      <c r="B181" t="s">
        <v>3114</v>
      </c>
      <c r="C181">
        <v>0</v>
      </c>
      <c r="D181">
        <v>0</v>
      </c>
      <c r="E181">
        <f>ABS(Table1[[#This Row],[Flux in SC / glucose uptake ($mmol/mmol\ glc$)]]-Table1[[#This Row],[Flux in RT / glucose uptake ($mmol/mmol\ glc$)]])/SQRT(2)</f>
        <v>0</v>
      </c>
      <c r="F181">
        <f>Table1[[#This Row],[distance from 45-degree line]]/MAX(Table1[[Flux in SC / glucose uptake ($mmol/mmol\ glc$)]:[Flux in RT / glucose uptake ($mmol/mmol\ glc$)]])</f>
        <v>0</v>
      </c>
      <c r="G181">
        <f>_xlfn.RANK.AVG(Table1[[#This Row],[Flux in SC / glucose uptake ($mmol/mmol\ glc$)]],Table1[Flux in SC / glucose uptake ($mmol/mmol\ glc$)])</f>
        <v>1310.5</v>
      </c>
      <c r="H181">
        <f>_xlfn.RANK.AVG(Table1[[#This Row],[Flux in RT / glucose uptake ($mmol/mmol\ glc$)]],Table1[Flux in RT / glucose uptake ($mmol/mmol\ glc$)])</f>
        <v>1290.5</v>
      </c>
      <c r="I181" t="e">
        <f>LOG(Table1[[#This Row],[Flux in SC / glucose uptake ($mmol/mmol\ glc$)]])</f>
        <v>#NUM!</v>
      </c>
      <c r="J181" t="e">
        <f>LOG(Table1[[#This Row],[Flux in RT / glucose uptake ($mmol/mmol\ glc$)]])</f>
        <v>#NUM!</v>
      </c>
      <c r="L181" t="str">
        <v>MTHFC_m</v>
      </c>
      <c r="M181" t="str">
        <v>Folate metabolism</v>
      </c>
      <c r="N181">
        <v>-1.7514053309532274</v>
      </c>
      <c r="O181">
        <v>-0.76727297474992184</v>
      </c>
    </row>
    <row r="182" spans="1:15" x14ac:dyDescent="0.2">
      <c r="A182" t="s">
        <v>185</v>
      </c>
      <c r="B182" t="s">
        <v>3114</v>
      </c>
      <c r="C182">
        <v>0</v>
      </c>
      <c r="D182">
        <v>0</v>
      </c>
      <c r="E182">
        <f>ABS(Table1[[#This Row],[Flux in SC / glucose uptake ($mmol/mmol\ glc$)]]-Table1[[#This Row],[Flux in RT / glucose uptake ($mmol/mmol\ glc$)]])/SQRT(2)</f>
        <v>0</v>
      </c>
      <c r="F182">
        <f>Table1[[#This Row],[distance from 45-degree line]]/MAX(Table1[[Flux in SC / glucose uptake ($mmol/mmol\ glc$)]:[Flux in RT / glucose uptake ($mmol/mmol\ glc$)]])</f>
        <v>0</v>
      </c>
      <c r="G182">
        <f>_xlfn.RANK.AVG(Table1[[#This Row],[Flux in SC / glucose uptake ($mmol/mmol\ glc$)]],Table1[Flux in SC / glucose uptake ($mmol/mmol\ glc$)])</f>
        <v>1310.5</v>
      </c>
      <c r="H182">
        <f>_xlfn.RANK.AVG(Table1[[#This Row],[Flux in RT / glucose uptake ($mmol/mmol\ glc$)]],Table1[Flux in RT / glucose uptake ($mmol/mmol\ glc$)])</f>
        <v>1290.5</v>
      </c>
      <c r="I182" t="e">
        <f>LOG(Table1[[#This Row],[Flux in SC / glucose uptake ($mmol/mmol\ glc$)]])</f>
        <v>#NUM!</v>
      </c>
      <c r="J182" t="e">
        <f>LOG(Table1[[#This Row],[Flux in RT / glucose uptake ($mmol/mmol\ glc$)]])</f>
        <v>#NUM!</v>
      </c>
      <c r="L182" t="str">
        <v>MTHFD_c</v>
      </c>
      <c r="M182" t="str">
        <v>Folate metabolism</v>
      </c>
      <c r="N182">
        <v>-1.1586315021315743</v>
      </c>
      <c r="O182">
        <v>-0.97594784616765329</v>
      </c>
    </row>
    <row r="183" spans="1:15" x14ac:dyDescent="0.2">
      <c r="A183" t="s">
        <v>186</v>
      </c>
      <c r="B183" t="s">
        <v>3137</v>
      </c>
      <c r="C183">
        <v>0</v>
      </c>
      <c r="D183">
        <v>0</v>
      </c>
      <c r="E183">
        <f>ABS(Table1[[#This Row],[Flux in SC / glucose uptake ($mmol/mmol\ glc$)]]-Table1[[#This Row],[Flux in RT / glucose uptake ($mmol/mmol\ glc$)]])/SQRT(2)</f>
        <v>0</v>
      </c>
      <c r="F183">
        <f>Table1[[#This Row],[distance from 45-degree line]]/MAX(Table1[[Flux in SC / glucose uptake ($mmol/mmol\ glc$)]:[Flux in RT / glucose uptake ($mmol/mmol\ glc$)]])</f>
        <v>0</v>
      </c>
      <c r="G183">
        <f>_xlfn.RANK.AVG(Table1[[#This Row],[Flux in SC / glucose uptake ($mmol/mmol\ glc$)]],Table1[Flux in SC / glucose uptake ($mmol/mmol\ glc$)])</f>
        <v>1310.5</v>
      </c>
      <c r="H183">
        <f>_xlfn.RANK.AVG(Table1[[#This Row],[Flux in RT / glucose uptake ($mmol/mmol\ glc$)]],Table1[Flux in RT / glucose uptake ($mmol/mmol\ glc$)])</f>
        <v>1290.5</v>
      </c>
      <c r="I183" t="e">
        <f>LOG(Table1[[#This Row],[Flux in SC / glucose uptake ($mmol/mmol\ glc$)]])</f>
        <v>#NUM!</v>
      </c>
      <c r="J183" t="e">
        <f>LOG(Table1[[#This Row],[Flux in RT / glucose uptake ($mmol/mmol\ glc$)]])</f>
        <v>#NUM!</v>
      </c>
      <c r="L183" t="str">
        <v>MTHFD_m</v>
      </c>
      <c r="M183" t="str">
        <v>Folate metabolism</v>
      </c>
      <c r="N183">
        <v>-1.7514053309532274</v>
      </c>
      <c r="O183">
        <v>-0.76727297474992184</v>
      </c>
    </row>
    <row r="184" spans="1:15" x14ac:dyDescent="0.2">
      <c r="A184" t="s">
        <v>187</v>
      </c>
      <c r="B184" t="s">
        <v>3138</v>
      </c>
      <c r="C184">
        <v>0</v>
      </c>
      <c r="D184">
        <v>0</v>
      </c>
      <c r="E184">
        <f>ABS(Table1[[#This Row],[Flux in SC / glucose uptake ($mmol/mmol\ glc$)]]-Table1[[#This Row],[Flux in RT / glucose uptake ($mmol/mmol\ glc$)]])/SQRT(2)</f>
        <v>0</v>
      </c>
      <c r="F184">
        <f>Table1[[#This Row],[distance from 45-degree line]]/MAX(Table1[[Flux in SC / glucose uptake ($mmol/mmol\ glc$)]:[Flux in RT / glucose uptake ($mmol/mmol\ glc$)]])</f>
        <v>0</v>
      </c>
      <c r="G184">
        <f>_xlfn.RANK.AVG(Table1[[#This Row],[Flux in SC / glucose uptake ($mmol/mmol\ glc$)]],Table1[Flux in SC / glucose uptake ($mmol/mmol\ glc$)])</f>
        <v>1310.5</v>
      </c>
      <c r="H184">
        <f>_xlfn.RANK.AVG(Table1[[#This Row],[Flux in RT / glucose uptake ($mmol/mmol\ glc$)]],Table1[Flux in RT / glucose uptake ($mmol/mmol\ glc$)])</f>
        <v>1290.5</v>
      </c>
      <c r="I184" t="e">
        <f>LOG(Table1[[#This Row],[Flux in SC / glucose uptake ($mmol/mmol\ glc$)]])</f>
        <v>#NUM!</v>
      </c>
      <c r="J184" t="e">
        <f>LOG(Table1[[#This Row],[Flux in RT / glucose uptake ($mmol/mmol\ glc$)]])</f>
        <v>#NUM!</v>
      </c>
      <c r="L184" t="str">
        <v>MTHFD2i_c</v>
      </c>
      <c r="M184" t="str">
        <v>Folate metabolism</v>
      </c>
      <c r="N184">
        <v>-2.0444675117108249</v>
      </c>
      <c r="O184">
        <v>-0.28056895025757667</v>
      </c>
    </row>
    <row r="185" spans="1:15" x14ac:dyDescent="0.2">
      <c r="A185" t="s">
        <v>188</v>
      </c>
      <c r="B185" t="s">
        <v>3125</v>
      </c>
      <c r="C185">
        <v>0</v>
      </c>
      <c r="D185">
        <v>0</v>
      </c>
      <c r="E185">
        <f>ABS(Table1[[#This Row],[Flux in SC / glucose uptake ($mmol/mmol\ glc$)]]-Table1[[#This Row],[Flux in RT / glucose uptake ($mmol/mmol\ glc$)]])/SQRT(2)</f>
        <v>0</v>
      </c>
      <c r="F185">
        <f>Table1[[#This Row],[distance from 45-degree line]]/MAX(Table1[[Flux in SC / glucose uptake ($mmol/mmol\ glc$)]:[Flux in RT / glucose uptake ($mmol/mmol\ glc$)]])</f>
        <v>0</v>
      </c>
      <c r="G185">
        <f>_xlfn.RANK.AVG(Table1[[#This Row],[Flux in SC / glucose uptake ($mmol/mmol\ glc$)]],Table1[Flux in SC / glucose uptake ($mmol/mmol\ glc$)])</f>
        <v>1310.5</v>
      </c>
      <c r="H185">
        <f>_xlfn.RANK.AVG(Table1[[#This Row],[Flux in RT / glucose uptake ($mmol/mmol\ glc$)]],Table1[Flux in RT / glucose uptake ($mmol/mmol\ glc$)])</f>
        <v>1290.5</v>
      </c>
      <c r="I185" t="e">
        <f>LOG(Table1[[#This Row],[Flux in SC / glucose uptake ($mmol/mmol\ glc$)]])</f>
        <v>#NUM!</v>
      </c>
      <c r="J185" t="e">
        <f>LOG(Table1[[#This Row],[Flux in RT / glucose uptake ($mmol/mmol\ glc$)]])</f>
        <v>#NUM!</v>
      </c>
      <c r="L185" t="str">
        <v>MTHFR3_c</v>
      </c>
      <c r="M185" t="str">
        <v>Folate metabolism</v>
      </c>
      <c r="N185">
        <v>-2.6352695996373861</v>
      </c>
      <c r="O185">
        <v>-1.86729595817412</v>
      </c>
    </row>
    <row r="186" spans="1:15" x14ac:dyDescent="0.2">
      <c r="A186" t="s">
        <v>189</v>
      </c>
      <c r="B186" t="s">
        <v>3125</v>
      </c>
      <c r="C186">
        <v>0</v>
      </c>
      <c r="D186">
        <v>0</v>
      </c>
      <c r="E186">
        <f>ABS(Table1[[#This Row],[Flux in SC / glucose uptake ($mmol/mmol\ glc$)]]-Table1[[#This Row],[Flux in RT / glucose uptake ($mmol/mmol\ glc$)]])/SQRT(2)</f>
        <v>0</v>
      </c>
      <c r="F186">
        <f>Table1[[#This Row],[distance from 45-degree line]]/MAX(Table1[[Flux in SC / glucose uptake ($mmol/mmol\ glc$)]:[Flux in RT / glucose uptake ($mmol/mmol\ glc$)]])</f>
        <v>0</v>
      </c>
      <c r="G186">
        <f>_xlfn.RANK.AVG(Table1[[#This Row],[Flux in SC / glucose uptake ($mmol/mmol\ glc$)]],Table1[Flux in SC / glucose uptake ($mmol/mmol\ glc$)])</f>
        <v>1310.5</v>
      </c>
      <c r="H186">
        <f>_xlfn.RANK.AVG(Table1[[#This Row],[Flux in RT / glucose uptake ($mmol/mmol\ glc$)]],Table1[Flux in RT / glucose uptake ($mmol/mmol\ glc$)])</f>
        <v>1290.5</v>
      </c>
      <c r="I186" t="e">
        <f>LOG(Table1[[#This Row],[Flux in SC / glucose uptake ($mmol/mmol\ glc$)]])</f>
        <v>#NUM!</v>
      </c>
      <c r="J186" t="e">
        <f>LOG(Table1[[#This Row],[Flux in RT / glucose uptake ($mmol/mmol\ glc$)]])</f>
        <v>#NUM!</v>
      </c>
      <c r="L186" t="str">
        <v>NDPK1_c</v>
      </c>
      <c r="M186" t="str">
        <v>Purine metabolism</v>
      </c>
      <c r="N186">
        <v>-2.02274233064428</v>
      </c>
      <c r="O186">
        <v>-1.2650168608740884</v>
      </c>
    </row>
    <row r="187" spans="1:15" x14ac:dyDescent="0.2">
      <c r="A187" t="s">
        <v>190</v>
      </c>
      <c r="B187" t="s">
        <v>3139</v>
      </c>
      <c r="C187">
        <v>1.9904670694253902E-4</v>
      </c>
      <c r="D187">
        <v>1.1734332811037241E-3</v>
      </c>
      <c r="E187">
        <f>ABS(Table1[[#This Row],[Flux in SC / glucose uptake ($mmol/mmol\ glc$)]]-Table1[[#This Row],[Flux in RT / glucose uptake ($mmol/mmol\ glc$)]])/SQRT(2)</f>
        <v>6.8899535408650271E-4</v>
      </c>
      <c r="F187">
        <f>Table1[[#This Row],[distance from 45-degree line]]/MAX(Table1[[Flux in SC / glucose uptake ($mmol/mmol\ glc$)]:[Flux in RT / glucose uptake ($mmol/mmol\ glc$)]])</f>
        <v>3.7136063396131692E-5</v>
      </c>
      <c r="G187">
        <f>_xlfn.RANK.AVG(Table1[[#This Row],[Flux in SC / glucose uptake ($mmol/mmol\ glc$)]],Table1[Flux in SC / glucose uptake ($mmol/mmol\ glc$)])</f>
        <v>258</v>
      </c>
      <c r="H187">
        <f>_xlfn.RANK.AVG(Table1[[#This Row],[Flux in RT / glucose uptake ($mmol/mmol\ glc$)]],Table1[Flux in RT / glucose uptake ($mmol/mmol\ glc$)])</f>
        <v>254</v>
      </c>
      <c r="I187">
        <f>LOG(Table1[[#This Row],[Flux in SC / glucose uptake ($mmol/mmol\ glc$)]])</f>
        <v>-3.7010450030510671</v>
      </c>
      <c r="J187">
        <f>LOG(Table1[[#This Row],[Flux in RT / glucose uptake ($mmol/mmol\ glc$)]])</f>
        <v>-2.9305415984149601</v>
      </c>
      <c r="L187" t="str">
        <v>NDPK2_c</v>
      </c>
      <c r="M187" t="str">
        <v>Purine metabolism</v>
      </c>
      <c r="N187">
        <v>-1.7391983668549382</v>
      </c>
      <c r="O187">
        <v>-0.97987625007200307</v>
      </c>
    </row>
    <row r="188" spans="1:15" x14ac:dyDescent="0.2">
      <c r="A188" t="s">
        <v>191</v>
      </c>
      <c r="B188" t="s">
        <v>3140</v>
      </c>
      <c r="C188">
        <v>0</v>
      </c>
      <c r="D188">
        <v>0</v>
      </c>
      <c r="E188">
        <f>ABS(Table1[[#This Row],[Flux in SC / glucose uptake ($mmol/mmol\ glc$)]]-Table1[[#This Row],[Flux in RT / glucose uptake ($mmol/mmol\ glc$)]])/SQRT(2)</f>
        <v>0</v>
      </c>
      <c r="F188">
        <f>Table1[[#This Row],[distance from 45-degree line]]/MAX(Table1[[Flux in SC / glucose uptake ($mmol/mmol\ glc$)]:[Flux in RT / glucose uptake ($mmol/mmol\ glc$)]])</f>
        <v>0</v>
      </c>
      <c r="G188">
        <f>_xlfn.RANK.AVG(Table1[[#This Row],[Flux in SC / glucose uptake ($mmol/mmol\ glc$)]],Table1[Flux in SC / glucose uptake ($mmol/mmol\ glc$)])</f>
        <v>1310.5</v>
      </c>
      <c r="H188">
        <f>_xlfn.RANK.AVG(Table1[[#This Row],[Flux in RT / glucose uptake ($mmol/mmol\ glc$)]],Table1[Flux in RT / glucose uptake ($mmol/mmol\ glc$)])</f>
        <v>1290.5</v>
      </c>
      <c r="I188" t="e">
        <f>LOG(Table1[[#This Row],[Flux in SC / glucose uptake ($mmol/mmol\ glc$)]])</f>
        <v>#NUM!</v>
      </c>
      <c r="J188" t="e">
        <f>LOG(Table1[[#This Row],[Flux in RT / glucose uptake ($mmol/mmol\ glc$)]])</f>
        <v>#NUM!</v>
      </c>
      <c r="L188" t="str">
        <v>NDPK3_c</v>
      </c>
      <c r="M188" t="str">
        <v>Purine metabolism</v>
      </c>
      <c r="N188">
        <v>-3.1822496314980362</v>
      </c>
      <c r="O188">
        <v>-2.4704870678171003</v>
      </c>
    </row>
    <row r="189" spans="1:15" x14ac:dyDescent="0.2">
      <c r="A189" t="s">
        <v>192</v>
      </c>
      <c r="B189" t="s">
        <v>3140</v>
      </c>
      <c r="C189">
        <v>0</v>
      </c>
      <c r="D189">
        <v>0</v>
      </c>
      <c r="E189">
        <f>ABS(Table1[[#This Row],[Flux in SC / glucose uptake ($mmol/mmol\ glc$)]]-Table1[[#This Row],[Flux in RT / glucose uptake ($mmol/mmol\ glc$)]])/SQRT(2)</f>
        <v>0</v>
      </c>
      <c r="F189">
        <f>Table1[[#This Row],[distance from 45-degree line]]/MAX(Table1[[Flux in SC / glucose uptake ($mmol/mmol\ glc$)]:[Flux in RT / glucose uptake ($mmol/mmol\ glc$)]])</f>
        <v>0</v>
      </c>
      <c r="G189">
        <f>_xlfn.RANK.AVG(Table1[[#This Row],[Flux in SC / glucose uptake ($mmol/mmol\ glc$)]],Table1[Flux in SC / glucose uptake ($mmol/mmol\ glc$)])</f>
        <v>1310.5</v>
      </c>
      <c r="H189">
        <f>_xlfn.RANK.AVG(Table1[[#This Row],[Flux in RT / glucose uptake ($mmol/mmol\ glc$)]],Table1[Flux in RT / glucose uptake ($mmol/mmol\ glc$)])</f>
        <v>1290.5</v>
      </c>
      <c r="I189" t="e">
        <f>LOG(Table1[[#This Row],[Flux in SC / glucose uptake ($mmol/mmol\ glc$)]])</f>
        <v>#NUM!</v>
      </c>
      <c r="J189" t="e">
        <f>LOG(Table1[[#This Row],[Flux in RT / glucose uptake ($mmol/mmol\ glc$)]])</f>
        <v>#NUM!</v>
      </c>
      <c r="L189" t="str">
        <v>NDPK4_c</v>
      </c>
      <c r="M189" t="str">
        <v>Purine metabolism</v>
      </c>
      <c r="N189">
        <v>-4.2532448884507108</v>
      </c>
      <c r="O189">
        <v>-3.36082526416447</v>
      </c>
    </row>
    <row r="190" spans="1:15" x14ac:dyDescent="0.2">
      <c r="A190" t="s">
        <v>193</v>
      </c>
      <c r="B190" t="s">
        <v>3139</v>
      </c>
      <c r="C190">
        <v>1.9904670694253902E-4</v>
      </c>
      <c r="D190">
        <v>1.1734332811037241E-3</v>
      </c>
      <c r="E190">
        <f>ABS(Table1[[#This Row],[Flux in SC / glucose uptake ($mmol/mmol\ glc$)]]-Table1[[#This Row],[Flux in RT / glucose uptake ($mmol/mmol\ glc$)]])/SQRT(2)</f>
        <v>6.8899535408650271E-4</v>
      </c>
      <c r="F190">
        <f>Table1[[#This Row],[distance from 45-degree line]]/MAX(Table1[[Flux in SC / glucose uptake ($mmol/mmol\ glc$)]:[Flux in RT / glucose uptake ($mmol/mmol\ glc$)]])</f>
        <v>3.7136063396131692E-5</v>
      </c>
      <c r="G190">
        <f>_xlfn.RANK.AVG(Table1[[#This Row],[Flux in SC / glucose uptake ($mmol/mmol\ glc$)]],Table1[Flux in SC / glucose uptake ($mmol/mmol\ glc$)])</f>
        <v>258</v>
      </c>
      <c r="H190">
        <f>_xlfn.RANK.AVG(Table1[[#This Row],[Flux in RT / glucose uptake ($mmol/mmol\ glc$)]],Table1[Flux in RT / glucose uptake ($mmol/mmol\ glc$)])</f>
        <v>254</v>
      </c>
      <c r="I190">
        <f>LOG(Table1[[#This Row],[Flux in SC / glucose uptake ($mmol/mmol\ glc$)]])</f>
        <v>-3.7010450030510671</v>
      </c>
      <c r="J190">
        <f>LOG(Table1[[#This Row],[Flux in RT / glucose uptake ($mmol/mmol\ glc$)]])</f>
        <v>-2.9305415984149601</v>
      </c>
      <c r="L190" t="str">
        <v>NDPK5_c</v>
      </c>
      <c r="M190" t="str">
        <v>Purine metabolism</v>
      </c>
      <c r="N190">
        <v>-4.4239858775491703</v>
      </c>
      <c r="O190">
        <v>-3.1674709323182149</v>
      </c>
    </row>
    <row r="191" spans="1:15" x14ac:dyDescent="0.2">
      <c r="A191" t="s">
        <v>194</v>
      </c>
      <c r="B191" t="s">
        <v>3134</v>
      </c>
      <c r="C191">
        <v>3.595805982781375E-3</v>
      </c>
      <c r="D191">
        <v>0.10694421653893678</v>
      </c>
      <c r="E191">
        <f>ABS(Table1[[#This Row],[Flux in SC / glucose uptake ($mmol/mmol\ glc$)]]-Table1[[#This Row],[Flux in RT / glucose uptake ($mmol/mmol\ glc$)]])/SQRT(2)</f>
        <v>7.3078361929108854E-2</v>
      </c>
      <c r="F191">
        <f>Table1[[#This Row],[distance from 45-degree line]]/MAX(Table1[[Flux in SC / glucose uptake ($mmol/mmol\ glc$)]:[Flux in RT / glucose uptake ($mmol/mmol\ glc$)]])</f>
        <v>3.9388403207492786E-3</v>
      </c>
      <c r="G191">
        <f>_xlfn.RANK.AVG(Table1[[#This Row],[Flux in SC / glucose uptake ($mmol/mmol\ glc$)]],Table1[Flux in SC / glucose uptake ($mmol/mmol\ glc$)])</f>
        <v>154</v>
      </c>
      <c r="H191">
        <f>_xlfn.RANK.AVG(Table1[[#This Row],[Flux in RT / glucose uptake ($mmol/mmol\ glc$)]],Table1[Flux in RT / glucose uptake ($mmol/mmol\ glc$)])</f>
        <v>85.5</v>
      </c>
      <c r="I191">
        <f>LOG(Table1[[#This Row],[Flux in SC / glucose uptake ($mmol/mmol\ glc$)]])</f>
        <v>-2.4442037493305238</v>
      </c>
      <c r="J191">
        <f>LOG(Table1[[#This Row],[Flux in RT / glucose uptake ($mmol/mmol\ glc$)]])</f>
        <v>-0.97084269676932011</v>
      </c>
      <c r="L191" t="str">
        <v>NDPK6_c</v>
      </c>
      <c r="M191" t="str">
        <v>Purine metabolism</v>
      </c>
      <c r="N191">
        <v>-4.2532448884507108</v>
      </c>
      <c r="O191">
        <v>-3.36082526416447</v>
      </c>
    </row>
    <row r="192" spans="1:15" x14ac:dyDescent="0.2">
      <c r="A192" t="s">
        <v>195</v>
      </c>
      <c r="B192" t="s">
        <v>3134</v>
      </c>
      <c r="C192">
        <v>0</v>
      </c>
      <c r="D192">
        <v>0</v>
      </c>
      <c r="E192">
        <f>ABS(Table1[[#This Row],[Flux in SC / glucose uptake ($mmol/mmol\ glc$)]]-Table1[[#This Row],[Flux in RT / glucose uptake ($mmol/mmol\ glc$)]])/SQRT(2)</f>
        <v>0</v>
      </c>
      <c r="F192">
        <f>Table1[[#This Row],[distance from 45-degree line]]/MAX(Table1[[Flux in SC / glucose uptake ($mmol/mmol\ glc$)]:[Flux in RT / glucose uptake ($mmol/mmol\ glc$)]])</f>
        <v>0</v>
      </c>
      <c r="G192">
        <f>_xlfn.RANK.AVG(Table1[[#This Row],[Flux in SC / glucose uptake ($mmol/mmol\ glc$)]],Table1[Flux in SC / glucose uptake ($mmol/mmol\ glc$)])</f>
        <v>1310.5</v>
      </c>
      <c r="H192">
        <f>_xlfn.RANK.AVG(Table1[[#This Row],[Flux in RT / glucose uptake ($mmol/mmol\ glc$)]],Table1[Flux in RT / glucose uptake ($mmol/mmol\ glc$)])</f>
        <v>1290.5</v>
      </c>
      <c r="I192" t="e">
        <f>LOG(Table1[[#This Row],[Flux in SC / glucose uptake ($mmol/mmol\ glc$)]])</f>
        <v>#NUM!</v>
      </c>
      <c r="J192" t="e">
        <f>LOG(Table1[[#This Row],[Flux in RT / glucose uptake ($mmol/mmol\ glc$)]])</f>
        <v>#NUM!</v>
      </c>
      <c r="L192" t="str">
        <v>NDPK7_c</v>
      </c>
      <c r="M192" t="str">
        <v>Purine metabolism</v>
      </c>
      <c r="N192">
        <v>-4.4239858775491703</v>
      </c>
      <c r="O192">
        <v>-3.1674709323182149</v>
      </c>
    </row>
    <row r="193" spans="1:15" x14ac:dyDescent="0.2">
      <c r="A193" t="s">
        <v>196</v>
      </c>
      <c r="B193" t="s">
        <v>3141</v>
      </c>
      <c r="C193">
        <v>0</v>
      </c>
      <c r="D193">
        <v>0</v>
      </c>
      <c r="E193">
        <f>ABS(Table1[[#This Row],[Flux in SC / glucose uptake ($mmol/mmol\ glc$)]]-Table1[[#This Row],[Flux in RT / glucose uptake ($mmol/mmol\ glc$)]])/SQRT(2)</f>
        <v>0</v>
      </c>
      <c r="F193">
        <f>Table1[[#This Row],[distance from 45-degree line]]/MAX(Table1[[Flux in SC / glucose uptake ($mmol/mmol\ glc$)]:[Flux in RT / glucose uptake ($mmol/mmol\ glc$)]])</f>
        <v>0</v>
      </c>
      <c r="G193">
        <f>_xlfn.RANK.AVG(Table1[[#This Row],[Flux in SC / glucose uptake ($mmol/mmol\ glc$)]],Table1[Flux in SC / glucose uptake ($mmol/mmol\ glc$)])</f>
        <v>1310.5</v>
      </c>
      <c r="H193">
        <f>_xlfn.RANK.AVG(Table1[[#This Row],[Flux in RT / glucose uptake ($mmol/mmol\ glc$)]],Table1[Flux in RT / glucose uptake ($mmol/mmol\ glc$)])</f>
        <v>1290.5</v>
      </c>
      <c r="I193" t="e">
        <f>LOG(Table1[[#This Row],[Flux in SC / glucose uptake ($mmol/mmol\ glc$)]])</f>
        <v>#NUM!</v>
      </c>
      <c r="J193" t="e">
        <f>LOG(Table1[[#This Row],[Flux in RT / glucose uptake ($mmol/mmol\ glc$)]])</f>
        <v>#NUM!</v>
      </c>
      <c r="L193" t="str">
        <v>NDPK8_c</v>
      </c>
      <c r="M193" t="str">
        <v>Purine metabolism</v>
      </c>
      <c r="N193">
        <v>-4.2532448884507108</v>
      </c>
      <c r="O193">
        <v>-3.3608139781089803</v>
      </c>
    </row>
    <row r="194" spans="1:15" x14ac:dyDescent="0.2">
      <c r="A194" t="s">
        <v>197</v>
      </c>
      <c r="B194" t="s">
        <v>3125</v>
      </c>
      <c r="C194">
        <v>0</v>
      </c>
      <c r="D194">
        <v>0</v>
      </c>
      <c r="E194">
        <f>ABS(Table1[[#This Row],[Flux in SC / glucose uptake ($mmol/mmol\ glc$)]]-Table1[[#This Row],[Flux in RT / glucose uptake ($mmol/mmol\ glc$)]])/SQRT(2)</f>
        <v>0</v>
      </c>
      <c r="F194">
        <f>Table1[[#This Row],[distance from 45-degree line]]/MAX(Table1[[Flux in SC / glucose uptake ($mmol/mmol\ glc$)]:[Flux in RT / glucose uptake ($mmol/mmol\ glc$)]])</f>
        <v>0</v>
      </c>
      <c r="G194">
        <f>_xlfn.RANK.AVG(Table1[[#This Row],[Flux in SC / glucose uptake ($mmol/mmol\ glc$)]],Table1[Flux in SC / glucose uptake ($mmol/mmol\ glc$)])</f>
        <v>1310.5</v>
      </c>
      <c r="H194">
        <f>_xlfn.RANK.AVG(Table1[[#This Row],[Flux in RT / glucose uptake ($mmol/mmol\ glc$)]],Table1[Flux in RT / glucose uptake ($mmol/mmol\ glc$)])</f>
        <v>1290.5</v>
      </c>
      <c r="I194" t="e">
        <f>LOG(Table1[[#This Row],[Flux in SC / glucose uptake ($mmol/mmol\ glc$)]])</f>
        <v>#NUM!</v>
      </c>
      <c r="J194" t="e">
        <f>LOG(Table1[[#This Row],[Flux in RT / glucose uptake ($mmol/mmol\ glc$)]])</f>
        <v>#NUM!</v>
      </c>
      <c r="L194" t="str">
        <v>NH4t_c_e</v>
      </c>
      <c r="M194" t="str">
        <v>Transport</v>
      </c>
      <c r="N194">
        <v>-0.94939838469513282</v>
      </c>
      <c r="O194">
        <v>-0.28653405583725028</v>
      </c>
    </row>
    <row r="195" spans="1:15" x14ac:dyDescent="0.2">
      <c r="A195" t="s">
        <v>198</v>
      </c>
      <c r="B195" t="s">
        <v>3142</v>
      </c>
      <c r="C195">
        <v>3.9200637158083385E-3</v>
      </c>
      <c r="D195">
        <v>1.7742087892535847E-2</v>
      </c>
      <c r="E195">
        <f>ABS(Table1[[#This Row],[Flux in SC / glucose uptake ($mmol/mmol\ glc$)]]-Table1[[#This Row],[Flux in RT / glucose uptake ($mmol/mmol\ glc$)]])/SQRT(2)</f>
        <v>9.7736470250884278E-3</v>
      </c>
      <c r="F195">
        <f>Table1[[#This Row],[distance from 45-degree line]]/MAX(Table1[[Flux in SC / glucose uptake ($mmol/mmol\ glc$)]:[Flux in RT / glucose uptake ($mmol/mmol\ glc$)]])</f>
        <v>5.2678842227654428E-4</v>
      </c>
      <c r="G195">
        <f>_xlfn.RANK.AVG(Table1[[#This Row],[Flux in SC / glucose uptake ($mmol/mmol\ glc$)]],Table1[Flux in SC / glucose uptake ($mmol/mmol\ glc$)])</f>
        <v>146</v>
      </c>
      <c r="H195">
        <f>_xlfn.RANK.AVG(Table1[[#This Row],[Flux in RT / glucose uptake ($mmol/mmol\ glc$)]],Table1[Flux in RT / glucose uptake ($mmol/mmol\ glc$)])</f>
        <v>159</v>
      </c>
      <c r="I195">
        <f>LOG(Table1[[#This Row],[Flux in SC / glucose uptake ($mmol/mmol\ glc$)]])</f>
        <v>-2.4067068740001836</v>
      </c>
      <c r="J195">
        <f>LOG(Table1[[#This Row],[Flux in RT / glucose uptake ($mmol/mmol\ glc$)]])</f>
        <v>-1.7509952736333134</v>
      </c>
      <c r="L195" t="str">
        <v>O2t_c_e</v>
      </c>
      <c r="M195" t="str">
        <v>Transport</v>
      </c>
      <c r="N195">
        <v>-0.69364898347030612</v>
      </c>
      <c r="O195">
        <v>0.47638304585800473</v>
      </c>
    </row>
    <row r="196" spans="1:15" x14ac:dyDescent="0.2">
      <c r="A196" t="s">
        <v>199</v>
      </c>
      <c r="B196" t="s">
        <v>3125</v>
      </c>
      <c r="C196">
        <v>0</v>
      </c>
      <c r="D196">
        <v>0</v>
      </c>
      <c r="E196">
        <f>ABS(Table1[[#This Row],[Flux in SC / glucose uptake ($mmol/mmol\ glc$)]]-Table1[[#This Row],[Flux in RT / glucose uptake ($mmol/mmol\ glc$)]])/SQRT(2)</f>
        <v>0</v>
      </c>
      <c r="F196">
        <f>Table1[[#This Row],[distance from 45-degree line]]/MAX(Table1[[Flux in SC / glucose uptake ($mmol/mmol\ glc$)]:[Flux in RT / glucose uptake ($mmol/mmol\ glc$)]])</f>
        <v>0</v>
      </c>
      <c r="G196">
        <f>_xlfn.RANK.AVG(Table1[[#This Row],[Flux in SC / glucose uptake ($mmol/mmol\ glc$)]],Table1[Flux in SC / glucose uptake ($mmol/mmol\ glc$)])</f>
        <v>1310.5</v>
      </c>
      <c r="H196">
        <f>_xlfn.RANK.AVG(Table1[[#This Row],[Flux in RT / glucose uptake ($mmol/mmol\ glc$)]],Table1[Flux in RT / glucose uptake ($mmol/mmol\ glc$)])</f>
        <v>1290.5</v>
      </c>
      <c r="I196" t="e">
        <f>LOG(Table1[[#This Row],[Flux in SC / glucose uptake ($mmol/mmol\ glc$)]])</f>
        <v>#NUM!</v>
      </c>
      <c r="J196" t="e">
        <f>LOG(Table1[[#This Row],[Flux in RT / glucose uptake ($mmol/mmol\ glc$)]])</f>
        <v>#NUM!</v>
      </c>
      <c r="L196" t="str">
        <v>O2t_c_m</v>
      </c>
      <c r="M196" t="str">
        <v>Transport</v>
      </c>
      <c r="N196">
        <v>-0.72171872255850256</v>
      </c>
      <c r="O196">
        <v>0.4511239512327635</v>
      </c>
    </row>
    <row r="197" spans="1:15" x14ac:dyDescent="0.2">
      <c r="A197" t="s">
        <v>200</v>
      </c>
      <c r="B197" t="s">
        <v>3125</v>
      </c>
      <c r="C197">
        <v>0</v>
      </c>
      <c r="D197">
        <v>0</v>
      </c>
      <c r="E197">
        <f>ABS(Table1[[#This Row],[Flux in SC / glucose uptake ($mmol/mmol\ glc$)]]-Table1[[#This Row],[Flux in RT / glucose uptake ($mmol/mmol\ glc$)]])/SQRT(2)</f>
        <v>0</v>
      </c>
      <c r="F197">
        <f>Table1[[#This Row],[distance from 45-degree line]]/MAX(Table1[[Flux in SC / glucose uptake ($mmol/mmol\ glc$)]:[Flux in RT / glucose uptake ($mmol/mmol\ glc$)]])</f>
        <v>0</v>
      </c>
      <c r="G197">
        <f>_xlfn.RANK.AVG(Table1[[#This Row],[Flux in SC / glucose uptake ($mmol/mmol\ glc$)]],Table1[Flux in SC / glucose uptake ($mmol/mmol\ glc$)])</f>
        <v>1310.5</v>
      </c>
      <c r="H197">
        <f>_xlfn.RANK.AVG(Table1[[#This Row],[Flux in RT / glucose uptake ($mmol/mmol\ glc$)]],Table1[Flux in RT / glucose uptake ($mmol/mmol\ glc$)])</f>
        <v>1290.5</v>
      </c>
      <c r="I197" t="e">
        <f>LOG(Table1[[#This Row],[Flux in SC / glucose uptake ($mmol/mmol\ glc$)]])</f>
        <v>#NUM!</v>
      </c>
      <c r="J197" t="e">
        <f>LOG(Table1[[#This Row],[Flux in RT / glucose uptake ($mmol/mmol\ glc$)]])</f>
        <v>#NUM!</v>
      </c>
      <c r="L197" t="str">
        <v>OCBT_c</v>
      </c>
      <c r="M197" t="str">
        <v>Arginine and proline metabolism</v>
      </c>
      <c r="N197">
        <v>-2.5907623243886508</v>
      </c>
      <c r="O197">
        <v>-1.9345238324266469</v>
      </c>
    </row>
    <row r="198" spans="1:15" x14ac:dyDescent="0.2">
      <c r="A198" t="s">
        <v>201</v>
      </c>
      <c r="B198" t="s">
        <v>3125</v>
      </c>
      <c r="C198">
        <v>0</v>
      </c>
      <c r="D198">
        <v>0</v>
      </c>
      <c r="E198">
        <f>ABS(Table1[[#This Row],[Flux in SC / glucose uptake ($mmol/mmol\ glc$)]]-Table1[[#This Row],[Flux in RT / glucose uptake ($mmol/mmol\ glc$)]])/SQRT(2)</f>
        <v>0</v>
      </c>
      <c r="F198">
        <f>Table1[[#This Row],[distance from 45-degree line]]/MAX(Table1[[Flux in SC / glucose uptake ($mmol/mmol\ glc$)]:[Flux in RT / glucose uptake ($mmol/mmol\ glc$)]])</f>
        <v>0</v>
      </c>
      <c r="G198">
        <f>_xlfn.RANK.AVG(Table1[[#This Row],[Flux in SC / glucose uptake ($mmol/mmol\ glc$)]],Table1[Flux in SC / glucose uptake ($mmol/mmol\ glc$)])</f>
        <v>1310.5</v>
      </c>
      <c r="H198">
        <f>_xlfn.RANK.AVG(Table1[[#This Row],[Flux in RT / glucose uptake ($mmol/mmol\ glc$)]],Table1[Flux in RT / glucose uptake ($mmol/mmol\ glc$)])</f>
        <v>1290.5</v>
      </c>
      <c r="I198" t="e">
        <f>LOG(Table1[[#This Row],[Flux in SC / glucose uptake ($mmol/mmol\ glc$)]])</f>
        <v>#NUM!</v>
      </c>
      <c r="J198" t="e">
        <f>LOG(Table1[[#This Row],[Flux in RT / glucose uptake ($mmol/mmol\ glc$)]])</f>
        <v>#NUM!</v>
      </c>
      <c r="L198" t="str">
        <v>OMCDC_c</v>
      </c>
      <c r="M198" t="str">
        <v>Cysteine and methionine metabolism</v>
      </c>
      <c r="N198">
        <v>-2.2731891761880711</v>
      </c>
      <c r="O198">
        <v>-1.6174780811408516</v>
      </c>
    </row>
    <row r="199" spans="1:15" x14ac:dyDescent="0.2">
      <c r="A199" t="s">
        <v>202</v>
      </c>
      <c r="B199" t="s">
        <v>3137</v>
      </c>
      <c r="C199">
        <v>0</v>
      </c>
      <c r="D199">
        <v>0.19811356148231085</v>
      </c>
      <c r="E199">
        <f>ABS(Table1[[#This Row],[Flux in SC / glucose uptake ($mmol/mmol\ glc$)]]-Table1[[#This Row],[Flux in RT / glucose uptake ($mmol/mmol\ glc$)]])/SQRT(2)</f>
        <v>0.14008744276915999</v>
      </c>
      <c r="F199">
        <f>Table1[[#This Row],[distance from 45-degree line]]/MAX(Table1[[Flux in SC / glucose uptake ($mmol/mmol\ glc$)]:[Flux in RT / glucose uptake ($mmol/mmol\ glc$)]])</f>
        <v>7.5505533162482721E-3</v>
      </c>
      <c r="G199">
        <f>_xlfn.RANK.AVG(Table1[[#This Row],[Flux in SC / glucose uptake ($mmol/mmol\ glc$)]],Table1[Flux in SC / glucose uptake ($mmol/mmol\ glc$)])</f>
        <v>1310.5</v>
      </c>
      <c r="H199">
        <f>_xlfn.RANK.AVG(Table1[[#This Row],[Flux in RT / glucose uptake ($mmol/mmol\ glc$)]],Table1[Flux in RT / glucose uptake ($mmol/mmol\ glc$)])</f>
        <v>65.5</v>
      </c>
      <c r="I199" t="e">
        <f>LOG(Table1[[#This Row],[Flux in SC / glucose uptake ($mmol/mmol\ glc$)]])</f>
        <v>#NUM!</v>
      </c>
      <c r="J199">
        <f>LOG(Table1[[#This Row],[Flux in RT / glucose uptake ($mmol/mmol\ glc$)]])</f>
        <v>-0.70308579465152776</v>
      </c>
      <c r="L199" t="str">
        <v>OMPDC_c</v>
      </c>
      <c r="M199" t="str">
        <v>Pyrimidine metabolism</v>
      </c>
      <c r="N199">
        <v>-2.4960978548498174</v>
      </c>
      <c r="O199">
        <v>-1.8446610994166099</v>
      </c>
    </row>
    <row r="200" spans="1:15" x14ac:dyDescent="0.2">
      <c r="A200" t="s">
        <v>203</v>
      </c>
      <c r="B200" t="s">
        <v>3143</v>
      </c>
      <c r="C200">
        <v>0</v>
      </c>
      <c r="D200">
        <v>-1.7128111138314381E-8</v>
      </c>
      <c r="E200">
        <f>ABS(Table1[[#This Row],[Flux in SC / glucose uptake ($mmol/mmol\ glc$)]]-Table1[[#This Row],[Flux in RT / glucose uptake ($mmol/mmol\ glc$)]])/SQRT(2)</f>
        <v>1.2111403534818933E-8</v>
      </c>
      <c r="F200">
        <f>Table1[[#This Row],[distance from 45-degree line]]/MAX(Table1[[Flux in SC / glucose uptake ($mmol/mmol\ glc$)]:[Flux in RT / glucose uptake ($mmol/mmol\ glc$)]])</f>
        <v>6.5279083061669122E-10</v>
      </c>
      <c r="G200">
        <f>_xlfn.RANK.AVG(Table1[[#This Row],[Flux in SC / glucose uptake ($mmol/mmol\ glc$)]],Table1[Flux in SC / glucose uptake ($mmol/mmol\ glc$)])</f>
        <v>1310.5</v>
      </c>
      <c r="H200">
        <f>_xlfn.RANK.AVG(Table1[[#This Row],[Flux in RT / glucose uptake ($mmol/mmol\ glc$)]],Table1[Flux in RT / glucose uptake ($mmol/mmol\ glc$)])</f>
        <v>2297.5</v>
      </c>
      <c r="I200" t="e">
        <f>LOG(Table1[[#This Row],[Flux in SC / glucose uptake ($mmol/mmol\ glc$)]])</f>
        <v>#NUM!</v>
      </c>
      <c r="J200" t="e">
        <f>LOG(Table1[[#This Row],[Flux in RT / glucose uptake ($mmol/mmol\ glc$)]])</f>
        <v>#NUM!</v>
      </c>
      <c r="L200" t="str">
        <v>ORNTA_c</v>
      </c>
      <c r="M200" t="str">
        <v>Arginine and proline metabolism</v>
      </c>
      <c r="N200">
        <v>-2.9885164415348116</v>
      </c>
      <c r="O200">
        <v>-1.8958130848287795</v>
      </c>
    </row>
    <row r="201" spans="1:15" x14ac:dyDescent="0.2">
      <c r="A201" t="s">
        <v>204</v>
      </c>
      <c r="B201" t="s">
        <v>3142</v>
      </c>
      <c r="C201">
        <v>1.0209484997892187E-2</v>
      </c>
      <c r="D201">
        <v>4.6207778248939776E-2</v>
      </c>
      <c r="E201">
        <f>ABS(Table1[[#This Row],[Flux in SC / glucose uptake ($mmol/mmol\ glc$)]]-Table1[[#This Row],[Flux in RT / glucose uptake ($mmol/mmol\ glc$)]])/SQRT(2)</f>
        <v>2.5454637268957674E-2</v>
      </c>
      <c r="F201">
        <f>Table1[[#This Row],[distance from 45-degree line]]/MAX(Table1[[Flux in SC / glucose uptake ($mmol/mmol\ glc$)]:[Flux in RT / glucose uptake ($mmol/mmol\ glc$)]])</f>
        <v>1.3719759033772368E-3</v>
      </c>
      <c r="G201">
        <f>_xlfn.RANK.AVG(Table1[[#This Row],[Flux in SC / glucose uptake ($mmol/mmol\ glc$)]],Table1[Flux in SC / glucose uptake ($mmol/mmol\ glc$)])</f>
        <v>80</v>
      </c>
      <c r="H201">
        <f>_xlfn.RANK.AVG(Table1[[#This Row],[Flux in RT / glucose uptake ($mmol/mmol\ glc$)]],Table1[Flux in RT / glucose uptake ($mmol/mmol\ glc$)])</f>
        <v>103</v>
      </c>
      <c r="I201">
        <f>LOG(Table1[[#This Row],[Flux in SC / glucose uptake ($mmol/mmol\ glc$)]])</f>
        <v>-1.9909961646921943</v>
      </c>
      <c r="J201">
        <f>LOG(Table1[[#This Row],[Flux in RT / glucose uptake ($mmol/mmol\ glc$)]])</f>
        <v>-1.3352849126200561</v>
      </c>
      <c r="L201" t="str">
        <v>ORNTACi_m</v>
      </c>
      <c r="M201" t="str">
        <v>Arginine and proline metabolism</v>
      </c>
      <c r="N201">
        <v>-2.4442037493305238</v>
      </c>
      <c r="O201">
        <v>-0.97084269676932011</v>
      </c>
    </row>
    <row r="202" spans="1:15" x14ac:dyDescent="0.2">
      <c r="A202" t="s">
        <v>205</v>
      </c>
      <c r="B202" t="s">
        <v>3135</v>
      </c>
      <c r="C202">
        <v>0</v>
      </c>
      <c r="D202">
        <v>0</v>
      </c>
      <c r="E202">
        <f>ABS(Table1[[#This Row],[Flux in SC / glucose uptake ($mmol/mmol\ glc$)]]-Table1[[#This Row],[Flux in RT / glucose uptake ($mmol/mmol\ glc$)]])/SQRT(2)</f>
        <v>0</v>
      </c>
      <c r="F202">
        <f>Table1[[#This Row],[distance from 45-degree line]]/MAX(Table1[[Flux in SC / glucose uptake ($mmol/mmol\ glc$)]:[Flux in RT / glucose uptake ($mmol/mmol\ glc$)]])</f>
        <v>0</v>
      </c>
      <c r="G202">
        <f>_xlfn.RANK.AVG(Table1[[#This Row],[Flux in SC / glucose uptake ($mmol/mmol\ glc$)]],Table1[Flux in SC / glucose uptake ($mmol/mmol\ glc$)])</f>
        <v>1310.5</v>
      </c>
      <c r="H202">
        <f>_xlfn.RANK.AVG(Table1[[#This Row],[Flux in RT / glucose uptake ($mmol/mmol\ glc$)]],Table1[Flux in RT / glucose uptake ($mmol/mmol\ glc$)])</f>
        <v>1290.5</v>
      </c>
      <c r="I202" t="e">
        <f>LOG(Table1[[#This Row],[Flux in SC / glucose uptake ($mmol/mmol\ glc$)]])</f>
        <v>#NUM!</v>
      </c>
      <c r="J202" t="e">
        <f>LOG(Table1[[#This Row],[Flux in RT / glucose uptake ($mmol/mmol\ glc$)]])</f>
        <v>#NUM!</v>
      </c>
      <c r="L202" t="str">
        <v>ORNtpa_m</v>
      </c>
      <c r="M202" t="str">
        <v>Transport</v>
      </c>
      <c r="N202">
        <v>-2.4442037493305238</v>
      </c>
      <c r="O202">
        <v>-1.6137070400741229</v>
      </c>
    </row>
    <row r="203" spans="1:15" x14ac:dyDescent="0.2">
      <c r="A203" t="s">
        <v>206</v>
      </c>
      <c r="B203" t="s">
        <v>3135</v>
      </c>
      <c r="C203">
        <v>0</v>
      </c>
      <c r="D203">
        <v>0</v>
      </c>
      <c r="E203">
        <f>ABS(Table1[[#This Row],[Flux in SC / glucose uptake ($mmol/mmol\ glc$)]]-Table1[[#This Row],[Flux in RT / glucose uptake ($mmol/mmol\ glc$)]])/SQRT(2)</f>
        <v>0</v>
      </c>
      <c r="F203">
        <f>Table1[[#This Row],[distance from 45-degree line]]/MAX(Table1[[Flux in SC / glucose uptake ($mmol/mmol\ glc$)]:[Flux in RT / glucose uptake ($mmol/mmol\ glc$)]])</f>
        <v>0</v>
      </c>
      <c r="G203">
        <f>_xlfn.RANK.AVG(Table1[[#This Row],[Flux in SC / glucose uptake ($mmol/mmol\ glc$)]],Table1[Flux in SC / glucose uptake ($mmol/mmol\ glc$)])</f>
        <v>1310.5</v>
      </c>
      <c r="H203">
        <f>_xlfn.RANK.AVG(Table1[[#This Row],[Flux in RT / glucose uptake ($mmol/mmol\ glc$)]],Table1[Flux in RT / glucose uptake ($mmol/mmol\ glc$)])</f>
        <v>1290.5</v>
      </c>
      <c r="I203" t="e">
        <f>LOG(Table1[[#This Row],[Flux in SC / glucose uptake ($mmol/mmol\ glc$)]])</f>
        <v>#NUM!</v>
      </c>
      <c r="J203" t="e">
        <f>LOG(Table1[[#This Row],[Flux in RT / glucose uptake ($mmol/mmol\ glc$)]])</f>
        <v>#NUM!</v>
      </c>
      <c r="L203" t="str">
        <v>ORPT_c</v>
      </c>
      <c r="M203" t="str">
        <v>Pyrimidine metabolism</v>
      </c>
      <c r="N203">
        <v>-2.4960978548498174</v>
      </c>
      <c r="O203">
        <v>-1.8446610994166099</v>
      </c>
    </row>
    <row r="204" spans="1:15" x14ac:dyDescent="0.2">
      <c r="A204" t="s">
        <v>207</v>
      </c>
      <c r="B204" t="s">
        <v>3135</v>
      </c>
      <c r="C204">
        <v>0</v>
      </c>
      <c r="D204">
        <v>0</v>
      </c>
      <c r="E204">
        <f>ABS(Table1[[#This Row],[Flux in SC / glucose uptake ($mmol/mmol\ glc$)]]-Table1[[#This Row],[Flux in RT / glucose uptake ($mmol/mmol\ glc$)]])/SQRT(2)</f>
        <v>0</v>
      </c>
      <c r="F204">
        <f>Table1[[#This Row],[distance from 45-degree line]]/MAX(Table1[[Flux in SC / glucose uptake ($mmol/mmol\ glc$)]:[Flux in RT / glucose uptake ($mmol/mmol\ glc$)]])</f>
        <v>0</v>
      </c>
      <c r="G204">
        <f>_xlfn.RANK.AVG(Table1[[#This Row],[Flux in SC / glucose uptake ($mmol/mmol\ glc$)]],Table1[Flux in SC / glucose uptake ($mmol/mmol\ glc$)])</f>
        <v>1310.5</v>
      </c>
      <c r="H204">
        <f>_xlfn.RANK.AVG(Table1[[#This Row],[Flux in RT / glucose uptake ($mmol/mmol\ glc$)]],Table1[Flux in RT / glucose uptake ($mmol/mmol\ glc$)])</f>
        <v>1290.5</v>
      </c>
      <c r="I204" t="e">
        <f>LOG(Table1[[#This Row],[Flux in SC / glucose uptake ($mmol/mmol\ glc$)]])</f>
        <v>#NUM!</v>
      </c>
      <c r="J204" t="e">
        <f>LOG(Table1[[#This Row],[Flux in RT / glucose uptake ($mmol/mmol\ glc$)]])</f>
        <v>#NUM!</v>
      </c>
      <c r="L204" t="str">
        <v>P5CD2_m</v>
      </c>
      <c r="M204" t="str">
        <v>Alanine, aspartate and glutamate metabolism</v>
      </c>
      <c r="N204">
        <v>-8.4423686491515095</v>
      </c>
      <c r="O204">
        <v>-1.0829896471727229</v>
      </c>
    </row>
    <row r="205" spans="1:15" x14ac:dyDescent="0.2">
      <c r="A205" t="s">
        <v>208</v>
      </c>
      <c r="B205" t="s">
        <v>3135</v>
      </c>
      <c r="C205">
        <v>0</v>
      </c>
      <c r="D205">
        <v>0</v>
      </c>
      <c r="E205">
        <f>ABS(Table1[[#This Row],[Flux in SC / glucose uptake ($mmol/mmol\ glc$)]]-Table1[[#This Row],[Flux in RT / glucose uptake ($mmol/mmol\ glc$)]])/SQRT(2)</f>
        <v>0</v>
      </c>
      <c r="F205">
        <f>Table1[[#This Row],[distance from 45-degree line]]/MAX(Table1[[Flux in SC / glucose uptake ($mmol/mmol\ glc$)]:[Flux in RT / glucose uptake ($mmol/mmol\ glc$)]])</f>
        <v>0</v>
      </c>
      <c r="G205">
        <f>_xlfn.RANK.AVG(Table1[[#This Row],[Flux in SC / glucose uptake ($mmol/mmol\ glc$)]],Table1[Flux in SC / glucose uptake ($mmol/mmol\ glc$)])</f>
        <v>1310.5</v>
      </c>
      <c r="H205">
        <f>_xlfn.RANK.AVG(Table1[[#This Row],[Flux in RT / glucose uptake ($mmol/mmol\ glc$)]],Table1[Flux in RT / glucose uptake ($mmol/mmol\ glc$)])</f>
        <v>1290.5</v>
      </c>
      <c r="I205" t="e">
        <f>LOG(Table1[[#This Row],[Flux in SC / glucose uptake ($mmol/mmol\ glc$)]])</f>
        <v>#NUM!</v>
      </c>
      <c r="J205" t="e">
        <f>LOG(Table1[[#This Row],[Flux in RT / glucose uptake ($mmol/mmol\ glc$)]])</f>
        <v>#NUM!</v>
      </c>
      <c r="L205" t="str">
        <v>P5CR_c</v>
      </c>
      <c r="M205" t="str">
        <v>Arginine and proline metabolism</v>
      </c>
      <c r="N205">
        <v>-2.452563893684145</v>
      </c>
      <c r="O205">
        <v>-1.8957984833559538</v>
      </c>
    </row>
    <row r="206" spans="1:15" x14ac:dyDescent="0.2">
      <c r="A206" t="s">
        <v>209</v>
      </c>
      <c r="B206" t="s">
        <v>3135</v>
      </c>
      <c r="C206">
        <v>0</v>
      </c>
      <c r="D206">
        <v>0</v>
      </c>
      <c r="E206">
        <f>ABS(Table1[[#This Row],[Flux in SC / glucose uptake ($mmol/mmol\ glc$)]]-Table1[[#This Row],[Flux in RT / glucose uptake ($mmol/mmol\ glc$)]])/SQRT(2)</f>
        <v>0</v>
      </c>
      <c r="F206">
        <f>Table1[[#This Row],[distance from 45-degree line]]/MAX(Table1[[Flux in SC / glucose uptake ($mmol/mmol\ glc$)]:[Flux in RT / glucose uptake ($mmol/mmol\ glc$)]])</f>
        <v>0</v>
      </c>
      <c r="G206">
        <f>_xlfn.RANK.AVG(Table1[[#This Row],[Flux in SC / glucose uptake ($mmol/mmol\ glc$)]],Table1[Flux in SC / glucose uptake ($mmol/mmol\ glc$)])</f>
        <v>1310.5</v>
      </c>
      <c r="H206">
        <f>_xlfn.RANK.AVG(Table1[[#This Row],[Flux in RT / glucose uptake ($mmol/mmol\ glc$)]],Table1[Flux in RT / glucose uptake ($mmol/mmol\ glc$)])</f>
        <v>1290.5</v>
      </c>
      <c r="I206" t="e">
        <f>LOG(Table1[[#This Row],[Flux in SC / glucose uptake ($mmol/mmol\ glc$)]])</f>
        <v>#NUM!</v>
      </c>
      <c r="J206" t="e">
        <f>LOG(Table1[[#This Row],[Flux in RT / glucose uptake ($mmol/mmol\ glc$)]])</f>
        <v>#NUM!</v>
      </c>
      <c r="L206" t="str">
        <v>PAPSR_c</v>
      </c>
      <c r="M206" t="str">
        <v>Sulfur metabolism</v>
      </c>
      <c r="N206">
        <v>-3.0696095838366184</v>
      </c>
      <c r="O206">
        <v>-2.413903635373893</v>
      </c>
    </row>
    <row r="207" spans="1:15" x14ac:dyDescent="0.2">
      <c r="A207" t="s">
        <v>210</v>
      </c>
      <c r="B207" t="s">
        <v>3135</v>
      </c>
      <c r="C207">
        <v>0</v>
      </c>
      <c r="D207">
        <v>0</v>
      </c>
      <c r="E207">
        <f>ABS(Table1[[#This Row],[Flux in SC / glucose uptake ($mmol/mmol\ glc$)]]-Table1[[#This Row],[Flux in RT / glucose uptake ($mmol/mmol\ glc$)]])/SQRT(2)</f>
        <v>0</v>
      </c>
      <c r="F207">
        <f>Table1[[#This Row],[distance from 45-degree line]]/MAX(Table1[[Flux in SC / glucose uptake ($mmol/mmol\ glc$)]:[Flux in RT / glucose uptake ($mmol/mmol\ glc$)]])</f>
        <v>0</v>
      </c>
      <c r="G207">
        <f>_xlfn.RANK.AVG(Table1[[#This Row],[Flux in SC / glucose uptake ($mmol/mmol\ glc$)]],Table1[Flux in SC / glucose uptake ($mmol/mmol\ glc$)])</f>
        <v>1310.5</v>
      </c>
      <c r="H207">
        <f>_xlfn.RANK.AVG(Table1[[#This Row],[Flux in RT / glucose uptake ($mmol/mmol\ glc$)]],Table1[Flux in RT / glucose uptake ($mmol/mmol\ glc$)])</f>
        <v>1290.5</v>
      </c>
      <c r="I207" t="e">
        <f>LOG(Table1[[#This Row],[Flux in SC / glucose uptake ($mmol/mmol\ glc$)]])</f>
        <v>#NUM!</v>
      </c>
      <c r="J207" t="e">
        <f>LOG(Table1[[#This Row],[Flux in RT / glucose uptake ($mmol/mmol\ glc$)]])</f>
        <v>#NUM!</v>
      </c>
      <c r="L207" t="str">
        <v>PC_c</v>
      </c>
      <c r="M207" t="str">
        <v>Acetyl-CoA synthesis</v>
      </c>
      <c r="N207">
        <v>-1.0912774865428607</v>
      </c>
      <c r="O207">
        <v>-0.58286499162243044</v>
      </c>
    </row>
    <row r="208" spans="1:15" x14ac:dyDescent="0.2">
      <c r="A208" t="s">
        <v>211</v>
      </c>
      <c r="B208" t="s">
        <v>3135</v>
      </c>
      <c r="C208">
        <v>0</v>
      </c>
      <c r="D208">
        <v>0</v>
      </c>
      <c r="E208">
        <f>ABS(Table1[[#This Row],[Flux in SC / glucose uptake ($mmol/mmol\ glc$)]]-Table1[[#This Row],[Flux in RT / glucose uptake ($mmol/mmol\ glc$)]])/SQRT(2)</f>
        <v>0</v>
      </c>
      <c r="F208">
        <f>Table1[[#This Row],[distance from 45-degree line]]/MAX(Table1[[Flux in SC / glucose uptake ($mmol/mmol\ glc$)]:[Flux in RT / glucose uptake ($mmol/mmol\ glc$)]])</f>
        <v>0</v>
      </c>
      <c r="G208">
        <f>_xlfn.RANK.AVG(Table1[[#This Row],[Flux in SC / glucose uptake ($mmol/mmol\ glc$)]],Table1[Flux in SC / glucose uptake ($mmol/mmol\ glc$)])</f>
        <v>1310.5</v>
      </c>
      <c r="H208">
        <f>_xlfn.RANK.AVG(Table1[[#This Row],[Flux in RT / glucose uptake ($mmol/mmol\ glc$)]],Table1[Flux in RT / glucose uptake ($mmol/mmol\ glc$)])</f>
        <v>1290.5</v>
      </c>
      <c r="I208" t="e">
        <f>LOG(Table1[[#This Row],[Flux in SC / glucose uptake ($mmol/mmol\ glc$)]])</f>
        <v>#NUM!</v>
      </c>
      <c r="J208" t="e">
        <f>LOG(Table1[[#This Row],[Flux in RT / glucose uptake ($mmol/mmol\ glc$)]])</f>
        <v>#NUM!</v>
      </c>
      <c r="L208" t="str">
        <v>PDH_m</v>
      </c>
      <c r="M208" t="str">
        <v>Acetyl-CoA synthesis</v>
      </c>
      <c r="N208">
        <v>-1.5352086407633074</v>
      </c>
      <c r="O208">
        <v>-0.25474266304845999</v>
      </c>
    </row>
    <row r="209" spans="1:15" x14ac:dyDescent="0.2">
      <c r="A209" t="s">
        <v>212</v>
      </c>
      <c r="B209" t="s">
        <v>3135</v>
      </c>
      <c r="C209">
        <v>0</v>
      </c>
      <c r="D209">
        <v>0</v>
      </c>
      <c r="E209">
        <f>ABS(Table1[[#This Row],[Flux in SC / glucose uptake ($mmol/mmol\ glc$)]]-Table1[[#This Row],[Flux in RT / glucose uptake ($mmol/mmol\ glc$)]])/SQRT(2)</f>
        <v>0</v>
      </c>
      <c r="F209">
        <f>Table1[[#This Row],[distance from 45-degree line]]/MAX(Table1[[Flux in SC / glucose uptake ($mmol/mmol\ glc$)]:[Flux in RT / glucose uptake ($mmol/mmol\ glc$)]])</f>
        <v>0</v>
      </c>
      <c r="G209">
        <f>_xlfn.RANK.AVG(Table1[[#This Row],[Flux in SC / glucose uptake ($mmol/mmol\ glc$)]],Table1[Flux in SC / glucose uptake ($mmol/mmol\ glc$)])</f>
        <v>1310.5</v>
      </c>
      <c r="H209">
        <f>_xlfn.RANK.AVG(Table1[[#This Row],[Flux in RT / glucose uptake ($mmol/mmol\ glc$)]],Table1[Flux in RT / glucose uptake ($mmol/mmol\ glc$)])</f>
        <v>1290.5</v>
      </c>
      <c r="I209" t="e">
        <f>LOG(Table1[[#This Row],[Flux in SC / glucose uptake ($mmol/mmol\ glc$)]])</f>
        <v>#NUM!</v>
      </c>
      <c r="J209" t="e">
        <f>LOG(Table1[[#This Row],[Flux in RT / glucose uptake ($mmol/mmol\ glc$)]])</f>
        <v>#NUM!</v>
      </c>
      <c r="L209" t="str">
        <v>PFK_c</v>
      </c>
      <c r="M209" t="str">
        <v>Glycolysis / Gluconeogenesis</v>
      </c>
      <c r="N209">
        <v>-1.6524397001243935E-2</v>
      </c>
      <c r="O209">
        <v>-0.13944447682410283</v>
      </c>
    </row>
    <row r="210" spans="1:15" x14ac:dyDescent="0.2">
      <c r="A210" t="s">
        <v>213</v>
      </c>
      <c r="B210" t="s">
        <v>3135</v>
      </c>
      <c r="C210">
        <v>0</v>
      </c>
      <c r="D210">
        <v>0</v>
      </c>
      <c r="E210">
        <f>ABS(Table1[[#This Row],[Flux in SC / glucose uptake ($mmol/mmol\ glc$)]]-Table1[[#This Row],[Flux in RT / glucose uptake ($mmol/mmol\ glc$)]])/SQRT(2)</f>
        <v>0</v>
      </c>
      <c r="F210">
        <f>Table1[[#This Row],[distance from 45-degree line]]/MAX(Table1[[Flux in SC / glucose uptake ($mmol/mmol\ glc$)]:[Flux in RT / glucose uptake ($mmol/mmol\ glc$)]])</f>
        <v>0</v>
      </c>
      <c r="G210">
        <f>_xlfn.RANK.AVG(Table1[[#This Row],[Flux in SC / glucose uptake ($mmol/mmol\ glc$)]],Table1[Flux in SC / glucose uptake ($mmol/mmol\ glc$)])</f>
        <v>1310.5</v>
      </c>
      <c r="H210">
        <f>_xlfn.RANK.AVG(Table1[[#This Row],[Flux in RT / glucose uptake ($mmol/mmol\ glc$)]],Table1[Flux in RT / glucose uptake ($mmol/mmol\ glc$)])</f>
        <v>1290.5</v>
      </c>
      <c r="I210" t="e">
        <f>LOG(Table1[[#This Row],[Flux in SC / glucose uptake ($mmol/mmol\ glc$)]])</f>
        <v>#NUM!</v>
      </c>
      <c r="J210" t="e">
        <f>LOG(Table1[[#This Row],[Flux in RT / glucose uptake ($mmol/mmol\ glc$)]])</f>
        <v>#NUM!</v>
      </c>
      <c r="L210" t="str">
        <v>PGCD_c</v>
      </c>
      <c r="M210" t="str">
        <v>Glycine, serine and threonine metabolism</v>
      </c>
      <c r="N210">
        <v>-1.1936025697449737</v>
      </c>
      <c r="O210">
        <v>-0.25219566062445448</v>
      </c>
    </row>
    <row r="211" spans="1:15" x14ac:dyDescent="0.2">
      <c r="A211" t="s">
        <v>214</v>
      </c>
      <c r="B211" t="s">
        <v>3135</v>
      </c>
      <c r="C211">
        <v>0</v>
      </c>
      <c r="D211">
        <v>0</v>
      </c>
      <c r="E211">
        <f>ABS(Table1[[#This Row],[Flux in SC / glucose uptake ($mmol/mmol\ glc$)]]-Table1[[#This Row],[Flux in RT / glucose uptake ($mmol/mmol\ glc$)]])/SQRT(2)</f>
        <v>0</v>
      </c>
      <c r="F211">
        <f>Table1[[#This Row],[distance from 45-degree line]]/MAX(Table1[[Flux in SC / glucose uptake ($mmol/mmol\ glc$)]:[Flux in RT / glucose uptake ($mmol/mmol\ glc$)]])</f>
        <v>0</v>
      </c>
      <c r="G211">
        <f>_xlfn.RANK.AVG(Table1[[#This Row],[Flux in SC / glucose uptake ($mmol/mmol\ glc$)]],Table1[Flux in SC / glucose uptake ($mmol/mmol\ glc$)])</f>
        <v>1310.5</v>
      </c>
      <c r="H211">
        <f>_xlfn.RANK.AVG(Table1[[#This Row],[Flux in RT / glucose uptake ($mmol/mmol\ glc$)]],Table1[Flux in RT / glucose uptake ($mmol/mmol\ glc$)])</f>
        <v>1290.5</v>
      </c>
      <c r="I211" t="e">
        <f>LOG(Table1[[#This Row],[Flux in SC / glucose uptake ($mmol/mmol\ glc$)]])</f>
        <v>#NUM!</v>
      </c>
      <c r="J211" t="e">
        <f>LOG(Table1[[#This Row],[Flux in RT / glucose uptake ($mmol/mmol\ glc$)]])</f>
        <v>#NUM!</v>
      </c>
      <c r="L211" t="str">
        <v>PGI_c</v>
      </c>
      <c r="M211" t="str">
        <v>Glycolysis / Gluconeogenesis</v>
      </c>
      <c r="N211">
        <v>-2.1942350788001368E-2</v>
      </c>
      <c r="O211">
        <v>-0.57776722891679877</v>
      </c>
    </row>
    <row r="212" spans="1:15" x14ac:dyDescent="0.2">
      <c r="A212" t="s">
        <v>215</v>
      </c>
      <c r="B212" t="s">
        <v>3135</v>
      </c>
      <c r="C212">
        <v>0</v>
      </c>
      <c r="D212">
        <v>0</v>
      </c>
      <c r="E212">
        <f>ABS(Table1[[#This Row],[Flux in SC / glucose uptake ($mmol/mmol\ glc$)]]-Table1[[#This Row],[Flux in RT / glucose uptake ($mmol/mmol\ glc$)]])/SQRT(2)</f>
        <v>0</v>
      </c>
      <c r="F212">
        <f>Table1[[#This Row],[distance from 45-degree line]]/MAX(Table1[[Flux in SC / glucose uptake ($mmol/mmol\ glc$)]:[Flux in RT / glucose uptake ($mmol/mmol\ glc$)]])</f>
        <v>0</v>
      </c>
      <c r="G212">
        <f>_xlfn.RANK.AVG(Table1[[#This Row],[Flux in SC / glucose uptake ($mmol/mmol\ glc$)]],Table1[Flux in SC / glucose uptake ($mmol/mmol\ glc$)])</f>
        <v>1310.5</v>
      </c>
      <c r="H212">
        <f>_xlfn.RANK.AVG(Table1[[#This Row],[Flux in RT / glucose uptake ($mmol/mmol\ glc$)]],Table1[Flux in RT / glucose uptake ($mmol/mmol\ glc$)])</f>
        <v>1290.5</v>
      </c>
      <c r="I212" t="e">
        <f>LOG(Table1[[#This Row],[Flux in SC / glucose uptake ($mmol/mmol\ glc$)]])</f>
        <v>#NUM!</v>
      </c>
      <c r="J212" t="e">
        <f>LOG(Table1[[#This Row],[Flux in RT / glucose uptake ($mmol/mmol\ glc$)]])</f>
        <v>#NUM!</v>
      </c>
      <c r="L212" t="str">
        <v>PGK_c</v>
      </c>
      <c r="M212" t="str">
        <v>Glycolysis / Gluconeogenesis</v>
      </c>
      <c r="N212">
        <v>0.26728312636959795</v>
      </c>
      <c r="O212">
        <v>0.12388660060176061</v>
      </c>
    </row>
    <row r="213" spans="1:15" x14ac:dyDescent="0.2">
      <c r="A213" t="s">
        <v>216</v>
      </c>
      <c r="B213" t="s">
        <v>3135</v>
      </c>
      <c r="C213">
        <v>0</v>
      </c>
      <c r="D213">
        <v>0</v>
      </c>
      <c r="E213">
        <f>ABS(Table1[[#This Row],[Flux in SC / glucose uptake ($mmol/mmol\ glc$)]]-Table1[[#This Row],[Flux in RT / glucose uptake ($mmol/mmol\ glc$)]])/SQRT(2)</f>
        <v>0</v>
      </c>
      <c r="F213">
        <f>Table1[[#This Row],[distance from 45-degree line]]/MAX(Table1[[Flux in SC / glucose uptake ($mmol/mmol\ glc$)]:[Flux in RT / glucose uptake ($mmol/mmol\ glc$)]])</f>
        <v>0</v>
      </c>
      <c r="G213">
        <f>_xlfn.RANK.AVG(Table1[[#This Row],[Flux in SC / glucose uptake ($mmol/mmol\ glc$)]],Table1[Flux in SC / glucose uptake ($mmol/mmol\ glc$)])</f>
        <v>1310.5</v>
      </c>
      <c r="H213">
        <f>_xlfn.RANK.AVG(Table1[[#This Row],[Flux in RT / glucose uptake ($mmol/mmol\ glc$)]],Table1[Flux in RT / glucose uptake ($mmol/mmol\ glc$)])</f>
        <v>1290.5</v>
      </c>
      <c r="I213" t="e">
        <f>LOG(Table1[[#This Row],[Flux in SC / glucose uptake ($mmol/mmol\ glc$)]])</f>
        <v>#NUM!</v>
      </c>
      <c r="J213" t="e">
        <f>LOG(Table1[[#This Row],[Flux in RT / glucose uptake ($mmol/mmol\ glc$)]])</f>
        <v>#NUM!</v>
      </c>
      <c r="L213" t="str">
        <v>PGL_c</v>
      </c>
      <c r="M213" t="str">
        <v>Pentose phosphate pathway</v>
      </c>
      <c r="N213">
        <v>-1.4682946559284533</v>
      </c>
      <c r="O213">
        <v>-0.19723194373135861</v>
      </c>
    </row>
    <row r="214" spans="1:15" x14ac:dyDescent="0.2">
      <c r="A214" t="s">
        <v>217</v>
      </c>
      <c r="B214" t="s">
        <v>3135</v>
      </c>
      <c r="C214">
        <v>0</v>
      </c>
      <c r="D214">
        <v>0</v>
      </c>
      <c r="E214">
        <f>ABS(Table1[[#This Row],[Flux in SC / glucose uptake ($mmol/mmol\ glc$)]]-Table1[[#This Row],[Flux in RT / glucose uptake ($mmol/mmol\ glc$)]])/SQRT(2)</f>
        <v>0</v>
      </c>
      <c r="F214">
        <f>Table1[[#This Row],[distance from 45-degree line]]/MAX(Table1[[Flux in SC / glucose uptake ($mmol/mmol\ glc$)]:[Flux in RT / glucose uptake ($mmol/mmol\ glc$)]])</f>
        <v>0</v>
      </c>
      <c r="G214">
        <f>_xlfn.RANK.AVG(Table1[[#This Row],[Flux in SC / glucose uptake ($mmol/mmol\ glc$)]],Table1[Flux in SC / glucose uptake ($mmol/mmol\ glc$)])</f>
        <v>1310.5</v>
      </c>
      <c r="H214">
        <f>_xlfn.RANK.AVG(Table1[[#This Row],[Flux in RT / glucose uptake ($mmol/mmol\ glc$)]],Table1[Flux in RT / glucose uptake ($mmol/mmol\ glc$)])</f>
        <v>1290.5</v>
      </c>
      <c r="I214" t="e">
        <f>LOG(Table1[[#This Row],[Flux in SC / glucose uptake ($mmol/mmol\ glc$)]])</f>
        <v>#NUM!</v>
      </c>
      <c r="J214" t="e">
        <f>LOG(Table1[[#This Row],[Flux in RT / glucose uptake ($mmol/mmol\ glc$)]])</f>
        <v>#NUM!</v>
      </c>
      <c r="L214" t="str">
        <v>PGM_c</v>
      </c>
      <c r="M214" t="str">
        <v>Glycolysis / Gluconeogenesis</v>
      </c>
      <c r="N214">
        <v>0.25198905151682927</v>
      </c>
      <c r="O214">
        <v>-0.11317009773276131</v>
      </c>
    </row>
    <row r="215" spans="1:15" x14ac:dyDescent="0.2">
      <c r="A215" t="s">
        <v>218</v>
      </c>
      <c r="B215" t="s">
        <v>3135</v>
      </c>
      <c r="C215">
        <v>0</v>
      </c>
      <c r="D215">
        <v>0</v>
      </c>
      <c r="E215">
        <f>ABS(Table1[[#This Row],[Flux in SC / glucose uptake ($mmol/mmol\ glc$)]]-Table1[[#This Row],[Flux in RT / glucose uptake ($mmol/mmol\ glc$)]])/SQRT(2)</f>
        <v>0</v>
      </c>
      <c r="F215">
        <f>Table1[[#This Row],[distance from 45-degree line]]/MAX(Table1[[Flux in SC / glucose uptake ($mmol/mmol\ glc$)]:[Flux in RT / glucose uptake ($mmol/mmol\ glc$)]])</f>
        <v>0</v>
      </c>
      <c r="G215">
        <f>_xlfn.RANK.AVG(Table1[[#This Row],[Flux in SC / glucose uptake ($mmol/mmol\ glc$)]],Table1[Flux in SC / glucose uptake ($mmol/mmol\ glc$)])</f>
        <v>1310.5</v>
      </c>
      <c r="H215">
        <f>_xlfn.RANK.AVG(Table1[[#This Row],[Flux in RT / glucose uptake ($mmol/mmol\ glc$)]],Table1[Flux in RT / glucose uptake ($mmol/mmol\ glc$)])</f>
        <v>1290.5</v>
      </c>
      <c r="I215" t="e">
        <f>LOG(Table1[[#This Row],[Flux in SC / glucose uptake ($mmol/mmol\ glc$)]])</f>
        <v>#NUM!</v>
      </c>
      <c r="J215" t="e">
        <f>LOG(Table1[[#This Row],[Flux in RT / glucose uptake ($mmol/mmol\ glc$)]])</f>
        <v>#NUM!</v>
      </c>
      <c r="L215" t="str">
        <v>PGMT_c</v>
      </c>
      <c r="M215" t="str">
        <v>Cell wall biosynthesis</v>
      </c>
      <c r="N215">
        <v>-1.8269134800486859</v>
      </c>
      <c r="O215">
        <v>-1.0471840465594124</v>
      </c>
    </row>
    <row r="216" spans="1:15" x14ac:dyDescent="0.2">
      <c r="A216" t="s">
        <v>219</v>
      </c>
      <c r="B216" t="s">
        <v>3135</v>
      </c>
      <c r="C216">
        <v>0</v>
      </c>
      <c r="D216">
        <v>0</v>
      </c>
      <c r="E216">
        <f>ABS(Table1[[#This Row],[Flux in SC / glucose uptake ($mmol/mmol\ glc$)]]-Table1[[#This Row],[Flux in RT / glucose uptake ($mmol/mmol\ glc$)]])/SQRT(2)</f>
        <v>0</v>
      </c>
      <c r="F216">
        <f>Table1[[#This Row],[distance from 45-degree line]]/MAX(Table1[[Flux in SC / glucose uptake ($mmol/mmol\ glc$)]:[Flux in RT / glucose uptake ($mmol/mmol\ glc$)]])</f>
        <v>0</v>
      </c>
      <c r="G216">
        <f>_xlfn.RANK.AVG(Table1[[#This Row],[Flux in SC / glucose uptake ($mmol/mmol\ glc$)]],Table1[Flux in SC / glucose uptake ($mmol/mmol\ glc$)])</f>
        <v>1310.5</v>
      </c>
      <c r="H216">
        <f>_xlfn.RANK.AVG(Table1[[#This Row],[Flux in RT / glucose uptake ($mmol/mmol\ glc$)]],Table1[Flux in RT / glucose uptake ($mmol/mmol\ glc$)])</f>
        <v>1290.5</v>
      </c>
      <c r="I216" t="e">
        <f>LOG(Table1[[#This Row],[Flux in SC / glucose uptake ($mmol/mmol\ glc$)]])</f>
        <v>#NUM!</v>
      </c>
      <c r="J216" t="e">
        <f>LOG(Table1[[#This Row],[Flux in RT / glucose uptake ($mmol/mmol\ glc$)]])</f>
        <v>#NUM!</v>
      </c>
      <c r="L216" t="str">
        <v>PHETA1_c</v>
      </c>
      <c r="M216" t="str">
        <v>Phenylalanine, tyrosine and tryptophan metabolism</v>
      </c>
      <c r="N216">
        <v>-2.6016344653121233</v>
      </c>
      <c r="O216">
        <v>-1.9459214159876672</v>
      </c>
    </row>
    <row r="217" spans="1:15" x14ac:dyDescent="0.2">
      <c r="A217" t="s">
        <v>220</v>
      </c>
      <c r="B217" t="s">
        <v>3135</v>
      </c>
      <c r="C217">
        <v>0</v>
      </c>
      <c r="D217">
        <v>0</v>
      </c>
      <c r="E217">
        <f>ABS(Table1[[#This Row],[Flux in SC / glucose uptake ($mmol/mmol\ glc$)]]-Table1[[#This Row],[Flux in RT / glucose uptake ($mmol/mmol\ glc$)]])/SQRT(2)</f>
        <v>0</v>
      </c>
      <c r="F217">
        <f>Table1[[#This Row],[distance from 45-degree line]]/MAX(Table1[[Flux in SC / glucose uptake ($mmol/mmol\ glc$)]:[Flux in RT / glucose uptake ($mmol/mmol\ glc$)]])</f>
        <v>0</v>
      </c>
      <c r="G217">
        <f>_xlfn.RANK.AVG(Table1[[#This Row],[Flux in SC / glucose uptake ($mmol/mmol\ glc$)]],Table1[Flux in SC / glucose uptake ($mmol/mmol\ glc$)])</f>
        <v>1310.5</v>
      </c>
      <c r="H217">
        <f>_xlfn.RANK.AVG(Table1[[#This Row],[Flux in RT / glucose uptake ($mmol/mmol\ glc$)]],Table1[Flux in RT / glucose uptake ($mmol/mmol\ glc$)])</f>
        <v>1290.5</v>
      </c>
      <c r="I217" t="e">
        <f>LOG(Table1[[#This Row],[Flux in SC / glucose uptake ($mmol/mmol\ glc$)]])</f>
        <v>#NUM!</v>
      </c>
      <c r="J217" t="e">
        <f>LOG(Table1[[#This Row],[Flux in RT / glucose uptake ($mmol/mmol\ glc$)]])</f>
        <v>#NUM!</v>
      </c>
      <c r="L217" t="str">
        <v>PItps_e</v>
      </c>
      <c r="M217" t="str">
        <v>Transport</v>
      </c>
      <c r="N217">
        <v>-2.0864338234090427</v>
      </c>
      <c r="O217">
        <v>-1.4014706878919523</v>
      </c>
    </row>
    <row r="218" spans="1:15" x14ac:dyDescent="0.2">
      <c r="A218" t="s">
        <v>221</v>
      </c>
      <c r="B218" t="s">
        <v>3135</v>
      </c>
      <c r="C218">
        <v>0</v>
      </c>
      <c r="D218">
        <v>0</v>
      </c>
      <c r="E218">
        <f>ABS(Table1[[#This Row],[Flux in SC / glucose uptake ($mmol/mmol\ glc$)]]-Table1[[#This Row],[Flux in RT / glucose uptake ($mmol/mmol\ glc$)]])/SQRT(2)</f>
        <v>0</v>
      </c>
      <c r="F218">
        <f>Table1[[#This Row],[distance from 45-degree line]]/MAX(Table1[[Flux in SC / glucose uptake ($mmol/mmol\ glc$)]:[Flux in RT / glucose uptake ($mmol/mmol\ glc$)]])</f>
        <v>0</v>
      </c>
      <c r="G218">
        <f>_xlfn.RANK.AVG(Table1[[#This Row],[Flux in SC / glucose uptake ($mmol/mmol\ glc$)]],Table1[Flux in SC / glucose uptake ($mmol/mmol\ glc$)])</f>
        <v>1310.5</v>
      </c>
      <c r="H218">
        <f>_xlfn.RANK.AVG(Table1[[#This Row],[Flux in RT / glucose uptake ($mmol/mmol\ glc$)]],Table1[Flux in RT / glucose uptake ($mmol/mmol\ glc$)])</f>
        <v>1290.5</v>
      </c>
      <c r="I218" t="e">
        <f>LOG(Table1[[#This Row],[Flux in SC / glucose uptake ($mmol/mmol\ glc$)]])</f>
        <v>#NUM!</v>
      </c>
      <c r="J218" t="e">
        <f>LOG(Table1[[#This Row],[Flux in RT / glucose uptake ($mmol/mmol\ glc$)]])</f>
        <v>#NUM!</v>
      </c>
      <c r="L218" t="str">
        <v>PItps_m</v>
      </c>
      <c r="M218" t="str">
        <v>Transport</v>
      </c>
      <c r="N218">
        <v>-0.39225709589653129</v>
      </c>
      <c r="O218">
        <v>1.1615365198438017</v>
      </c>
    </row>
    <row r="219" spans="1:15" x14ac:dyDescent="0.2">
      <c r="A219" t="s">
        <v>222</v>
      </c>
      <c r="B219" t="s">
        <v>3135</v>
      </c>
      <c r="C219">
        <v>0</v>
      </c>
      <c r="D219">
        <v>0</v>
      </c>
      <c r="E219">
        <f>ABS(Table1[[#This Row],[Flux in SC / glucose uptake ($mmol/mmol\ glc$)]]-Table1[[#This Row],[Flux in RT / glucose uptake ($mmol/mmol\ glc$)]])/SQRT(2)</f>
        <v>0</v>
      </c>
      <c r="F219">
        <f>Table1[[#This Row],[distance from 45-degree line]]/MAX(Table1[[Flux in SC / glucose uptake ($mmol/mmol\ glc$)]:[Flux in RT / glucose uptake ($mmol/mmol\ glc$)]])</f>
        <v>0</v>
      </c>
      <c r="G219">
        <f>_xlfn.RANK.AVG(Table1[[#This Row],[Flux in SC / glucose uptake ($mmol/mmol\ glc$)]],Table1[Flux in SC / glucose uptake ($mmol/mmol\ glc$)])</f>
        <v>1310.5</v>
      </c>
      <c r="H219">
        <f>_xlfn.RANK.AVG(Table1[[#This Row],[Flux in RT / glucose uptake ($mmol/mmol\ glc$)]],Table1[Flux in RT / glucose uptake ($mmol/mmol\ glc$)])</f>
        <v>1290.5</v>
      </c>
      <c r="I219" t="e">
        <f>LOG(Table1[[#This Row],[Flux in SC / glucose uptake ($mmol/mmol\ glc$)]])</f>
        <v>#NUM!</v>
      </c>
      <c r="J219" t="e">
        <f>LOG(Table1[[#This Row],[Flux in RT / glucose uptake ($mmol/mmol\ glc$)]])</f>
        <v>#NUM!</v>
      </c>
      <c r="L219" t="str">
        <v>PMANM_c</v>
      </c>
      <c r="M219" t="str">
        <v>Fructose and mannose metabolism</v>
      </c>
      <c r="N219">
        <v>-2.2655804319978099</v>
      </c>
      <c r="O219">
        <v>-1.4492984612037394</v>
      </c>
    </row>
    <row r="220" spans="1:15" x14ac:dyDescent="0.2">
      <c r="A220" t="s">
        <v>223</v>
      </c>
      <c r="B220" t="s">
        <v>3135</v>
      </c>
      <c r="C220">
        <v>0</v>
      </c>
      <c r="D220">
        <v>0</v>
      </c>
      <c r="E220">
        <f>ABS(Table1[[#This Row],[Flux in SC / glucose uptake ($mmol/mmol\ glc$)]]-Table1[[#This Row],[Flux in RT / glucose uptake ($mmol/mmol\ glc$)]])/SQRT(2)</f>
        <v>0</v>
      </c>
      <c r="F220">
        <f>Table1[[#This Row],[distance from 45-degree line]]/MAX(Table1[[Flux in SC / glucose uptake ($mmol/mmol\ glc$)]:[Flux in RT / glucose uptake ($mmol/mmol\ glc$)]])</f>
        <v>0</v>
      </c>
      <c r="G220">
        <f>_xlfn.RANK.AVG(Table1[[#This Row],[Flux in SC / glucose uptake ($mmol/mmol\ glc$)]],Table1[Flux in SC / glucose uptake ($mmol/mmol\ glc$)])</f>
        <v>1310.5</v>
      </c>
      <c r="H220">
        <f>_xlfn.RANK.AVG(Table1[[#This Row],[Flux in RT / glucose uptake ($mmol/mmol\ glc$)]],Table1[Flux in RT / glucose uptake ($mmol/mmol\ glc$)])</f>
        <v>1290.5</v>
      </c>
      <c r="I220" t="e">
        <f>LOG(Table1[[#This Row],[Flux in SC / glucose uptake ($mmol/mmol\ glc$)]])</f>
        <v>#NUM!</v>
      </c>
      <c r="J220" t="e">
        <f>LOG(Table1[[#This Row],[Flux in RT / glucose uptake ($mmol/mmol\ glc$)]])</f>
        <v>#NUM!</v>
      </c>
      <c r="L220" t="str">
        <v>PMEVK_c</v>
      </c>
      <c r="M220" t="str">
        <v>Terpenoid backbone biosynthesis</v>
      </c>
      <c r="N220">
        <v>-2.5501896200739957</v>
      </c>
      <c r="O220">
        <v>-1.6331138041248896</v>
      </c>
    </row>
    <row r="221" spans="1:15" x14ac:dyDescent="0.2">
      <c r="A221" t="s">
        <v>224</v>
      </c>
      <c r="B221" t="s">
        <v>3135</v>
      </c>
      <c r="C221">
        <v>0</v>
      </c>
      <c r="D221">
        <v>0</v>
      </c>
      <c r="E221">
        <f>ABS(Table1[[#This Row],[Flux in SC / glucose uptake ($mmol/mmol\ glc$)]]-Table1[[#This Row],[Flux in RT / glucose uptake ($mmol/mmol\ glc$)]])/SQRT(2)</f>
        <v>0</v>
      </c>
      <c r="F221">
        <f>Table1[[#This Row],[distance from 45-degree line]]/MAX(Table1[[Flux in SC / glucose uptake ($mmol/mmol\ glc$)]:[Flux in RT / glucose uptake ($mmol/mmol\ glc$)]])</f>
        <v>0</v>
      </c>
      <c r="G221">
        <f>_xlfn.RANK.AVG(Table1[[#This Row],[Flux in SC / glucose uptake ($mmol/mmol\ glc$)]],Table1[Flux in SC / glucose uptake ($mmol/mmol\ glc$)])</f>
        <v>1310.5</v>
      </c>
      <c r="H221">
        <f>_xlfn.RANK.AVG(Table1[[#This Row],[Flux in RT / glucose uptake ($mmol/mmol\ glc$)]],Table1[Flux in RT / glucose uptake ($mmol/mmol\ glc$)])</f>
        <v>1290.5</v>
      </c>
      <c r="I221" t="e">
        <f>LOG(Table1[[#This Row],[Flux in SC / glucose uptake ($mmol/mmol\ glc$)]])</f>
        <v>#NUM!</v>
      </c>
      <c r="J221" t="e">
        <f>LOG(Table1[[#This Row],[Flux in RT / glucose uptake ($mmol/mmol\ glc$)]])</f>
        <v>#NUM!</v>
      </c>
      <c r="L221" t="str">
        <v>PPA_c</v>
      </c>
      <c r="M221" t="str">
        <v>Oxidative phosphorylation</v>
      </c>
      <c r="N221">
        <v>-8.4423686491515095</v>
      </c>
      <c r="O221">
        <v>-0.3923554943207338</v>
      </c>
    </row>
    <row r="222" spans="1:15" x14ac:dyDescent="0.2">
      <c r="A222" t="s">
        <v>225</v>
      </c>
      <c r="B222" t="s">
        <v>3135</v>
      </c>
      <c r="C222">
        <v>0</v>
      </c>
      <c r="D222">
        <v>0</v>
      </c>
      <c r="E222">
        <f>ABS(Table1[[#This Row],[Flux in SC / glucose uptake ($mmol/mmol\ glc$)]]-Table1[[#This Row],[Flux in RT / glucose uptake ($mmol/mmol\ glc$)]])/SQRT(2)</f>
        <v>0</v>
      </c>
      <c r="F222">
        <f>Table1[[#This Row],[distance from 45-degree line]]/MAX(Table1[[Flux in SC / glucose uptake ($mmol/mmol\ glc$)]:[Flux in RT / glucose uptake ($mmol/mmol\ glc$)]])</f>
        <v>0</v>
      </c>
      <c r="G222">
        <f>_xlfn.RANK.AVG(Table1[[#This Row],[Flux in SC / glucose uptake ($mmol/mmol\ glc$)]],Table1[Flux in SC / glucose uptake ($mmol/mmol\ glc$)])</f>
        <v>1310.5</v>
      </c>
      <c r="H222">
        <f>_xlfn.RANK.AVG(Table1[[#This Row],[Flux in RT / glucose uptake ($mmol/mmol\ glc$)]],Table1[Flux in RT / glucose uptake ($mmol/mmol\ glc$)])</f>
        <v>1290.5</v>
      </c>
      <c r="I222" t="e">
        <f>LOG(Table1[[#This Row],[Flux in SC / glucose uptake ($mmol/mmol\ glc$)]])</f>
        <v>#NUM!</v>
      </c>
      <c r="J222" t="e">
        <f>LOG(Table1[[#This Row],[Flux in RT / glucose uptake ($mmol/mmol\ glc$)]])</f>
        <v>#NUM!</v>
      </c>
      <c r="L222" t="str">
        <v>PPND2_c</v>
      </c>
      <c r="M222" t="str">
        <v>Phenylalanine, tyrosine and tryptophan metabolism</v>
      </c>
      <c r="N222">
        <v>-2.8845655387533213</v>
      </c>
      <c r="O222">
        <v>-2.2288537002107423</v>
      </c>
    </row>
    <row r="223" spans="1:15" x14ac:dyDescent="0.2">
      <c r="A223" t="s">
        <v>226</v>
      </c>
      <c r="B223" t="s">
        <v>3135</v>
      </c>
      <c r="C223">
        <v>0</v>
      </c>
      <c r="D223">
        <v>0</v>
      </c>
      <c r="E223">
        <f>ABS(Table1[[#This Row],[Flux in SC / glucose uptake ($mmol/mmol\ glc$)]]-Table1[[#This Row],[Flux in RT / glucose uptake ($mmol/mmol\ glc$)]])/SQRT(2)</f>
        <v>0</v>
      </c>
      <c r="F223">
        <f>Table1[[#This Row],[distance from 45-degree line]]/MAX(Table1[[Flux in SC / glucose uptake ($mmol/mmol\ glc$)]:[Flux in RT / glucose uptake ($mmol/mmol\ glc$)]])</f>
        <v>0</v>
      </c>
      <c r="G223">
        <f>_xlfn.RANK.AVG(Table1[[#This Row],[Flux in SC / glucose uptake ($mmol/mmol\ glc$)]],Table1[Flux in SC / glucose uptake ($mmol/mmol\ glc$)])</f>
        <v>1310.5</v>
      </c>
      <c r="H223">
        <f>_xlfn.RANK.AVG(Table1[[#This Row],[Flux in RT / glucose uptake ($mmol/mmol\ glc$)]],Table1[Flux in RT / glucose uptake ($mmol/mmol\ glc$)])</f>
        <v>1290.5</v>
      </c>
      <c r="I223" t="e">
        <f>LOG(Table1[[#This Row],[Flux in SC / glucose uptake ($mmol/mmol\ glc$)]])</f>
        <v>#NUM!</v>
      </c>
      <c r="J223" t="e">
        <f>LOG(Table1[[#This Row],[Flux in RT / glucose uptake ($mmol/mmol\ glc$)]])</f>
        <v>#NUM!</v>
      </c>
      <c r="L223" t="str">
        <v>PPNDH_c</v>
      </c>
      <c r="M223" t="str">
        <v>Phenylalanine, tyrosine and tryptophan metabolism</v>
      </c>
      <c r="N223">
        <v>-2.6016344653121233</v>
      </c>
      <c r="O223">
        <v>-1.9459214159876672</v>
      </c>
    </row>
    <row r="224" spans="1:15" x14ac:dyDescent="0.2">
      <c r="A224" t="s">
        <v>227</v>
      </c>
      <c r="B224" t="s">
        <v>3135</v>
      </c>
      <c r="C224">
        <v>0</v>
      </c>
      <c r="D224">
        <v>0</v>
      </c>
      <c r="E224">
        <f>ABS(Table1[[#This Row],[Flux in SC / glucose uptake ($mmol/mmol\ glc$)]]-Table1[[#This Row],[Flux in RT / glucose uptake ($mmol/mmol\ glc$)]])/SQRT(2)</f>
        <v>0</v>
      </c>
      <c r="F224">
        <f>Table1[[#This Row],[distance from 45-degree line]]/MAX(Table1[[Flux in SC / glucose uptake ($mmol/mmol\ glc$)]:[Flux in RT / glucose uptake ($mmol/mmol\ glc$)]])</f>
        <v>0</v>
      </c>
      <c r="G224">
        <f>_xlfn.RANK.AVG(Table1[[#This Row],[Flux in SC / glucose uptake ($mmol/mmol\ glc$)]],Table1[Flux in SC / glucose uptake ($mmol/mmol\ glc$)])</f>
        <v>1310.5</v>
      </c>
      <c r="H224">
        <f>_xlfn.RANK.AVG(Table1[[#This Row],[Flux in RT / glucose uptake ($mmol/mmol\ glc$)]],Table1[Flux in RT / glucose uptake ($mmol/mmol\ glc$)])</f>
        <v>1290.5</v>
      </c>
      <c r="I224" t="e">
        <f>LOG(Table1[[#This Row],[Flux in SC / glucose uptake ($mmol/mmol\ glc$)]])</f>
        <v>#NUM!</v>
      </c>
      <c r="J224" t="e">
        <f>LOG(Table1[[#This Row],[Flux in RT / glucose uptake ($mmol/mmol\ glc$)]])</f>
        <v>#NUM!</v>
      </c>
      <c r="L224" t="str">
        <v>PRAGSi_c</v>
      </c>
      <c r="M224" t="str">
        <v>Purine metabolism</v>
      </c>
      <c r="N224">
        <v>-2.5501003837924046</v>
      </c>
      <c r="O224">
        <v>-1.8648483105811549</v>
      </c>
    </row>
    <row r="225" spans="1:15" x14ac:dyDescent="0.2">
      <c r="A225" t="s">
        <v>228</v>
      </c>
      <c r="B225" t="s">
        <v>3135</v>
      </c>
      <c r="C225">
        <v>0</v>
      </c>
      <c r="D225">
        <v>0</v>
      </c>
      <c r="E225">
        <f>ABS(Table1[[#This Row],[Flux in SC / glucose uptake ($mmol/mmol\ glc$)]]-Table1[[#This Row],[Flux in RT / glucose uptake ($mmol/mmol\ glc$)]])/SQRT(2)</f>
        <v>0</v>
      </c>
      <c r="F225">
        <f>Table1[[#This Row],[distance from 45-degree line]]/MAX(Table1[[Flux in SC / glucose uptake ($mmol/mmol\ glc$)]:[Flux in RT / glucose uptake ($mmol/mmol\ glc$)]])</f>
        <v>0</v>
      </c>
      <c r="G225">
        <f>_xlfn.RANK.AVG(Table1[[#This Row],[Flux in SC / glucose uptake ($mmol/mmol\ glc$)]],Table1[Flux in SC / glucose uptake ($mmol/mmol\ glc$)])</f>
        <v>1310.5</v>
      </c>
      <c r="H225">
        <f>_xlfn.RANK.AVG(Table1[[#This Row],[Flux in RT / glucose uptake ($mmol/mmol\ glc$)]],Table1[Flux in RT / glucose uptake ($mmol/mmol\ glc$)])</f>
        <v>1290.5</v>
      </c>
      <c r="I225" t="e">
        <f>LOG(Table1[[#This Row],[Flux in SC / glucose uptake ($mmol/mmol\ glc$)]])</f>
        <v>#NUM!</v>
      </c>
      <c r="J225" t="e">
        <f>LOG(Table1[[#This Row],[Flux in RT / glucose uptake ($mmol/mmol\ glc$)]])</f>
        <v>#NUM!</v>
      </c>
      <c r="L225" t="str">
        <v>PRAIi_c</v>
      </c>
      <c r="M225" t="str">
        <v>Phenylalanine, tyrosine and tryptophan metabolism</v>
      </c>
      <c r="N225">
        <v>-2.2101358912966407</v>
      </c>
      <c r="O225">
        <v>-0.95097222922367086</v>
      </c>
    </row>
    <row r="226" spans="1:15" x14ac:dyDescent="0.2">
      <c r="A226" t="s">
        <v>229</v>
      </c>
      <c r="B226" t="s">
        <v>3135</v>
      </c>
      <c r="C226">
        <v>0</v>
      </c>
      <c r="D226">
        <v>0</v>
      </c>
      <c r="E226">
        <f>ABS(Table1[[#This Row],[Flux in SC / glucose uptake ($mmol/mmol\ glc$)]]-Table1[[#This Row],[Flux in RT / glucose uptake ($mmol/mmol\ glc$)]])/SQRT(2)</f>
        <v>0</v>
      </c>
      <c r="F226">
        <f>Table1[[#This Row],[distance from 45-degree line]]/MAX(Table1[[Flux in SC / glucose uptake ($mmol/mmol\ glc$)]:[Flux in RT / glucose uptake ($mmol/mmol\ glc$)]])</f>
        <v>0</v>
      </c>
      <c r="G226">
        <f>_xlfn.RANK.AVG(Table1[[#This Row],[Flux in SC / glucose uptake ($mmol/mmol\ glc$)]],Table1[Flux in SC / glucose uptake ($mmol/mmol\ glc$)])</f>
        <v>1310.5</v>
      </c>
      <c r="H226">
        <f>_xlfn.RANK.AVG(Table1[[#This Row],[Flux in RT / glucose uptake ($mmol/mmol\ glc$)]],Table1[Flux in RT / glucose uptake ($mmol/mmol\ glc$)])</f>
        <v>1290.5</v>
      </c>
      <c r="I226" t="e">
        <f>LOG(Table1[[#This Row],[Flux in SC / glucose uptake ($mmol/mmol\ glc$)]])</f>
        <v>#NUM!</v>
      </c>
      <c r="J226" t="e">
        <f>LOG(Table1[[#This Row],[Flux in RT / glucose uptake ($mmol/mmol\ glc$)]])</f>
        <v>#NUM!</v>
      </c>
      <c r="L226" t="str">
        <v>PRAIS_c</v>
      </c>
      <c r="M226" t="str">
        <v>Purine metabolism</v>
      </c>
      <c r="N226">
        <v>-2.5501003837924046</v>
      </c>
      <c r="O226">
        <v>-1.8648483105811549</v>
      </c>
    </row>
    <row r="227" spans="1:15" x14ac:dyDescent="0.2">
      <c r="A227" t="s">
        <v>230</v>
      </c>
      <c r="B227" t="s">
        <v>3135</v>
      </c>
      <c r="C227">
        <v>0</v>
      </c>
      <c r="D227">
        <v>0</v>
      </c>
      <c r="E227">
        <f>ABS(Table1[[#This Row],[Flux in SC / glucose uptake ($mmol/mmol\ glc$)]]-Table1[[#This Row],[Flux in RT / glucose uptake ($mmol/mmol\ glc$)]])/SQRT(2)</f>
        <v>0</v>
      </c>
      <c r="F227">
        <f>Table1[[#This Row],[distance from 45-degree line]]/MAX(Table1[[Flux in SC / glucose uptake ($mmol/mmol\ glc$)]:[Flux in RT / glucose uptake ($mmol/mmol\ glc$)]])</f>
        <v>0</v>
      </c>
      <c r="G227">
        <f>_xlfn.RANK.AVG(Table1[[#This Row],[Flux in SC / glucose uptake ($mmol/mmol\ glc$)]],Table1[Flux in SC / glucose uptake ($mmol/mmol\ glc$)])</f>
        <v>1310.5</v>
      </c>
      <c r="H227">
        <f>_xlfn.RANK.AVG(Table1[[#This Row],[Flux in RT / glucose uptake ($mmol/mmol\ glc$)]],Table1[Flux in RT / glucose uptake ($mmol/mmol\ glc$)])</f>
        <v>1290.5</v>
      </c>
      <c r="I227" t="e">
        <f>LOG(Table1[[#This Row],[Flux in SC / glucose uptake ($mmol/mmol\ glc$)]])</f>
        <v>#NUM!</v>
      </c>
      <c r="J227" t="e">
        <f>LOG(Table1[[#This Row],[Flux in RT / glucose uptake ($mmol/mmol\ glc$)]])</f>
        <v>#NUM!</v>
      </c>
      <c r="L227" t="str">
        <v>PRAMPC_c</v>
      </c>
      <c r="M227" t="str">
        <v>Histidine metabolism</v>
      </c>
      <c r="N227">
        <v>-2.8912639601064796</v>
      </c>
      <c r="O227">
        <v>-2.235550583410487</v>
      </c>
    </row>
    <row r="228" spans="1:15" x14ac:dyDescent="0.2">
      <c r="A228" t="s">
        <v>231</v>
      </c>
      <c r="B228" t="s">
        <v>3135</v>
      </c>
      <c r="C228">
        <v>0</v>
      </c>
      <c r="D228">
        <v>0</v>
      </c>
      <c r="E228">
        <f>ABS(Table1[[#This Row],[Flux in SC / glucose uptake ($mmol/mmol\ glc$)]]-Table1[[#This Row],[Flux in RT / glucose uptake ($mmol/mmol\ glc$)]])/SQRT(2)</f>
        <v>0</v>
      </c>
      <c r="F228">
        <f>Table1[[#This Row],[distance from 45-degree line]]/MAX(Table1[[Flux in SC / glucose uptake ($mmol/mmol\ glc$)]:[Flux in RT / glucose uptake ($mmol/mmol\ glc$)]])</f>
        <v>0</v>
      </c>
      <c r="G228">
        <f>_xlfn.RANK.AVG(Table1[[#This Row],[Flux in SC / glucose uptake ($mmol/mmol\ glc$)]],Table1[Flux in SC / glucose uptake ($mmol/mmol\ glc$)])</f>
        <v>1310.5</v>
      </c>
      <c r="H228">
        <f>_xlfn.RANK.AVG(Table1[[#This Row],[Flux in RT / glucose uptake ($mmol/mmol\ glc$)]],Table1[Flux in RT / glucose uptake ($mmol/mmol\ glc$)])</f>
        <v>1290.5</v>
      </c>
      <c r="I228" t="e">
        <f>LOG(Table1[[#This Row],[Flux in SC / glucose uptake ($mmol/mmol\ glc$)]])</f>
        <v>#NUM!</v>
      </c>
      <c r="J228" t="e">
        <f>LOG(Table1[[#This Row],[Flux in RT / glucose uptake ($mmol/mmol\ glc$)]])</f>
        <v>#NUM!</v>
      </c>
      <c r="L228" t="str">
        <v>PRASCSi_c</v>
      </c>
      <c r="M228" t="str">
        <v>Purine metabolism</v>
      </c>
      <c r="N228">
        <v>-2.5501003837924046</v>
      </c>
      <c r="O228">
        <v>-1.8648483105811549</v>
      </c>
    </row>
    <row r="229" spans="1:15" x14ac:dyDescent="0.2">
      <c r="A229" t="s">
        <v>232</v>
      </c>
      <c r="B229" t="s">
        <v>3135</v>
      </c>
      <c r="C229">
        <v>0</v>
      </c>
      <c r="D229">
        <v>0</v>
      </c>
      <c r="E229">
        <f>ABS(Table1[[#This Row],[Flux in SC / glucose uptake ($mmol/mmol\ glc$)]]-Table1[[#This Row],[Flux in RT / glucose uptake ($mmol/mmol\ glc$)]])/SQRT(2)</f>
        <v>0</v>
      </c>
      <c r="F229">
        <f>Table1[[#This Row],[distance from 45-degree line]]/MAX(Table1[[Flux in SC / glucose uptake ($mmol/mmol\ glc$)]:[Flux in RT / glucose uptake ($mmol/mmol\ glc$)]])</f>
        <v>0</v>
      </c>
      <c r="G229">
        <f>_xlfn.RANK.AVG(Table1[[#This Row],[Flux in SC / glucose uptake ($mmol/mmol\ glc$)]],Table1[Flux in SC / glucose uptake ($mmol/mmol\ glc$)])</f>
        <v>1310.5</v>
      </c>
      <c r="H229">
        <f>_xlfn.RANK.AVG(Table1[[#This Row],[Flux in RT / glucose uptake ($mmol/mmol\ glc$)]],Table1[Flux in RT / glucose uptake ($mmol/mmol\ glc$)])</f>
        <v>1290.5</v>
      </c>
      <c r="I229" t="e">
        <f>LOG(Table1[[#This Row],[Flux in SC / glucose uptake ($mmol/mmol\ glc$)]])</f>
        <v>#NUM!</v>
      </c>
      <c r="J229" t="e">
        <f>LOG(Table1[[#This Row],[Flux in RT / glucose uptake ($mmol/mmol\ glc$)]])</f>
        <v>#NUM!</v>
      </c>
      <c r="L229" t="str">
        <v>PRATPP_c</v>
      </c>
      <c r="M229" t="str">
        <v>Histidine metabolism</v>
      </c>
      <c r="N229">
        <v>-2.8912639601064796</v>
      </c>
      <c r="O229">
        <v>-2.235550583410487</v>
      </c>
    </row>
    <row r="230" spans="1:15" x14ac:dyDescent="0.2">
      <c r="A230" t="s">
        <v>233</v>
      </c>
      <c r="B230" t="s">
        <v>3135</v>
      </c>
      <c r="C230">
        <v>0</v>
      </c>
      <c r="D230">
        <v>0</v>
      </c>
      <c r="E230">
        <f>ABS(Table1[[#This Row],[Flux in SC / glucose uptake ($mmol/mmol\ glc$)]]-Table1[[#This Row],[Flux in RT / glucose uptake ($mmol/mmol\ glc$)]])/SQRT(2)</f>
        <v>0</v>
      </c>
      <c r="F230">
        <f>Table1[[#This Row],[distance from 45-degree line]]/MAX(Table1[[Flux in SC / glucose uptake ($mmol/mmol\ glc$)]:[Flux in RT / glucose uptake ($mmol/mmol\ glc$)]])</f>
        <v>0</v>
      </c>
      <c r="G230">
        <f>_xlfn.RANK.AVG(Table1[[#This Row],[Flux in SC / glucose uptake ($mmol/mmol\ glc$)]],Table1[Flux in SC / glucose uptake ($mmol/mmol\ glc$)])</f>
        <v>1310.5</v>
      </c>
      <c r="H230">
        <f>_xlfn.RANK.AVG(Table1[[#This Row],[Flux in RT / glucose uptake ($mmol/mmol\ glc$)]],Table1[Flux in RT / glucose uptake ($mmol/mmol\ glc$)])</f>
        <v>1290.5</v>
      </c>
      <c r="I230" t="e">
        <f>LOG(Table1[[#This Row],[Flux in SC / glucose uptake ($mmol/mmol\ glc$)]])</f>
        <v>#NUM!</v>
      </c>
      <c r="J230" t="e">
        <f>LOG(Table1[[#This Row],[Flux in RT / glucose uptake ($mmol/mmol\ glc$)]])</f>
        <v>#NUM!</v>
      </c>
      <c r="L230" t="str">
        <v>PRFGS_c</v>
      </c>
      <c r="M230" t="str">
        <v>Purine metabolism</v>
      </c>
      <c r="N230">
        <v>-2.5501003837924046</v>
      </c>
      <c r="O230">
        <v>-1.8648483105811549</v>
      </c>
    </row>
    <row r="231" spans="1:15" x14ac:dyDescent="0.2">
      <c r="A231" t="s">
        <v>234</v>
      </c>
      <c r="B231" t="s">
        <v>3135</v>
      </c>
      <c r="C231">
        <v>0</v>
      </c>
      <c r="D231">
        <v>0</v>
      </c>
      <c r="E231">
        <f>ABS(Table1[[#This Row],[Flux in SC / glucose uptake ($mmol/mmol\ glc$)]]-Table1[[#This Row],[Flux in RT / glucose uptake ($mmol/mmol\ glc$)]])/SQRT(2)</f>
        <v>0</v>
      </c>
      <c r="F231">
        <f>Table1[[#This Row],[distance from 45-degree line]]/MAX(Table1[[Flux in SC / glucose uptake ($mmol/mmol\ glc$)]:[Flux in RT / glucose uptake ($mmol/mmol\ glc$)]])</f>
        <v>0</v>
      </c>
      <c r="G231">
        <f>_xlfn.RANK.AVG(Table1[[#This Row],[Flux in SC / glucose uptake ($mmol/mmol\ glc$)]],Table1[Flux in SC / glucose uptake ($mmol/mmol\ glc$)])</f>
        <v>1310.5</v>
      </c>
      <c r="H231">
        <f>_xlfn.RANK.AVG(Table1[[#This Row],[Flux in RT / glucose uptake ($mmol/mmol\ glc$)]],Table1[Flux in RT / glucose uptake ($mmol/mmol\ glc$)])</f>
        <v>1290.5</v>
      </c>
      <c r="I231" t="e">
        <f>LOG(Table1[[#This Row],[Flux in SC / glucose uptake ($mmol/mmol\ glc$)]])</f>
        <v>#NUM!</v>
      </c>
      <c r="J231" t="e">
        <f>LOG(Table1[[#This Row],[Flux in RT / glucose uptake ($mmol/mmol\ glc$)]])</f>
        <v>#NUM!</v>
      </c>
      <c r="L231" t="str">
        <v>PRMICI_c</v>
      </c>
      <c r="M231" t="str">
        <v>Histidine metabolism</v>
      </c>
      <c r="N231">
        <v>-2.8912639601064796</v>
      </c>
      <c r="O231">
        <v>-2.235550583410487</v>
      </c>
    </row>
    <row r="232" spans="1:15" x14ac:dyDescent="0.2">
      <c r="A232" t="s">
        <v>235</v>
      </c>
      <c r="B232" t="s">
        <v>3135</v>
      </c>
      <c r="C232">
        <v>0</v>
      </c>
      <c r="D232">
        <v>0</v>
      </c>
      <c r="E232">
        <f>ABS(Table1[[#This Row],[Flux in SC / glucose uptake ($mmol/mmol\ glc$)]]-Table1[[#This Row],[Flux in RT / glucose uptake ($mmol/mmol\ glc$)]])/SQRT(2)</f>
        <v>0</v>
      </c>
      <c r="F232">
        <f>Table1[[#This Row],[distance from 45-degree line]]/MAX(Table1[[Flux in SC / glucose uptake ($mmol/mmol\ glc$)]:[Flux in RT / glucose uptake ($mmol/mmol\ glc$)]])</f>
        <v>0</v>
      </c>
      <c r="G232">
        <f>_xlfn.RANK.AVG(Table1[[#This Row],[Flux in SC / glucose uptake ($mmol/mmol\ glc$)]],Table1[Flux in SC / glucose uptake ($mmol/mmol\ glc$)])</f>
        <v>1310.5</v>
      </c>
      <c r="H232">
        <f>_xlfn.RANK.AVG(Table1[[#This Row],[Flux in RT / glucose uptake ($mmol/mmol\ glc$)]],Table1[Flux in RT / glucose uptake ($mmol/mmol\ glc$)])</f>
        <v>1290.5</v>
      </c>
      <c r="I232" t="e">
        <f>LOG(Table1[[#This Row],[Flux in SC / glucose uptake ($mmol/mmol\ glc$)]])</f>
        <v>#NUM!</v>
      </c>
      <c r="J232" t="e">
        <f>LOG(Table1[[#This Row],[Flux in RT / glucose uptake ($mmol/mmol\ glc$)]])</f>
        <v>#NUM!</v>
      </c>
      <c r="L232" t="str">
        <v>PROD2_m</v>
      </c>
      <c r="M232" t="str">
        <v>Arginine and proline metabolism</v>
      </c>
      <c r="N232">
        <v>-3.1434893849194028</v>
      </c>
      <c r="O232">
        <v>-1.0829896471727229</v>
      </c>
    </row>
    <row r="233" spans="1:15" x14ac:dyDescent="0.2">
      <c r="A233" t="s">
        <v>236</v>
      </c>
      <c r="B233" t="s">
        <v>3144</v>
      </c>
      <c r="C233">
        <v>0</v>
      </c>
      <c r="D233">
        <v>0</v>
      </c>
      <c r="E233">
        <f>ABS(Table1[[#This Row],[Flux in SC / glucose uptake ($mmol/mmol\ glc$)]]-Table1[[#This Row],[Flux in RT / glucose uptake ($mmol/mmol\ glc$)]])/SQRT(2)</f>
        <v>0</v>
      </c>
      <c r="F233">
        <f>Table1[[#This Row],[distance from 45-degree line]]/MAX(Table1[[Flux in SC / glucose uptake ($mmol/mmol\ glc$)]:[Flux in RT / glucose uptake ($mmol/mmol\ glc$)]])</f>
        <v>0</v>
      </c>
      <c r="G233">
        <f>_xlfn.RANK.AVG(Table1[[#This Row],[Flux in SC / glucose uptake ($mmol/mmol\ glc$)]],Table1[Flux in SC / glucose uptake ($mmol/mmol\ glc$)])</f>
        <v>1310.5</v>
      </c>
      <c r="H233">
        <f>_xlfn.RANK.AVG(Table1[[#This Row],[Flux in RT / glucose uptake ($mmol/mmol\ glc$)]],Table1[Flux in RT / glucose uptake ($mmol/mmol\ glc$)])</f>
        <v>1290.5</v>
      </c>
      <c r="I233" t="e">
        <f>LOG(Table1[[#This Row],[Flux in SC / glucose uptake ($mmol/mmol\ glc$)]])</f>
        <v>#NUM!</v>
      </c>
      <c r="J233" t="e">
        <f>LOG(Table1[[#This Row],[Flux in RT / glucose uptake ($mmol/mmol\ glc$)]])</f>
        <v>#NUM!</v>
      </c>
      <c r="L233" t="str">
        <v>PRPPS_c</v>
      </c>
      <c r="M233" t="str">
        <v>Histidine metabolism</v>
      </c>
      <c r="N233">
        <v>-1.8710492600198374</v>
      </c>
      <c r="O233">
        <v>-0.83649485541436119</v>
      </c>
    </row>
    <row r="234" spans="1:15" x14ac:dyDescent="0.2">
      <c r="A234" t="s">
        <v>237</v>
      </c>
      <c r="B234" t="s">
        <v>3144</v>
      </c>
      <c r="C234">
        <v>0</v>
      </c>
      <c r="D234">
        <v>0</v>
      </c>
      <c r="E234">
        <f>ABS(Table1[[#This Row],[Flux in SC / glucose uptake ($mmol/mmol\ glc$)]]-Table1[[#This Row],[Flux in RT / glucose uptake ($mmol/mmol\ glc$)]])/SQRT(2)</f>
        <v>0</v>
      </c>
      <c r="F234">
        <f>Table1[[#This Row],[distance from 45-degree line]]/MAX(Table1[[Flux in SC / glucose uptake ($mmol/mmol\ glc$)]:[Flux in RT / glucose uptake ($mmol/mmol\ glc$)]])</f>
        <v>0</v>
      </c>
      <c r="G234">
        <f>_xlfn.RANK.AVG(Table1[[#This Row],[Flux in SC / glucose uptake ($mmol/mmol\ glc$)]],Table1[Flux in SC / glucose uptake ($mmol/mmol\ glc$)])</f>
        <v>1310.5</v>
      </c>
      <c r="H234">
        <f>_xlfn.RANK.AVG(Table1[[#This Row],[Flux in RT / glucose uptake ($mmol/mmol\ glc$)]],Table1[Flux in RT / glucose uptake ($mmol/mmol\ glc$)])</f>
        <v>1290.5</v>
      </c>
      <c r="I234" t="e">
        <f>LOG(Table1[[#This Row],[Flux in SC / glucose uptake ($mmol/mmol\ glc$)]])</f>
        <v>#NUM!</v>
      </c>
      <c r="J234" t="e">
        <f>LOG(Table1[[#This Row],[Flux in RT / glucose uptake ($mmol/mmol\ glc$)]])</f>
        <v>#NUM!</v>
      </c>
      <c r="L234" t="str">
        <v>PSCIT_c</v>
      </c>
      <c r="M234" t="str">
        <v>Phenylalanine, tyrosine and tryptophan metabolism</v>
      </c>
      <c r="N234">
        <v>-2.3726829009856614</v>
      </c>
      <c r="O234">
        <v>-1.7169703392318678</v>
      </c>
    </row>
    <row r="235" spans="1:15" x14ac:dyDescent="0.2">
      <c r="A235" t="s">
        <v>238</v>
      </c>
      <c r="B235" t="s">
        <v>3144</v>
      </c>
      <c r="C235">
        <v>0</v>
      </c>
      <c r="D235">
        <v>0</v>
      </c>
      <c r="E235">
        <f>ABS(Table1[[#This Row],[Flux in SC / glucose uptake ($mmol/mmol\ glc$)]]-Table1[[#This Row],[Flux in RT / glucose uptake ($mmol/mmol\ glc$)]])/SQRT(2)</f>
        <v>0</v>
      </c>
      <c r="F235">
        <f>Table1[[#This Row],[distance from 45-degree line]]/MAX(Table1[[Flux in SC / glucose uptake ($mmol/mmol\ glc$)]:[Flux in RT / glucose uptake ($mmol/mmol\ glc$)]])</f>
        <v>0</v>
      </c>
      <c r="G235">
        <f>_xlfn.RANK.AVG(Table1[[#This Row],[Flux in SC / glucose uptake ($mmol/mmol\ glc$)]],Table1[Flux in SC / glucose uptake ($mmol/mmol\ glc$)])</f>
        <v>1310.5</v>
      </c>
      <c r="H235">
        <f>_xlfn.RANK.AVG(Table1[[#This Row],[Flux in RT / glucose uptake ($mmol/mmol\ glc$)]],Table1[Flux in RT / glucose uptake ($mmol/mmol\ glc$)])</f>
        <v>1290.5</v>
      </c>
      <c r="I235" t="e">
        <f>LOG(Table1[[#This Row],[Flux in SC / glucose uptake ($mmol/mmol\ glc$)]])</f>
        <v>#NUM!</v>
      </c>
      <c r="J235" t="e">
        <f>LOG(Table1[[#This Row],[Flux in RT / glucose uptake ($mmol/mmol\ glc$)]])</f>
        <v>#NUM!</v>
      </c>
      <c r="L235" t="str">
        <v>PSERT_c</v>
      </c>
      <c r="M235" t="str">
        <v>Glycine, serine and threonine metabolism</v>
      </c>
      <c r="N235">
        <v>-1.1936025697449737</v>
      </c>
      <c r="O235">
        <v>-0.25219566062445448</v>
      </c>
    </row>
    <row r="236" spans="1:15" x14ac:dyDescent="0.2">
      <c r="A236" t="s">
        <v>239</v>
      </c>
      <c r="B236" t="s">
        <v>3144</v>
      </c>
      <c r="C236">
        <v>0</v>
      </c>
      <c r="D236">
        <v>0</v>
      </c>
      <c r="E236">
        <f>ABS(Table1[[#This Row],[Flux in SC / glucose uptake ($mmol/mmol\ glc$)]]-Table1[[#This Row],[Flux in RT / glucose uptake ($mmol/mmol\ glc$)]])/SQRT(2)</f>
        <v>0</v>
      </c>
      <c r="F236">
        <f>Table1[[#This Row],[distance from 45-degree line]]/MAX(Table1[[Flux in SC / glucose uptake ($mmol/mmol\ glc$)]:[Flux in RT / glucose uptake ($mmol/mmol\ glc$)]])</f>
        <v>0</v>
      </c>
      <c r="G236">
        <f>_xlfn.RANK.AVG(Table1[[#This Row],[Flux in SC / glucose uptake ($mmol/mmol\ glc$)]],Table1[Flux in SC / glucose uptake ($mmol/mmol\ glc$)])</f>
        <v>1310.5</v>
      </c>
      <c r="H236">
        <f>_xlfn.RANK.AVG(Table1[[#This Row],[Flux in RT / glucose uptake ($mmol/mmol\ glc$)]],Table1[Flux in RT / glucose uptake ($mmol/mmol\ glc$)])</f>
        <v>1290.5</v>
      </c>
      <c r="I236" t="e">
        <f>LOG(Table1[[#This Row],[Flux in SC / glucose uptake ($mmol/mmol\ glc$)]])</f>
        <v>#NUM!</v>
      </c>
      <c r="J236" t="e">
        <f>LOG(Table1[[#This Row],[Flux in RT / glucose uptake ($mmol/mmol\ glc$)]])</f>
        <v>#NUM!</v>
      </c>
      <c r="L236" t="str">
        <v>PSP_L_c</v>
      </c>
      <c r="M236" t="str">
        <v>Glycine, serine and threonine metabolism</v>
      </c>
      <c r="N236">
        <v>-1.1936025697449737</v>
      </c>
      <c r="O236">
        <v>-0.25219566062445448</v>
      </c>
    </row>
    <row r="237" spans="1:15" x14ac:dyDescent="0.2">
      <c r="A237" t="s">
        <v>240</v>
      </c>
      <c r="B237" t="s">
        <v>3135</v>
      </c>
      <c r="C237">
        <v>0</v>
      </c>
      <c r="D237">
        <v>0</v>
      </c>
      <c r="E237">
        <f>ABS(Table1[[#This Row],[Flux in SC / glucose uptake ($mmol/mmol\ glc$)]]-Table1[[#This Row],[Flux in RT / glucose uptake ($mmol/mmol\ glc$)]])/SQRT(2)</f>
        <v>0</v>
      </c>
      <c r="F237">
        <f>Table1[[#This Row],[distance from 45-degree line]]/MAX(Table1[[Flux in SC / glucose uptake ($mmol/mmol\ glc$)]:[Flux in RT / glucose uptake ($mmol/mmol\ glc$)]])</f>
        <v>0</v>
      </c>
      <c r="G237">
        <f>_xlfn.RANK.AVG(Table1[[#This Row],[Flux in SC / glucose uptake ($mmol/mmol\ glc$)]],Table1[Flux in SC / glucose uptake ($mmol/mmol\ glc$)])</f>
        <v>1310.5</v>
      </c>
      <c r="H237">
        <f>_xlfn.RANK.AVG(Table1[[#This Row],[Flux in RT / glucose uptake ($mmol/mmol\ glc$)]],Table1[Flux in RT / glucose uptake ($mmol/mmol\ glc$)])</f>
        <v>1290.5</v>
      </c>
      <c r="I237" t="e">
        <f>LOG(Table1[[#This Row],[Flux in SC / glucose uptake ($mmol/mmol\ glc$)]])</f>
        <v>#NUM!</v>
      </c>
      <c r="J237" t="e">
        <f>LOG(Table1[[#This Row],[Flux in RT / glucose uptake ($mmol/mmol\ glc$)]])</f>
        <v>#NUM!</v>
      </c>
      <c r="L237" t="str">
        <v>PYK_c</v>
      </c>
      <c r="M237" t="str">
        <v>Glycolysis / Gluconeogenesis</v>
      </c>
      <c r="N237">
        <v>0.2499228395815426</v>
      </c>
      <c r="O237">
        <v>-0.13535509321133748</v>
      </c>
    </row>
    <row r="238" spans="1:15" x14ac:dyDescent="0.2">
      <c r="A238" t="s">
        <v>241</v>
      </c>
      <c r="B238" t="s">
        <v>3135</v>
      </c>
      <c r="C238">
        <v>0</v>
      </c>
      <c r="D238">
        <v>0</v>
      </c>
      <c r="E238">
        <f>ABS(Table1[[#This Row],[Flux in SC / glucose uptake ($mmol/mmol\ glc$)]]-Table1[[#This Row],[Flux in RT / glucose uptake ($mmol/mmol\ glc$)]])/SQRT(2)</f>
        <v>0</v>
      </c>
      <c r="F238">
        <f>Table1[[#This Row],[distance from 45-degree line]]/MAX(Table1[[Flux in SC / glucose uptake ($mmol/mmol\ glc$)]:[Flux in RT / glucose uptake ($mmol/mmol\ glc$)]])</f>
        <v>0</v>
      </c>
      <c r="G238">
        <f>_xlfn.RANK.AVG(Table1[[#This Row],[Flux in SC / glucose uptake ($mmol/mmol\ glc$)]],Table1[Flux in SC / glucose uptake ($mmol/mmol\ glc$)])</f>
        <v>1310.5</v>
      </c>
      <c r="H238">
        <f>_xlfn.RANK.AVG(Table1[[#This Row],[Flux in RT / glucose uptake ($mmol/mmol\ glc$)]],Table1[Flux in RT / glucose uptake ($mmol/mmol\ glc$)])</f>
        <v>1290.5</v>
      </c>
      <c r="I238" t="e">
        <f>LOG(Table1[[#This Row],[Flux in SC / glucose uptake ($mmol/mmol\ glc$)]])</f>
        <v>#NUM!</v>
      </c>
      <c r="J238" t="e">
        <f>LOG(Table1[[#This Row],[Flux in RT / glucose uptake ($mmol/mmol\ glc$)]])</f>
        <v>#NUM!</v>
      </c>
      <c r="L238" t="str">
        <v>PYRDC_c</v>
      </c>
      <c r="M238" t="str">
        <v>Pyruvate metabolism</v>
      </c>
      <c r="N238">
        <v>0.22693993414307972</v>
      </c>
      <c r="O238">
        <v>-7.7565831403223289</v>
      </c>
    </row>
    <row r="239" spans="1:15" x14ac:dyDescent="0.2">
      <c r="A239" t="s">
        <v>242</v>
      </c>
      <c r="B239" t="s">
        <v>3135</v>
      </c>
      <c r="C239">
        <v>0</v>
      </c>
      <c r="D239">
        <v>0</v>
      </c>
      <c r="E239">
        <f>ABS(Table1[[#This Row],[Flux in SC / glucose uptake ($mmol/mmol\ glc$)]]-Table1[[#This Row],[Flux in RT / glucose uptake ($mmol/mmol\ glc$)]])/SQRT(2)</f>
        <v>0</v>
      </c>
      <c r="F239">
        <f>Table1[[#This Row],[distance from 45-degree line]]/MAX(Table1[[Flux in SC / glucose uptake ($mmol/mmol\ glc$)]:[Flux in RT / glucose uptake ($mmol/mmol\ glc$)]])</f>
        <v>0</v>
      </c>
      <c r="G239">
        <f>_xlfn.RANK.AVG(Table1[[#This Row],[Flux in SC / glucose uptake ($mmol/mmol\ glc$)]],Table1[Flux in SC / glucose uptake ($mmol/mmol\ glc$)])</f>
        <v>1310.5</v>
      </c>
      <c r="H239">
        <f>_xlfn.RANK.AVG(Table1[[#This Row],[Flux in RT / glucose uptake ($mmol/mmol\ glc$)]],Table1[Flux in RT / glucose uptake ($mmol/mmol\ glc$)])</f>
        <v>1290.5</v>
      </c>
      <c r="I239" t="e">
        <f>LOG(Table1[[#This Row],[Flux in SC / glucose uptake ($mmol/mmol\ glc$)]])</f>
        <v>#NUM!</v>
      </c>
      <c r="J239" t="e">
        <f>LOG(Table1[[#This Row],[Flux in RT / glucose uptake ($mmol/mmol\ glc$)]])</f>
        <v>#NUM!</v>
      </c>
      <c r="L239" t="str">
        <v>PYRtps_m</v>
      </c>
      <c r="M239" t="str">
        <v>Transport</v>
      </c>
      <c r="N239">
        <v>-1.9472532971950363</v>
      </c>
      <c r="O239">
        <v>-0.31065645946873993</v>
      </c>
    </row>
    <row r="240" spans="1:15" x14ac:dyDescent="0.2">
      <c r="A240" t="s">
        <v>243</v>
      </c>
      <c r="B240" t="s">
        <v>3135</v>
      </c>
      <c r="C240">
        <v>0</v>
      </c>
      <c r="D240">
        <v>0</v>
      </c>
      <c r="E240">
        <f>ABS(Table1[[#This Row],[Flux in SC / glucose uptake ($mmol/mmol\ glc$)]]-Table1[[#This Row],[Flux in RT / glucose uptake ($mmol/mmol\ glc$)]])/SQRT(2)</f>
        <v>0</v>
      </c>
      <c r="F240">
        <f>Table1[[#This Row],[distance from 45-degree line]]/MAX(Table1[[Flux in SC / glucose uptake ($mmol/mmol\ glc$)]:[Flux in RT / glucose uptake ($mmol/mmol\ glc$)]])</f>
        <v>0</v>
      </c>
      <c r="G240">
        <f>_xlfn.RANK.AVG(Table1[[#This Row],[Flux in SC / glucose uptake ($mmol/mmol\ glc$)]],Table1[Flux in SC / glucose uptake ($mmol/mmol\ glc$)])</f>
        <v>1310.5</v>
      </c>
      <c r="H240">
        <f>_xlfn.RANK.AVG(Table1[[#This Row],[Flux in RT / glucose uptake ($mmol/mmol\ glc$)]],Table1[Flux in RT / glucose uptake ($mmol/mmol\ glc$)])</f>
        <v>1290.5</v>
      </c>
      <c r="I240" t="e">
        <f>LOG(Table1[[#This Row],[Flux in SC / glucose uptake ($mmol/mmol\ glc$)]])</f>
        <v>#NUM!</v>
      </c>
      <c r="J240" t="e">
        <f>LOG(Table1[[#This Row],[Flux in RT / glucose uptake ($mmol/mmol\ glc$)]])</f>
        <v>#NUM!</v>
      </c>
      <c r="L240" t="str">
        <v>RNDR1_c</v>
      </c>
      <c r="M240" t="str">
        <v>Purine metabolism</v>
      </c>
      <c r="N240">
        <v>-4.2532448884507108</v>
      </c>
      <c r="O240">
        <v>-3.36082526416447</v>
      </c>
    </row>
    <row r="241" spans="1:15" x14ac:dyDescent="0.2">
      <c r="A241" t="s">
        <v>244</v>
      </c>
      <c r="B241" t="s">
        <v>3135</v>
      </c>
      <c r="C241">
        <v>0</v>
      </c>
      <c r="D241">
        <v>0</v>
      </c>
      <c r="E241">
        <f>ABS(Table1[[#This Row],[Flux in SC / glucose uptake ($mmol/mmol\ glc$)]]-Table1[[#This Row],[Flux in RT / glucose uptake ($mmol/mmol\ glc$)]])/SQRT(2)</f>
        <v>0</v>
      </c>
      <c r="F241">
        <f>Table1[[#This Row],[distance from 45-degree line]]/MAX(Table1[[Flux in SC / glucose uptake ($mmol/mmol\ glc$)]:[Flux in RT / glucose uptake ($mmol/mmol\ glc$)]])</f>
        <v>0</v>
      </c>
      <c r="G241">
        <f>_xlfn.RANK.AVG(Table1[[#This Row],[Flux in SC / glucose uptake ($mmol/mmol\ glc$)]],Table1[Flux in SC / glucose uptake ($mmol/mmol\ glc$)])</f>
        <v>1310.5</v>
      </c>
      <c r="H241">
        <f>_xlfn.RANK.AVG(Table1[[#This Row],[Flux in RT / glucose uptake ($mmol/mmol\ glc$)]],Table1[Flux in RT / glucose uptake ($mmol/mmol\ glc$)])</f>
        <v>1290.5</v>
      </c>
      <c r="I241" t="e">
        <f>LOG(Table1[[#This Row],[Flux in SC / glucose uptake ($mmol/mmol\ glc$)]])</f>
        <v>#NUM!</v>
      </c>
      <c r="J241" t="e">
        <f>LOG(Table1[[#This Row],[Flux in RT / glucose uptake ($mmol/mmol\ glc$)]])</f>
        <v>#NUM!</v>
      </c>
      <c r="L241" t="str">
        <v>RNDR2_c</v>
      </c>
      <c r="M241" t="str">
        <v>Pyrimidine metabolism</v>
      </c>
      <c r="N241">
        <v>-4.4239858775491703</v>
      </c>
      <c r="O241">
        <v>-3.1674709323182149</v>
      </c>
    </row>
    <row r="242" spans="1:15" x14ac:dyDescent="0.2">
      <c r="A242" t="s">
        <v>245</v>
      </c>
      <c r="B242" t="s">
        <v>3135</v>
      </c>
      <c r="C242">
        <v>0</v>
      </c>
      <c r="D242">
        <v>0</v>
      </c>
      <c r="E242">
        <f>ABS(Table1[[#This Row],[Flux in SC / glucose uptake ($mmol/mmol\ glc$)]]-Table1[[#This Row],[Flux in RT / glucose uptake ($mmol/mmol\ glc$)]])/SQRT(2)</f>
        <v>0</v>
      </c>
      <c r="F242">
        <f>Table1[[#This Row],[distance from 45-degree line]]/MAX(Table1[[Flux in SC / glucose uptake ($mmol/mmol\ glc$)]:[Flux in RT / glucose uptake ($mmol/mmol\ glc$)]])</f>
        <v>0</v>
      </c>
      <c r="G242">
        <f>_xlfn.RANK.AVG(Table1[[#This Row],[Flux in SC / glucose uptake ($mmol/mmol\ glc$)]],Table1[Flux in SC / glucose uptake ($mmol/mmol\ glc$)])</f>
        <v>1310.5</v>
      </c>
      <c r="H242">
        <f>_xlfn.RANK.AVG(Table1[[#This Row],[Flux in RT / glucose uptake ($mmol/mmol\ glc$)]],Table1[Flux in RT / glucose uptake ($mmol/mmol\ glc$)])</f>
        <v>1290.5</v>
      </c>
      <c r="I242" t="e">
        <f>LOG(Table1[[#This Row],[Flux in SC / glucose uptake ($mmol/mmol\ glc$)]])</f>
        <v>#NUM!</v>
      </c>
      <c r="J242" t="e">
        <f>LOG(Table1[[#This Row],[Flux in RT / glucose uptake ($mmol/mmol\ glc$)]])</f>
        <v>#NUM!</v>
      </c>
      <c r="L242" t="str">
        <v>RNDR3_c</v>
      </c>
      <c r="M242" t="str">
        <v>Purine metabolism</v>
      </c>
      <c r="N242">
        <v>-4.4239858775491703</v>
      </c>
      <c r="O242">
        <v>-3.1674709323182149</v>
      </c>
    </row>
    <row r="243" spans="1:15" x14ac:dyDescent="0.2">
      <c r="A243" t="s">
        <v>246</v>
      </c>
      <c r="B243" t="s">
        <v>3135</v>
      </c>
      <c r="C243">
        <v>0</v>
      </c>
      <c r="D243">
        <v>0</v>
      </c>
      <c r="E243">
        <f>ABS(Table1[[#This Row],[Flux in SC / glucose uptake ($mmol/mmol\ glc$)]]-Table1[[#This Row],[Flux in RT / glucose uptake ($mmol/mmol\ glc$)]])/SQRT(2)</f>
        <v>0</v>
      </c>
      <c r="F243">
        <f>Table1[[#This Row],[distance from 45-degree line]]/MAX(Table1[[Flux in SC / glucose uptake ($mmol/mmol\ glc$)]:[Flux in RT / glucose uptake ($mmol/mmol\ glc$)]])</f>
        <v>0</v>
      </c>
      <c r="G243">
        <f>_xlfn.RANK.AVG(Table1[[#This Row],[Flux in SC / glucose uptake ($mmol/mmol\ glc$)]],Table1[Flux in SC / glucose uptake ($mmol/mmol\ glc$)])</f>
        <v>1310.5</v>
      </c>
      <c r="H243">
        <f>_xlfn.RANK.AVG(Table1[[#This Row],[Flux in RT / glucose uptake ($mmol/mmol\ glc$)]],Table1[Flux in RT / glucose uptake ($mmol/mmol\ glc$)])</f>
        <v>1290.5</v>
      </c>
      <c r="I243" t="e">
        <f>LOG(Table1[[#This Row],[Flux in SC / glucose uptake ($mmol/mmol\ glc$)]])</f>
        <v>#NUM!</v>
      </c>
      <c r="J243" t="e">
        <f>LOG(Table1[[#This Row],[Flux in RT / glucose uptake ($mmol/mmol\ glc$)]])</f>
        <v>#NUM!</v>
      </c>
      <c r="L243" t="str">
        <v>RNDR4_c</v>
      </c>
      <c r="M243" t="str">
        <v>Pyrimidine metabolism</v>
      </c>
      <c r="N243">
        <v>-4.2532448884507108</v>
      </c>
      <c r="O243">
        <v>-3.36082526416447</v>
      </c>
    </row>
    <row r="244" spans="1:15" x14ac:dyDescent="0.2">
      <c r="A244" t="s">
        <v>247</v>
      </c>
      <c r="B244" t="s">
        <v>3135</v>
      </c>
      <c r="C244">
        <v>0</v>
      </c>
      <c r="D244">
        <v>0</v>
      </c>
      <c r="E244">
        <f>ABS(Table1[[#This Row],[Flux in SC / glucose uptake ($mmol/mmol\ glc$)]]-Table1[[#This Row],[Flux in RT / glucose uptake ($mmol/mmol\ glc$)]])/SQRT(2)</f>
        <v>0</v>
      </c>
      <c r="F244">
        <f>Table1[[#This Row],[distance from 45-degree line]]/MAX(Table1[[Flux in SC / glucose uptake ($mmol/mmol\ glc$)]:[Flux in RT / glucose uptake ($mmol/mmol\ glc$)]])</f>
        <v>0</v>
      </c>
      <c r="G244">
        <f>_xlfn.RANK.AVG(Table1[[#This Row],[Flux in SC / glucose uptake ($mmol/mmol\ glc$)]],Table1[Flux in SC / glucose uptake ($mmol/mmol\ glc$)])</f>
        <v>1310.5</v>
      </c>
      <c r="H244">
        <f>_xlfn.RANK.AVG(Table1[[#This Row],[Flux in RT / glucose uptake ($mmol/mmol\ glc$)]],Table1[Flux in RT / glucose uptake ($mmol/mmol\ glc$)])</f>
        <v>1290.5</v>
      </c>
      <c r="I244" t="e">
        <f>LOG(Table1[[#This Row],[Flux in SC / glucose uptake ($mmol/mmol\ glc$)]])</f>
        <v>#NUM!</v>
      </c>
      <c r="J244" t="e">
        <f>LOG(Table1[[#This Row],[Flux in RT / glucose uptake ($mmol/mmol\ glc$)]])</f>
        <v>#NUM!</v>
      </c>
      <c r="L244" t="str">
        <v>RPE_c</v>
      </c>
      <c r="M244" t="str">
        <v>Pentose phosphate pathway</v>
      </c>
      <c r="N244">
        <v>-1.9103093339005091</v>
      </c>
      <c r="O244">
        <v>-0.49513746856654445</v>
      </c>
    </row>
    <row r="245" spans="1:15" x14ac:dyDescent="0.2">
      <c r="A245" t="s">
        <v>248</v>
      </c>
      <c r="B245" t="s">
        <v>3135</v>
      </c>
      <c r="C245">
        <v>0</v>
      </c>
      <c r="D245">
        <v>0</v>
      </c>
      <c r="E245">
        <f>ABS(Table1[[#This Row],[Flux in SC / glucose uptake ($mmol/mmol\ glc$)]]-Table1[[#This Row],[Flux in RT / glucose uptake ($mmol/mmol\ glc$)]])/SQRT(2)</f>
        <v>0</v>
      </c>
      <c r="F245">
        <f>Table1[[#This Row],[distance from 45-degree line]]/MAX(Table1[[Flux in SC / glucose uptake ($mmol/mmol\ glc$)]:[Flux in RT / glucose uptake ($mmol/mmol\ glc$)]])</f>
        <v>0</v>
      </c>
      <c r="G245">
        <f>_xlfn.RANK.AVG(Table1[[#This Row],[Flux in SC / glucose uptake ($mmol/mmol\ glc$)]],Table1[Flux in SC / glucose uptake ($mmol/mmol\ glc$)])</f>
        <v>1310.5</v>
      </c>
      <c r="H245">
        <f>_xlfn.RANK.AVG(Table1[[#This Row],[Flux in RT / glucose uptake ($mmol/mmol\ glc$)]],Table1[Flux in RT / glucose uptake ($mmol/mmol\ glc$)])</f>
        <v>1290.5</v>
      </c>
      <c r="I245" t="e">
        <f>LOG(Table1[[#This Row],[Flux in SC / glucose uptake ($mmol/mmol\ glc$)]])</f>
        <v>#NUM!</v>
      </c>
      <c r="J245" t="e">
        <f>LOG(Table1[[#This Row],[Flux in RT / glucose uptake ($mmol/mmol\ glc$)]])</f>
        <v>#NUM!</v>
      </c>
      <c r="L245" t="str">
        <v>RPI_c</v>
      </c>
      <c r="M245" t="str">
        <v>Pentose phosphate pathway</v>
      </c>
      <c r="N245">
        <v>-1.6630641423163515</v>
      </c>
      <c r="O245">
        <v>-0.50140905178182438</v>
      </c>
    </row>
    <row r="246" spans="1:15" x14ac:dyDescent="0.2">
      <c r="A246" t="s">
        <v>249</v>
      </c>
      <c r="B246" t="s">
        <v>3135</v>
      </c>
      <c r="C246">
        <v>0</v>
      </c>
      <c r="D246">
        <v>0</v>
      </c>
      <c r="E246">
        <f>ABS(Table1[[#This Row],[Flux in SC / glucose uptake ($mmol/mmol\ glc$)]]-Table1[[#This Row],[Flux in RT / glucose uptake ($mmol/mmol\ glc$)]])/SQRT(2)</f>
        <v>0</v>
      </c>
      <c r="F246">
        <f>Table1[[#This Row],[distance from 45-degree line]]/MAX(Table1[[Flux in SC / glucose uptake ($mmol/mmol\ glc$)]:[Flux in RT / glucose uptake ($mmol/mmol\ glc$)]])</f>
        <v>0</v>
      </c>
      <c r="G246">
        <f>_xlfn.RANK.AVG(Table1[[#This Row],[Flux in SC / glucose uptake ($mmol/mmol\ glc$)]],Table1[Flux in SC / glucose uptake ($mmol/mmol\ glc$)])</f>
        <v>1310.5</v>
      </c>
      <c r="H246">
        <f>_xlfn.RANK.AVG(Table1[[#This Row],[Flux in RT / glucose uptake ($mmol/mmol\ glc$)]],Table1[Flux in RT / glucose uptake ($mmol/mmol\ glc$)])</f>
        <v>1290.5</v>
      </c>
      <c r="I246" t="e">
        <f>LOG(Table1[[#This Row],[Flux in SC / glucose uptake ($mmol/mmol\ glc$)]])</f>
        <v>#NUM!</v>
      </c>
      <c r="J246" t="e">
        <f>LOG(Table1[[#This Row],[Flux in RT / glucose uptake ($mmol/mmol\ glc$)]])</f>
        <v>#NUM!</v>
      </c>
      <c r="L246" t="str">
        <v>SACCD1_c</v>
      </c>
      <c r="M246" t="str">
        <v>Lysine metabolism</v>
      </c>
      <c r="N246">
        <v>-2.3592557396966845</v>
      </c>
      <c r="O246">
        <v>-1.7035443695357284</v>
      </c>
    </row>
    <row r="247" spans="1:15" x14ac:dyDescent="0.2">
      <c r="A247" t="s">
        <v>250</v>
      </c>
      <c r="B247" t="s">
        <v>3135</v>
      </c>
      <c r="C247">
        <v>0</v>
      </c>
      <c r="D247">
        <v>0</v>
      </c>
      <c r="E247">
        <f>ABS(Table1[[#This Row],[Flux in SC / glucose uptake ($mmol/mmol\ glc$)]]-Table1[[#This Row],[Flux in RT / glucose uptake ($mmol/mmol\ glc$)]])/SQRT(2)</f>
        <v>0</v>
      </c>
      <c r="F247">
        <f>Table1[[#This Row],[distance from 45-degree line]]/MAX(Table1[[Flux in SC / glucose uptake ($mmol/mmol\ glc$)]:[Flux in RT / glucose uptake ($mmol/mmol\ glc$)]])</f>
        <v>0</v>
      </c>
      <c r="G247">
        <f>_xlfn.RANK.AVG(Table1[[#This Row],[Flux in SC / glucose uptake ($mmol/mmol\ glc$)]],Table1[Flux in SC / glucose uptake ($mmol/mmol\ glc$)])</f>
        <v>1310.5</v>
      </c>
      <c r="H247">
        <f>_xlfn.RANK.AVG(Table1[[#This Row],[Flux in RT / glucose uptake ($mmol/mmol\ glc$)]],Table1[Flux in RT / glucose uptake ($mmol/mmol\ glc$)])</f>
        <v>1290.5</v>
      </c>
      <c r="I247" t="e">
        <f>LOG(Table1[[#This Row],[Flux in SC / glucose uptake ($mmol/mmol\ glc$)]])</f>
        <v>#NUM!</v>
      </c>
      <c r="J247" t="e">
        <f>LOG(Table1[[#This Row],[Flux in RT / glucose uptake ($mmol/mmol\ glc$)]])</f>
        <v>#NUM!</v>
      </c>
      <c r="L247" t="str">
        <v>SACCD2_c</v>
      </c>
      <c r="M247" t="str">
        <v>Lysine metabolism</v>
      </c>
      <c r="N247">
        <v>-2.3592557396966845</v>
      </c>
      <c r="O247">
        <v>-1.7035443695357284</v>
      </c>
    </row>
    <row r="248" spans="1:15" x14ac:dyDescent="0.2">
      <c r="A248" t="s">
        <v>251</v>
      </c>
      <c r="B248" t="s">
        <v>3135</v>
      </c>
      <c r="C248">
        <v>0</v>
      </c>
      <c r="D248">
        <v>0</v>
      </c>
      <c r="E248">
        <f>ABS(Table1[[#This Row],[Flux in SC / glucose uptake ($mmol/mmol\ glc$)]]-Table1[[#This Row],[Flux in RT / glucose uptake ($mmol/mmol\ glc$)]])/SQRT(2)</f>
        <v>0</v>
      </c>
      <c r="F248">
        <f>Table1[[#This Row],[distance from 45-degree line]]/MAX(Table1[[Flux in SC / glucose uptake ($mmol/mmol\ glc$)]:[Flux in RT / glucose uptake ($mmol/mmol\ glc$)]])</f>
        <v>0</v>
      </c>
      <c r="G248">
        <f>_xlfn.RANK.AVG(Table1[[#This Row],[Flux in SC / glucose uptake ($mmol/mmol\ glc$)]],Table1[Flux in SC / glucose uptake ($mmol/mmol\ glc$)])</f>
        <v>1310.5</v>
      </c>
      <c r="H248">
        <f>_xlfn.RANK.AVG(Table1[[#This Row],[Flux in RT / glucose uptake ($mmol/mmol\ glc$)]],Table1[Flux in RT / glucose uptake ($mmol/mmol\ glc$)])</f>
        <v>1290.5</v>
      </c>
      <c r="I248" t="e">
        <f>LOG(Table1[[#This Row],[Flux in SC / glucose uptake ($mmol/mmol\ glc$)]])</f>
        <v>#NUM!</v>
      </c>
      <c r="J248" t="e">
        <f>LOG(Table1[[#This Row],[Flux in RT / glucose uptake ($mmol/mmol\ glc$)]])</f>
        <v>#NUM!</v>
      </c>
      <c r="L248" t="str">
        <v>SADT_c</v>
      </c>
      <c r="M248" t="str">
        <v>Purine metabolism</v>
      </c>
      <c r="N248">
        <v>-3.0696114247195303</v>
      </c>
      <c r="O248">
        <v>-2.413903635373893</v>
      </c>
    </row>
    <row r="249" spans="1:15" x14ac:dyDescent="0.2">
      <c r="A249" t="s">
        <v>252</v>
      </c>
      <c r="B249" t="s">
        <v>3135</v>
      </c>
      <c r="C249">
        <v>0</v>
      </c>
      <c r="D249">
        <v>0</v>
      </c>
      <c r="E249">
        <f>ABS(Table1[[#This Row],[Flux in SC / glucose uptake ($mmol/mmol\ glc$)]]-Table1[[#This Row],[Flux in RT / glucose uptake ($mmol/mmol\ glc$)]])/SQRT(2)</f>
        <v>0</v>
      </c>
      <c r="F249">
        <f>Table1[[#This Row],[distance from 45-degree line]]/MAX(Table1[[Flux in SC / glucose uptake ($mmol/mmol\ glc$)]:[Flux in RT / glucose uptake ($mmol/mmol\ glc$)]])</f>
        <v>0</v>
      </c>
      <c r="G249">
        <f>_xlfn.RANK.AVG(Table1[[#This Row],[Flux in SC / glucose uptake ($mmol/mmol\ glc$)]],Table1[Flux in SC / glucose uptake ($mmol/mmol\ glc$)])</f>
        <v>1310.5</v>
      </c>
      <c r="H249">
        <f>_xlfn.RANK.AVG(Table1[[#This Row],[Flux in RT / glucose uptake ($mmol/mmol\ glc$)]],Table1[Flux in RT / glucose uptake ($mmol/mmol\ glc$)])</f>
        <v>1290.5</v>
      </c>
      <c r="I249" t="e">
        <f>LOG(Table1[[#This Row],[Flux in SC / glucose uptake ($mmol/mmol\ glc$)]])</f>
        <v>#NUM!</v>
      </c>
      <c r="J249" t="e">
        <f>LOG(Table1[[#This Row],[Flux in RT / glucose uptake ($mmol/mmol\ glc$)]])</f>
        <v>#NUM!</v>
      </c>
      <c r="L249" t="str">
        <v>SAM24MT_c</v>
      </c>
      <c r="M249" t="str">
        <v>Ergosterol biosynthesis</v>
      </c>
      <c r="N249">
        <v>-3.3283408704576396</v>
      </c>
      <c r="O249">
        <v>-2.4112650545085335</v>
      </c>
    </row>
    <row r="250" spans="1:15" x14ac:dyDescent="0.2">
      <c r="A250" t="s">
        <v>253</v>
      </c>
      <c r="B250" t="s">
        <v>3135</v>
      </c>
      <c r="C250">
        <v>0</v>
      </c>
      <c r="D250">
        <v>0</v>
      </c>
      <c r="E250">
        <f>ABS(Table1[[#This Row],[Flux in SC / glucose uptake ($mmol/mmol\ glc$)]]-Table1[[#This Row],[Flux in RT / glucose uptake ($mmol/mmol\ glc$)]])/SQRT(2)</f>
        <v>0</v>
      </c>
      <c r="F250">
        <f>Table1[[#This Row],[distance from 45-degree line]]/MAX(Table1[[Flux in SC / glucose uptake ($mmol/mmol\ glc$)]:[Flux in RT / glucose uptake ($mmol/mmol\ glc$)]])</f>
        <v>0</v>
      </c>
      <c r="G250">
        <f>_xlfn.RANK.AVG(Table1[[#This Row],[Flux in SC / glucose uptake ($mmol/mmol\ glc$)]],Table1[Flux in SC / glucose uptake ($mmol/mmol\ glc$)])</f>
        <v>1310.5</v>
      </c>
      <c r="H250">
        <f>_xlfn.RANK.AVG(Table1[[#This Row],[Flux in RT / glucose uptake ($mmol/mmol\ glc$)]],Table1[Flux in RT / glucose uptake ($mmol/mmol\ glc$)])</f>
        <v>1290.5</v>
      </c>
      <c r="I250" t="e">
        <f>LOG(Table1[[#This Row],[Flux in SC / glucose uptake ($mmol/mmol\ glc$)]])</f>
        <v>#NUM!</v>
      </c>
      <c r="J250" t="e">
        <f>LOG(Table1[[#This Row],[Flux in RT / glucose uptake ($mmol/mmol\ glc$)]])</f>
        <v>#NUM!</v>
      </c>
      <c r="L250" t="str">
        <v>SHK3Di_c</v>
      </c>
      <c r="M250" t="str">
        <v>Phenylalanine, tyrosine and tryptophan metabolism</v>
      </c>
      <c r="N250">
        <v>-2.3726829009856614</v>
      </c>
      <c r="O250">
        <v>-1.7169703392318678</v>
      </c>
    </row>
    <row r="251" spans="1:15" x14ac:dyDescent="0.2">
      <c r="A251" t="s">
        <v>254</v>
      </c>
      <c r="B251" t="s">
        <v>3135</v>
      </c>
      <c r="C251">
        <v>0</v>
      </c>
      <c r="D251">
        <v>0</v>
      </c>
      <c r="E251">
        <f>ABS(Table1[[#This Row],[Flux in SC / glucose uptake ($mmol/mmol\ glc$)]]-Table1[[#This Row],[Flux in RT / glucose uptake ($mmol/mmol\ glc$)]])/SQRT(2)</f>
        <v>0</v>
      </c>
      <c r="F251">
        <f>Table1[[#This Row],[distance from 45-degree line]]/MAX(Table1[[Flux in SC / glucose uptake ($mmol/mmol\ glc$)]:[Flux in RT / glucose uptake ($mmol/mmol\ glc$)]])</f>
        <v>0</v>
      </c>
      <c r="G251">
        <f>_xlfn.RANK.AVG(Table1[[#This Row],[Flux in SC / glucose uptake ($mmol/mmol\ glc$)]],Table1[Flux in SC / glucose uptake ($mmol/mmol\ glc$)])</f>
        <v>1310.5</v>
      </c>
      <c r="H251">
        <f>_xlfn.RANK.AVG(Table1[[#This Row],[Flux in RT / glucose uptake ($mmol/mmol\ glc$)]],Table1[Flux in RT / glucose uptake ($mmol/mmol\ glc$)])</f>
        <v>1290.5</v>
      </c>
      <c r="I251" t="e">
        <f>LOG(Table1[[#This Row],[Flux in SC / glucose uptake ($mmol/mmol\ glc$)]])</f>
        <v>#NUM!</v>
      </c>
      <c r="J251" t="e">
        <f>LOG(Table1[[#This Row],[Flux in RT / glucose uptake ($mmol/mmol\ glc$)]])</f>
        <v>#NUM!</v>
      </c>
      <c r="L251" t="str">
        <v>SHKK_c</v>
      </c>
      <c r="M251" t="str">
        <v>Phenylalanine, tyrosine and tryptophan metabolism</v>
      </c>
      <c r="N251">
        <v>-2.3726829009856614</v>
      </c>
      <c r="O251">
        <v>-1.7169703392318678</v>
      </c>
    </row>
    <row r="252" spans="1:15" x14ac:dyDescent="0.2">
      <c r="A252" t="s">
        <v>255</v>
      </c>
      <c r="B252" t="s">
        <v>3135</v>
      </c>
      <c r="C252">
        <v>0</v>
      </c>
      <c r="D252">
        <v>0</v>
      </c>
      <c r="E252">
        <f>ABS(Table1[[#This Row],[Flux in SC / glucose uptake ($mmol/mmol\ glc$)]]-Table1[[#This Row],[Flux in RT / glucose uptake ($mmol/mmol\ glc$)]])/SQRT(2)</f>
        <v>0</v>
      </c>
      <c r="F252">
        <f>Table1[[#This Row],[distance from 45-degree line]]/MAX(Table1[[Flux in SC / glucose uptake ($mmol/mmol\ glc$)]:[Flux in RT / glucose uptake ($mmol/mmol\ glc$)]])</f>
        <v>0</v>
      </c>
      <c r="G252">
        <f>_xlfn.RANK.AVG(Table1[[#This Row],[Flux in SC / glucose uptake ($mmol/mmol\ glc$)]],Table1[Flux in SC / glucose uptake ($mmol/mmol\ glc$)])</f>
        <v>1310.5</v>
      </c>
      <c r="H252">
        <f>_xlfn.RANK.AVG(Table1[[#This Row],[Flux in RT / glucose uptake ($mmol/mmol\ glc$)]],Table1[Flux in RT / glucose uptake ($mmol/mmol\ glc$)])</f>
        <v>1290.5</v>
      </c>
      <c r="I252" t="e">
        <f>LOG(Table1[[#This Row],[Flux in SC / glucose uptake ($mmol/mmol\ glc$)]])</f>
        <v>#NUM!</v>
      </c>
      <c r="J252" t="e">
        <f>LOG(Table1[[#This Row],[Flux in RT / glucose uptake ($mmol/mmol\ glc$)]])</f>
        <v>#NUM!</v>
      </c>
      <c r="L252" t="str">
        <v>SO3R_c</v>
      </c>
      <c r="M252" t="str">
        <v>Sulfur metabolism</v>
      </c>
      <c r="N252">
        <v>-3.0696095838366184</v>
      </c>
      <c r="O252">
        <v>-2.413903635373893</v>
      </c>
    </row>
    <row r="253" spans="1:15" x14ac:dyDescent="0.2">
      <c r="A253" t="s">
        <v>256</v>
      </c>
      <c r="B253" t="s">
        <v>3135</v>
      </c>
      <c r="C253">
        <v>0</v>
      </c>
      <c r="D253">
        <v>0</v>
      </c>
      <c r="E253">
        <f>ABS(Table1[[#This Row],[Flux in SC / glucose uptake ($mmol/mmol\ glc$)]]-Table1[[#This Row],[Flux in RT / glucose uptake ($mmol/mmol\ glc$)]])/SQRT(2)</f>
        <v>0</v>
      </c>
      <c r="F253">
        <f>Table1[[#This Row],[distance from 45-degree line]]/MAX(Table1[[Flux in SC / glucose uptake ($mmol/mmol\ glc$)]:[Flux in RT / glucose uptake ($mmol/mmol\ glc$)]])</f>
        <v>0</v>
      </c>
      <c r="G253">
        <f>_xlfn.RANK.AVG(Table1[[#This Row],[Flux in SC / glucose uptake ($mmol/mmol\ glc$)]],Table1[Flux in SC / glucose uptake ($mmol/mmol\ glc$)])</f>
        <v>1310.5</v>
      </c>
      <c r="H253">
        <f>_xlfn.RANK.AVG(Table1[[#This Row],[Flux in RT / glucose uptake ($mmol/mmol\ glc$)]],Table1[Flux in RT / glucose uptake ($mmol/mmol\ glc$)])</f>
        <v>1290.5</v>
      </c>
      <c r="I253" t="e">
        <f>LOG(Table1[[#This Row],[Flux in SC / glucose uptake ($mmol/mmol\ glc$)]])</f>
        <v>#NUM!</v>
      </c>
      <c r="J253" t="e">
        <f>LOG(Table1[[#This Row],[Flux in RT / glucose uptake ($mmol/mmol\ glc$)]])</f>
        <v>#NUM!</v>
      </c>
      <c r="L253" t="str">
        <v>SO4t_c_e</v>
      </c>
      <c r="M253" t="str">
        <v>Transport</v>
      </c>
      <c r="N253">
        <v>-2.8884801488566079</v>
      </c>
      <c r="O253">
        <v>-2.2132850215520534</v>
      </c>
    </row>
    <row r="254" spans="1:15" x14ac:dyDescent="0.2">
      <c r="A254" t="s">
        <v>257</v>
      </c>
      <c r="B254" t="s">
        <v>3135</v>
      </c>
      <c r="C254">
        <v>0</v>
      </c>
      <c r="D254">
        <v>0</v>
      </c>
      <c r="E254">
        <f>ABS(Table1[[#This Row],[Flux in SC / glucose uptake ($mmol/mmol\ glc$)]]-Table1[[#This Row],[Flux in RT / glucose uptake ($mmol/mmol\ glc$)]])/SQRT(2)</f>
        <v>0</v>
      </c>
      <c r="F254">
        <f>Table1[[#This Row],[distance from 45-degree line]]/MAX(Table1[[Flux in SC / glucose uptake ($mmol/mmol\ glc$)]:[Flux in RT / glucose uptake ($mmol/mmol\ glc$)]])</f>
        <v>0</v>
      </c>
      <c r="G254">
        <f>_xlfn.RANK.AVG(Table1[[#This Row],[Flux in SC / glucose uptake ($mmol/mmol\ glc$)]],Table1[Flux in SC / glucose uptake ($mmol/mmol\ glc$)])</f>
        <v>1310.5</v>
      </c>
      <c r="H254">
        <f>_xlfn.RANK.AVG(Table1[[#This Row],[Flux in RT / glucose uptake ($mmol/mmol\ glc$)]],Table1[Flux in RT / glucose uptake ($mmol/mmol\ glc$)])</f>
        <v>1290.5</v>
      </c>
      <c r="I254" t="e">
        <f>LOG(Table1[[#This Row],[Flux in SC / glucose uptake ($mmol/mmol\ glc$)]])</f>
        <v>#NUM!</v>
      </c>
      <c r="J254" t="e">
        <f>LOG(Table1[[#This Row],[Flux in RT / glucose uptake ($mmol/mmol\ glc$)]])</f>
        <v>#NUM!</v>
      </c>
      <c r="L254" t="str">
        <v>SQLS_c</v>
      </c>
      <c r="M254" t="str">
        <v>Ergosterol biosynthesis</v>
      </c>
      <c r="N254">
        <v>-3.3283408704576396</v>
      </c>
      <c r="O254">
        <v>-2.4112650545085335</v>
      </c>
    </row>
    <row r="255" spans="1:15" x14ac:dyDescent="0.2">
      <c r="A255" t="s">
        <v>258</v>
      </c>
      <c r="B255" t="s">
        <v>3135</v>
      </c>
      <c r="C255">
        <v>0</v>
      </c>
      <c r="D255">
        <v>0</v>
      </c>
      <c r="E255">
        <f>ABS(Table1[[#This Row],[Flux in SC / glucose uptake ($mmol/mmol\ glc$)]]-Table1[[#This Row],[Flux in RT / glucose uptake ($mmol/mmol\ glc$)]])/SQRT(2)</f>
        <v>0</v>
      </c>
      <c r="F255">
        <f>Table1[[#This Row],[distance from 45-degree line]]/MAX(Table1[[Flux in SC / glucose uptake ($mmol/mmol\ glc$)]:[Flux in RT / glucose uptake ($mmol/mmol\ glc$)]])</f>
        <v>0</v>
      </c>
      <c r="G255">
        <f>_xlfn.RANK.AVG(Table1[[#This Row],[Flux in SC / glucose uptake ($mmol/mmol\ glc$)]],Table1[Flux in SC / glucose uptake ($mmol/mmol\ glc$)])</f>
        <v>1310.5</v>
      </c>
      <c r="H255">
        <f>_xlfn.RANK.AVG(Table1[[#This Row],[Flux in RT / glucose uptake ($mmol/mmol\ glc$)]],Table1[Flux in RT / glucose uptake ($mmol/mmol\ glc$)])</f>
        <v>1290.5</v>
      </c>
      <c r="I255" t="e">
        <f>LOG(Table1[[#This Row],[Flux in SC / glucose uptake ($mmol/mmol\ glc$)]])</f>
        <v>#NUM!</v>
      </c>
      <c r="J255" t="e">
        <f>LOG(Table1[[#This Row],[Flux in RT / glucose uptake ($mmol/mmol\ glc$)]])</f>
        <v>#NUM!</v>
      </c>
      <c r="L255" t="str">
        <v>SUCFUMt_c_m</v>
      </c>
      <c r="M255" t="str">
        <v>Transport</v>
      </c>
      <c r="N255">
        <v>-2.5456713269149391</v>
      </c>
      <c r="O255">
        <v>-1.8446610994166099</v>
      </c>
    </row>
    <row r="256" spans="1:15" x14ac:dyDescent="0.2">
      <c r="A256" t="s">
        <v>259</v>
      </c>
      <c r="B256" t="s">
        <v>3135</v>
      </c>
      <c r="C256">
        <v>0</v>
      </c>
      <c r="D256">
        <v>0</v>
      </c>
      <c r="E256">
        <f>ABS(Table1[[#This Row],[Flux in SC / glucose uptake ($mmol/mmol\ glc$)]]-Table1[[#This Row],[Flux in RT / glucose uptake ($mmol/mmol\ glc$)]])/SQRT(2)</f>
        <v>0</v>
      </c>
      <c r="F256">
        <f>Table1[[#This Row],[distance from 45-degree line]]/MAX(Table1[[Flux in SC / glucose uptake ($mmol/mmol\ glc$)]:[Flux in RT / glucose uptake ($mmol/mmol\ glc$)]])</f>
        <v>0</v>
      </c>
      <c r="G256">
        <f>_xlfn.RANK.AVG(Table1[[#This Row],[Flux in SC / glucose uptake ($mmol/mmol\ glc$)]],Table1[Flux in SC / glucose uptake ($mmol/mmol\ glc$)])</f>
        <v>1310.5</v>
      </c>
      <c r="H256">
        <f>_xlfn.RANK.AVG(Table1[[#This Row],[Flux in RT / glucose uptake ($mmol/mmol\ glc$)]],Table1[Flux in RT / glucose uptake ($mmol/mmol\ glc$)])</f>
        <v>1290.5</v>
      </c>
      <c r="I256" t="e">
        <f>LOG(Table1[[#This Row],[Flux in SC / glucose uptake ($mmol/mmol\ glc$)]])</f>
        <v>#NUM!</v>
      </c>
      <c r="J256" t="e">
        <f>LOG(Table1[[#This Row],[Flux in RT / glucose uptake ($mmol/mmol\ glc$)]])</f>
        <v>#NUM!</v>
      </c>
      <c r="L256" t="str">
        <v>SUCOAS_m</v>
      </c>
      <c r="M256" t="str">
        <v>Citric acid cycle</v>
      </c>
      <c r="N256">
        <v>-3.1128499741398463</v>
      </c>
      <c r="O256">
        <v>-0.60630033258635219</v>
      </c>
    </row>
    <row r="257" spans="1:15" x14ac:dyDescent="0.2">
      <c r="A257" t="s">
        <v>260</v>
      </c>
      <c r="B257" t="s">
        <v>3135</v>
      </c>
      <c r="C257">
        <v>0</v>
      </c>
      <c r="D257">
        <v>0</v>
      </c>
      <c r="E257">
        <f>ABS(Table1[[#This Row],[Flux in SC / glucose uptake ($mmol/mmol\ glc$)]]-Table1[[#This Row],[Flux in RT / glucose uptake ($mmol/mmol\ glc$)]])/SQRT(2)</f>
        <v>0</v>
      </c>
      <c r="F257">
        <f>Table1[[#This Row],[distance from 45-degree line]]/MAX(Table1[[Flux in SC / glucose uptake ($mmol/mmol\ glc$)]:[Flux in RT / glucose uptake ($mmol/mmol\ glc$)]])</f>
        <v>0</v>
      </c>
      <c r="G257">
        <f>_xlfn.RANK.AVG(Table1[[#This Row],[Flux in SC / glucose uptake ($mmol/mmol\ glc$)]],Table1[Flux in SC / glucose uptake ($mmol/mmol\ glc$)])</f>
        <v>1310.5</v>
      </c>
      <c r="H257">
        <f>_xlfn.RANK.AVG(Table1[[#This Row],[Flux in RT / glucose uptake ($mmol/mmol\ glc$)]],Table1[Flux in RT / glucose uptake ($mmol/mmol\ glc$)])</f>
        <v>1290.5</v>
      </c>
      <c r="I257" t="e">
        <f>LOG(Table1[[#This Row],[Flux in SC / glucose uptake ($mmol/mmol\ glc$)]])</f>
        <v>#NUM!</v>
      </c>
      <c r="J257" t="e">
        <f>LOG(Table1[[#This Row],[Flux in RT / glucose uptake ($mmol/mmol\ glc$)]])</f>
        <v>#NUM!</v>
      </c>
      <c r="L257" t="str">
        <v>TALA_c</v>
      </c>
      <c r="M257" t="str">
        <v>Pentose phosphate pathway</v>
      </c>
      <c r="N257">
        <v>-2.0826662662882787</v>
      </c>
      <c r="O257">
        <v>-0.77086067819726622</v>
      </c>
    </row>
    <row r="258" spans="1:15" x14ac:dyDescent="0.2">
      <c r="A258" t="s">
        <v>261</v>
      </c>
      <c r="B258" t="s">
        <v>3135</v>
      </c>
      <c r="C258">
        <v>0</v>
      </c>
      <c r="D258">
        <v>0</v>
      </c>
      <c r="E258">
        <f>ABS(Table1[[#This Row],[Flux in SC / glucose uptake ($mmol/mmol\ glc$)]]-Table1[[#This Row],[Flux in RT / glucose uptake ($mmol/mmol\ glc$)]])/SQRT(2)</f>
        <v>0</v>
      </c>
      <c r="F258">
        <f>Table1[[#This Row],[distance from 45-degree line]]/MAX(Table1[[Flux in SC / glucose uptake ($mmol/mmol\ glc$)]:[Flux in RT / glucose uptake ($mmol/mmol\ glc$)]])</f>
        <v>0</v>
      </c>
      <c r="G258">
        <f>_xlfn.RANK.AVG(Table1[[#This Row],[Flux in SC / glucose uptake ($mmol/mmol\ glc$)]],Table1[Flux in SC / glucose uptake ($mmol/mmol\ glc$)])</f>
        <v>1310.5</v>
      </c>
      <c r="H258">
        <f>_xlfn.RANK.AVG(Table1[[#This Row],[Flux in RT / glucose uptake ($mmol/mmol\ glc$)]],Table1[Flux in RT / glucose uptake ($mmol/mmol\ glc$)])</f>
        <v>1290.5</v>
      </c>
      <c r="I258" t="e">
        <f>LOG(Table1[[#This Row],[Flux in SC / glucose uptake ($mmol/mmol\ glc$)]])</f>
        <v>#NUM!</v>
      </c>
      <c r="J258" t="e">
        <f>LOG(Table1[[#This Row],[Flux in RT / glucose uptake ($mmol/mmol\ glc$)]])</f>
        <v>#NUM!</v>
      </c>
      <c r="L258" t="str">
        <v>THRD_L_m</v>
      </c>
      <c r="M258" t="str">
        <v>Glycine, serine and threonine metabolism</v>
      </c>
      <c r="N258">
        <v>-2.417154337700246</v>
      </c>
      <c r="O258">
        <v>-1.7614422236973588</v>
      </c>
    </row>
    <row r="259" spans="1:15" x14ac:dyDescent="0.2">
      <c r="A259" t="s">
        <v>262</v>
      </c>
      <c r="B259" t="s">
        <v>3135</v>
      </c>
      <c r="C259">
        <v>0</v>
      </c>
      <c r="D259">
        <v>0</v>
      </c>
      <c r="E259">
        <f>ABS(Table1[[#This Row],[Flux in SC / glucose uptake ($mmol/mmol\ glc$)]]-Table1[[#This Row],[Flux in RT / glucose uptake ($mmol/mmol\ glc$)]])/SQRT(2)</f>
        <v>0</v>
      </c>
      <c r="F259">
        <f>Table1[[#This Row],[distance from 45-degree line]]/MAX(Table1[[Flux in SC / glucose uptake ($mmol/mmol\ glc$)]:[Flux in RT / glucose uptake ($mmol/mmol\ glc$)]])</f>
        <v>0</v>
      </c>
      <c r="G259">
        <f>_xlfn.RANK.AVG(Table1[[#This Row],[Flux in SC / glucose uptake ($mmol/mmol\ glc$)]],Table1[Flux in SC / glucose uptake ($mmol/mmol\ glc$)])</f>
        <v>1310.5</v>
      </c>
      <c r="H259">
        <f>_xlfn.RANK.AVG(Table1[[#This Row],[Flux in RT / glucose uptake ($mmol/mmol\ glc$)]],Table1[Flux in RT / glucose uptake ($mmol/mmol\ glc$)])</f>
        <v>1290.5</v>
      </c>
      <c r="I259" t="e">
        <f>LOG(Table1[[#This Row],[Flux in SC / glucose uptake ($mmol/mmol\ glc$)]])</f>
        <v>#NUM!</v>
      </c>
      <c r="J259" t="e">
        <f>LOG(Table1[[#This Row],[Flux in RT / glucose uptake ($mmol/mmol\ glc$)]])</f>
        <v>#NUM!</v>
      </c>
      <c r="L259" t="str">
        <v>THRS_c</v>
      </c>
      <c r="M259" t="str">
        <v>Glycine, serine and threonine metabolism</v>
      </c>
      <c r="N259">
        <v>-2.1229752076524511</v>
      </c>
      <c r="O259">
        <v>-1.4672637939517537</v>
      </c>
    </row>
    <row r="260" spans="1:15" x14ac:dyDescent="0.2">
      <c r="A260" t="s">
        <v>263</v>
      </c>
      <c r="B260" t="s">
        <v>3135</v>
      </c>
      <c r="C260">
        <v>0</v>
      </c>
      <c r="D260">
        <v>0</v>
      </c>
      <c r="E260">
        <f>ABS(Table1[[#This Row],[Flux in SC / glucose uptake ($mmol/mmol\ glc$)]]-Table1[[#This Row],[Flux in RT / glucose uptake ($mmol/mmol\ glc$)]])/SQRT(2)</f>
        <v>0</v>
      </c>
      <c r="F260">
        <f>Table1[[#This Row],[distance from 45-degree line]]/MAX(Table1[[Flux in SC / glucose uptake ($mmol/mmol\ glc$)]:[Flux in RT / glucose uptake ($mmol/mmol\ glc$)]])</f>
        <v>0</v>
      </c>
      <c r="G260">
        <f>_xlfn.RANK.AVG(Table1[[#This Row],[Flux in SC / glucose uptake ($mmol/mmol\ glc$)]],Table1[Flux in SC / glucose uptake ($mmol/mmol\ glc$)])</f>
        <v>1310.5</v>
      </c>
      <c r="H260">
        <f>_xlfn.RANK.AVG(Table1[[#This Row],[Flux in RT / glucose uptake ($mmol/mmol\ glc$)]],Table1[Flux in RT / glucose uptake ($mmol/mmol\ glc$)])</f>
        <v>1290.5</v>
      </c>
      <c r="I260" t="e">
        <f>LOG(Table1[[#This Row],[Flux in SC / glucose uptake ($mmol/mmol\ glc$)]])</f>
        <v>#NUM!</v>
      </c>
      <c r="J260" t="e">
        <f>LOG(Table1[[#This Row],[Flux in RT / glucose uptake ($mmol/mmol\ glc$)]])</f>
        <v>#NUM!</v>
      </c>
      <c r="L260" t="str">
        <v>THRt_c_m</v>
      </c>
      <c r="M260" t="str">
        <v>Transport</v>
      </c>
      <c r="N260">
        <v>-2.417154337700246</v>
      </c>
      <c r="O260">
        <v>-1.7614422236973588</v>
      </c>
    </row>
    <row r="261" spans="1:15" x14ac:dyDescent="0.2">
      <c r="A261" t="s">
        <v>264</v>
      </c>
      <c r="B261" t="s">
        <v>3135</v>
      </c>
      <c r="C261">
        <v>0</v>
      </c>
      <c r="D261">
        <v>0</v>
      </c>
      <c r="E261">
        <f>ABS(Table1[[#This Row],[Flux in SC / glucose uptake ($mmol/mmol\ glc$)]]-Table1[[#This Row],[Flux in RT / glucose uptake ($mmol/mmol\ glc$)]])/SQRT(2)</f>
        <v>0</v>
      </c>
      <c r="F261">
        <f>Table1[[#This Row],[distance from 45-degree line]]/MAX(Table1[[Flux in SC / glucose uptake ($mmol/mmol\ glc$)]:[Flux in RT / glucose uptake ($mmol/mmol\ glc$)]])</f>
        <v>0</v>
      </c>
      <c r="G261">
        <f>_xlfn.RANK.AVG(Table1[[#This Row],[Flux in SC / glucose uptake ($mmol/mmol\ glc$)]],Table1[Flux in SC / glucose uptake ($mmol/mmol\ glc$)])</f>
        <v>1310.5</v>
      </c>
      <c r="H261">
        <f>_xlfn.RANK.AVG(Table1[[#This Row],[Flux in RT / glucose uptake ($mmol/mmol\ glc$)]],Table1[Flux in RT / glucose uptake ($mmol/mmol\ glc$)])</f>
        <v>1290.5</v>
      </c>
      <c r="I261" t="e">
        <f>LOG(Table1[[#This Row],[Flux in SC / glucose uptake ($mmol/mmol\ glc$)]])</f>
        <v>#NUM!</v>
      </c>
      <c r="J261" t="e">
        <f>LOG(Table1[[#This Row],[Flux in RT / glucose uptake ($mmol/mmol\ glc$)]])</f>
        <v>#NUM!</v>
      </c>
      <c r="L261" t="str">
        <v>TKT1_c</v>
      </c>
      <c r="M261" t="str">
        <v>Pentose phosphate pathway</v>
      </c>
      <c r="N261">
        <v>-2.0826664559946964</v>
      </c>
      <c r="O261">
        <v>-0.77086067819726622</v>
      </c>
    </row>
    <row r="262" spans="1:15" x14ac:dyDescent="0.2">
      <c r="A262" t="s">
        <v>265</v>
      </c>
      <c r="B262" t="s">
        <v>3135</v>
      </c>
      <c r="C262">
        <v>0</v>
      </c>
      <c r="D262">
        <v>0</v>
      </c>
      <c r="E262">
        <f>ABS(Table1[[#This Row],[Flux in SC / glucose uptake ($mmol/mmol\ glc$)]]-Table1[[#This Row],[Flux in RT / glucose uptake ($mmol/mmol\ glc$)]])/SQRT(2)</f>
        <v>0</v>
      </c>
      <c r="F262">
        <f>Table1[[#This Row],[distance from 45-degree line]]/MAX(Table1[[Flux in SC / glucose uptake ($mmol/mmol\ glc$)]:[Flux in RT / glucose uptake ($mmol/mmol\ glc$)]])</f>
        <v>0</v>
      </c>
      <c r="G262">
        <f>_xlfn.RANK.AVG(Table1[[#This Row],[Flux in SC / glucose uptake ($mmol/mmol\ glc$)]],Table1[Flux in SC / glucose uptake ($mmol/mmol\ glc$)])</f>
        <v>1310.5</v>
      </c>
      <c r="H262">
        <f>_xlfn.RANK.AVG(Table1[[#This Row],[Flux in RT / glucose uptake ($mmol/mmol\ glc$)]],Table1[Flux in RT / glucose uptake ($mmol/mmol\ glc$)])</f>
        <v>1290.5</v>
      </c>
      <c r="I262" t="e">
        <f>LOG(Table1[[#This Row],[Flux in SC / glucose uptake ($mmol/mmol\ glc$)]])</f>
        <v>#NUM!</v>
      </c>
      <c r="J262" t="e">
        <f>LOG(Table1[[#This Row],[Flux in RT / glucose uptake ($mmol/mmol\ glc$)]])</f>
        <v>#NUM!</v>
      </c>
      <c r="L262" t="str">
        <v>TKT2_c</v>
      </c>
      <c r="M262" t="str">
        <v>Pentose phosphate pathway</v>
      </c>
      <c r="N262">
        <v>-2.39499658538571</v>
      </c>
      <c r="O262">
        <v>-0.82304059945463959</v>
      </c>
    </row>
    <row r="263" spans="1:15" x14ac:dyDescent="0.2">
      <c r="A263" t="s">
        <v>266</v>
      </c>
      <c r="B263" t="s">
        <v>3135</v>
      </c>
      <c r="C263">
        <v>0</v>
      </c>
      <c r="D263">
        <v>0</v>
      </c>
      <c r="E263">
        <f>ABS(Table1[[#This Row],[Flux in SC / glucose uptake ($mmol/mmol\ glc$)]]-Table1[[#This Row],[Flux in RT / glucose uptake ($mmol/mmol\ glc$)]])/SQRT(2)</f>
        <v>0</v>
      </c>
      <c r="F263">
        <f>Table1[[#This Row],[distance from 45-degree line]]/MAX(Table1[[Flux in SC / glucose uptake ($mmol/mmol\ glc$)]:[Flux in RT / glucose uptake ($mmol/mmol\ glc$)]])</f>
        <v>0</v>
      </c>
      <c r="G263">
        <f>_xlfn.RANK.AVG(Table1[[#This Row],[Flux in SC / glucose uptake ($mmol/mmol\ glc$)]],Table1[Flux in SC / glucose uptake ($mmol/mmol\ glc$)])</f>
        <v>1310.5</v>
      </c>
      <c r="H263">
        <f>_xlfn.RANK.AVG(Table1[[#This Row],[Flux in RT / glucose uptake ($mmol/mmol\ glc$)]],Table1[Flux in RT / glucose uptake ($mmol/mmol\ glc$)])</f>
        <v>1290.5</v>
      </c>
      <c r="I263" t="e">
        <f>LOG(Table1[[#This Row],[Flux in SC / glucose uptake ($mmol/mmol\ glc$)]])</f>
        <v>#NUM!</v>
      </c>
      <c r="J263" t="e">
        <f>LOG(Table1[[#This Row],[Flux in RT / glucose uptake ($mmol/mmol\ glc$)]])</f>
        <v>#NUM!</v>
      </c>
      <c r="L263" t="str">
        <v>TMDS_c</v>
      </c>
      <c r="M263" t="str">
        <v>Pyrimidine metabolism</v>
      </c>
      <c r="N263">
        <v>-4.2532448884507108</v>
      </c>
      <c r="O263">
        <v>-3.36082526416447</v>
      </c>
    </row>
    <row r="264" spans="1:15" x14ac:dyDescent="0.2">
      <c r="A264" t="s">
        <v>267</v>
      </c>
      <c r="B264" t="s">
        <v>3123</v>
      </c>
      <c r="C264">
        <v>0</v>
      </c>
      <c r="D264">
        <v>0</v>
      </c>
      <c r="E264">
        <f>ABS(Table1[[#This Row],[Flux in SC / glucose uptake ($mmol/mmol\ glc$)]]-Table1[[#This Row],[Flux in RT / glucose uptake ($mmol/mmol\ glc$)]])/SQRT(2)</f>
        <v>0</v>
      </c>
      <c r="F264">
        <f>Table1[[#This Row],[distance from 45-degree line]]/MAX(Table1[[Flux in SC / glucose uptake ($mmol/mmol\ glc$)]:[Flux in RT / glucose uptake ($mmol/mmol\ glc$)]])</f>
        <v>0</v>
      </c>
      <c r="G264">
        <f>_xlfn.RANK.AVG(Table1[[#This Row],[Flux in SC / glucose uptake ($mmol/mmol\ glc$)]],Table1[Flux in SC / glucose uptake ($mmol/mmol\ glc$)])</f>
        <v>1310.5</v>
      </c>
      <c r="H264">
        <f>_xlfn.RANK.AVG(Table1[[#This Row],[Flux in RT / glucose uptake ($mmol/mmol\ glc$)]],Table1[Flux in RT / glucose uptake ($mmol/mmol\ glc$)])</f>
        <v>1290.5</v>
      </c>
      <c r="I264" t="e">
        <f>LOG(Table1[[#This Row],[Flux in SC / glucose uptake ($mmol/mmol\ glc$)]])</f>
        <v>#NUM!</v>
      </c>
      <c r="J264" t="e">
        <f>LOG(Table1[[#This Row],[Flux in RT / glucose uptake ($mmol/mmol\ glc$)]])</f>
        <v>#NUM!</v>
      </c>
      <c r="L264" t="str">
        <v>TPI_c</v>
      </c>
      <c r="M264" t="str">
        <v>Glycolysis / Gluconeogenesis</v>
      </c>
      <c r="N264">
        <v>-5.4096969496187711E-2</v>
      </c>
      <c r="O264">
        <v>-0.28366496898071847</v>
      </c>
    </row>
    <row r="265" spans="1:15" x14ac:dyDescent="0.2">
      <c r="A265" t="s">
        <v>268</v>
      </c>
      <c r="B265" t="s">
        <v>3123</v>
      </c>
      <c r="C265">
        <v>0</v>
      </c>
      <c r="D265">
        <v>0</v>
      </c>
      <c r="E265">
        <f>ABS(Table1[[#This Row],[Flux in SC / glucose uptake ($mmol/mmol\ glc$)]]-Table1[[#This Row],[Flux in RT / glucose uptake ($mmol/mmol\ glc$)]])/SQRT(2)</f>
        <v>0</v>
      </c>
      <c r="F265">
        <f>Table1[[#This Row],[distance from 45-degree line]]/MAX(Table1[[Flux in SC / glucose uptake ($mmol/mmol\ glc$)]:[Flux in RT / glucose uptake ($mmol/mmol\ glc$)]])</f>
        <v>0</v>
      </c>
      <c r="G265">
        <f>_xlfn.RANK.AVG(Table1[[#This Row],[Flux in SC / glucose uptake ($mmol/mmol\ glc$)]],Table1[Flux in SC / glucose uptake ($mmol/mmol\ glc$)])</f>
        <v>1310.5</v>
      </c>
      <c r="H265">
        <f>_xlfn.RANK.AVG(Table1[[#This Row],[Flux in RT / glucose uptake ($mmol/mmol\ glc$)]],Table1[Flux in RT / glucose uptake ($mmol/mmol\ glc$)])</f>
        <v>1290.5</v>
      </c>
      <c r="I265" t="e">
        <f>LOG(Table1[[#This Row],[Flux in SC / glucose uptake ($mmol/mmol\ glc$)]])</f>
        <v>#NUM!</v>
      </c>
      <c r="J265" t="e">
        <f>LOG(Table1[[#This Row],[Flux in RT / glucose uptake ($mmol/mmol\ glc$)]])</f>
        <v>#NUM!</v>
      </c>
      <c r="L265" t="str">
        <v>TRDR_c</v>
      </c>
      <c r="M265" t="str">
        <v>Unassigned</v>
      </c>
      <c r="N265">
        <v>-2.9834355293168948</v>
      </c>
      <c r="O265">
        <v>-2.2155912482257776</v>
      </c>
    </row>
    <row r="266" spans="1:15" x14ac:dyDescent="0.2">
      <c r="A266" t="s">
        <v>269</v>
      </c>
      <c r="B266" t="s">
        <v>3145</v>
      </c>
      <c r="C266">
        <v>0</v>
      </c>
      <c r="D266">
        <v>0</v>
      </c>
      <c r="E266">
        <f>ABS(Table1[[#This Row],[Flux in SC / glucose uptake ($mmol/mmol\ glc$)]]-Table1[[#This Row],[Flux in RT / glucose uptake ($mmol/mmol\ glc$)]])/SQRT(2)</f>
        <v>0</v>
      </c>
      <c r="F266">
        <f>Table1[[#This Row],[distance from 45-degree line]]/MAX(Table1[[Flux in SC / glucose uptake ($mmol/mmol\ glc$)]:[Flux in RT / glucose uptake ($mmol/mmol\ glc$)]])</f>
        <v>0</v>
      </c>
      <c r="G266">
        <f>_xlfn.RANK.AVG(Table1[[#This Row],[Flux in SC / glucose uptake ($mmol/mmol\ glc$)]],Table1[Flux in SC / glucose uptake ($mmol/mmol\ glc$)])</f>
        <v>1310.5</v>
      </c>
      <c r="H266">
        <f>_xlfn.RANK.AVG(Table1[[#This Row],[Flux in RT / glucose uptake ($mmol/mmol\ glc$)]],Table1[Flux in RT / glucose uptake ($mmol/mmol\ glc$)])</f>
        <v>1290.5</v>
      </c>
      <c r="I266" t="e">
        <f>LOG(Table1[[#This Row],[Flux in SC / glucose uptake ($mmol/mmol\ glc$)]])</f>
        <v>#NUM!</v>
      </c>
      <c r="J266" t="e">
        <f>LOG(Table1[[#This Row],[Flux in RT / glucose uptake ($mmol/mmol\ glc$)]])</f>
        <v>#NUM!</v>
      </c>
      <c r="L266" t="str">
        <v>TRE6PP_c</v>
      </c>
      <c r="M266" t="str">
        <v>Starch and sucrose metabolism</v>
      </c>
      <c r="N266">
        <v>-3.6915378614350569</v>
      </c>
      <c r="O266">
        <v>-2.0006714510572774</v>
      </c>
    </row>
    <row r="267" spans="1:15" x14ac:dyDescent="0.2">
      <c r="A267" t="s">
        <v>270</v>
      </c>
      <c r="B267" t="s">
        <v>3145</v>
      </c>
      <c r="C267">
        <v>0</v>
      </c>
      <c r="D267">
        <v>0</v>
      </c>
      <c r="E267">
        <f>ABS(Table1[[#This Row],[Flux in SC / glucose uptake ($mmol/mmol\ glc$)]]-Table1[[#This Row],[Flux in RT / glucose uptake ($mmol/mmol\ glc$)]])/SQRT(2)</f>
        <v>0</v>
      </c>
      <c r="F267">
        <f>Table1[[#This Row],[distance from 45-degree line]]/MAX(Table1[[Flux in SC / glucose uptake ($mmol/mmol\ glc$)]:[Flux in RT / glucose uptake ($mmol/mmol\ glc$)]])</f>
        <v>0</v>
      </c>
      <c r="G267">
        <f>_xlfn.RANK.AVG(Table1[[#This Row],[Flux in SC / glucose uptake ($mmol/mmol\ glc$)]],Table1[Flux in SC / glucose uptake ($mmol/mmol\ glc$)])</f>
        <v>1310.5</v>
      </c>
      <c r="H267">
        <f>_xlfn.RANK.AVG(Table1[[#This Row],[Flux in RT / glucose uptake ($mmol/mmol\ glc$)]],Table1[Flux in RT / glucose uptake ($mmol/mmol\ glc$)])</f>
        <v>1290.5</v>
      </c>
      <c r="I267" t="e">
        <f>LOG(Table1[[#This Row],[Flux in SC / glucose uptake ($mmol/mmol\ glc$)]])</f>
        <v>#NUM!</v>
      </c>
      <c r="J267" t="e">
        <f>LOG(Table1[[#This Row],[Flux in RT / glucose uptake ($mmol/mmol\ glc$)]])</f>
        <v>#NUM!</v>
      </c>
      <c r="L267" t="str">
        <v>TRE6PS_c</v>
      </c>
      <c r="M267" t="str">
        <v>Starch and sucrose metabolism</v>
      </c>
      <c r="N267">
        <v>-3.6915378614350569</v>
      </c>
      <c r="O267">
        <v>-2.0006714510572774</v>
      </c>
    </row>
    <row r="268" spans="1:15" x14ac:dyDescent="0.2">
      <c r="A268" t="s">
        <v>271</v>
      </c>
      <c r="B268" t="s">
        <v>3125</v>
      </c>
      <c r="C268">
        <v>0</v>
      </c>
      <c r="D268">
        <v>0</v>
      </c>
      <c r="E268">
        <f>ABS(Table1[[#This Row],[Flux in SC / glucose uptake ($mmol/mmol\ glc$)]]-Table1[[#This Row],[Flux in RT / glucose uptake ($mmol/mmol\ glc$)]])/SQRT(2)</f>
        <v>0</v>
      </c>
      <c r="F268">
        <f>Table1[[#This Row],[distance from 45-degree line]]/MAX(Table1[[Flux in SC / glucose uptake ($mmol/mmol\ glc$)]:[Flux in RT / glucose uptake ($mmol/mmol\ glc$)]])</f>
        <v>0</v>
      </c>
      <c r="G268">
        <f>_xlfn.RANK.AVG(Table1[[#This Row],[Flux in SC / glucose uptake ($mmol/mmol\ glc$)]],Table1[Flux in SC / glucose uptake ($mmol/mmol\ glc$)])</f>
        <v>1310.5</v>
      </c>
      <c r="H268">
        <f>_xlfn.RANK.AVG(Table1[[#This Row],[Flux in RT / glucose uptake ($mmol/mmol\ glc$)]],Table1[Flux in RT / glucose uptake ($mmol/mmol\ glc$)])</f>
        <v>1290.5</v>
      </c>
      <c r="I268" t="e">
        <f>LOG(Table1[[#This Row],[Flux in SC / glucose uptake ($mmol/mmol\ glc$)]])</f>
        <v>#NUM!</v>
      </c>
      <c r="J268" t="e">
        <f>LOG(Table1[[#This Row],[Flux in RT / glucose uptake ($mmol/mmol\ glc$)]])</f>
        <v>#NUM!</v>
      </c>
      <c r="L268" t="str">
        <v>TRPO2_c</v>
      </c>
      <c r="M268" t="str">
        <v>Tryptophan metabolism</v>
      </c>
      <c r="N268">
        <v>-2.2417378559802317</v>
      </c>
      <c r="O268">
        <v>-0.95863494818755424</v>
      </c>
    </row>
    <row r="269" spans="1:15" x14ac:dyDescent="0.2">
      <c r="A269" t="s">
        <v>272</v>
      </c>
      <c r="B269" t="s">
        <v>3146</v>
      </c>
      <c r="C269">
        <v>0</v>
      </c>
      <c r="D269">
        <v>0</v>
      </c>
      <c r="E269">
        <f>ABS(Table1[[#This Row],[Flux in SC / glucose uptake ($mmol/mmol\ glc$)]]-Table1[[#This Row],[Flux in RT / glucose uptake ($mmol/mmol\ glc$)]])/SQRT(2)</f>
        <v>0</v>
      </c>
      <c r="F269">
        <f>Table1[[#This Row],[distance from 45-degree line]]/MAX(Table1[[Flux in SC / glucose uptake ($mmol/mmol\ glc$)]:[Flux in RT / glucose uptake ($mmol/mmol\ glc$)]])</f>
        <v>0</v>
      </c>
      <c r="G269">
        <f>_xlfn.RANK.AVG(Table1[[#This Row],[Flux in SC / glucose uptake ($mmol/mmol\ glc$)]],Table1[Flux in SC / glucose uptake ($mmol/mmol\ glc$)])</f>
        <v>1310.5</v>
      </c>
      <c r="H269">
        <f>_xlfn.RANK.AVG(Table1[[#This Row],[Flux in RT / glucose uptake ($mmol/mmol\ glc$)]],Table1[Flux in RT / glucose uptake ($mmol/mmol\ glc$)])</f>
        <v>1290.5</v>
      </c>
      <c r="I269" t="e">
        <f>LOG(Table1[[#This Row],[Flux in SC / glucose uptake ($mmol/mmol\ glc$)]])</f>
        <v>#NUM!</v>
      </c>
      <c r="J269" t="e">
        <f>LOG(Table1[[#This Row],[Flux in RT / glucose uptake ($mmol/mmol\ glc$)]])</f>
        <v>#NUM!</v>
      </c>
      <c r="L269" t="str">
        <v>TRPS1_c</v>
      </c>
      <c r="M269" t="str">
        <v>Glycine, serine and threonine metabolism</v>
      </c>
      <c r="N269">
        <v>-2.2101358912966407</v>
      </c>
      <c r="O269">
        <v>-0.95097222922367086</v>
      </c>
    </row>
    <row r="270" spans="1:15" x14ac:dyDescent="0.2">
      <c r="A270" t="s">
        <v>273</v>
      </c>
      <c r="B270" t="s">
        <v>3146</v>
      </c>
      <c r="C270">
        <v>2.4787612397465672E-2</v>
      </c>
      <c r="D270">
        <v>0.33832974080783801</v>
      </c>
      <c r="E270">
        <f>ABS(Table1[[#This Row],[Flux in SC / glucose uptake ($mmol/mmol\ glc$)]]-Table1[[#This Row],[Flux in RT / glucose uptake ($mmol/mmol\ glc$)]])/SQRT(2)</f>
        <v>0.22170776518663751</v>
      </c>
      <c r="F270">
        <f>Table1[[#This Row],[distance from 45-degree line]]/MAX(Table1[[Flux in SC / glucose uptake ($mmol/mmol\ glc$)]:[Flux in RT / glucose uptake ($mmol/mmol\ glc$)]])</f>
        <v>1.1949795560380455E-2</v>
      </c>
      <c r="G270">
        <f>_xlfn.RANK.AVG(Table1[[#This Row],[Flux in SC / glucose uptake ($mmol/mmol\ glc$)]],Table1[Flux in SC / glucose uptake ($mmol/mmol\ glc$)])</f>
        <v>60</v>
      </c>
      <c r="H270">
        <f>_xlfn.RANK.AVG(Table1[[#This Row],[Flux in RT / glucose uptake ($mmol/mmol\ glc$)]],Table1[Flux in RT / glucose uptake ($mmol/mmol\ glc$)])</f>
        <v>53</v>
      </c>
      <c r="I270">
        <f>LOG(Table1[[#This Row],[Flux in SC / glucose uptake ($mmol/mmol\ glc$)]])</f>
        <v>-1.6057653035082364</v>
      </c>
      <c r="J270">
        <f>LOG(Table1[[#This Row],[Flux in RT / glucose uptake ($mmol/mmol\ glc$)]])</f>
        <v>-0.47065982396486084</v>
      </c>
      <c r="L270" t="str">
        <v>TYRTA_c</v>
      </c>
      <c r="M270" t="str">
        <v>Arginine and proline metabolism</v>
      </c>
      <c r="N270">
        <v>-2.8845655387533213</v>
      </c>
      <c r="O270">
        <v>-2.2288537002107423</v>
      </c>
    </row>
    <row r="271" spans="1:15" x14ac:dyDescent="0.2">
      <c r="A271" t="s">
        <v>274</v>
      </c>
      <c r="B271" t="s">
        <v>3146</v>
      </c>
      <c r="C271">
        <v>2.4787612397465672E-2</v>
      </c>
      <c r="D271">
        <v>0.33832974080783801</v>
      </c>
      <c r="E271">
        <f>ABS(Table1[[#This Row],[Flux in SC / glucose uptake ($mmol/mmol\ glc$)]]-Table1[[#This Row],[Flux in RT / glucose uptake ($mmol/mmol\ glc$)]])/SQRT(2)</f>
        <v>0.22170776518663751</v>
      </c>
      <c r="F271">
        <f>Table1[[#This Row],[distance from 45-degree line]]/MAX(Table1[[Flux in SC / glucose uptake ($mmol/mmol\ glc$)]:[Flux in RT / glucose uptake ($mmol/mmol\ glc$)]])</f>
        <v>1.1949795560380455E-2</v>
      </c>
      <c r="G271">
        <f>_xlfn.RANK.AVG(Table1[[#This Row],[Flux in SC / glucose uptake ($mmol/mmol\ glc$)]],Table1[Flux in SC / glucose uptake ($mmol/mmol\ glc$)])</f>
        <v>60</v>
      </c>
      <c r="H271">
        <f>_xlfn.RANK.AVG(Table1[[#This Row],[Flux in RT / glucose uptake ($mmol/mmol\ glc$)]],Table1[Flux in RT / glucose uptake ($mmol/mmol\ glc$)])</f>
        <v>53</v>
      </c>
      <c r="I271">
        <f>LOG(Table1[[#This Row],[Flux in SC / glucose uptake ($mmol/mmol\ glc$)]])</f>
        <v>-1.6057653035082364</v>
      </c>
      <c r="J271">
        <f>LOG(Table1[[#This Row],[Flux in RT / glucose uptake ($mmol/mmol\ glc$)]])</f>
        <v>-0.47065982396486084</v>
      </c>
      <c r="L271" t="str">
        <v>UAGDP_c</v>
      </c>
      <c r="M271" t="str">
        <v>Amino sugar and nucleotide sugar metabolism</v>
      </c>
      <c r="N271">
        <v>-3.7010450030510671</v>
      </c>
      <c r="O271">
        <v>-2.9305415984149601</v>
      </c>
    </row>
    <row r="272" spans="1:15" x14ac:dyDescent="0.2">
      <c r="A272" t="s">
        <v>275</v>
      </c>
      <c r="B272" t="s">
        <v>3134</v>
      </c>
      <c r="C272">
        <v>3.595805982781375E-3</v>
      </c>
      <c r="D272">
        <v>0.10694421653893678</v>
      </c>
      <c r="E272">
        <f>ABS(Table1[[#This Row],[Flux in SC / glucose uptake ($mmol/mmol\ glc$)]]-Table1[[#This Row],[Flux in RT / glucose uptake ($mmol/mmol\ glc$)]])/SQRT(2)</f>
        <v>7.3078361929108854E-2</v>
      </c>
      <c r="F272">
        <f>Table1[[#This Row],[distance from 45-degree line]]/MAX(Table1[[Flux in SC / glucose uptake ($mmol/mmol\ glc$)]:[Flux in RT / glucose uptake ($mmol/mmol\ glc$)]])</f>
        <v>3.9388403207492786E-3</v>
      </c>
      <c r="G272">
        <f>_xlfn.RANK.AVG(Table1[[#This Row],[Flux in SC / glucose uptake ($mmol/mmol\ glc$)]],Table1[Flux in SC / glucose uptake ($mmol/mmol\ glc$)])</f>
        <v>154</v>
      </c>
      <c r="H272">
        <f>_xlfn.RANK.AVG(Table1[[#This Row],[Flux in RT / glucose uptake ($mmol/mmol\ glc$)]],Table1[Flux in RT / glucose uptake ($mmol/mmol\ glc$)])</f>
        <v>85.5</v>
      </c>
      <c r="I272">
        <f>LOG(Table1[[#This Row],[Flux in SC / glucose uptake ($mmol/mmol\ glc$)]])</f>
        <v>-2.4442037493305238</v>
      </c>
      <c r="J272">
        <f>LOG(Table1[[#This Row],[Flux in RT / glucose uptake ($mmol/mmol\ glc$)]])</f>
        <v>-0.97084269676932011</v>
      </c>
      <c r="L272" t="str">
        <v>UMPK_c</v>
      </c>
      <c r="M272" t="str">
        <v>Pyrimidine metabolism</v>
      </c>
      <c r="N272">
        <v>-2.4960978548498174</v>
      </c>
      <c r="O272">
        <v>-1.8446610994166099</v>
      </c>
    </row>
    <row r="273" spans="1:15" x14ac:dyDescent="0.2">
      <c r="A273" t="s">
        <v>276</v>
      </c>
      <c r="B273" t="s">
        <v>3147</v>
      </c>
      <c r="C273">
        <v>0</v>
      </c>
      <c r="D273">
        <v>0</v>
      </c>
      <c r="E273">
        <f>ABS(Table1[[#This Row],[Flux in SC / glucose uptake ($mmol/mmol\ glc$)]]-Table1[[#This Row],[Flux in RT / glucose uptake ($mmol/mmol\ glc$)]])/SQRT(2)</f>
        <v>0</v>
      </c>
      <c r="F273">
        <f>Table1[[#This Row],[distance from 45-degree line]]/MAX(Table1[[Flux in SC / glucose uptake ($mmol/mmol\ glc$)]:[Flux in RT / glucose uptake ($mmol/mmol\ glc$)]])</f>
        <v>0</v>
      </c>
      <c r="G273">
        <f>_xlfn.RANK.AVG(Table1[[#This Row],[Flux in SC / glucose uptake ($mmol/mmol\ glc$)]],Table1[Flux in SC / glucose uptake ($mmol/mmol\ glc$)])</f>
        <v>1310.5</v>
      </c>
      <c r="H273">
        <f>_xlfn.RANK.AVG(Table1[[#This Row],[Flux in RT / glucose uptake ($mmol/mmol\ glc$)]],Table1[Flux in RT / glucose uptake ($mmol/mmol\ glc$)])</f>
        <v>1290.5</v>
      </c>
      <c r="I273" t="e">
        <f>LOG(Table1[[#This Row],[Flux in SC / glucose uptake ($mmol/mmol\ glc$)]])</f>
        <v>#NUM!</v>
      </c>
      <c r="J273" t="e">
        <f>LOG(Table1[[#This Row],[Flux in RT / glucose uptake ($mmol/mmol\ glc$)]])</f>
        <v>#NUM!</v>
      </c>
      <c r="L273" t="str">
        <v>VALt_c_m</v>
      </c>
      <c r="M273" t="str">
        <v>Transport</v>
      </c>
      <c r="N273">
        <v>-1.9909961646921943</v>
      </c>
      <c r="O273">
        <v>-1.3352849126200561</v>
      </c>
    </row>
    <row r="274" spans="1:15" x14ac:dyDescent="0.2">
      <c r="A274" t="s">
        <v>277</v>
      </c>
      <c r="B274" t="s">
        <v>3148</v>
      </c>
      <c r="C274">
        <v>0</v>
      </c>
      <c r="D274">
        <v>0</v>
      </c>
      <c r="E274">
        <f>ABS(Table1[[#This Row],[Flux in SC / glucose uptake ($mmol/mmol\ glc$)]]-Table1[[#This Row],[Flux in RT / glucose uptake ($mmol/mmol\ glc$)]])/SQRT(2)</f>
        <v>0</v>
      </c>
      <c r="F274">
        <f>Table1[[#This Row],[distance from 45-degree line]]/MAX(Table1[[Flux in SC / glucose uptake ($mmol/mmol\ glc$)]:[Flux in RT / glucose uptake ($mmol/mmol\ glc$)]])</f>
        <v>0</v>
      </c>
      <c r="G274">
        <f>_xlfn.RANK.AVG(Table1[[#This Row],[Flux in SC / glucose uptake ($mmol/mmol\ glc$)]],Table1[Flux in SC / glucose uptake ($mmol/mmol\ glc$)])</f>
        <v>1310.5</v>
      </c>
      <c r="H274">
        <f>_xlfn.RANK.AVG(Table1[[#This Row],[Flux in RT / glucose uptake ($mmol/mmol\ glc$)]],Table1[Flux in RT / glucose uptake ($mmol/mmol\ glc$)])</f>
        <v>1290.5</v>
      </c>
      <c r="I274" t="e">
        <f>LOG(Table1[[#This Row],[Flux in SC / glucose uptake ($mmol/mmol\ glc$)]])</f>
        <v>#NUM!</v>
      </c>
      <c r="J274" t="e">
        <f>LOG(Table1[[#This Row],[Flux in RT / glucose uptake ($mmol/mmol\ glc$)]])</f>
        <v>#NUM!</v>
      </c>
      <c r="L274" t="str">
        <v>VALTA_c</v>
      </c>
      <c r="M274" t="str">
        <v>Valine, leucine and isoleucine metabolism</v>
      </c>
      <c r="N274">
        <v>-2.2731891761880711</v>
      </c>
      <c r="O274">
        <v>-1.6174780811408516</v>
      </c>
    </row>
    <row r="275" spans="1:15" x14ac:dyDescent="0.2">
      <c r="A275" t="s">
        <v>278</v>
      </c>
      <c r="B275" t="s">
        <v>3149</v>
      </c>
      <c r="C275">
        <v>0</v>
      </c>
      <c r="D275">
        <v>0</v>
      </c>
      <c r="E275">
        <f>ABS(Table1[[#This Row],[Flux in SC / glucose uptake ($mmol/mmol\ glc$)]]-Table1[[#This Row],[Flux in RT / glucose uptake ($mmol/mmol\ glc$)]])/SQRT(2)</f>
        <v>0</v>
      </c>
      <c r="F275">
        <f>Table1[[#This Row],[distance from 45-degree line]]/MAX(Table1[[Flux in SC / glucose uptake ($mmol/mmol\ glc$)]:[Flux in RT / glucose uptake ($mmol/mmol\ glc$)]])</f>
        <v>0</v>
      </c>
      <c r="G275">
        <f>_xlfn.RANK.AVG(Table1[[#This Row],[Flux in SC / glucose uptake ($mmol/mmol\ glc$)]],Table1[Flux in SC / glucose uptake ($mmol/mmol\ glc$)])</f>
        <v>1310.5</v>
      </c>
      <c r="H275">
        <f>_xlfn.RANK.AVG(Table1[[#This Row],[Flux in RT / glucose uptake ($mmol/mmol\ glc$)]],Table1[Flux in RT / glucose uptake ($mmol/mmol\ glc$)])</f>
        <v>1290.5</v>
      </c>
      <c r="I275" t="e">
        <f>LOG(Table1[[#This Row],[Flux in SC / glucose uptake ($mmol/mmol\ glc$)]])</f>
        <v>#NUM!</v>
      </c>
      <c r="J275" t="e">
        <f>LOG(Table1[[#This Row],[Flux in RT / glucose uptake ($mmol/mmol\ glc$)]])</f>
        <v>#NUM!</v>
      </c>
      <c r="L275" t="str">
        <v>VALTA_m</v>
      </c>
      <c r="M275" t="str">
        <v>Valine, leucine and isoleucine metabolism</v>
      </c>
      <c r="N275">
        <v>-1.9909961646921943</v>
      </c>
      <c r="O275">
        <v>-1.3352849126200561</v>
      </c>
    </row>
    <row r="276" spans="1:15" x14ac:dyDescent="0.2">
      <c r="A276" t="s">
        <v>279</v>
      </c>
      <c r="B276" t="s">
        <v>3114</v>
      </c>
      <c r="C276">
        <v>0</v>
      </c>
      <c r="D276">
        <v>0</v>
      </c>
      <c r="E276">
        <f>ABS(Table1[[#This Row],[Flux in SC / glucose uptake ($mmol/mmol\ glc$)]]-Table1[[#This Row],[Flux in RT / glucose uptake ($mmol/mmol\ glc$)]])/SQRT(2)</f>
        <v>0</v>
      </c>
      <c r="F276">
        <f>Table1[[#This Row],[distance from 45-degree line]]/MAX(Table1[[Flux in SC / glucose uptake ($mmol/mmol\ glc$)]:[Flux in RT / glucose uptake ($mmol/mmol\ glc$)]])</f>
        <v>0</v>
      </c>
      <c r="G276">
        <f>_xlfn.RANK.AVG(Table1[[#This Row],[Flux in SC / glucose uptake ($mmol/mmol\ glc$)]],Table1[Flux in SC / glucose uptake ($mmol/mmol\ glc$)])</f>
        <v>1310.5</v>
      </c>
      <c r="H276">
        <f>_xlfn.RANK.AVG(Table1[[#This Row],[Flux in RT / glucose uptake ($mmol/mmol\ glc$)]],Table1[Flux in RT / glucose uptake ($mmol/mmol\ glc$)])</f>
        <v>1290.5</v>
      </c>
      <c r="I276" t="e">
        <f>LOG(Table1[[#This Row],[Flux in SC / glucose uptake ($mmol/mmol\ glc$)]])</f>
        <v>#NUM!</v>
      </c>
      <c r="J276" t="e">
        <f>LOG(Table1[[#This Row],[Flux in RT / glucose uptake ($mmol/mmol\ glc$)]])</f>
        <v>#NUM!</v>
      </c>
      <c r="L276" t="str">
        <v>ZN2t_c_e</v>
      </c>
      <c r="M276" t="str">
        <v>Transport</v>
      </c>
      <c r="N276">
        <v>-4.6526154896401453</v>
      </c>
      <c r="O276">
        <v>-3.9420712550241719</v>
      </c>
    </row>
    <row r="277" spans="1:15" x14ac:dyDescent="0.2">
      <c r="A277" t="s">
        <v>280</v>
      </c>
      <c r="B277" t="s">
        <v>3114</v>
      </c>
      <c r="C277">
        <v>0</v>
      </c>
      <c r="D277">
        <v>0</v>
      </c>
      <c r="E277">
        <f>ABS(Table1[[#This Row],[Flux in SC / glucose uptake ($mmol/mmol\ glc$)]]-Table1[[#This Row],[Flux in RT / glucose uptake ($mmol/mmol\ glc$)]])/SQRT(2)</f>
        <v>0</v>
      </c>
      <c r="F277">
        <f>Table1[[#This Row],[distance from 45-degree line]]/MAX(Table1[[Flux in SC / glucose uptake ($mmol/mmol\ glc$)]:[Flux in RT / glucose uptake ($mmol/mmol\ glc$)]])</f>
        <v>0</v>
      </c>
      <c r="G277">
        <f>_xlfn.RANK.AVG(Table1[[#This Row],[Flux in SC / glucose uptake ($mmol/mmol\ glc$)]],Table1[Flux in SC / glucose uptake ($mmol/mmol\ glc$)])</f>
        <v>1310.5</v>
      </c>
      <c r="H277">
        <f>_xlfn.RANK.AVG(Table1[[#This Row],[Flux in RT / glucose uptake ($mmol/mmol\ glc$)]],Table1[Flux in RT / glucose uptake ($mmol/mmol\ glc$)])</f>
        <v>1290.5</v>
      </c>
      <c r="I277" t="e">
        <f>LOG(Table1[[#This Row],[Flux in SC / glucose uptake ($mmol/mmol\ glc$)]])</f>
        <v>#NUM!</v>
      </c>
      <c r="J277" t="e">
        <f>LOG(Table1[[#This Row],[Flux in RT / glucose uptake ($mmol/mmol\ glc$)]])</f>
        <v>#NUM!</v>
      </c>
    </row>
    <row r="278" spans="1:15" x14ac:dyDescent="0.2">
      <c r="A278" t="s">
        <v>281</v>
      </c>
      <c r="B278" t="s">
        <v>3137</v>
      </c>
      <c r="C278">
        <v>2.9875028771776335E-2</v>
      </c>
      <c r="D278">
        <v>3.8556218727077416E-3</v>
      </c>
      <c r="E278">
        <f>ABS(Table1[[#This Row],[Flux in SC / glucose uptake ($mmol/mmol\ glc$)]]-Table1[[#This Row],[Flux in RT / glucose uptake ($mmol/mmol\ glc$)]])/SQRT(2)</f>
        <v>1.8398499060783439E-2</v>
      </c>
      <c r="F278">
        <f>Table1[[#This Row],[distance from 45-degree line]]/MAX(Table1[[Flux in SC / glucose uptake ($mmol/mmol\ glc$)]:[Flux in RT / glucose uptake ($mmol/mmol\ glc$)]])</f>
        <v>9.9165810547561704E-4</v>
      </c>
      <c r="G278">
        <f>_xlfn.RANK.AVG(Table1[[#This Row],[Flux in SC / glucose uptake ($mmol/mmol\ glc$)]],Table1[Flux in SC / glucose uptake ($mmol/mmol\ glc$)])</f>
        <v>56</v>
      </c>
      <c r="H278">
        <f>_xlfn.RANK.AVG(Table1[[#This Row],[Flux in RT / glucose uptake ($mmol/mmol\ glc$)]],Table1[Flux in RT / glucose uptake ($mmol/mmol\ glc$)])</f>
        <v>249</v>
      </c>
      <c r="I278">
        <f>LOG(Table1[[#This Row],[Flux in SC / glucose uptake ($mmol/mmol\ glc$)]])</f>
        <v>-1.5246916677871472</v>
      </c>
      <c r="J278">
        <f>LOG(Table1[[#This Row],[Flux in RT / glucose uptake ($mmol/mmol\ glc$)]])</f>
        <v>-2.4139055646677594</v>
      </c>
    </row>
    <row r="279" spans="1:15" x14ac:dyDescent="0.2">
      <c r="A279" t="s">
        <v>282</v>
      </c>
      <c r="B279" t="s">
        <v>3143</v>
      </c>
      <c r="C279">
        <v>0</v>
      </c>
      <c r="D279">
        <v>0</v>
      </c>
      <c r="E279">
        <f>ABS(Table1[[#This Row],[Flux in SC / glucose uptake ($mmol/mmol\ glc$)]]-Table1[[#This Row],[Flux in RT / glucose uptake ($mmol/mmol\ glc$)]])/SQRT(2)</f>
        <v>0</v>
      </c>
      <c r="F279">
        <f>Table1[[#This Row],[distance from 45-degree line]]/MAX(Table1[[Flux in SC / glucose uptake ($mmol/mmol\ glc$)]:[Flux in RT / glucose uptake ($mmol/mmol\ glc$)]])</f>
        <v>0</v>
      </c>
      <c r="G279">
        <f>_xlfn.RANK.AVG(Table1[[#This Row],[Flux in SC / glucose uptake ($mmol/mmol\ glc$)]],Table1[Flux in SC / glucose uptake ($mmol/mmol\ glc$)])</f>
        <v>1310.5</v>
      </c>
      <c r="H279">
        <f>_xlfn.RANK.AVG(Table1[[#This Row],[Flux in RT / glucose uptake ($mmol/mmol\ glc$)]],Table1[Flux in RT / glucose uptake ($mmol/mmol\ glc$)])</f>
        <v>1290.5</v>
      </c>
      <c r="I279" t="e">
        <f>LOG(Table1[[#This Row],[Flux in SC / glucose uptake ($mmol/mmol\ glc$)]])</f>
        <v>#NUM!</v>
      </c>
      <c r="J279" t="e">
        <f>LOG(Table1[[#This Row],[Flux in RT / glucose uptake ($mmol/mmol\ glc$)]])</f>
        <v>#NUM!</v>
      </c>
    </row>
    <row r="280" spans="1:15" x14ac:dyDescent="0.2">
      <c r="A280" t="s">
        <v>283</v>
      </c>
      <c r="B280" t="s">
        <v>3114</v>
      </c>
      <c r="C280">
        <v>0</v>
      </c>
      <c r="D280">
        <v>0</v>
      </c>
      <c r="E280">
        <f>ABS(Table1[[#This Row],[Flux in SC / glucose uptake ($mmol/mmol\ glc$)]]-Table1[[#This Row],[Flux in RT / glucose uptake ($mmol/mmol\ glc$)]])/SQRT(2)</f>
        <v>0</v>
      </c>
      <c r="F280">
        <f>Table1[[#This Row],[distance from 45-degree line]]/MAX(Table1[[Flux in SC / glucose uptake ($mmol/mmol\ glc$)]:[Flux in RT / glucose uptake ($mmol/mmol\ glc$)]])</f>
        <v>0</v>
      </c>
      <c r="G280">
        <f>_xlfn.RANK.AVG(Table1[[#This Row],[Flux in SC / glucose uptake ($mmol/mmol\ glc$)]],Table1[Flux in SC / glucose uptake ($mmol/mmol\ glc$)])</f>
        <v>1310.5</v>
      </c>
      <c r="H280">
        <f>_xlfn.RANK.AVG(Table1[[#This Row],[Flux in RT / glucose uptake ($mmol/mmol\ glc$)]],Table1[Flux in RT / glucose uptake ($mmol/mmol\ glc$)])</f>
        <v>1290.5</v>
      </c>
      <c r="I280" t="e">
        <f>LOG(Table1[[#This Row],[Flux in SC / glucose uptake ($mmol/mmol\ glc$)]])</f>
        <v>#NUM!</v>
      </c>
      <c r="J280" t="e">
        <f>LOG(Table1[[#This Row],[Flux in RT / glucose uptake ($mmol/mmol\ glc$)]])</f>
        <v>#NUM!</v>
      </c>
    </row>
    <row r="281" spans="1:15" x14ac:dyDescent="0.2">
      <c r="A281" t="s">
        <v>284</v>
      </c>
      <c r="B281" t="s">
        <v>3114</v>
      </c>
      <c r="C281">
        <v>-3.6110321147682783E-9</v>
      </c>
      <c r="D281">
        <v>0</v>
      </c>
      <c r="E281">
        <f>ABS(Table1[[#This Row],[Flux in SC / glucose uptake ($mmol/mmol\ glc$)]]-Table1[[#This Row],[Flux in RT / glucose uptake ($mmol/mmol\ glc$)]])/SQRT(2)</f>
        <v>2.5533852954350489E-9</v>
      </c>
      <c r="F281">
        <f>Table1[[#This Row],[distance from 45-degree line]]/MAX(Table1[[Flux in SC / glucose uptake ($mmol/mmol\ glc$)]:[Flux in RT / glucose uptake ($mmol/mmol\ glc$)]])</f>
        <v>1.376245538429589E-10</v>
      </c>
      <c r="G281">
        <f>_xlfn.RANK.AVG(Table1[[#This Row],[Flux in SC / glucose uptake ($mmol/mmol\ glc$)]],Table1[Flux in SC / glucose uptake ($mmol/mmol\ glc$)])</f>
        <v>2296</v>
      </c>
      <c r="H281">
        <f>_xlfn.RANK.AVG(Table1[[#This Row],[Flux in RT / glucose uptake ($mmol/mmol\ glc$)]],Table1[Flux in RT / glucose uptake ($mmol/mmol\ glc$)])</f>
        <v>1290.5</v>
      </c>
      <c r="I281" t="e">
        <f>LOG(Table1[[#This Row],[Flux in SC / glucose uptake ($mmol/mmol\ glc$)]])</f>
        <v>#NUM!</v>
      </c>
      <c r="J281" t="e">
        <f>LOG(Table1[[#This Row],[Flux in RT / glucose uptake ($mmol/mmol\ glc$)]])</f>
        <v>#NUM!</v>
      </c>
    </row>
    <row r="282" spans="1:15" x14ac:dyDescent="0.2">
      <c r="A282" t="s">
        <v>285</v>
      </c>
      <c r="B282" t="s">
        <v>3114</v>
      </c>
      <c r="C282">
        <v>0</v>
      </c>
      <c r="D282">
        <v>0</v>
      </c>
      <c r="E282">
        <f>ABS(Table1[[#This Row],[Flux in SC / glucose uptake ($mmol/mmol\ glc$)]]-Table1[[#This Row],[Flux in RT / glucose uptake ($mmol/mmol\ glc$)]])/SQRT(2)</f>
        <v>0</v>
      </c>
      <c r="F282">
        <f>Table1[[#This Row],[distance from 45-degree line]]/MAX(Table1[[Flux in SC / glucose uptake ($mmol/mmol\ glc$)]:[Flux in RT / glucose uptake ($mmol/mmol\ glc$)]])</f>
        <v>0</v>
      </c>
      <c r="G282">
        <f>_xlfn.RANK.AVG(Table1[[#This Row],[Flux in SC / glucose uptake ($mmol/mmol\ glc$)]],Table1[Flux in SC / glucose uptake ($mmol/mmol\ glc$)])</f>
        <v>1310.5</v>
      </c>
      <c r="H282">
        <f>_xlfn.RANK.AVG(Table1[[#This Row],[Flux in RT / glucose uptake ($mmol/mmol\ glc$)]],Table1[Flux in RT / glucose uptake ($mmol/mmol\ glc$)])</f>
        <v>1290.5</v>
      </c>
      <c r="I282" t="e">
        <f>LOG(Table1[[#This Row],[Flux in SC / glucose uptake ($mmol/mmol\ glc$)]])</f>
        <v>#NUM!</v>
      </c>
      <c r="J282" t="e">
        <f>LOG(Table1[[#This Row],[Flux in RT / glucose uptake ($mmol/mmol\ glc$)]])</f>
        <v>#NUM!</v>
      </c>
    </row>
    <row r="283" spans="1:15" x14ac:dyDescent="0.2">
      <c r="A283" t="s">
        <v>286</v>
      </c>
      <c r="B283" t="s">
        <v>3150</v>
      </c>
      <c r="C283">
        <v>0</v>
      </c>
      <c r="D283">
        <v>0</v>
      </c>
      <c r="E283">
        <f>ABS(Table1[[#This Row],[Flux in SC / glucose uptake ($mmol/mmol\ glc$)]]-Table1[[#This Row],[Flux in RT / glucose uptake ($mmol/mmol\ glc$)]])/SQRT(2)</f>
        <v>0</v>
      </c>
      <c r="F283">
        <f>Table1[[#This Row],[distance from 45-degree line]]/MAX(Table1[[Flux in SC / glucose uptake ($mmol/mmol\ glc$)]:[Flux in RT / glucose uptake ($mmol/mmol\ glc$)]])</f>
        <v>0</v>
      </c>
      <c r="G283">
        <f>_xlfn.RANK.AVG(Table1[[#This Row],[Flux in SC / glucose uptake ($mmol/mmol\ glc$)]],Table1[Flux in SC / glucose uptake ($mmol/mmol\ glc$)])</f>
        <v>1310.5</v>
      </c>
      <c r="H283">
        <f>_xlfn.RANK.AVG(Table1[[#This Row],[Flux in RT / glucose uptake ($mmol/mmol\ glc$)]],Table1[Flux in RT / glucose uptake ($mmol/mmol\ glc$)])</f>
        <v>1290.5</v>
      </c>
      <c r="I283" t="e">
        <f>LOG(Table1[[#This Row],[Flux in SC / glucose uptake ($mmol/mmol\ glc$)]])</f>
        <v>#NUM!</v>
      </c>
      <c r="J283" t="e">
        <f>LOG(Table1[[#This Row],[Flux in RT / glucose uptake ($mmol/mmol\ glc$)]])</f>
        <v>#NUM!</v>
      </c>
    </row>
    <row r="284" spans="1:15" x14ac:dyDescent="0.2">
      <c r="A284" t="s">
        <v>287</v>
      </c>
      <c r="B284" t="s">
        <v>3151</v>
      </c>
      <c r="C284">
        <v>0</v>
      </c>
      <c r="D284">
        <v>0</v>
      </c>
      <c r="E284">
        <f>ABS(Table1[[#This Row],[Flux in SC / glucose uptake ($mmol/mmol\ glc$)]]-Table1[[#This Row],[Flux in RT / glucose uptake ($mmol/mmol\ glc$)]])/SQRT(2)</f>
        <v>0</v>
      </c>
      <c r="F284">
        <f>Table1[[#This Row],[distance from 45-degree line]]/MAX(Table1[[Flux in SC / glucose uptake ($mmol/mmol\ glc$)]:[Flux in RT / glucose uptake ($mmol/mmol\ glc$)]])</f>
        <v>0</v>
      </c>
      <c r="G284">
        <f>_xlfn.RANK.AVG(Table1[[#This Row],[Flux in SC / glucose uptake ($mmol/mmol\ glc$)]],Table1[Flux in SC / glucose uptake ($mmol/mmol\ glc$)])</f>
        <v>1310.5</v>
      </c>
      <c r="H284">
        <f>_xlfn.RANK.AVG(Table1[[#This Row],[Flux in RT / glucose uptake ($mmol/mmol\ glc$)]],Table1[Flux in RT / glucose uptake ($mmol/mmol\ glc$)])</f>
        <v>1290.5</v>
      </c>
      <c r="I284" t="e">
        <f>LOG(Table1[[#This Row],[Flux in SC / glucose uptake ($mmol/mmol\ glc$)]])</f>
        <v>#NUM!</v>
      </c>
      <c r="J284" t="e">
        <f>LOG(Table1[[#This Row],[Flux in RT / glucose uptake ($mmol/mmol\ glc$)]])</f>
        <v>#NUM!</v>
      </c>
    </row>
    <row r="285" spans="1:15" x14ac:dyDescent="0.2">
      <c r="A285" t="s">
        <v>288</v>
      </c>
      <c r="B285" t="s">
        <v>3151</v>
      </c>
      <c r="C285">
        <v>0</v>
      </c>
      <c r="D285">
        <v>0</v>
      </c>
      <c r="E285">
        <f>ABS(Table1[[#This Row],[Flux in SC / glucose uptake ($mmol/mmol\ glc$)]]-Table1[[#This Row],[Flux in RT / glucose uptake ($mmol/mmol\ glc$)]])/SQRT(2)</f>
        <v>0</v>
      </c>
      <c r="F285">
        <f>Table1[[#This Row],[distance from 45-degree line]]/MAX(Table1[[Flux in SC / glucose uptake ($mmol/mmol\ glc$)]:[Flux in RT / glucose uptake ($mmol/mmol\ glc$)]])</f>
        <v>0</v>
      </c>
      <c r="G285">
        <f>_xlfn.RANK.AVG(Table1[[#This Row],[Flux in SC / glucose uptake ($mmol/mmol\ glc$)]],Table1[Flux in SC / glucose uptake ($mmol/mmol\ glc$)])</f>
        <v>1310.5</v>
      </c>
      <c r="H285">
        <f>_xlfn.RANK.AVG(Table1[[#This Row],[Flux in RT / glucose uptake ($mmol/mmol\ glc$)]],Table1[Flux in RT / glucose uptake ($mmol/mmol\ glc$)])</f>
        <v>1290.5</v>
      </c>
      <c r="I285" t="e">
        <f>LOG(Table1[[#This Row],[Flux in SC / glucose uptake ($mmol/mmol\ glc$)]])</f>
        <v>#NUM!</v>
      </c>
      <c r="J285" t="e">
        <f>LOG(Table1[[#This Row],[Flux in RT / glucose uptake ($mmol/mmol\ glc$)]])</f>
        <v>#NUM!</v>
      </c>
    </row>
    <row r="286" spans="1:15" x14ac:dyDescent="0.2">
      <c r="A286" t="s">
        <v>289</v>
      </c>
      <c r="B286" t="s">
        <v>3150</v>
      </c>
      <c r="C286">
        <v>0</v>
      </c>
      <c r="D286">
        <v>0</v>
      </c>
      <c r="E286">
        <f>ABS(Table1[[#This Row],[Flux in SC / glucose uptake ($mmol/mmol\ glc$)]]-Table1[[#This Row],[Flux in RT / glucose uptake ($mmol/mmol\ glc$)]])/SQRT(2)</f>
        <v>0</v>
      </c>
      <c r="F286">
        <f>Table1[[#This Row],[distance from 45-degree line]]/MAX(Table1[[Flux in SC / glucose uptake ($mmol/mmol\ glc$)]:[Flux in RT / glucose uptake ($mmol/mmol\ glc$)]])</f>
        <v>0</v>
      </c>
      <c r="G286">
        <f>_xlfn.RANK.AVG(Table1[[#This Row],[Flux in SC / glucose uptake ($mmol/mmol\ glc$)]],Table1[Flux in SC / glucose uptake ($mmol/mmol\ glc$)])</f>
        <v>1310.5</v>
      </c>
      <c r="H286">
        <f>_xlfn.RANK.AVG(Table1[[#This Row],[Flux in RT / glucose uptake ($mmol/mmol\ glc$)]],Table1[Flux in RT / glucose uptake ($mmol/mmol\ glc$)])</f>
        <v>1290.5</v>
      </c>
      <c r="I286" t="e">
        <f>LOG(Table1[[#This Row],[Flux in SC / glucose uptake ($mmol/mmol\ glc$)]])</f>
        <v>#NUM!</v>
      </c>
      <c r="J286" t="e">
        <f>LOG(Table1[[#This Row],[Flux in RT / glucose uptake ($mmol/mmol\ glc$)]])</f>
        <v>#NUM!</v>
      </c>
    </row>
    <row r="287" spans="1:15" x14ac:dyDescent="0.2">
      <c r="A287" t="s">
        <v>290</v>
      </c>
      <c r="B287" t="s">
        <v>3114</v>
      </c>
      <c r="C287">
        <v>0</v>
      </c>
      <c r="D287">
        <v>0</v>
      </c>
      <c r="E287">
        <f>ABS(Table1[[#This Row],[Flux in SC / glucose uptake ($mmol/mmol\ glc$)]]-Table1[[#This Row],[Flux in RT / glucose uptake ($mmol/mmol\ glc$)]])/SQRT(2)</f>
        <v>0</v>
      </c>
      <c r="F287">
        <f>Table1[[#This Row],[distance from 45-degree line]]/MAX(Table1[[Flux in SC / glucose uptake ($mmol/mmol\ glc$)]:[Flux in RT / glucose uptake ($mmol/mmol\ glc$)]])</f>
        <v>0</v>
      </c>
      <c r="G287">
        <f>_xlfn.RANK.AVG(Table1[[#This Row],[Flux in SC / glucose uptake ($mmol/mmol\ glc$)]],Table1[Flux in SC / glucose uptake ($mmol/mmol\ glc$)])</f>
        <v>1310.5</v>
      </c>
      <c r="H287">
        <f>_xlfn.RANK.AVG(Table1[[#This Row],[Flux in RT / glucose uptake ($mmol/mmol\ glc$)]],Table1[Flux in RT / glucose uptake ($mmol/mmol\ glc$)])</f>
        <v>1290.5</v>
      </c>
      <c r="I287" t="e">
        <f>LOG(Table1[[#This Row],[Flux in SC / glucose uptake ($mmol/mmol\ glc$)]])</f>
        <v>#NUM!</v>
      </c>
      <c r="J287" t="e">
        <f>LOG(Table1[[#This Row],[Flux in RT / glucose uptake ($mmol/mmol\ glc$)]])</f>
        <v>#NUM!</v>
      </c>
    </row>
    <row r="288" spans="1:15" x14ac:dyDescent="0.2">
      <c r="A288" t="s">
        <v>291</v>
      </c>
      <c r="B288" t="s">
        <v>3114</v>
      </c>
      <c r="C288">
        <v>0</v>
      </c>
      <c r="D288">
        <v>0</v>
      </c>
      <c r="E288">
        <f>ABS(Table1[[#This Row],[Flux in SC / glucose uptake ($mmol/mmol\ glc$)]]-Table1[[#This Row],[Flux in RT / glucose uptake ($mmol/mmol\ glc$)]])/SQRT(2)</f>
        <v>0</v>
      </c>
      <c r="F288">
        <f>Table1[[#This Row],[distance from 45-degree line]]/MAX(Table1[[Flux in SC / glucose uptake ($mmol/mmol\ glc$)]:[Flux in RT / glucose uptake ($mmol/mmol\ glc$)]])</f>
        <v>0</v>
      </c>
      <c r="G288">
        <f>_xlfn.RANK.AVG(Table1[[#This Row],[Flux in SC / glucose uptake ($mmol/mmol\ glc$)]],Table1[Flux in SC / glucose uptake ($mmol/mmol\ glc$)])</f>
        <v>1310.5</v>
      </c>
      <c r="H288">
        <f>_xlfn.RANK.AVG(Table1[[#This Row],[Flux in RT / glucose uptake ($mmol/mmol\ glc$)]],Table1[Flux in RT / glucose uptake ($mmol/mmol\ glc$)])</f>
        <v>1290.5</v>
      </c>
      <c r="I288" t="e">
        <f>LOG(Table1[[#This Row],[Flux in SC / glucose uptake ($mmol/mmol\ glc$)]])</f>
        <v>#NUM!</v>
      </c>
      <c r="J288" t="e">
        <f>LOG(Table1[[#This Row],[Flux in RT / glucose uptake ($mmol/mmol\ glc$)]])</f>
        <v>#NUM!</v>
      </c>
    </row>
    <row r="289" spans="1:10" x14ac:dyDescent="0.2">
      <c r="A289" t="s">
        <v>292</v>
      </c>
      <c r="B289" t="s">
        <v>3150</v>
      </c>
      <c r="C289">
        <v>0.1262783759082246</v>
      </c>
      <c r="D289">
        <v>0.22842521538371333</v>
      </c>
      <c r="E289">
        <f>ABS(Table1[[#This Row],[Flux in SC / glucose uptake ($mmol/mmol\ glc$)]]-Table1[[#This Row],[Flux in RT / glucose uptake ($mmol/mmol\ glc$)]])/SQRT(2)</f>
        <v>7.2228722869891793E-2</v>
      </c>
      <c r="F289">
        <f>Table1[[#This Row],[distance from 45-degree line]]/MAX(Table1[[Flux in SC / glucose uptake ($mmol/mmol\ glc$)]:[Flux in RT / glucose uptake ($mmol/mmol\ glc$)]])</f>
        <v>3.8930457449516702E-3</v>
      </c>
      <c r="G289">
        <f>_xlfn.RANK.AVG(Table1[[#This Row],[Flux in SC / glucose uptake ($mmol/mmol\ glc$)]],Table1[Flux in SC / glucose uptake ($mmol/mmol\ glc$)])</f>
        <v>31</v>
      </c>
      <c r="H289">
        <f>_xlfn.RANK.AVG(Table1[[#This Row],[Flux in RT / glucose uptake ($mmol/mmol\ glc$)]],Table1[Flux in RT / glucose uptake ($mmol/mmol\ glc$)])</f>
        <v>64</v>
      </c>
      <c r="I289">
        <f>LOG(Table1[[#This Row],[Flux in SC / glucose uptake ($mmol/mmol\ glc$)]])</f>
        <v>-0.898671012293218</v>
      </c>
      <c r="J289">
        <f>LOG(Table1[[#This Row],[Flux in RT / glucose uptake ($mmol/mmol\ glc$)]])</f>
        <v>-0.64125595691673287</v>
      </c>
    </row>
    <row r="290" spans="1:10" x14ac:dyDescent="0.2">
      <c r="A290" t="s">
        <v>293</v>
      </c>
      <c r="B290" t="s">
        <v>3150</v>
      </c>
      <c r="C290">
        <v>0</v>
      </c>
      <c r="D290">
        <v>0</v>
      </c>
      <c r="E290">
        <f>ABS(Table1[[#This Row],[Flux in SC / glucose uptake ($mmol/mmol\ glc$)]]-Table1[[#This Row],[Flux in RT / glucose uptake ($mmol/mmol\ glc$)]])/SQRT(2)</f>
        <v>0</v>
      </c>
      <c r="F290">
        <f>Table1[[#This Row],[distance from 45-degree line]]/MAX(Table1[[Flux in SC / glucose uptake ($mmol/mmol\ glc$)]:[Flux in RT / glucose uptake ($mmol/mmol\ glc$)]])</f>
        <v>0</v>
      </c>
      <c r="G290">
        <f>_xlfn.RANK.AVG(Table1[[#This Row],[Flux in SC / glucose uptake ($mmol/mmol\ glc$)]],Table1[Flux in SC / glucose uptake ($mmol/mmol\ glc$)])</f>
        <v>1310.5</v>
      </c>
      <c r="H290">
        <f>_xlfn.RANK.AVG(Table1[[#This Row],[Flux in RT / glucose uptake ($mmol/mmol\ glc$)]],Table1[Flux in RT / glucose uptake ($mmol/mmol\ glc$)])</f>
        <v>1290.5</v>
      </c>
      <c r="I290" t="e">
        <f>LOG(Table1[[#This Row],[Flux in SC / glucose uptake ($mmol/mmol\ glc$)]])</f>
        <v>#NUM!</v>
      </c>
      <c r="J290" t="e">
        <f>LOG(Table1[[#This Row],[Flux in RT / glucose uptake ($mmol/mmol\ glc$)]])</f>
        <v>#NUM!</v>
      </c>
    </row>
    <row r="291" spans="1:10" x14ac:dyDescent="0.2">
      <c r="A291" t="s">
        <v>294</v>
      </c>
      <c r="B291" t="s">
        <v>3150</v>
      </c>
      <c r="C291">
        <v>0</v>
      </c>
      <c r="D291">
        <v>0</v>
      </c>
      <c r="E291">
        <f>ABS(Table1[[#This Row],[Flux in SC / glucose uptake ($mmol/mmol\ glc$)]]-Table1[[#This Row],[Flux in RT / glucose uptake ($mmol/mmol\ glc$)]])/SQRT(2)</f>
        <v>0</v>
      </c>
      <c r="F291">
        <f>Table1[[#This Row],[distance from 45-degree line]]/MAX(Table1[[Flux in SC / glucose uptake ($mmol/mmol\ glc$)]:[Flux in RT / glucose uptake ($mmol/mmol\ glc$)]])</f>
        <v>0</v>
      </c>
      <c r="G291">
        <f>_xlfn.RANK.AVG(Table1[[#This Row],[Flux in SC / glucose uptake ($mmol/mmol\ glc$)]],Table1[Flux in SC / glucose uptake ($mmol/mmol\ glc$)])</f>
        <v>1310.5</v>
      </c>
      <c r="H291">
        <f>_xlfn.RANK.AVG(Table1[[#This Row],[Flux in RT / glucose uptake ($mmol/mmol\ glc$)]],Table1[Flux in RT / glucose uptake ($mmol/mmol\ glc$)])</f>
        <v>1290.5</v>
      </c>
      <c r="I291" t="e">
        <f>LOG(Table1[[#This Row],[Flux in SC / glucose uptake ($mmol/mmol\ glc$)]])</f>
        <v>#NUM!</v>
      </c>
      <c r="J291" t="e">
        <f>LOG(Table1[[#This Row],[Flux in RT / glucose uptake ($mmol/mmol\ glc$)]])</f>
        <v>#NUM!</v>
      </c>
    </row>
    <row r="292" spans="1:10" x14ac:dyDescent="0.2">
      <c r="A292" t="s">
        <v>295</v>
      </c>
      <c r="B292" t="s">
        <v>3148</v>
      </c>
      <c r="C292">
        <v>0</v>
      </c>
      <c r="D292">
        <v>0</v>
      </c>
      <c r="E292">
        <f>ABS(Table1[[#This Row],[Flux in SC / glucose uptake ($mmol/mmol\ glc$)]]-Table1[[#This Row],[Flux in RT / glucose uptake ($mmol/mmol\ glc$)]])/SQRT(2)</f>
        <v>0</v>
      </c>
      <c r="F292">
        <f>Table1[[#This Row],[distance from 45-degree line]]/MAX(Table1[[Flux in SC / glucose uptake ($mmol/mmol\ glc$)]:[Flux in RT / glucose uptake ($mmol/mmol\ glc$)]])</f>
        <v>0</v>
      </c>
      <c r="G292">
        <f>_xlfn.RANK.AVG(Table1[[#This Row],[Flux in SC / glucose uptake ($mmol/mmol\ glc$)]],Table1[Flux in SC / glucose uptake ($mmol/mmol\ glc$)])</f>
        <v>1310.5</v>
      </c>
      <c r="H292">
        <f>_xlfn.RANK.AVG(Table1[[#This Row],[Flux in RT / glucose uptake ($mmol/mmol\ glc$)]],Table1[Flux in RT / glucose uptake ($mmol/mmol\ glc$)])</f>
        <v>1290.5</v>
      </c>
      <c r="I292" t="e">
        <f>LOG(Table1[[#This Row],[Flux in SC / glucose uptake ($mmol/mmol\ glc$)]])</f>
        <v>#NUM!</v>
      </c>
      <c r="J292" t="e">
        <f>LOG(Table1[[#This Row],[Flux in RT / glucose uptake ($mmol/mmol\ glc$)]])</f>
        <v>#NUM!</v>
      </c>
    </row>
    <row r="293" spans="1:10" x14ac:dyDescent="0.2">
      <c r="A293" t="s">
        <v>296</v>
      </c>
      <c r="B293" t="s">
        <v>3150</v>
      </c>
      <c r="C293">
        <v>0</v>
      </c>
      <c r="D293">
        <v>0</v>
      </c>
      <c r="E293">
        <f>ABS(Table1[[#This Row],[Flux in SC / glucose uptake ($mmol/mmol\ glc$)]]-Table1[[#This Row],[Flux in RT / glucose uptake ($mmol/mmol\ glc$)]])/SQRT(2)</f>
        <v>0</v>
      </c>
      <c r="F293">
        <f>Table1[[#This Row],[distance from 45-degree line]]/MAX(Table1[[Flux in SC / glucose uptake ($mmol/mmol\ glc$)]:[Flux in RT / glucose uptake ($mmol/mmol\ glc$)]])</f>
        <v>0</v>
      </c>
      <c r="G293">
        <f>_xlfn.RANK.AVG(Table1[[#This Row],[Flux in SC / glucose uptake ($mmol/mmol\ glc$)]],Table1[Flux in SC / glucose uptake ($mmol/mmol\ glc$)])</f>
        <v>1310.5</v>
      </c>
      <c r="H293">
        <f>_xlfn.RANK.AVG(Table1[[#This Row],[Flux in RT / glucose uptake ($mmol/mmol\ glc$)]],Table1[Flux in RT / glucose uptake ($mmol/mmol\ glc$)])</f>
        <v>1290.5</v>
      </c>
      <c r="I293" t="e">
        <f>LOG(Table1[[#This Row],[Flux in SC / glucose uptake ($mmol/mmol\ glc$)]])</f>
        <v>#NUM!</v>
      </c>
      <c r="J293" t="e">
        <f>LOG(Table1[[#This Row],[Flux in RT / glucose uptake ($mmol/mmol\ glc$)]])</f>
        <v>#NUM!</v>
      </c>
    </row>
    <row r="294" spans="1:10" x14ac:dyDescent="0.2">
      <c r="A294" t="s">
        <v>297</v>
      </c>
      <c r="B294" t="s">
        <v>3150</v>
      </c>
      <c r="C294">
        <v>1.5572331044400596E-3</v>
      </c>
      <c r="D294">
        <v>1.0139935657085517E-2</v>
      </c>
      <c r="E294">
        <f>ABS(Table1[[#This Row],[Flux in SC / glucose uptake ($mmol/mmol\ glc$)]]-Table1[[#This Row],[Flux in RT / glucose uptake ($mmol/mmol\ glc$)]])/SQRT(2)</f>
        <v>6.0688871758826949E-3</v>
      </c>
      <c r="F294">
        <f>Table1[[#This Row],[distance from 45-degree line]]/MAX(Table1[[Flux in SC / glucose uptake ($mmol/mmol\ glc$)]:[Flux in RT / glucose uptake ($mmol/mmol\ glc$)]])</f>
        <v>3.2710609377963209E-4</v>
      </c>
      <c r="G294">
        <f>_xlfn.RANK.AVG(Table1[[#This Row],[Flux in SC / glucose uptake ($mmol/mmol\ glc$)]],Table1[Flux in SC / glucose uptake ($mmol/mmol\ glc$)])</f>
        <v>195</v>
      </c>
      <c r="H294">
        <f>_xlfn.RANK.AVG(Table1[[#This Row],[Flux in RT / glucose uptake ($mmol/mmol\ glc$)]],Table1[Flux in RT / glucose uptake ($mmol/mmol\ glc$)])</f>
        <v>197</v>
      </c>
      <c r="I294">
        <f>LOG(Table1[[#This Row],[Flux in SC / glucose uptake ($mmol/mmol\ glc$)]])</f>
        <v>-2.8076463724064662</v>
      </c>
      <c r="J294">
        <f>LOG(Table1[[#This Row],[Flux in RT / glucose uptake ($mmol/mmol\ glc$)]])</f>
        <v>-1.9939648008075515</v>
      </c>
    </row>
    <row r="295" spans="1:10" x14ac:dyDescent="0.2">
      <c r="A295" t="s">
        <v>298</v>
      </c>
      <c r="B295" t="s">
        <v>3114</v>
      </c>
      <c r="C295">
        <v>0</v>
      </c>
      <c r="D295">
        <v>0</v>
      </c>
      <c r="E295">
        <f>ABS(Table1[[#This Row],[Flux in SC / glucose uptake ($mmol/mmol\ glc$)]]-Table1[[#This Row],[Flux in RT / glucose uptake ($mmol/mmol\ glc$)]])/SQRT(2)</f>
        <v>0</v>
      </c>
      <c r="F295">
        <f>Table1[[#This Row],[distance from 45-degree line]]/MAX(Table1[[Flux in SC / glucose uptake ($mmol/mmol\ glc$)]:[Flux in RT / glucose uptake ($mmol/mmol\ glc$)]])</f>
        <v>0</v>
      </c>
      <c r="G295">
        <f>_xlfn.RANK.AVG(Table1[[#This Row],[Flux in SC / glucose uptake ($mmol/mmol\ glc$)]],Table1[Flux in SC / glucose uptake ($mmol/mmol\ glc$)])</f>
        <v>1310.5</v>
      </c>
      <c r="H295">
        <f>_xlfn.RANK.AVG(Table1[[#This Row],[Flux in RT / glucose uptake ($mmol/mmol\ glc$)]],Table1[Flux in RT / glucose uptake ($mmol/mmol\ glc$)])</f>
        <v>1290.5</v>
      </c>
      <c r="I295" t="e">
        <f>LOG(Table1[[#This Row],[Flux in SC / glucose uptake ($mmol/mmol\ glc$)]])</f>
        <v>#NUM!</v>
      </c>
      <c r="J295" t="e">
        <f>LOG(Table1[[#This Row],[Flux in RT / glucose uptake ($mmol/mmol\ glc$)]])</f>
        <v>#NUM!</v>
      </c>
    </row>
    <row r="296" spans="1:10" x14ac:dyDescent="0.2">
      <c r="A296" t="s">
        <v>299</v>
      </c>
      <c r="B296" t="s">
        <v>3114</v>
      </c>
      <c r="C296">
        <v>0.71087634451851267</v>
      </c>
      <c r="D296">
        <v>14.505627470675117</v>
      </c>
      <c r="E296">
        <f>ABS(Table1[[#This Row],[Flux in SC / glucose uptake ($mmol/mmol\ glc$)]]-Table1[[#This Row],[Flux in RT / glucose uptake ($mmol/mmol\ glc$)]])/SQRT(2)</f>
        <v>9.754362066086097</v>
      </c>
      <c r="F296">
        <f>Table1[[#This Row],[distance from 45-degree line]]/MAX(Table1[[Flux in SC / glucose uptake ($mmol/mmol\ glc$)]:[Flux in RT / glucose uptake ($mmol/mmol\ glc$)]])</f>
        <v>0.52574898499172851</v>
      </c>
      <c r="G296">
        <f>_xlfn.RANK.AVG(Table1[[#This Row],[Flux in SC / glucose uptake ($mmol/mmol\ glc$)]],Table1[Flux in SC / glucose uptake ($mmol/mmol\ glc$)])</f>
        <v>20</v>
      </c>
      <c r="H296">
        <f>_xlfn.RANK.AVG(Table1[[#This Row],[Flux in RT / glucose uptake ($mmol/mmol\ glc$)]],Table1[Flux in RT / glucose uptake ($mmol/mmol\ glc$)])</f>
        <v>2</v>
      </c>
      <c r="I296">
        <f>LOG(Table1[[#This Row],[Flux in SC / glucose uptake ($mmol/mmol\ glc$)]])</f>
        <v>-0.1482059373345801</v>
      </c>
      <c r="J296">
        <f>LOG(Table1[[#This Row],[Flux in RT / glucose uptake ($mmol/mmol\ glc$)]])</f>
        <v>1.1615365198438017</v>
      </c>
    </row>
    <row r="297" spans="1:10" x14ac:dyDescent="0.2">
      <c r="A297" t="s">
        <v>300</v>
      </c>
      <c r="B297" t="s">
        <v>3114</v>
      </c>
      <c r="C297">
        <v>0</v>
      </c>
      <c r="D297">
        <v>0</v>
      </c>
      <c r="E297">
        <f>ABS(Table1[[#This Row],[Flux in SC / glucose uptake ($mmol/mmol\ glc$)]]-Table1[[#This Row],[Flux in RT / glucose uptake ($mmol/mmol\ glc$)]])/SQRT(2)</f>
        <v>0</v>
      </c>
      <c r="F297">
        <f>Table1[[#This Row],[distance from 45-degree line]]/MAX(Table1[[Flux in SC / glucose uptake ($mmol/mmol\ glc$)]:[Flux in RT / glucose uptake ($mmol/mmol\ glc$)]])</f>
        <v>0</v>
      </c>
      <c r="G297">
        <f>_xlfn.RANK.AVG(Table1[[#This Row],[Flux in SC / glucose uptake ($mmol/mmol\ glc$)]],Table1[Flux in SC / glucose uptake ($mmol/mmol\ glc$)])</f>
        <v>1310.5</v>
      </c>
      <c r="H297">
        <f>_xlfn.RANK.AVG(Table1[[#This Row],[Flux in RT / glucose uptake ($mmol/mmol\ glc$)]],Table1[Flux in RT / glucose uptake ($mmol/mmol\ glc$)])</f>
        <v>1290.5</v>
      </c>
      <c r="I297" t="e">
        <f>LOG(Table1[[#This Row],[Flux in SC / glucose uptake ($mmol/mmol\ glc$)]])</f>
        <v>#NUM!</v>
      </c>
      <c r="J297" t="e">
        <f>LOG(Table1[[#This Row],[Flux in RT / glucose uptake ($mmol/mmol\ glc$)]])</f>
        <v>#NUM!</v>
      </c>
    </row>
    <row r="298" spans="1:10" x14ac:dyDescent="0.2">
      <c r="A298" t="s">
        <v>301</v>
      </c>
      <c r="B298" t="s">
        <v>3150</v>
      </c>
      <c r="C298">
        <v>0</v>
      </c>
      <c r="D298">
        <v>0</v>
      </c>
      <c r="E298">
        <f>ABS(Table1[[#This Row],[Flux in SC / glucose uptake ($mmol/mmol\ glc$)]]-Table1[[#This Row],[Flux in RT / glucose uptake ($mmol/mmol\ glc$)]])/SQRT(2)</f>
        <v>0</v>
      </c>
      <c r="F298">
        <f>Table1[[#This Row],[distance from 45-degree line]]/MAX(Table1[[Flux in SC / glucose uptake ($mmol/mmol\ glc$)]:[Flux in RT / glucose uptake ($mmol/mmol\ glc$)]])</f>
        <v>0</v>
      </c>
      <c r="G298">
        <f>_xlfn.RANK.AVG(Table1[[#This Row],[Flux in SC / glucose uptake ($mmol/mmol\ glc$)]],Table1[Flux in SC / glucose uptake ($mmol/mmol\ glc$)])</f>
        <v>1310.5</v>
      </c>
      <c r="H298">
        <f>_xlfn.RANK.AVG(Table1[[#This Row],[Flux in RT / glucose uptake ($mmol/mmol\ glc$)]],Table1[Flux in RT / glucose uptake ($mmol/mmol\ glc$)])</f>
        <v>1290.5</v>
      </c>
      <c r="I298" t="e">
        <f>LOG(Table1[[#This Row],[Flux in SC / glucose uptake ($mmol/mmol\ glc$)]])</f>
        <v>#NUM!</v>
      </c>
      <c r="J298" t="e">
        <f>LOG(Table1[[#This Row],[Flux in RT / glucose uptake ($mmol/mmol\ glc$)]])</f>
        <v>#NUM!</v>
      </c>
    </row>
    <row r="299" spans="1:10" x14ac:dyDescent="0.2">
      <c r="A299" t="s">
        <v>302</v>
      </c>
      <c r="B299" t="s">
        <v>3150</v>
      </c>
      <c r="C299">
        <v>0</v>
      </c>
      <c r="D299">
        <v>0</v>
      </c>
      <c r="E299">
        <f>ABS(Table1[[#This Row],[Flux in SC / glucose uptake ($mmol/mmol\ glc$)]]-Table1[[#This Row],[Flux in RT / glucose uptake ($mmol/mmol\ glc$)]])/SQRT(2)</f>
        <v>0</v>
      </c>
      <c r="F299">
        <f>Table1[[#This Row],[distance from 45-degree line]]/MAX(Table1[[Flux in SC / glucose uptake ($mmol/mmol\ glc$)]:[Flux in RT / glucose uptake ($mmol/mmol\ glc$)]])</f>
        <v>0</v>
      </c>
      <c r="G299">
        <f>_xlfn.RANK.AVG(Table1[[#This Row],[Flux in SC / glucose uptake ($mmol/mmol\ glc$)]],Table1[Flux in SC / glucose uptake ($mmol/mmol\ glc$)])</f>
        <v>1310.5</v>
      </c>
      <c r="H299">
        <f>_xlfn.RANK.AVG(Table1[[#This Row],[Flux in RT / glucose uptake ($mmol/mmol\ glc$)]],Table1[Flux in RT / glucose uptake ($mmol/mmol\ glc$)])</f>
        <v>1290.5</v>
      </c>
      <c r="I299" t="e">
        <f>LOG(Table1[[#This Row],[Flux in SC / glucose uptake ($mmol/mmol\ glc$)]])</f>
        <v>#NUM!</v>
      </c>
      <c r="J299" t="e">
        <f>LOG(Table1[[#This Row],[Flux in RT / glucose uptake ($mmol/mmol\ glc$)]])</f>
        <v>#NUM!</v>
      </c>
    </row>
    <row r="300" spans="1:10" x14ac:dyDescent="0.2">
      <c r="A300" t="s">
        <v>303</v>
      </c>
      <c r="B300" t="s">
        <v>3150</v>
      </c>
      <c r="C300">
        <v>0</v>
      </c>
      <c r="D300">
        <v>0</v>
      </c>
      <c r="E300">
        <f>ABS(Table1[[#This Row],[Flux in SC / glucose uptake ($mmol/mmol\ glc$)]]-Table1[[#This Row],[Flux in RT / glucose uptake ($mmol/mmol\ glc$)]])/SQRT(2)</f>
        <v>0</v>
      </c>
      <c r="F300">
        <f>Table1[[#This Row],[distance from 45-degree line]]/MAX(Table1[[Flux in SC / glucose uptake ($mmol/mmol\ glc$)]:[Flux in RT / glucose uptake ($mmol/mmol\ glc$)]])</f>
        <v>0</v>
      </c>
      <c r="G300">
        <f>_xlfn.RANK.AVG(Table1[[#This Row],[Flux in SC / glucose uptake ($mmol/mmol\ glc$)]],Table1[Flux in SC / glucose uptake ($mmol/mmol\ glc$)])</f>
        <v>1310.5</v>
      </c>
      <c r="H300">
        <f>_xlfn.RANK.AVG(Table1[[#This Row],[Flux in RT / glucose uptake ($mmol/mmol\ glc$)]],Table1[Flux in RT / glucose uptake ($mmol/mmol\ glc$)])</f>
        <v>1290.5</v>
      </c>
      <c r="I300" t="e">
        <f>LOG(Table1[[#This Row],[Flux in SC / glucose uptake ($mmol/mmol\ glc$)]])</f>
        <v>#NUM!</v>
      </c>
      <c r="J300" t="e">
        <f>LOG(Table1[[#This Row],[Flux in RT / glucose uptake ($mmol/mmol\ glc$)]])</f>
        <v>#NUM!</v>
      </c>
    </row>
    <row r="301" spans="1:10" x14ac:dyDescent="0.2">
      <c r="A301" t="s">
        <v>304</v>
      </c>
      <c r="B301" t="s">
        <v>3150</v>
      </c>
      <c r="C301">
        <v>0</v>
      </c>
      <c r="D301">
        <v>0</v>
      </c>
      <c r="E301">
        <f>ABS(Table1[[#This Row],[Flux in SC / glucose uptake ($mmol/mmol\ glc$)]]-Table1[[#This Row],[Flux in RT / glucose uptake ($mmol/mmol\ glc$)]])/SQRT(2)</f>
        <v>0</v>
      </c>
      <c r="F301">
        <f>Table1[[#This Row],[distance from 45-degree line]]/MAX(Table1[[Flux in SC / glucose uptake ($mmol/mmol\ glc$)]:[Flux in RT / glucose uptake ($mmol/mmol\ glc$)]])</f>
        <v>0</v>
      </c>
      <c r="G301">
        <f>_xlfn.RANK.AVG(Table1[[#This Row],[Flux in SC / glucose uptake ($mmol/mmol\ glc$)]],Table1[Flux in SC / glucose uptake ($mmol/mmol\ glc$)])</f>
        <v>1310.5</v>
      </c>
      <c r="H301">
        <f>_xlfn.RANK.AVG(Table1[[#This Row],[Flux in RT / glucose uptake ($mmol/mmol\ glc$)]],Table1[Flux in RT / glucose uptake ($mmol/mmol\ glc$)])</f>
        <v>1290.5</v>
      </c>
      <c r="I301" t="e">
        <f>LOG(Table1[[#This Row],[Flux in SC / glucose uptake ($mmol/mmol\ glc$)]])</f>
        <v>#NUM!</v>
      </c>
      <c r="J301" t="e">
        <f>LOG(Table1[[#This Row],[Flux in RT / glucose uptake ($mmol/mmol\ glc$)]])</f>
        <v>#NUM!</v>
      </c>
    </row>
    <row r="302" spans="1:10" x14ac:dyDescent="0.2">
      <c r="A302" t="s">
        <v>305</v>
      </c>
      <c r="B302" t="s">
        <v>3114</v>
      </c>
      <c r="C302">
        <v>0</v>
      </c>
      <c r="D302">
        <v>0</v>
      </c>
      <c r="E302">
        <f>ABS(Table1[[#This Row],[Flux in SC / glucose uptake ($mmol/mmol\ glc$)]]-Table1[[#This Row],[Flux in RT / glucose uptake ($mmol/mmol\ glc$)]])/SQRT(2)</f>
        <v>0</v>
      </c>
      <c r="F302">
        <f>Table1[[#This Row],[distance from 45-degree line]]/MAX(Table1[[Flux in SC / glucose uptake ($mmol/mmol\ glc$)]:[Flux in RT / glucose uptake ($mmol/mmol\ glc$)]])</f>
        <v>0</v>
      </c>
      <c r="G302">
        <f>_xlfn.RANK.AVG(Table1[[#This Row],[Flux in SC / glucose uptake ($mmol/mmol\ glc$)]],Table1[Flux in SC / glucose uptake ($mmol/mmol\ glc$)])</f>
        <v>1310.5</v>
      </c>
      <c r="H302">
        <f>_xlfn.RANK.AVG(Table1[[#This Row],[Flux in RT / glucose uptake ($mmol/mmol\ glc$)]],Table1[Flux in RT / glucose uptake ($mmol/mmol\ glc$)])</f>
        <v>1290.5</v>
      </c>
      <c r="I302" t="e">
        <f>LOG(Table1[[#This Row],[Flux in SC / glucose uptake ($mmol/mmol\ glc$)]])</f>
        <v>#NUM!</v>
      </c>
      <c r="J302" t="e">
        <f>LOG(Table1[[#This Row],[Flux in RT / glucose uptake ($mmol/mmol\ glc$)]])</f>
        <v>#NUM!</v>
      </c>
    </row>
    <row r="303" spans="1:10" x14ac:dyDescent="0.2">
      <c r="A303" t="s">
        <v>306</v>
      </c>
      <c r="B303" t="s">
        <v>3114</v>
      </c>
      <c r="C303">
        <v>0</v>
      </c>
      <c r="D303">
        <v>0</v>
      </c>
      <c r="E303">
        <f>ABS(Table1[[#This Row],[Flux in SC / glucose uptake ($mmol/mmol\ glc$)]]-Table1[[#This Row],[Flux in RT / glucose uptake ($mmol/mmol\ glc$)]])/SQRT(2)</f>
        <v>0</v>
      </c>
      <c r="F303">
        <f>Table1[[#This Row],[distance from 45-degree line]]/MAX(Table1[[Flux in SC / glucose uptake ($mmol/mmol\ glc$)]:[Flux in RT / glucose uptake ($mmol/mmol\ glc$)]])</f>
        <v>0</v>
      </c>
      <c r="G303">
        <f>_xlfn.RANK.AVG(Table1[[#This Row],[Flux in SC / glucose uptake ($mmol/mmol\ glc$)]],Table1[Flux in SC / glucose uptake ($mmol/mmol\ glc$)])</f>
        <v>1310.5</v>
      </c>
      <c r="H303">
        <f>_xlfn.RANK.AVG(Table1[[#This Row],[Flux in RT / glucose uptake ($mmol/mmol\ glc$)]],Table1[Flux in RT / glucose uptake ($mmol/mmol\ glc$)])</f>
        <v>1290.5</v>
      </c>
      <c r="I303" t="e">
        <f>LOG(Table1[[#This Row],[Flux in SC / glucose uptake ($mmol/mmol\ glc$)]])</f>
        <v>#NUM!</v>
      </c>
      <c r="J303" t="e">
        <f>LOG(Table1[[#This Row],[Flux in RT / glucose uptake ($mmol/mmol\ glc$)]])</f>
        <v>#NUM!</v>
      </c>
    </row>
    <row r="304" spans="1:10" x14ac:dyDescent="0.2">
      <c r="A304" t="s">
        <v>307</v>
      </c>
      <c r="B304" t="s">
        <v>3114</v>
      </c>
      <c r="C304">
        <v>0</v>
      </c>
      <c r="D304">
        <v>0</v>
      </c>
      <c r="E304">
        <f>ABS(Table1[[#This Row],[Flux in SC / glucose uptake ($mmol/mmol\ glc$)]]-Table1[[#This Row],[Flux in RT / glucose uptake ($mmol/mmol\ glc$)]])/SQRT(2)</f>
        <v>0</v>
      </c>
      <c r="F304">
        <f>Table1[[#This Row],[distance from 45-degree line]]/MAX(Table1[[Flux in SC / glucose uptake ($mmol/mmol\ glc$)]:[Flux in RT / glucose uptake ($mmol/mmol\ glc$)]])</f>
        <v>0</v>
      </c>
      <c r="G304">
        <f>_xlfn.RANK.AVG(Table1[[#This Row],[Flux in SC / glucose uptake ($mmol/mmol\ glc$)]],Table1[Flux in SC / glucose uptake ($mmol/mmol\ glc$)])</f>
        <v>1310.5</v>
      </c>
      <c r="H304">
        <f>_xlfn.RANK.AVG(Table1[[#This Row],[Flux in RT / glucose uptake ($mmol/mmol\ glc$)]],Table1[Flux in RT / glucose uptake ($mmol/mmol\ glc$)])</f>
        <v>1290.5</v>
      </c>
      <c r="I304" t="e">
        <f>LOG(Table1[[#This Row],[Flux in SC / glucose uptake ($mmol/mmol\ glc$)]])</f>
        <v>#NUM!</v>
      </c>
      <c r="J304" t="e">
        <f>LOG(Table1[[#This Row],[Flux in RT / glucose uptake ($mmol/mmol\ glc$)]])</f>
        <v>#NUM!</v>
      </c>
    </row>
    <row r="305" spans="1:10" x14ac:dyDescent="0.2">
      <c r="A305" t="s">
        <v>308</v>
      </c>
      <c r="B305" t="s">
        <v>3114</v>
      </c>
      <c r="C305">
        <v>0</v>
      </c>
      <c r="D305">
        <v>0</v>
      </c>
      <c r="E305">
        <f>ABS(Table1[[#This Row],[Flux in SC / glucose uptake ($mmol/mmol\ glc$)]]-Table1[[#This Row],[Flux in RT / glucose uptake ($mmol/mmol\ glc$)]])/SQRT(2)</f>
        <v>0</v>
      </c>
      <c r="F305">
        <f>Table1[[#This Row],[distance from 45-degree line]]/MAX(Table1[[Flux in SC / glucose uptake ($mmol/mmol\ glc$)]:[Flux in RT / glucose uptake ($mmol/mmol\ glc$)]])</f>
        <v>0</v>
      </c>
      <c r="G305">
        <f>_xlfn.RANK.AVG(Table1[[#This Row],[Flux in SC / glucose uptake ($mmol/mmol\ glc$)]],Table1[Flux in SC / glucose uptake ($mmol/mmol\ glc$)])</f>
        <v>1310.5</v>
      </c>
      <c r="H305">
        <f>_xlfn.RANK.AVG(Table1[[#This Row],[Flux in RT / glucose uptake ($mmol/mmol\ glc$)]],Table1[Flux in RT / glucose uptake ($mmol/mmol\ glc$)])</f>
        <v>1290.5</v>
      </c>
      <c r="I305" t="e">
        <f>LOG(Table1[[#This Row],[Flux in SC / glucose uptake ($mmol/mmol\ glc$)]])</f>
        <v>#NUM!</v>
      </c>
      <c r="J305" t="e">
        <f>LOG(Table1[[#This Row],[Flux in RT / glucose uptake ($mmol/mmol\ glc$)]])</f>
        <v>#NUM!</v>
      </c>
    </row>
    <row r="306" spans="1:10" x14ac:dyDescent="0.2">
      <c r="A306" t="s">
        <v>309</v>
      </c>
      <c r="B306" t="s">
        <v>3114</v>
      </c>
      <c r="C306">
        <v>0</v>
      </c>
      <c r="D306">
        <v>0</v>
      </c>
      <c r="E306">
        <f>ABS(Table1[[#This Row],[Flux in SC / glucose uptake ($mmol/mmol\ glc$)]]-Table1[[#This Row],[Flux in RT / glucose uptake ($mmol/mmol\ glc$)]])/SQRT(2)</f>
        <v>0</v>
      </c>
      <c r="F306">
        <f>Table1[[#This Row],[distance from 45-degree line]]/MAX(Table1[[Flux in SC / glucose uptake ($mmol/mmol\ glc$)]:[Flux in RT / glucose uptake ($mmol/mmol\ glc$)]])</f>
        <v>0</v>
      </c>
      <c r="G306">
        <f>_xlfn.RANK.AVG(Table1[[#This Row],[Flux in SC / glucose uptake ($mmol/mmol\ glc$)]],Table1[Flux in SC / glucose uptake ($mmol/mmol\ glc$)])</f>
        <v>1310.5</v>
      </c>
      <c r="H306">
        <f>_xlfn.RANK.AVG(Table1[[#This Row],[Flux in RT / glucose uptake ($mmol/mmol\ glc$)]],Table1[Flux in RT / glucose uptake ($mmol/mmol\ glc$)])</f>
        <v>1290.5</v>
      </c>
      <c r="I306" t="e">
        <f>LOG(Table1[[#This Row],[Flux in SC / glucose uptake ($mmol/mmol\ glc$)]])</f>
        <v>#NUM!</v>
      </c>
      <c r="J306" t="e">
        <f>LOG(Table1[[#This Row],[Flux in RT / glucose uptake ($mmol/mmol\ glc$)]])</f>
        <v>#NUM!</v>
      </c>
    </row>
    <row r="307" spans="1:10" x14ac:dyDescent="0.2">
      <c r="A307" t="s">
        <v>310</v>
      </c>
      <c r="B307" t="s">
        <v>3150</v>
      </c>
      <c r="C307">
        <v>8.5190352675541922E-4</v>
      </c>
      <c r="D307">
        <v>3.8556390008188785E-3</v>
      </c>
      <c r="E307">
        <f>ABS(Table1[[#This Row],[Flux in SC / glucose uptake ($mmol/mmol\ glc$)]]-Table1[[#This Row],[Flux in RT / glucose uptake ($mmol/mmol\ glc$)]])/SQRT(2)</f>
        <v>2.1239617226008608E-3</v>
      </c>
      <c r="F307">
        <f>Table1[[#This Row],[distance from 45-degree line]]/MAX(Table1[[Flux in SC / glucose uptake ($mmol/mmol\ glc$)]:[Flux in RT / glucose uptake ($mmol/mmol\ glc$)]])</f>
        <v>1.1447911326780861E-4</v>
      </c>
      <c r="G307">
        <f>_xlfn.RANK.AVG(Table1[[#This Row],[Flux in SC / glucose uptake ($mmol/mmol\ glc$)]],Table1[Flux in SC / glucose uptake ($mmol/mmol\ glc$)])</f>
        <v>223</v>
      </c>
      <c r="H307">
        <f>_xlfn.RANK.AVG(Table1[[#This Row],[Flux in RT / glucose uptake ($mmol/mmol\ glc$)]],Table1[Flux in RT / glucose uptake ($mmol/mmol\ glc$)])</f>
        <v>245</v>
      </c>
      <c r="I307">
        <f>LOG(Table1[[#This Row],[Flux in SC / glucose uptake ($mmol/mmol\ glc$)]])</f>
        <v>-3.0696095838366184</v>
      </c>
      <c r="J307">
        <f>LOG(Table1[[#This Row],[Flux in RT / glucose uptake ($mmol/mmol\ glc$)]])</f>
        <v>-2.413903635373893</v>
      </c>
    </row>
    <row r="308" spans="1:10" x14ac:dyDescent="0.2">
      <c r="A308" t="s">
        <v>311</v>
      </c>
      <c r="B308" t="s">
        <v>3150</v>
      </c>
      <c r="C308">
        <v>2.7024434580789581E-3</v>
      </c>
      <c r="D308">
        <v>1.1204906465985525E-2</v>
      </c>
      <c r="E308">
        <f>ABS(Table1[[#This Row],[Flux in SC / glucose uptake ($mmol/mmol\ glc$)]]-Table1[[#This Row],[Flux in RT / glucose uptake ($mmol/mmol\ glc$)]])/SQRT(2)</f>
        <v>6.0121492496785023E-3</v>
      </c>
      <c r="F308">
        <f>Table1[[#This Row],[distance from 45-degree line]]/MAX(Table1[[Flux in SC / glucose uptake ($mmol/mmol\ glc$)]:[Flux in RT / glucose uptake ($mmol/mmol\ glc$)]])</f>
        <v>3.2404798429894118E-4</v>
      </c>
      <c r="G308">
        <f>_xlfn.RANK.AVG(Table1[[#This Row],[Flux in SC / glucose uptake ($mmol/mmol\ glc$)]],Table1[Flux in SC / glucose uptake ($mmol/mmol\ glc$)])</f>
        <v>181.5</v>
      </c>
      <c r="H308">
        <f>_xlfn.RANK.AVG(Table1[[#This Row],[Flux in RT / glucose uptake ($mmol/mmol\ glc$)]],Table1[Flux in RT / glucose uptake ($mmol/mmol\ glc$)])</f>
        <v>193.5</v>
      </c>
      <c r="I308">
        <f>LOG(Table1[[#This Row],[Flux in SC / glucose uptake ($mmol/mmol\ glc$)]])</f>
        <v>-2.5682433838135745</v>
      </c>
      <c r="J308">
        <f>LOG(Table1[[#This Row],[Flux in RT / glucose uptake ($mmol/mmol\ glc$)]])</f>
        <v>-1.950591764427974</v>
      </c>
    </row>
    <row r="309" spans="1:10" x14ac:dyDescent="0.2">
      <c r="A309" t="s">
        <v>312</v>
      </c>
      <c r="B309" t="s">
        <v>3150</v>
      </c>
      <c r="C309">
        <v>2.8177315592484149E-3</v>
      </c>
      <c r="D309">
        <v>1.3650598384232542E-2</v>
      </c>
      <c r="E309">
        <f>ABS(Table1[[#This Row],[Flux in SC / glucose uptake ($mmol/mmol\ glc$)]]-Table1[[#This Row],[Flux in RT / glucose uptake ($mmol/mmol\ glc$)]])/SQRT(2)</f>
        <v>7.65999359163706E-3</v>
      </c>
      <c r="F309">
        <f>Table1[[#This Row],[distance from 45-degree line]]/MAX(Table1[[Flux in SC / glucose uptake ($mmol/mmol\ glc$)]:[Flux in RT / glucose uptake ($mmol/mmol\ glc$)]])</f>
        <v>4.1286491403145576E-4</v>
      </c>
      <c r="G309">
        <f>_xlfn.RANK.AVG(Table1[[#This Row],[Flux in SC / glucose uptake ($mmol/mmol\ glc$)]],Table1[Flux in SC / glucose uptake ($mmol/mmol\ glc$)])</f>
        <v>170.5</v>
      </c>
      <c r="H309">
        <f>_xlfn.RANK.AVG(Table1[[#This Row],[Flux in RT / glucose uptake ($mmol/mmol\ glc$)]],Table1[Flux in RT / glucose uptake ($mmol/mmol\ glc$)])</f>
        <v>177.5</v>
      </c>
      <c r="I309">
        <f>LOG(Table1[[#This Row],[Flux in SC / glucose uptake ($mmol/mmol\ glc$)]])</f>
        <v>-2.5501003837924046</v>
      </c>
      <c r="J309">
        <f>LOG(Table1[[#This Row],[Flux in RT / glucose uptake ($mmol/mmol\ glc$)]])</f>
        <v>-1.8648483105811549</v>
      </c>
    </row>
    <row r="310" spans="1:10" x14ac:dyDescent="0.2">
      <c r="A310" t="s">
        <v>313</v>
      </c>
      <c r="B310" t="s">
        <v>3150</v>
      </c>
      <c r="C310">
        <v>2.7024434580789581E-3</v>
      </c>
      <c r="D310">
        <v>1.1204906465985525E-2</v>
      </c>
      <c r="E310">
        <f>ABS(Table1[[#This Row],[Flux in SC / glucose uptake ($mmol/mmol\ glc$)]]-Table1[[#This Row],[Flux in RT / glucose uptake ($mmol/mmol\ glc$)]])/SQRT(2)</f>
        <v>6.0121492496785023E-3</v>
      </c>
      <c r="F310">
        <f>Table1[[#This Row],[distance from 45-degree line]]/MAX(Table1[[Flux in SC / glucose uptake ($mmol/mmol\ glc$)]:[Flux in RT / glucose uptake ($mmol/mmol\ glc$)]])</f>
        <v>3.2404798429894118E-4</v>
      </c>
      <c r="G310">
        <f>_xlfn.RANK.AVG(Table1[[#This Row],[Flux in SC / glucose uptake ($mmol/mmol\ glc$)]],Table1[Flux in SC / glucose uptake ($mmol/mmol\ glc$)])</f>
        <v>181.5</v>
      </c>
      <c r="H310">
        <f>_xlfn.RANK.AVG(Table1[[#This Row],[Flux in RT / glucose uptake ($mmol/mmol\ glc$)]],Table1[Flux in RT / glucose uptake ($mmol/mmol\ glc$)])</f>
        <v>193.5</v>
      </c>
      <c r="I310">
        <f>LOG(Table1[[#This Row],[Flux in SC / glucose uptake ($mmol/mmol\ glc$)]])</f>
        <v>-2.5682433838135745</v>
      </c>
      <c r="J310">
        <f>LOG(Table1[[#This Row],[Flux in RT / glucose uptake ($mmol/mmol\ glc$)]])</f>
        <v>-1.950591764427974</v>
      </c>
    </row>
    <row r="311" spans="1:10" x14ac:dyDescent="0.2">
      <c r="A311" t="s">
        <v>314</v>
      </c>
      <c r="B311" t="s">
        <v>3118</v>
      </c>
      <c r="C311">
        <v>0</v>
      </c>
      <c r="D311">
        <v>0</v>
      </c>
      <c r="E311">
        <f>ABS(Table1[[#This Row],[Flux in SC / glucose uptake ($mmol/mmol\ glc$)]]-Table1[[#This Row],[Flux in RT / glucose uptake ($mmol/mmol\ glc$)]])/SQRT(2)</f>
        <v>0</v>
      </c>
      <c r="F311">
        <f>Table1[[#This Row],[distance from 45-degree line]]/MAX(Table1[[Flux in SC / glucose uptake ($mmol/mmol\ glc$)]:[Flux in RT / glucose uptake ($mmol/mmol\ glc$)]])</f>
        <v>0</v>
      </c>
      <c r="G311">
        <f>_xlfn.RANK.AVG(Table1[[#This Row],[Flux in SC / glucose uptake ($mmol/mmol\ glc$)]],Table1[Flux in SC / glucose uptake ($mmol/mmol\ glc$)])</f>
        <v>1310.5</v>
      </c>
      <c r="H311">
        <f>_xlfn.RANK.AVG(Table1[[#This Row],[Flux in RT / glucose uptake ($mmol/mmol\ glc$)]],Table1[Flux in RT / glucose uptake ($mmol/mmol\ glc$)])</f>
        <v>1290.5</v>
      </c>
      <c r="I311" t="e">
        <f>LOG(Table1[[#This Row],[Flux in SC / glucose uptake ($mmol/mmol\ glc$)]])</f>
        <v>#NUM!</v>
      </c>
      <c r="J311" t="e">
        <f>LOG(Table1[[#This Row],[Flux in RT / glucose uptake ($mmol/mmol\ glc$)]])</f>
        <v>#NUM!</v>
      </c>
    </row>
    <row r="312" spans="1:10" x14ac:dyDescent="0.2">
      <c r="A312" t="s">
        <v>315</v>
      </c>
      <c r="B312" t="s">
        <v>3118</v>
      </c>
      <c r="C312">
        <v>0</v>
      </c>
      <c r="D312">
        <v>0</v>
      </c>
      <c r="E312">
        <f>ABS(Table1[[#This Row],[Flux in SC / glucose uptake ($mmol/mmol\ glc$)]]-Table1[[#This Row],[Flux in RT / glucose uptake ($mmol/mmol\ glc$)]])/SQRT(2)</f>
        <v>0</v>
      </c>
      <c r="F312">
        <f>Table1[[#This Row],[distance from 45-degree line]]/MAX(Table1[[Flux in SC / glucose uptake ($mmol/mmol\ glc$)]:[Flux in RT / glucose uptake ($mmol/mmol\ glc$)]])</f>
        <v>0</v>
      </c>
      <c r="G312">
        <f>_xlfn.RANK.AVG(Table1[[#This Row],[Flux in SC / glucose uptake ($mmol/mmol\ glc$)]],Table1[Flux in SC / glucose uptake ($mmol/mmol\ glc$)])</f>
        <v>1310.5</v>
      </c>
      <c r="H312">
        <f>_xlfn.RANK.AVG(Table1[[#This Row],[Flux in RT / glucose uptake ($mmol/mmol\ glc$)]],Table1[Flux in RT / glucose uptake ($mmol/mmol\ glc$)])</f>
        <v>1290.5</v>
      </c>
      <c r="I312" t="e">
        <f>LOG(Table1[[#This Row],[Flux in SC / glucose uptake ($mmol/mmol\ glc$)]])</f>
        <v>#NUM!</v>
      </c>
      <c r="J312" t="e">
        <f>LOG(Table1[[#This Row],[Flux in RT / glucose uptake ($mmol/mmol\ glc$)]])</f>
        <v>#NUM!</v>
      </c>
    </row>
    <row r="313" spans="1:10" x14ac:dyDescent="0.2">
      <c r="A313" t="s">
        <v>316</v>
      </c>
      <c r="B313" t="s">
        <v>3147</v>
      </c>
      <c r="C313">
        <v>0</v>
      </c>
      <c r="D313">
        <v>0</v>
      </c>
      <c r="E313">
        <f>ABS(Table1[[#This Row],[Flux in SC / glucose uptake ($mmol/mmol\ glc$)]]-Table1[[#This Row],[Flux in RT / glucose uptake ($mmol/mmol\ glc$)]])/SQRT(2)</f>
        <v>0</v>
      </c>
      <c r="F313">
        <f>Table1[[#This Row],[distance from 45-degree line]]/MAX(Table1[[Flux in SC / glucose uptake ($mmol/mmol\ glc$)]:[Flux in RT / glucose uptake ($mmol/mmol\ glc$)]])</f>
        <v>0</v>
      </c>
      <c r="G313">
        <f>_xlfn.RANK.AVG(Table1[[#This Row],[Flux in SC / glucose uptake ($mmol/mmol\ glc$)]],Table1[Flux in SC / glucose uptake ($mmol/mmol\ glc$)])</f>
        <v>1310.5</v>
      </c>
      <c r="H313">
        <f>_xlfn.RANK.AVG(Table1[[#This Row],[Flux in RT / glucose uptake ($mmol/mmol\ glc$)]],Table1[Flux in RT / glucose uptake ($mmol/mmol\ glc$)])</f>
        <v>1290.5</v>
      </c>
      <c r="I313" t="e">
        <f>LOG(Table1[[#This Row],[Flux in SC / glucose uptake ($mmol/mmol\ glc$)]])</f>
        <v>#NUM!</v>
      </c>
      <c r="J313" t="e">
        <f>LOG(Table1[[#This Row],[Flux in RT / glucose uptake ($mmol/mmol\ glc$)]])</f>
        <v>#NUM!</v>
      </c>
    </row>
    <row r="314" spans="1:10" x14ac:dyDescent="0.2">
      <c r="A314" t="s">
        <v>317</v>
      </c>
      <c r="B314" t="s">
        <v>3152</v>
      </c>
      <c r="C314">
        <v>0</v>
      </c>
      <c r="D314">
        <v>0</v>
      </c>
      <c r="E314">
        <f>ABS(Table1[[#This Row],[Flux in SC / glucose uptake ($mmol/mmol\ glc$)]]-Table1[[#This Row],[Flux in RT / glucose uptake ($mmol/mmol\ glc$)]])/SQRT(2)</f>
        <v>0</v>
      </c>
      <c r="F314">
        <f>Table1[[#This Row],[distance from 45-degree line]]/MAX(Table1[[Flux in SC / glucose uptake ($mmol/mmol\ glc$)]:[Flux in RT / glucose uptake ($mmol/mmol\ glc$)]])</f>
        <v>0</v>
      </c>
      <c r="G314">
        <f>_xlfn.RANK.AVG(Table1[[#This Row],[Flux in SC / glucose uptake ($mmol/mmol\ glc$)]],Table1[Flux in SC / glucose uptake ($mmol/mmol\ glc$)])</f>
        <v>1310.5</v>
      </c>
      <c r="H314">
        <f>_xlfn.RANK.AVG(Table1[[#This Row],[Flux in RT / glucose uptake ($mmol/mmol\ glc$)]],Table1[Flux in RT / glucose uptake ($mmol/mmol\ glc$)])</f>
        <v>1290.5</v>
      </c>
      <c r="I314" t="e">
        <f>LOG(Table1[[#This Row],[Flux in SC / glucose uptake ($mmol/mmol\ glc$)]])</f>
        <v>#NUM!</v>
      </c>
      <c r="J314" t="e">
        <f>LOG(Table1[[#This Row],[Flux in RT / glucose uptake ($mmol/mmol\ glc$)]])</f>
        <v>#NUM!</v>
      </c>
    </row>
    <row r="315" spans="1:10" x14ac:dyDescent="0.2">
      <c r="A315" t="s">
        <v>318</v>
      </c>
      <c r="B315" t="s">
        <v>3152</v>
      </c>
      <c r="C315">
        <v>0</v>
      </c>
      <c r="D315">
        <v>0</v>
      </c>
      <c r="E315">
        <f>ABS(Table1[[#This Row],[Flux in SC / glucose uptake ($mmol/mmol\ glc$)]]-Table1[[#This Row],[Flux in RT / glucose uptake ($mmol/mmol\ glc$)]])/SQRT(2)</f>
        <v>0</v>
      </c>
      <c r="F315">
        <f>Table1[[#This Row],[distance from 45-degree line]]/MAX(Table1[[Flux in SC / glucose uptake ($mmol/mmol\ glc$)]:[Flux in RT / glucose uptake ($mmol/mmol\ glc$)]])</f>
        <v>0</v>
      </c>
      <c r="G315">
        <f>_xlfn.RANK.AVG(Table1[[#This Row],[Flux in SC / glucose uptake ($mmol/mmol\ glc$)]],Table1[Flux in SC / glucose uptake ($mmol/mmol\ glc$)])</f>
        <v>1310.5</v>
      </c>
      <c r="H315">
        <f>_xlfn.RANK.AVG(Table1[[#This Row],[Flux in RT / glucose uptake ($mmol/mmol\ glc$)]],Table1[Flux in RT / glucose uptake ($mmol/mmol\ glc$)])</f>
        <v>1290.5</v>
      </c>
      <c r="I315" t="e">
        <f>LOG(Table1[[#This Row],[Flux in SC / glucose uptake ($mmol/mmol\ glc$)]])</f>
        <v>#NUM!</v>
      </c>
      <c r="J315" t="e">
        <f>LOG(Table1[[#This Row],[Flux in RT / glucose uptake ($mmol/mmol\ glc$)]])</f>
        <v>#NUM!</v>
      </c>
    </row>
    <row r="316" spans="1:10" x14ac:dyDescent="0.2">
      <c r="A316" t="s">
        <v>319</v>
      </c>
      <c r="B316" t="s">
        <v>3134</v>
      </c>
      <c r="C316">
        <v>0</v>
      </c>
      <c r="D316">
        <v>0</v>
      </c>
      <c r="E316">
        <f>ABS(Table1[[#This Row],[Flux in SC / glucose uptake ($mmol/mmol\ glc$)]]-Table1[[#This Row],[Flux in RT / glucose uptake ($mmol/mmol\ glc$)]])/SQRT(2)</f>
        <v>0</v>
      </c>
      <c r="F316">
        <f>Table1[[#This Row],[distance from 45-degree line]]/MAX(Table1[[Flux in SC / glucose uptake ($mmol/mmol\ glc$)]:[Flux in RT / glucose uptake ($mmol/mmol\ glc$)]])</f>
        <v>0</v>
      </c>
      <c r="G316">
        <f>_xlfn.RANK.AVG(Table1[[#This Row],[Flux in SC / glucose uptake ($mmol/mmol\ glc$)]],Table1[Flux in SC / glucose uptake ($mmol/mmol\ glc$)])</f>
        <v>1310.5</v>
      </c>
      <c r="H316">
        <f>_xlfn.RANK.AVG(Table1[[#This Row],[Flux in RT / glucose uptake ($mmol/mmol\ glc$)]],Table1[Flux in RT / glucose uptake ($mmol/mmol\ glc$)])</f>
        <v>1290.5</v>
      </c>
      <c r="I316" t="e">
        <f>LOG(Table1[[#This Row],[Flux in SC / glucose uptake ($mmol/mmol\ glc$)]])</f>
        <v>#NUM!</v>
      </c>
      <c r="J316" t="e">
        <f>LOG(Table1[[#This Row],[Flux in RT / glucose uptake ($mmol/mmol\ glc$)]])</f>
        <v>#NUM!</v>
      </c>
    </row>
    <row r="317" spans="1:10" x14ac:dyDescent="0.2">
      <c r="A317" t="s">
        <v>320</v>
      </c>
      <c r="B317" t="s">
        <v>3117</v>
      </c>
      <c r="C317">
        <v>0</v>
      </c>
      <c r="D317">
        <v>0</v>
      </c>
      <c r="E317">
        <f>ABS(Table1[[#This Row],[Flux in SC / glucose uptake ($mmol/mmol\ glc$)]]-Table1[[#This Row],[Flux in RT / glucose uptake ($mmol/mmol\ glc$)]])/SQRT(2)</f>
        <v>0</v>
      </c>
      <c r="F317">
        <f>Table1[[#This Row],[distance from 45-degree line]]/MAX(Table1[[Flux in SC / glucose uptake ($mmol/mmol\ glc$)]:[Flux in RT / glucose uptake ($mmol/mmol\ glc$)]])</f>
        <v>0</v>
      </c>
      <c r="G317">
        <f>_xlfn.RANK.AVG(Table1[[#This Row],[Flux in SC / glucose uptake ($mmol/mmol\ glc$)]],Table1[Flux in SC / glucose uptake ($mmol/mmol\ glc$)])</f>
        <v>1310.5</v>
      </c>
      <c r="H317">
        <f>_xlfn.RANK.AVG(Table1[[#This Row],[Flux in RT / glucose uptake ($mmol/mmol\ glc$)]],Table1[Flux in RT / glucose uptake ($mmol/mmol\ glc$)])</f>
        <v>1290.5</v>
      </c>
      <c r="I317" t="e">
        <f>LOG(Table1[[#This Row],[Flux in SC / glucose uptake ($mmol/mmol\ glc$)]])</f>
        <v>#NUM!</v>
      </c>
      <c r="J317" t="e">
        <f>LOG(Table1[[#This Row],[Flux in RT / glucose uptake ($mmol/mmol\ glc$)]])</f>
        <v>#NUM!</v>
      </c>
    </row>
    <row r="318" spans="1:10" x14ac:dyDescent="0.2">
      <c r="A318" t="s">
        <v>321</v>
      </c>
      <c r="B318" t="s">
        <v>3117</v>
      </c>
      <c r="C318">
        <v>0</v>
      </c>
      <c r="D318">
        <v>0</v>
      </c>
      <c r="E318">
        <f>ABS(Table1[[#This Row],[Flux in SC / glucose uptake ($mmol/mmol\ glc$)]]-Table1[[#This Row],[Flux in RT / glucose uptake ($mmol/mmol\ glc$)]])/SQRT(2)</f>
        <v>0</v>
      </c>
      <c r="F318">
        <f>Table1[[#This Row],[distance from 45-degree line]]/MAX(Table1[[Flux in SC / glucose uptake ($mmol/mmol\ glc$)]:[Flux in RT / glucose uptake ($mmol/mmol\ glc$)]])</f>
        <v>0</v>
      </c>
      <c r="G318">
        <f>_xlfn.RANK.AVG(Table1[[#This Row],[Flux in SC / glucose uptake ($mmol/mmol\ glc$)]],Table1[Flux in SC / glucose uptake ($mmol/mmol\ glc$)])</f>
        <v>1310.5</v>
      </c>
      <c r="H318">
        <f>_xlfn.RANK.AVG(Table1[[#This Row],[Flux in RT / glucose uptake ($mmol/mmol\ glc$)]],Table1[Flux in RT / glucose uptake ($mmol/mmol\ glc$)])</f>
        <v>1290.5</v>
      </c>
      <c r="I318" t="e">
        <f>LOG(Table1[[#This Row],[Flux in SC / glucose uptake ($mmol/mmol\ glc$)]])</f>
        <v>#NUM!</v>
      </c>
      <c r="J318" t="e">
        <f>LOG(Table1[[#This Row],[Flux in RT / glucose uptake ($mmol/mmol\ glc$)]])</f>
        <v>#NUM!</v>
      </c>
    </row>
    <row r="319" spans="1:10" x14ac:dyDescent="0.2">
      <c r="A319" t="s">
        <v>322</v>
      </c>
      <c r="B319" t="s">
        <v>3117</v>
      </c>
      <c r="C319">
        <v>0</v>
      </c>
      <c r="D319">
        <v>0</v>
      </c>
      <c r="E319">
        <f>ABS(Table1[[#This Row],[Flux in SC / glucose uptake ($mmol/mmol\ glc$)]]-Table1[[#This Row],[Flux in RT / glucose uptake ($mmol/mmol\ glc$)]])/SQRT(2)</f>
        <v>0</v>
      </c>
      <c r="F319">
        <f>Table1[[#This Row],[distance from 45-degree line]]/MAX(Table1[[Flux in SC / glucose uptake ($mmol/mmol\ glc$)]:[Flux in RT / glucose uptake ($mmol/mmol\ glc$)]])</f>
        <v>0</v>
      </c>
      <c r="G319">
        <f>_xlfn.RANK.AVG(Table1[[#This Row],[Flux in SC / glucose uptake ($mmol/mmol\ glc$)]],Table1[Flux in SC / glucose uptake ($mmol/mmol\ glc$)])</f>
        <v>1310.5</v>
      </c>
      <c r="H319">
        <f>_xlfn.RANK.AVG(Table1[[#This Row],[Flux in RT / glucose uptake ($mmol/mmol\ glc$)]],Table1[Flux in RT / glucose uptake ($mmol/mmol\ glc$)])</f>
        <v>1290.5</v>
      </c>
      <c r="I319" t="e">
        <f>LOG(Table1[[#This Row],[Flux in SC / glucose uptake ($mmol/mmol\ glc$)]])</f>
        <v>#NUM!</v>
      </c>
      <c r="J319" t="e">
        <f>LOG(Table1[[#This Row],[Flux in RT / glucose uptake ($mmol/mmol\ glc$)]])</f>
        <v>#NUM!</v>
      </c>
    </row>
    <row r="320" spans="1:10" x14ac:dyDescent="0.2">
      <c r="A320" t="s">
        <v>323</v>
      </c>
      <c r="B320" t="s">
        <v>3117</v>
      </c>
      <c r="C320">
        <v>0</v>
      </c>
      <c r="D320">
        <v>0</v>
      </c>
      <c r="E320">
        <f>ABS(Table1[[#This Row],[Flux in SC / glucose uptake ($mmol/mmol\ glc$)]]-Table1[[#This Row],[Flux in RT / glucose uptake ($mmol/mmol\ glc$)]])/SQRT(2)</f>
        <v>0</v>
      </c>
      <c r="F320">
        <f>Table1[[#This Row],[distance from 45-degree line]]/MAX(Table1[[Flux in SC / glucose uptake ($mmol/mmol\ glc$)]:[Flux in RT / glucose uptake ($mmol/mmol\ glc$)]])</f>
        <v>0</v>
      </c>
      <c r="G320">
        <f>_xlfn.RANK.AVG(Table1[[#This Row],[Flux in SC / glucose uptake ($mmol/mmol\ glc$)]],Table1[Flux in SC / glucose uptake ($mmol/mmol\ glc$)])</f>
        <v>1310.5</v>
      </c>
      <c r="H320">
        <f>_xlfn.RANK.AVG(Table1[[#This Row],[Flux in RT / glucose uptake ($mmol/mmol\ glc$)]],Table1[Flux in RT / glucose uptake ($mmol/mmol\ glc$)])</f>
        <v>1290.5</v>
      </c>
      <c r="I320" t="e">
        <f>LOG(Table1[[#This Row],[Flux in SC / glucose uptake ($mmol/mmol\ glc$)]])</f>
        <v>#NUM!</v>
      </c>
      <c r="J320" t="e">
        <f>LOG(Table1[[#This Row],[Flux in RT / glucose uptake ($mmol/mmol\ glc$)]])</f>
        <v>#NUM!</v>
      </c>
    </row>
    <row r="321" spans="1:10" x14ac:dyDescent="0.2">
      <c r="A321" t="s">
        <v>324</v>
      </c>
      <c r="B321" t="s">
        <v>3134</v>
      </c>
      <c r="C321">
        <v>3.595805982781375E-3</v>
      </c>
      <c r="D321">
        <v>0.10694421653893678</v>
      </c>
      <c r="E321">
        <f>ABS(Table1[[#This Row],[Flux in SC / glucose uptake ($mmol/mmol\ glc$)]]-Table1[[#This Row],[Flux in RT / glucose uptake ($mmol/mmol\ glc$)]])/SQRT(2)</f>
        <v>7.3078361929108854E-2</v>
      </c>
      <c r="F321">
        <f>Table1[[#This Row],[distance from 45-degree line]]/MAX(Table1[[Flux in SC / glucose uptake ($mmol/mmol\ glc$)]:[Flux in RT / glucose uptake ($mmol/mmol\ glc$)]])</f>
        <v>3.9388403207492786E-3</v>
      </c>
      <c r="G321">
        <f>_xlfn.RANK.AVG(Table1[[#This Row],[Flux in SC / glucose uptake ($mmol/mmol\ glc$)]],Table1[Flux in SC / glucose uptake ($mmol/mmol\ glc$)])</f>
        <v>154</v>
      </c>
      <c r="H321">
        <f>_xlfn.RANK.AVG(Table1[[#This Row],[Flux in RT / glucose uptake ($mmol/mmol\ glc$)]],Table1[Flux in RT / glucose uptake ($mmol/mmol\ glc$)])</f>
        <v>85.5</v>
      </c>
      <c r="I321">
        <f>LOG(Table1[[#This Row],[Flux in SC / glucose uptake ($mmol/mmol\ glc$)]])</f>
        <v>-2.4442037493305238</v>
      </c>
      <c r="J321">
        <f>LOG(Table1[[#This Row],[Flux in RT / glucose uptake ($mmol/mmol\ glc$)]])</f>
        <v>-0.97084269676932011</v>
      </c>
    </row>
    <row r="322" spans="1:10" x14ac:dyDescent="0.2">
      <c r="A322" t="s">
        <v>325</v>
      </c>
      <c r="B322" t="s">
        <v>3131</v>
      </c>
      <c r="C322">
        <v>3.6110321147682783E-9</v>
      </c>
      <c r="D322">
        <v>0</v>
      </c>
      <c r="E322">
        <f>ABS(Table1[[#This Row],[Flux in SC / glucose uptake ($mmol/mmol\ glc$)]]-Table1[[#This Row],[Flux in RT / glucose uptake ($mmol/mmol\ glc$)]])/SQRT(2)</f>
        <v>2.5533852954350489E-9</v>
      </c>
      <c r="F322">
        <f>Table1[[#This Row],[distance from 45-degree line]]/MAX(Table1[[Flux in SC / glucose uptake ($mmol/mmol\ glc$)]:[Flux in RT / glucose uptake ($mmol/mmol\ glc$)]])</f>
        <v>1.376245538429589E-10</v>
      </c>
      <c r="G322">
        <f>_xlfn.RANK.AVG(Table1[[#This Row],[Flux in SC / glucose uptake ($mmol/mmol\ glc$)]],Table1[Flux in SC / glucose uptake ($mmol/mmol\ glc$)])</f>
        <v>310</v>
      </c>
      <c r="H322">
        <f>_xlfn.RANK.AVG(Table1[[#This Row],[Flux in RT / glucose uptake ($mmol/mmol\ glc$)]],Table1[Flux in RT / glucose uptake ($mmol/mmol\ glc$)])</f>
        <v>1290.5</v>
      </c>
      <c r="I322">
        <f>LOG(Table1[[#This Row],[Flux in SC / glucose uptake ($mmol/mmol\ glc$)]])</f>
        <v>-8.4423686491515095</v>
      </c>
      <c r="J322" t="e">
        <f>LOG(Table1[[#This Row],[Flux in RT / glucose uptake ($mmol/mmol\ glc$)]])</f>
        <v>#NUM!</v>
      </c>
    </row>
    <row r="323" spans="1:10" x14ac:dyDescent="0.2">
      <c r="A323" t="s">
        <v>326</v>
      </c>
      <c r="B323" t="s">
        <v>3148</v>
      </c>
      <c r="C323">
        <v>1.5572331044400596E-3</v>
      </c>
      <c r="D323">
        <v>1.0139935657085517E-2</v>
      </c>
      <c r="E323">
        <f>ABS(Table1[[#This Row],[Flux in SC / glucose uptake ($mmol/mmol\ glc$)]]-Table1[[#This Row],[Flux in RT / glucose uptake ($mmol/mmol\ glc$)]])/SQRT(2)</f>
        <v>6.0688871758826949E-3</v>
      </c>
      <c r="F323">
        <f>Table1[[#This Row],[distance from 45-degree line]]/MAX(Table1[[Flux in SC / glucose uptake ($mmol/mmol\ glc$)]:[Flux in RT / glucose uptake ($mmol/mmol\ glc$)]])</f>
        <v>3.2710609377963209E-4</v>
      </c>
      <c r="G323">
        <f>_xlfn.RANK.AVG(Table1[[#This Row],[Flux in SC / glucose uptake ($mmol/mmol\ glc$)]],Table1[Flux in SC / glucose uptake ($mmol/mmol\ glc$)])</f>
        <v>195</v>
      </c>
      <c r="H323">
        <f>_xlfn.RANK.AVG(Table1[[#This Row],[Flux in RT / glucose uptake ($mmol/mmol\ glc$)]],Table1[Flux in RT / glucose uptake ($mmol/mmol\ glc$)])</f>
        <v>197</v>
      </c>
      <c r="I323">
        <f>LOG(Table1[[#This Row],[Flux in SC / glucose uptake ($mmol/mmol\ glc$)]])</f>
        <v>-2.8076463724064662</v>
      </c>
      <c r="J323">
        <f>LOG(Table1[[#This Row],[Flux in RT / glucose uptake ($mmol/mmol\ glc$)]])</f>
        <v>-1.9939648008075515</v>
      </c>
    </row>
    <row r="324" spans="1:10" x14ac:dyDescent="0.2">
      <c r="A324" t="s">
        <v>327</v>
      </c>
      <c r="B324" t="s">
        <v>3114</v>
      </c>
      <c r="C324">
        <v>0</v>
      </c>
      <c r="D324">
        <v>0</v>
      </c>
      <c r="E324">
        <f>ABS(Table1[[#This Row],[Flux in SC / glucose uptake ($mmol/mmol\ glc$)]]-Table1[[#This Row],[Flux in RT / glucose uptake ($mmol/mmol\ glc$)]])/SQRT(2)</f>
        <v>0</v>
      </c>
      <c r="F324">
        <f>Table1[[#This Row],[distance from 45-degree line]]/MAX(Table1[[Flux in SC / glucose uptake ($mmol/mmol\ glc$)]:[Flux in RT / glucose uptake ($mmol/mmol\ glc$)]])</f>
        <v>0</v>
      </c>
      <c r="G324">
        <f>_xlfn.RANK.AVG(Table1[[#This Row],[Flux in SC / glucose uptake ($mmol/mmol\ glc$)]],Table1[Flux in SC / glucose uptake ($mmol/mmol\ glc$)])</f>
        <v>1310.5</v>
      </c>
      <c r="H324">
        <f>_xlfn.RANK.AVG(Table1[[#This Row],[Flux in RT / glucose uptake ($mmol/mmol\ glc$)]],Table1[Flux in RT / glucose uptake ($mmol/mmol\ glc$)])</f>
        <v>1290.5</v>
      </c>
      <c r="I324" t="e">
        <f>LOG(Table1[[#This Row],[Flux in SC / glucose uptake ($mmol/mmol\ glc$)]])</f>
        <v>#NUM!</v>
      </c>
      <c r="J324" t="e">
        <f>LOG(Table1[[#This Row],[Flux in RT / glucose uptake ($mmol/mmol\ glc$)]])</f>
        <v>#NUM!</v>
      </c>
    </row>
    <row r="325" spans="1:10" x14ac:dyDescent="0.2">
      <c r="A325" t="s">
        <v>328</v>
      </c>
      <c r="B325" t="s">
        <v>3114</v>
      </c>
      <c r="C325">
        <v>0</v>
      </c>
      <c r="D325">
        <v>0</v>
      </c>
      <c r="E325">
        <f>ABS(Table1[[#This Row],[Flux in SC / glucose uptake ($mmol/mmol\ glc$)]]-Table1[[#This Row],[Flux in RT / glucose uptake ($mmol/mmol\ glc$)]])/SQRT(2)</f>
        <v>0</v>
      </c>
      <c r="F325">
        <f>Table1[[#This Row],[distance from 45-degree line]]/MAX(Table1[[Flux in SC / glucose uptake ($mmol/mmol\ glc$)]:[Flux in RT / glucose uptake ($mmol/mmol\ glc$)]])</f>
        <v>0</v>
      </c>
      <c r="G325">
        <f>_xlfn.RANK.AVG(Table1[[#This Row],[Flux in SC / glucose uptake ($mmol/mmol\ glc$)]],Table1[Flux in SC / glucose uptake ($mmol/mmol\ glc$)])</f>
        <v>1310.5</v>
      </c>
      <c r="H325">
        <f>_xlfn.RANK.AVG(Table1[[#This Row],[Flux in RT / glucose uptake ($mmol/mmol\ glc$)]],Table1[Flux in RT / glucose uptake ($mmol/mmol\ glc$)])</f>
        <v>1290.5</v>
      </c>
      <c r="I325" t="e">
        <f>LOG(Table1[[#This Row],[Flux in SC / glucose uptake ($mmol/mmol\ glc$)]])</f>
        <v>#NUM!</v>
      </c>
      <c r="J325" t="e">
        <f>LOG(Table1[[#This Row],[Flux in RT / glucose uptake ($mmol/mmol\ glc$)]])</f>
        <v>#NUM!</v>
      </c>
    </row>
    <row r="326" spans="1:10" x14ac:dyDescent="0.2">
      <c r="A326" t="s">
        <v>329</v>
      </c>
      <c r="B326" t="s">
        <v>3153</v>
      </c>
      <c r="C326">
        <v>0</v>
      </c>
      <c r="D326">
        <v>0</v>
      </c>
      <c r="E326">
        <f>ABS(Table1[[#This Row],[Flux in SC / glucose uptake ($mmol/mmol\ glc$)]]-Table1[[#This Row],[Flux in RT / glucose uptake ($mmol/mmol\ glc$)]])/SQRT(2)</f>
        <v>0</v>
      </c>
      <c r="F326">
        <f>Table1[[#This Row],[distance from 45-degree line]]/MAX(Table1[[Flux in SC / glucose uptake ($mmol/mmol\ glc$)]:[Flux in RT / glucose uptake ($mmol/mmol\ glc$)]])</f>
        <v>0</v>
      </c>
      <c r="G326">
        <f>_xlfn.RANK.AVG(Table1[[#This Row],[Flux in SC / glucose uptake ($mmol/mmol\ glc$)]],Table1[Flux in SC / glucose uptake ($mmol/mmol\ glc$)])</f>
        <v>1310.5</v>
      </c>
      <c r="H326">
        <f>_xlfn.RANK.AVG(Table1[[#This Row],[Flux in RT / glucose uptake ($mmol/mmol\ glc$)]],Table1[Flux in RT / glucose uptake ($mmol/mmol\ glc$)])</f>
        <v>1290.5</v>
      </c>
      <c r="I326" t="e">
        <f>LOG(Table1[[#This Row],[Flux in SC / glucose uptake ($mmol/mmol\ glc$)]])</f>
        <v>#NUM!</v>
      </c>
      <c r="J326" t="e">
        <f>LOG(Table1[[#This Row],[Flux in RT / glucose uptake ($mmol/mmol\ glc$)]])</f>
        <v>#NUM!</v>
      </c>
    </row>
    <row r="327" spans="1:10" x14ac:dyDescent="0.2">
      <c r="A327" t="s">
        <v>330</v>
      </c>
      <c r="B327" t="s">
        <v>3125</v>
      </c>
      <c r="C327">
        <v>0</v>
      </c>
      <c r="D327">
        <v>0</v>
      </c>
      <c r="E327">
        <f>ABS(Table1[[#This Row],[Flux in SC / glucose uptake ($mmol/mmol\ glc$)]]-Table1[[#This Row],[Flux in RT / glucose uptake ($mmol/mmol\ glc$)]])/SQRT(2)</f>
        <v>0</v>
      </c>
      <c r="F327">
        <f>Table1[[#This Row],[distance from 45-degree line]]/MAX(Table1[[Flux in SC / glucose uptake ($mmol/mmol\ glc$)]:[Flux in RT / glucose uptake ($mmol/mmol\ glc$)]])</f>
        <v>0</v>
      </c>
      <c r="G327">
        <f>_xlfn.RANK.AVG(Table1[[#This Row],[Flux in SC / glucose uptake ($mmol/mmol\ glc$)]],Table1[Flux in SC / glucose uptake ($mmol/mmol\ glc$)])</f>
        <v>1310.5</v>
      </c>
      <c r="H327">
        <f>_xlfn.RANK.AVG(Table1[[#This Row],[Flux in RT / glucose uptake ($mmol/mmol\ glc$)]],Table1[Flux in RT / glucose uptake ($mmol/mmol\ glc$)])</f>
        <v>1290.5</v>
      </c>
      <c r="I327" t="e">
        <f>LOG(Table1[[#This Row],[Flux in SC / glucose uptake ($mmol/mmol\ glc$)]])</f>
        <v>#NUM!</v>
      </c>
      <c r="J327" t="e">
        <f>LOG(Table1[[#This Row],[Flux in RT / glucose uptake ($mmol/mmol\ glc$)]])</f>
        <v>#NUM!</v>
      </c>
    </row>
    <row r="328" spans="1:10" x14ac:dyDescent="0.2">
      <c r="A328" t="s">
        <v>331</v>
      </c>
      <c r="B328" t="s">
        <v>3148</v>
      </c>
      <c r="C328">
        <v>0</v>
      </c>
      <c r="D328">
        <v>0</v>
      </c>
      <c r="E328">
        <f>ABS(Table1[[#This Row],[Flux in SC / glucose uptake ($mmol/mmol\ glc$)]]-Table1[[#This Row],[Flux in RT / glucose uptake ($mmol/mmol\ glc$)]])/SQRT(2)</f>
        <v>0</v>
      </c>
      <c r="F328">
        <f>Table1[[#This Row],[distance from 45-degree line]]/MAX(Table1[[Flux in SC / glucose uptake ($mmol/mmol\ glc$)]:[Flux in RT / glucose uptake ($mmol/mmol\ glc$)]])</f>
        <v>0</v>
      </c>
      <c r="G328">
        <f>_xlfn.RANK.AVG(Table1[[#This Row],[Flux in SC / glucose uptake ($mmol/mmol\ glc$)]],Table1[Flux in SC / glucose uptake ($mmol/mmol\ glc$)])</f>
        <v>1310.5</v>
      </c>
      <c r="H328">
        <f>_xlfn.RANK.AVG(Table1[[#This Row],[Flux in RT / glucose uptake ($mmol/mmol\ glc$)]],Table1[Flux in RT / glucose uptake ($mmol/mmol\ glc$)])</f>
        <v>1290.5</v>
      </c>
      <c r="I328" t="e">
        <f>LOG(Table1[[#This Row],[Flux in SC / glucose uptake ($mmol/mmol\ glc$)]])</f>
        <v>#NUM!</v>
      </c>
      <c r="J328" t="e">
        <f>LOG(Table1[[#This Row],[Flux in RT / glucose uptake ($mmol/mmol\ glc$)]])</f>
        <v>#NUM!</v>
      </c>
    </row>
    <row r="329" spans="1:10" x14ac:dyDescent="0.2">
      <c r="A329" t="s">
        <v>332</v>
      </c>
      <c r="B329" t="s">
        <v>3148</v>
      </c>
      <c r="C329">
        <v>8.5189991572330451E-4</v>
      </c>
      <c r="D329">
        <v>3.8556390008188785E-3</v>
      </c>
      <c r="E329">
        <f>ABS(Table1[[#This Row],[Flux in SC / glucose uptake ($mmol/mmol\ glc$)]]-Table1[[#This Row],[Flux in RT / glucose uptake ($mmol/mmol\ glc$)]])/SQRT(2)</f>
        <v>2.1239642759861561E-3</v>
      </c>
      <c r="F329">
        <f>Table1[[#This Row],[distance from 45-degree line]]/MAX(Table1[[Flux in SC / glucose uptake ($mmol/mmol\ glc$)]:[Flux in RT / glucose uptake ($mmol/mmol\ glc$)]])</f>
        <v>1.1447925089236244E-4</v>
      </c>
      <c r="G329">
        <f>_xlfn.RANK.AVG(Table1[[#This Row],[Flux in SC / glucose uptake ($mmol/mmol\ glc$)]],Table1[Flux in SC / glucose uptake ($mmol/mmol\ glc$)])</f>
        <v>226.5</v>
      </c>
      <c r="H329">
        <f>_xlfn.RANK.AVG(Table1[[#This Row],[Flux in RT / glucose uptake ($mmol/mmol\ glc$)]],Table1[Flux in RT / glucose uptake ($mmol/mmol\ glc$)])</f>
        <v>245</v>
      </c>
      <c r="I329">
        <f>LOG(Table1[[#This Row],[Flux in SC / glucose uptake ($mmol/mmol\ glc$)]])</f>
        <v>-3.0696114247195303</v>
      </c>
      <c r="J329">
        <f>LOG(Table1[[#This Row],[Flux in RT / glucose uptake ($mmol/mmol\ glc$)]])</f>
        <v>-2.413903635373893</v>
      </c>
    </row>
    <row r="330" spans="1:10" x14ac:dyDescent="0.2">
      <c r="A330" t="s">
        <v>333</v>
      </c>
      <c r="B330" t="s">
        <v>3150</v>
      </c>
      <c r="C330">
        <v>4.1022372713840922E-3</v>
      </c>
      <c r="D330">
        <v>1.9464255536077491E-2</v>
      </c>
      <c r="E330">
        <f>ABS(Table1[[#This Row],[Flux in SC / glucose uptake ($mmol/mmol\ glc$)]]-Table1[[#This Row],[Flux in RT / glucose uptake ($mmol/mmol\ glc$)]])/SQRT(2)</f>
        <v>1.0862587287676301E-2</v>
      </c>
      <c r="F330">
        <f>Table1[[#This Row],[distance from 45-degree line]]/MAX(Table1[[Flux in SC / glucose uptake ($mmol/mmol\ glc$)]:[Flux in RT / glucose uptake ($mmol/mmol\ glc$)]])</f>
        <v>5.8548105987738723E-4</v>
      </c>
      <c r="G330">
        <f>_xlfn.RANK.AVG(Table1[[#This Row],[Flux in SC / glucose uptake ($mmol/mmol\ glc$)]],Table1[Flux in SC / glucose uptake ($mmol/mmol\ glc$)])</f>
        <v>137.5</v>
      </c>
      <c r="H330">
        <f>_xlfn.RANK.AVG(Table1[[#This Row],[Flux in RT / glucose uptake ($mmol/mmol\ glc$)]],Table1[Flux in RT / glucose uptake ($mmol/mmol\ glc$)])</f>
        <v>148.5</v>
      </c>
      <c r="I330">
        <f>LOG(Table1[[#This Row],[Flux in SC / glucose uptake ($mmol/mmol\ glc$)]])</f>
        <v>-2.3869792238621645</v>
      </c>
      <c r="J330">
        <f>LOG(Table1[[#This Row],[Flux in RT / glucose uptake ($mmol/mmol\ glc$)]])</f>
        <v>-1.7107622024136595</v>
      </c>
    </row>
    <row r="331" spans="1:10" x14ac:dyDescent="0.2">
      <c r="A331" t="s">
        <v>334</v>
      </c>
      <c r="B331" t="s">
        <v>3150</v>
      </c>
      <c r="C331">
        <v>2.8177315592484149E-3</v>
      </c>
      <c r="D331">
        <v>1.3650598384232542E-2</v>
      </c>
      <c r="E331">
        <f>ABS(Table1[[#This Row],[Flux in SC / glucose uptake ($mmol/mmol\ glc$)]]-Table1[[#This Row],[Flux in RT / glucose uptake ($mmol/mmol\ glc$)]])/SQRT(2)</f>
        <v>7.65999359163706E-3</v>
      </c>
      <c r="F331">
        <f>Table1[[#This Row],[distance from 45-degree line]]/MAX(Table1[[Flux in SC / glucose uptake ($mmol/mmol\ glc$)]:[Flux in RT / glucose uptake ($mmol/mmol\ glc$)]])</f>
        <v>4.1286491403145576E-4</v>
      </c>
      <c r="G331">
        <f>_xlfn.RANK.AVG(Table1[[#This Row],[Flux in SC / glucose uptake ($mmol/mmol\ glc$)]],Table1[Flux in SC / glucose uptake ($mmol/mmol\ glc$)])</f>
        <v>170.5</v>
      </c>
      <c r="H331">
        <f>_xlfn.RANK.AVG(Table1[[#This Row],[Flux in RT / glucose uptake ($mmol/mmol\ glc$)]],Table1[Flux in RT / glucose uptake ($mmol/mmol\ glc$)])</f>
        <v>177.5</v>
      </c>
      <c r="I331">
        <f>LOG(Table1[[#This Row],[Flux in SC / glucose uptake ($mmol/mmol\ glc$)]])</f>
        <v>-2.5501003837924046</v>
      </c>
      <c r="J331">
        <f>LOG(Table1[[#This Row],[Flux in RT / glucose uptake ($mmol/mmol\ glc$)]])</f>
        <v>-1.8648483105811549</v>
      </c>
    </row>
    <row r="332" spans="1:10" x14ac:dyDescent="0.2">
      <c r="A332" t="s">
        <v>335</v>
      </c>
      <c r="B332" t="s">
        <v>3114</v>
      </c>
      <c r="C332">
        <v>3.6110321147682783E-9</v>
      </c>
      <c r="D332">
        <v>0</v>
      </c>
      <c r="E332">
        <f>ABS(Table1[[#This Row],[Flux in SC / glucose uptake ($mmol/mmol\ glc$)]]-Table1[[#This Row],[Flux in RT / glucose uptake ($mmol/mmol\ glc$)]])/SQRT(2)</f>
        <v>2.5533852954350489E-9</v>
      </c>
      <c r="F332">
        <f>Table1[[#This Row],[distance from 45-degree line]]/MAX(Table1[[Flux in SC / glucose uptake ($mmol/mmol\ glc$)]:[Flux in RT / glucose uptake ($mmol/mmol\ glc$)]])</f>
        <v>1.376245538429589E-10</v>
      </c>
      <c r="G332">
        <f>_xlfn.RANK.AVG(Table1[[#This Row],[Flux in SC / glucose uptake ($mmol/mmol\ glc$)]],Table1[Flux in SC / glucose uptake ($mmol/mmol\ glc$)])</f>
        <v>310</v>
      </c>
      <c r="H332">
        <f>_xlfn.RANK.AVG(Table1[[#This Row],[Flux in RT / glucose uptake ($mmol/mmol\ glc$)]],Table1[Flux in RT / glucose uptake ($mmol/mmol\ glc$)])</f>
        <v>1290.5</v>
      </c>
      <c r="I332">
        <f>LOG(Table1[[#This Row],[Flux in SC / glucose uptake ($mmol/mmol\ glc$)]])</f>
        <v>-8.4423686491515095</v>
      </c>
      <c r="J332" t="e">
        <f>LOG(Table1[[#This Row],[Flux in RT / glucose uptake ($mmol/mmol\ glc$)]])</f>
        <v>#NUM!</v>
      </c>
    </row>
    <row r="333" spans="1:10" x14ac:dyDescent="0.2">
      <c r="A333" t="s">
        <v>336</v>
      </c>
      <c r="B333" t="s">
        <v>3146</v>
      </c>
      <c r="C333">
        <v>7.7116982159616972E-4</v>
      </c>
      <c r="D333">
        <v>0.24757094101245591</v>
      </c>
      <c r="E333">
        <f>ABS(Table1[[#This Row],[Flux in SC / glucose uptake ($mmol/mmol\ glc$)]]-Table1[[#This Row],[Flux in RT / glucose uptake ($mmol/mmol\ glc$)]])/SQRT(2)</f>
        <v>0.17451379180434526</v>
      </c>
      <c r="F333">
        <f>Table1[[#This Row],[distance from 45-degree line]]/MAX(Table1[[Flux in SC / glucose uptake ($mmol/mmol\ glc$)]:[Flux in RT / glucose uptake ($mmol/mmol\ glc$)]])</f>
        <v>9.4060942465104633E-3</v>
      </c>
      <c r="G333">
        <f>_xlfn.RANK.AVG(Table1[[#This Row],[Flux in SC / glucose uptake ($mmol/mmol\ glc$)]],Table1[Flux in SC / glucose uptake ($mmol/mmol\ glc$)])</f>
        <v>228.5</v>
      </c>
      <c r="H333">
        <f>_xlfn.RANK.AVG(Table1[[#This Row],[Flux in RT / glucose uptake ($mmol/mmol\ glc$)]],Table1[Flux in RT / glucose uptake ($mmol/mmol\ glc$)])</f>
        <v>62</v>
      </c>
      <c r="I333">
        <f>LOG(Table1[[#This Row],[Flux in SC / glucose uptake ($mmol/mmol\ glc$)]])</f>
        <v>-3.1128499741398463</v>
      </c>
      <c r="J333">
        <f>LOG(Table1[[#This Row],[Flux in RT / glucose uptake ($mmol/mmol\ glc$)]])</f>
        <v>-0.60630033258635219</v>
      </c>
    </row>
    <row r="334" spans="1:10" x14ac:dyDescent="0.2">
      <c r="A334" t="s">
        <v>337</v>
      </c>
      <c r="B334" t="s">
        <v>3114</v>
      </c>
      <c r="C334">
        <v>1.772517423249019E-2</v>
      </c>
      <c r="D334">
        <v>0.56705253939338529</v>
      </c>
      <c r="E334">
        <f>ABS(Table1[[#This Row],[Flux in SC / glucose uptake ($mmol/mmol\ glc$)]]-Table1[[#This Row],[Flux in RT / glucose uptake ($mmol/mmol\ glc$)]])/SQRT(2)</f>
        <v>0.38843310499660771</v>
      </c>
      <c r="F334">
        <f>Table1[[#This Row],[distance from 45-degree line]]/MAX(Table1[[Flux in SC / glucose uptake ($mmol/mmol\ glc$)]:[Flux in RT / glucose uptake ($mmol/mmol\ glc$)]])</f>
        <v>2.0936101131531392E-2</v>
      </c>
      <c r="G334">
        <f>_xlfn.RANK.AVG(Table1[[#This Row],[Flux in SC / glucose uptake ($mmol/mmol\ glc$)]],Table1[Flux in SC / glucose uptake ($mmol/mmol\ glc$)])</f>
        <v>71</v>
      </c>
      <c r="H334">
        <f>_xlfn.RANK.AVG(Table1[[#This Row],[Flux in RT / glucose uptake ($mmol/mmol\ glc$)]],Table1[Flux in RT / glucose uptake ($mmol/mmol\ glc$)])</f>
        <v>34</v>
      </c>
      <c r="I334">
        <f>LOG(Table1[[#This Row],[Flux in SC / glucose uptake ($mmol/mmol\ glc$)]])</f>
        <v>-1.7514094871554933</v>
      </c>
      <c r="J334">
        <f>LOG(Table1[[#This Row],[Flux in RT / glucose uptake ($mmol/mmol\ glc$)]])</f>
        <v>-0.24637670034601139</v>
      </c>
    </row>
    <row r="335" spans="1:10" x14ac:dyDescent="0.2">
      <c r="A335" t="s">
        <v>338</v>
      </c>
      <c r="B335" t="s">
        <v>3114</v>
      </c>
      <c r="C335">
        <v>0</v>
      </c>
      <c r="D335">
        <v>0</v>
      </c>
      <c r="E335">
        <f>ABS(Table1[[#This Row],[Flux in SC / glucose uptake ($mmol/mmol\ glc$)]]-Table1[[#This Row],[Flux in RT / glucose uptake ($mmol/mmol\ glc$)]])/SQRT(2)</f>
        <v>0</v>
      </c>
      <c r="F335">
        <f>Table1[[#This Row],[distance from 45-degree line]]/MAX(Table1[[Flux in SC / glucose uptake ($mmol/mmol\ glc$)]:[Flux in RT / glucose uptake ($mmol/mmol\ glc$)]])</f>
        <v>0</v>
      </c>
      <c r="G335">
        <f>_xlfn.RANK.AVG(Table1[[#This Row],[Flux in SC / glucose uptake ($mmol/mmol\ glc$)]],Table1[Flux in SC / glucose uptake ($mmol/mmol\ glc$)])</f>
        <v>1310.5</v>
      </c>
      <c r="H335">
        <f>_xlfn.RANK.AVG(Table1[[#This Row],[Flux in RT / glucose uptake ($mmol/mmol\ glc$)]],Table1[Flux in RT / glucose uptake ($mmol/mmol\ glc$)])</f>
        <v>1290.5</v>
      </c>
      <c r="I335" t="e">
        <f>LOG(Table1[[#This Row],[Flux in SC / glucose uptake ($mmol/mmol\ glc$)]])</f>
        <v>#NUM!</v>
      </c>
      <c r="J335" t="e">
        <f>LOG(Table1[[#This Row],[Flux in RT / glucose uptake ($mmol/mmol\ glc$)]])</f>
        <v>#NUM!</v>
      </c>
    </row>
    <row r="336" spans="1:10" x14ac:dyDescent="0.2">
      <c r="A336" t="s">
        <v>339</v>
      </c>
      <c r="B336" t="s">
        <v>3114</v>
      </c>
      <c r="C336">
        <v>0</v>
      </c>
      <c r="D336">
        <v>0</v>
      </c>
      <c r="E336">
        <f>ABS(Table1[[#This Row],[Flux in SC / glucose uptake ($mmol/mmol\ glc$)]]-Table1[[#This Row],[Flux in RT / glucose uptake ($mmol/mmol\ glc$)]])/SQRT(2)</f>
        <v>0</v>
      </c>
      <c r="F336">
        <f>Table1[[#This Row],[distance from 45-degree line]]/MAX(Table1[[Flux in SC / glucose uptake ($mmol/mmol\ glc$)]:[Flux in RT / glucose uptake ($mmol/mmol\ glc$)]])</f>
        <v>0</v>
      </c>
      <c r="G336">
        <f>_xlfn.RANK.AVG(Table1[[#This Row],[Flux in SC / glucose uptake ($mmol/mmol\ glc$)]],Table1[Flux in SC / glucose uptake ($mmol/mmol\ glc$)])</f>
        <v>1310.5</v>
      </c>
      <c r="H336">
        <f>_xlfn.RANK.AVG(Table1[[#This Row],[Flux in RT / glucose uptake ($mmol/mmol\ glc$)]],Table1[Flux in RT / glucose uptake ($mmol/mmol\ glc$)])</f>
        <v>1290.5</v>
      </c>
      <c r="I336" t="e">
        <f>LOG(Table1[[#This Row],[Flux in SC / glucose uptake ($mmol/mmol\ glc$)]])</f>
        <v>#NUM!</v>
      </c>
      <c r="J336" t="e">
        <f>LOG(Table1[[#This Row],[Flux in RT / glucose uptake ($mmol/mmol\ glc$)]])</f>
        <v>#NUM!</v>
      </c>
    </row>
    <row r="337" spans="1:10" x14ac:dyDescent="0.2">
      <c r="A337" t="s">
        <v>340</v>
      </c>
      <c r="B337" t="s">
        <v>3114</v>
      </c>
      <c r="C337">
        <v>0</v>
      </c>
      <c r="D337">
        <v>0</v>
      </c>
      <c r="E337">
        <f>ABS(Table1[[#This Row],[Flux in SC / glucose uptake ($mmol/mmol\ glc$)]]-Table1[[#This Row],[Flux in RT / glucose uptake ($mmol/mmol\ glc$)]])/SQRT(2)</f>
        <v>0</v>
      </c>
      <c r="F337">
        <f>Table1[[#This Row],[distance from 45-degree line]]/MAX(Table1[[Flux in SC / glucose uptake ($mmol/mmol\ glc$)]:[Flux in RT / glucose uptake ($mmol/mmol\ glc$)]])</f>
        <v>0</v>
      </c>
      <c r="G337">
        <f>_xlfn.RANK.AVG(Table1[[#This Row],[Flux in SC / glucose uptake ($mmol/mmol\ glc$)]],Table1[Flux in SC / glucose uptake ($mmol/mmol\ glc$)])</f>
        <v>1310.5</v>
      </c>
      <c r="H337">
        <f>_xlfn.RANK.AVG(Table1[[#This Row],[Flux in RT / glucose uptake ($mmol/mmol\ glc$)]],Table1[Flux in RT / glucose uptake ($mmol/mmol\ glc$)])</f>
        <v>1290.5</v>
      </c>
      <c r="I337" t="e">
        <f>LOG(Table1[[#This Row],[Flux in SC / glucose uptake ($mmol/mmol\ glc$)]])</f>
        <v>#NUM!</v>
      </c>
      <c r="J337" t="e">
        <f>LOG(Table1[[#This Row],[Flux in RT / glucose uptake ($mmol/mmol\ glc$)]])</f>
        <v>#NUM!</v>
      </c>
    </row>
    <row r="338" spans="1:10" x14ac:dyDescent="0.2">
      <c r="A338" t="s">
        <v>341</v>
      </c>
      <c r="B338" t="s">
        <v>3151</v>
      </c>
      <c r="C338">
        <v>0</v>
      </c>
      <c r="D338">
        <v>0</v>
      </c>
      <c r="E338">
        <f>ABS(Table1[[#This Row],[Flux in SC / glucose uptake ($mmol/mmol\ glc$)]]-Table1[[#This Row],[Flux in RT / glucose uptake ($mmol/mmol\ glc$)]])/SQRT(2)</f>
        <v>0</v>
      </c>
      <c r="F338">
        <f>Table1[[#This Row],[distance from 45-degree line]]/MAX(Table1[[Flux in SC / glucose uptake ($mmol/mmol\ glc$)]:[Flux in RT / glucose uptake ($mmol/mmol\ glc$)]])</f>
        <v>0</v>
      </c>
      <c r="G338">
        <f>_xlfn.RANK.AVG(Table1[[#This Row],[Flux in SC / glucose uptake ($mmol/mmol\ glc$)]],Table1[Flux in SC / glucose uptake ($mmol/mmol\ glc$)])</f>
        <v>1310.5</v>
      </c>
      <c r="H338">
        <f>_xlfn.RANK.AVG(Table1[[#This Row],[Flux in RT / glucose uptake ($mmol/mmol\ glc$)]],Table1[Flux in RT / glucose uptake ($mmol/mmol\ glc$)])</f>
        <v>1290.5</v>
      </c>
      <c r="I338" t="e">
        <f>LOG(Table1[[#This Row],[Flux in SC / glucose uptake ($mmol/mmol\ glc$)]])</f>
        <v>#NUM!</v>
      </c>
      <c r="J338" t="e">
        <f>LOG(Table1[[#This Row],[Flux in RT / glucose uptake ($mmol/mmol\ glc$)]])</f>
        <v>#NUM!</v>
      </c>
    </row>
    <row r="339" spans="1:10" x14ac:dyDescent="0.2">
      <c r="A339" t="s">
        <v>342</v>
      </c>
      <c r="B339" t="s">
        <v>3131</v>
      </c>
      <c r="C339">
        <v>0</v>
      </c>
      <c r="D339">
        <v>0</v>
      </c>
      <c r="E339">
        <f>ABS(Table1[[#This Row],[Flux in SC / glucose uptake ($mmol/mmol\ glc$)]]-Table1[[#This Row],[Flux in RT / glucose uptake ($mmol/mmol\ glc$)]])/SQRT(2)</f>
        <v>0</v>
      </c>
      <c r="F339">
        <f>Table1[[#This Row],[distance from 45-degree line]]/MAX(Table1[[Flux in SC / glucose uptake ($mmol/mmol\ glc$)]:[Flux in RT / glucose uptake ($mmol/mmol\ glc$)]])</f>
        <v>0</v>
      </c>
      <c r="G339">
        <f>_xlfn.RANK.AVG(Table1[[#This Row],[Flux in SC / glucose uptake ($mmol/mmol\ glc$)]],Table1[Flux in SC / glucose uptake ($mmol/mmol\ glc$)])</f>
        <v>1310.5</v>
      </c>
      <c r="H339">
        <f>_xlfn.RANK.AVG(Table1[[#This Row],[Flux in RT / glucose uptake ($mmol/mmol\ glc$)]],Table1[Flux in RT / glucose uptake ($mmol/mmol\ glc$)])</f>
        <v>1290.5</v>
      </c>
      <c r="I339" t="e">
        <f>LOG(Table1[[#This Row],[Flux in SC / glucose uptake ($mmol/mmol\ glc$)]])</f>
        <v>#NUM!</v>
      </c>
      <c r="J339" t="e">
        <f>LOG(Table1[[#This Row],[Flux in RT / glucose uptake ($mmol/mmol\ glc$)]])</f>
        <v>#NUM!</v>
      </c>
    </row>
    <row r="340" spans="1:10" x14ac:dyDescent="0.2">
      <c r="A340" t="s">
        <v>343</v>
      </c>
      <c r="B340" t="s">
        <v>3114</v>
      </c>
      <c r="C340">
        <v>7.7097491347599884E-4</v>
      </c>
      <c r="D340">
        <v>-8.0563419148190499E-2</v>
      </c>
      <c r="E340">
        <f>ABS(Table1[[#This Row],[Flux in SC / glucose uptake ($mmol/mmol\ glc$)]]-Table1[[#This Row],[Flux in RT / glucose uptake ($mmol/mmol\ glc$)]])/SQRT(2)</f>
        <v>5.751210158470324E-2</v>
      </c>
      <c r="F340">
        <f>Table1[[#This Row],[distance from 45-degree line]]/MAX(Table1[[Flux in SC / glucose uptake ($mmol/mmol\ glc$)]:[Flux in RT / glucose uptake ($mmol/mmol\ glc$)]])</f>
        <v>3.0998366503152954E-3</v>
      </c>
      <c r="G340">
        <f>_xlfn.RANK.AVG(Table1[[#This Row],[Flux in SC / glucose uptake ($mmol/mmol\ glc$)]],Table1[Flux in SC / glucose uptake ($mmol/mmol\ glc$)])</f>
        <v>230.5</v>
      </c>
      <c r="H340">
        <f>_xlfn.RANK.AVG(Table1[[#This Row],[Flux in RT / glucose uptake ($mmol/mmol\ glc$)]],Table1[Flux in RT / glucose uptake ($mmol/mmol\ glc$)])</f>
        <v>2301</v>
      </c>
      <c r="I340">
        <f>LOG(Table1[[#This Row],[Flux in SC / glucose uptake ($mmol/mmol\ glc$)]])</f>
        <v>-3.1129597530984534</v>
      </c>
      <c r="J340" t="e">
        <f>LOG(Table1[[#This Row],[Flux in RT / glucose uptake ($mmol/mmol\ glc$)]])</f>
        <v>#NUM!</v>
      </c>
    </row>
    <row r="341" spans="1:10" x14ac:dyDescent="0.2">
      <c r="A341" t="s">
        <v>344</v>
      </c>
      <c r="B341" t="s">
        <v>3119</v>
      </c>
      <c r="C341">
        <v>7.7097491347599884E-4</v>
      </c>
      <c r="D341">
        <v>8.0563419148190499E-2</v>
      </c>
      <c r="E341">
        <f>ABS(Table1[[#This Row],[Flux in SC / glucose uptake ($mmol/mmol\ glc$)]]-Table1[[#This Row],[Flux in RT / glucose uptake ($mmol/mmol\ glc$)]])/SQRT(2)</f>
        <v>5.642177840581606E-2</v>
      </c>
      <c r="F341">
        <f>Table1[[#This Row],[distance from 45-degree line]]/MAX(Table1[[Flux in SC / glucose uptake ($mmol/mmol\ glc$)]:[Flux in RT / glucose uptake ($mmol/mmol\ glc$)]])</f>
        <v>3.0410694751039184E-3</v>
      </c>
      <c r="G341">
        <f>_xlfn.RANK.AVG(Table1[[#This Row],[Flux in SC / glucose uptake ($mmol/mmol\ glc$)]],Table1[Flux in SC / glucose uptake ($mmol/mmol\ glc$)])</f>
        <v>230.5</v>
      </c>
      <c r="H341">
        <f>_xlfn.RANK.AVG(Table1[[#This Row],[Flux in RT / glucose uptake ($mmol/mmol\ glc$)]],Table1[Flux in RT / glucose uptake ($mmol/mmol\ glc$)])</f>
        <v>98</v>
      </c>
      <c r="I341">
        <f>LOG(Table1[[#This Row],[Flux in SC / glucose uptake ($mmol/mmol\ glc$)]])</f>
        <v>-3.1129597530984534</v>
      </c>
      <c r="J341">
        <f>LOG(Table1[[#This Row],[Flux in RT / glucose uptake ($mmol/mmol\ glc$)]])</f>
        <v>-1.0938621104077499</v>
      </c>
    </row>
    <row r="342" spans="1:10" x14ac:dyDescent="0.2">
      <c r="A342" t="s">
        <v>345</v>
      </c>
      <c r="B342" t="s">
        <v>3114</v>
      </c>
      <c r="C342">
        <v>0</v>
      </c>
      <c r="D342">
        <v>0</v>
      </c>
      <c r="E342">
        <f>ABS(Table1[[#This Row],[Flux in SC / glucose uptake ($mmol/mmol\ glc$)]]-Table1[[#This Row],[Flux in RT / glucose uptake ($mmol/mmol\ glc$)]])/SQRT(2)</f>
        <v>0</v>
      </c>
      <c r="F342">
        <f>Table1[[#This Row],[distance from 45-degree line]]/MAX(Table1[[Flux in SC / glucose uptake ($mmol/mmol\ glc$)]:[Flux in RT / glucose uptake ($mmol/mmol\ glc$)]])</f>
        <v>0</v>
      </c>
      <c r="G342">
        <f>_xlfn.RANK.AVG(Table1[[#This Row],[Flux in SC / glucose uptake ($mmol/mmol\ glc$)]],Table1[Flux in SC / glucose uptake ($mmol/mmol\ glc$)])</f>
        <v>1310.5</v>
      </c>
      <c r="H342">
        <f>_xlfn.RANK.AVG(Table1[[#This Row],[Flux in RT / glucose uptake ($mmol/mmol\ glc$)]],Table1[Flux in RT / glucose uptake ($mmol/mmol\ glc$)])</f>
        <v>1290.5</v>
      </c>
      <c r="I342" t="e">
        <f>LOG(Table1[[#This Row],[Flux in SC / glucose uptake ($mmol/mmol\ glc$)]])</f>
        <v>#NUM!</v>
      </c>
      <c r="J342" t="e">
        <f>LOG(Table1[[#This Row],[Flux in RT / glucose uptake ($mmol/mmol\ glc$)]])</f>
        <v>#NUM!</v>
      </c>
    </row>
    <row r="343" spans="1:10" x14ac:dyDescent="0.2">
      <c r="A343" t="s">
        <v>346</v>
      </c>
      <c r="B343" t="s">
        <v>3154</v>
      </c>
      <c r="C343">
        <v>0</v>
      </c>
      <c r="D343">
        <v>0</v>
      </c>
      <c r="E343">
        <f>ABS(Table1[[#This Row],[Flux in SC / glucose uptake ($mmol/mmol\ glc$)]]-Table1[[#This Row],[Flux in RT / glucose uptake ($mmol/mmol\ glc$)]])/SQRT(2)</f>
        <v>0</v>
      </c>
      <c r="F343">
        <f>Table1[[#This Row],[distance from 45-degree line]]/MAX(Table1[[Flux in SC / glucose uptake ($mmol/mmol\ glc$)]:[Flux in RT / glucose uptake ($mmol/mmol\ glc$)]])</f>
        <v>0</v>
      </c>
      <c r="G343">
        <f>_xlfn.RANK.AVG(Table1[[#This Row],[Flux in SC / glucose uptake ($mmol/mmol\ glc$)]],Table1[Flux in SC / glucose uptake ($mmol/mmol\ glc$)])</f>
        <v>1310.5</v>
      </c>
      <c r="H343">
        <f>_xlfn.RANK.AVG(Table1[[#This Row],[Flux in RT / glucose uptake ($mmol/mmol\ glc$)]],Table1[Flux in RT / glucose uptake ($mmol/mmol\ glc$)])</f>
        <v>1290.5</v>
      </c>
      <c r="I343" t="e">
        <f>LOG(Table1[[#This Row],[Flux in SC / glucose uptake ($mmol/mmol\ glc$)]])</f>
        <v>#NUM!</v>
      </c>
      <c r="J343" t="e">
        <f>LOG(Table1[[#This Row],[Flux in RT / glucose uptake ($mmol/mmol\ glc$)]])</f>
        <v>#NUM!</v>
      </c>
    </row>
    <row r="344" spans="1:10" x14ac:dyDescent="0.2">
      <c r="A344" t="s">
        <v>347</v>
      </c>
      <c r="B344" t="s">
        <v>3155</v>
      </c>
      <c r="C344">
        <v>0</v>
      </c>
      <c r="D344">
        <v>0</v>
      </c>
      <c r="E344">
        <f>ABS(Table1[[#This Row],[Flux in SC / glucose uptake ($mmol/mmol\ glc$)]]-Table1[[#This Row],[Flux in RT / glucose uptake ($mmol/mmol\ glc$)]])/SQRT(2)</f>
        <v>0</v>
      </c>
      <c r="F344">
        <f>Table1[[#This Row],[distance from 45-degree line]]/MAX(Table1[[Flux in SC / glucose uptake ($mmol/mmol\ glc$)]:[Flux in RT / glucose uptake ($mmol/mmol\ glc$)]])</f>
        <v>0</v>
      </c>
      <c r="G344">
        <f>_xlfn.RANK.AVG(Table1[[#This Row],[Flux in SC / glucose uptake ($mmol/mmol\ glc$)]],Table1[Flux in SC / glucose uptake ($mmol/mmol\ glc$)])</f>
        <v>1310.5</v>
      </c>
      <c r="H344">
        <f>_xlfn.RANK.AVG(Table1[[#This Row],[Flux in RT / glucose uptake ($mmol/mmol\ glc$)]],Table1[Flux in RT / glucose uptake ($mmol/mmol\ glc$)])</f>
        <v>1290.5</v>
      </c>
      <c r="I344" t="e">
        <f>LOG(Table1[[#This Row],[Flux in SC / glucose uptake ($mmol/mmol\ glc$)]])</f>
        <v>#NUM!</v>
      </c>
      <c r="J344" t="e">
        <f>LOG(Table1[[#This Row],[Flux in RT / glucose uptake ($mmol/mmol\ glc$)]])</f>
        <v>#NUM!</v>
      </c>
    </row>
    <row r="345" spans="1:10" x14ac:dyDescent="0.2">
      <c r="A345" t="s">
        <v>348</v>
      </c>
      <c r="B345" t="s">
        <v>3125</v>
      </c>
      <c r="C345">
        <v>0</v>
      </c>
      <c r="D345">
        <v>0</v>
      </c>
      <c r="E345">
        <f>ABS(Table1[[#This Row],[Flux in SC / glucose uptake ($mmol/mmol\ glc$)]]-Table1[[#This Row],[Flux in RT / glucose uptake ($mmol/mmol\ glc$)]])/SQRT(2)</f>
        <v>0</v>
      </c>
      <c r="F345">
        <f>Table1[[#This Row],[distance from 45-degree line]]/MAX(Table1[[Flux in SC / glucose uptake ($mmol/mmol\ glc$)]:[Flux in RT / glucose uptake ($mmol/mmol\ glc$)]])</f>
        <v>0</v>
      </c>
      <c r="G345">
        <f>_xlfn.RANK.AVG(Table1[[#This Row],[Flux in SC / glucose uptake ($mmol/mmol\ glc$)]],Table1[Flux in SC / glucose uptake ($mmol/mmol\ glc$)])</f>
        <v>1310.5</v>
      </c>
      <c r="H345">
        <f>_xlfn.RANK.AVG(Table1[[#This Row],[Flux in RT / glucose uptake ($mmol/mmol\ glc$)]],Table1[Flux in RT / glucose uptake ($mmol/mmol\ glc$)])</f>
        <v>1290.5</v>
      </c>
      <c r="I345" t="e">
        <f>LOG(Table1[[#This Row],[Flux in SC / glucose uptake ($mmol/mmol\ glc$)]])</f>
        <v>#NUM!</v>
      </c>
      <c r="J345" t="e">
        <f>LOG(Table1[[#This Row],[Flux in RT / glucose uptake ($mmol/mmol\ glc$)]])</f>
        <v>#NUM!</v>
      </c>
    </row>
    <row r="346" spans="1:10" x14ac:dyDescent="0.2">
      <c r="A346" t="s">
        <v>349</v>
      </c>
      <c r="B346" t="s">
        <v>3125</v>
      </c>
      <c r="C346">
        <v>0</v>
      </c>
      <c r="D346">
        <v>0</v>
      </c>
      <c r="E346">
        <f>ABS(Table1[[#This Row],[Flux in SC / glucose uptake ($mmol/mmol\ glc$)]]-Table1[[#This Row],[Flux in RT / glucose uptake ($mmol/mmol\ glc$)]])/SQRT(2)</f>
        <v>0</v>
      </c>
      <c r="F346">
        <f>Table1[[#This Row],[distance from 45-degree line]]/MAX(Table1[[Flux in SC / glucose uptake ($mmol/mmol\ glc$)]:[Flux in RT / glucose uptake ($mmol/mmol\ glc$)]])</f>
        <v>0</v>
      </c>
      <c r="G346">
        <f>_xlfn.RANK.AVG(Table1[[#This Row],[Flux in SC / glucose uptake ($mmol/mmol\ glc$)]],Table1[Flux in SC / glucose uptake ($mmol/mmol\ glc$)])</f>
        <v>1310.5</v>
      </c>
      <c r="H346">
        <f>_xlfn.RANK.AVG(Table1[[#This Row],[Flux in RT / glucose uptake ($mmol/mmol\ glc$)]],Table1[Flux in RT / glucose uptake ($mmol/mmol\ glc$)])</f>
        <v>1290.5</v>
      </c>
      <c r="I346" t="e">
        <f>LOG(Table1[[#This Row],[Flux in SC / glucose uptake ($mmol/mmol\ glc$)]])</f>
        <v>#NUM!</v>
      </c>
      <c r="J346" t="e">
        <f>LOG(Table1[[#This Row],[Flux in RT / glucose uptake ($mmol/mmol\ glc$)]])</f>
        <v>#NUM!</v>
      </c>
    </row>
    <row r="347" spans="1:10" x14ac:dyDescent="0.2">
      <c r="A347" t="s">
        <v>350</v>
      </c>
      <c r="B347" t="s">
        <v>3125</v>
      </c>
      <c r="C347">
        <v>0</v>
      </c>
      <c r="D347">
        <v>0</v>
      </c>
      <c r="E347">
        <f>ABS(Table1[[#This Row],[Flux in SC / glucose uptake ($mmol/mmol\ glc$)]]-Table1[[#This Row],[Flux in RT / glucose uptake ($mmol/mmol\ glc$)]])/SQRT(2)</f>
        <v>0</v>
      </c>
      <c r="F347">
        <f>Table1[[#This Row],[distance from 45-degree line]]/MAX(Table1[[Flux in SC / glucose uptake ($mmol/mmol\ glc$)]:[Flux in RT / glucose uptake ($mmol/mmol\ glc$)]])</f>
        <v>0</v>
      </c>
      <c r="G347">
        <f>_xlfn.RANK.AVG(Table1[[#This Row],[Flux in SC / glucose uptake ($mmol/mmol\ glc$)]],Table1[Flux in SC / glucose uptake ($mmol/mmol\ glc$)])</f>
        <v>1310.5</v>
      </c>
      <c r="H347">
        <f>_xlfn.RANK.AVG(Table1[[#This Row],[Flux in RT / glucose uptake ($mmol/mmol\ glc$)]],Table1[Flux in RT / glucose uptake ($mmol/mmol\ glc$)])</f>
        <v>1290.5</v>
      </c>
      <c r="I347" t="e">
        <f>LOG(Table1[[#This Row],[Flux in SC / glucose uptake ($mmol/mmol\ glc$)]])</f>
        <v>#NUM!</v>
      </c>
      <c r="J347" t="e">
        <f>LOG(Table1[[#This Row],[Flux in RT / glucose uptake ($mmol/mmol\ glc$)]])</f>
        <v>#NUM!</v>
      </c>
    </row>
    <row r="348" spans="1:10" x14ac:dyDescent="0.2">
      <c r="A348" t="s">
        <v>351</v>
      </c>
      <c r="B348" t="s">
        <v>3125</v>
      </c>
      <c r="C348">
        <v>0</v>
      </c>
      <c r="D348">
        <v>0</v>
      </c>
      <c r="E348">
        <f>ABS(Table1[[#This Row],[Flux in SC / glucose uptake ($mmol/mmol\ glc$)]]-Table1[[#This Row],[Flux in RT / glucose uptake ($mmol/mmol\ glc$)]])/SQRT(2)</f>
        <v>0</v>
      </c>
      <c r="F348">
        <f>Table1[[#This Row],[distance from 45-degree line]]/MAX(Table1[[Flux in SC / glucose uptake ($mmol/mmol\ glc$)]:[Flux in RT / glucose uptake ($mmol/mmol\ glc$)]])</f>
        <v>0</v>
      </c>
      <c r="G348">
        <f>_xlfn.RANK.AVG(Table1[[#This Row],[Flux in SC / glucose uptake ($mmol/mmol\ glc$)]],Table1[Flux in SC / glucose uptake ($mmol/mmol\ glc$)])</f>
        <v>1310.5</v>
      </c>
      <c r="H348">
        <f>_xlfn.RANK.AVG(Table1[[#This Row],[Flux in RT / glucose uptake ($mmol/mmol\ glc$)]],Table1[Flux in RT / glucose uptake ($mmol/mmol\ glc$)])</f>
        <v>1290.5</v>
      </c>
      <c r="I348" t="e">
        <f>LOG(Table1[[#This Row],[Flux in SC / glucose uptake ($mmol/mmol\ glc$)]])</f>
        <v>#NUM!</v>
      </c>
      <c r="J348" t="e">
        <f>LOG(Table1[[#This Row],[Flux in RT / glucose uptake ($mmol/mmol\ glc$)]])</f>
        <v>#NUM!</v>
      </c>
    </row>
    <row r="349" spans="1:10" x14ac:dyDescent="0.2">
      <c r="A349" t="s">
        <v>352</v>
      </c>
      <c r="B349" t="s">
        <v>3125</v>
      </c>
      <c r="C349">
        <v>0</v>
      </c>
      <c r="D349">
        <v>0</v>
      </c>
      <c r="E349">
        <f>ABS(Table1[[#This Row],[Flux in SC / glucose uptake ($mmol/mmol\ glc$)]]-Table1[[#This Row],[Flux in RT / glucose uptake ($mmol/mmol\ glc$)]])/SQRT(2)</f>
        <v>0</v>
      </c>
      <c r="F349">
        <f>Table1[[#This Row],[distance from 45-degree line]]/MAX(Table1[[Flux in SC / glucose uptake ($mmol/mmol\ glc$)]:[Flux in RT / glucose uptake ($mmol/mmol\ glc$)]])</f>
        <v>0</v>
      </c>
      <c r="G349">
        <f>_xlfn.RANK.AVG(Table1[[#This Row],[Flux in SC / glucose uptake ($mmol/mmol\ glc$)]],Table1[Flux in SC / glucose uptake ($mmol/mmol\ glc$)])</f>
        <v>1310.5</v>
      </c>
      <c r="H349">
        <f>_xlfn.RANK.AVG(Table1[[#This Row],[Flux in RT / glucose uptake ($mmol/mmol\ glc$)]],Table1[Flux in RT / glucose uptake ($mmol/mmol\ glc$)])</f>
        <v>1290.5</v>
      </c>
      <c r="I349" t="e">
        <f>LOG(Table1[[#This Row],[Flux in SC / glucose uptake ($mmol/mmol\ glc$)]])</f>
        <v>#NUM!</v>
      </c>
      <c r="J349" t="e">
        <f>LOG(Table1[[#This Row],[Flux in RT / glucose uptake ($mmol/mmol\ glc$)]])</f>
        <v>#NUM!</v>
      </c>
    </row>
    <row r="350" spans="1:10" x14ac:dyDescent="0.2">
      <c r="A350" t="s">
        <v>353</v>
      </c>
      <c r="B350" t="s">
        <v>3125</v>
      </c>
      <c r="C350">
        <v>0</v>
      </c>
      <c r="D350">
        <v>0</v>
      </c>
      <c r="E350">
        <f>ABS(Table1[[#This Row],[Flux in SC / glucose uptake ($mmol/mmol\ glc$)]]-Table1[[#This Row],[Flux in RT / glucose uptake ($mmol/mmol\ glc$)]])/SQRT(2)</f>
        <v>0</v>
      </c>
      <c r="F350">
        <f>Table1[[#This Row],[distance from 45-degree line]]/MAX(Table1[[Flux in SC / glucose uptake ($mmol/mmol\ glc$)]:[Flux in RT / glucose uptake ($mmol/mmol\ glc$)]])</f>
        <v>0</v>
      </c>
      <c r="G350">
        <f>_xlfn.RANK.AVG(Table1[[#This Row],[Flux in SC / glucose uptake ($mmol/mmol\ glc$)]],Table1[Flux in SC / glucose uptake ($mmol/mmol\ glc$)])</f>
        <v>1310.5</v>
      </c>
      <c r="H350">
        <f>_xlfn.RANK.AVG(Table1[[#This Row],[Flux in RT / glucose uptake ($mmol/mmol\ glc$)]],Table1[Flux in RT / glucose uptake ($mmol/mmol\ glc$)])</f>
        <v>1290.5</v>
      </c>
      <c r="I350" t="e">
        <f>LOG(Table1[[#This Row],[Flux in SC / glucose uptake ($mmol/mmol\ glc$)]])</f>
        <v>#NUM!</v>
      </c>
      <c r="J350" t="e">
        <f>LOG(Table1[[#This Row],[Flux in RT / glucose uptake ($mmol/mmol\ glc$)]])</f>
        <v>#NUM!</v>
      </c>
    </row>
    <row r="351" spans="1:10" x14ac:dyDescent="0.2">
      <c r="A351" t="s">
        <v>354</v>
      </c>
      <c r="B351" t="s">
        <v>3125</v>
      </c>
      <c r="C351">
        <v>0</v>
      </c>
      <c r="D351">
        <v>0</v>
      </c>
      <c r="E351">
        <f>ABS(Table1[[#This Row],[Flux in SC / glucose uptake ($mmol/mmol\ glc$)]]-Table1[[#This Row],[Flux in RT / glucose uptake ($mmol/mmol\ glc$)]])/SQRT(2)</f>
        <v>0</v>
      </c>
      <c r="F351">
        <f>Table1[[#This Row],[distance from 45-degree line]]/MAX(Table1[[Flux in SC / glucose uptake ($mmol/mmol\ glc$)]:[Flux in RT / glucose uptake ($mmol/mmol\ glc$)]])</f>
        <v>0</v>
      </c>
      <c r="G351">
        <f>_xlfn.RANK.AVG(Table1[[#This Row],[Flux in SC / glucose uptake ($mmol/mmol\ glc$)]],Table1[Flux in SC / glucose uptake ($mmol/mmol\ glc$)])</f>
        <v>1310.5</v>
      </c>
      <c r="H351">
        <f>_xlfn.RANK.AVG(Table1[[#This Row],[Flux in RT / glucose uptake ($mmol/mmol\ glc$)]],Table1[Flux in RT / glucose uptake ($mmol/mmol\ glc$)])</f>
        <v>1290.5</v>
      </c>
      <c r="I351" t="e">
        <f>LOG(Table1[[#This Row],[Flux in SC / glucose uptake ($mmol/mmol\ glc$)]])</f>
        <v>#NUM!</v>
      </c>
      <c r="J351" t="e">
        <f>LOG(Table1[[#This Row],[Flux in RT / glucose uptake ($mmol/mmol\ glc$)]])</f>
        <v>#NUM!</v>
      </c>
    </row>
    <row r="352" spans="1:10" x14ac:dyDescent="0.2">
      <c r="A352" t="s">
        <v>355</v>
      </c>
      <c r="B352" t="s">
        <v>3125</v>
      </c>
      <c r="C352">
        <v>0</v>
      </c>
      <c r="D352">
        <v>0</v>
      </c>
      <c r="E352">
        <f>ABS(Table1[[#This Row],[Flux in SC / glucose uptake ($mmol/mmol\ glc$)]]-Table1[[#This Row],[Flux in RT / glucose uptake ($mmol/mmol\ glc$)]])/SQRT(2)</f>
        <v>0</v>
      </c>
      <c r="F352">
        <f>Table1[[#This Row],[distance from 45-degree line]]/MAX(Table1[[Flux in SC / glucose uptake ($mmol/mmol\ glc$)]:[Flux in RT / glucose uptake ($mmol/mmol\ glc$)]])</f>
        <v>0</v>
      </c>
      <c r="G352">
        <f>_xlfn.RANK.AVG(Table1[[#This Row],[Flux in SC / glucose uptake ($mmol/mmol\ glc$)]],Table1[Flux in SC / glucose uptake ($mmol/mmol\ glc$)])</f>
        <v>1310.5</v>
      </c>
      <c r="H352">
        <f>_xlfn.RANK.AVG(Table1[[#This Row],[Flux in RT / glucose uptake ($mmol/mmol\ glc$)]],Table1[Flux in RT / glucose uptake ($mmol/mmol\ glc$)])</f>
        <v>1290.5</v>
      </c>
      <c r="I352" t="e">
        <f>LOG(Table1[[#This Row],[Flux in SC / glucose uptake ($mmol/mmol\ glc$)]])</f>
        <v>#NUM!</v>
      </c>
      <c r="J352" t="e">
        <f>LOG(Table1[[#This Row],[Flux in RT / glucose uptake ($mmol/mmol\ glc$)]])</f>
        <v>#NUM!</v>
      </c>
    </row>
    <row r="353" spans="1:10" x14ac:dyDescent="0.2">
      <c r="A353" t="s">
        <v>356</v>
      </c>
      <c r="B353" t="s">
        <v>3125</v>
      </c>
      <c r="C353">
        <v>0</v>
      </c>
      <c r="D353">
        <v>0</v>
      </c>
      <c r="E353">
        <f>ABS(Table1[[#This Row],[Flux in SC / glucose uptake ($mmol/mmol\ glc$)]]-Table1[[#This Row],[Flux in RT / glucose uptake ($mmol/mmol\ glc$)]])/SQRT(2)</f>
        <v>0</v>
      </c>
      <c r="F353">
        <f>Table1[[#This Row],[distance from 45-degree line]]/MAX(Table1[[Flux in SC / glucose uptake ($mmol/mmol\ glc$)]:[Flux in RT / glucose uptake ($mmol/mmol\ glc$)]])</f>
        <v>0</v>
      </c>
      <c r="G353">
        <f>_xlfn.RANK.AVG(Table1[[#This Row],[Flux in SC / glucose uptake ($mmol/mmol\ glc$)]],Table1[Flux in SC / glucose uptake ($mmol/mmol\ glc$)])</f>
        <v>1310.5</v>
      </c>
      <c r="H353">
        <f>_xlfn.RANK.AVG(Table1[[#This Row],[Flux in RT / glucose uptake ($mmol/mmol\ glc$)]],Table1[Flux in RT / glucose uptake ($mmol/mmol\ glc$)])</f>
        <v>1290.5</v>
      </c>
      <c r="I353" t="e">
        <f>LOG(Table1[[#This Row],[Flux in SC / glucose uptake ($mmol/mmol\ glc$)]])</f>
        <v>#NUM!</v>
      </c>
      <c r="J353" t="e">
        <f>LOG(Table1[[#This Row],[Flux in RT / glucose uptake ($mmol/mmol\ glc$)]])</f>
        <v>#NUM!</v>
      </c>
    </row>
    <row r="354" spans="1:10" x14ac:dyDescent="0.2">
      <c r="A354" t="s">
        <v>357</v>
      </c>
      <c r="B354" t="s">
        <v>3120</v>
      </c>
      <c r="C354">
        <v>0</v>
      </c>
      <c r="D354">
        <v>0</v>
      </c>
      <c r="E354">
        <f>ABS(Table1[[#This Row],[Flux in SC / glucose uptake ($mmol/mmol\ glc$)]]-Table1[[#This Row],[Flux in RT / glucose uptake ($mmol/mmol\ glc$)]])/SQRT(2)</f>
        <v>0</v>
      </c>
      <c r="F354">
        <f>Table1[[#This Row],[distance from 45-degree line]]/MAX(Table1[[Flux in SC / glucose uptake ($mmol/mmol\ glc$)]:[Flux in RT / glucose uptake ($mmol/mmol\ glc$)]])</f>
        <v>0</v>
      </c>
      <c r="G354">
        <f>_xlfn.RANK.AVG(Table1[[#This Row],[Flux in SC / glucose uptake ($mmol/mmol\ glc$)]],Table1[Flux in SC / glucose uptake ($mmol/mmol\ glc$)])</f>
        <v>1310.5</v>
      </c>
      <c r="H354">
        <f>_xlfn.RANK.AVG(Table1[[#This Row],[Flux in RT / glucose uptake ($mmol/mmol\ glc$)]],Table1[Flux in RT / glucose uptake ($mmol/mmol\ glc$)])</f>
        <v>1290.5</v>
      </c>
      <c r="I354" t="e">
        <f>LOG(Table1[[#This Row],[Flux in SC / glucose uptake ($mmol/mmol\ glc$)]])</f>
        <v>#NUM!</v>
      </c>
      <c r="J354" t="e">
        <f>LOG(Table1[[#This Row],[Flux in RT / glucose uptake ($mmol/mmol\ glc$)]])</f>
        <v>#NUM!</v>
      </c>
    </row>
    <row r="355" spans="1:10" x14ac:dyDescent="0.2">
      <c r="A355" t="s">
        <v>358</v>
      </c>
      <c r="B355" t="s">
        <v>3120</v>
      </c>
      <c r="C355">
        <v>0</v>
      </c>
      <c r="D355">
        <v>0</v>
      </c>
      <c r="E355">
        <f>ABS(Table1[[#This Row],[Flux in SC / glucose uptake ($mmol/mmol\ glc$)]]-Table1[[#This Row],[Flux in RT / glucose uptake ($mmol/mmol\ glc$)]])/SQRT(2)</f>
        <v>0</v>
      </c>
      <c r="F355">
        <f>Table1[[#This Row],[distance from 45-degree line]]/MAX(Table1[[Flux in SC / glucose uptake ($mmol/mmol\ glc$)]:[Flux in RT / glucose uptake ($mmol/mmol\ glc$)]])</f>
        <v>0</v>
      </c>
      <c r="G355">
        <f>_xlfn.RANK.AVG(Table1[[#This Row],[Flux in SC / glucose uptake ($mmol/mmol\ glc$)]],Table1[Flux in SC / glucose uptake ($mmol/mmol\ glc$)])</f>
        <v>1310.5</v>
      </c>
      <c r="H355">
        <f>_xlfn.RANK.AVG(Table1[[#This Row],[Flux in RT / glucose uptake ($mmol/mmol\ glc$)]],Table1[Flux in RT / glucose uptake ($mmol/mmol\ glc$)])</f>
        <v>1290.5</v>
      </c>
      <c r="I355" t="e">
        <f>LOG(Table1[[#This Row],[Flux in SC / glucose uptake ($mmol/mmol\ glc$)]])</f>
        <v>#NUM!</v>
      </c>
      <c r="J355" t="e">
        <f>LOG(Table1[[#This Row],[Flux in RT / glucose uptake ($mmol/mmol\ glc$)]])</f>
        <v>#NUM!</v>
      </c>
    </row>
    <row r="356" spans="1:10" x14ac:dyDescent="0.2">
      <c r="A356" t="s">
        <v>359</v>
      </c>
      <c r="B356" t="s">
        <v>3125</v>
      </c>
      <c r="C356">
        <v>0</v>
      </c>
      <c r="D356">
        <v>0</v>
      </c>
      <c r="E356">
        <f>ABS(Table1[[#This Row],[Flux in SC / glucose uptake ($mmol/mmol\ glc$)]]-Table1[[#This Row],[Flux in RT / glucose uptake ($mmol/mmol\ glc$)]])/SQRT(2)</f>
        <v>0</v>
      </c>
      <c r="F356">
        <f>Table1[[#This Row],[distance from 45-degree line]]/MAX(Table1[[Flux in SC / glucose uptake ($mmol/mmol\ glc$)]:[Flux in RT / glucose uptake ($mmol/mmol\ glc$)]])</f>
        <v>0</v>
      </c>
      <c r="G356">
        <f>_xlfn.RANK.AVG(Table1[[#This Row],[Flux in SC / glucose uptake ($mmol/mmol\ glc$)]],Table1[Flux in SC / glucose uptake ($mmol/mmol\ glc$)])</f>
        <v>1310.5</v>
      </c>
      <c r="H356">
        <f>_xlfn.RANK.AVG(Table1[[#This Row],[Flux in RT / glucose uptake ($mmol/mmol\ glc$)]],Table1[Flux in RT / glucose uptake ($mmol/mmol\ glc$)])</f>
        <v>1290.5</v>
      </c>
      <c r="I356" t="e">
        <f>LOG(Table1[[#This Row],[Flux in SC / glucose uptake ($mmol/mmol\ glc$)]])</f>
        <v>#NUM!</v>
      </c>
      <c r="J356" t="e">
        <f>LOG(Table1[[#This Row],[Flux in RT / glucose uptake ($mmol/mmol\ glc$)]])</f>
        <v>#NUM!</v>
      </c>
    </row>
    <row r="357" spans="1:10" x14ac:dyDescent="0.2">
      <c r="A357" t="s">
        <v>360</v>
      </c>
      <c r="B357" t="s">
        <v>3124</v>
      </c>
      <c r="C357">
        <v>0</v>
      </c>
      <c r="D357">
        <v>0</v>
      </c>
      <c r="E357">
        <f>ABS(Table1[[#This Row],[Flux in SC / glucose uptake ($mmol/mmol\ glc$)]]-Table1[[#This Row],[Flux in RT / glucose uptake ($mmol/mmol\ glc$)]])/SQRT(2)</f>
        <v>0</v>
      </c>
      <c r="F357">
        <f>Table1[[#This Row],[distance from 45-degree line]]/MAX(Table1[[Flux in SC / glucose uptake ($mmol/mmol\ glc$)]:[Flux in RT / glucose uptake ($mmol/mmol\ glc$)]])</f>
        <v>0</v>
      </c>
      <c r="G357">
        <f>_xlfn.RANK.AVG(Table1[[#This Row],[Flux in SC / glucose uptake ($mmol/mmol\ glc$)]],Table1[Flux in SC / glucose uptake ($mmol/mmol\ glc$)])</f>
        <v>1310.5</v>
      </c>
      <c r="H357">
        <f>_xlfn.RANK.AVG(Table1[[#This Row],[Flux in RT / glucose uptake ($mmol/mmol\ glc$)]],Table1[Flux in RT / glucose uptake ($mmol/mmol\ glc$)])</f>
        <v>1290.5</v>
      </c>
      <c r="I357" t="e">
        <f>LOG(Table1[[#This Row],[Flux in SC / glucose uptake ($mmol/mmol\ glc$)]])</f>
        <v>#NUM!</v>
      </c>
      <c r="J357" t="e">
        <f>LOG(Table1[[#This Row],[Flux in RT / glucose uptake ($mmol/mmol\ glc$)]])</f>
        <v>#NUM!</v>
      </c>
    </row>
    <row r="358" spans="1:10" x14ac:dyDescent="0.2">
      <c r="A358" t="s">
        <v>361</v>
      </c>
      <c r="B358" t="s">
        <v>3124</v>
      </c>
      <c r="C358">
        <v>0</v>
      </c>
      <c r="D358">
        <v>0</v>
      </c>
      <c r="E358">
        <f>ABS(Table1[[#This Row],[Flux in SC / glucose uptake ($mmol/mmol\ glc$)]]-Table1[[#This Row],[Flux in RT / glucose uptake ($mmol/mmol\ glc$)]])/SQRT(2)</f>
        <v>0</v>
      </c>
      <c r="F358">
        <f>Table1[[#This Row],[distance from 45-degree line]]/MAX(Table1[[Flux in SC / glucose uptake ($mmol/mmol\ glc$)]:[Flux in RT / glucose uptake ($mmol/mmol\ glc$)]])</f>
        <v>0</v>
      </c>
      <c r="G358">
        <f>_xlfn.RANK.AVG(Table1[[#This Row],[Flux in SC / glucose uptake ($mmol/mmol\ glc$)]],Table1[Flux in SC / glucose uptake ($mmol/mmol\ glc$)])</f>
        <v>1310.5</v>
      </c>
      <c r="H358">
        <f>_xlfn.RANK.AVG(Table1[[#This Row],[Flux in RT / glucose uptake ($mmol/mmol\ glc$)]],Table1[Flux in RT / glucose uptake ($mmol/mmol\ glc$)])</f>
        <v>1290.5</v>
      </c>
      <c r="I358" t="e">
        <f>LOG(Table1[[#This Row],[Flux in SC / glucose uptake ($mmol/mmol\ glc$)]])</f>
        <v>#NUM!</v>
      </c>
      <c r="J358" t="e">
        <f>LOG(Table1[[#This Row],[Flux in RT / glucose uptake ($mmol/mmol\ glc$)]])</f>
        <v>#NUM!</v>
      </c>
    </row>
    <row r="359" spans="1:10" x14ac:dyDescent="0.2">
      <c r="A359" t="s">
        <v>362</v>
      </c>
      <c r="B359" t="s">
        <v>3143</v>
      </c>
      <c r="C359">
        <v>0</v>
      </c>
      <c r="D359">
        <v>0</v>
      </c>
      <c r="E359">
        <f>ABS(Table1[[#This Row],[Flux in SC / glucose uptake ($mmol/mmol\ glc$)]]-Table1[[#This Row],[Flux in RT / glucose uptake ($mmol/mmol\ glc$)]])/SQRT(2)</f>
        <v>0</v>
      </c>
      <c r="F359">
        <f>Table1[[#This Row],[distance from 45-degree line]]/MAX(Table1[[Flux in SC / glucose uptake ($mmol/mmol\ glc$)]:[Flux in RT / glucose uptake ($mmol/mmol\ glc$)]])</f>
        <v>0</v>
      </c>
      <c r="G359">
        <f>_xlfn.RANK.AVG(Table1[[#This Row],[Flux in SC / glucose uptake ($mmol/mmol\ glc$)]],Table1[Flux in SC / glucose uptake ($mmol/mmol\ glc$)])</f>
        <v>1310.5</v>
      </c>
      <c r="H359">
        <f>_xlfn.RANK.AVG(Table1[[#This Row],[Flux in RT / glucose uptake ($mmol/mmol\ glc$)]],Table1[Flux in RT / glucose uptake ($mmol/mmol\ glc$)])</f>
        <v>1290.5</v>
      </c>
      <c r="I359" t="e">
        <f>LOG(Table1[[#This Row],[Flux in SC / glucose uptake ($mmol/mmol\ glc$)]])</f>
        <v>#NUM!</v>
      </c>
      <c r="J359" t="e">
        <f>LOG(Table1[[#This Row],[Flux in RT / glucose uptake ($mmol/mmol\ glc$)]])</f>
        <v>#NUM!</v>
      </c>
    </row>
    <row r="360" spans="1:10" x14ac:dyDescent="0.2">
      <c r="A360" t="s">
        <v>363</v>
      </c>
      <c r="B360" t="s">
        <v>3143</v>
      </c>
      <c r="C360">
        <v>1.6572966582226893</v>
      </c>
      <c r="D360">
        <v>0</v>
      </c>
      <c r="E360">
        <f>ABS(Table1[[#This Row],[Flux in SC / glucose uptake ($mmol/mmol\ glc$)]]-Table1[[#This Row],[Flux in RT / glucose uptake ($mmol/mmol\ glc$)]])/SQRT(2)</f>
        <v>1.1718857054670675</v>
      </c>
      <c r="F360">
        <f>Table1[[#This Row],[distance from 45-degree line]]/MAX(Table1[[Flux in SC / glucose uptake ($mmol/mmol\ glc$)]:[Flux in RT / glucose uptake ($mmol/mmol\ glc$)]])</f>
        <v>6.3163302325811813E-2</v>
      </c>
      <c r="G360">
        <f>_xlfn.RANK.AVG(Table1[[#This Row],[Flux in SC / glucose uptake ($mmol/mmol\ glc$)]],Table1[Flux in SC / glucose uptake ($mmol/mmol\ glc$)])</f>
        <v>11</v>
      </c>
      <c r="H360">
        <f>_xlfn.RANK.AVG(Table1[[#This Row],[Flux in RT / glucose uptake ($mmol/mmol\ glc$)]],Table1[Flux in RT / glucose uptake ($mmol/mmol\ glc$)])</f>
        <v>1290.5</v>
      </c>
      <c r="I360">
        <f>LOG(Table1[[#This Row],[Flux in SC / glucose uptake ($mmol/mmol\ glc$)]])</f>
        <v>0.21940025464591525</v>
      </c>
      <c r="J360" t="e">
        <f>LOG(Table1[[#This Row],[Flux in RT / glucose uptake ($mmol/mmol\ glc$)]])</f>
        <v>#NUM!</v>
      </c>
    </row>
    <row r="361" spans="1:10" x14ac:dyDescent="0.2">
      <c r="A361" t="s">
        <v>364</v>
      </c>
      <c r="B361" t="s">
        <v>3143</v>
      </c>
      <c r="C361">
        <v>3.6110321147682783E-9</v>
      </c>
      <c r="D361">
        <v>0</v>
      </c>
      <c r="E361">
        <f>ABS(Table1[[#This Row],[Flux in SC / glucose uptake ($mmol/mmol\ glc$)]]-Table1[[#This Row],[Flux in RT / glucose uptake ($mmol/mmol\ glc$)]])/SQRT(2)</f>
        <v>2.5533852954350489E-9</v>
      </c>
      <c r="F361">
        <f>Table1[[#This Row],[distance from 45-degree line]]/MAX(Table1[[Flux in SC / glucose uptake ($mmol/mmol\ glc$)]:[Flux in RT / glucose uptake ($mmol/mmol\ glc$)]])</f>
        <v>1.376245538429589E-10</v>
      </c>
      <c r="G361">
        <f>_xlfn.RANK.AVG(Table1[[#This Row],[Flux in SC / glucose uptake ($mmol/mmol\ glc$)]],Table1[Flux in SC / glucose uptake ($mmol/mmol\ glc$)])</f>
        <v>310</v>
      </c>
      <c r="H361">
        <f>_xlfn.RANK.AVG(Table1[[#This Row],[Flux in RT / glucose uptake ($mmol/mmol\ glc$)]],Table1[Flux in RT / glucose uptake ($mmol/mmol\ glc$)])</f>
        <v>1290.5</v>
      </c>
      <c r="I361">
        <f>LOG(Table1[[#This Row],[Flux in SC / glucose uptake ($mmol/mmol\ glc$)]])</f>
        <v>-8.4423686491515095</v>
      </c>
      <c r="J361" t="e">
        <f>LOG(Table1[[#This Row],[Flux in RT / glucose uptake ($mmol/mmol\ glc$)]])</f>
        <v>#NUM!</v>
      </c>
    </row>
    <row r="362" spans="1:10" x14ac:dyDescent="0.2">
      <c r="A362" t="s">
        <v>365</v>
      </c>
      <c r="B362" t="s">
        <v>3124</v>
      </c>
      <c r="C362">
        <v>0</v>
      </c>
      <c r="D362">
        <v>0</v>
      </c>
      <c r="E362">
        <f>ABS(Table1[[#This Row],[Flux in SC / glucose uptake ($mmol/mmol\ glc$)]]-Table1[[#This Row],[Flux in RT / glucose uptake ($mmol/mmol\ glc$)]])/SQRT(2)</f>
        <v>0</v>
      </c>
      <c r="F362">
        <f>Table1[[#This Row],[distance from 45-degree line]]/MAX(Table1[[Flux in SC / glucose uptake ($mmol/mmol\ glc$)]:[Flux in RT / glucose uptake ($mmol/mmol\ glc$)]])</f>
        <v>0</v>
      </c>
      <c r="G362">
        <f>_xlfn.RANK.AVG(Table1[[#This Row],[Flux in SC / glucose uptake ($mmol/mmol\ glc$)]],Table1[Flux in SC / glucose uptake ($mmol/mmol\ glc$)])</f>
        <v>1310.5</v>
      </c>
      <c r="H362">
        <f>_xlfn.RANK.AVG(Table1[[#This Row],[Flux in RT / glucose uptake ($mmol/mmol\ glc$)]],Table1[Flux in RT / glucose uptake ($mmol/mmol\ glc$)])</f>
        <v>1290.5</v>
      </c>
      <c r="I362" t="e">
        <f>LOG(Table1[[#This Row],[Flux in SC / glucose uptake ($mmol/mmol\ glc$)]])</f>
        <v>#NUM!</v>
      </c>
      <c r="J362" t="e">
        <f>LOG(Table1[[#This Row],[Flux in RT / glucose uptake ($mmol/mmol\ glc$)]])</f>
        <v>#NUM!</v>
      </c>
    </row>
    <row r="363" spans="1:10" x14ac:dyDescent="0.2">
      <c r="A363" t="s">
        <v>366</v>
      </c>
      <c r="B363" t="s">
        <v>3125</v>
      </c>
      <c r="C363">
        <v>0</v>
      </c>
      <c r="D363">
        <v>0</v>
      </c>
      <c r="E363">
        <f>ABS(Table1[[#This Row],[Flux in SC / glucose uptake ($mmol/mmol\ glc$)]]-Table1[[#This Row],[Flux in RT / glucose uptake ($mmol/mmol\ glc$)]])/SQRT(2)</f>
        <v>0</v>
      </c>
      <c r="F363">
        <f>Table1[[#This Row],[distance from 45-degree line]]/MAX(Table1[[Flux in SC / glucose uptake ($mmol/mmol\ glc$)]:[Flux in RT / glucose uptake ($mmol/mmol\ glc$)]])</f>
        <v>0</v>
      </c>
      <c r="G363">
        <f>_xlfn.RANK.AVG(Table1[[#This Row],[Flux in SC / glucose uptake ($mmol/mmol\ glc$)]],Table1[Flux in SC / glucose uptake ($mmol/mmol\ glc$)])</f>
        <v>1310.5</v>
      </c>
      <c r="H363">
        <f>_xlfn.RANK.AVG(Table1[[#This Row],[Flux in RT / glucose uptake ($mmol/mmol\ glc$)]],Table1[Flux in RT / glucose uptake ($mmol/mmol\ glc$)])</f>
        <v>1290.5</v>
      </c>
      <c r="I363" t="e">
        <f>LOG(Table1[[#This Row],[Flux in SC / glucose uptake ($mmol/mmol\ glc$)]])</f>
        <v>#NUM!</v>
      </c>
      <c r="J363" t="e">
        <f>LOG(Table1[[#This Row],[Flux in RT / glucose uptake ($mmol/mmol\ glc$)]])</f>
        <v>#NUM!</v>
      </c>
    </row>
    <row r="364" spans="1:10" x14ac:dyDescent="0.2">
      <c r="A364" t="s">
        <v>367</v>
      </c>
      <c r="B364" t="s">
        <v>3125</v>
      </c>
      <c r="C364">
        <v>0</v>
      </c>
      <c r="D364">
        <v>0</v>
      </c>
      <c r="E364">
        <f>ABS(Table1[[#This Row],[Flux in SC / glucose uptake ($mmol/mmol\ glc$)]]-Table1[[#This Row],[Flux in RT / glucose uptake ($mmol/mmol\ glc$)]])/SQRT(2)</f>
        <v>0</v>
      </c>
      <c r="F364">
        <f>Table1[[#This Row],[distance from 45-degree line]]/MAX(Table1[[Flux in SC / glucose uptake ($mmol/mmol\ glc$)]:[Flux in RT / glucose uptake ($mmol/mmol\ glc$)]])</f>
        <v>0</v>
      </c>
      <c r="G364">
        <f>_xlfn.RANK.AVG(Table1[[#This Row],[Flux in SC / glucose uptake ($mmol/mmol\ glc$)]],Table1[Flux in SC / glucose uptake ($mmol/mmol\ glc$)])</f>
        <v>1310.5</v>
      </c>
      <c r="H364">
        <f>_xlfn.RANK.AVG(Table1[[#This Row],[Flux in RT / glucose uptake ($mmol/mmol\ glc$)]],Table1[Flux in RT / glucose uptake ($mmol/mmol\ glc$)])</f>
        <v>1290.5</v>
      </c>
      <c r="I364" t="e">
        <f>LOG(Table1[[#This Row],[Flux in SC / glucose uptake ($mmol/mmol\ glc$)]])</f>
        <v>#NUM!</v>
      </c>
      <c r="J364" t="e">
        <f>LOG(Table1[[#This Row],[Flux in RT / glucose uptake ($mmol/mmol\ glc$)]])</f>
        <v>#NUM!</v>
      </c>
    </row>
    <row r="365" spans="1:10" x14ac:dyDescent="0.2">
      <c r="A365" t="s">
        <v>368</v>
      </c>
      <c r="B365" t="s">
        <v>3156</v>
      </c>
      <c r="C365">
        <v>0</v>
      </c>
      <c r="D365">
        <v>0</v>
      </c>
      <c r="E365">
        <f>ABS(Table1[[#This Row],[Flux in SC / glucose uptake ($mmol/mmol\ glc$)]]-Table1[[#This Row],[Flux in RT / glucose uptake ($mmol/mmol\ glc$)]])/SQRT(2)</f>
        <v>0</v>
      </c>
      <c r="F365">
        <f>Table1[[#This Row],[distance from 45-degree line]]/MAX(Table1[[Flux in SC / glucose uptake ($mmol/mmol\ glc$)]:[Flux in RT / glucose uptake ($mmol/mmol\ glc$)]])</f>
        <v>0</v>
      </c>
      <c r="G365">
        <f>_xlfn.RANK.AVG(Table1[[#This Row],[Flux in SC / glucose uptake ($mmol/mmol\ glc$)]],Table1[Flux in SC / glucose uptake ($mmol/mmol\ glc$)])</f>
        <v>1310.5</v>
      </c>
      <c r="H365">
        <f>_xlfn.RANK.AVG(Table1[[#This Row],[Flux in RT / glucose uptake ($mmol/mmol\ glc$)]],Table1[Flux in RT / glucose uptake ($mmol/mmol\ glc$)])</f>
        <v>1290.5</v>
      </c>
      <c r="I365" t="e">
        <f>LOG(Table1[[#This Row],[Flux in SC / glucose uptake ($mmol/mmol\ glc$)]])</f>
        <v>#NUM!</v>
      </c>
      <c r="J365" t="e">
        <f>LOG(Table1[[#This Row],[Flux in RT / glucose uptake ($mmol/mmol\ glc$)]])</f>
        <v>#NUM!</v>
      </c>
    </row>
    <row r="366" spans="1:10" x14ac:dyDescent="0.2">
      <c r="A366" t="s">
        <v>369</v>
      </c>
      <c r="B366" t="s">
        <v>3143</v>
      </c>
      <c r="C366">
        <v>0</v>
      </c>
      <c r="D366">
        <v>0</v>
      </c>
      <c r="E366">
        <f>ABS(Table1[[#This Row],[Flux in SC / glucose uptake ($mmol/mmol\ glc$)]]-Table1[[#This Row],[Flux in RT / glucose uptake ($mmol/mmol\ glc$)]])/SQRT(2)</f>
        <v>0</v>
      </c>
      <c r="F366">
        <f>Table1[[#This Row],[distance from 45-degree line]]/MAX(Table1[[Flux in SC / glucose uptake ($mmol/mmol\ glc$)]:[Flux in RT / glucose uptake ($mmol/mmol\ glc$)]])</f>
        <v>0</v>
      </c>
      <c r="G366">
        <f>_xlfn.RANK.AVG(Table1[[#This Row],[Flux in SC / glucose uptake ($mmol/mmol\ glc$)]],Table1[Flux in SC / glucose uptake ($mmol/mmol\ glc$)])</f>
        <v>1310.5</v>
      </c>
      <c r="H366">
        <f>_xlfn.RANK.AVG(Table1[[#This Row],[Flux in RT / glucose uptake ($mmol/mmol\ glc$)]],Table1[Flux in RT / glucose uptake ($mmol/mmol\ glc$)])</f>
        <v>1290.5</v>
      </c>
      <c r="I366" t="e">
        <f>LOG(Table1[[#This Row],[Flux in SC / glucose uptake ($mmol/mmol\ glc$)]])</f>
        <v>#NUM!</v>
      </c>
      <c r="J366" t="e">
        <f>LOG(Table1[[#This Row],[Flux in RT / glucose uptake ($mmol/mmol\ glc$)]])</f>
        <v>#NUM!</v>
      </c>
    </row>
    <row r="367" spans="1:10" x14ac:dyDescent="0.2">
      <c r="A367" t="s">
        <v>370</v>
      </c>
      <c r="B367" t="s">
        <v>3143</v>
      </c>
      <c r="C367">
        <v>2.9023118022956686E-2</v>
      </c>
      <c r="D367">
        <v>0</v>
      </c>
      <c r="E367">
        <f>ABS(Table1[[#This Row],[Flux in SC / glucose uptake ($mmol/mmol\ glc$)]]-Table1[[#This Row],[Flux in RT / glucose uptake ($mmol/mmol\ glc$)]])/SQRT(2)</f>
        <v>2.0522443565210175E-2</v>
      </c>
      <c r="F367">
        <f>Table1[[#This Row],[distance from 45-degree line]]/MAX(Table1[[Flux in SC / glucose uptake ($mmol/mmol\ glc$)]:[Flux in RT / glucose uptake ($mmol/mmol\ glc$)]])</f>
        <v>1.1061362907034873E-3</v>
      </c>
      <c r="G367">
        <f>_xlfn.RANK.AVG(Table1[[#This Row],[Flux in SC / glucose uptake ($mmol/mmol\ glc$)]],Table1[Flux in SC / glucose uptake ($mmol/mmol\ glc$)])</f>
        <v>58</v>
      </c>
      <c r="H367">
        <f>_xlfn.RANK.AVG(Table1[[#This Row],[Flux in RT / glucose uptake ($mmol/mmol\ glc$)]],Table1[Flux in RT / glucose uptake ($mmol/mmol\ glc$)])</f>
        <v>1290.5</v>
      </c>
      <c r="I367">
        <f>LOG(Table1[[#This Row],[Flux in SC / glucose uptake ($mmol/mmol\ glc$)]])</f>
        <v>-1.5372559320973638</v>
      </c>
      <c r="J367" t="e">
        <f>LOG(Table1[[#This Row],[Flux in RT / glucose uptake ($mmol/mmol\ glc$)]])</f>
        <v>#NUM!</v>
      </c>
    </row>
    <row r="368" spans="1:10" x14ac:dyDescent="0.2">
      <c r="A368" t="s">
        <v>371</v>
      </c>
      <c r="B368" t="s">
        <v>3150</v>
      </c>
      <c r="C368">
        <v>0</v>
      </c>
      <c r="D368">
        <v>0</v>
      </c>
      <c r="E368">
        <f>ABS(Table1[[#This Row],[Flux in SC / glucose uptake ($mmol/mmol\ glc$)]]-Table1[[#This Row],[Flux in RT / glucose uptake ($mmol/mmol\ glc$)]])/SQRT(2)</f>
        <v>0</v>
      </c>
      <c r="F368">
        <f>Table1[[#This Row],[distance from 45-degree line]]/MAX(Table1[[Flux in SC / glucose uptake ($mmol/mmol\ glc$)]:[Flux in RT / glucose uptake ($mmol/mmol\ glc$)]])</f>
        <v>0</v>
      </c>
      <c r="G368">
        <f>_xlfn.RANK.AVG(Table1[[#This Row],[Flux in SC / glucose uptake ($mmol/mmol\ glc$)]],Table1[Flux in SC / glucose uptake ($mmol/mmol\ glc$)])</f>
        <v>1310.5</v>
      </c>
      <c r="H368">
        <f>_xlfn.RANK.AVG(Table1[[#This Row],[Flux in RT / glucose uptake ($mmol/mmol\ glc$)]],Table1[Flux in RT / glucose uptake ($mmol/mmol\ glc$)])</f>
        <v>1290.5</v>
      </c>
      <c r="I368" t="e">
        <f>LOG(Table1[[#This Row],[Flux in SC / glucose uptake ($mmol/mmol\ glc$)]])</f>
        <v>#NUM!</v>
      </c>
      <c r="J368" t="e">
        <f>LOG(Table1[[#This Row],[Flux in RT / glucose uptake ($mmol/mmol\ glc$)]])</f>
        <v>#NUM!</v>
      </c>
    </row>
    <row r="369" spans="1:10" x14ac:dyDescent="0.2">
      <c r="A369" t="s">
        <v>372</v>
      </c>
      <c r="B369" t="s">
        <v>3114</v>
      </c>
      <c r="C369">
        <v>0</v>
      </c>
      <c r="D369">
        <v>0</v>
      </c>
      <c r="E369">
        <f>ABS(Table1[[#This Row],[Flux in SC / glucose uptake ($mmol/mmol\ glc$)]]-Table1[[#This Row],[Flux in RT / glucose uptake ($mmol/mmol\ glc$)]])/SQRT(2)</f>
        <v>0</v>
      </c>
      <c r="F369">
        <f>Table1[[#This Row],[distance from 45-degree line]]/MAX(Table1[[Flux in SC / glucose uptake ($mmol/mmol\ glc$)]:[Flux in RT / glucose uptake ($mmol/mmol\ glc$)]])</f>
        <v>0</v>
      </c>
      <c r="G369">
        <f>_xlfn.RANK.AVG(Table1[[#This Row],[Flux in SC / glucose uptake ($mmol/mmol\ glc$)]],Table1[Flux in SC / glucose uptake ($mmol/mmol\ glc$)])</f>
        <v>1310.5</v>
      </c>
      <c r="H369">
        <f>_xlfn.RANK.AVG(Table1[[#This Row],[Flux in RT / glucose uptake ($mmol/mmol\ glc$)]],Table1[Flux in RT / glucose uptake ($mmol/mmol\ glc$)])</f>
        <v>1290.5</v>
      </c>
      <c r="I369" t="e">
        <f>LOG(Table1[[#This Row],[Flux in SC / glucose uptake ($mmol/mmol\ glc$)]])</f>
        <v>#NUM!</v>
      </c>
      <c r="J369" t="e">
        <f>LOG(Table1[[#This Row],[Flux in RT / glucose uptake ($mmol/mmol\ glc$)]])</f>
        <v>#NUM!</v>
      </c>
    </row>
    <row r="370" spans="1:10" x14ac:dyDescent="0.2">
      <c r="A370" t="s">
        <v>373</v>
      </c>
      <c r="B370" t="s">
        <v>3114</v>
      </c>
      <c r="C370">
        <v>0</v>
      </c>
      <c r="D370">
        <v>0</v>
      </c>
      <c r="E370">
        <f>ABS(Table1[[#This Row],[Flux in SC / glucose uptake ($mmol/mmol\ glc$)]]-Table1[[#This Row],[Flux in RT / glucose uptake ($mmol/mmol\ glc$)]])/SQRT(2)</f>
        <v>0</v>
      </c>
      <c r="F370">
        <f>Table1[[#This Row],[distance from 45-degree line]]/MAX(Table1[[Flux in SC / glucose uptake ($mmol/mmol\ glc$)]:[Flux in RT / glucose uptake ($mmol/mmol\ glc$)]])</f>
        <v>0</v>
      </c>
      <c r="G370">
        <f>_xlfn.RANK.AVG(Table1[[#This Row],[Flux in SC / glucose uptake ($mmol/mmol\ glc$)]],Table1[Flux in SC / glucose uptake ($mmol/mmol\ glc$)])</f>
        <v>1310.5</v>
      </c>
      <c r="H370">
        <f>_xlfn.RANK.AVG(Table1[[#This Row],[Flux in RT / glucose uptake ($mmol/mmol\ glc$)]],Table1[Flux in RT / glucose uptake ($mmol/mmol\ glc$)])</f>
        <v>1290.5</v>
      </c>
      <c r="I370" t="e">
        <f>LOG(Table1[[#This Row],[Flux in SC / glucose uptake ($mmol/mmol\ glc$)]])</f>
        <v>#NUM!</v>
      </c>
      <c r="J370" t="e">
        <f>LOG(Table1[[#This Row],[Flux in RT / glucose uptake ($mmol/mmol\ glc$)]])</f>
        <v>#NUM!</v>
      </c>
    </row>
    <row r="371" spans="1:10" x14ac:dyDescent="0.2">
      <c r="A371" t="s">
        <v>374</v>
      </c>
      <c r="B371" t="s">
        <v>3134</v>
      </c>
      <c r="C371">
        <v>-3.1235427792745608E-6</v>
      </c>
      <c r="D371">
        <v>0</v>
      </c>
      <c r="E371">
        <f>ABS(Table1[[#This Row],[Flux in SC / glucose uptake ($mmol/mmol\ glc$)]]-Table1[[#This Row],[Flux in RT / glucose uptake ($mmol/mmol\ glc$)]])/SQRT(2)</f>
        <v>2.2086782805513173E-6</v>
      </c>
      <c r="F371">
        <f>Table1[[#This Row],[distance from 45-degree line]]/MAX(Table1[[Flux in SC / glucose uptake ($mmol/mmol\ glc$)]:[Flux in RT / glucose uptake ($mmol/mmol\ glc$)]])</f>
        <v>1.1904523907415945E-7</v>
      </c>
      <c r="G371">
        <f>_xlfn.RANK.AVG(Table1[[#This Row],[Flux in SC / glucose uptake ($mmol/mmol\ glc$)]],Table1[Flux in SC / glucose uptake ($mmol/mmol\ glc$)])</f>
        <v>2300</v>
      </c>
      <c r="H371">
        <f>_xlfn.RANK.AVG(Table1[[#This Row],[Flux in RT / glucose uptake ($mmol/mmol\ glc$)]],Table1[Flux in RT / glucose uptake ($mmol/mmol\ glc$)])</f>
        <v>1290.5</v>
      </c>
      <c r="I371" t="e">
        <f>LOG(Table1[[#This Row],[Flux in SC / glucose uptake ($mmol/mmol\ glc$)]])</f>
        <v>#NUM!</v>
      </c>
      <c r="J371" t="e">
        <f>LOG(Table1[[#This Row],[Flux in RT / glucose uptake ($mmol/mmol\ glc$)]])</f>
        <v>#NUM!</v>
      </c>
    </row>
    <row r="372" spans="1:10" x14ac:dyDescent="0.2">
      <c r="A372" t="s">
        <v>375</v>
      </c>
      <c r="B372" t="s">
        <v>3157</v>
      </c>
      <c r="C372">
        <v>0</v>
      </c>
      <c r="D372">
        <v>0</v>
      </c>
      <c r="E372">
        <f>ABS(Table1[[#This Row],[Flux in SC / glucose uptake ($mmol/mmol\ glc$)]]-Table1[[#This Row],[Flux in RT / glucose uptake ($mmol/mmol\ glc$)]])/SQRT(2)</f>
        <v>0</v>
      </c>
      <c r="F372">
        <f>Table1[[#This Row],[distance from 45-degree line]]/MAX(Table1[[Flux in SC / glucose uptake ($mmol/mmol\ glc$)]:[Flux in RT / glucose uptake ($mmol/mmol\ glc$)]])</f>
        <v>0</v>
      </c>
      <c r="G372">
        <f>_xlfn.RANK.AVG(Table1[[#This Row],[Flux in SC / glucose uptake ($mmol/mmol\ glc$)]],Table1[Flux in SC / glucose uptake ($mmol/mmol\ glc$)])</f>
        <v>1310.5</v>
      </c>
      <c r="H372">
        <f>_xlfn.RANK.AVG(Table1[[#This Row],[Flux in RT / glucose uptake ($mmol/mmol\ glc$)]],Table1[Flux in RT / glucose uptake ($mmol/mmol\ glc$)])</f>
        <v>1290.5</v>
      </c>
      <c r="I372" t="e">
        <f>LOG(Table1[[#This Row],[Flux in SC / glucose uptake ($mmol/mmol\ glc$)]])</f>
        <v>#NUM!</v>
      </c>
      <c r="J372" t="e">
        <f>LOG(Table1[[#This Row],[Flux in RT / glucose uptake ($mmol/mmol\ glc$)]])</f>
        <v>#NUM!</v>
      </c>
    </row>
    <row r="373" spans="1:10" x14ac:dyDescent="0.2">
      <c r="A373" t="s">
        <v>376</v>
      </c>
      <c r="B373" t="s">
        <v>3114</v>
      </c>
      <c r="C373">
        <v>0</v>
      </c>
      <c r="D373">
        <v>0</v>
      </c>
      <c r="E373">
        <f>ABS(Table1[[#This Row],[Flux in SC / glucose uptake ($mmol/mmol\ glc$)]]-Table1[[#This Row],[Flux in RT / glucose uptake ($mmol/mmol\ glc$)]])/SQRT(2)</f>
        <v>0</v>
      </c>
      <c r="F373">
        <f>Table1[[#This Row],[distance from 45-degree line]]/MAX(Table1[[Flux in SC / glucose uptake ($mmol/mmol\ glc$)]:[Flux in RT / glucose uptake ($mmol/mmol\ glc$)]])</f>
        <v>0</v>
      </c>
      <c r="G373">
        <f>_xlfn.RANK.AVG(Table1[[#This Row],[Flux in SC / glucose uptake ($mmol/mmol\ glc$)]],Table1[Flux in SC / glucose uptake ($mmol/mmol\ glc$)])</f>
        <v>1310.5</v>
      </c>
      <c r="H373">
        <f>_xlfn.RANK.AVG(Table1[[#This Row],[Flux in RT / glucose uptake ($mmol/mmol\ glc$)]],Table1[Flux in RT / glucose uptake ($mmol/mmol\ glc$)])</f>
        <v>1290.5</v>
      </c>
      <c r="I373" t="e">
        <f>LOG(Table1[[#This Row],[Flux in SC / glucose uptake ($mmol/mmol\ glc$)]])</f>
        <v>#NUM!</v>
      </c>
      <c r="J373" t="e">
        <f>LOG(Table1[[#This Row],[Flux in RT / glucose uptake ($mmol/mmol\ glc$)]])</f>
        <v>#NUM!</v>
      </c>
    </row>
    <row r="374" spans="1:10" x14ac:dyDescent="0.2">
      <c r="A374" t="s">
        <v>377</v>
      </c>
      <c r="B374" t="s">
        <v>3114</v>
      </c>
      <c r="C374">
        <v>0</v>
      </c>
      <c r="D374">
        <v>0</v>
      </c>
      <c r="E374">
        <f>ABS(Table1[[#This Row],[Flux in SC / glucose uptake ($mmol/mmol\ glc$)]]-Table1[[#This Row],[Flux in RT / glucose uptake ($mmol/mmol\ glc$)]])/SQRT(2)</f>
        <v>0</v>
      </c>
      <c r="F374">
        <f>Table1[[#This Row],[distance from 45-degree line]]/MAX(Table1[[Flux in SC / glucose uptake ($mmol/mmol\ glc$)]:[Flux in RT / glucose uptake ($mmol/mmol\ glc$)]])</f>
        <v>0</v>
      </c>
      <c r="G374">
        <f>_xlfn.RANK.AVG(Table1[[#This Row],[Flux in SC / glucose uptake ($mmol/mmol\ glc$)]],Table1[Flux in SC / glucose uptake ($mmol/mmol\ glc$)])</f>
        <v>1310.5</v>
      </c>
      <c r="H374">
        <f>_xlfn.RANK.AVG(Table1[[#This Row],[Flux in RT / glucose uptake ($mmol/mmol\ glc$)]],Table1[Flux in RT / glucose uptake ($mmol/mmol\ glc$)])</f>
        <v>1290.5</v>
      </c>
      <c r="I374" t="e">
        <f>LOG(Table1[[#This Row],[Flux in SC / glucose uptake ($mmol/mmol\ glc$)]])</f>
        <v>#NUM!</v>
      </c>
      <c r="J374" t="e">
        <f>LOG(Table1[[#This Row],[Flux in RT / glucose uptake ($mmol/mmol\ glc$)]])</f>
        <v>#NUM!</v>
      </c>
    </row>
    <row r="375" spans="1:10" x14ac:dyDescent="0.2">
      <c r="A375" t="s">
        <v>378</v>
      </c>
      <c r="B375" t="s">
        <v>3114</v>
      </c>
      <c r="C375">
        <v>0</v>
      </c>
      <c r="D375">
        <v>0</v>
      </c>
      <c r="E375">
        <f>ABS(Table1[[#This Row],[Flux in SC / glucose uptake ($mmol/mmol\ glc$)]]-Table1[[#This Row],[Flux in RT / glucose uptake ($mmol/mmol\ glc$)]])/SQRT(2)</f>
        <v>0</v>
      </c>
      <c r="F375">
        <f>Table1[[#This Row],[distance from 45-degree line]]/MAX(Table1[[Flux in SC / glucose uptake ($mmol/mmol\ glc$)]:[Flux in RT / glucose uptake ($mmol/mmol\ glc$)]])</f>
        <v>0</v>
      </c>
      <c r="G375">
        <f>_xlfn.RANK.AVG(Table1[[#This Row],[Flux in SC / glucose uptake ($mmol/mmol\ glc$)]],Table1[Flux in SC / glucose uptake ($mmol/mmol\ glc$)])</f>
        <v>1310.5</v>
      </c>
      <c r="H375">
        <f>_xlfn.RANK.AVG(Table1[[#This Row],[Flux in RT / glucose uptake ($mmol/mmol\ glc$)]],Table1[Flux in RT / glucose uptake ($mmol/mmol\ glc$)])</f>
        <v>1290.5</v>
      </c>
      <c r="I375" t="e">
        <f>LOG(Table1[[#This Row],[Flux in SC / glucose uptake ($mmol/mmol\ glc$)]])</f>
        <v>#NUM!</v>
      </c>
      <c r="J375" t="e">
        <f>LOG(Table1[[#This Row],[Flux in RT / glucose uptake ($mmol/mmol\ glc$)]])</f>
        <v>#NUM!</v>
      </c>
    </row>
    <row r="376" spans="1:10" x14ac:dyDescent="0.2">
      <c r="A376" t="s">
        <v>379</v>
      </c>
      <c r="B376" t="s">
        <v>3134</v>
      </c>
      <c r="C376">
        <v>0</v>
      </c>
      <c r="D376">
        <v>0</v>
      </c>
      <c r="E376">
        <f>ABS(Table1[[#This Row],[Flux in SC / glucose uptake ($mmol/mmol\ glc$)]]-Table1[[#This Row],[Flux in RT / glucose uptake ($mmol/mmol\ glc$)]])/SQRT(2)</f>
        <v>0</v>
      </c>
      <c r="F376">
        <f>Table1[[#This Row],[distance from 45-degree line]]/MAX(Table1[[Flux in SC / glucose uptake ($mmol/mmol\ glc$)]:[Flux in RT / glucose uptake ($mmol/mmol\ glc$)]])</f>
        <v>0</v>
      </c>
      <c r="G376">
        <f>_xlfn.RANK.AVG(Table1[[#This Row],[Flux in SC / glucose uptake ($mmol/mmol\ glc$)]],Table1[Flux in SC / glucose uptake ($mmol/mmol\ glc$)])</f>
        <v>1310.5</v>
      </c>
      <c r="H376">
        <f>_xlfn.RANK.AVG(Table1[[#This Row],[Flux in RT / glucose uptake ($mmol/mmol\ glc$)]],Table1[Flux in RT / glucose uptake ($mmol/mmol\ glc$)])</f>
        <v>1290.5</v>
      </c>
      <c r="I376" t="e">
        <f>LOG(Table1[[#This Row],[Flux in SC / glucose uptake ($mmol/mmol\ glc$)]])</f>
        <v>#NUM!</v>
      </c>
      <c r="J376" t="e">
        <f>LOG(Table1[[#This Row],[Flux in RT / glucose uptake ($mmol/mmol\ glc$)]])</f>
        <v>#NUM!</v>
      </c>
    </row>
    <row r="377" spans="1:10" x14ac:dyDescent="0.2">
      <c r="A377" t="s">
        <v>380</v>
      </c>
      <c r="B377" t="s">
        <v>3114</v>
      </c>
      <c r="C377">
        <v>0</v>
      </c>
      <c r="D377">
        <v>0</v>
      </c>
      <c r="E377">
        <f>ABS(Table1[[#This Row],[Flux in SC / glucose uptake ($mmol/mmol\ glc$)]]-Table1[[#This Row],[Flux in RT / glucose uptake ($mmol/mmol\ glc$)]])/SQRT(2)</f>
        <v>0</v>
      </c>
      <c r="F377">
        <f>Table1[[#This Row],[distance from 45-degree line]]/MAX(Table1[[Flux in SC / glucose uptake ($mmol/mmol\ glc$)]:[Flux in RT / glucose uptake ($mmol/mmol\ glc$)]])</f>
        <v>0</v>
      </c>
      <c r="G377">
        <f>_xlfn.RANK.AVG(Table1[[#This Row],[Flux in SC / glucose uptake ($mmol/mmol\ glc$)]],Table1[Flux in SC / glucose uptake ($mmol/mmol\ glc$)])</f>
        <v>1310.5</v>
      </c>
      <c r="H377">
        <f>_xlfn.RANK.AVG(Table1[[#This Row],[Flux in RT / glucose uptake ($mmol/mmol\ glc$)]],Table1[Flux in RT / glucose uptake ($mmol/mmol\ glc$)])</f>
        <v>1290.5</v>
      </c>
      <c r="I377" t="e">
        <f>LOG(Table1[[#This Row],[Flux in SC / glucose uptake ($mmol/mmol\ glc$)]])</f>
        <v>#NUM!</v>
      </c>
      <c r="J377" t="e">
        <f>LOG(Table1[[#This Row],[Flux in RT / glucose uptake ($mmol/mmol\ glc$)]])</f>
        <v>#NUM!</v>
      </c>
    </row>
    <row r="378" spans="1:10" x14ac:dyDescent="0.2">
      <c r="A378" t="s">
        <v>381</v>
      </c>
      <c r="B378" t="s">
        <v>3150</v>
      </c>
      <c r="C378">
        <v>0</v>
      </c>
      <c r="D378">
        <v>0</v>
      </c>
      <c r="E378">
        <f>ABS(Table1[[#This Row],[Flux in SC / glucose uptake ($mmol/mmol\ glc$)]]-Table1[[#This Row],[Flux in RT / glucose uptake ($mmol/mmol\ glc$)]])/SQRT(2)</f>
        <v>0</v>
      </c>
      <c r="F378">
        <f>Table1[[#This Row],[distance from 45-degree line]]/MAX(Table1[[Flux in SC / glucose uptake ($mmol/mmol\ glc$)]:[Flux in RT / glucose uptake ($mmol/mmol\ glc$)]])</f>
        <v>0</v>
      </c>
      <c r="G378">
        <f>_xlfn.RANK.AVG(Table1[[#This Row],[Flux in SC / glucose uptake ($mmol/mmol\ glc$)]],Table1[Flux in SC / glucose uptake ($mmol/mmol\ glc$)])</f>
        <v>1310.5</v>
      </c>
      <c r="H378">
        <f>_xlfn.RANK.AVG(Table1[[#This Row],[Flux in RT / glucose uptake ($mmol/mmol\ glc$)]],Table1[Flux in RT / glucose uptake ($mmol/mmol\ glc$)])</f>
        <v>1290.5</v>
      </c>
      <c r="I378" t="e">
        <f>LOG(Table1[[#This Row],[Flux in SC / glucose uptake ($mmol/mmol\ glc$)]])</f>
        <v>#NUM!</v>
      </c>
      <c r="J378" t="e">
        <f>LOG(Table1[[#This Row],[Flux in RT / glucose uptake ($mmol/mmol\ glc$)]])</f>
        <v>#NUM!</v>
      </c>
    </row>
    <row r="379" spans="1:10" x14ac:dyDescent="0.2">
      <c r="A379" t="s">
        <v>382</v>
      </c>
      <c r="B379" t="s">
        <v>3114</v>
      </c>
      <c r="C379">
        <v>0</v>
      </c>
      <c r="D379">
        <v>0</v>
      </c>
      <c r="E379">
        <f>ABS(Table1[[#This Row],[Flux in SC / glucose uptake ($mmol/mmol\ glc$)]]-Table1[[#This Row],[Flux in RT / glucose uptake ($mmol/mmol\ glc$)]])/SQRT(2)</f>
        <v>0</v>
      </c>
      <c r="F379">
        <f>Table1[[#This Row],[distance from 45-degree line]]/MAX(Table1[[Flux in SC / glucose uptake ($mmol/mmol\ glc$)]:[Flux in RT / glucose uptake ($mmol/mmol\ glc$)]])</f>
        <v>0</v>
      </c>
      <c r="G379">
        <f>_xlfn.RANK.AVG(Table1[[#This Row],[Flux in SC / glucose uptake ($mmol/mmol\ glc$)]],Table1[Flux in SC / glucose uptake ($mmol/mmol\ glc$)])</f>
        <v>1310.5</v>
      </c>
      <c r="H379">
        <f>_xlfn.RANK.AVG(Table1[[#This Row],[Flux in RT / glucose uptake ($mmol/mmol\ glc$)]],Table1[Flux in RT / glucose uptake ($mmol/mmol\ glc$)])</f>
        <v>1290.5</v>
      </c>
      <c r="I379" t="e">
        <f>LOG(Table1[[#This Row],[Flux in SC / glucose uptake ($mmol/mmol\ glc$)]])</f>
        <v>#NUM!</v>
      </c>
      <c r="J379" t="e">
        <f>LOG(Table1[[#This Row],[Flux in RT / glucose uptake ($mmol/mmol\ glc$)]])</f>
        <v>#NUM!</v>
      </c>
    </row>
    <row r="380" spans="1:10" x14ac:dyDescent="0.2">
      <c r="A380" t="s">
        <v>383</v>
      </c>
      <c r="B380" t="s">
        <v>3114</v>
      </c>
      <c r="C380">
        <v>0</v>
      </c>
      <c r="D380">
        <v>0</v>
      </c>
      <c r="E380">
        <f>ABS(Table1[[#This Row],[Flux in SC / glucose uptake ($mmol/mmol\ glc$)]]-Table1[[#This Row],[Flux in RT / glucose uptake ($mmol/mmol\ glc$)]])/SQRT(2)</f>
        <v>0</v>
      </c>
      <c r="F380">
        <f>Table1[[#This Row],[distance from 45-degree line]]/MAX(Table1[[Flux in SC / glucose uptake ($mmol/mmol\ glc$)]:[Flux in RT / glucose uptake ($mmol/mmol\ glc$)]])</f>
        <v>0</v>
      </c>
      <c r="G380">
        <f>_xlfn.RANK.AVG(Table1[[#This Row],[Flux in SC / glucose uptake ($mmol/mmol\ glc$)]],Table1[Flux in SC / glucose uptake ($mmol/mmol\ glc$)])</f>
        <v>1310.5</v>
      </c>
      <c r="H380">
        <f>_xlfn.RANK.AVG(Table1[[#This Row],[Flux in RT / glucose uptake ($mmol/mmol\ glc$)]],Table1[Flux in RT / glucose uptake ($mmol/mmol\ glc$)])</f>
        <v>1290.5</v>
      </c>
      <c r="I380" t="e">
        <f>LOG(Table1[[#This Row],[Flux in SC / glucose uptake ($mmol/mmol\ glc$)]])</f>
        <v>#NUM!</v>
      </c>
      <c r="J380" t="e">
        <f>LOG(Table1[[#This Row],[Flux in RT / glucose uptake ($mmol/mmol\ glc$)]])</f>
        <v>#NUM!</v>
      </c>
    </row>
    <row r="381" spans="1:10" x14ac:dyDescent="0.2">
      <c r="A381" t="s">
        <v>384</v>
      </c>
      <c r="B381" t="s">
        <v>3114</v>
      </c>
      <c r="C381">
        <v>0</v>
      </c>
      <c r="D381">
        <v>0</v>
      </c>
      <c r="E381">
        <f>ABS(Table1[[#This Row],[Flux in SC / glucose uptake ($mmol/mmol\ glc$)]]-Table1[[#This Row],[Flux in RT / glucose uptake ($mmol/mmol\ glc$)]])/SQRT(2)</f>
        <v>0</v>
      </c>
      <c r="F381">
        <f>Table1[[#This Row],[distance from 45-degree line]]/MAX(Table1[[Flux in SC / glucose uptake ($mmol/mmol\ glc$)]:[Flux in RT / glucose uptake ($mmol/mmol\ glc$)]])</f>
        <v>0</v>
      </c>
      <c r="G381">
        <f>_xlfn.RANK.AVG(Table1[[#This Row],[Flux in SC / glucose uptake ($mmol/mmol\ glc$)]],Table1[Flux in SC / glucose uptake ($mmol/mmol\ glc$)])</f>
        <v>1310.5</v>
      </c>
      <c r="H381">
        <f>_xlfn.RANK.AVG(Table1[[#This Row],[Flux in RT / glucose uptake ($mmol/mmol\ glc$)]],Table1[Flux in RT / glucose uptake ($mmol/mmol\ glc$)])</f>
        <v>1290.5</v>
      </c>
      <c r="I381" t="e">
        <f>LOG(Table1[[#This Row],[Flux in SC / glucose uptake ($mmol/mmol\ glc$)]])</f>
        <v>#NUM!</v>
      </c>
      <c r="J381" t="e">
        <f>LOG(Table1[[#This Row],[Flux in RT / glucose uptake ($mmol/mmol\ glc$)]])</f>
        <v>#NUM!</v>
      </c>
    </row>
    <row r="382" spans="1:10" x14ac:dyDescent="0.2">
      <c r="A382" t="s">
        <v>385</v>
      </c>
      <c r="B382" t="s">
        <v>3158</v>
      </c>
      <c r="C382">
        <v>0</v>
      </c>
      <c r="D382">
        <v>0</v>
      </c>
      <c r="E382">
        <f>ABS(Table1[[#This Row],[Flux in SC / glucose uptake ($mmol/mmol\ glc$)]]-Table1[[#This Row],[Flux in RT / glucose uptake ($mmol/mmol\ glc$)]])/SQRT(2)</f>
        <v>0</v>
      </c>
      <c r="F382">
        <f>Table1[[#This Row],[distance from 45-degree line]]/MAX(Table1[[Flux in SC / glucose uptake ($mmol/mmol\ glc$)]:[Flux in RT / glucose uptake ($mmol/mmol\ glc$)]])</f>
        <v>0</v>
      </c>
      <c r="G382">
        <f>_xlfn.RANK.AVG(Table1[[#This Row],[Flux in SC / glucose uptake ($mmol/mmol\ glc$)]],Table1[Flux in SC / glucose uptake ($mmol/mmol\ glc$)])</f>
        <v>1310.5</v>
      </c>
      <c r="H382">
        <f>_xlfn.RANK.AVG(Table1[[#This Row],[Flux in RT / glucose uptake ($mmol/mmol\ glc$)]],Table1[Flux in RT / glucose uptake ($mmol/mmol\ glc$)])</f>
        <v>1290.5</v>
      </c>
      <c r="I382" t="e">
        <f>LOG(Table1[[#This Row],[Flux in SC / glucose uptake ($mmol/mmol\ glc$)]])</f>
        <v>#NUM!</v>
      </c>
      <c r="J382" t="e">
        <f>LOG(Table1[[#This Row],[Flux in RT / glucose uptake ($mmol/mmol\ glc$)]])</f>
        <v>#NUM!</v>
      </c>
    </row>
    <row r="383" spans="1:10" x14ac:dyDescent="0.2">
      <c r="A383" t="s">
        <v>386</v>
      </c>
      <c r="B383" t="s">
        <v>3158</v>
      </c>
      <c r="C383">
        <v>0</v>
      </c>
      <c r="D383">
        <v>0</v>
      </c>
      <c r="E383">
        <f>ABS(Table1[[#This Row],[Flux in SC / glucose uptake ($mmol/mmol\ glc$)]]-Table1[[#This Row],[Flux in RT / glucose uptake ($mmol/mmol\ glc$)]])/SQRT(2)</f>
        <v>0</v>
      </c>
      <c r="F383">
        <f>Table1[[#This Row],[distance from 45-degree line]]/MAX(Table1[[Flux in SC / glucose uptake ($mmol/mmol\ glc$)]:[Flux in RT / glucose uptake ($mmol/mmol\ glc$)]])</f>
        <v>0</v>
      </c>
      <c r="G383">
        <f>_xlfn.RANK.AVG(Table1[[#This Row],[Flux in SC / glucose uptake ($mmol/mmol\ glc$)]],Table1[Flux in SC / glucose uptake ($mmol/mmol\ glc$)])</f>
        <v>1310.5</v>
      </c>
      <c r="H383">
        <f>_xlfn.RANK.AVG(Table1[[#This Row],[Flux in RT / glucose uptake ($mmol/mmol\ glc$)]],Table1[Flux in RT / glucose uptake ($mmol/mmol\ glc$)])</f>
        <v>1290.5</v>
      </c>
      <c r="I383" t="e">
        <f>LOG(Table1[[#This Row],[Flux in SC / glucose uptake ($mmol/mmol\ glc$)]])</f>
        <v>#NUM!</v>
      </c>
      <c r="J383" t="e">
        <f>LOG(Table1[[#This Row],[Flux in RT / glucose uptake ($mmol/mmol\ glc$)]])</f>
        <v>#NUM!</v>
      </c>
    </row>
    <row r="384" spans="1:10" x14ac:dyDescent="0.2">
      <c r="A384" t="s">
        <v>387</v>
      </c>
      <c r="B384" t="s">
        <v>3120</v>
      </c>
      <c r="C384">
        <v>6.164020986813107E-3</v>
      </c>
      <c r="D384">
        <v>0.11195094677362048</v>
      </c>
      <c r="E384">
        <f>ABS(Table1[[#This Row],[Flux in SC / glucose uptake ($mmol/mmol\ glc$)]]-Table1[[#This Row],[Flux in RT / glucose uptake ($mmol/mmol\ glc$)]])/SQRT(2)</f>
        <v>7.480265258472954E-2</v>
      </c>
      <c r="F384">
        <f>Table1[[#This Row],[distance from 45-degree line]]/MAX(Table1[[Flux in SC / glucose uptake ($mmol/mmol\ glc$)]:[Flux in RT / glucose uptake ($mmol/mmol\ glc$)]])</f>
        <v>4.0317776195578975E-3</v>
      </c>
      <c r="G384">
        <f>_xlfn.RANK.AVG(Table1[[#This Row],[Flux in SC / glucose uptake ($mmol/mmol\ glc$)]],Table1[Flux in SC / glucose uptake ($mmol/mmol\ glc$)])</f>
        <v>99.5</v>
      </c>
      <c r="H384">
        <f>_xlfn.RANK.AVG(Table1[[#This Row],[Flux in RT / glucose uptake ($mmol/mmol\ glc$)]],Table1[Flux in RT / glucose uptake ($mmol/mmol\ glc$)])</f>
        <v>78.5</v>
      </c>
      <c r="I384">
        <f>LOG(Table1[[#This Row],[Flux in SC / glucose uptake ($mmol/mmol\ glc$)]])</f>
        <v>-2.2101358912966407</v>
      </c>
      <c r="J384">
        <f>LOG(Table1[[#This Row],[Flux in RT / glucose uptake ($mmol/mmol\ glc$)]])</f>
        <v>-0.95097222922367086</v>
      </c>
    </row>
    <row r="385" spans="1:10" x14ac:dyDescent="0.2">
      <c r="A385" t="s">
        <v>388</v>
      </c>
      <c r="B385" t="s">
        <v>3120</v>
      </c>
      <c r="C385">
        <v>4.3260218538025908E-4</v>
      </c>
      <c r="D385">
        <v>1.9579456452622932E-3</v>
      </c>
      <c r="E385">
        <f>ABS(Table1[[#This Row],[Flux in SC / glucose uptake ($mmol/mmol\ glc$)]]-Table1[[#This Row],[Flux in RT / glucose uptake ($mmol/mmol\ glc$)]])/SQRT(2)</f>
        <v>1.0785807041211368E-3</v>
      </c>
      <c r="F385">
        <f>Table1[[#This Row],[distance from 45-degree line]]/MAX(Table1[[Flux in SC / glucose uptake ($mmol/mmol\ glc$)]:[Flux in RT / glucose uptake ($mmol/mmol\ glc$)]])</f>
        <v>5.8134269220425144E-5</v>
      </c>
      <c r="G385">
        <f>_xlfn.RANK.AVG(Table1[[#This Row],[Flux in SC / glucose uptake ($mmol/mmol\ glc$)]],Table1[Flux in SC / glucose uptake ($mmol/mmol\ glc$)])</f>
        <v>252</v>
      </c>
      <c r="H385">
        <f>_xlfn.RANK.AVG(Table1[[#This Row],[Flux in RT / glucose uptake ($mmol/mmol\ glc$)]],Table1[Flux in RT / glucose uptake ($mmol/mmol\ glc$)])</f>
        <v>251</v>
      </c>
      <c r="I385">
        <f>LOG(Table1[[#This Row],[Flux in SC / glucose uptake ($mmol/mmol\ glc$)]])</f>
        <v>-3.3639112909621374</v>
      </c>
      <c r="J385">
        <f>LOG(Table1[[#This Row],[Flux in RT / glucose uptake ($mmol/mmol\ glc$)]])</f>
        <v>-2.7081993688609258</v>
      </c>
    </row>
    <row r="386" spans="1:10" x14ac:dyDescent="0.2">
      <c r="A386" t="s">
        <v>389</v>
      </c>
      <c r="B386" t="s">
        <v>3131</v>
      </c>
      <c r="C386">
        <v>0</v>
      </c>
      <c r="D386">
        <v>0</v>
      </c>
      <c r="E386">
        <f>ABS(Table1[[#This Row],[Flux in SC / glucose uptake ($mmol/mmol\ glc$)]]-Table1[[#This Row],[Flux in RT / glucose uptake ($mmol/mmol\ glc$)]])/SQRT(2)</f>
        <v>0</v>
      </c>
      <c r="F386">
        <f>Table1[[#This Row],[distance from 45-degree line]]/MAX(Table1[[Flux in SC / glucose uptake ($mmol/mmol\ glc$)]:[Flux in RT / glucose uptake ($mmol/mmol\ glc$)]])</f>
        <v>0</v>
      </c>
      <c r="G386">
        <f>_xlfn.RANK.AVG(Table1[[#This Row],[Flux in SC / glucose uptake ($mmol/mmol\ glc$)]],Table1[Flux in SC / glucose uptake ($mmol/mmol\ glc$)])</f>
        <v>1310.5</v>
      </c>
      <c r="H386">
        <f>_xlfn.RANK.AVG(Table1[[#This Row],[Flux in RT / glucose uptake ($mmol/mmol\ glc$)]],Table1[Flux in RT / glucose uptake ($mmol/mmol\ glc$)])</f>
        <v>1290.5</v>
      </c>
      <c r="I386" t="e">
        <f>LOG(Table1[[#This Row],[Flux in SC / glucose uptake ($mmol/mmol\ glc$)]])</f>
        <v>#NUM!</v>
      </c>
      <c r="J386" t="e">
        <f>LOG(Table1[[#This Row],[Flux in RT / glucose uptake ($mmol/mmol\ glc$)]])</f>
        <v>#NUM!</v>
      </c>
    </row>
    <row r="387" spans="1:10" x14ac:dyDescent="0.2">
      <c r="A387" t="s">
        <v>390</v>
      </c>
      <c r="B387" t="s">
        <v>3157</v>
      </c>
      <c r="C387">
        <v>0</v>
      </c>
      <c r="D387">
        <v>0</v>
      </c>
      <c r="E387">
        <f>ABS(Table1[[#This Row],[Flux in SC / glucose uptake ($mmol/mmol\ glc$)]]-Table1[[#This Row],[Flux in RT / glucose uptake ($mmol/mmol\ glc$)]])/SQRT(2)</f>
        <v>0</v>
      </c>
      <c r="F387">
        <f>Table1[[#This Row],[distance from 45-degree line]]/MAX(Table1[[Flux in SC / glucose uptake ($mmol/mmol\ glc$)]:[Flux in RT / glucose uptake ($mmol/mmol\ glc$)]])</f>
        <v>0</v>
      </c>
      <c r="G387">
        <f>_xlfn.RANK.AVG(Table1[[#This Row],[Flux in SC / glucose uptake ($mmol/mmol\ glc$)]],Table1[Flux in SC / glucose uptake ($mmol/mmol\ glc$)])</f>
        <v>1310.5</v>
      </c>
      <c r="H387">
        <f>_xlfn.RANK.AVG(Table1[[#This Row],[Flux in RT / glucose uptake ($mmol/mmol\ glc$)]],Table1[Flux in RT / glucose uptake ($mmol/mmol\ glc$)])</f>
        <v>1290.5</v>
      </c>
      <c r="I387" t="e">
        <f>LOG(Table1[[#This Row],[Flux in SC / glucose uptake ($mmol/mmol\ glc$)]])</f>
        <v>#NUM!</v>
      </c>
      <c r="J387" t="e">
        <f>LOG(Table1[[#This Row],[Flux in RT / glucose uptake ($mmol/mmol\ glc$)]])</f>
        <v>#NUM!</v>
      </c>
    </row>
    <row r="388" spans="1:10" x14ac:dyDescent="0.2">
      <c r="A388" t="s">
        <v>391</v>
      </c>
      <c r="B388" t="s">
        <v>3150</v>
      </c>
      <c r="C388">
        <v>0</v>
      </c>
      <c r="D388">
        <v>0</v>
      </c>
      <c r="E388">
        <f>ABS(Table1[[#This Row],[Flux in SC / glucose uptake ($mmol/mmol\ glc$)]]-Table1[[#This Row],[Flux in RT / glucose uptake ($mmol/mmol\ glc$)]])/SQRT(2)</f>
        <v>0</v>
      </c>
      <c r="F388">
        <f>Table1[[#This Row],[distance from 45-degree line]]/MAX(Table1[[Flux in SC / glucose uptake ($mmol/mmol\ glc$)]:[Flux in RT / glucose uptake ($mmol/mmol\ glc$)]])</f>
        <v>0</v>
      </c>
      <c r="G388">
        <f>_xlfn.RANK.AVG(Table1[[#This Row],[Flux in SC / glucose uptake ($mmol/mmol\ glc$)]],Table1[Flux in SC / glucose uptake ($mmol/mmol\ glc$)])</f>
        <v>1310.5</v>
      </c>
      <c r="H388">
        <f>_xlfn.RANK.AVG(Table1[[#This Row],[Flux in RT / glucose uptake ($mmol/mmol\ glc$)]],Table1[Flux in RT / glucose uptake ($mmol/mmol\ glc$)])</f>
        <v>1290.5</v>
      </c>
      <c r="I388" t="e">
        <f>LOG(Table1[[#This Row],[Flux in SC / glucose uptake ($mmol/mmol\ glc$)]])</f>
        <v>#NUM!</v>
      </c>
      <c r="J388" t="e">
        <f>LOG(Table1[[#This Row],[Flux in RT / glucose uptake ($mmol/mmol\ glc$)]])</f>
        <v>#NUM!</v>
      </c>
    </row>
    <row r="389" spans="1:10" x14ac:dyDescent="0.2">
      <c r="A389" t="s">
        <v>392</v>
      </c>
      <c r="B389" t="s">
        <v>3125</v>
      </c>
      <c r="C389">
        <v>0</v>
      </c>
      <c r="D389">
        <v>0</v>
      </c>
      <c r="E389">
        <f>ABS(Table1[[#This Row],[Flux in SC / glucose uptake ($mmol/mmol\ glc$)]]-Table1[[#This Row],[Flux in RT / glucose uptake ($mmol/mmol\ glc$)]])/SQRT(2)</f>
        <v>0</v>
      </c>
      <c r="F389">
        <f>Table1[[#This Row],[distance from 45-degree line]]/MAX(Table1[[Flux in SC / glucose uptake ($mmol/mmol\ glc$)]:[Flux in RT / glucose uptake ($mmol/mmol\ glc$)]])</f>
        <v>0</v>
      </c>
      <c r="G389">
        <f>_xlfn.RANK.AVG(Table1[[#This Row],[Flux in SC / glucose uptake ($mmol/mmol\ glc$)]],Table1[Flux in SC / glucose uptake ($mmol/mmol\ glc$)])</f>
        <v>1310.5</v>
      </c>
      <c r="H389">
        <f>_xlfn.RANK.AVG(Table1[[#This Row],[Flux in RT / glucose uptake ($mmol/mmol\ glc$)]],Table1[Flux in RT / glucose uptake ($mmol/mmol\ glc$)])</f>
        <v>1290.5</v>
      </c>
      <c r="I389" t="e">
        <f>LOG(Table1[[#This Row],[Flux in SC / glucose uptake ($mmol/mmol\ glc$)]])</f>
        <v>#NUM!</v>
      </c>
      <c r="J389" t="e">
        <f>LOG(Table1[[#This Row],[Flux in RT / glucose uptake ($mmol/mmol\ glc$)]])</f>
        <v>#NUM!</v>
      </c>
    </row>
    <row r="390" spans="1:10" x14ac:dyDescent="0.2">
      <c r="A390" t="s">
        <v>393</v>
      </c>
      <c r="B390" t="s">
        <v>3125</v>
      </c>
      <c r="C390">
        <v>0</v>
      </c>
      <c r="D390">
        <v>0</v>
      </c>
      <c r="E390">
        <f>ABS(Table1[[#This Row],[Flux in SC / glucose uptake ($mmol/mmol\ glc$)]]-Table1[[#This Row],[Flux in RT / glucose uptake ($mmol/mmol\ glc$)]])/SQRT(2)</f>
        <v>0</v>
      </c>
      <c r="F390">
        <f>Table1[[#This Row],[distance from 45-degree line]]/MAX(Table1[[Flux in SC / glucose uptake ($mmol/mmol\ glc$)]:[Flux in RT / glucose uptake ($mmol/mmol\ glc$)]])</f>
        <v>0</v>
      </c>
      <c r="G390">
        <f>_xlfn.RANK.AVG(Table1[[#This Row],[Flux in SC / glucose uptake ($mmol/mmol\ glc$)]],Table1[Flux in SC / glucose uptake ($mmol/mmol\ glc$)])</f>
        <v>1310.5</v>
      </c>
      <c r="H390">
        <f>_xlfn.RANK.AVG(Table1[[#This Row],[Flux in RT / glucose uptake ($mmol/mmol\ glc$)]],Table1[Flux in RT / glucose uptake ($mmol/mmol\ glc$)])</f>
        <v>1290.5</v>
      </c>
      <c r="I390" t="e">
        <f>LOG(Table1[[#This Row],[Flux in SC / glucose uptake ($mmol/mmol\ glc$)]])</f>
        <v>#NUM!</v>
      </c>
      <c r="J390" t="e">
        <f>LOG(Table1[[#This Row],[Flux in RT / glucose uptake ($mmol/mmol\ glc$)]])</f>
        <v>#NUM!</v>
      </c>
    </row>
    <row r="391" spans="1:10" x14ac:dyDescent="0.2">
      <c r="A391" t="s">
        <v>394</v>
      </c>
      <c r="B391" t="s">
        <v>3125</v>
      </c>
      <c r="C391">
        <v>0</v>
      </c>
      <c r="D391">
        <v>0</v>
      </c>
      <c r="E391">
        <f>ABS(Table1[[#This Row],[Flux in SC / glucose uptake ($mmol/mmol\ glc$)]]-Table1[[#This Row],[Flux in RT / glucose uptake ($mmol/mmol\ glc$)]])/SQRT(2)</f>
        <v>0</v>
      </c>
      <c r="F391">
        <f>Table1[[#This Row],[distance from 45-degree line]]/MAX(Table1[[Flux in SC / glucose uptake ($mmol/mmol\ glc$)]:[Flux in RT / glucose uptake ($mmol/mmol\ glc$)]])</f>
        <v>0</v>
      </c>
      <c r="G391">
        <f>_xlfn.RANK.AVG(Table1[[#This Row],[Flux in SC / glucose uptake ($mmol/mmol\ glc$)]],Table1[Flux in SC / glucose uptake ($mmol/mmol\ glc$)])</f>
        <v>1310.5</v>
      </c>
      <c r="H391">
        <f>_xlfn.RANK.AVG(Table1[[#This Row],[Flux in RT / glucose uptake ($mmol/mmol\ glc$)]],Table1[Flux in RT / glucose uptake ($mmol/mmol\ glc$)])</f>
        <v>1290.5</v>
      </c>
      <c r="I391" t="e">
        <f>LOG(Table1[[#This Row],[Flux in SC / glucose uptake ($mmol/mmol\ glc$)]])</f>
        <v>#NUM!</v>
      </c>
      <c r="J391" t="e">
        <f>LOG(Table1[[#This Row],[Flux in RT / glucose uptake ($mmol/mmol\ glc$)]])</f>
        <v>#NUM!</v>
      </c>
    </row>
    <row r="392" spans="1:10" x14ac:dyDescent="0.2">
      <c r="A392" t="s">
        <v>395</v>
      </c>
      <c r="B392" t="s">
        <v>3114</v>
      </c>
      <c r="C392">
        <v>0</v>
      </c>
      <c r="D392">
        <v>0</v>
      </c>
      <c r="E392">
        <f>ABS(Table1[[#This Row],[Flux in SC / glucose uptake ($mmol/mmol\ glc$)]]-Table1[[#This Row],[Flux in RT / glucose uptake ($mmol/mmol\ glc$)]])/SQRT(2)</f>
        <v>0</v>
      </c>
      <c r="F392">
        <f>Table1[[#This Row],[distance from 45-degree line]]/MAX(Table1[[Flux in SC / glucose uptake ($mmol/mmol\ glc$)]:[Flux in RT / glucose uptake ($mmol/mmol\ glc$)]])</f>
        <v>0</v>
      </c>
      <c r="G392">
        <f>_xlfn.RANK.AVG(Table1[[#This Row],[Flux in SC / glucose uptake ($mmol/mmol\ glc$)]],Table1[Flux in SC / glucose uptake ($mmol/mmol\ glc$)])</f>
        <v>1310.5</v>
      </c>
      <c r="H392">
        <f>_xlfn.RANK.AVG(Table1[[#This Row],[Flux in RT / glucose uptake ($mmol/mmol\ glc$)]],Table1[Flux in RT / glucose uptake ($mmol/mmol\ glc$)])</f>
        <v>1290.5</v>
      </c>
      <c r="I392" t="e">
        <f>LOG(Table1[[#This Row],[Flux in SC / glucose uptake ($mmol/mmol\ glc$)]])</f>
        <v>#NUM!</v>
      </c>
      <c r="J392" t="e">
        <f>LOG(Table1[[#This Row],[Flux in RT / glucose uptake ($mmol/mmol\ glc$)]])</f>
        <v>#NUM!</v>
      </c>
    </row>
    <row r="393" spans="1:10" x14ac:dyDescent="0.2">
      <c r="A393" t="s">
        <v>396</v>
      </c>
      <c r="B393" t="s">
        <v>3114</v>
      </c>
      <c r="C393">
        <v>0</v>
      </c>
      <c r="D393">
        <v>0</v>
      </c>
      <c r="E393">
        <f>ABS(Table1[[#This Row],[Flux in SC / glucose uptake ($mmol/mmol\ glc$)]]-Table1[[#This Row],[Flux in RT / glucose uptake ($mmol/mmol\ glc$)]])/SQRT(2)</f>
        <v>0</v>
      </c>
      <c r="F393">
        <f>Table1[[#This Row],[distance from 45-degree line]]/MAX(Table1[[Flux in SC / glucose uptake ($mmol/mmol\ glc$)]:[Flux in RT / glucose uptake ($mmol/mmol\ glc$)]])</f>
        <v>0</v>
      </c>
      <c r="G393">
        <f>_xlfn.RANK.AVG(Table1[[#This Row],[Flux in SC / glucose uptake ($mmol/mmol\ glc$)]],Table1[Flux in SC / glucose uptake ($mmol/mmol\ glc$)])</f>
        <v>1310.5</v>
      </c>
      <c r="H393">
        <f>_xlfn.RANK.AVG(Table1[[#This Row],[Flux in RT / glucose uptake ($mmol/mmol\ glc$)]],Table1[Flux in RT / glucose uptake ($mmol/mmol\ glc$)])</f>
        <v>1290.5</v>
      </c>
      <c r="I393" t="e">
        <f>LOG(Table1[[#This Row],[Flux in SC / glucose uptake ($mmol/mmol\ glc$)]])</f>
        <v>#NUM!</v>
      </c>
      <c r="J393" t="e">
        <f>LOG(Table1[[#This Row],[Flux in RT / glucose uptake ($mmol/mmol\ glc$)]])</f>
        <v>#NUM!</v>
      </c>
    </row>
    <row r="394" spans="1:10" x14ac:dyDescent="0.2">
      <c r="A394" t="s">
        <v>397</v>
      </c>
      <c r="B394" t="s">
        <v>3118</v>
      </c>
      <c r="C394">
        <v>0</v>
      </c>
      <c r="D394">
        <v>0</v>
      </c>
      <c r="E394">
        <f>ABS(Table1[[#This Row],[Flux in SC / glucose uptake ($mmol/mmol\ glc$)]]-Table1[[#This Row],[Flux in RT / glucose uptake ($mmol/mmol\ glc$)]])/SQRT(2)</f>
        <v>0</v>
      </c>
      <c r="F394">
        <f>Table1[[#This Row],[distance from 45-degree line]]/MAX(Table1[[Flux in SC / glucose uptake ($mmol/mmol\ glc$)]:[Flux in RT / glucose uptake ($mmol/mmol\ glc$)]])</f>
        <v>0</v>
      </c>
      <c r="G394">
        <f>_xlfn.RANK.AVG(Table1[[#This Row],[Flux in SC / glucose uptake ($mmol/mmol\ glc$)]],Table1[Flux in SC / glucose uptake ($mmol/mmol\ glc$)])</f>
        <v>1310.5</v>
      </c>
      <c r="H394">
        <f>_xlfn.RANK.AVG(Table1[[#This Row],[Flux in RT / glucose uptake ($mmol/mmol\ glc$)]],Table1[Flux in RT / glucose uptake ($mmol/mmol\ glc$)])</f>
        <v>1290.5</v>
      </c>
      <c r="I394" t="e">
        <f>LOG(Table1[[#This Row],[Flux in SC / glucose uptake ($mmol/mmol\ glc$)]])</f>
        <v>#NUM!</v>
      </c>
      <c r="J394" t="e">
        <f>LOG(Table1[[#This Row],[Flux in RT / glucose uptake ($mmol/mmol\ glc$)]])</f>
        <v>#NUM!</v>
      </c>
    </row>
    <row r="395" spans="1:10" x14ac:dyDescent="0.2">
      <c r="A395" t="s">
        <v>398</v>
      </c>
      <c r="B395" t="s">
        <v>3114</v>
      </c>
      <c r="C395">
        <v>0</v>
      </c>
      <c r="D395">
        <v>0</v>
      </c>
      <c r="E395">
        <f>ABS(Table1[[#This Row],[Flux in SC / glucose uptake ($mmol/mmol\ glc$)]]-Table1[[#This Row],[Flux in RT / glucose uptake ($mmol/mmol\ glc$)]])/SQRT(2)</f>
        <v>0</v>
      </c>
      <c r="F395">
        <f>Table1[[#This Row],[distance from 45-degree line]]/MAX(Table1[[Flux in SC / glucose uptake ($mmol/mmol\ glc$)]:[Flux in RT / glucose uptake ($mmol/mmol\ glc$)]])</f>
        <v>0</v>
      </c>
      <c r="G395">
        <f>_xlfn.RANK.AVG(Table1[[#This Row],[Flux in SC / glucose uptake ($mmol/mmol\ glc$)]],Table1[Flux in SC / glucose uptake ($mmol/mmol\ glc$)])</f>
        <v>1310.5</v>
      </c>
      <c r="H395">
        <f>_xlfn.RANK.AVG(Table1[[#This Row],[Flux in RT / glucose uptake ($mmol/mmol\ glc$)]],Table1[Flux in RT / glucose uptake ($mmol/mmol\ glc$)])</f>
        <v>1290.5</v>
      </c>
      <c r="I395" t="e">
        <f>LOG(Table1[[#This Row],[Flux in SC / glucose uptake ($mmol/mmol\ glc$)]])</f>
        <v>#NUM!</v>
      </c>
      <c r="J395" t="e">
        <f>LOG(Table1[[#This Row],[Flux in RT / glucose uptake ($mmol/mmol\ glc$)]])</f>
        <v>#NUM!</v>
      </c>
    </row>
    <row r="396" spans="1:10" x14ac:dyDescent="0.2">
      <c r="A396" t="s">
        <v>399</v>
      </c>
      <c r="B396" t="s">
        <v>3114</v>
      </c>
      <c r="C396">
        <v>0</v>
      </c>
      <c r="D396">
        <v>0</v>
      </c>
      <c r="E396">
        <f>ABS(Table1[[#This Row],[Flux in SC / glucose uptake ($mmol/mmol\ glc$)]]-Table1[[#This Row],[Flux in RT / glucose uptake ($mmol/mmol\ glc$)]])/SQRT(2)</f>
        <v>0</v>
      </c>
      <c r="F396">
        <f>Table1[[#This Row],[distance from 45-degree line]]/MAX(Table1[[Flux in SC / glucose uptake ($mmol/mmol\ glc$)]:[Flux in RT / glucose uptake ($mmol/mmol\ glc$)]])</f>
        <v>0</v>
      </c>
      <c r="G396">
        <f>_xlfn.RANK.AVG(Table1[[#This Row],[Flux in SC / glucose uptake ($mmol/mmol\ glc$)]],Table1[Flux in SC / glucose uptake ($mmol/mmol\ glc$)])</f>
        <v>1310.5</v>
      </c>
      <c r="H396">
        <f>_xlfn.RANK.AVG(Table1[[#This Row],[Flux in RT / glucose uptake ($mmol/mmol\ glc$)]],Table1[Flux in RT / glucose uptake ($mmol/mmol\ glc$)])</f>
        <v>1290.5</v>
      </c>
      <c r="I396" t="e">
        <f>LOG(Table1[[#This Row],[Flux in SC / glucose uptake ($mmol/mmol\ glc$)]])</f>
        <v>#NUM!</v>
      </c>
      <c r="J396" t="e">
        <f>LOG(Table1[[#This Row],[Flux in RT / glucose uptake ($mmol/mmol\ glc$)]])</f>
        <v>#NUM!</v>
      </c>
    </row>
    <row r="397" spans="1:10" x14ac:dyDescent="0.2">
      <c r="A397" t="s">
        <v>400</v>
      </c>
      <c r="B397" t="s">
        <v>3118</v>
      </c>
      <c r="C397">
        <v>0</v>
      </c>
      <c r="D397">
        <v>0</v>
      </c>
      <c r="E397">
        <f>ABS(Table1[[#This Row],[Flux in SC / glucose uptake ($mmol/mmol\ glc$)]]-Table1[[#This Row],[Flux in RT / glucose uptake ($mmol/mmol\ glc$)]])/SQRT(2)</f>
        <v>0</v>
      </c>
      <c r="F397">
        <f>Table1[[#This Row],[distance from 45-degree line]]/MAX(Table1[[Flux in SC / glucose uptake ($mmol/mmol\ glc$)]:[Flux in RT / glucose uptake ($mmol/mmol\ glc$)]])</f>
        <v>0</v>
      </c>
      <c r="G397">
        <f>_xlfn.RANK.AVG(Table1[[#This Row],[Flux in SC / glucose uptake ($mmol/mmol\ glc$)]],Table1[Flux in SC / glucose uptake ($mmol/mmol\ glc$)])</f>
        <v>1310.5</v>
      </c>
      <c r="H397">
        <f>_xlfn.RANK.AVG(Table1[[#This Row],[Flux in RT / glucose uptake ($mmol/mmol\ glc$)]],Table1[Flux in RT / glucose uptake ($mmol/mmol\ glc$)])</f>
        <v>1290.5</v>
      </c>
      <c r="I397" t="e">
        <f>LOG(Table1[[#This Row],[Flux in SC / glucose uptake ($mmol/mmol\ glc$)]])</f>
        <v>#NUM!</v>
      </c>
      <c r="J397" t="e">
        <f>LOG(Table1[[#This Row],[Flux in RT / glucose uptake ($mmol/mmol\ glc$)]])</f>
        <v>#NUM!</v>
      </c>
    </row>
    <row r="398" spans="1:10" x14ac:dyDescent="0.2">
      <c r="A398" t="s">
        <v>401</v>
      </c>
      <c r="B398" t="s">
        <v>3118</v>
      </c>
      <c r="C398">
        <v>0</v>
      </c>
      <c r="D398">
        <v>0</v>
      </c>
      <c r="E398">
        <f>ABS(Table1[[#This Row],[Flux in SC / glucose uptake ($mmol/mmol\ glc$)]]-Table1[[#This Row],[Flux in RT / glucose uptake ($mmol/mmol\ glc$)]])/SQRT(2)</f>
        <v>0</v>
      </c>
      <c r="F398">
        <f>Table1[[#This Row],[distance from 45-degree line]]/MAX(Table1[[Flux in SC / glucose uptake ($mmol/mmol\ glc$)]:[Flux in RT / glucose uptake ($mmol/mmol\ glc$)]])</f>
        <v>0</v>
      </c>
      <c r="G398">
        <f>_xlfn.RANK.AVG(Table1[[#This Row],[Flux in SC / glucose uptake ($mmol/mmol\ glc$)]],Table1[Flux in SC / glucose uptake ($mmol/mmol\ glc$)])</f>
        <v>1310.5</v>
      </c>
      <c r="H398">
        <f>_xlfn.RANK.AVG(Table1[[#This Row],[Flux in RT / glucose uptake ($mmol/mmol\ glc$)]],Table1[Flux in RT / glucose uptake ($mmol/mmol\ glc$)])</f>
        <v>1290.5</v>
      </c>
      <c r="I398" t="e">
        <f>LOG(Table1[[#This Row],[Flux in SC / glucose uptake ($mmol/mmol\ glc$)]])</f>
        <v>#NUM!</v>
      </c>
      <c r="J398" t="e">
        <f>LOG(Table1[[#This Row],[Flux in RT / glucose uptake ($mmol/mmol\ glc$)]])</f>
        <v>#NUM!</v>
      </c>
    </row>
    <row r="399" spans="1:10" x14ac:dyDescent="0.2">
      <c r="A399" t="s">
        <v>402</v>
      </c>
      <c r="B399" t="s">
        <v>3134</v>
      </c>
      <c r="C399">
        <v>-3.1235427792745608E-6</v>
      </c>
      <c r="D399">
        <v>-1.4363345673642822E-8</v>
      </c>
      <c r="E399">
        <f>ABS(Table1[[#This Row],[Flux in SC / glucose uptake ($mmol/mmol\ glc$)]]-Table1[[#This Row],[Flux in RT / glucose uptake ($mmol/mmol\ glc$)]])/SQRT(2)</f>
        <v>2.1985218614249579E-6</v>
      </c>
      <c r="F399">
        <f>Table1[[#This Row],[distance from 45-degree line]]/MAX(Table1[[Flux in SC / glucose uptake ($mmol/mmol\ glc$)]:[Flux in RT / glucose uptake ($mmol/mmol\ glc$)]])</f>
        <v>1.1849781967239261E-7</v>
      </c>
      <c r="G399">
        <f>_xlfn.RANK.AVG(Table1[[#This Row],[Flux in SC / glucose uptake ($mmol/mmol\ glc$)]],Table1[Flux in SC / glucose uptake ($mmol/mmol\ glc$)])</f>
        <v>2300</v>
      </c>
      <c r="H399">
        <f>_xlfn.RANK.AVG(Table1[[#This Row],[Flux in RT / glucose uptake ($mmol/mmol\ glc$)]],Table1[Flux in RT / glucose uptake ($mmol/mmol\ glc$)])</f>
        <v>2295.5</v>
      </c>
      <c r="I399" t="e">
        <f>LOG(Table1[[#This Row],[Flux in SC / glucose uptake ($mmol/mmol\ glc$)]])</f>
        <v>#NUM!</v>
      </c>
      <c r="J399" t="e">
        <f>LOG(Table1[[#This Row],[Flux in RT / glucose uptake ($mmol/mmol\ glc$)]])</f>
        <v>#NUM!</v>
      </c>
    </row>
    <row r="400" spans="1:10" x14ac:dyDescent="0.2">
      <c r="A400" t="s">
        <v>403</v>
      </c>
      <c r="B400" t="s">
        <v>3134</v>
      </c>
      <c r="C400">
        <v>2.5658878814920818E-3</v>
      </c>
      <c r="D400">
        <v>1.1627227434580457E-2</v>
      </c>
      <c r="E400">
        <f>ABS(Table1[[#This Row],[Flux in SC / glucose uptake ($mmol/mmol\ glc$)]]-Table1[[#This Row],[Flux in RT / glucose uptake ($mmol/mmol\ glc$)]])/SQRT(2)</f>
        <v>6.4073346446226701E-3</v>
      </c>
      <c r="F400">
        <f>Table1[[#This Row],[distance from 45-degree line]]/MAX(Table1[[Flux in SC / glucose uptake ($mmol/mmol\ glc$)]:[Flux in RT / glucose uptake ($mmol/mmol\ glc$)]])</f>
        <v>3.4534802615383798E-4</v>
      </c>
      <c r="G400">
        <f>_xlfn.RANK.AVG(Table1[[#This Row],[Flux in SC / glucose uptake ($mmol/mmol\ glc$)]],Table1[Flux in SC / glucose uptake ($mmol/mmol\ glc$)])</f>
        <v>184</v>
      </c>
      <c r="H400">
        <f>_xlfn.RANK.AVG(Table1[[#This Row],[Flux in RT / glucose uptake ($mmol/mmol\ glc$)]],Table1[Flux in RT / glucose uptake ($mmol/mmol\ glc$)])</f>
        <v>189</v>
      </c>
      <c r="I400">
        <f>LOG(Table1[[#This Row],[Flux in SC / glucose uptake ($mmol/mmol\ glc$)]])</f>
        <v>-2.5907623243886508</v>
      </c>
      <c r="J400">
        <f>LOG(Table1[[#This Row],[Flux in RT / glucose uptake ($mmol/mmol\ glc$)]])</f>
        <v>-1.9345238324266469</v>
      </c>
    </row>
    <row r="401" spans="1:10" x14ac:dyDescent="0.2">
      <c r="A401" t="s">
        <v>404</v>
      </c>
      <c r="B401" t="s">
        <v>3134</v>
      </c>
      <c r="C401">
        <v>2.5658878814920818E-3</v>
      </c>
      <c r="D401">
        <v>1.1627227434580457E-2</v>
      </c>
      <c r="E401">
        <f>ABS(Table1[[#This Row],[Flux in SC / glucose uptake ($mmol/mmol\ glc$)]]-Table1[[#This Row],[Flux in RT / glucose uptake ($mmol/mmol\ glc$)]])/SQRT(2)</f>
        <v>6.4073346446226701E-3</v>
      </c>
      <c r="F401">
        <f>Table1[[#This Row],[distance from 45-degree line]]/MAX(Table1[[Flux in SC / glucose uptake ($mmol/mmol\ glc$)]:[Flux in RT / glucose uptake ($mmol/mmol\ glc$)]])</f>
        <v>3.4534802615383798E-4</v>
      </c>
      <c r="G401">
        <f>_xlfn.RANK.AVG(Table1[[#This Row],[Flux in SC / glucose uptake ($mmol/mmol\ glc$)]],Table1[Flux in SC / glucose uptake ($mmol/mmol\ glc$)])</f>
        <v>184</v>
      </c>
      <c r="H401">
        <f>_xlfn.RANK.AVG(Table1[[#This Row],[Flux in RT / glucose uptake ($mmol/mmol\ glc$)]],Table1[Flux in RT / glucose uptake ($mmol/mmol\ glc$)])</f>
        <v>189</v>
      </c>
      <c r="I401">
        <f>LOG(Table1[[#This Row],[Flux in SC / glucose uptake ($mmol/mmol\ glc$)]])</f>
        <v>-2.5907623243886508</v>
      </c>
      <c r="J401">
        <f>LOG(Table1[[#This Row],[Flux in RT / glucose uptake ($mmol/mmol\ glc$)]])</f>
        <v>-1.9345238324266469</v>
      </c>
    </row>
    <row r="402" spans="1:10" x14ac:dyDescent="0.2">
      <c r="A402" t="s">
        <v>405</v>
      </c>
      <c r="B402" t="s">
        <v>3114</v>
      </c>
      <c r="C402">
        <v>0</v>
      </c>
      <c r="D402">
        <v>0</v>
      </c>
      <c r="E402">
        <f>ABS(Table1[[#This Row],[Flux in SC / glucose uptake ($mmol/mmol\ glc$)]]-Table1[[#This Row],[Flux in RT / glucose uptake ($mmol/mmol\ glc$)]])/SQRT(2)</f>
        <v>0</v>
      </c>
      <c r="F402">
        <f>Table1[[#This Row],[distance from 45-degree line]]/MAX(Table1[[Flux in SC / glucose uptake ($mmol/mmol\ glc$)]:[Flux in RT / glucose uptake ($mmol/mmol\ glc$)]])</f>
        <v>0</v>
      </c>
      <c r="G402">
        <f>_xlfn.RANK.AVG(Table1[[#This Row],[Flux in SC / glucose uptake ($mmol/mmol\ glc$)]],Table1[Flux in SC / glucose uptake ($mmol/mmol\ glc$)])</f>
        <v>1310.5</v>
      </c>
      <c r="H402">
        <f>_xlfn.RANK.AVG(Table1[[#This Row],[Flux in RT / glucose uptake ($mmol/mmol\ glc$)]],Table1[Flux in RT / glucose uptake ($mmol/mmol\ glc$)])</f>
        <v>1290.5</v>
      </c>
      <c r="I402" t="e">
        <f>LOG(Table1[[#This Row],[Flux in SC / glucose uptake ($mmol/mmol\ glc$)]])</f>
        <v>#NUM!</v>
      </c>
      <c r="J402" t="e">
        <f>LOG(Table1[[#This Row],[Flux in RT / glucose uptake ($mmol/mmol\ glc$)]])</f>
        <v>#NUM!</v>
      </c>
    </row>
    <row r="403" spans="1:10" x14ac:dyDescent="0.2">
      <c r="A403" t="s">
        <v>406</v>
      </c>
      <c r="B403" t="s">
        <v>3114</v>
      </c>
      <c r="C403">
        <v>0</v>
      </c>
      <c r="D403">
        <v>0</v>
      </c>
      <c r="E403">
        <f>ABS(Table1[[#This Row],[Flux in SC / glucose uptake ($mmol/mmol\ glc$)]]-Table1[[#This Row],[Flux in RT / glucose uptake ($mmol/mmol\ glc$)]])/SQRT(2)</f>
        <v>0</v>
      </c>
      <c r="F403">
        <f>Table1[[#This Row],[distance from 45-degree line]]/MAX(Table1[[Flux in SC / glucose uptake ($mmol/mmol\ glc$)]:[Flux in RT / glucose uptake ($mmol/mmol\ glc$)]])</f>
        <v>0</v>
      </c>
      <c r="G403">
        <f>_xlfn.RANK.AVG(Table1[[#This Row],[Flux in SC / glucose uptake ($mmol/mmol\ glc$)]],Table1[Flux in SC / glucose uptake ($mmol/mmol\ glc$)])</f>
        <v>1310.5</v>
      </c>
      <c r="H403">
        <f>_xlfn.RANK.AVG(Table1[[#This Row],[Flux in RT / glucose uptake ($mmol/mmol\ glc$)]],Table1[Flux in RT / glucose uptake ($mmol/mmol\ glc$)])</f>
        <v>1290.5</v>
      </c>
      <c r="I403" t="e">
        <f>LOG(Table1[[#This Row],[Flux in SC / glucose uptake ($mmol/mmol\ glc$)]])</f>
        <v>#NUM!</v>
      </c>
      <c r="J403" t="e">
        <f>LOG(Table1[[#This Row],[Flux in RT / glucose uptake ($mmol/mmol\ glc$)]])</f>
        <v>#NUM!</v>
      </c>
    </row>
    <row r="404" spans="1:10" x14ac:dyDescent="0.2">
      <c r="A404" t="s">
        <v>407</v>
      </c>
      <c r="B404" t="s">
        <v>3114</v>
      </c>
      <c r="C404">
        <v>0</v>
      </c>
      <c r="D404">
        <v>0</v>
      </c>
      <c r="E404">
        <f>ABS(Table1[[#This Row],[Flux in SC / glucose uptake ($mmol/mmol\ glc$)]]-Table1[[#This Row],[Flux in RT / glucose uptake ($mmol/mmol\ glc$)]])/SQRT(2)</f>
        <v>0</v>
      </c>
      <c r="F404">
        <f>Table1[[#This Row],[distance from 45-degree line]]/MAX(Table1[[Flux in SC / glucose uptake ($mmol/mmol\ glc$)]:[Flux in RT / glucose uptake ($mmol/mmol\ glc$)]])</f>
        <v>0</v>
      </c>
      <c r="G404">
        <f>_xlfn.RANK.AVG(Table1[[#This Row],[Flux in SC / glucose uptake ($mmol/mmol\ glc$)]],Table1[Flux in SC / glucose uptake ($mmol/mmol\ glc$)])</f>
        <v>1310.5</v>
      </c>
      <c r="H404">
        <f>_xlfn.RANK.AVG(Table1[[#This Row],[Flux in RT / glucose uptake ($mmol/mmol\ glc$)]],Table1[Flux in RT / glucose uptake ($mmol/mmol\ glc$)])</f>
        <v>1290.5</v>
      </c>
      <c r="I404" t="e">
        <f>LOG(Table1[[#This Row],[Flux in SC / glucose uptake ($mmol/mmol\ glc$)]])</f>
        <v>#NUM!</v>
      </c>
      <c r="J404" t="e">
        <f>LOG(Table1[[#This Row],[Flux in RT / glucose uptake ($mmol/mmol\ glc$)]])</f>
        <v>#NUM!</v>
      </c>
    </row>
    <row r="405" spans="1:10" x14ac:dyDescent="0.2">
      <c r="A405" t="s">
        <v>408</v>
      </c>
      <c r="B405" t="s">
        <v>3154</v>
      </c>
      <c r="C405">
        <v>0</v>
      </c>
      <c r="D405">
        <v>0</v>
      </c>
      <c r="E405">
        <f>ABS(Table1[[#This Row],[Flux in SC / glucose uptake ($mmol/mmol\ glc$)]]-Table1[[#This Row],[Flux in RT / glucose uptake ($mmol/mmol\ glc$)]])/SQRT(2)</f>
        <v>0</v>
      </c>
      <c r="F405">
        <f>Table1[[#This Row],[distance from 45-degree line]]/MAX(Table1[[Flux in SC / glucose uptake ($mmol/mmol\ glc$)]:[Flux in RT / glucose uptake ($mmol/mmol\ glc$)]])</f>
        <v>0</v>
      </c>
      <c r="G405">
        <f>_xlfn.RANK.AVG(Table1[[#This Row],[Flux in SC / glucose uptake ($mmol/mmol\ glc$)]],Table1[Flux in SC / glucose uptake ($mmol/mmol\ glc$)])</f>
        <v>1310.5</v>
      </c>
      <c r="H405">
        <f>_xlfn.RANK.AVG(Table1[[#This Row],[Flux in RT / glucose uptake ($mmol/mmol\ glc$)]],Table1[Flux in RT / glucose uptake ($mmol/mmol\ glc$)])</f>
        <v>1290.5</v>
      </c>
      <c r="I405" t="e">
        <f>LOG(Table1[[#This Row],[Flux in SC / glucose uptake ($mmol/mmol\ glc$)]])</f>
        <v>#NUM!</v>
      </c>
      <c r="J405" t="e">
        <f>LOG(Table1[[#This Row],[Flux in RT / glucose uptake ($mmol/mmol\ glc$)]])</f>
        <v>#NUM!</v>
      </c>
    </row>
    <row r="406" spans="1:10" x14ac:dyDescent="0.2">
      <c r="A406" t="s">
        <v>409</v>
      </c>
      <c r="B406" t="s">
        <v>3159</v>
      </c>
      <c r="C406">
        <v>0</v>
      </c>
      <c r="D406">
        <v>0</v>
      </c>
      <c r="E406">
        <f>ABS(Table1[[#This Row],[Flux in SC / glucose uptake ($mmol/mmol\ glc$)]]-Table1[[#This Row],[Flux in RT / glucose uptake ($mmol/mmol\ glc$)]])/SQRT(2)</f>
        <v>0</v>
      </c>
      <c r="F406">
        <f>Table1[[#This Row],[distance from 45-degree line]]/MAX(Table1[[Flux in SC / glucose uptake ($mmol/mmol\ glc$)]:[Flux in RT / glucose uptake ($mmol/mmol\ glc$)]])</f>
        <v>0</v>
      </c>
      <c r="G406">
        <f>_xlfn.RANK.AVG(Table1[[#This Row],[Flux in SC / glucose uptake ($mmol/mmol\ glc$)]],Table1[Flux in SC / glucose uptake ($mmol/mmol\ glc$)])</f>
        <v>1310.5</v>
      </c>
      <c r="H406">
        <f>_xlfn.RANK.AVG(Table1[[#This Row],[Flux in RT / glucose uptake ($mmol/mmol\ glc$)]],Table1[Flux in RT / glucose uptake ($mmol/mmol\ glc$)])</f>
        <v>1290.5</v>
      </c>
      <c r="I406" t="e">
        <f>LOG(Table1[[#This Row],[Flux in SC / glucose uptake ($mmol/mmol\ glc$)]])</f>
        <v>#NUM!</v>
      </c>
      <c r="J406" t="e">
        <f>LOG(Table1[[#This Row],[Flux in RT / glucose uptake ($mmol/mmol\ glc$)]])</f>
        <v>#NUM!</v>
      </c>
    </row>
    <row r="407" spans="1:10" x14ac:dyDescent="0.2">
      <c r="A407" t="s">
        <v>410</v>
      </c>
      <c r="B407" t="s">
        <v>3120</v>
      </c>
      <c r="C407">
        <v>0</v>
      </c>
      <c r="D407">
        <v>0</v>
      </c>
      <c r="E407">
        <f>ABS(Table1[[#This Row],[Flux in SC / glucose uptake ($mmol/mmol\ glc$)]]-Table1[[#This Row],[Flux in RT / glucose uptake ($mmol/mmol\ glc$)]])/SQRT(2)</f>
        <v>0</v>
      </c>
      <c r="F407">
        <f>Table1[[#This Row],[distance from 45-degree line]]/MAX(Table1[[Flux in SC / glucose uptake ($mmol/mmol\ glc$)]:[Flux in RT / glucose uptake ($mmol/mmol\ glc$)]])</f>
        <v>0</v>
      </c>
      <c r="G407">
        <f>_xlfn.RANK.AVG(Table1[[#This Row],[Flux in SC / glucose uptake ($mmol/mmol\ glc$)]],Table1[Flux in SC / glucose uptake ($mmol/mmol\ glc$)])</f>
        <v>1310.5</v>
      </c>
      <c r="H407">
        <f>_xlfn.RANK.AVG(Table1[[#This Row],[Flux in RT / glucose uptake ($mmol/mmol\ glc$)]],Table1[Flux in RT / glucose uptake ($mmol/mmol\ glc$)])</f>
        <v>1290.5</v>
      </c>
      <c r="I407" t="e">
        <f>LOG(Table1[[#This Row],[Flux in SC / glucose uptake ($mmol/mmol\ glc$)]])</f>
        <v>#NUM!</v>
      </c>
      <c r="J407" t="e">
        <f>LOG(Table1[[#This Row],[Flux in RT / glucose uptake ($mmol/mmol\ glc$)]])</f>
        <v>#NUM!</v>
      </c>
    </row>
    <row r="408" spans="1:10" x14ac:dyDescent="0.2">
      <c r="A408" t="s">
        <v>411</v>
      </c>
      <c r="B408" t="s">
        <v>3160</v>
      </c>
      <c r="C408">
        <v>0</v>
      </c>
      <c r="D408">
        <v>0</v>
      </c>
      <c r="E408">
        <f>ABS(Table1[[#This Row],[Flux in SC / glucose uptake ($mmol/mmol\ glc$)]]-Table1[[#This Row],[Flux in RT / glucose uptake ($mmol/mmol\ glc$)]])/SQRT(2)</f>
        <v>0</v>
      </c>
      <c r="F408">
        <f>Table1[[#This Row],[distance from 45-degree line]]/MAX(Table1[[Flux in SC / glucose uptake ($mmol/mmol\ glc$)]:[Flux in RT / glucose uptake ($mmol/mmol\ glc$)]])</f>
        <v>0</v>
      </c>
      <c r="G408">
        <f>_xlfn.RANK.AVG(Table1[[#This Row],[Flux in SC / glucose uptake ($mmol/mmol\ glc$)]],Table1[Flux in SC / glucose uptake ($mmol/mmol\ glc$)])</f>
        <v>1310.5</v>
      </c>
      <c r="H408">
        <f>_xlfn.RANK.AVG(Table1[[#This Row],[Flux in RT / glucose uptake ($mmol/mmol\ glc$)]],Table1[Flux in RT / glucose uptake ($mmol/mmol\ glc$)])</f>
        <v>1290.5</v>
      </c>
      <c r="I408" t="e">
        <f>LOG(Table1[[#This Row],[Flux in SC / glucose uptake ($mmol/mmol\ glc$)]])</f>
        <v>#NUM!</v>
      </c>
      <c r="J408" t="e">
        <f>LOG(Table1[[#This Row],[Flux in RT / glucose uptake ($mmol/mmol\ glc$)]])</f>
        <v>#NUM!</v>
      </c>
    </row>
    <row r="409" spans="1:10" x14ac:dyDescent="0.2">
      <c r="A409" t="s">
        <v>412</v>
      </c>
      <c r="B409" t="s">
        <v>3131</v>
      </c>
      <c r="C409">
        <v>8.3858892406159496E-3</v>
      </c>
      <c r="D409">
        <v>3.7954212124679677E-2</v>
      </c>
      <c r="E409">
        <f>ABS(Table1[[#This Row],[Flux in SC / glucose uptake ($mmol/mmol\ glc$)]]-Table1[[#This Row],[Flux in RT / glucose uptake ($mmol/mmol\ glc$)]])/SQRT(2)</f>
        <v>2.0907961619634832E-2</v>
      </c>
      <c r="F409">
        <f>Table1[[#This Row],[distance from 45-degree line]]/MAX(Table1[[Flux in SC / glucose uptake ($mmol/mmol\ glc$)]:[Flux in RT / glucose uptake ($mmol/mmol\ glc$)]])</f>
        <v>1.1269152739354555E-3</v>
      </c>
      <c r="G409">
        <f>_xlfn.RANK.AVG(Table1[[#This Row],[Flux in SC / glucose uptake ($mmol/mmol\ glc$)]],Table1[Flux in SC / glucose uptake ($mmol/mmol\ glc$)])</f>
        <v>88.5</v>
      </c>
      <c r="H409">
        <f>_xlfn.RANK.AVG(Table1[[#This Row],[Flux in RT / glucose uptake ($mmol/mmol\ glc$)]],Table1[Flux in RT / glucose uptake ($mmol/mmol\ glc$)])</f>
        <v>111</v>
      </c>
      <c r="I409">
        <f>LOG(Table1[[#This Row],[Flux in SC / glucose uptake ($mmol/mmol\ glc$)]])</f>
        <v>-2.0764508779814577</v>
      </c>
      <c r="J409">
        <f>LOG(Table1[[#This Row],[Flux in RT / glucose uptake ($mmol/mmol\ glc$)]])</f>
        <v>-1.4207400194787898</v>
      </c>
    </row>
    <row r="410" spans="1:10" x14ac:dyDescent="0.2">
      <c r="A410" t="s">
        <v>413</v>
      </c>
      <c r="B410" t="s">
        <v>3161</v>
      </c>
      <c r="C410">
        <v>0</v>
      </c>
      <c r="D410">
        <v>0</v>
      </c>
      <c r="E410">
        <f>ABS(Table1[[#This Row],[Flux in SC / glucose uptake ($mmol/mmol\ glc$)]]-Table1[[#This Row],[Flux in RT / glucose uptake ($mmol/mmol\ glc$)]])/SQRT(2)</f>
        <v>0</v>
      </c>
      <c r="F410">
        <f>Table1[[#This Row],[distance from 45-degree line]]/MAX(Table1[[Flux in SC / glucose uptake ($mmol/mmol\ glc$)]:[Flux in RT / glucose uptake ($mmol/mmol\ glc$)]])</f>
        <v>0</v>
      </c>
      <c r="G410">
        <f>_xlfn.RANK.AVG(Table1[[#This Row],[Flux in SC / glucose uptake ($mmol/mmol\ glc$)]],Table1[Flux in SC / glucose uptake ($mmol/mmol\ glc$)])</f>
        <v>1310.5</v>
      </c>
      <c r="H410">
        <f>_xlfn.RANK.AVG(Table1[[#This Row],[Flux in RT / glucose uptake ($mmol/mmol\ glc$)]],Table1[Flux in RT / glucose uptake ($mmol/mmol\ glc$)])</f>
        <v>1290.5</v>
      </c>
      <c r="I410" t="e">
        <f>LOG(Table1[[#This Row],[Flux in SC / glucose uptake ($mmol/mmol\ glc$)]])</f>
        <v>#NUM!</v>
      </c>
      <c r="J410" t="e">
        <f>LOG(Table1[[#This Row],[Flux in RT / glucose uptake ($mmol/mmol\ glc$)]])</f>
        <v>#NUM!</v>
      </c>
    </row>
    <row r="411" spans="1:10" x14ac:dyDescent="0.2">
      <c r="A411" t="s">
        <v>414</v>
      </c>
      <c r="B411" t="s">
        <v>3119</v>
      </c>
      <c r="C411">
        <v>0</v>
      </c>
      <c r="D411">
        <v>0</v>
      </c>
      <c r="E411">
        <f>ABS(Table1[[#This Row],[Flux in SC / glucose uptake ($mmol/mmol\ glc$)]]-Table1[[#This Row],[Flux in RT / glucose uptake ($mmol/mmol\ glc$)]])/SQRT(2)</f>
        <v>0</v>
      </c>
      <c r="F411">
        <f>Table1[[#This Row],[distance from 45-degree line]]/MAX(Table1[[Flux in SC / glucose uptake ($mmol/mmol\ glc$)]:[Flux in RT / glucose uptake ($mmol/mmol\ glc$)]])</f>
        <v>0</v>
      </c>
      <c r="G411">
        <f>_xlfn.RANK.AVG(Table1[[#This Row],[Flux in SC / glucose uptake ($mmol/mmol\ glc$)]],Table1[Flux in SC / glucose uptake ($mmol/mmol\ glc$)])</f>
        <v>1310.5</v>
      </c>
      <c r="H411">
        <f>_xlfn.RANK.AVG(Table1[[#This Row],[Flux in RT / glucose uptake ($mmol/mmol\ glc$)]],Table1[Flux in RT / glucose uptake ($mmol/mmol\ glc$)])</f>
        <v>1290.5</v>
      </c>
      <c r="I411" t="e">
        <f>LOG(Table1[[#This Row],[Flux in SC / glucose uptake ($mmol/mmol\ glc$)]])</f>
        <v>#NUM!</v>
      </c>
      <c r="J411" t="e">
        <f>LOG(Table1[[#This Row],[Flux in RT / glucose uptake ($mmol/mmol\ glc$)]])</f>
        <v>#NUM!</v>
      </c>
    </row>
    <row r="412" spans="1:10" x14ac:dyDescent="0.2">
      <c r="A412" t="s">
        <v>415</v>
      </c>
      <c r="B412" t="s">
        <v>3119</v>
      </c>
      <c r="C412">
        <v>3.0881433056765572E-3</v>
      </c>
      <c r="D412">
        <v>1.3976791073393639E-2</v>
      </c>
      <c r="E412">
        <f>ABS(Table1[[#This Row],[Flux in SC / glucose uptake ($mmol/mmol\ glc$)]]-Table1[[#This Row],[Flux in RT / glucose uptake ($mmol/mmol\ glc$)]])/SQRT(2)</f>
        <v>7.6994366745045117E-3</v>
      </c>
      <c r="F412">
        <f>Table1[[#This Row],[distance from 45-degree line]]/MAX(Table1[[Flux in SC / glucose uptake ($mmol/mmol\ glc$)]:[Flux in RT / glucose uptake ($mmol/mmol\ glc$)]])</f>
        <v>4.14990851190853E-4</v>
      </c>
      <c r="G412">
        <f>_xlfn.RANK.AVG(Table1[[#This Row],[Flux in SC / glucose uptake ($mmol/mmol\ glc$)]],Table1[Flux in SC / glucose uptake ($mmol/mmol\ glc$)])</f>
        <v>165</v>
      </c>
      <c r="H412">
        <f>_xlfn.RANK.AVG(Table1[[#This Row],[Flux in RT / glucose uptake ($mmol/mmol\ glc$)]],Table1[Flux in RT / glucose uptake ($mmol/mmol\ glc$)])</f>
        <v>173</v>
      </c>
      <c r="I412">
        <f>LOG(Table1[[#This Row],[Flux in SC / glucose uptake ($mmol/mmol\ glc$)]])</f>
        <v>-2.5103025543788933</v>
      </c>
      <c r="J412">
        <f>LOG(Table1[[#This Row],[Flux in RT / glucose uptake ($mmol/mmol\ glc$)]])</f>
        <v>-1.8545925266651584</v>
      </c>
    </row>
    <row r="413" spans="1:10" x14ac:dyDescent="0.2">
      <c r="A413" t="s">
        <v>416</v>
      </c>
      <c r="B413" t="s">
        <v>3114</v>
      </c>
      <c r="C413">
        <v>0</v>
      </c>
      <c r="D413">
        <v>0</v>
      </c>
      <c r="E413">
        <f>ABS(Table1[[#This Row],[Flux in SC / glucose uptake ($mmol/mmol\ glc$)]]-Table1[[#This Row],[Flux in RT / glucose uptake ($mmol/mmol\ glc$)]])/SQRT(2)</f>
        <v>0</v>
      </c>
      <c r="F413">
        <f>Table1[[#This Row],[distance from 45-degree line]]/MAX(Table1[[Flux in SC / glucose uptake ($mmol/mmol\ glc$)]:[Flux in RT / glucose uptake ($mmol/mmol\ glc$)]])</f>
        <v>0</v>
      </c>
      <c r="G413">
        <f>_xlfn.RANK.AVG(Table1[[#This Row],[Flux in SC / glucose uptake ($mmol/mmol\ glc$)]],Table1[Flux in SC / glucose uptake ($mmol/mmol\ glc$)])</f>
        <v>1310.5</v>
      </c>
      <c r="H413">
        <f>_xlfn.RANK.AVG(Table1[[#This Row],[Flux in RT / glucose uptake ($mmol/mmol\ glc$)]],Table1[Flux in RT / glucose uptake ($mmol/mmol\ glc$)])</f>
        <v>1290.5</v>
      </c>
      <c r="I413" t="e">
        <f>LOG(Table1[[#This Row],[Flux in SC / glucose uptake ($mmol/mmol\ glc$)]])</f>
        <v>#NUM!</v>
      </c>
      <c r="J413" t="e">
        <f>LOG(Table1[[#This Row],[Flux in RT / glucose uptake ($mmol/mmol\ glc$)]])</f>
        <v>#NUM!</v>
      </c>
    </row>
    <row r="414" spans="1:10" x14ac:dyDescent="0.2">
      <c r="A414" t="s">
        <v>417</v>
      </c>
      <c r="B414" t="s">
        <v>3114</v>
      </c>
      <c r="C414">
        <v>0</v>
      </c>
      <c r="D414">
        <v>0</v>
      </c>
      <c r="E414">
        <f>ABS(Table1[[#This Row],[Flux in SC / glucose uptake ($mmol/mmol\ glc$)]]-Table1[[#This Row],[Flux in RT / glucose uptake ($mmol/mmol\ glc$)]])/SQRT(2)</f>
        <v>0</v>
      </c>
      <c r="F414">
        <f>Table1[[#This Row],[distance from 45-degree line]]/MAX(Table1[[Flux in SC / glucose uptake ($mmol/mmol\ glc$)]:[Flux in RT / glucose uptake ($mmol/mmol\ glc$)]])</f>
        <v>0</v>
      </c>
      <c r="G414">
        <f>_xlfn.RANK.AVG(Table1[[#This Row],[Flux in SC / glucose uptake ($mmol/mmol\ glc$)]],Table1[Flux in SC / glucose uptake ($mmol/mmol\ glc$)])</f>
        <v>1310.5</v>
      </c>
      <c r="H414">
        <f>_xlfn.RANK.AVG(Table1[[#This Row],[Flux in RT / glucose uptake ($mmol/mmol\ glc$)]],Table1[Flux in RT / glucose uptake ($mmol/mmol\ glc$)])</f>
        <v>1290.5</v>
      </c>
      <c r="I414" t="e">
        <f>LOG(Table1[[#This Row],[Flux in SC / glucose uptake ($mmol/mmol\ glc$)]])</f>
        <v>#NUM!</v>
      </c>
      <c r="J414" t="e">
        <f>LOG(Table1[[#This Row],[Flux in RT / glucose uptake ($mmol/mmol\ glc$)]])</f>
        <v>#NUM!</v>
      </c>
    </row>
    <row r="415" spans="1:10" x14ac:dyDescent="0.2">
      <c r="A415" t="s">
        <v>418</v>
      </c>
      <c r="B415" t="s">
        <v>3114</v>
      </c>
      <c r="C415">
        <v>0</v>
      </c>
      <c r="D415">
        <v>0</v>
      </c>
      <c r="E415">
        <f>ABS(Table1[[#This Row],[Flux in SC / glucose uptake ($mmol/mmol\ glc$)]]-Table1[[#This Row],[Flux in RT / glucose uptake ($mmol/mmol\ glc$)]])/SQRT(2)</f>
        <v>0</v>
      </c>
      <c r="F415">
        <f>Table1[[#This Row],[distance from 45-degree line]]/MAX(Table1[[Flux in SC / glucose uptake ($mmol/mmol\ glc$)]:[Flux in RT / glucose uptake ($mmol/mmol\ glc$)]])</f>
        <v>0</v>
      </c>
      <c r="G415">
        <f>_xlfn.RANK.AVG(Table1[[#This Row],[Flux in SC / glucose uptake ($mmol/mmol\ glc$)]],Table1[Flux in SC / glucose uptake ($mmol/mmol\ glc$)])</f>
        <v>1310.5</v>
      </c>
      <c r="H415">
        <f>_xlfn.RANK.AVG(Table1[[#This Row],[Flux in RT / glucose uptake ($mmol/mmol\ glc$)]],Table1[Flux in RT / glucose uptake ($mmol/mmol\ glc$)])</f>
        <v>1290.5</v>
      </c>
      <c r="I415" t="e">
        <f>LOG(Table1[[#This Row],[Flux in SC / glucose uptake ($mmol/mmol\ glc$)]])</f>
        <v>#NUM!</v>
      </c>
      <c r="J415" t="e">
        <f>LOG(Table1[[#This Row],[Flux in RT / glucose uptake ($mmol/mmol\ glc$)]])</f>
        <v>#NUM!</v>
      </c>
    </row>
    <row r="416" spans="1:10" x14ac:dyDescent="0.2">
      <c r="A416" t="s">
        <v>419</v>
      </c>
      <c r="B416" t="s">
        <v>3154</v>
      </c>
      <c r="C416">
        <v>0</v>
      </c>
      <c r="D416">
        <v>0</v>
      </c>
      <c r="E416">
        <f>ABS(Table1[[#This Row],[Flux in SC / glucose uptake ($mmol/mmol\ glc$)]]-Table1[[#This Row],[Flux in RT / glucose uptake ($mmol/mmol\ glc$)]])/SQRT(2)</f>
        <v>0</v>
      </c>
      <c r="F416">
        <f>Table1[[#This Row],[distance from 45-degree line]]/MAX(Table1[[Flux in SC / glucose uptake ($mmol/mmol\ glc$)]:[Flux in RT / glucose uptake ($mmol/mmol\ glc$)]])</f>
        <v>0</v>
      </c>
      <c r="G416">
        <f>_xlfn.RANK.AVG(Table1[[#This Row],[Flux in SC / glucose uptake ($mmol/mmol\ glc$)]],Table1[Flux in SC / glucose uptake ($mmol/mmol\ glc$)])</f>
        <v>1310.5</v>
      </c>
      <c r="H416">
        <f>_xlfn.RANK.AVG(Table1[[#This Row],[Flux in RT / glucose uptake ($mmol/mmol\ glc$)]],Table1[Flux in RT / glucose uptake ($mmol/mmol\ glc$)])</f>
        <v>1290.5</v>
      </c>
      <c r="I416" t="e">
        <f>LOG(Table1[[#This Row],[Flux in SC / glucose uptake ($mmol/mmol\ glc$)]])</f>
        <v>#NUM!</v>
      </c>
      <c r="J416" t="e">
        <f>LOG(Table1[[#This Row],[Flux in RT / glucose uptake ($mmol/mmol\ glc$)]])</f>
        <v>#NUM!</v>
      </c>
    </row>
    <row r="417" spans="1:10" x14ac:dyDescent="0.2">
      <c r="A417" t="s">
        <v>420</v>
      </c>
      <c r="B417" t="s">
        <v>3154</v>
      </c>
      <c r="C417">
        <v>0</v>
      </c>
      <c r="D417">
        <v>0</v>
      </c>
      <c r="E417">
        <f>ABS(Table1[[#This Row],[Flux in SC / glucose uptake ($mmol/mmol\ glc$)]]-Table1[[#This Row],[Flux in RT / glucose uptake ($mmol/mmol\ glc$)]])/SQRT(2)</f>
        <v>0</v>
      </c>
      <c r="F417">
        <f>Table1[[#This Row],[distance from 45-degree line]]/MAX(Table1[[Flux in SC / glucose uptake ($mmol/mmol\ glc$)]:[Flux in RT / glucose uptake ($mmol/mmol\ glc$)]])</f>
        <v>0</v>
      </c>
      <c r="G417">
        <f>_xlfn.RANK.AVG(Table1[[#This Row],[Flux in SC / glucose uptake ($mmol/mmol\ glc$)]],Table1[Flux in SC / glucose uptake ($mmol/mmol\ glc$)])</f>
        <v>1310.5</v>
      </c>
      <c r="H417">
        <f>_xlfn.RANK.AVG(Table1[[#This Row],[Flux in RT / glucose uptake ($mmol/mmol\ glc$)]],Table1[Flux in RT / glucose uptake ($mmol/mmol\ glc$)])</f>
        <v>1290.5</v>
      </c>
      <c r="I417" t="e">
        <f>LOG(Table1[[#This Row],[Flux in SC / glucose uptake ($mmol/mmol\ glc$)]])</f>
        <v>#NUM!</v>
      </c>
      <c r="J417" t="e">
        <f>LOG(Table1[[#This Row],[Flux in RT / glucose uptake ($mmol/mmol\ glc$)]])</f>
        <v>#NUM!</v>
      </c>
    </row>
    <row r="418" spans="1:10" x14ac:dyDescent="0.2">
      <c r="A418" t="s">
        <v>421</v>
      </c>
      <c r="B418" t="s">
        <v>3162</v>
      </c>
      <c r="C418">
        <v>3.190818821613736E-3</v>
      </c>
      <c r="D418">
        <v>1.430009427411298E-2</v>
      </c>
      <c r="E418">
        <f>ABS(Table1[[#This Row],[Flux in SC / glucose uptake ($mmol/mmol\ glc$)]]-Table1[[#This Row],[Flux in RT / glucose uptake ($mmol/mmol\ glc$)]])/SQRT(2)</f>
        <v>7.855444006531466E-3</v>
      </c>
      <c r="F418">
        <f>Table1[[#This Row],[distance from 45-degree line]]/MAX(Table1[[Flux in SC / glucose uptake ($mmol/mmol\ glc$)]:[Flux in RT / glucose uptake ($mmol/mmol\ glc$)]])</f>
        <v>4.2339946837245299E-4</v>
      </c>
      <c r="G418">
        <f>_xlfn.RANK.AVG(Table1[[#This Row],[Flux in SC / glucose uptake ($mmol/mmol\ glc$)]],Table1[Flux in SC / glucose uptake ($mmol/mmol\ glc$)])</f>
        <v>161.5</v>
      </c>
      <c r="H418">
        <f>_xlfn.RANK.AVG(Table1[[#This Row],[Flux in RT / glucose uptake ($mmol/mmol\ glc$)]],Table1[Flux in RT / glucose uptake ($mmol/mmol\ glc$)])</f>
        <v>169</v>
      </c>
      <c r="I418">
        <f>LOG(Table1[[#This Row],[Flux in SC / glucose uptake ($mmol/mmol\ glc$)]])</f>
        <v>-2.4960978548498174</v>
      </c>
      <c r="J418">
        <f>LOG(Table1[[#This Row],[Flux in RT / glucose uptake ($mmol/mmol\ glc$)]])</f>
        <v>-1.8446610994166099</v>
      </c>
    </row>
    <row r="419" spans="1:10" x14ac:dyDescent="0.2">
      <c r="A419" t="s">
        <v>422</v>
      </c>
      <c r="B419" t="s">
        <v>3114</v>
      </c>
      <c r="C419">
        <v>3.6110321147682783E-9</v>
      </c>
      <c r="D419">
        <v>0.38596307606578156</v>
      </c>
      <c r="E419">
        <f>ABS(Table1[[#This Row],[Flux in SC / glucose uptake ($mmol/mmol\ glc$)]]-Table1[[#This Row],[Flux in RT / glucose uptake ($mmol/mmol\ glc$)]])/SQRT(2)</f>
        <v>0.27291710582034806</v>
      </c>
      <c r="F419">
        <f>Table1[[#This Row],[distance from 45-degree line]]/MAX(Table1[[Flux in SC / glucose uptake ($mmol/mmol\ glc$)]:[Flux in RT / glucose uptake ($mmol/mmol\ glc$)]])</f>
        <v>1.4709920587303088E-2</v>
      </c>
      <c r="G419">
        <f>_xlfn.RANK.AVG(Table1[[#This Row],[Flux in SC / glucose uptake ($mmol/mmol\ glc$)]],Table1[Flux in SC / glucose uptake ($mmol/mmol\ glc$)])</f>
        <v>310</v>
      </c>
      <c r="H419">
        <f>_xlfn.RANK.AVG(Table1[[#This Row],[Flux in RT / glucose uptake ($mmol/mmol\ glc$)]],Table1[Flux in RT / glucose uptake ($mmol/mmol\ glc$)])</f>
        <v>49.5</v>
      </c>
      <c r="I419">
        <f>LOG(Table1[[#This Row],[Flux in SC / glucose uptake ($mmol/mmol\ glc$)]])</f>
        <v>-8.4423686491515095</v>
      </c>
      <c r="J419">
        <f>LOG(Table1[[#This Row],[Flux in RT / glucose uptake ($mmol/mmol\ glc$)]])</f>
        <v>-0.41345424099640105</v>
      </c>
    </row>
    <row r="420" spans="1:10" x14ac:dyDescent="0.2">
      <c r="A420" t="s">
        <v>423</v>
      </c>
      <c r="B420" t="s">
        <v>3114</v>
      </c>
      <c r="C420">
        <v>0</v>
      </c>
      <c r="D420">
        <v>0</v>
      </c>
      <c r="E420">
        <f>ABS(Table1[[#This Row],[Flux in SC / glucose uptake ($mmol/mmol\ glc$)]]-Table1[[#This Row],[Flux in RT / glucose uptake ($mmol/mmol\ glc$)]])/SQRT(2)</f>
        <v>0</v>
      </c>
      <c r="F420">
        <f>Table1[[#This Row],[distance from 45-degree line]]/MAX(Table1[[Flux in SC / glucose uptake ($mmol/mmol\ glc$)]:[Flux in RT / glucose uptake ($mmol/mmol\ glc$)]])</f>
        <v>0</v>
      </c>
      <c r="G420">
        <f>_xlfn.RANK.AVG(Table1[[#This Row],[Flux in SC / glucose uptake ($mmol/mmol\ glc$)]],Table1[Flux in SC / glucose uptake ($mmol/mmol\ glc$)])</f>
        <v>1310.5</v>
      </c>
      <c r="H420">
        <f>_xlfn.RANK.AVG(Table1[[#This Row],[Flux in RT / glucose uptake ($mmol/mmol\ glc$)]],Table1[Flux in RT / glucose uptake ($mmol/mmol\ glc$)])</f>
        <v>1290.5</v>
      </c>
      <c r="I420" t="e">
        <f>LOG(Table1[[#This Row],[Flux in SC / glucose uptake ($mmol/mmol\ glc$)]])</f>
        <v>#NUM!</v>
      </c>
      <c r="J420" t="e">
        <f>LOG(Table1[[#This Row],[Flux in RT / glucose uptake ($mmol/mmol\ glc$)]])</f>
        <v>#NUM!</v>
      </c>
    </row>
    <row r="421" spans="1:10" x14ac:dyDescent="0.2">
      <c r="A421" t="s">
        <v>424</v>
      </c>
      <c r="B421" t="s">
        <v>3131</v>
      </c>
      <c r="C421">
        <v>8.3858892406159496E-3</v>
      </c>
      <c r="D421">
        <v>3.7954212124679677E-2</v>
      </c>
      <c r="E421">
        <f>ABS(Table1[[#This Row],[Flux in SC / glucose uptake ($mmol/mmol\ glc$)]]-Table1[[#This Row],[Flux in RT / glucose uptake ($mmol/mmol\ glc$)]])/SQRT(2)</f>
        <v>2.0907961619634832E-2</v>
      </c>
      <c r="F421">
        <f>Table1[[#This Row],[distance from 45-degree line]]/MAX(Table1[[Flux in SC / glucose uptake ($mmol/mmol\ glc$)]:[Flux in RT / glucose uptake ($mmol/mmol\ glc$)]])</f>
        <v>1.1269152739354555E-3</v>
      </c>
      <c r="G421">
        <f>_xlfn.RANK.AVG(Table1[[#This Row],[Flux in SC / glucose uptake ($mmol/mmol\ glc$)]],Table1[Flux in SC / glucose uptake ($mmol/mmol\ glc$)])</f>
        <v>88.5</v>
      </c>
      <c r="H421">
        <f>_xlfn.RANK.AVG(Table1[[#This Row],[Flux in RT / glucose uptake ($mmol/mmol\ glc$)]],Table1[Flux in RT / glucose uptake ($mmol/mmol\ glc$)])</f>
        <v>111</v>
      </c>
      <c r="I421">
        <f>LOG(Table1[[#This Row],[Flux in SC / glucose uptake ($mmol/mmol\ glc$)]])</f>
        <v>-2.0764508779814577</v>
      </c>
      <c r="J421">
        <f>LOG(Table1[[#This Row],[Flux in RT / glucose uptake ($mmol/mmol\ glc$)]])</f>
        <v>-1.4207400194787898</v>
      </c>
    </row>
    <row r="422" spans="1:10" x14ac:dyDescent="0.2">
      <c r="A422" t="s">
        <v>425</v>
      </c>
      <c r="B422" t="s">
        <v>3163</v>
      </c>
      <c r="C422">
        <v>-2.5839046739305909E-2</v>
      </c>
      <c r="D422">
        <v>0.26927245523540289</v>
      </c>
      <c r="E422">
        <f>ABS(Table1[[#This Row],[Flux in SC / glucose uptake ($mmol/mmol\ glc$)]]-Table1[[#This Row],[Flux in RT / glucose uptake ($mmol/mmol\ glc$)]])/SQRT(2)</f>
        <v>0.20867534425246378</v>
      </c>
      <c r="F422">
        <f>Table1[[#This Row],[distance from 45-degree line]]/MAX(Table1[[Flux in SC / glucose uptake ($mmol/mmol\ glc$)]:[Flux in RT / glucose uptake ($mmol/mmol\ glc$)]])</f>
        <v>1.1247362942880123E-2</v>
      </c>
      <c r="G422">
        <f>_xlfn.RANK.AVG(Table1[[#This Row],[Flux in SC / glucose uptake ($mmol/mmol\ glc$)]],Table1[Flux in SC / glucose uptake ($mmol/mmol\ glc$)])</f>
        <v>2303</v>
      </c>
      <c r="H422">
        <f>_xlfn.RANK.AVG(Table1[[#This Row],[Flux in RT / glucose uptake ($mmol/mmol\ glc$)]],Table1[Flux in RT / glucose uptake ($mmol/mmol\ glc$)])</f>
        <v>57</v>
      </c>
      <c r="I422" t="e">
        <f>LOG(Table1[[#This Row],[Flux in SC / glucose uptake ($mmol/mmol\ glc$)]])</f>
        <v>#NUM!</v>
      </c>
      <c r="J422">
        <f>LOG(Table1[[#This Row],[Flux in RT / glucose uptake ($mmol/mmol\ glc$)]])</f>
        <v>-0.56980806972659848</v>
      </c>
    </row>
    <row r="423" spans="1:10" x14ac:dyDescent="0.2">
      <c r="A423" t="s">
        <v>426</v>
      </c>
      <c r="B423" t="s">
        <v>3134</v>
      </c>
      <c r="C423">
        <v>0</v>
      </c>
      <c r="D423">
        <v>0</v>
      </c>
      <c r="E423">
        <f>ABS(Table1[[#This Row],[Flux in SC / glucose uptake ($mmol/mmol\ glc$)]]-Table1[[#This Row],[Flux in RT / glucose uptake ($mmol/mmol\ glc$)]])/SQRT(2)</f>
        <v>0</v>
      </c>
      <c r="F423">
        <f>Table1[[#This Row],[distance from 45-degree line]]/MAX(Table1[[Flux in SC / glucose uptake ($mmol/mmol\ glc$)]:[Flux in RT / glucose uptake ($mmol/mmol\ glc$)]])</f>
        <v>0</v>
      </c>
      <c r="G423">
        <f>_xlfn.RANK.AVG(Table1[[#This Row],[Flux in SC / glucose uptake ($mmol/mmol\ glc$)]],Table1[Flux in SC / glucose uptake ($mmol/mmol\ glc$)])</f>
        <v>1310.5</v>
      </c>
      <c r="H423">
        <f>_xlfn.RANK.AVG(Table1[[#This Row],[Flux in RT / glucose uptake ($mmol/mmol\ glc$)]],Table1[Flux in RT / glucose uptake ($mmol/mmol\ glc$)])</f>
        <v>1290.5</v>
      </c>
      <c r="I423" t="e">
        <f>LOG(Table1[[#This Row],[Flux in SC / glucose uptake ($mmol/mmol\ glc$)]])</f>
        <v>#NUM!</v>
      </c>
      <c r="J423" t="e">
        <f>LOG(Table1[[#This Row],[Flux in RT / glucose uptake ($mmol/mmol\ glc$)]])</f>
        <v>#NUM!</v>
      </c>
    </row>
    <row r="424" spans="1:10" x14ac:dyDescent="0.2">
      <c r="A424" t="s">
        <v>427</v>
      </c>
      <c r="B424" t="s">
        <v>3148</v>
      </c>
      <c r="C424">
        <v>0</v>
      </c>
      <c r="D424">
        <v>0</v>
      </c>
      <c r="E424">
        <f>ABS(Table1[[#This Row],[Flux in SC / glucose uptake ($mmol/mmol\ glc$)]]-Table1[[#This Row],[Flux in RT / glucose uptake ($mmol/mmol\ glc$)]])/SQRT(2)</f>
        <v>0</v>
      </c>
      <c r="F424">
        <f>Table1[[#This Row],[distance from 45-degree line]]/MAX(Table1[[Flux in SC / glucose uptake ($mmol/mmol\ glc$)]:[Flux in RT / glucose uptake ($mmol/mmol\ glc$)]])</f>
        <v>0</v>
      </c>
      <c r="G424">
        <f>_xlfn.RANK.AVG(Table1[[#This Row],[Flux in SC / glucose uptake ($mmol/mmol\ glc$)]],Table1[Flux in SC / glucose uptake ($mmol/mmol\ glc$)])</f>
        <v>1310.5</v>
      </c>
      <c r="H424">
        <f>_xlfn.RANK.AVG(Table1[[#This Row],[Flux in RT / glucose uptake ($mmol/mmol\ glc$)]],Table1[Flux in RT / glucose uptake ($mmol/mmol\ glc$)])</f>
        <v>1290.5</v>
      </c>
      <c r="I424" t="e">
        <f>LOG(Table1[[#This Row],[Flux in SC / glucose uptake ($mmol/mmol\ glc$)]])</f>
        <v>#NUM!</v>
      </c>
      <c r="J424" t="e">
        <f>LOG(Table1[[#This Row],[Flux in RT / glucose uptake ($mmol/mmol\ glc$)]])</f>
        <v>#NUM!</v>
      </c>
    </row>
    <row r="425" spans="1:10" x14ac:dyDescent="0.2">
      <c r="A425" t="s">
        <v>428</v>
      </c>
      <c r="B425" t="s">
        <v>3163</v>
      </c>
      <c r="C425">
        <v>3.6110321147682783E-9</v>
      </c>
      <c r="D425">
        <v>0.38596307606578156</v>
      </c>
      <c r="E425">
        <f>ABS(Table1[[#This Row],[Flux in SC / glucose uptake ($mmol/mmol\ glc$)]]-Table1[[#This Row],[Flux in RT / glucose uptake ($mmol/mmol\ glc$)]])/SQRT(2)</f>
        <v>0.27291710582034806</v>
      </c>
      <c r="F425">
        <f>Table1[[#This Row],[distance from 45-degree line]]/MAX(Table1[[Flux in SC / glucose uptake ($mmol/mmol\ glc$)]:[Flux in RT / glucose uptake ($mmol/mmol\ glc$)]])</f>
        <v>1.4709920587303088E-2</v>
      </c>
      <c r="G425">
        <f>_xlfn.RANK.AVG(Table1[[#This Row],[Flux in SC / glucose uptake ($mmol/mmol\ glc$)]],Table1[Flux in SC / glucose uptake ($mmol/mmol\ glc$)])</f>
        <v>310</v>
      </c>
      <c r="H425">
        <f>_xlfn.RANK.AVG(Table1[[#This Row],[Flux in RT / glucose uptake ($mmol/mmol\ glc$)]],Table1[Flux in RT / glucose uptake ($mmol/mmol\ glc$)])</f>
        <v>49.5</v>
      </c>
      <c r="I425">
        <f>LOG(Table1[[#This Row],[Flux in SC / glucose uptake ($mmol/mmol\ glc$)]])</f>
        <v>-8.4423686491515095</v>
      </c>
      <c r="J425">
        <f>LOG(Table1[[#This Row],[Flux in RT / glucose uptake ($mmol/mmol\ glc$)]])</f>
        <v>-0.41345424099640105</v>
      </c>
    </row>
    <row r="426" spans="1:10" x14ac:dyDescent="0.2">
      <c r="A426" t="s">
        <v>429</v>
      </c>
      <c r="B426" t="s">
        <v>3114</v>
      </c>
      <c r="C426">
        <v>0</v>
      </c>
      <c r="D426">
        <v>0</v>
      </c>
      <c r="E426">
        <f>ABS(Table1[[#This Row],[Flux in SC / glucose uptake ($mmol/mmol\ glc$)]]-Table1[[#This Row],[Flux in RT / glucose uptake ($mmol/mmol\ glc$)]])/SQRT(2)</f>
        <v>0</v>
      </c>
      <c r="F426">
        <f>Table1[[#This Row],[distance from 45-degree line]]/MAX(Table1[[Flux in SC / glucose uptake ($mmol/mmol\ glc$)]:[Flux in RT / glucose uptake ($mmol/mmol\ glc$)]])</f>
        <v>0</v>
      </c>
      <c r="G426">
        <f>_xlfn.RANK.AVG(Table1[[#This Row],[Flux in SC / glucose uptake ($mmol/mmol\ glc$)]],Table1[Flux in SC / glucose uptake ($mmol/mmol\ glc$)])</f>
        <v>1310.5</v>
      </c>
      <c r="H426">
        <f>_xlfn.RANK.AVG(Table1[[#This Row],[Flux in RT / glucose uptake ($mmol/mmol\ glc$)]],Table1[Flux in RT / glucose uptake ($mmol/mmol\ glc$)])</f>
        <v>1290.5</v>
      </c>
      <c r="I426" t="e">
        <f>LOG(Table1[[#This Row],[Flux in SC / glucose uptake ($mmol/mmol\ glc$)]])</f>
        <v>#NUM!</v>
      </c>
      <c r="J426" t="e">
        <f>LOG(Table1[[#This Row],[Flux in RT / glucose uptake ($mmol/mmol\ glc$)]])</f>
        <v>#NUM!</v>
      </c>
    </row>
    <row r="427" spans="1:10" x14ac:dyDescent="0.2">
      <c r="A427" t="s">
        <v>430</v>
      </c>
      <c r="B427" t="s">
        <v>3114</v>
      </c>
      <c r="C427">
        <v>0</v>
      </c>
      <c r="D427">
        <v>0</v>
      </c>
      <c r="E427">
        <f>ABS(Table1[[#This Row],[Flux in SC / glucose uptake ($mmol/mmol\ glc$)]]-Table1[[#This Row],[Flux in RT / glucose uptake ($mmol/mmol\ glc$)]])/SQRT(2)</f>
        <v>0</v>
      </c>
      <c r="F427">
        <f>Table1[[#This Row],[distance from 45-degree line]]/MAX(Table1[[Flux in SC / glucose uptake ($mmol/mmol\ glc$)]:[Flux in RT / glucose uptake ($mmol/mmol\ glc$)]])</f>
        <v>0</v>
      </c>
      <c r="G427">
        <f>_xlfn.RANK.AVG(Table1[[#This Row],[Flux in SC / glucose uptake ($mmol/mmol\ glc$)]],Table1[Flux in SC / glucose uptake ($mmol/mmol\ glc$)])</f>
        <v>1310.5</v>
      </c>
      <c r="H427">
        <f>_xlfn.RANK.AVG(Table1[[#This Row],[Flux in RT / glucose uptake ($mmol/mmol\ glc$)]],Table1[Flux in RT / glucose uptake ($mmol/mmol\ glc$)])</f>
        <v>1290.5</v>
      </c>
      <c r="I427" t="e">
        <f>LOG(Table1[[#This Row],[Flux in SC / glucose uptake ($mmol/mmol\ glc$)]])</f>
        <v>#NUM!</v>
      </c>
      <c r="J427" t="e">
        <f>LOG(Table1[[#This Row],[Flux in RT / glucose uptake ($mmol/mmol\ glc$)]])</f>
        <v>#NUM!</v>
      </c>
    </row>
    <row r="428" spans="1:10" x14ac:dyDescent="0.2">
      <c r="A428" t="s">
        <v>431</v>
      </c>
      <c r="B428" t="s">
        <v>3154</v>
      </c>
      <c r="C428">
        <v>0</v>
      </c>
      <c r="D428">
        <v>0</v>
      </c>
      <c r="E428">
        <f>ABS(Table1[[#This Row],[Flux in SC / glucose uptake ($mmol/mmol\ glc$)]]-Table1[[#This Row],[Flux in RT / glucose uptake ($mmol/mmol\ glc$)]])/SQRT(2)</f>
        <v>0</v>
      </c>
      <c r="F428">
        <f>Table1[[#This Row],[distance from 45-degree line]]/MAX(Table1[[Flux in SC / glucose uptake ($mmol/mmol\ glc$)]:[Flux in RT / glucose uptake ($mmol/mmol\ glc$)]])</f>
        <v>0</v>
      </c>
      <c r="G428">
        <f>_xlfn.RANK.AVG(Table1[[#This Row],[Flux in SC / glucose uptake ($mmol/mmol\ glc$)]],Table1[Flux in SC / glucose uptake ($mmol/mmol\ glc$)])</f>
        <v>1310.5</v>
      </c>
      <c r="H428">
        <f>_xlfn.RANK.AVG(Table1[[#This Row],[Flux in RT / glucose uptake ($mmol/mmol\ glc$)]],Table1[Flux in RT / glucose uptake ($mmol/mmol\ glc$)])</f>
        <v>1290.5</v>
      </c>
      <c r="I428" t="e">
        <f>LOG(Table1[[#This Row],[Flux in SC / glucose uptake ($mmol/mmol\ glc$)]])</f>
        <v>#NUM!</v>
      </c>
      <c r="J428" t="e">
        <f>LOG(Table1[[#This Row],[Flux in RT / glucose uptake ($mmol/mmol\ glc$)]])</f>
        <v>#NUM!</v>
      </c>
    </row>
    <row r="429" spans="1:10" x14ac:dyDescent="0.2">
      <c r="A429" t="s">
        <v>432</v>
      </c>
      <c r="B429" t="s">
        <v>3150</v>
      </c>
      <c r="C429">
        <v>0</v>
      </c>
      <c r="D429">
        <v>0</v>
      </c>
      <c r="E429">
        <f>ABS(Table1[[#This Row],[Flux in SC / glucose uptake ($mmol/mmol\ glc$)]]-Table1[[#This Row],[Flux in RT / glucose uptake ($mmol/mmol\ glc$)]])/SQRT(2)</f>
        <v>0</v>
      </c>
      <c r="F429">
        <f>Table1[[#This Row],[distance from 45-degree line]]/MAX(Table1[[Flux in SC / glucose uptake ($mmol/mmol\ glc$)]:[Flux in RT / glucose uptake ($mmol/mmol\ glc$)]])</f>
        <v>0</v>
      </c>
      <c r="G429">
        <f>_xlfn.RANK.AVG(Table1[[#This Row],[Flux in SC / glucose uptake ($mmol/mmol\ glc$)]],Table1[Flux in SC / glucose uptake ($mmol/mmol\ glc$)])</f>
        <v>1310.5</v>
      </c>
      <c r="H429">
        <f>_xlfn.RANK.AVG(Table1[[#This Row],[Flux in RT / glucose uptake ($mmol/mmol\ glc$)]],Table1[Flux in RT / glucose uptake ($mmol/mmol\ glc$)])</f>
        <v>1290.5</v>
      </c>
      <c r="I429" t="e">
        <f>LOG(Table1[[#This Row],[Flux in SC / glucose uptake ($mmol/mmol\ glc$)]])</f>
        <v>#NUM!</v>
      </c>
      <c r="J429" t="e">
        <f>LOG(Table1[[#This Row],[Flux in RT / glucose uptake ($mmol/mmol\ glc$)]])</f>
        <v>#NUM!</v>
      </c>
    </row>
    <row r="430" spans="1:10" x14ac:dyDescent="0.2">
      <c r="A430" t="s">
        <v>433</v>
      </c>
      <c r="B430" t="s">
        <v>3131</v>
      </c>
      <c r="C430">
        <v>0</v>
      </c>
      <c r="D430">
        <v>0</v>
      </c>
      <c r="E430">
        <f>ABS(Table1[[#This Row],[Flux in SC / glucose uptake ($mmol/mmol\ glc$)]]-Table1[[#This Row],[Flux in RT / glucose uptake ($mmol/mmol\ glc$)]])/SQRT(2)</f>
        <v>0</v>
      </c>
      <c r="F430">
        <f>Table1[[#This Row],[distance from 45-degree line]]/MAX(Table1[[Flux in SC / glucose uptake ($mmol/mmol\ glc$)]:[Flux in RT / glucose uptake ($mmol/mmol\ glc$)]])</f>
        <v>0</v>
      </c>
      <c r="G430">
        <f>_xlfn.RANK.AVG(Table1[[#This Row],[Flux in SC / glucose uptake ($mmol/mmol\ glc$)]],Table1[Flux in SC / glucose uptake ($mmol/mmol\ glc$)])</f>
        <v>1310.5</v>
      </c>
      <c r="H430">
        <f>_xlfn.RANK.AVG(Table1[[#This Row],[Flux in RT / glucose uptake ($mmol/mmol\ glc$)]],Table1[Flux in RT / glucose uptake ($mmol/mmol\ glc$)])</f>
        <v>1290.5</v>
      </c>
      <c r="I430" t="e">
        <f>LOG(Table1[[#This Row],[Flux in SC / glucose uptake ($mmol/mmol\ glc$)]])</f>
        <v>#NUM!</v>
      </c>
      <c r="J430" t="e">
        <f>LOG(Table1[[#This Row],[Flux in RT / glucose uptake ($mmol/mmol\ glc$)]])</f>
        <v>#NUM!</v>
      </c>
    </row>
    <row r="431" spans="1:10" x14ac:dyDescent="0.2">
      <c r="A431" t="s">
        <v>434</v>
      </c>
      <c r="B431" t="s">
        <v>3163</v>
      </c>
      <c r="C431">
        <v>0</v>
      </c>
      <c r="D431">
        <v>0</v>
      </c>
      <c r="E431">
        <f>ABS(Table1[[#This Row],[Flux in SC / glucose uptake ($mmol/mmol\ glc$)]]-Table1[[#This Row],[Flux in RT / glucose uptake ($mmol/mmol\ glc$)]])/SQRT(2)</f>
        <v>0</v>
      </c>
      <c r="F431">
        <f>Table1[[#This Row],[distance from 45-degree line]]/MAX(Table1[[Flux in SC / glucose uptake ($mmol/mmol\ glc$)]:[Flux in RT / glucose uptake ($mmol/mmol\ glc$)]])</f>
        <v>0</v>
      </c>
      <c r="G431">
        <f>_xlfn.RANK.AVG(Table1[[#This Row],[Flux in SC / glucose uptake ($mmol/mmol\ glc$)]],Table1[Flux in SC / glucose uptake ($mmol/mmol\ glc$)])</f>
        <v>1310.5</v>
      </c>
      <c r="H431">
        <f>_xlfn.RANK.AVG(Table1[[#This Row],[Flux in RT / glucose uptake ($mmol/mmol\ glc$)]],Table1[Flux in RT / glucose uptake ($mmol/mmol\ glc$)])</f>
        <v>1290.5</v>
      </c>
      <c r="I431" t="e">
        <f>LOG(Table1[[#This Row],[Flux in SC / glucose uptake ($mmol/mmol\ glc$)]])</f>
        <v>#NUM!</v>
      </c>
      <c r="J431" t="e">
        <f>LOG(Table1[[#This Row],[Flux in RT / glucose uptake ($mmol/mmol\ glc$)]])</f>
        <v>#NUM!</v>
      </c>
    </row>
    <row r="432" spans="1:10" x14ac:dyDescent="0.2">
      <c r="A432" t="s">
        <v>435</v>
      </c>
      <c r="B432" t="s">
        <v>3150</v>
      </c>
      <c r="C432">
        <v>0</v>
      </c>
      <c r="D432">
        <v>0</v>
      </c>
      <c r="E432">
        <f>ABS(Table1[[#This Row],[Flux in SC / glucose uptake ($mmol/mmol\ glc$)]]-Table1[[#This Row],[Flux in RT / glucose uptake ($mmol/mmol\ glc$)]])/SQRT(2)</f>
        <v>0</v>
      </c>
      <c r="F432">
        <f>Table1[[#This Row],[distance from 45-degree line]]/MAX(Table1[[Flux in SC / glucose uptake ($mmol/mmol\ glc$)]:[Flux in RT / glucose uptake ($mmol/mmol\ glc$)]])</f>
        <v>0</v>
      </c>
      <c r="G432">
        <f>_xlfn.RANK.AVG(Table1[[#This Row],[Flux in SC / glucose uptake ($mmol/mmol\ glc$)]],Table1[Flux in SC / glucose uptake ($mmol/mmol\ glc$)])</f>
        <v>1310.5</v>
      </c>
      <c r="H432">
        <f>_xlfn.RANK.AVG(Table1[[#This Row],[Flux in RT / glucose uptake ($mmol/mmol\ glc$)]],Table1[Flux in RT / glucose uptake ($mmol/mmol\ glc$)])</f>
        <v>1290.5</v>
      </c>
      <c r="I432" t="e">
        <f>LOG(Table1[[#This Row],[Flux in SC / glucose uptake ($mmol/mmol\ glc$)]])</f>
        <v>#NUM!</v>
      </c>
      <c r="J432" t="e">
        <f>LOG(Table1[[#This Row],[Flux in RT / glucose uptake ($mmol/mmol\ glc$)]])</f>
        <v>#NUM!</v>
      </c>
    </row>
    <row r="433" spans="1:10" x14ac:dyDescent="0.2">
      <c r="A433" t="s">
        <v>436</v>
      </c>
      <c r="B433" t="s">
        <v>3150</v>
      </c>
      <c r="C433">
        <v>0</v>
      </c>
      <c r="D433">
        <v>0</v>
      </c>
      <c r="E433">
        <f>ABS(Table1[[#This Row],[Flux in SC / glucose uptake ($mmol/mmol\ glc$)]]-Table1[[#This Row],[Flux in RT / glucose uptake ($mmol/mmol\ glc$)]])/SQRT(2)</f>
        <v>0</v>
      </c>
      <c r="F433">
        <f>Table1[[#This Row],[distance from 45-degree line]]/MAX(Table1[[Flux in SC / glucose uptake ($mmol/mmol\ glc$)]:[Flux in RT / glucose uptake ($mmol/mmol\ glc$)]])</f>
        <v>0</v>
      </c>
      <c r="G433">
        <f>_xlfn.RANK.AVG(Table1[[#This Row],[Flux in SC / glucose uptake ($mmol/mmol\ glc$)]],Table1[Flux in SC / glucose uptake ($mmol/mmol\ glc$)])</f>
        <v>1310.5</v>
      </c>
      <c r="H433">
        <f>_xlfn.RANK.AVG(Table1[[#This Row],[Flux in RT / glucose uptake ($mmol/mmol\ glc$)]],Table1[Flux in RT / glucose uptake ($mmol/mmol\ glc$)])</f>
        <v>1290.5</v>
      </c>
      <c r="I433" t="e">
        <f>LOG(Table1[[#This Row],[Flux in SC / glucose uptake ($mmol/mmol\ glc$)]])</f>
        <v>#NUM!</v>
      </c>
      <c r="J433" t="e">
        <f>LOG(Table1[[#This Row],[Flux in RT / glucose uptake ($mmol/mmol\ glc$)]])</f>
        <v>#NUM!</v>
      </c>
    </row>
    <row r="434" spans="1:10" x14ac:dyDescent="0.2">
      <c r="A434" t="s">
        <v>437</v>
      </c>
      <c r="B434" t="s">
        <v>3150</v>
      </c>
      <c r="C434">
        <v>0</v>
      </c>
      <c r="D434">
        <v>0</v>
      </c>
      <c r="E434">
        <f>ABS(Table1[[#This Row],[Flux in SC / glucose uptake ($mmol/mmol\ glc$)]]-Table1[[#This Row],[Flux in RT / glucose uptake ($mmol/mmol\ glc$)]])/SQRT(2)</f>
        <v>0</v>
      </c>
      <c r="F434">
        <f>Table1[[#This Row],[distance from 45-degree line]]/MAX(Table1[[Flux in SC / glucose uptake ($mmol/mmol\ glc$)]:[Flux in RT / glucose uptake ($mmol/mmol\ glc$)]])</f>
        <v>0</v>
      </c>
      <c r="G434">
        <f>_xlfn.RANK.AVG(Table1[[#This Row],[Flux in SC / glucose uptake ($mmol/mmol\ glc$)]],Table1[Flux in SC / glucose uptake ($mmol/mmol\ glc$)])</f>
        <v>1310.5</v>
      </c>
      <c r="H434">
        <f>_xlfn.RANK.AVG(Table1[[#This Row],[Flux in RT / glucose uptake ($mmol/mmol\ glc$)]],Table1[Flux in RT / glucose uptake ($mmol/mmol\ glc$)])</f>
        <v>1290.5</v>
      </c>
      <c r="I434" t="e">
        <f>LOG(Table1[[#This Row],[Flux in SC / glucose uptake ($mmol/mmol\ glc$)]])</f>
        <v>#NUM!</v>
      </c>
      <c r="J434" t="e">
        <f>LOG(Table1[[#This Row],[Flux in RT / glucose uptake ($mmol/mmol\ glc$)]])</f>
        <v>#NUM!</v>
      </c>
    </row>
    <row r="435" spans="1:10" x14ac:dyDescent="0.2">
      <c r="A435" t="s">
        <v>438</v>
      </c>
      <c r="B435" t="s">
        <v>3125</v>
      </c>
      <c r="C435">
        <v>3.6110321147682783E-9</v>
      </c>
      <c r="D435">
        <v>0</v>
      </c>
      <c r="E435">
        <f>ABS(Table1[[#This Row],[Flux in SC / glucose uptake ($mmol/mmol\ glc$)]]-Table1[[#This Row],[Flux in RT / glucose uptake ($mmol/mmol\ glc$)]])/SQRT(2)</f>
        <v>2.5533852954350489E-9</v>
      </c>
      <c r="F435">
        <f>Table1[[#This Row],[distance from 45-degree line]]/MAX(Table1[[Flux in SC / glucose uptake ($mmol/mmol\ glc$)]:[Flux in RT / glucose uptake ($mmol/mmol\ glc$)]])</f>
        <v>1.376245538429589E-10</v>
      </c>
      <c r="G435">
        <f>_xlfn.RANK.AVG(Table1[[#This Row],[Flux in SC / glucose uptake ($mmol/mmol\ glc$)]],Table1[Flux in SC / glucose uptake ($mmol/mmol\ glc$)])</f>
        <v>310</v>
      </c>
      <c r="H435">
        <f>_xlfn.RANK.AVG(Table1[[#This Row],[Flux in RT / glucose uptake ($mmol/mmol\ glc$)]],Table1[Flux in RT / glucose uptake ($mmol/mmol\ glc$)])</f>
        <v>1290.5</v>
      </c>
      <c r="I435">
        <f>LOG(Table1[[#This Row],[Flux in SC / glucose uptake ($mmol/mmol\ glc$)]])</f>
        <v>-8.4423686491515095</v>
      </c>
      <c r="J435" t="e">
        <f>LOG(Table1[[#This Row],[Flux in RT / glucose uptake ($mmol/mmol\ glc$)]])</f>
        <v>#NUM!</v>
      </c>
    </row>
    <row r="436" spans="1:10" x14ac:dyDescent="0.2">
      <c r="A436" t="s">
        <v>439</v>
      </c>
      <c r="B436" t="s">
        <v>3159</v>
      </c>
      <c r="C436">
        <v>1.2845057121356784E-3</v>
      </c>
      <c r="D436">
        <v>5.8136571518449575E-3</v>
      </c>
      <c r="E436">
        <f>ABS(Table1[[#This Row],[Flux in SC / glucose uptake ($mmol/mmol\ glc$)]]-Table1[[#This Row],[Flux in RT / glucose uptake ($mmol/mmol\ glc$)]])/SQRT(2)</f>
        <v>3.2025936960392454E-3</v>
      </c>
      <c r="F436">
        <f>Table1[[#This Row],[distance from 45-degree line]]/MAX(Table1[[Flux in SC / glucose uptake ($mmol/mmol\ glc$)]:[Flux in RT / glucose uptake ($mmol/mmol\ glc$)]])</f>
        <v>1.7261614584593174E-4</v>
      </c>
      <c r="G436">
        <f>_xlfn.RANK.AVG(Table1[[#This Row],[Flux in SC / glucose uptake ($mmol/mmol\ glc$)]],Table1[Flux in SC / glucose uptake ($mmol/mmol\ glc$)])</f>
        <v>209</v>
      </c>
      <c r="H436">
        <f>_xlfn.RANK.AVG(Table1[[#This Row],[Flux in RT / glucose uptake ($mmol/mmol\ glc$)]],Table1[Flux in RT / glucose uptake ($mmol/mmol\ glc$)])</f>
        <v>218</v>
      </c>
      <c r="I436">
        <f>LOG(Table1[[#This Row],[Flux in SC / glucose uptake ($mmol/mmol\ glc$)]])</f>
        <v>-2.8912639601064796</v>
      </c>
      <c r="J436">
        <f>LOG(Table1[[#This Row],[Flux in RT / glucose uptake ($mmol/mmol\ glc$)]])</f>
        <v>-2.235550583410487</v>
      </c>
    </row>
    <row r="437" spans="1:10" x14ac:dyDescent="0.2">
      <c r="A437" t="s">
        <v>440</v>
      </c>
      <c r="B437" t="s">
        <v>3163</v>
      </c>
      <c r="C437">
        <v>0.23199187893877077</v>
      </c>
      <c r="D437">
        <v>4.7313688878403948</v>
      </c>
      <c r="E437">
        <f>ABS(Table1[[#This Row],[Flux in SC / glucose uptake ($mmol/mmol\ glc$)]]-Table1[[#This Row],[Flux in RT / glucose uptake ($mmol/mmol\ glc$)]])/SQRT(2)</f>
        <v>3.1815399941091833</v>
      </c>
      <c r="F437">
        <f>Table1[[#This Row],[distance from 45-degree line]]/MAX(Table1[[Flux in SC / glucose uptake ($mmol/mmol\ glc$)]:[Flux in RT / glucose uptake ($mmol/mmol\ glc$)]])</f>
        <v>0.17148137533556354</v>
      </c>
      <c r="G437">
        <f>_xlfn.RANK.AVG(Table1[[#This Row],[Flux in SC / glucose uptake ($mmol/mmol\ glc$)]],Table1[Flux in SC / glucose uptake ($mmol/mmol\ glc$)])</f>
        <v>25</v>
      </c>
      <c r="H437">
        <f>_xlfn.RANK.AVG(Table1[[#This Row],[Flux in RT / glucose uptake ($mmol/mmol\ glc$)]],Table1[Flux in RT / glucose uptake ($mmol/mmol\ glc$)])</f>
        <v>6</v>
      </c>
      <c r="I437">
        <f>LOG(Table1[[#This Row],[Flux in SC / glucose uptake ($mmol/mmol\ glc$)]])</f>
        <v>-0.63452721766862563</v>
      </c>
      <c r="J437">
        <f>LOG(Table1[[#This Row],[Flux in RT / glucose uptake ($mmol/mmol\ glc$)]])</f>
        <v>0.67498680974968994</v>
      </c>
    </row>
    <row r="438" spans="1:10" x14ac:dyDescent="0.2">
      <c r="A438" t="s">
        <v>441</v>
      </c>
      <c r="B438" t="s">
        <v>3114</v>
      </c>
      <c r="C438">
        <v>0</v>
      </c>
      <c r="D438">
        <v>0</v>
      </c>
      <c r="E438">
        <f>ABS(Table1[[#This Row],[Flux in SC / glucose uptake ($mmol/mmol\ glc$)]]-Table1[[#This Row],[Flux in RT / glucose uptake ($mmol/mmol\ glc$)]])/SQRT(2)</f>
        <v>0</v>
      </c>
      <c r="F438">
        <f>Table1[[#This Row],[distance from 45-degree line]]/MAX(Table1[[Flux in SC / glucose uptake ($mmol/mmol\ glc$)]:[Flux in RT / glucose uptake ($mmol/mmol\ glc$)]])</f>
        <v>0</v>
      </c>
      <c r="G438">
        <f>_xlfn.RANK.AVG(Table1[[#This Row],[Flux in SC / glucose uptake ($mmol/mmol\ glc$)]],Table1[Flux in SC / glucose uptake ($mmol/mmol\ glc$)])</f>
        <v>1310.5</v>
      </c>
      <c r="H438">
        <f>_xlfn.RANK.AVG(Table1[[#This Row],[Flux in RT / glucose uptake ($mmol/mmol\ glc$)]],Table1[Flux in RT / glucose uptake ($mmol/mmol\ glc$)])</f>
        <v>1290.5</v>
      </c>
      <c r="I438" t="e">
        <f>LOG(Table1[[#This Row],[Flux in SC / glucose uptake ($mmol/mmol\ glc$)]])</f>
        <v>#NUM!</v>
      </c>
      <c r="J438" t="e">
        <f>LOG(Table1[[#This Row],[Flux in RT / glucose uptake ($mmol/mmol\ glc$)]])</f>
        <v>#NUM!</v>
      </c>
    </row>
    <row r="439" spans="1:10" x14ac:dyDescent="0.2">
      <c r="A439" t="s">
        <v>442</v>
      </c>
      <c r="B439" t="s">
        <v>3114</v>
      </c>
      <c r="C439">
        <v>0</v>
      </c>
      <c r="D439">
        <v>0</v>
      </c>
      <c r="E439">
        <f>ABS(Table1[[#This Row],[Flux in SC / glucose uptake ($mmol/mmol\ glc$)]]-Table1[[#This Row],[Flux in RT / glucose uptake ($mmol/mmol\ glc$)]])/SQRT(2)</f>
        <v>0</v>
      </c>
      <c r="F439">
        <f>Table1[[#This Row],[distance from 45-degree line]]/MAX(Table1[[Flux in SC / glucose uptake ($mmol/mmol\ glc$)]:[Flux in RT / glucose uptake ($mmol/mmol\ glc$)]])</f>
        <v>0</v>
      </c>
      <c r="G439">
        <f>_xlfn.RANK.AVG(Table1[[#This Row],[Flux in SC / glucose uptake ($mmol/mmol\ glc$)]],Table1[Flux in SC / glucose uptake ($mmol/mmol\ glc$)])</f>
        <v>1310.5</v>
      </c>
      <c r="H439">
        <f>_xlfn.RANK.AVG(Table1[[#This Row],[Flux in RT / glucose uptake ($mmol/mmol\ glc$)]],Table1[Flux in RT / glucose uptake ($mmol/mmol\ glc$)])</f>
        <v>1290.5</v>
      </c>
      <c r="I439" t="e">
        <f>LOG(Table1[[#This Row],[Flux in SC / glucose uptake ($mmol/mmol\ glc$)]])</f>
        <v>#NUM!</v>
      </c>
      <c r="J439" t="e">
        <f>LOG(Table1[[#This Row],[Flux in RT / glucose uptake ($mmol/mmol\ glc$)]])</f>
        <v>#NUM!</v>
      </c>
    </row>
    <row r="440" spans="1:10" x14ac:dyDescent="0.2">
      <c r="A440" t="s">
        <v>443</v>
      </c>
      <c r="B440" t="s">
        <v>3114</v>
      </c>
      <c r="C440">
        <v>0</v>
      </c>
      <c r="D440">
        <v>0</v>
      </c>
      <c r="E440">
        <f>ABS(Table1[[#This Row],[Flux in SC / glucose uptake ($mmol/mmol\ glc$)]]-Table1[[#This Row],[Flux in RT / glucose uptake ($mmol/mmol\ glc$)]])/SQRT(2)</f>
        <v>0</v>
      </c>
      <c r="F440">
        <f>Table1[[#This Row],[distance from 45-degree line]]/MAX(Table1[[Flux in SC / glucose uptake ($mmol/mmol\ glc$)]:[Flux in RT / glucose uptake ($mmol/mmol\ glc$)]])</f>
        <v>0</v>
      </c>
      <c r="G440">
        <f>_xlfn.RANK.AVG(Table1[[#This Row],[Flux in SC / glucose uptake ($mmol/mmol\ glc$)]],Table1[Flux in SC / glucose uptake ($mmol/mmol\ glc$)])</f>
        <v>1310.5</v>
      </c>
      <c r="H440">
        <f>_xlfn.RANK.AVG(Table1[[#This Row],[Flux in RT / glucose uptake ($mmol/mmol\ glc$)]],Table1[Flux in RT / glucose uptake ($mmol/mmol\ glc$)])</f>
        <v>1290.5</v>
      </c>
      <c r="I440" t="e">
        <f>LOG(Table1[[#This Row],[Flux in SC / glucose uptake ($mmol/mmol\ glc$)]])</f>
        <v>#NUM!</v>
      </c>
      <c r="J440" t="e">
        <f>LOG(Table1[[#This Row],[Flux in RT / glucose uptake ($mmol/mmol\ glc$)]])</f>
        <v>#NUM!</v>
      </c>
    </row>
    <row r="441" spans="1:10" x14ac:dyDescent="0.2">
      <c r="A441" t="s">
        <v>444</v>
      </c>
      <c r="B441" t="s">
        <v>3114</v>
      </c>
      <c r="C441">
        <v>0</v>
      </c>
      <c r="D441">
        <v>0</v>
      </c>
      <c r="E441">
        <f>ABS(Table1[[#This Row],[Flux in SC / glucose uptake ($mmol/mmol\ glc$)]]-Table1[[#This Row],[Flux in RT / glucose uptake ($mmol/mmol\ glc$)]])/SQRT(2)</f>
        <v>0</v>
      </c>
      <c r="F441">
        <f>Table1[[#This Row],[distance from 45-degree line]]/MAX(Table1[[Flux in SC / glucose uptake ($mmol/mmol\ glc$)]:[Flux in RT / glucose uptake ($mmol/mmol\ glc$)]])</f>
        <v>0</v>
      </c>
      <c r="G441">
        <f>_xlfn.RANK.AVG(Table1[[#This Row],[Flux in SC / glucose uptake ($mmol/mmol\ glc$)]],Table1[Flux in SC / glucose uptake ($mmol/mmol\ glc$)])</f>
        <v>1310.5</v>
      </c>
      <c r="H441">
        <f>_xlfn.RANK.AVG(Table1[[#This Row],[Flux in RT / glucose uptake ($mmol/mmol\ glc$)]],Table1[Flux in RT / glucose uptake ($mmol/mmol\ glc$)])</f>
        <v>1290.5</v>
      </c>
      <c r="I441" t="e">
        <f>LOG(Table1[[#This Row],[Flux in SC / glucose uptake ($mmol/mmol\ glc$)]])</f>
        <v>#NUM!</v>
      </c>
      <c r="J441" t="e">
        <f>LOG(Table1[[#This Row],[Flux in RT / glucose uptake ($mmol/mmol\ glc$)]])</f>
        <v>#NUM!</v>
      </c>
    </row>
    <row r="442" spans="1:10" x14ac:dyDescent="0.2">
      <c r="A442" t="s">
        <v>445</v>
      </c>
      <c r="B442" t="s">
        <v>3114</v>
      </c>
      <c r="C442">
        <v>0</v>
      </c>
      <c r="D442">
        <v>0</v>
      </c>
      <c r="E442">
        <f>ABS(Table1[[#This Row],[Flux in SC / glucose uptake ($mmol/mmol\ glc$)]]-Table1[[#This Row],[Flux in RT / glucose uptake ($mmol/mmol\ glc$)]])/SQRT(2)</f>
        <v>0</v>
      </c>
      <c r="F442">
        <f>Table1[[#This Row],[distance from 45-degree line]]/MAX(Table1[[Flux in SC / glucose uptake ($mmol/mmol\ glc$)]:[Flux in RT / glucose uptake ($mmol/mmol\ glc$)]])</f>
        <v>0</v>
      </c>
      <c r="G442">
        <f>_xlfn.RANK.AVG(Table1[[#This Row],[Flux in SC / glucose uptake ($mmol/mmol\ glc$)]],Table1[Flux in SC / glucose uptake ($mmol/mmol\ glc$)])</f>
        <v>1310.5</v>
      </c>
      <c r="H442">
        <f>_xlfn.RANK.AVG(Table1[[#This Row],[Flux in RT / glucose uptake ($mmol/mmol\ glc$)]],Table1[Flux in RT / glucose uptake ($mmol/mmol\ glc$)])</f>
        <v>1290.5</v>
      </c>
      <c r="I442" t="e">
        <f>LOG(Table1[[#This Row],[Flux in SC / glucose uptake ($mmol/mmol\ glc$)]])</f>
        <v>#NUM!</v>
      </c>
      <c r="J442" t="e">
        <f>LOG(Table1[[#This Row],[Flux in RT / glucose uptake ($mmol/mmol\ glc$)]])</f>
        <v>#NUM!</v>
      </c>
    </row>
    <row r="443" spans="1:10" x14ac:dyDescent="0.2">
      <c r="A443" t="s">
        <v>446</v>
      </c>
      <c r="B443" t="s">
        <v>3114</v>
      </c>
      <c r="C443">
        <v>0</v>
      </c>
      <c r="D443">
        <v>0</v>
      </c>
      <c r="E443">
        <f>ABS(Table1[[#This Row],[Flux in SC / glucose uptake ($mmol/mmol\ glc$)]]-Table1[[#This Row],[Flux in RT / glucose uptake ($mmol/mmol\ glc$)]])/SQRT(2)</f>
        <v>0</v>
      </c>
      <c r="F443">
        <f>Table1[[#This Row],[distance from 45-degree line]]/MAX(Table1[[Flux in SC / glucose uptake ($mmol/mmol\ glc$)]:[Flux in RT / glucose uptake ($mmol/mmol\ glc$)]])</f>
        <v>0</v>
      </c>
      <c r="G443">
        <f>_xlfn.RANK.AVG(Table1[[#This Row],[Flux in SC / glucose uptake ($mmol/mmol\ glc$)]],Table1[Flux in SC / glucose uptake ($mmol/mmol\ glc$)])</f>
        <v>1310.5</v>
      </c>
      <c r="H443">
        <f>_xlfn.RANK.AVG(Table1[[#This Row],[Flux in RT / glucose uptake ($mmol/mmol\ glc$)]],Table1[Flux in RT / glucose uptake ($mmol/mmol\ glc$)])</f>
        <v>1290.5</v>
      </c>
      <c r="I443" t="e">
        <f>LOG(Table1[[#This Row],[Flux in SC / glucose uptake ($mmol/mmol\ glc$)]])</f>
        <v>#NUM!</v>
      </c>
      <c r="J443" t="e">
        <f>LOG(Table1[[#This Row],[Flux in RT / glucose uptake ($mmol/mmol\ glc$)]])</f>
        <v>#NUM!</v>
      </c>
    </row>
    <row r="444" spans="1:10" x14ac:dyDescent="0.2">
      <c r="A444" t="s">
        <v>447</v>
      </c>
      <c r="B444" t="s">
        <v>3114</v>
      </c>
      <c r="C444">
        <v>0</v>
      </c>
      <c r="D444">
        <v>0</v>
      </c>
      <c r="E444">
        <f>ABS(Table1[[#This Row],[Flux in SC / glucose uptake ($mmol/mmol\ glc$)]]-Table1[[#This Row],[Flux in RT / glucose uptake ($mmol/mmol\ glc$)]])/SQRT(2)</f>
        <v>0</v>
      </c>
      <c r="F444">
        <f>Table1[[#This Row],[distance from 45-degree line]]/MAX(Table1[[Flux in SC / glucose uptake ($mmol/mmol\ glc$)]:[Flux in RT / glucose uptake ($mmol/mmol\ glc$)]])</f>
        <v>0</v>
      </c>
      <c r="G444">
        <f>_xlfn.RANK.AVG(Table1[[#This Row],[Flux in SC / glucose uptake ($mmol/mmol\ glc$)]],Table1[Flux in SC / glucose uptake ($mmol/mmol\ glc$)])</f>
        <v>1310.5</v>
      </c>
      <c r="H444">
        <f>_xlfn.RANK.AVG(Table1[[#This Row],[Flux in RT / glucose uptake ($mmol/mmol\ glc$)]],Table1[Flux in RT / glucose uptake ($mmol/mmol\ glc$)])</f>
        <v>1290.5</v>
      </c>
      <c r="I444" t="e">
        <f>LOG(Table1[[#This Row],[Flux in SC / glucose uptake ($mmol/mmol\ glc$)]])</f>
        <v>#NUM!</v>
      </c>
      <c r="J444" t="e">
        <f>LOG(Table1[[#This Row],[Flux in RT / glucose uptake ($mmol/mmol\ glc$)]])</f>
        <v>#NUM!</v>
      </c>
    </row>
    <row r="445" spans="1:10" x14ac:dyDescent="0.2">
      <c r="A445" t="s">
        <v>448</v>
      </c>
      <c r="B445" t="s">
        <v>3152</v>
      </c>
      <c r="C445">
        <v>0</v>
      </c>
      <c r="D445">
        <v>0</v>
      </c>
      <c r="E445">
        <f>ABS(Table1[[#This Row],[Flux in SC / glucose uptake ($mmol/mmol\ glc$)]]-Table1[[#This Row],[Flux in RT / glucose uptake ($mmol/mmol\ glc$)]])/SQRT(2)</f>
        <v>0</v>
      </c>
      <c r="F445">
        <f>Table1[[#This Row],[distance from 45-degree line]]/MAX(Table1[[Flux in SC / glucose uptake ($mmol/mmol\ glc$)]:[Flux in RT / glucose uptake ($mmol/mmol\ glc$)]])</f>
        <v>0</v>
      </c>
      <c r="G445">
        <f>_xlfn.RANK.AVG(Table1[[#This Row],[Flux in SC / glucose uptake ($mmol/mmol\ glc$)]],Table1[Flux in SC / glucose uptake ($mmol/mmol\ glc$)])</f>
        <v>1310.5</v>
      </c>
      <c r="H445">
        <f>_xlfn.RANK.AVG(Table1[[#This Row],[Flux in RT / glucose uptake ($mmol/mmol\ glc$)]],Table1[Flux in RT / glucose uptake ($mmol/mmol\ glc$)])</f>
        <v>1290.5</v>
      </c>
      <c r="I445" t="e">
        <f>LOG(Table1[[#This Row],[Flux in SC / glucose uptake ($mmol/mmol\ glc$)]])</f>
        <v>#NUM!</v>
      </c>
      <c r="J445" t="e">
        <f>LOG(Table1[[#This Row],[Flux in RT / glucose uptake ($mmol/mmol\ glc$)]])</f>
        <v>#NUM!</v>
      </c>
    </row>
    <row r="446" spans="1:10" x14ac:dyDescent="0.2">
      <c r="A446" t="s">
        <v>449</v>
      </c>
      <c r="B446" t="s">
        <v>3157</v>
      </c>
      <c r="C446">
        <v>0</v>
      </c>
      <c r="D446">
        <v>0</v>
      </c>
      <c r="E446">
        <f>ABS(Table1[[#This Row],[Flux in SC / glucose uptake ($mmol/mmol\ glc$)]]-Table1[[#This Row],[Flux in RT / glucose uptake ($mmol/mmol\ glc$)]])/SQRT(2)</f>
        <v>0</v>
      </c>
      <c r="F446">
        <f>Table1[[#This Row],[distance from 45-degree line]]/MAX(Table1[[Flux in SC / glucose uptake ($mmol/mmol\ glc$)]:[Flux in RT / glucose uptake ($mmol/mmol\ glc$)]])</f>
        <v>0</v>
      </c>
      <c r="G446">
        <f>_xlfn.RANK.AVG(Table1[[#This Row],[Flux in SC / glucose uptake ($mmol/mmol\ glc$)]],Table1[Flux in SC / glucose uptake ($mmol/mmol\ glc$)])</f>
        <v>1310.5</v>
      </c>
      <c r="H446">
        <f>_xlfn.RANK.AVG(Table1[[#This Row],[Flux in RT / glucose uptake ($mmol/mmol\ glc$)]],Table1[Flux in RT / glucose uptake ($mmol/mmol\ glc$)])</f>
        <v>1290.5</v>
      </c>
      <c r="I446" t="e">
        <f>LOG(Table1[[#This Row],[Flux in SC / glucose uptake ($mmol/mmol\ glc$)]])</f>
        <v>#NUM!</v>
      </c>
      <c r="J446" t="e">
        <f>LOG(Table1[[#This Row],[Flux in RT / glucose uptake ($mmol/mmol\ glc$)]])</f>
        <v>#NUM!</v>
      </c>
    </row>
    <row r="447" spans="1:10" x14ac:dyDescent="0.2">
      <c r="A447" t="s">
        <v>450</v>
      </c>
      <c r="B447" t="s">
        <v>3164</v>
      </c>
      <c r="C447">
        <v>0</v>
      </c>
      <c r="D447">
        <v>0</v>
      </c>
      <c r="E447">
        <f>ABS(Table1[[#This Row],[Flux in SC / glucose uptake ($mmol/mmol\ glc$)]]-Table1[[#This Row],[Flux in RT / glucose uptake ($mmol/mmol\ glc$)]])/SQRT(2)</f>
        <v>0</v>
      </c>
      <c r="F447">
        <f>Table1[[#This Row],[distance from 45-degree line]]/MAX(Table1[[Flux in SC / glucose uptake ($mmol/mmol\ glc$)]:[Flux in RT / glucose uptake ($mmol/mmol\ glc$)]])</f>
        <v>0</v>
      </c>
      <c r="G447">
        <f>_xlfn.RANK.AVG(Table1[[#This Row],[Flux in SC / glucose uptake ($mmol/mmol\ glc$)]],Table1[Flux in SC / glucose uptake ($mmol/mmol\ glc$)])</f>
        <v>1310.5</v>
      </c>
      <c r="H447">
        <f>_xlfn.RANK.AVG(Table1[[#This Row],[Flux in RT / glucose uptake ($mmol/mmol\ glc$)]],Table1[Flux in RT / glucose uptake ($mmol/mmol\ glc$)])</f>
        <v>1290.5</v>
      </c>
      <c r="I447" t="e">
        <f>LOG(Table1[[#This Row],[Flux in SC / glucose uptake ($mmol/mmol\ glc$)]])</f>
        <v>#NUM!</v>
      </c>
      <c r="J447" t="e">
        <f>LOG(Table1[[#This Row],[Flux in RT / glucose uptake ($mmol/mmol\ glc$)]])</f>
        <v>#NUM!</v>
      </c>
    </row>
    <row r="448" spans="1:10" x14ac:dyDescent="0.2">
      <c r="A448" t="s">
        <v>451</v>
      </c>
      <c r="B448" t="s">
        <v>3131</v>
      </c>
      <c r="C448">
        <v>0</v>
      </c>
      <c r="D448">
        <v>0</v>
      </c>
      <c r="E448">
        <f>ABS(Table1[[#This Row],[Flux in SC / glucose uptake ($mmol/mmol\ glc$)]]-Table1[[#This Row],[Flux in RT / glucose uptake ($mmol/mmol\ glc$)]])/SQRT(2)</f>
        <v>0</v>
      </c>
      <c r="F448">
        <f>Table1[[#This Row],[distance from 45-degree line]]/MAX(Table1[[Flux in SC / glucose uptake ($mmol/mmol\ glc$)]:[Flux in RT / glucose uptake ($mmol/mmol\ glc$)]])</f>
        <v>0</v>
      </c>
      <c r="G448">
        <f>_xlfn.RANK.AVG(Table1[[#This Row],[Flux in SC / glucose uptake ($mmol/mmol\ glc$)]],Table1[Flux in SC / glucose uptake ($mmol/mmol\ glc$)])</f>
        <v>1310.5</v>
      </c>
      <c r="H448">
        <f>_xlfn.RANK.AVG(Table1[[#This Row],[Flux in RT / glucose uptake ($mmol/mmol\ glc$)]],Table1[Flux in RT / glucose uptake ($mmol/mmol\ glc$)])</f>
        <v>1290.5</v>
      </c>
      <c r="I448" t="e">
        <f>LOG(Table1[[#This Row],[Flux in SC / glucose uptake ($mmol/mmol\ glc$)]])</f>
        <v>#NUM!</v>
      </c>
      <c r="J448" t="e">
        <f>LOG(Table1[[#This Row],[Flux in RT / glucose uptake ($mmol/mmol\ glc$)]])</f>
        <v>#NUM!</v>
      </c>
    </row>
    <row r="449" spans="1:10" x14ac:dyDescent="0.2">
      <c r="A449" t="s">
        <v>452</v>
      </c>
      <c r="B449" t="s">
        <v>3165</v>
      </c>
      <c r="C449">
        <v>0</v>
      </c>
      <c r="D449">
        <v>0</v>
      </c>
      <c r="E449">
        <f>ABS(Table1[[#This Row],[Flux in SC / glucose uptake ($mmol/mmol\ glc$)]]-Table1[[#This Row],[Flux in RT / glucose uptake ($mmol/mmol\ glc$)]])/SQRT(2)</f>
        <v>0</v>
      </c>
      <c r="F449">
        <f>Table1[[#This Row],[distance from 45-degree line]]/MAX(Table1[[Flux in SC / glucose uptake ($mmol/mmol\ glc$)]:[Flux in RT / glucose uptake ($mmol/mmol\ glc$)]])</f>
        <v>0</v>
      </c>
      <c r="G449">
        <f>_xlfn.RANK.AVG(Table1[[#This Row],[Flux in SC / glucose uptake ($mmol/mmol\ glc$)]],Table1[Flux in SC / glucose uptake ($mmol/mmol\ glc$)])</f>
        <v>1310.5</v>
      </c>
      <c r="H449">
        <f>_xlfn.RANK.AVG(Table1[[#This Row],[Flux in RT / glucose uptake ($mmol/mmol\ glc$)]],Table1[Flux in RT / glucose uptake ($mmol/mmol\ glc$)])</f>
        <v>1290.5</v>
      </c>
      <c r="I449" t="e">
        <f>LOG(Table1[[#This Row],[Flux in SC / glucose uptake ($mmol/mmol\ glc$)]])</f>
        <v>#NUM!</v>
      </c>
      <c r="J449" t="e">
        <f>LOG(Table1[[#This Row],[Flux in RT / glucose uptake ($mmol/mmol\ glc$)]])</f>
        <v>#NUM!</v>
      </c>
    </row>
    <row r="450" spans="1:10" x14ac:dyDescent="0.2">
      <c r="A450" t="s">
        <v>453</v>
      </c>
      <c r="B450" t="s">
        <v>3166</v>
      </c>
      <c r="C450">
        <v>8.5190352675541922E-4</v>
      </c>
      <c r="D450">
        <v>3.8556390008188785E-3</v>
      </c>
      <c r="E450">
        <f>ABS(Table1[[#This Row],[Flux in SC / glucose uptake ($mmol/mmol\ glc$)]]-Table1[[#This Row],[Flux in RT / glucose uptake ($mmol/mmol\ glc$)]])/SQRT(2)</f>
        <v>2.1239617226008608E-3</v>
      </c>
      <c r="F450">
        <f>Table1[[#This Row],[distance from 45-degree line]]/MAX(Table1[[Flux in SC / glucose uptake ($mmol/mmol\ glc$)]:[Flux in RT / glucose uptake ($mmol/mmol\ glc$)]])</f>
        <v>1.1447911326780861E-4</v>
      </c>
      <c r="G450">
        <f>_xlfn.RANK.AVG(Table1[[#This Row],[Flux in SC / glucose uptake ($mmol/mmol\ glc$)]],Table1[Flux in SC / glucose uptake ($mmol/mmol\ glc$)])</f>
        <v>223</v>
      </c>
      <c r="H450">
        <f>_xlfn.RANK.AVG(Table1[[#This Row],[Flux in RT / glucose uptake ($mmol/mmol\ glc$)]],Table1[Flux in RT / glucose uptake ($mmol/mmol\ glc$)])</f>
        <v>245</v>
      </c>
      <c r="I450">
        <f>LOG(Table1[[#This Row],[Flux in SC / glucose uptake ($mmol/mmol\ glc$)]])</f>
        <v>-3.0696095838366184</v>
      </c>
      <c r="J450">
        <f>LOG(Table1[[#This Row],[Flux in RT / glucose uptake ($mmol/mmol\ glc$)]])</f>
        <v>-2.413903635373893</v>
      </c>
    </row>
    <row r="451" spans="1:10" x14ac:dyDescent="0.2">
      <c r="A451" t="s">
        <v>454</v>
      </c>
      <c r="B451" t="s">
        <v>3153</v>
      </c>
      <c r="C451">
        <v>0</v>
      </c>
      <c r="D451">
        <v>0</v>
      </c>
      <c r="E451">
        <f>ABS(Table1[[#This Row],[Flux in SC / glucose uptake ($mmol/mmol\ glc$)]]-Table1[[#This Row],[Flux in RT / glucose uptake ($mmol/mmol\ glc$)]])/SQRT(2)</f>
        <v>0</v>
      </c>
      <c r="F451">
        <f>Table1[[#This Row],[distance from 45-degree line]]/MAX(Table1[[Flux in SC / glucose uptake ($mmol/mmol\ glc$)]:[Flux in RT / glucose uptake ($mmol/mmol\ glc$)]])</f>
        <v>0</v>
      </c>
      <c r="G451">
        <f>_xlfn.RANK.AVG(Table1[[#This Row],[Flux in SC / glucose uptake ($mmol/mmol\ glc$)]],Table1[Flux in SC / glucose uptake ($mmol/mmol\ glc$)])</f>
        <v>1310.5</v>
      </c>
      <c r="H451">
        <f>_xlfn.RANK.AVG(Table1[[#This Row],[Flux in RT / glucose uptake ($mmol/mmol\ glc$)]],Table1[Flux in RT / glucose uptake ($mmol/mmol\ glc$)])</f>
        <v>1290.5</v>
      </c>
      <c r="I451" t="e">
        <f>LOG(Table1[[#This Row],[Flux in SC / glucose uptake ($mmol/mmol\ glc$)]])</f>
        <v>#NUM!</v>
      </c>
      <c r="J451" t="e">
        <f>LOG(Table1[[#This Row],[Flux in RT / glucose uptake ($mmol/mmol\ glc$)]])</f>
        <v>#NUM!</v>
      </c>
    </row>
    <row r="452" spans="1:10" x14ac:dyDescent="0.2">
      <c r="A452" t="s">
        <v>455</v>
      </c>
      <c r="B452" t="s">
        <v>3114</v>
      </c>
      <c r="C452">
        <v>0</v>
      </c>
      <c r="D452">
        <v>0</v>
      </c>
      <c r="E452">
        <f>ABS(Table1[[#This Row],[Flux in SC / glucose uptake ($mmol/mmol\ glc$)]]-Table1[[#This Row],[Flux in RT / glucose uptake ($mmol/mmol\ glc$)]])/SQRT(2)</f>
        <v>0</v>
      </c>
      <c r="F452">
        <f>Table1[[#This Row],[distance from 45-degree line]]/MAX(Table1[[Flux in SC / glucose uptake ($mmol/mmol\ glc$)]:[Flux in RT / glucose uptake ($mmol/mmol\ glc$)]])</f>
        <v>0</v>
      </c>
      <c r="G452">
        <f>_xlfn.RANK.AVG(Table1[[#This Row],[Flux in SC / glucose uptake ($mmol/mmol\ glc$)]],Table1[Flux in SC / glucose uptake ($mmol/mmol\ glc$)])</f>
        <v>1310.5</v>
      </c>
      <c r="H452">
        <f>_xlfn.RANK.AVG(Table1[[#This Row],[Flux in RT / glucose uptake ($mmol/mmol\ glc$)]],Table1[Flux in RT / glucose uptake ($mmol/mmol\ glc$)])</f>
        <v>1290.5</v>
      </c>
      <c r="I452" t="e">
        <f>LOG(Table1[[#This Row],[Flux in SC / glucose uptake ($mmol/mmol\ glc$)]])</f>
        <v>#NUM!</v>
      </c>
      <c r="J452" t="e">
        <f>LOG(Table1[[#This Row],[Flux in RT / glucose uptake ($mmol/mmol\ glc$)]])</f>
        <v>#NUM!</v>
      </c>
    </row>
    <row r="453" spans="1:10" x14ac:dyDescent="0.2">
      <c r="A453" t="s">
        <v>456</v>
      </c>
      <c r="B453" t="s">
        <v>3157</v>
      </c>
      <c r="C453">
        <v>0</v>
      </c>
      <c r="D453">
        <v>0</v>
      </c>
      <c r="E453">
        <f>ABS(Table1[[#This Row],[Flux in SC / glucose uptake ($mmol/mmol\ glc$)]]-Table1[[#This Row],[Flux in RT / glucose uptake ($mmol/mmol\ glc$)]])/SQRT(2)</f>
        <v>0</v>
      </c>
      <c r="F453">
        <f>Table1[[#This Row],[distance from 45-degree line]]/MAX(Table1[[Flux in SC / glucose uptake ($mmol/mmol\ glc$)]:[Flux in RT / glucose uptake ($mmol/mmol\ glc$)]])</f>
        <v>0</v>
      </c>
      <c r="G453">
        <f>_xlfn.RANK.AVG(Table1[[#This Row],[Flux in SC / glucose uptake ($mmol/mmol\ glc$)]],Table1[Flux in SC / glucose uptake ($mmol/mmol\ glc$)])</f>
        <v>1310.5</v>
      </c>
      <c r="H453">
        <f>_xlfn.RANK.AVG(Table1[[#This Row],[Flux in RT / glucose uptake ($mmol/mmol\ glc$)]],Table1[Flux in RT / glucose uptake ($mmol/mmol\ glc$)])</f>
        <v>1290.5</v>
      </c>
      <c r="I453" t="e">
        <f>LOG(Table1[[#This Row],[Flux in SC / glucose uptake ($mmol/mmol\ glc$)]])</f>
        <v>#NUM!</v>
      </c>
      <c r="J453" t="e">
        <f>LOG(Table1[[#This Row],[Flux in RT / glucose uptake ($mmol/mmol\ glc$)]])</f>
        <v>#NUM!</v>
      </c>
    </row>
    <row r="454" spans="1:10" x14ac:dyDescent="0.2">
      <c r="A454" t="s">
        <v>457</v>
      </c>
      <c r="B454" t="s">
        <v>3157</v>
      </c>
      <c r="C454">
        <v>0</v>
      </c>
      <c r="D454">
        <v>0</v>
      </c>
      <c r="E454">
        <f>ABS(Table1[[#This Row],[Flux in SC / glucose uptake ($mmol/mmol\ glc$)]]-Table1[[#This Row],[Flux in RT / glucose uptake ($mmol/mmol\ glc$)]])/SQRT(2)</f>
        <v>0</v>
      </c>
      <c r="F454">
        <f>Table1[[#This Row],[distance from 45-degree line]]/MAX(Table1[[Flux in SC / glucose uptake ($mmol/mmol\ glc$)]:[Flux in RT / glucose uptake ($mmol/mmol\ glc$)]])</f>
        <v>0</v>
      </c>
      <c r="G454">
        <f>_xlfn.RANK.AVG(Table1[[#This Row],[Flux in SC / glucose uptake ($mmol/mmol\ glc$)]],Table1[Flux in SC / glucose uptake ($mmol/mmol\ glc$)])</f>
        <v>1310.5</v>
      </c>
      <c r="H454">
        <f>_xlfn.RANK.AVG(Table1[[#This Row],[Flux in RT / glucose uptake ($mmol/mmol\ glc$)]],Table1[Flux in RT / glucose uptake ($mmol/mmol\ glc$)])</f>
        <v>1290.5</v>
      </c>
      <c r="I454" t="e">
        <f>LOG(Table1[[#This Row],[Flux in SC / glucose uptake ($mmol/mmol\ glc$)]])</f>
        <v>#NUM!</v>
      </c>
      <c r="J454" t="e">
        <f>LOG(Table1[[#This Row],[Flux in RT / glucose uptake ($mmol/mmol\ glc$)]])</f>
        <v>#NUM!</v>
      </c>
    </row>
    <row r="455" spans="1:10" x14ac:dyDescent="0.2">
      <c r="A455" t="s">
        <v>458</v>
      </c>
      <c r="B455" t="s">
        <v>3114</v>
      </c>
      <c r="C455">
        <v>0</v>
      </c>
      <c r="D455">
        <v>0</v>
      </c>
      <c r="E455">
        <f>ABS(Table1[[#This Row],[Flux in SC / glucose uptake ($mmol/mmol\ glc$)]]-Table1[[#This Row],[Flux in RT / glucose uptake ($mmol/mmol\ glc$)]])/SQRT(2)</f>
        <v>0</v>
      </c>
      <c r="F455">
        <f>Table1[[#This Row],[distance from 45-degree line]]/MAX(Table1[[Flux in SC / glucose uptake ($mmol/mmol\ glc$)]:[Flux in RT / glucose uptake ($mmol/mmol\ glc$)]])</f>
        <v>0</v>
      </c>
      <c r="G455">
        <f>_xlfn.RANK.AVG(Table1[[#This Row],[Flux in SC / glucose uptake ($mmol/mmol\ glc$)]],Table1[Flux in SC / glucose uptake ($mmol/mmol\ glc$)])</f>
        <v>1310.5</v>
      </c>
      <c r="H455">
        <f>_xlfn.RANK.AVG(Table1[[#This Row],[Flux in RT / glucose uptake ($mmol/mmol\ glc$)]],Table1[Flux in RT / glucose uptake ($mmol/mmol\ glc$)])</f>
        <v>1290.5</v>
      </c>
      <c r="I455" t="e">
        <f>LOG(Table1[[#This Row],[Flux in SC / glucose uptake ($mmol/mmol\ glc$)]])</f>
        <v>#NUM!</v>
      </c>
      <c r="J455" t="e">
        <f>LOG(Table1[[#This Row],[Flux in RT / glucose uptake ($mmol/mmol\ glc$)]])</f>
        <v>#NUM!</v>
      </c>
    </row>
    <row r="456" spans="1:10" x14ac:dyDescent="0.2">
      <c r="A456" t="s">
        <v>459</v>
      </c>
      <c r="B456" t="s">
        <v>3114</v>
      </c>
      <c r="C456">
        <v>0</v>
      </c>
      <c r="D456">
        <v>0</v>
      </c>
      <c r="E456">
        <f>ABS(Table1[[#This Row],[Flux in SC / glucose uptake ($mmol/mmol\ glc$)]]-Table1[[#This Row],[Flux in RT / glucose uptake ($mmol/mmol\ glc$)]])/SQRT(2)</f>
        <v>0</v>
      </c>
      <c r="F456">
        <f>Table1[[#This Row],[distance from 45-degree line]]/MAX(Table1[[Flux in SC / glucose uptake ($mmol/mmol\ glc$)]:[Flux in RT / glucose uptake ($mmol/mmol\ glc$)]])</f>
        <v>0</v>
      </c>
      <c r="G456">
        <f>_xlfn.RANK.AVG(Table1[[#This Row],[Flux in SC / glucose uptake ($mmol/mmol\ glc$)]],Table1[Flux in SC / glucose uptake ($mmol/mmol\ glc$)])</f>
        <v>1310.5</v>
      </c>
      <c r="H456">
        <f>_xlfn.RANK.AVG(Table1[[#This Row],[Flux in RT / glucose uptake ($mmol/mmol\ glc$)]],Table1[Flux in RT / glucose uptake ($mmol/mmol\ glc$)])</f>
        <v>1290.5</v>
      </c>
      <c r="I456" t="e">
        <f>LOG(Table1[[#This Row],[Flux in SC / glucose uptake ($mmol/mmol\ glc$)]])</f>
        <v>#NUM!</v>
      </c>
      <c r="J456" t="e">
        <f>LOG(Table1[[#This Row],[Flux in RT / glucose uptake ($mmol/mmol\ glc$)]])</f>
        <v>#NUM!</v>
      </c>
    </row>
    <row r="457" spans="1:10" x14ac:dyDescent="0.2">
      <c r="A457" t="s">
        <v>460</v>
      </c>
      <c r="B457" t="s">
        <v>3128</v>
      </c>
      <c r="C457">
        <v>0</v>
      </c>
      <c r="D457">
        <v>0</v>
      </c>
      <c r="E457">
        <f>ABS(Table1[[#This Row],[Flux in SC / glucose uptake ($mmol/mmol\ glc$)]]-Table1[[#This Row],[Flux in RT / glucose uptake ($mmol/mmol\ glc$)]])/SQRT(2)</f>
        <v>0</v>
      </c>
      <c r="F457">
        <f>Table1[[#This Row],[distance from 45-degree line]]/MAX(Table1[[Flux in SC / glucose uptake ($mmol/mmol\ glc$)]:[Flux in RT / glucose uptake ($mmol/mmol\ glc$)]])</f>
        <v>0</v>
      </c>
      <c r="G457">
        <f>_xlfn.RANK.AVG(Table1[[#This Row],[Flux in SC / glucose uptake ($mmol/mmol\ glc$)]],Table1[Flux in SC / glucose uptake ($mmol/mmol\ glc$)])</f>
        <v>1310.5</v>
      </c>
      <c r="H457">
        <f>_xlfn.RANK.AVG(Table1[[#This Row],[Flux in RT / glucose uptake ($mmol/mmol\ glc$)]],Table1[Flux in RT / glucose uptake ($mmol/mmol\ glc$)])</f>
        <v>1290.5</v>
      </c>
      <c r="I457" t="e">
        <f>LOG(Table1[[#This Row],[Flux in SC / glucose uptake ($mmol/mmol\ glc$)]])</f>
        <v>#NUM!</v>
      </c>
      <c r="J457" t="e">
        <f>LOG(Table1[[#This Row],[Flux in RT / glucose uptake ($mmol/mmol\ glc$)]])</f>
        <v>#NUM!</v>
      </c>
    </row>
    <row r="458" spans="1:10" x14ac:dyDescent="0.2">
      <c r="A458" t="s">
        <v>461</v>
      </c>
      <c r="B458" t="s">
        <v>3125</v>
      </c>
      <c r="C458">
        <v>0</v>
      </c>
      <c r="D458">
        <v>0</v>
      </c>
      <c r="E458">
        <f>ABS(Table1[[#This Row],[Flux in SC / glucose uptake ($mmol/mmol\ glc$)]]-Table1[[#This Row],[Flux in RT / glucose uptake ($mmol/mmol\ glc$)]])/SQRT(2)</f>
        <v>0</v>
      </c>
      <c r="F458">
        <f>Table1[[#This Row],[distance from 45-degree line]]/MAX(Table1[[Flux in SC / glucose uptake ($mmol/mmol\ glc$)]:[Flux in RT / glucose uptake ($mmol/mmol\ glc$)]])</f>
        <v>0</v>
      </c>
      <c r="G458">
        <f>_xlfn.RANK.AVG(Table1[[#This Row],[Flux in SC / glucose uptake ($mmol/mmol\ glc$)]],Table1[Flux in SC / glucose uptake ($mmol/mmol\ glc$)])</f>
        <v>1310.5</v>
      </c>
      <c r="H458">
        <f>_xlfn.RANK.AVG(Table1[[#This Row],[Flux in RT / glucose uptake ($mmol/mmol\ glc$)]],Table1[Flux in RT / glucose uptake ($mmol/mmol\ glc$)])</f>
        <v>1290.5</v>
      </c>
      <c r="I458" t="e">
        <f>LOG(Table1[[#This Row],[Flux in SC / glucose uptake ($mmol/mmol\ glc$)]])</f>
        <v>#NUM!</v>
      </c>
      <c r="J458" t="e">
        <f>LOG(Table1[[#This Row],[Flux in RT / glucose uptake ($mmol/mmol\ glc$)]])</f>
        <v>#NUM!</v>
      </c>
    </row>
    <row r="459" spans="1:10" x14ac:dyDescent="0.2">
      <c r="A459" t="s">
        <v>462</v>
      </c>
      <c r="B459" t="s">
        <v>3167</v>
      </c>
      <c r="C459">
        <v>4.6952544129674761E-4</v>
      </c>
      <c r="D459">
        <v>3.8791354599756874E-3</v>
      </c>
      <c r="E459">
        <f>ABS(Table1[[#This Row],[Flux in SC / glucose uptake ($mmol/mmol\ glc$)]]-Table1[[#This Row],[Flux in RT / glucose uptake ($mmol/mmol\ glc$)]])/SQRT(2)</f>
        <v>2.4109583654094691E-3</v>
      </c>
      <c r="F459">
        <f>Table1[[#This Row],[distance from 45-degree line]]/MAX(Table1[[Flux in SC / glucose uptake ($mmol/mmol\ glc$)]:[Flux in RT / glucose uptake ($mmol/mmol\ glc$)]])</f>
        <v>1.2994790483309882E-4</v>
      </c>
      <c r="G459">
        <f>_xlfn.RANK.AVG(Table1[[#This Row],[Flux in SC / glucose uptake ($mmol/mmol\ glc$)]],Table1[Flux in SC / glucose uptake ($mmol/mmol\ glc$)])</f>
        <v>243.5</v>
      </c>
      <c r="H459">
        <f>_xlfn.RANK.AVG(Table1[[#This Row],[Flux in RT / glucose uptake ($mmol/mmol\ glc$)]],Table1[Flux in RT / glucose uptake ($mmol/mmol\ glc$)])</f>
        <v>232.5</v>
      </c>
      <c r="I459">
        <f>LOG(Table1[[#This Row],[Flux in SC / glucose uptake ($mmol/mmol\ glc$)]])</f>
        <v>-3.3283408704576396</v>
      </c>
      <c r="J459">
        <f>LOG(Table1[[#This Row],[Flux in RT / glucose uptake ($mmol/mmol\ glc$)]])</f>
        <v>-2.4112650545085335</v>
      </c>
    </row>
    <row r="460" spans="1:10" x14ac:dyDescent="0.2">
      <c r="A460" t="s">
        <v>463</v>
      </c>
      <c r="B460" t="s">
        <v>3167</v>
      </c>
      <c r="C460">
        <v>4.6952544129674761E-4</v>
      </c>
      <c r="D460">
        <v>3.8791308682853648E-3</v>
      </c>
      <c r="E460">
        <f>ABS(Table1[[#This Row],[Flux in SC / glucose uptake ($mmol/mmol\ glc$)]]-Table1[[#This Row],[Flux in RT / glucose uptake ($mmol/mmol\ glc$)]])/SQRT(2)</f>
        <v>2.4109551185941048E-3</v>
      </c>
      <c r="F460">
        <f>Table1[[#This Row],[distance from 45-degree line]]/MAX(Table1[[Flux in SC / glucose uptake ($mmol/mmol\ glc$)]:[Flux in RT / glucose uptake ($mmol/mmol\ glc$)]])</f>
        <v>1.2994772983345552E-4</v>
      </c>
      <c r="G460">
        <f>_xlfn.RANK.AVG(Table1[[#This Row],[Flux in SC / glucose uptake ($mmol/mmol\ glc$)]],Table1[Flux in SC / glucose uptake ($mmol/mmol\ glc$)])</f>
        <v>243.5</v>
      </c>
      <c r="H460">
        <f>_xlfn.RANK.AVG(Table1[[#This Row],[Flux in RT / glucose uptake ($mmol/mmol\ glc$)]],Table1[Flux in RT / glucose uptake ($mmol/mmol\ glc$)])</f>
        <v>240.5</v>
      </c>
      <c r="I460">
        <f>LOG(Table1[[#This Row],[Flux in SC / glucose uptake ($mmol/mmol\ glc$)]])</f>
        <v>-3.3283408704576396</v>
      </c>
      <c r="J460">
        <f>LOG(Table1[[#This Row],[Flux in RT / glucose uptake ($mmol/mmol\ glc$)]])</f>
        <v>-2.4112655685784778</v>
      </c>
    </row>
    <row r="461" spans="1:10" x14ac:dyDescent="0.2">
      <c r="A461" t="s">
        <v>464</v>
      </c>
      <c r="B461" t="s">
        <v>3167</v>
      </c>
      <c r="C461">
        <v>0</v>
      </c>
      <c r="D461">
        <v>0</v>
      </c>
      <c r="E461">
        <f>ABS(Table1[[#This Row],[Flux in SC / glucose uptake ($mmol/mmol\ glc$)]]-Table1[[#This Row],[Flux in RT / glucose uptake ($mmol/mmol\ glc$)]])/SQRT(2)</f>
        <v>0</v>
      </c>
      <c r="F461">
        <f>Table1[[#This Row],[distance from 45-degree line]]/MAX(Table1[[Flux in SC / glucose uptake ($mmol/mmol\ glc$)]:[Flux in RT / glucose uptake ($mmol/mmol\ glc$)]])</f>
        <v>0</v>
      </c>
      <c r="G461">
        <f>_xlfn.RANK.AVG(Table1[[#This Row],[Flux in SC / glucose uptake ($mmol/mmol\ glc$)]],Table1[Flux in SC / glucose uptake ($mmol/mmol\ glc$)])</f>
        <v>1310.5</v>
      </c>
      <c r="H461">
        <f>_xlfn.RANK.AVG(Table1[[#This Row],[Flux in RT / glucose uptake ($mmol/mmol\ glc$)]],Table1[Flux in RT / glucose uptake ($mmol/mmol\ glc$)])</f>
        <v>1290.5</v>
      </c>
      <c r="I461" t="e">
        <f>LOG(Table1[[#This Row],[Flux in SC / glucose uptake ($mmol/mmol\ glc$)]])</f>
        <v>#NUM!</v>
      </c>
      <c r="J461" t="e">
        <f>LOG(Table1[[#This Row],[Flux in RT / glucose uptake ($mmol/mmol\ glc$)]])</f>
        <v>#NUM!</v>
      </c>
    </row>
    <row r="462" spans="1:10" x14ac:dyDescent="0.2">
      <c r="A462" t="s">
        <v>465</v>
      </c>
      <c r="B462" t="s">
        <v>3167</v>
      </c>
      <c r="C462">
        <v>4.6952544129674761E-4</v>
      </c>
      <c r="D462">
        <v>3.8791354599756874E-3</v>
      </c>
      <c r="E462">
        <f>ABS(Table1[[#This Row],[Flux in SC / glucose uptake ($mmol/mmol\ glc$)]]-Table1[[#This Row],[Flux in RT / glucose uptake ($mmol/mmol\ glc$)]])/SQRT(2)</f>
        <v>2.4109583654094691E-3</v>
      </c>
      <c r="F462">
        <f>Table1[[#This Row],[distance from 45-degree line]]/MAX(Table1[[Flux in SC / glucose uptake ($mmol/mmol\ glc$)]:[Flux in RT / glucose uptake ($mmol/mmol\ glc$)]])</f>
        <v>1.2994790483309882E-4</v>
      </c>
      <c r="G462">
        <f>_xlfn.RANK.AVG(Table1[[#This Row],[Flux in SC / glucose uptake ($mmol/mmol\ glc$)]],Table1[Flux in SC / glucose uptake ($mmol/mmol\ glc$)])</f>
        <v>243.5</v>
      </c>
      <c r="H462">
        <f>_xlfn.RANK.AVG(Table1[[#This Row],[Flux in RT / glucose uptake ($mmol/mmol\ glc$)]],Table1[Flux in RT / glucose uptake ($mmol/mmol\ glc$)])</f>
        <v>232.5</v>
      </c>
      <c r="I462">
        <f>LOG(Table1[[#This Row],[Flux in SC / glucose uptake ($mmol/mmol\ glc$)]])</f>
        <v>-3.3283408704576396</v>
      </c>
      <c r="J462">
        <f>LOG(Table1[[#This Row],[Flux in RT / glucose uptake ($mmol/mmol\ glc$)]])</f>
        <v>-2.4112650545085335</v>
      </c>
    </row>
    <row r="463" spans="1:10" x14ac:dyDescent="0.2">
      <c r="A463" t="s">
        <v>466</v>
      </c>
      <c r="B463" t="s">
        <v>3167</v>
      </c>
      <c r="C463">
        <v>4.6952544129674761E-4</v>
      </c>
      <c r="D463">
        <v>3.8791354599756874E-3</v>
      </c>
      <c r="E463">
        <f>ABS(Table1[[#This Row],[Flux in SC / glucose uptake ($mmol/mmol\ glc$)]]-Table1[[#This Row],[Flux in RT / glucose uptake ($mmol/mmol\ glc$)]])/SQRT(2)</f>
        <v>2.4109583654094691E-3</v>
      </c>
      <c r="F463">
        <f>Table1[[#This Row],[distance from 45-degree line]]/MAX(Table1[[Flux in SC / glucose uptake ($mmol/mmol\ glc$)]:[Flux in RT / glucose uptake ($mmol/mmol\ glc$)]])</f>
        <v>1.2994790483309882E-4</v>
      </c>
      <c r="G463">
        <f>_xlfn.RANK.AVG(Table1[[#This Row],[Flux in SC / glucose uptake ($mmol/mmol\ glc$)]],Table1[Flux in SC / glucose uptake ($mmol/mmol\ glc$)])</f>
        <v>243.5</v>
      </c>
      <c r="H463">
        <f>_xlfn.RANK.AVG(Table1[[#This Row],[Flux in RT / glucose uptake ($mmol/mmol\ glc$)]],Table1[Flux in RT / glucose uptake ($mmol/mmol\ glc$)])</f>
        <v>232.5</v>
      </c>
      <c r="I463">
        <f>LOG(Table1[[#This Row],[Flux in SC / glucose uptake ($mmol/mmol\ glc$)]])</f>
        <v>-3.3283408704576396</v>
      </c>
      <c r="J463">
        <f>LOG(Table1[[#This Row],[Flux in RT / glucose uptake ($mmol/mmol\ glc$)]])</f>
        <v>-2.4112650545085335</v>
      </c>
    </row>
    <row r="464" spans="1:10" x14ac:dyDescent="0.2">
      <c r="A464" t="s">
        <v>467</v>
      </c>
      <c r="B464" t="s">
        <v>3167</v>
      </c>
      <c r="C464">
        <v>4.6952544129674761E-4</v>
      </c>
      <c r="D464">
        <v>3.8791354599756874E-3</v>
      </c>
      <c r="E464">
        <f>ABS(Table1[[#This Row],[Flux in SC / glucose uptake ($mmol/mmol\ glc$)]]-Table1[[#This Row],[Flux in RT / glucose uptake ($mmol/mmol\ glc$)]])/SQRT(2)</f>
        <v>2.4109583654094691E-3</v>
      </c>
      <c r="F464">
        <f>Table1[[#This Row],[distance from 45-degree line]]/MAX(Table1[[Flux in SC / glucose uptake ($mmol/mmol\ glc$)]:[Flux in RT / glucose uptake ($mmol/mmol\ glc$)]])</f>
        <v>1.2994790483309882E-4</v>
      </c>
      <c r="G464">
        <f>_xlfn.RANK.AVG(Table1[[#This Row],[Flux in SC / glucose uptake ($mmol/mmol\ glc$)]],Table1[Flux in SC / glucose uptake ($mmol/mmol\ glc$)])</f>
        <v>243.5</v>
      </c>
      <c r="H464">
        <f>_xlfn.RANK.AVG(Table1[[#This Row],[Flux in RT / glucose uptake ($mmol/mmol\ glc$)]],Table1[Flux in RT / glucose uptake ($mmol/mmol\ glc$)])</f>
        <v>232.5</v>
      </c>
      <c r="I464">
        <f>LOG(Table1[[#This Row],[Flux in SC / glucose uptake ($mmol/mmol\ glc$)]])</f>
        <v>-3.3283408704576396</v>
      </c>
      <c r="J464">
        <f>LOG(Table1[[#This Row],[Flux in RT / glucose uptake ($mmol/mmol\ glc$)]])</f>
        <v>-2.4112650545085335</v>
      </c>
    </row>
    <row r="465" spans="1:10" x14ac:dyDescent="0.2">
      <c r="A465" t="s">
        <v>468</v>
      </c>
      <c r="B465" t="s">
        <v>3167</v>
      </c>
      <c r="C465">
        <v>4.6952544129674761E-4</v>
      </c>
      <c r="D465">
        <v>3.8791354599756874E-3</v>
      </c>
      <c r="E465">
        <f>ABS(Table1[[#This Row],[Flux in SC / glucose uptake ($mmol/mmol\ glc$)]]-Table1[[#This Row],[Flux in RT / glucose uptake ($mmol/mmol\ glc$)]])/SQRT(2)</f>
        <v>2.4109583654094691E-3</v>
      </c>
      <c r="F465">
        <f>Table1[[#This Row],[distance from 45-degree line]]/MAX(Table1[[Flux in SC / glucose uptake ($mmol/mmol\ glc$)]:[Flux in RT / glucose uptake ($mmol/mmol\ glc$)]])</f>
        <v>1.2994790483309882E-4</v>
      </c>
      <c r="G465">
        <f>_xlfn.RANK.AVG(Table1[[#This Row],[Flux in SC / glucose uptake ($mmol/mmol\ glc$)]],Table1[Flux in SC / glucose uptake ($mmol/mmol\ glc$)])</f>
        <v>243.5</v>
      </c>
      <c r="H465">
        <f>_xlfn.RANK.AVG(Table1[[#This Row],[Flux in RT / glucose uptake ($mmol/mmol\ glc$)]],Table1[Flux in RT / glucose uptake ($mmol/mmol\ glc$)])</f>
        <v>232.5</v>
      </c>
      <c r="I465">
        <f>LOG(Table1[[#This Row],[Flux in SC / glucose uptake ($mmol/mmol\ glc$)]])</f>
        <v>-3.3283408704576396</v>
      </c>
      <c r="J465">
        <f>LOG(Table1[[#This Row],[Flux in RT / glucose uptake ($mmol/mmol\ glc$)]])</f>
        <v>-2.4112650545085335</v>
      </c>
    </row>
    <row r="466" spans="1:10" x14ac:dyDescent="0.2">
      <c r="A466" t="s">
        <v>469</v>
      </c>
      <c r="B466" t="s">
        <v>3167</v>
      </c>
      <c r="C466">
        <v>4.6952544129674761E-4</v>
      </c>
      <c r="D466">
        <v>3.8791354599756874E-3</v>
      </c>
      <c r="E466">
        <f>ABS(Table1[[#This Row],[Flux in SC / glucose uptake ($mmol/mmol\ glc$)]]-Table1[[#This Row],[Flux in RT / glucose uptake ($mmol/mmol\ glc$)]])/SQRT(2)</f>
        <v>2.4109583654094691E-3</v>
      </c>
      <c r="F466">
        <f>Table1[[#This Row],[distance from 45-degree line]]/MAX(Table1[[Flux in SC / glucose uptake ($mmol/mmol\ glc$)]:[Flux in RT / glucose uptake ($mmol/mmol\ glc$)]])</f>
        <v>1.2994790483309882E-4</v>
      </c>
      <c r="G466">
        <f>_xlfn.RANK.AVG(Table1[[#This Row],[Flux in SC / glucose uptake ($mmol/mmol\ glc$)]],Table1[Flux in SC / glucose uptake ($mmol/mmol\ glc$)])</f>
        <v>243.5</v>
      </c>
      <c r="H466">
        <f>_xlfn.RANK.AVG(Table1[[#This Row],[Flux in RT / glucose uptake ($mmol/mmol\ glc$)]],Table1[Flux in RT / glucose uptake ($mmol/mmol\ glc$)])</f>
        <v>232.5</v>
      </c>
      <c r="I466">
        <f>LOG(Table1[[#This Row],[Flux in SC / glucose uptake ($mmol/mmol\ glc$)]])</f>
        <v>-3.3283408704576396</v>
      </c>
      <c r="J466">
        <f>LOG(Table1[[#This Row],[Flux in RT / glucose uptake ($mmol/mmol\ glc$)]])</f>
        <v>-2.4112650545085335</v>
      </c>
    </row>
    <row r="467" spans="1:10" x14ac:dyDescent="0.2">
      <c r="A467" t="s">
        <v>470</v>
      </c>
      <c r="B467" t="s">
        <v>3167</v>
      </c>
      <c r="C467">
        <v>4.6952544129674761E-4</v>
      </c>
      <c r="D467">
        <v>3.8791354599756874E-3</v>
      </c>
      <c r="E467">
        <f>ABS(Table1[[#This Row],[Flux in SC / glucose uptake ($mmol/mmol\ glc$)]]-Table1[[#This Row],[Flux in RT / glucose uptake ($mmol/mmol\ glc$)]])/SQRT(2)</f>
        <v>2.4109583654094691E-3</v>
      </c>
      <c r="F467">
        <f>Table1[[#This Row],[distance from 45-degree line]]/MAX(Table1[[Flux in SC / glucose uptake ($mmol/mmol\ glc$)]:[Flux in RT / glucose uptake ($mmol/mmol\ glc$)]])</f>
        <v>1.2994790483309882E-4</v>
      </c>
      <c r="G467">
        <f>_xlfn.RANK.AVG(Table1[[#This Row],[Flux in SC / glucose uptake ($mmol/mmol\ glc$)]],Table1[Flux in SC / glucose uptake ($mmol/mmol\ glc$)])</f>
        <v>243.5</v>
      </c>
      <c r="H467">
        <f>_xlfn.RANK.AVG(Table1[[#This Row],[Flux in RT / glucose uptake ($mmol/mmol\ glc$)]],Table1[Flux in RT / glucose uptake ($mmol/mmol\ glc$)])</f>
        <v>232.5</v>
      </c>
      <c r="I467">
        <f>LOG(Table1[[#This Row],[Flux in SC / glucose uptake ($mmol/mmol\ glc$)]])</f>
        <v>-3.3283408704576396</v>
      </c>
      <c r="J467">
        <f>LOG(Table1[[#This Row],[Flux in RT / glucose uptake ($mmol/mmol\ glc$)]])</f>
        <v>-2.4112650545085335</v>
      </c>
    </row>
    <row r="468" spans="1:10" x14ac:dyDescent="0.2">
      <c r="A468" t="s">
        <v>471</v>
      </c>
      <c r="B468" t="s">
        <v>3167</v>
      </c>
      <c r="C468">
        <v>4.6952544129674761E-4</v>
      </c>
      <c r="D468">
        <v>3.8791354599756874E-3</v>
      </c>
      <c r="E468">
        <f>ABS(Table1[[#This Row],[Flux in SC / glucose uptake ($mmol/mmol\ glc$)]]-Table1[[#This Row],[Flux in RT / glucose uptake ($mmol/mmol\ glc$)]])/SQRT(2)</f>
        <v>2.4109583654094691E-3</v>
      </c>
      <c r="F468">
        <f>Table1[[#This Row],[distance from 45-degree line]]/MAX(Table1[[Flux in SC / glucose uptake ($mmol/mmol\ glc$)]:[Flux in RT / glucose uptake ($mmol/mmol\ glc$)]])</f>
        <v>1.2994790483309882E-4</v>
      </c>
      <c r="G468">
        <f>_xlfn.RANK.AVG(Table1[[#This Row],[Flux in SC / glucose uptake ($mmol/mmol\ glc$)]],Table1[Flux in SC / glucose uptake ($mmol/mmol\ glc$)])</f>
        <v>243.5</v>
      </c>
      <c r="H468">
        <f>_xlfn.RANK.AVG(Table1[[#This Row],[Flux in RT / glucose uptake ($mmol/mmol\ glc$)]],Table1[Flux in RT / glucose uptake ($mmol/mmol\ glc$)])</f>
        <v>232.5</v>
      </c>
      <c r="I468">
        <f>LOG(Table1[[#This Row],[Flux in SC / glucose uptake ($mmol/mmol\ glc$)]])</f>
        <v>-3.3283408704576396</v>
      </c>
      <c r="J468">
        <f>LOG(Table1[[#This Row],[Flux in RT / glucose uptake ($mmol/mmol\ glc$)]])</f>
        <v>-2.4112650545085335</v>
      </c>
    </row>
    <row r="469" spans="1:10" x14ac:dyDescent="0.2">
      <c r="A469" t="s">
        <v>472</v>
      </c>
      <c r="B469" t="s">
        <v>3167</v>
      </c>
      <c r="C469">
        <v>4.6952544129674761E-4</v>
      </c>
      <c r="D469">
        <v>3.8791354599756874E-3</v>
      </c>
      <c r="E469">
        <f>ABS(Table1[[#This Row],[Flux in SC / glucose uptake ($mmol/mmol\ glc$)]]-Table1[[#This Row],[Flux in RT / glucose uptake ($mmol/mmol\ glc$)]])/SQRT(2)</f>
        <v>2.4109583654094691E-3</v>
      </c>
      <c r="F469">
        <f>Table1[[#This Row],[distance from 45-degree line]]/MAX(Table1[[Flux in SC / glucose uptake ($mmol/mmol\ glc$)]:[Flux in RT / glucose uptake ($mmol/mmol\ glc$)]])</f>
        <v>1.2994790483309882E-4</v>
      </c>
      <c r="G469">
        <f>_xlfn.RANK.AVG(Table1[[#This Row],[Flux in SC / glucose uptake ($mmol/mmol\ glc$)]],Table1[Flux in SC / glucose uptake ($mmol/mmol\ glc$)])</f>
        <v>243.5</v>
      </c>
      <c r="H469">
        <f>_xlfn.RANK.AVG(Table1[[#This Row],[Flux in RT / glucose uptake ($mmol/mmol\ glc$)]],Table1[Flux in RT / glucose uptake ($mmol/mmol\ glc$)])</f>
        <v>232.5</v>
      </c>
      <c r="I469">
        <f>LOG(Table1[[#This Row],[Flux in SC / glucose uptake ($mmol/mmol\ glc$)]])</f>
        <v>-3.3283408704576396</v>
      </c>
      <c r="J469">
        <f>LOG(Table1[[#This Row],[Flux in RT / glucose uptake ($mmol/mmol\ glc$)]])</f>
        <v>-2.4112650545085335</v>
      </c>
    </row>
    <row r="470" spans="1:10" x14ac:dyDescent="0.2">
      <c r="A470" t="s">
        <v>473</v>
      </c>
      <c r="B470" t="s">
        <v>3167</v>
      </c>
      <c r="C470">
        <v>4.6952544129674761E-4</v>
      </c>
      <c r="D470">
        <v>3.8791308682853648E-3</v>
      </c>
      <c r="E470">
        <f>ABS(Table1[[#This Row],[Flux in SC / glucose uptake ($mmol/mmol\ glc$)]]-Table1[[#This Row],[Flux in RT / glucose uptake ($mmol/mmol\ glc$)]])/SQRT(2)</f>
        <v>2.4109551185941048E-3</v>
      </c>
      <c r="F470">
        <f>Table1[[#This Row],[distance from 45-degree line]]/MAX(Table1[[Flux in SC / glucose uptake ($mmol/mmol\ glc$)]:[Flux in RT / glucose uptake ($mmol/mmol\ glc$)]])</f>
        <v>1.2994772983345552E-4</v>
      </c>
      <c r="G470">
        <f>_xlfn.RANK.AVG(Table1[[#This Row],[Flux in SC / glucose uptake ($mmol/mmol\ glc$)]],Table1[Flux in SC / glucose uptake ($mmol/mmol\ glc$)])</f>
        <v>243.5</v>
      </c>
      <c r="H470">
        <f>_xlfn.RANK.AVG(Table1[[#This Row],[Flux in RT / glucose uptake ($mmol/mmol\ glc$)]],Table1[Flux in RT / glucose uptake ($mmol/mmol\ glc$)])</f>
        <v>240.5</v>
      </c>
      <c r="I470">
        <f>LOG(Table1[[#This Row],[Flux in SC / glucose uptake ($mmol/mmol\ glc$)]])</f>
        <v>-3.3283408704576396</v>
      </c>
      <c r="J470">
        <f>LOG(Table1[[#This Row],[Flux in RT / glucose uptake ($mmol/mmol\ glc$)]])</f>
        <v>-2.4112655685784778</v>
      </c>
    </row>
    <row r="471" spans="1:10" x14ac:dyDescent="0.2">
      <c r="A471" t="s">
        <v>474</v>
      </c>
      <c r="B471" t="s">
        <v>3167</v>
      </c>
      <c r="C471">
        <v>4.6952544129674761E-4</v>
      </c>
      <c r="D471">
        <v>3.8791354599756874E-3</v>
      </c>
      <c r="E471">
        <f>ABS(Table1[[#This Row],[Flux in SC / glucose uptake ($mmol/mmol\ glc$)]]-Table1[[#This Row],[Flux in RT / glucose uptake ($mmol/mmol\ glc$)]])/SQRT(2)</f>
        <v>2.4109583654094691E-3</v>
      </c>
      <c r="F471">
        <f>Table1[[#This Row],[distance from 45-degree line]]/MAX(Table1[[Flux in SC / glucose uptake ($mmol/mmol\ glc$)]:[Flux in RT / glucose uptake ($mmol/mmol\ glc$)]])</f>
        <v>1.2994790483309882E-4</v>
      </c>
      <c r="G471">
        <f>_xlfn.RANK.AVG(Table1[[#This Row],[Flux in SC / glucose uptake ($mmol/mmol\ glc$)]],Table1[Flux in SC / glucose uptake ($mmol/mmol\ glc$)])</f>
        <v>243.5</v>
      </c>
      <c r="H471">
        <f>_xlfn.RANK.AVG(Table1[[#This Row],[Flux in RT / glucose uptake ($mmol/mmol\ glc$)]],Table1[Flux in RT / glucose uptake ($mmol/mmol\ glc$)])</f>
        <v>232.5</v>
      </c>
      <c r="I471">
        <f>LOG(Table1[[#This Row],[Flux in SC / glucose uptake ($mmol/mmol\ glc$)]])</f>
        <v>-3.3283408704576396</v>
      </c>
      <c r="J471">
        <f>LOG(Table1[[#This Row],[Flux in RT / glucose uptake ($mmol/mmol\ glc$)]])</f>
        <v>-2.4112650545085335</v>
      </c>
    </row>
    <row r="472" spans="1:10" x14ac:dyDescent="0.2">
      <c r="A472" t="s">
        <v>475</v>
      </c>
      <c r="B472" t="s">
        <v>3114</v>
      </c>
      <c r="C472">
        <v>1.815805243158865E-5</v>
      </c>
      <c r="D472">
        <v>9.3242412228088808E-5</v>
      </c>
      <c r="E472">
        <f>ABS(Table1[[#This Row],[Flux in SC / glucose uptake ($mmol/mmol\ glc$)]]-Table1[[#This Row],[Flux in RT / glucose uptake ($mmol/mmol\ glc$)]])/SQRT(2)</f>
        <v>5.3092659973155837E-5</v>
      </c>
      <c r="F472">
        <f>Table1[[#This Row],[distance from 45-degree line]]/MAX(Table1[[Flux in SC / glucose uptake ($mmol/mmol\ glc$)]:[Flux in RT / glucose uptake ($mmol/mmol\ glc$)]])</f>
        <v>2.8616337903271836E-6</v>
      </c>
      <c r="G472">
        <f>_xlfn.RANK.AVG(Table1[[#This Row],[Flux in SC / glucose uptake ($mmol/mmol\ glc$)]],Table1[Flux in SC / glucose uptake ($mmol/mmol\ glc$)])</f>
        <v>281.5</v>
      </c>
      <c r="H472">
        <f>_xlfn.RANK.AVG(Table1[[#This Row],[Flux in RT / glucose uptake ($mmol/mmol\ glc$)]],Table1[Flux in RT / glucose uptake ($mmol/mmol\ glc$)])</f>
        <v>277.5</v>
      </c>
      <c r="I472">
        <f>LOG(Table1[[#This Row],[Flux in SC / glucose uptake ($mmol/mmol\ glc$)]])</f>
        <v>-4.7409307342054783</v>
      </c>
      <c r="J472">
        <f>LOG(Table1[[#This Row],[Flux in RT / glucose uptake ($mmol/mmol\ glc$)]])</f>
        <v>-4.0303864995895049</v>
      </c>
    </row>
    <row r="473" spans="1:10" x14ac:dyDescent="0.2">
      <c r="A473" t="s">
        <v>476</v>
      </c>
      <c r="B473" t="s">
        <v>3168</v>
      </c>
      <c r="C473">
        <v>0</v>
      </c>
      <c r="D473">
        <v>0</v>
      </c>
      <c r="E473">
        <f>ABS(Table1[[#This Row],[Flux in SC / glucose uptake ($mmol/mmol\ glc$)]]-Table1[[#This Row],[Flux in RT / glucose uptake ($mmol/mmol\ glc$)]])/SQRT(2)</f>
        <v>0</v>
      </c>
      <c r="F473">
        <f>Table1[[#This Row],[distance from 45-degree line]]/MAX(Table1[[Flux in SC / glucose uptake ($mmol/mmol\ glc$)]:[Flux in RT / glucose uptake ($mmol/mmol\ glc$)]])</f>
        <v>0</v>
      </c>
      <c r="G473">
        <f>_xlfn.RANK.AVG(Table1[[#This Row],[Flux in SC / glucose uptake ($mmol/mmol\ glc$)]],Table1[Flux in SC / glucose uptake ($mmol/mmol\ glc$)])</f>
        <v>1310.5</v>
      </c>
      <c r="H473">
        <f>_xlfn.RANK.AVG(Table1[[#This Row],[Flux in RT / glucose uptake ($mmol/mmol\ glc$)]],Table1[Flux in RT / glucose uptake ($mmol/mmol\ glc$)])</f>
        <v>1290.5</v>
      </c>
      <c r="I473" t="e">
        <f>LOG(Table1[[#This Row],[Flux in SC / glucose uptake ($mmol/mmol\ glc$)]])</f>
        <v>#NUM!</v>
      </c>
      <c r="J473" t="e">
        <f>LOG(Table1[[#This Row],[Flux in RT / glucose uptake ($mmol/mmol\ glc$)]])</f>
        <v>#NUM!</v>
      </c>
    </row>
    <row r="474" spans="1:10" x14ac:dyDescent="0.2">
      <c r="A474" t="s">
        <v>477</v>
      </c>
      <c r="B474" t="s">
        <v>3168</v>
      </c>
      <c r="C474">
        <v>0</v>
      </c>
      <c r="D474">
        <v>0</v>
      </c>
      <c r="E474">
        <f>ABS(Table1[[#This Row],[Flux in SC / glucose uptake ($mmol/mmol\ glc$)]]-Table1[[#This Row],[Flux in RT / glucose uptake ($mmol/mmol\ glc$)]])/SQRT(2)</f>
        <v>0</v>
      </c>
      <c r="F474">
        <f>Table1[[#This Row],[distance from 45-degree line]]/MAX(Table1[[Flux in SC / glucose uptake ($mmol/mmol\ glc$)]:[Flux in RT / glucose uptake ($mmol/mmol\ glc$)]])</f>
        <v>0</v>
      </c>
      <c r="G474">
        <f>_xlfn.RANK.AVG(Table1[[#This Row],[Flux in SC / glucose uptake ($mmol/mmol\ glc$)]],Table1[Flux in SC / glucose uptake ($mmol/mmol\ glc$)])</f>
        <v>1310.5</v>
      </c>
      <c r="H474">
        <f>_xlfn.RANK.AVG(Table1[[#This Row],[Flux in RT / glucose uptake ($mmol/mmol\ glc$)]],Table1[Flux in RT / glucose uptake ($mmol/mmol\ glc$)])</f>
        <v>1290.5</v>
      </c>
      <c r="I474" t="e">
        <f>LOG(Table1[[#This Row],[Flux in SC / glucose uptake ($mmol/mmol\ glc$)]])</f>
        <v>#NUM!</v>
      </c>
      <c r="J474" t="e">
        <f>LOG(Table1[[#This Row],[Flux in RT / glucose uptake ($mmol/mmol\ glc$)]])</f>
        <v>#NUM!</v>
      </c>
    </row>
    <row r="475" spans="1:10" x14ac:dyDescent="0.2">
      <c r="A475" t="s">
        <v>478</v>
      </c>
      <c r="B475" t="s">
        <v>3168</v>
      </c>
      <c r="C475">
        <v>0</v>
      </c>
      <c r="D475">
        <v>0</v>
      </c>
      <c r="E475">
        <f>ABS(Table1[[#This Row],[Flux in SC / glucose uptake ($mmol/mmol\ glc$)]]-Table1[[#This Row],[Flux in RT / glucose uptake ($mmol/mmol\ glc$)]])/SQRT(2)</f>
        <v>0</v>
      </c>
      <c r="F475">
        <f>Table1[[#This Row],[distance from 45-degree line]]/MAX(Table1[[Flux in SC / glucose uptake ($mmol/mmol\ glc$)]:[Flux in RT / glucose uptake ($mmol/mmol\ glc$)]])</f>
        <v>0</v>
      </c>
      <c r="G475">
        <f>_xlfn.RANK.AVG(Table1[[#This Row],[Flux in SC / glucose uptake ($mmol/mmol\ glc$)]],Table1[Flux in SC / glucose uptake ($mmol/mmol\ glc$)])</f>
        <v>1310.5</v>
      </c>
      <c r="H475">
        <f>_xlfn.RANK.AVG(Table1[[#This Row],[Flux in RT / glucose uptake ($mmol/mmol\ glc$)]],Table1[Flux in RT / glucose uptake ($mmol/mmol\ glc$)])</f>
        <v>1290.5</v>
      </c>
      <c r="I475" t="e">
        <f>LOG(Table1[[#This Row],[Flux in SC / glucose uptake ($mmol/mmol\ glc$)]])</f>
        <v>#NUM!</v>
      </c>
      <c r="J475" t="e">
        <f>LOG(Table1[[#This Row],[Flux in RT / glucose uptake ($mmol/mmol\ glc$)]])</f>
        <v>#NUM!</v>
      </c>
    </row>
    <row r="476" spans="1:10" x14ac:dyDescent="0.2">
      <c r="A476" t="s">
        <v>479</v>
      </c>
      <c r="B476" t="s">
        <v>3168</v>
      </c>
      <c r="C476">
        <v>0</v>
      </c>
      <c r="D476">
        <v>0</v>
      </c>
      <c r="E476">
        <f>ABS(Table1[[#This Row],[Flux in SC / glucose uptake ($mmol/mmol\ glc$)]]-Table1[[#This Row],[Flux in RT / glucose uptake ($mmol/mmol\ glc$)]])/SQRT(2)</f>
        <v>0</v>
      </c>
      <c r="F476">
        <f>Table1[[#This Row],[distance from 45-degree line]]/MAX(Table1[[Flux in SC / glucose uptake ($mmol/mmol\ glc$)]:[Flux in RT / glucose uptake ($mmol/mmol\ glc$)]])</f>
        <v>0</v>
      </c>
      <c r="G476">
        <f>_xlfn.RANK.AVG(Table1[[#This Row],[Flux in SC / glucose uptake ($mmol/mmol\ glc$)]],Table1[Flux in SC / glucose uptake ($mmol/mmol\ glc$)])</f>
        <v>1310.5</v>
      </c>
      <c r="H476">
        <f>_xlfn.RANK.AVG(Table1[[#This Row],[Flux in RT / glucose uptake ($mmol/mmol\ glc$)]],Table1[Flux in RT / glucose uptake ($mmol/mmol\ glc$)])</f>
        <v>1290.5</v>
      </c>
      <c r="I476" t="e">
        <f>LOG(Table1[[#This Row],[Flux in SC / glucose uptake ($mmol/mmol\ glc$)]])</f>
        <v>#NUM!</v>
      </c>
      <c r="J476" t="e">
        <f>LOG(Table1[[#This Row],[Flux in RT / glucose uptake ($mmol/mmol\ glc$)]])</f>
        <v>#NUM!</v>
      </c>
    </row>
    <row r="477" spans="1:10" x14ac:dyDescent="0.2">
      <c r="A477" t="s">
        <v>480</v>
      </c>
      <c r="B477" t="s">
        <v>3168</v>
      </c>
      <c r="C477">
        <v>0</v>
      </c>
      <c r="D477">
        <v>0</v>
      </c>
      <c r="E477">
        <f>ABS(Table1[[#This Row],[Flux in SC / glucose uptake ($mmol/mmol\ glc$)]]-Table1[[#This Row],[Flux in RT / glucose uptake ($mmol/mmol\ glc$)]])/SQRT(2)</f>
        <v>0</v>
      </c>
      <c r="F477">
        <f>Table1[[#This Row],[distance from 45-degree line]]/MAX(Table1[[Flux in SC / glucose uptake ($mmol/mmol\ glc$)]:[Flux in RT / glucose uptake ($mmol/mmol\ glc$)]])</f>
        <v>0</v>
      </c>
      <c r="G477">
        <f>_xlfn.RANK.AVG(Table1[[#This Row],[Flux in SC / glucose uptake ($mmol/mmol\ glc$)]],Table1[Flux in SC / glucose uptake ($mmol/mmol\ glc$)])</f>
        <v>1310.5</v>
      </c>
      <c r="H477">
        <f>_xlfn.RANK.AVG(Table1[[#This Row],[Flux in RT / glucose uptake ($mmol/mmol\ glc$)]],Table1[Flux in RT / glucose uptake ($mmol/mmol\ glc$)])</f>
        <v>1290.5</v>
      </c>
      <c r="I477" t="e">
        <f>LOG(Table1[[#This Row],[Flux in SC / glucose uptake ($mmol/mmol\ glc$)]])</f>
        <v>#NUM!</v>
      </c>
      <c r="J477" t="e">
        <f>LOG(Table1[[#This Row],[Flux in RT / glucose uptake ($mmol/mmol\ glc$)]])</f>
        <v>#NUM!</v>
      </c>
    </row>
    <row r="478" spans="1:10" x14ac:dyDescent="0.2">
      <c r="A478" t="s">
        <v>481</v>
      </c>
      <c r="B478" t="s">
        <v>3135</v>
      </c>
      <c r="C478">
        <v>0</v>
      </c>
      <c r="D478">
        <v>0</v>
      </c>
      <c r="E478">
        <f>ABS(Table1[[#This Row],[Flux in SC / glucose uptake ($mmol/mmol\ glc$)]]-Table1[[#This Row],[Flux in RT / glucose uptake ($mmol/mmol\ glc$)]])/SQRT(2)</f>
        <v>0</v>
      </c>
      <c r="F478">
        <f>Table1[[#This Row],[distance from 45-degree line]]/MAX(Table1[[Flux in SC / glucose uptake ($mmol/mmol\ glc$)]:[Flux in RT / glucose uptake ($mmol/mmol\ glc$)]])</f>
        <v>0</v>
      </c>
      <c r="G478">
        <f>_xlfn.RANK.AVG(Table1[[#This Row],[Flux in SC / glucose uptake ($mmol/mmol\ glc$)]],Table1[Flux in SC / glucose uptake ($mmol/mmol\ glc$)])</f>
        <v>1310.5</v>
      </c>
      <c r="H478">
        <f>_xlfn.RANK.AVG(Table1[[#This Row],[Flux in RT / glucose uptake ($mmol/mmol\ glc$)]],Table1[Flux in RT / glucose uptake ($mmol/mmol\ glc$)])</f>
        <v>1290.5</v>
      </c>
      <c r="I478" t="e">
        <f>LOG(Table1[[#This Row],[Flux in SC / glucose uptake ($mmol/mmol\ glc$)]])</f>
        <v>#NUM!</v>
      </c>
      <c r="J478" t="e">
        <f>LOG(Table1[[#This Row],[Flux in RT / glucose uptake ($mmol/mmol\ glc$)]])</f>
        <v>#NUM!</v>
      </c>
    </row>
    <row r="479" spans="1:10" x14ac:dyDescent="0.2">
      <c r="A479" t="s">
        <v>482</v>
      </c>
      <c r="B479" t="s">
        <v>3135</v>
      </c>
      <c r="C479">
        <v>0</v>
      </c>
      <c r="D479">
        <v>0</v>
      </c>
      <c r="E479">
        <f>ABS(Table1[[#This Row],[Flux in SC / glucose uptake ($mmol/mmol\ glc$)]]-Table1[[#This Row],[Flux in RT / glucose uptake ($mmol/mmol\ glc$)]])/SQRT(2)</f>
        <v>0</v>
      </c>
      <c r="F479">
        <f>Table1[[#This Row],[distance from 45-degree line]]/MAX(Table1[[Flux in SC / glucose uptake ($mmol/mmol\ glc$)]:[Flux in RT / glucose uptake ($mmol/mmol\ glc$)]])</f>
        <v>0</v>
      </c>
      <c r="G479">
        <f>_xlfn.RANK.AVG(Table1[[#This Row],[Flux in SC / glucose uptake ($mmol/mmol\ glc$)]],Table1[Flux in SC / glucose uptake ($mmol/mmol\ glc$)])</f>
        <v>1310.5</v>
      </c>
      <c r="H479">
        <f>_xlfn.RANK.AVG(Table1[[#This Row],[Flux in RT / glucose uptake ($mmol/mmol\ glc$)]],Table1[Flux in RT / glucose uptake ($mmol/mmol\ glc$)])</f>
        <v>1290.5</v>
      </c>
      <c r="I479" t="e">
        <f>LOG(Table1[[#This Row],[Flux in SC / glucose uptake ($mmol/mmol\ glc$)]])</f>
        <v>#NUM!</v>
      </c>
      <c r="J479" t="e">
        <f>LOG(Table1[[#This Row],[Flux in RT / glucose uptake ($mmol/mmol\ glc$)]])</f>
        <v>#NUM!</v>
      </c>
    </row>
    <row r="480" spans="1:10" x14ac:dyDescent="0.2">
      <c r="A480" t="s">
        <v>483</v>
      </c>
      <c r="B480" t="s">
        <v>3128</v>
      </c>
      <c r="C480">
        <v>0</v>
      </c>
      <c r="D480">
        <v>0</v>
      </c>
      <c r="E480">
        <f>ABS(Table1[[#This Row],[Flux in SC / glucose uptake ($mmol/mmol\ glc$)]]-Table1[[#This Row],[Flux in RT / glucose uptake ($mmol/mmol\ glc$)]])/SQRT(2)</f>
        <v>0</v>
      </c>
      <c r="F480">
        <f>Table1[[#This Row],[distance from 45-degree line]]/MAX(Table1[[Flux in SC / glucose uptake ($mmol/mmol\ glc$)]:[Flux in RT / glucose uptake ($mmol/mmol\ glc$)]])</f>
        <v>0</v>
      </c>
      <c r="G480">
        <f>_xlfn.RANK.AVG(Table1[[#This Row],[Flux in SC / glucose uptake ($mmol/mmol\ glc$)]],Table1[Flux in SC / glucose uptake ($mmol/mmol\ glc$)])</f>
        <v>1310.5</v>
      </c>
      <c r="H480">
        <f>_xlfn.RANK.AVG(Table1[[#This Row],[Flux in RT / glucose uptake ($mmol/mmol\ glc$)]],Table1[Flux in RT / glucose uptake ($mmol/mmol\ glc$)])</f>
        <v>1290.5</v>
      </c>
      <c r="I480" t="e">
        <f>LOG(Table1[[#This Row],[Flux in SC / glucose uptake ($mmol/mmol\ glc$)]])</f>
        <v>#NUM!</v>
      </c>
      <c r="J480" t="e">
        <f>LOG(Table1[[#This Row],[Flux in RT / glucose uptake ($mmol/mmol\ glc$)]])</f>
        <v>#NUM!</v>
      </c>
    </row>
    <row r="481" spans="1:10" x14ac:dyDescent="0.2">
      <c r="A481" t="s">
        <v>484</v>
      </c>
      <c r="B481" t="s">
        <v>3130</v>
      </c>
      <c r="C481">
        <v>0</v>
      </c>
      <c r="D481">
        <v>0</v>
      </c>
      <c r="E481">
        <f>ABS(Table1[[#This Row],[Flux in SC / glucose uptake ($mmol/mmol\ glc$)]]-Table1[[#This Row],[Flux in RT / glucose uptake ($mmol/mmol\ glc$)]])/SQRT(2)</f>
        <v>0</v>
      </c>
      <c r="F481">
        <f>Table1[[#This Row],[distance from 45-degree line]]/MAX(Table1[[Flux in SC / glucose uptake ($mmol/mmol\ glc$)]:[Flux in RT / glucose uptake ($mmol/mmol\ glc$)]])</f>
        <v>0</v>
      </c>
      <c r="G481">
        <f>_xlfn.RANK.AVG(Table1[[#This Row],[Flux in SC / glucose uptake ($mmol/mmol\ glc$)]],Table1[Flux in SC / glucose uptake ($mmol/mmol\ glc$)])</f>
        <v>1310.5</v>
      </c>
      <c r="H481">
        <f>_xlfn.RANK.AVG(Table1[[#This Row],[Flux in RT / glucose uptake ($mmol/mmol\ glc$)]],Table1[Flux in RT / glucose uptake ($mmol/mmol\ glc$)])</f>
        <v>1290.5</v>
      </c>
      <c r="I481" t="e">
        <f>LOG(Table1[[#This Row],[Flux in SC / glucose uptake ($mmol/mmol\ glc$)]])</f>
        <v>#NUM!</v>
      </c>
      <c r="J481" t="e">
        <f>LOG(Table1[[#This Row],[Flux in RT / glucose uptake ($mmol/mmol\ glc$)]])</f>
        <v>#NUM!</v>
      </c>
    </row>
    <row r="482" spans="1:10" x14ac:dyDescent="0.2">
      <c r="A482" t="s">
        <v>485</v>
      </c>
      <c r="B482" t="s">
        <v>3148</v>
      </c>
      <c r="C482">
        <v>3.6110321147682783E-9</v>
      </c>
      <c r="D482">
        <v>0</v>
      </c>
      <c r="E482">
        <f>ABS(Table1[[#This Row],[Flux in SC / glucose uptake ($mmol/mmol\ glc$)]]-Table1[[#This Row],[Flux in RT / glucose uptake ($mmol/mmol\ glc$)]])/SQRT(2)</f>
        <v>2.5533852954350489E-9</v>
      </c>
      <c r="F482">
        <f>Table1[[#This Row],[distance from 45-degree line]]/MAX(Table1[[Flux in SC / glucose uptake ($mmol/mmol\ glc$)]:[Flux in RT / glucose uptake ($mmol/mmol\ glc$)]])</f>
        <v>1.376245538429589E-10</v>
      </c>
      <c r="G482">
        <f>_xlfn.RANK.AVG(Table1[[#This Row],[Flux in SC / glucose uptake ($mmol/mmol\ glc$)]],Table1[Flux in SC / glucose uptake ($mmol/mmol\ glc$)])</f>
        <v>310</v>
      </c>
      <c r="H482">
        <f>_xlfn.RANK.AVG(Table1[[#This Row],[Flux in RT / glucose uptake ($mmol/mmol\ glc$)]],Table1[Flux in RT / glucose uptake ($mmol/mmol\ glc$)])</f>
        <v>1290.5</v>
      </c>
      <c r="I482">
        <f>LOG(Table1[[#This Row],[Flux in SC / glucose uptake ($mmol/mmol\ glc$)]])</f>
        <v>-8.4423686491515095</v>
      </c>
      <c r="J482" t="e">
        <f>LOG(Table1[[#This Row],[Flux in RT / glucose uptake ($mmol/mmol\ glc$)]])</f>
        <v>#NUM!</v>
      </c>
    </row>
    <row r="483" spans="1:10" x14ac:dyDescent="0.2">
      <c r="A483" t="s">
        <v>486</v>
      </c>
      <c r="B483" t="s">
        <v>3125</v>
      </c>
      <c r="C483">
        <v>0</v>
      </c>
      <c r="D483">
        <v>0</v>
      </c>
      <c r="E483">
        <f>ABS(Table1[[#This Row],[Flux in SC / glucose uptake ($mmol/mmol\ glc$)]]-Table1[[#This Row],[Flux in RT / glucose uptake ($mmol/mmol\ glc$)]])/SQRT(2)</f>
        <v>0</v>
      </c>
      <c r="F483">
        <f>Table1[[#This Row],[distance from 45-degree line]]/MAX(Table1[[Flux in SC / glucose uptake ($mmol/mmol\ glc$)]:[Flux in RT / glucose uptake ($mmol/mmol\ glc$)]])</f>
        <v>0</v>
      </c>
      <c r="G483">
        <f>_xlfn.RANK.AVG(Table1[[#This Row],[Flux in SC / glucose uptake ($mmol/mmol\ glc$)]],Table1[Flux in SC / glucose uptake ($mmol/mmol\ glc$)])</f>
        <v>1310.5</v>
      </c>
      <c r="H483">
        <f>_xlfn.RANK.AVG(Table1[[#This Row],[Flux in RT / glucose uptake ($mmol/mmol\ glc$)]],Table1[Flux in RT / glucose uptake ($mmol/mmol\ glc$)])</f>
        <v>1290.5</v>
      </c>
      <c r="I483" t="e">
        <f>LOG(Table1[[#This Row],[Flux in SC / glucose uptake ($mmol/mmol\ glc$)]])</f>
        <v>#NUM!</v>
      </c>
      <c r="J483" t="e">
        <f>LOG(Table1[[#This Row],[Flux in RT / glucose uptake ($mmol/mmol\ glc$)]])</f>
        <v>#NUM!</v>
      </c>
    </row>
    <row r="484" spans="1:10" x14ac:dyDescent="0.2">
      <c r="A484" t="s">
        <v>487</v>
      </c>
      <c r="B484" t="s">
        <v>3162</v>
      </c>
      <c r="C484">
        <v>5.7567067031058178E-3</v>
      </c>
      <c r="D484">
        <v>2.5927321708693437E-2</v>
      </c>
      <c r="E484">
        <f>ABS(Table1[[#This Row],[Flux in SC / glucose uptake ($mmol/mmol\ glc$)]]-Table1[[#This Row],[Flux in RT / glucose uptake ($mmol/mmol\ glc$)]])/SQRT(2)</f>
        <v>1.4262778651154136E-2</v>
      </c>
      <c r="F484">
        <f>Table1[[#This Row],[distance from 45-degree line]]/MAX(Table1[[Flux in SC / glucose uptake ($mmol/mmol\ glc$)]:[Flux in RT / glucose uptake ($mmol/mmol\ glc$)]])</f>
        <v>7.6874749452629097E-4</v>
      </c>
      <c r="G484">
        <f>_xlfn.RANK.AVG(Table1[[#This Row],[Flux in SC / glucose uptake ($mmol/mmol\ glc$)]],Table1[Flux in SC / glucose uptake ($mmol/mmol\ glc$)])</f>
        <v>102</v>
      </c>
      <c r="H484">
        <f>_xlfn.RANK.AVG(Table1[[#This Row],[Flux in RT / glucose uptake ($mmol/mmol\ glc$)]],Table1[Flux in RT / glucose uptake ($mmol/mmol\ glc$)])</f>
        <v>120</v>
      </c>
      <c r="I484">
        <f>LOG(Table1[[#This Row],[Flux in SC / glucose uptake ($mmol/mmol\ glc$)]])</f>
        <v>-2.2398258967334193</v>
      </c>
      <c r="J484">
        <f>LOG(Table1[[#This Row],[Flux in RT / glucose uptake ($mmol/mmol\ glc$)]])</f>
        <v>-1.586242343516451</v>
      </c>
    </row>
    <row r="485" spans="1:10" x14ac:dyDescent="0.2">
      <c r="A485" t="s">
        <v>488</v>
      </c>
      <c r="B485" t="s">
        <v>3114</v>
      </c>
      <c r="C485">
        <v>0</v>
      </c>
      <c r="D485">
        <v>0</v>
      </c>
      <c r="E485">
        <f>ABS(Table1[[#This Row],[Flux in SC / glucose uptake ($mmol/mmol\ glc$)]]-Table1[[#This Row],[Flux in RT / glucose uptake ($mmol/mmol\ glc$)]])/SQRT(2)</f>
        <v>0</v>
      </c>
      <c r="F485">
        <f>Table1[[#This Row],[distance from 45-degree line]]/MAX(Table1[[Flux in SC / glucose uptake ($mmol/mmol\ glc$)]:[Flux in RT / glucose uptake ($mmol/mmol\ glc$)]])</f>
        <v>0</v>
      </c>
      <c r="G485">
        <f>_xlfn.RANK.AVG(Table1[[#This Row],[Flux in SC / glucose uptake ($mmol/mmol\ glc$)]],Table1[Flux in SC / glucose uptake ($mmol/mmol\ glc$)])</f>
        <v>1310.5</v>
      </c>
      <c r="H485">
        <f>_xlfn.RANK.AVG(Table1[[#This Row],[Flux in RT / glucose uptake ($mmol/mmol\ glc$)]],Table1[Flux in RT / glucose uptake ($mmol/mmol\ glc$)])</f>
        <v>1290.5</v>
      </c>
      <c r="I485" t="e">
        <f>LOG(Table1[[#This Row],[Flux in SC / glucose uptake ($mmol/mmol\ glc$)]])</f>
        <v>#NUM!</v>
      </c>
      <c r="J485" t="e">
        <f>LOG(Table1[[#This Row],[Flux in RT / glucose uptake ($mmol/mmol\ glc$)]])</f>
        <v>#NUM!</v>
      </c>
    </row>
    <row r="486" spans="1:10" x14ac:dyDescent="0.2">
      <c r="A486" t="s">
        <v>489</v>
      </c>
      <c r="B486" t="s">
        <v>3117</v>
      </c>
      <c r="C486">
        <v>0</v>
      </c>
      <c r="D486">
        <v>0</v>
      </c>
      <c r="E486">
        <f>ABS(Table1[[#This Row],[Flux in SC / glucose uptake ($mmol/mmol\ glc$)]]-Table1[[#This Row],[Flux in RT / glucose uptake ($mmol/mmol\ glc$)]])/SQRT(2)</f>
        <v>0</v>
      </c>
      <c r="F486">
        <f>Table1[[#This Row],[distance from 45-degree line]]/MAX(Table1[[Flux in SC / glucose uptake ($mmol/mmol\ glc$)]:[Flux in RT / glucose uptake ($mmol/mmol\ glc$)]])</f>
        <v>0</v>
      </c>
      <c r="G486">
        <f>_xlfn.RANK.AVG(Table1[[#This Row],[Flux in SC / glucose uptake ($mmol/mmol\ glc$)]],Table1[Flux in SC / glucose uptake ($mmol/mmol\ glc$)])</f>
        <v>1310.5</v>
      </c>
      <c r="H486">
        <f>_xlfn.RANK.AVG(Table1[[#This Row],[Flux in RT / glucose uptake ($mmol/mmol\ glc$)]],Table1[Flux in RT / glucose uptake ($mmol/mmol\ glc$)])</f>
        <v>1290.5</v>
      </c>
      <c r="I486" t="e">
        <f>LOG(Table1[[#This Row],[Flux in SC / glucose uptake ($mmol/mmol\ glc$)]])</f>
        <v>#NUM!</v>
      </c>
      <c r="J486" t="e">
        <f>LOG(Table1[[#This Row],[Flux in RT / glucose uptake ($mmol/mmol\ glc$)]])</f>
        <v>#NUM!</v>
      </c>
    </row>
    <row r="487" spans="1:10" x14ac:dyDescent="0.2">
      <c r="A487" t="s">
        <v>490</v>
      </c>
      <c r="B487" t="s">
        <v>3117</v>
      </c>
      <c r="C487">
        <v>0</v>
      </c>
      <c r="D487">
        <v>0</v>
      </c>
      <c r="E487">
        <f>ABS(Table1[[#This Row],[Flux in SC / glucose uptake ($mmol/mmol\ glc$)]]-Table1[[#This Row],[Flux in RT / glucose uptake ($mmol/mmol\ glc$)]])/SQRT(2)</f>
        <v>0</v>
      </c>
      <c r="F487">
        <f>Table1[[#This Row],[distance from 45-degree line]]/MAX(Table1[[Flux in SC / glucose uptake ($mmol/mmol\ glc$)]:[Flux in RT / glucose uptake ($mmol/mmol\ glc$)]])</f>
        <v>0</v>
      </c>
      <c r="G487">
        <f>_xlfn.RANK.AVG(Table1[[#This Row],[Flux in SC / glucose uptake ($mmol/mmol\ glc$)]],Table1[Flux in SC / glucose uptake ($mmol/mmol\ glc$)])</f>
        <v>1310.5</v>
      </c>
      <c r="H487">
        <f>_xlfn.RANK.AVG(Table1[[#This Row],[Flux in RT / glucose uptake ($mmol/mmol\ glc$)]],Table1[Flux in RT / glucose uptake ($mmol/mmol\ glc$)])</f>
        <v>1290.5</v>
      </c>
      <c r="I487" t="e">
        <f>LOG(Table1[[#This Row],[Flux in SC / glucose uptake ($mmol/mmol\ glc$)]])</f>
        <v>#NUM!</v>
      </c>
      <c r="J487" t="e">
        <f>LOG(Table1[[#This Row],[Flux in RT / glucose uptake ($mmol/mmol\ glc$)]])</f>
        <v>#NUM!</v>
      </c>
    </row>
    <row r="488" spans="1:10" x14ac:dyDescent="0.2">
      <c r="A488" t="s">
        <v>491</v>
      </c>
      <c r="B488" t="s">
        <v>3114</v>
      </c>
      <c r="C488">
        <v>0</v>
      </c>
      <c r="D488">
        <v>0</v>
      </c>
      <c r="E488">
        <f>ABS(Table1[[#This Row],[Flux in SC / glucose uptake ($mmol/mmol\ glc$)]]-Table1[[#This Row],[Flux in RT / glucose uptake ($mmol/mmol\ glc$)]])/SQRT(2)</f>
        <v>0</v>
      </c>
      <c r="F488">
        <f>Table1[[#This Row],[distance from 45-degree line]]/MAX(Table1[[Flux in SC / glucose uptake ($mmol/mmol\ glc$)]:[Flux in RT / glucose uptake ($mmol/mmol\ glc$)]])</f>
        <v>0</v>
      </c>
      <c r="G488">
        <f>_xlfn.RANK.AVG(Table1[[#This Row],[Flux in SC / glucose uptake ($mmol/mmol\ glc$)]],Table1[Flux in SC / glucose uptake ($mmol/mmol\ glc$)])</f>
        <v>1310.5</v>
      </c>
      <c r="H488">
        <f>_xlfn.RANK.AVG(Table1[[#This Row],[Flux in RT / glucose uptake ($mmol/mmol\ glc$)]],Table1[Flux in RT / glucose uptake ($mmol/mmol\ glc$)])</f>
        <v>1290.5</v>
      </c>
      <c r="I488" t="e">
        <f>LOG(Table1[[#This Row],[Flux in SC / glucose uptake ($mmol/mmol\ glc$)]])</f>
        <v>#NUM!</v>
      </c>
      <c r="J488" t="e">
        <f>LOG(Table1[[#This Row],[Flux in RT / glucose uptake ($mmol/mmol\ glc$)]])</f>
        <v>#NUM!</v>
      </c>
    </row>
    <row r="489" spans="1:10" x14ac:dyDescent="0.2">
      <c r="A489" t="s">
        <v>492</v>
      </c>
      <c r="B489" t="s">
        <v>3114</v>
      </c>
      <c r="C489">
        <v>0</v>
      </c>
      <c r="D489">
        <v>0</v>
      </c>
      <c r="E489">
        <f>ABS(Table1[[#This Row],[Flux in SC / glucose uptake ($mmol/mmol\ glc$)]]-Table1[[#This Row],[Flux in RT / glucose uptake ($mmol/mmol\ glc$)]])/SQRT(2)</f>
        <v>0</v>
      </c>
      <c r="F489">
        <f>Table1[[#This Row],[distance from 45-degree line]]/MAX(Table1[[Flux in SC / glucose uptake ($mmol/mmol\ glc$)]:[Flux in RT / glucose uptake ($mmol/mmol\ glc$)]])</f>
        <v>0</v>
      </c>
      <c r="G489">
        <f>_xlfn.RANK.AVG(Table1[[#This Row],[Flux in SC / glucose uptake ($mmol/mmol\ glc$)]],Table1[Flux in SC / glucose uptake ($mmol/mmol\ glc$)])</f>
        <v>1310.5</v>
      </c>
      <c r="H489">
        <f>_xlfn.RANK.AVG(Table1[[#This Row],[Flux in RT / glucose uptake ($mmol/mmol\ glc$)]],Table1[Flux in RT / glucose uptake ($mmol/mmol\ glc$)])</f>
        <v>1290.5</v>
      </c>
      <c r="I489" t="e">
        <f>LOG(Table1[[#This Row],[Flux in SC / glucose uptake ($mmol/mmol\ glc$)]])</f>
        <v>#NUM!</v>
      </c>
      <c r="J489" t="e">
        <f>LOG(Table1[[#This Row],[Flux in RT / glucose uptake ($mmol/mmol\ glc$)]])</f>
        <v>#NUM!</v>
      </c>
    </row>
    <row r="490" spans="1:10" x14ac:dyDescent="0.2">
      <c r="A490" t="s">
        <v>493</v>
      </c>
      <c r="B490" t="s">
        <v>3114</v>
      </c>
      <c r="C490">
        <v>0</v>
      </c>
      <c r="D490">
        <v>0</v>
      </c>
      <c r="E490">
        <f>ABS(Table1[[#This Row],[Flux in SC / glucose uptake ($mmol/mmol\ glc$)]]-Table1[[#This Row],[Flux in RT / glucose uptake ($mmol/mmol\ glc$)]])/SQRT(2)</f>
        <v>0</v>
      </c>
      <c r="F490">
        <f>Table1[[#This Row],[distance from 45-degree line]]/MAX(Table1[[Flux in SC / glucose uptake ($mmol/mmol\ glc$)]:[Flux in RT / glucose uptake ($mmol/mmol\ glc$)]])</f>
        <v>0</v>
      </c>
      <c r="G490">
        <f>_xlfn.RANK.AVG(Table1[[#This Row],[Flux in SC / glucose uptake ($mmol/mmol\ glc$)]],Table1[Flux in SC / glucose uptake ($mmol/mmol\ glc$)])</f>
        <v>1310.5</v>
      </c>
      <c r="H490">
        <f>_xlfn.RANK.AVG(Table1[[#This Row],[Flux in RT / glucose uptake ($mmol/mmol\ glc$)]],Table1[Flux in RT / glucose uptake ($mmol/mmol\ glc$)])</f>
        <v>1290.5</v>
      </c>
      <c r="I490" t="e">
        <f>LOG(Table1[[#This Row],[Flux in SC / glucose uptake ($mmol/mmol\ glc$)]])</f>
        <v>#NUM!</v>
      </c>
      <c r="J490" t="e">
        <f>LOG(Table1[[#This Row],[Flux in RT / glucose uptake ($mmol/mmol\ glc$)]])</f>
        <v>#NUM!</v>
      </c>
    </row>
    <row r="491" spans="1:10" x14ac:dyDescent="0.2">
      <c r="A491" t="s">
        <v>494</v>
      </c>
      <c r="B491" t="s">
        <v>3118</v>
      </c>
      <c r="C491">
        <v>0</v>
      </c>
      <c r="D491">
        <v>0</v>
      </c>
      <c r="E491">
        <f>ABS(Table1[[#This Row],[Flux in SC / glucose uptake ($mmol/mmol\ glc$)]]-Table1[[#This Row],[Flux in RT / glucose uptake ($mmol/mmol\ glc$)]])/SQRT(2)</f>
        <v>0</v>
      </c>
      <c r="F491">
        <f>Table1[[#This Row],[distance from 45-degree line]]/MAX(Table1[[Flux in SC / glucose uptake ($mmol/mmol\ glc$)]:[Flux in RT / glucose uptake ($mmol/mmol\ glc$)]])</f>
        <v>0</v>
      </c>
      <c r="G491">
        <f>_xlfn.RANK.AVG(Table1[[#This Row],[Flux in SC / glucose uptake ($mmol/mmol\ glc$)]],Table1[Flux in SC / glucose uptake ($mmol/mmol\ glc$)])</f>
        <v>1310.5</v>
      </c>
      <c r="H491">
        <f>_xlfn.RANK.AVG(Table1[[#This Row],[Flux in RT / glucose uptake ($mmol/mmol\ glc$)]],Table1[Flux in RT / glucose uptake ($mmol/mmol\ glc$)])</f>
        <v>1290.5</v>
      </c>
      <c r="I491" t="e">
        <f>LOG(Table1[[#This Row],[Flux in SC / glucose uptake ($mmol/mmol\ glc$)]])</f>
        <v>#NUM!</v>
      </c>
      <c r="J491" t="e">
        <f>LOG(Table1[[#This Row],[Flux in RT / glucose uptake ($mmol/mmol\ glc$)]])</f>
        <v>#NUM!</v>
      </c>
    </row>
    <row r="492" spans="1:10" x14ac:dyDescent="0.2">
      <c r="A492" t="s">
        <v>495</v>
      </c>
      <c r="B492" t="s">
        <v>3169</v>
      </c>
      <c r="C492">
        <v>0</v>
      </c>
      <c r="D492">
        <v>0</v>
      </c>
      <c r="E492">
        <f>ABS(Table1[[#This Row],[Flux in SC / glucose uptake ($mmol/mmol\ glc$)]]-Table1[[#This Row],[Flux in RT / glucose uptake ($mmol/mmol\ glc$)]])/SQRT(2)</f>
        <v>0</v>
      </c>
      <c r="F492">
        <f>Table1[[#This Row],[distance from 45-degree line]]/MAX(Table1[[Flux in SC / glucose uptake ($mmol/mmol\ glc$)]:[Flux in RT / glucose uptake ($mmol/mmol\ glc$)]])</f>
        <v>0</v>
      </c>
      <c r="G492">
        <f>_xlfn.RANK.AVG(Table1[[#This Row],[Flux in SC / glucose uptake ($mmol/mmol\ glc$)]],Table1[Flux in SC / glucose uptake ($mmol/mmol\ glc$)])</f>
        <v>1310.5</v>
      </c>
      <c r="H492">
        <f>_xlfn.RANK.AVG(Table1[[#This Row],[Flux in RT / glucose uptake ($mmol/mmol\ glc$)]],Table1[Flux in RT / glucose uptake ($mmol/mmol\ glc$)])</f>
        <v>1290.5</v>
      </c>
      <c r="I492" t="e">
        <f>LOG(Table1[[#This Row],[Flux in SC / glucose uptake ($mmol/mmol\ glc$)]])</f>
        <v>#NUM!</v>
      </c>
      <c r="J492" t="e">
        <f>LOG(Table1[[#This Row],[Flux in RT / glucose uptake ($mmol/mmol\ glc$)]])</f>
        <v>#NUM!</v>
      </c>
    </row>
    <row r="493" spans="1:10" x14ac:dyDescent="0.2">
      <c r="A493" t="s">
        <v>496</v>
      </c>
      <c r="B493" t="s">
        <v>3121</v>
      </c>
      <c r="C493">
        <v>0</v>
      </c>
      <c r="D493">
        <v>0</v>
      </c>
      <c r="E493">
        <f>ABS(Table1[[#This Row],[Flux in SC / glucose uptake ($mmol/mmol\ glc$)]]-Table1[[#This Row],[Flux in RT / glucose uptake ($mmol/mmol\ glc$)]])/SQRT(2)</f>
        <v>0</v>
      </c>
      <c r="F493">
        <f>Table1[[#This Row],[distance from 45-degree line]]/MAX(Table1[[Flux in SC / glucose uptake ($mmol/mmol\ glc$)]:[Flux in RT / glucose uptake ($mmol/mmol\ glc$)]])</f>
        <v>0</v>
      </c>
      <c r="G493">
        <f>_xlfn.RANK.AVG(Table1[[#This Row],[Flux in SC / glucose uptake ($mmol/mmol\ glc$)]],Table1[Flux in SC / glucose uptake ($mmol/mmol\ glc$)])</f>
        <v>1310.5</v>
      </c>
      <c r="H493">
        <f>_xlfn.RANK.AVG(Table1[[#This Row],[Flux in RT / glucose uptake ($mmol/mmol\ glc$)]],Table1[Flux in RT / glucose uptake ($mmol/mmol\ glc$)])</f>
        <v>1290.5</v>
      </c>
      <c r="I493" t="e">
        <f>LOG(Table1[[#This Row],[Flux in SC / glucose uptake ($mmol/mmol\ glc$)]])</f>
        <v>#NUM!</v>
      </c>
      <c r="J493" t="e">
        <f>LOG(Table1[[#This Row],[Flux in RT / glucose uptake ($mmol/mmol\ glc$)]])</f>
        <v>#NUM!</v>
      </c>
    </row>
    <row r="494" spans="1:10" x14ac:dyDescent="0.2">
      <c r="A494" t="s">
        <v>497</v>
      </c>
      <c r="B494" t="s">
        <v>3121</v>
      </c>
      <c r="C494">
        <v>0</v>
      </c>
      <c r="D494">
        <v>0</v>
      </c>
      <c r="E494">
        <f>ABS(Table1[[#This Row],[Flux in SC / glucose uptake ($mmol/mmol\ glc$)]]-Table1[[#This Row],[Flux in RT / glucose uptake ($mmol/mmol\ glc$)]])/SQRT(2)</f>
        <v>0</v>
      </c>
      <c r="F494">
        <f>Table1[[#This Row],[distance from 45-degree line]]/MAX(Table1[[Flux in SC / glucose uptake ($mmol/mmol\ glc$)]:[Flux in RT / glucose uptake ($mmol/mmol\ glc$)]])</f>
        <v>0</v>
      </c>
      <c r="G494">
        <f>_xlfn.RANK.AVG(Table1[[#This Row],[Flux in SC / glucose uptake ($mmol/mmol\ glc$)]],Table1[Flux in SC / glucose uptake ($mmol/mmol\ glc$)])</f>
        <v>1310.5</v>
      </c>
      <c r="H494">
        <f>_xlfn.RANK.AVG(Table1[[#This Row],[Flux in RT / glucose uptake ($mmol/mmol\ glc$)]],Table1[Flux in RT / glucose uptake ($mmol/mmol\ glc$)])</f>
        <v>1290.5</v>
      </c>
      <c r="I494" t="e">
        <f>LOG(Table1[[#This Row],[Flux in SC / glucose uptake ($mmol/mmol\ glc$)]])</f>
        <v>#NUM!</v>
      </c>
      <c r="J494" t="e">
        <f>LOG(Table1[[#This Row],[Flux in RT / glucose uptake ($mmol/mmol\ glc$)]])</f>
        <v>#NUM!</v>
      </c>
    </row>
    <row r="495" spans="1:10" x14ac:dyDescent="0.2">
      <c r="A495" t="s">
        <v>498</v>
      </c>
      <c r="B495" t="s">
        <v>3121</v>
      </c>
      <c r="C495">
        <v>0</v>
      </c>
      <c r="D495">
        <v>0</v>
      </c>
      <c r="E495">
        <f>ABS(Table1[[#This Row],[Flux in SC / glucose uptake ($mmol/mmol\ glc$)]]-Table1[[#This Row],[Flux in RT / glucose uptake ($mmol/mmol\ glc$)]])/SQRT(2)</f>
        <v>0</v>
      </c>
      <c r="F495">
        <f>Table1[[#This Row],[distance from 45-degree line]]/MAX(Table1[[Flux in SC / glucose uptake ($mmol/mmol\ glc$)]:[Flux in RT / glucose uptake ($mmol/mmol\ glc$)]])</f>
        <v>0</v>
      </c>
      <c r="G495">
        <f>_xlfn.RANK.AVG(Table1[[#This Row],[Flux in SC / glucose uptake ($mmol/mmol\ glc$)]],Table1[Flux in SC / glucose uptake ($mmol/mmol\ glc$)])</f>
        <v>1310.5</v>
      </c>
      <c r="H495">
        <f>_xlfn.RANK.AVG(Table1[[#This Row],[Flux in RT / glucose uptake ($mmol/mmol\ glc$)]],Table1[Flux in RT / glucose uptake ($mmol/mmol\ glc$)])</f>
        <v>1290.5</v>
      </c>
      <c r="I495" t="e">
        <f>LOG(Table1[[#This Row],[Flux in SC / glucose uptake ($mmol/mmol\ glc$)]])</f>
        <v>#NUM!</v>
      </c>
      <c r="J495" t="e">
        <f>LOG(Table1[[#This Row],[Flux in RT / glucose uptake ($mmol/mmol\ glc$)]])</f>
        <v>#NUM!</v>
      </c>
    </row>
    <row r="496" spans="1:10" x14ac:dyDescent="0.2">
      <c r="A496" t="s">
        <v>499</v>
      </c>
      <c r="B496" t="s">
        <v>3121</v>
      </c>
      <c r="C496">
        <v>0</v>
      </c>
      <c r="D496">
        <v>0</v>
      </c>
      <c r="E496">
        <f>ABS(Table1[[#This Row],[Flux in SC / glucose uptake ($mmol/mmol\ glc$)]]-Table1[[#This Row],[Flux in RT / glucose uptake ($mmol/mmol\ glc$)]])/SQRT(2)</f>
        <v>0</v>
      </c>
      <c r="F496">
        <f>Table1[[#This Row],[distance from 45-degree line]]/MAX(Table1[[Flux in SC / glucose uptake ($mmol/mmol\ glc$)]:[Flux in RT / glucose uptake ($mmol/mmol\ glc$)]])</f>
        <v>0</v>
      </c>
      <c r="G496">
        <f>_xlfn.RANK.AVG(Table1[[#This Row],[Flux in SC / glucose uptake ($mmol/mmol\ glc$)]],Table1[Flux in SC / glucose uptake ($mmol/mmol\ glc$)])</f>
        <v>1310.5</v>
      </c>
      <c r="H496">
        <f>_xlfn.RANK.AVG(Table1[[#This Row],[Flux in RT / glucose uptake ($mmol/mmol\ glc$)]],Table1[Flux in RT / glucose uptake ($mmol/mmol\ glc$)])</f>
        <v>1290.5</v>
      </c>
      <c r="I496" t="e">
        <f>LOG(Table1[[#This Row],[Flux in SC / glucose uptake ($mmol/mmol\ glc$)]])</f>
        <v>#NUM!</v>
      </c>
      <c r="J496" t="e">
        <f>LOG(Table1[[#This Row],[Flux in RT / glucose uptake ($mmol/mmol\ glc$)]])</f>
        <v>#NUM!</v>
      </c>
    </row>
    <row r="497" spans="1:10" x14ac:dyDescent="0.2">
      <c r="A497" t="s">
        <v>500</v>
      </c>
      <c r="B497" t="s">
        <v>3121</v>
      </c>
      <c r="C497">
        <v>0</v>
      </c>
      <c r="D497">
        <v>0</v>
      </c>
      <c r="E497">
        <f>ABS(Table1[[#This Row],[Flux in SC / glucose uptake ($mmol/mmol\ glc$)]]-Table1[[#This Row],[Flux in RT / glucose uptake ($mmol/mmol\ glc$)]])/SQRT(2)</f>
        <v>0</v>
      </c>
      <c r="F497">
        <f>Table1[[#This Row],[distance from 45-degree line]]/MAX(Table1[[Flux in SC / glucose uptake ($mmol/mmol\ glc$)]:[Flux in RT / glucose uptake ($mmol/mmol\ glc$)]])</f>
        <v>0</v>
      </c>
      <c r="G497">
        <f>_xlfn.RANK.AVG(Table1[[#This Row],[Flux in SC / glucose uptake ($mmol/mmol\ glc$)]],Table1[Flux in SC / glucose uptake ($mmol/mmol\ glc$)])</f>
        <v>1310.5</v>
      </c>
      <c r="H497">
        <f>_xlfn.RANK.AVG(Table1[[#This Row],[Flux in RT / glucose uptake ($mmol/mmol\ glc$)]],Table1[Flux in RT / glucose uptake ($mmol/mmol\ glc$)])</f>
        <v>1290.5</v>
      </c>
      <c r="I497" t="e">
        <f>LOG(Table1[[#This Row],[Flux in SC / glucose uptake ($mmol/mmol\ glc$)]])</f>
        <v>#NUM!</v>
      </c>
      <c r="J497" t="e">
        <f>LOG(Table1[[#This Row],[Flux in RT / glucose uptake ($mmol/mmol\ glc$)]])</f>
        <v>#NUM!</v>
      </c>
    </row>
    <row r="498" spans="1:10" x14ac:dyDescent="0.2">
      <c r="A498" t="s">
        <v>501</v>
      </c>
      <c r="B498" t="s">
        <v>3121</v>
      </c>
      <c r="C498">
        <v>0</v>
      </c>
      <c r="D498">
        <v>0</v>
      </c>
      <c r="E498">
        <f>ABS(Table1[[#This Row],[Flux in SC / glucose uptake ($mmol/mmol\ glc$)]]-Table1[[#This Row],[Flux in RT / glucose uptake ($mmol/mmol\ glc$)]])/SQRT(2)</f>
        <v>0</v>
      </c>
      <c r="F498">
        <f>Table1[[#This Row],[distance from 45-degree line]]/MAX(Table1[[Flux in SC / glucose uptake ($mmol/mmol\ glc$)]:[Flux in RT / glucose uptake ($mmol/mmol\ glc$)]])</f>
        <v>0</v>
      </c>
      <c r="G498">
        <f>_xlfn.RANK.AVG(Table1[[#This Row],[Flux in SC / glucose uptake ($mmol/mmol\ glc$)]],Table1[Flux in SC / glucose uptake ($mmol/mmol\ glc$)])</f>
        <v>1310.5</v>
      </c>
      <c r="H498">
        <f>_xlfn.RANK.AVG(Table1[[#This Row],[Flux in RT / glucose uptake ($mmol/mmol\ glc$)]],Table1[Flux in RT / glucose uptake ($mmol/mmol\ glc$)])</f>
        <v>1290.5</v>
      </c>
      <c r="I498" t="e">
        <f>LOG(Table1[[#This Row],[Flux in SC / glucose uptake ($mmol/mmol\ glc$)]])</f>
        <v>#NUM!</v>
      </c>
      <c r="J498" t="e">
        <f>LOG(Table1[[#This Row],[Flux in RT / glucose uptake ($mmol/mmol\ glc$)]])</f>
        <v>#NUM!</v>
      </c>
    </row>
    <row r="499" spans="1:10" x14ac:dyDescent="0.2">
      <c r="A499" t="s">
        <v>502</v>
      </c>
      <c r="B499" t="s">
        <v>3121</v>
      </c>
      <c r="C499">
        <v>0</v>
      </c>
      <c r="D499">
        <v>0</v>
      </c>
      <c r="E499">
        <f>ABS(Table1[[#This Row],[Flux in SC / glucose uptake ($mmol/mmol\ glc$)]]-Table1[[#This Row],[Flux in RT / glucose uptake ($mmol/mmol\ glc$)]])/SQRT(2)</f>
        <v>0</v>
      </c>
      <c r="F499">
        <f>Table1[[#This Row],[distance from 45-degree line]]/MAX(Table1[[Flux in SC / glucose uptake ($mmol/mmol\ glc$)]:[Flux in RT / glucose uptake ($mmol/mmol\ glc$)]])</f>
        <v>0</v>
      </c>
      <c r="G499">
        <f>_xlfn.RANK.AVG(Table1[[#This Row],[Flux in SC / glucose uptake ($mmol/mmol\ glc$)]],Table1[Flux in SC / glucose uptake ($mmol/mmol\ glc$)])</f>
        <v>1310.5</v>
      </c>
      <c r="H499">
        <f>_xlfn.RANK.AVG(Table1[[#This Row],[Flux in RT / glucose uptake ($mmol/mmol\ glc$)]],Table1[Flux in RT / glucose uptake ($mmol/mmol\ glc$)])</f>
        <v>1290.5</v>
      </c>
      <c r="I499" t="e">
        <f>LOG(Table1[[#This Row],[Flux in SC / glucose uptake ($mmol/mmol\ glc$)]])</f>
        <v>#NUM!</v>
      </c>
      <c r="J499" t="e">
        <f>LOG(Table1[[#This Row],[Flux in RT / glucose uptake ($mmol/mmol\ glc$)]])</f>
        <v>#NUM!</v>
      </c>
    </row>
    <row r="500" spans="1:10" x14ac:dyDescent="0.2">
      <c r="A500" t="s">
        <v>503</v>
      </c>
      <c r="B500" t="s">
        <v>3121</v>
      </c>
      <c r="C500">
        <v>0</v>
      </c>
      <c r="D500">
        <v>0</v>
      </c>
      <c r="E500">
        <f>ABS(Table1[[#This Row],[Flux in SC / glucose uptake ($mmol/mmol\ glc$)]]-Table1[[#This Row],[Flux in RT / glucose uptake ($mmol/mmol\ glc$)]])/SQRT(2)</f>
        <v>0</v>
      </c>
      <c r="F500">
        <f>Table1[[#This Row],[distance from 45-degree line]]/MAX(Table1[[Flux in SC / glucose uptake ($mmol/mmol\ glc$)]:[Flux in RT / glucose uptake ($mmol/mmol\ glc$)]])</f>
        <v>0</v>
      </c>
      <c r="G500">
        <f>_xlfn.RANK.AVG(Table1[[#This Row],[Flux in SC / glucose uptake ($mmol/mmol\ glc$)]],Table1[Flux in SC / glucose uptake ($mmol/mmol\ glc$)])</f>
        <v>1310.5</v>
      </c>
      <c r="H500">
        <f>_xlfn.RANK.AVG(Table1[[#This Row],[Flux in RT / glucose uptake ($mmol/mmol\ glc$)]],Table1[Flux in RT / glucose uptake ($mmol/mmol\ glc$)])</f>
        <v>1290.5</v>
      </c>
      <c r="I500" t="e">
        <f>LOG(Table1[[#This Row],[Flux in SC / glucose uptake ($mmol/mmol\ glc$)]])</f>
        <v>#NUM!</v>
      </c>
      <c r="J500" t="e">
        <f>LOG(Table1[[#This Row],[Flux in RT / glucose uptake ($mmol/mmol\ glc$)]])</f>
        <v>#NUM!</v>
      </c>
    </row>
    <row r="501" spans="1:10" x14ac:dyDescent="0.2">
      <c r="A501" t="s">
        <v>504</v>
      </c>
      <c r="B501" t="s">
        <v>3121</v>
      </c>
      <c r="C501">
        <v>0</v>
      </c>
      <c r="D501">
        <v>0</v>
      </c>
      <c r="E501">
        <f>ABS(Table1[[#This Row],[Flux in SC / glucose uptake ($mmol/mmol\ glc$)]]-Table1[[#This Row],[Flux in RT / glucose uptake ($mmol/mmol\ glc$)]])/SQRT(2)</f>
        <v>0</v>
      </c>
      <c r="F501">
        <f>Table1[[#This Row],[distance from 45-degree line]]/MAX(Table1[[Flux in SC / glucose uptake ($mmol/mmol\ glc$)]:[Flux in RT / glucose uptake ($mmol/mmol\ glc$)]])</f>
        <v>0</v>
      </c>
      <c r="G501">
        <f>_xlfn.RANK.AVG(Table1[[#This Row],[Flux in SC / glucose uptake ($mmol/mmol\ glc$)]],Table1[Flux in SC / glucose uptake ($mmol/mmol\ glc$)])</f>
        <v>1310.5</v>
      </c>
      <c r="H501">
        <f>_xlfn.RANK.AVG(Table1[[#This Row],[Flux in RT / glucose uptake ($mmol/mmol\ glc$)]],Table1[Flux in RT / glucose uptake ($mmol/mmol\ glc$)])</f>
        <v>1290.5</v>
      </c>
      <c r="I501" t="e">
        <f>LOG(Table1[[#This Row],[Flux in SC / glucose uptake ($mmol/mmol\ glc$)]])</f>
        <v>#NUM!</v>
      </c>
      <c r="J501" t="e">
        <f>LOG(Table1[[#This Row],[Flux in RT / glucose uptake ($mmol/mmol\ glc$)]])</f>
        <v>#NUM!</v>
      </c>
    </row>
    <row r="502" spans="1:10" x14ac:dyDescent="0.2">
      <c r="A502" t="s">
        <v>505</v>
      </c>
      <c r="B502" t="s">
        <v>3121</v>
      </c>
      <c r="C502">
        <v>0</v>
      </c>
      <c r="D502">
        <v>0</v>
      </c>
      <c r="E502">
        <f>ABS(Table1[[#This Row],[Flux in SC / glucose uptake ($mmol/mmol\ glc$)]]-Table1[[#This Row],[Flux in RT / glucose uptake ($mmol/mmol\ glc$)]])/SQRT(2)</f>
        <v>0</v>
      </c>
      <c r="F502">
        <f>Table1[[#This Row],[distance from 45-degree line]]/MAX(Table1[[Flux in SC / glucose uptake ($mmol/mmol\ glc$)]:[Flux in RT / glucose uptake ($mmol/mmol\ glc$)]])</f>
        <v>0</v>
      </c>
      <c r="G502">
        <f>_xlfn.RANK.AVG(Table1[[#This Row],[Flux in SC / glucose uptake ($mmol/mmol\ glc$)]],Table1[Flux in SC / glucose uptake ($mmol/mmol\ glc$)])</f>
        <v>1310.5</v>
      </c>
      <c r="H502">
        <f>_xlfn.RANK.AVG(Table1[[#This Row],[Flux in RT / glucose uptake ($mmol/mmol\ glc$)]],Table1[Flux in RT / glucose uptake ($mmol/mmol\ glc$)])</f>
        <v>1290.5</v>
      </c>
      <c r="I502" t="e">
        <f>LOG(Table1[[#This Row],[Flux in SC / glucose uptake ($mmol/mmol\ glc$)]])</f>
        <v>#NUM!</v>
      </c>
      <c r="J502" t="e">
        <f>LOG(Table1[[#This Row],[Flux in RT / glucose uptake ($mmol/mmol\ glc$)]])</f>
        <v>#NUM!</v>
      </c>
    </row>
    <row r="503" spans="1:10" x14ac:dyDescent="0.2">
      <c r="A503" t="s">
        <v>506</v>
      </c>
      <c r="B503" t="s">
        <v>3121</v>
      </c>
      <c r="C503">
        <v>0</v>
      </c>
      <c r="D503">
        <v>0</v>
      </c>
      <c r="E503">
        <f>ABS(Table1[[#This Row],[Flux in SC / glucose uptake ($mmol/mmol\ glc$)]]-Table1[[#This Row],[Flux in RT / glucose uptake ($mmol/mmol\ glc$)]])/SQRT(2)</f>
        <v>0</v>
      </c>
      <c r="F503">
        <f>Table1[[#This Row],[distance from 45-degree line]]/MAX(Table1[[Flux in SC / glucose uptake ($mmol/mmol\ glc$)]:[Flux in RT / glucose uptake ($mmol/mmol\ glc$)]])</f>
        <v>0</v>
      </c>
      <c r="G503">
        <f>_xlfn.RANK.AVG(Table1[[#This Row],[Flux in SC / glucose uptake ($mmol/mmol\ glc$)]],Table1[Flux in SC / glucose uptake ($mmol/mmol\ glc$)])</f>
        <v>1310.5</v>
      </c>
      <c r="H503">
        <f>_xlfn.RANK.AVG(Table1[[#This Row],[Flux in RT / glucose uptake ($mmol/mmol\ glc$)]],Table1[Flux in RT / glucose uptake ($mmol/mmol\ glc$)])</f>
        <v>1290.5</v>
      </c>
      <c r="I503" t="e">
        <f>LOG(Table1[[#This Row],[Flux in SC / glucose uptake ($mmol/mmol\ glc$)]])</f>
        <v>#NUM!</v>
      </c>
      <c r="J503" t="e">
        <f>LOG(Table1[[#This Row],[Flux in RT / glucose uptake ($mmol/mmol\ glc$)]])</f>
        <v>#NUM!</v>
      </c>
    </row>
    <row r="504" spans="1:10" x14ac:dyDescent="0.2">
      <c r="A504" t="s">
        <v>507</v>
      </c>
      <c r="B504" t="s">
        <v>3121</v>
      </c>
      <c r="C504">
        <v>0</v>
      </c>
      <c r="D504">
        <v>0</v>
      </c>
      <c r="E504">
        <f>ABS(Table1[[#This Row],[Flux in SC / glucose uptake ($mmol/mmol\ glc$)]]-Table1[[#This Row],[Flux in RT / glucose uptake ($mmol/mmol\ glc$)]])/SQRT(2)</f>
        <v>0</v>
      </c>
      <c r="F504">
        <f>Table1[[#This Row],[distance from 45-degree line]]/MAX(Table1[[Flux in SC / glucose uptake ($mmol/mmol\ glc$)]:[Flux in RT / glucose uptake ($mmol/mmol\ glc$)]])</f>
        <v>0</v>
      </c>
      <c r="G504">
        <f>_xlfn.RANK.AVG(Table1[[#This Row],[Flux in SC / glucose uptake ($mmol/mmol\ glc$)]],Table1[Flux in SC / glucose uptake ($mmol/mmol\ glc$)])</f>
        <v>1310.5</v>
      </c>
      <c r="H504">
        <f>_xlfn.RANK.AVG(Table1[[#This Row],[Flux in RT / glucose uptake ($mmol/mmol\ glc$)]],Table1[Flux in RT / glucose uptake ($mmol/mmol\ glc$)])</f>
        <v>1290.5</v>
      </c>
      <c r="I504" t="e">
        <f>LOG(Table1[[#This Row],[Flux in SC / glucose uptake ($mmol/mmol\ glc$)]])</f>
        <v>#NUM!</v>
      </c>
      <c r="J504" t="e">
        <f>LOG(Table1[[#This Row],[Flux in RT / glucose uptake ($mmol/mmol\ glc$)]])</f>
        <v>#NUM!</v>
      </c>
    </row>
    <row r="505" spans="1:10" x14ac:dyDescent="0.2">
      <c r="A505" t="s">
        <v>508</v>
      </c>
      <c r="B505" t="s">
        <v>3114</v>
      </c>
      <c r="C505">
        <v>0</v>
      </c>
      <c r="D505">
        <v>0</v>
      </c>
      <c r="E505">
        <f>ABS(Table1[[#This Row],[Flux in SC / glucose uptake ($mmol/mmol\ glc$)]]-Table1[[#This Row],[Flux in RT / glucose uptake ($mmol/mmol\ glc$)]])/SQRT(2)</f>
        <v>0</v>
      </c>
      <c r="F505">
        <f>Table1[[#This Row],[distance from 45-degree line]]/MAX(Table1[[Flux in SC / glucose uptake ($mmol/mmol\ glc$)]:[Flux in RT / glucose uptake ($mmol/mmol\ glc$)]])</f>
        <v>0</v>
      </c>
      <c r="G505">
        <f>_xlfn.RANK.AVG(Table1[[#This Row],[Flux in SC / glucose uptake ($mmol/mmol\ glc$)]],Table1[Flux in SC / glucose uptake ($mmol/mmol\ glc$)])</f>
        <v>1310.5</v>
      </c>
      <c r="H505">
        <f>_xlfn.RANK.AVG(Table1[[#This Row],[Flux in RT / glucose uptake ($mmol/mmol\ glc$)]],Table1[Flux in RT / glucose uptake ($mmol/mmol\ glc$)])</f>
        <v>1290.5</v>
      </c>
      <c r="I505" t="e">
        <f>LOG(Table1[[#This Row],[Flux in SC / glucose uptake ($mmol/mmol\ glc$)]])</f>
        <v>#NUM!</v>
      </c>
      <c r="J505" t="e">
        <f>LOG(Table1[[#This Row],[Flux in RT / glucose uptake ($mmol/mmol\ glc$)]])</f>
        <v>#NUM!</v>
      </c>
    </row>
    <row r="506" spans="1:10" x14ac:dyDescent="0.2">
      <c r="A506" t="s">
        <v>509</v>
      </c>
      <c r="B506" t="s">
        <v>3120</v>
      </c>
      <c r="C506">
        <v>0</v>
      </c>
      <c r="D506">
        <v>0</v>
      </c>
      <c r="E506">
        <f>ABS(Table1[[#This Row],[Flux in SC / glucose uptake ($mmol/mmol\ glc$)]]-Table1[[#This Row],[Flux in RT / glucose uptake ($mmol/mmol\ glc$)]])/SQRT(2)</f>
        <v>0</v>
      </c>
      <c r="F506">
        <f>Table1[[#This Row],[distance from 45-degree line]]/MAX(Table1[[Flux in SC / glucose uptake ($mmol/mmol\ glc$)]:[Flux in RT / glucose uptake ($mmol/mmol\ glc$)]])</f>
        <v>0</v>
      </c>
      <c r="G506">
        <f>_xlfn.RANK.AVG(Table1[[#This Row],[Flux in SC / glucose uptake ($mmol/mmol\ glc$)]],Table1[Flux in SC / glucose uptake ($mmol/mmol\ glc$)])</f>
        <v>1310.5</v>
      </c>
      <c r="H506">
        <f>_xlfn.RANK.AVG(Table1[[#This Row],[Flux in RT / glucose uptake ($mmol/mmol\ glc$)]],Table1[Flux in RT / glucose uptake ($mmol/mmol\ glc$)])</f>
        <v>1290.5</v>
      </c>
      <c r="I506" t="e">
        <f>LOG(Table1[[#This Row],[Flux in SC / glucose uptake ($mmol/mmol\ glc$)]])</f>
        <v>#NUM!</v>
      </c>
      <c r="J506" t="e">
        <f>LOG(Table1[[#This Row],[Flux in RT / glucose uptake ($mmol/mmol\ glc$)]])</f>
        <v>#NUM!</v>
      </c>
    </row>
    <row r="507" spans="1:10" x14ac:dyDescent="0.2">
      <c r="A507" t="s">
        <v>510</v>
      </c>
      <c r="B507" t="s">
        <v>3118</v>
      </c>
      <c r="C507">
        <v>0</v>
      </c>
      <c r="D507">
        <v>0</v>
      </c>
      <c r="E507">
        <f>ABS(Table1[[#This Row],[Flux in SC / glucose uptake ($mmol/mmol\ glc$)]]-Table1[[#This Row],[Flux in RT / glucose uptake ($mmol/mmol\ glc$)]])/SQRT(2)</f>
        <v>0</v>
      </c>
      <c r="F507">
        <f>Table1[[#This Row],[distance from 45-degree line]]/MAX(Table1[[Flux in SC / glucose uptake ($mmol/mmol\ glc$)]:[Flux in RT / glucose uptake ($mmol/mmol\ glc$)]])</f>
        <v>0</v>
      </c>
      <c r="G507">
        <f>_xlfn.RANK.AVG(Table1[[#This Row],[Flux in SC / glucose uptake ($mmol/mmol\ glc$)]],Table1[Flux in SC / glucose uptake ($mmol/mmol\ glc$)])</f>
        <v>1310.5</v>
      </c>
      <c r="H507">
        <f>_xlfn.RANK.AVG(Table1[[#This Row],[Flux in RT / glucose uptake ($mmol/mmol\ glc$)]],Table1[Flux in RT / glucose uptake ($mmol/mmol\ glc$)])</f>
        <v>1290.5</v>
      </c>
      <c r="I507" t="e">
        <f>LOG(Table1[[#This Row],[Flux in SC / glucose uptake ($mmol/mmol\ glc$)]])</f>
        <v>#NUM!</v>
      </c>
      <c r="J507" t="e">
        <f>LOG(Table1[[#This Row],[Flux in RT / glucose uptake ($mmol/mmol\ glc$)]])</f>
        <v>#NUM!</v>
      </c>
    </row>
    <row r="508" spans="1:10" x14ac:dyDescent="0.2">
      <c r="A508" t="s">
        <v>511</v>
      </c>
      <c r="B508" t="s">
        <v>3170</v>
      </c>
      <c r="C508">
        <v>0</v>
      </c>
      <c r="D508">
        <v>0</v>
      </c>
      <c r="E508">
        <f>ABS(Table1[[#This Row],[Flux in SC / glucose uptake ($mmol/mmol\ glc$)]]-Table1[[#This Row],[Flux in RT / glucose uptake ($mmol/mmol\ glc$)]])/SQRT(2)</f>
        <v>0</v>
      </c>
      <c r="F508">
        <f>Table1[[#This Row],[distance from 45-degree line]]/MAX(Table1[[Flux in SC / glucose uptake ($mmol/mmol\ glc$)]:[Flux in RT / glucose uptake ($mmol/mmol\ glc$)]])</f>
        <v>0</v>
      </c>
      <c r="G508">
        <f>_xlfn.RANK.AVG(Table1[[#This Row],[Flux in SC / glucose uptake ($mmol/mmol\ glc$)]],Table1[Flux in SC / glucose uptake ($mmol/mmol\ glc$)])</f>
        <v>1310.5</v>
      </c>
      <c r="H508">
        <f>_xlfn.RANK.AVG(Table1[[#This Row],[Flux in RT / glucose uptake ($mmol/mmol\ glc$)]],Table1[Flux in RT / glucose uptake ($mmol/mmol\ glc$)])</f>
        <v>1290.5</v>
      </c>
      <c r="I508" t="e">
        <f>LOG(Table1[[#This Row],[Flux in SC / glucose uptake ($mmol/mmol\ glc$)]])</f>
        <v>#NUM!</v>
      </c>
      <c r="J508" t="e">
        <f>LOG(Table1[[#This Row],[Flux in RT / glucose uptake ($mmol/mmol\ glc$)]])</f>
        <v>#NUM!</v>
      </c>
    </row>
    <row r="509" spans="1:10" x14ac:dyDescent="0.2">
      <c r="A509" t="s">
        <v>512</v>
      </c>
      <c r="B509" t="s">
        <v>3171</v>
      </c>
      <c r="C509">
        <v>0</v>
      </c>
      <c r="D509">
        <v>0</v>
      </c>
      <c r="E509">
        <f>ABS(Table1[[#This Row],[Flux in SC / glucose uptake ($mmol/mmol\ glc$)]]-Table1[[#This Row],[Flux in RT / glucose uptake ($mmol/mmol\ glc$)]])/SQRT(2)</f>
        <v>0</v>
      </c>
      <c r="F509">
        <f>Table1[[#This Row],[distance from 45-degree line]]/MAX(Table1[[Flux in SC / glucose uptake ($mmol/mmol\ glc$)]:[Flux in RT / glucose uptake ($mmol/mmol\ glc$)]])</f>
        <v>0</v>
      </c>
      <c r="G509">
        <f>_xlfn.RANK.AVG(Table1[[#This Row],[Flux in SC / glucose uptake ($mmol/mmol\ glc$)]],Table1[Flux in SC / glucose uptake ($mmol/mmol\ glc$)])</f>
        <v>1310.5</v>
      </c>
      <c r="H509">
        <f>_xlfn.RANK.AVG(Table1[[#This Row],[Flux in RT / glucose uptake ($mmol/mmol\ glc$)]],Table1[Flux in RT / glucose uptake ($mmol/mmol\ glc$)])</f>
        <v>1290.5</v>
      </c>
      <c r="I509" t="e">
        <f>LOG(Table1[[#This Row],[Flux in SC / glucose uptake ($mmol/mmol\ glc$)]])</f>
        <v>#NUM!</v>
      </c>
      <c r="J509" t="e">
        <f>LOG(Table1[[#This Row],[Flux in RT / glucose uptake ($mmol/mmol\ glc$)]])</f>
        <v>#NUM!</v>
      </c>
    </row>
    <row r="510" spans="1:10" x14ac:dyDescent="0.2">
      <c r="A510" t="s">
        <v>513</v>
      </c>
      <c r="B510" t="s">
        <v>3131</v>
      </c>
      <c r="C510">
        <v>0</v>
      </c>
      <c r="D510">
        <v>0</v>
      </c>
      <c r="E510">
        <f>ABS(Table1[[#This Row],[Flux in SC / glucose uptake ($mmol/mmol\ glc$)]]-Table1[[#This Row],[Flux in RT / glucose uptake ($mmol/mmol\ glc$)]])/SQRT(2)</f>
        <v>0</v>
      </c>
      <c r="F510">
        <f>Table1[[#This Row],[distance from 45-degree line]]/MAX(Table1[[Flux in SC / glucose uptake ($mmol/mmol\ glc$)]:[Flux in RT / glucose uptake ($mmol/mmol\ glc$)]])</f>
        <v>0</v>
      </c>
      <c r="G510">
        <f>_xlfn.RANK.AVG(Table1[[#This Row],[Flux in SC / glucose uptake ($mmol/mmol\ glc$)]],Table1[Flux in SC / glucose uptake ($mmol/mmol\ glc$)])</f>
        <v>1310.5</v>
      </c>
      <c r="H510">
        <f>_xlfn.RANK.AVG(Table1[[#This Row],[Flux in RT / glucose uptake ($mmol/mmol\ glc$)]],Table1[Flux in RT / glucose uptake ($mmol/mmol\ glc$)])</f>
        <v>1290.5</v>
      </c>
      <c r="I510" t="e">
        <f>LOG(Table1[[#This Row],[Flux in SC / glucose uptake ($mmol/mmol\ glc$)]])</f>
        <v>#NUM!</v>
      </c>
      <c r="J510" t="e">
        <f>LOG(Table1[[#This Row],[Flux in RT / glucose uptake ($mmol/mmol\ glc$)]])</f>
        <v>#NUM!</v>
      </c>
    </row>
    <row r="511" spans="1:10" x14ac:dyDescent="0.2">
      <c r="A511" t="s">
        <v>514</v>
      </c>
      <c r="B511" t="s">
        <v>3141</v>
      </c>
      <c r="C511">
        <v>0</v>
      </c>
      <c r="D511">
        <v>0</v>
      </c>
      <c r="E511">
        <f>ABS(Table1[[#This Row],[Flux in SC / glucose uptake ($mmol/mmol\ glc$)]]-Table1[[#This Row],[Flux in RT / glucose uptake ($mmol/mmol\ glc$)]])/SQRT(2)</f>
        <v>0</v>
      </c>
      <c r="F511">
        <f>Table1[[#This Row],[distance from 45-degree line]]/MAX(Table1[[Flux in SC / glucose uptake ($mmol/mmol\ glc$)]:[Flux in RT / glucose uptake ($mmol/mmol\ glc$)]])</f>
        <v>0</v>
      </c>
      <c r="G511">
        <f>_xlfn.RANK.AVG(Table1[[#This Row],[Flux in SC / glucose uptake ($mmol/mmol\ glc$)]],Table1[Flux in SC / glucose uptake ($mmol/mmol\ glc$)])</f>
        <v>1310.5</v>
      </c>
      <c r="H511">
        <f>_xlfn.RANK.AVG(Table1[[#This Row],[Flux in RT / glucose uptake ($mmol/mmol\ glc$)]],Table1[Flux in RT / glucose uptake ($mmol/mmol\ glc$)])</f>
        <v>1290.5</v>
      </c>
      <c r="I511" t="e">
        <f>LOG(Table1[[#This Row],[Flux in SC / glucose uptake ($mmol/mmol\ glc$)]])</f>
        <v>#NUM!</v>
      </c>
      <c r="J511" t="e">
        <f>LOG(Table1[[#This Row],[Flux in RT / glucose uptake ($mmol/mmol\ glc$)]])</f>
        <v>#NUM!</v>
      </c>
    </row>
    <row r="512" spans="1:10" x14ac:dyDescent="0.2">
      <c r="A512" t="s">
        <v>515</v>
      </c>
      <c r="B512" t="s">
        <v>3117</v>
      </c>
      <c r="C512">
        <v>0</v>
      </c>
      <c r="D512">
        <v>0</v>
      </c>
      <c r="E512">
        <f>ABS(Table1[[#This Row],[Flux in SC / glucose uptake ($mmol/mmol\ glc$)]]-Table1[[#This Row],[Flux in RT / glucose uptake ($mmol/mmol\ glc$)]])/SQRT(2)</f>
        <v>0</v>
      </c>
      <c r="F512">
        <f>Table1[[#This Row],[distance from 45-degree line]]/MAX(Table1[[Flux in SC / glucose uptake ($mmol/mmol\ glc$)]:[Flux in RT / glucose uptake ($mmol/mmol\ glc$)]])</f>
        <v>0</v>
      </c>
      <c r="G512">
        <f>_xlfn.RANK.AVG(Table1[[#This Row],[Flux in SC / glucose uptake ($mmol/mmol\ glc$)]],Table1[Flux in SC / glucose uptake ($mmol/mmol\ glc$)])</f>
        <v>1310.5</v>
      </c>
      <c r="H512">
        <f>_xlfn.RANK.AVG(Table1[[#This Row],[Flux in RT / glucose uptake ($mmol/mmol\ glc$)]],Table1[Flux in RT / glucose uptake ($mmol/mmol\ glc$)])</f>
        <v>1290.5</v>
      </c>
      <c r="I512" t="e">
        <f>LOG(Table1[[#This Row],[Flux in SC / glucose uptake ($mmol/mmol\ glc$)]])</f>
        <v>#NUM!</v>
      </c>
      <c r="J512" t="e">
        <f>LOG(Table1[[#This Row],[Flux in RT / glucose uptake ($mmol/mmol\ glc$)]])</f>
        <v>#NUM!</v>
      </c>
    </row>
    <row r="513" spans="1:10" x14ac:dyDescent="0.2">
      <c r="A513" t="s">
        <v>516</v>
      </c>
      <c r="B513" t="s">
        <v>3114</v>
      </c>
      <c r="C513">
        <v>0</v>
      </c>
      <c r="D513">
        <v>0</v>
      </c>
      <c r="E513">
        <f>ABS(Table1[[#This Row],[Flux in SC / glucose uptake ($mmol/mmol\ glc$)]]-Table1[[#This Row],[Flux in RT / glucose uptake ($mmol/mmol\ glc$)]])/SQRT(2)</f>
        <v>0</v>
      </c>
      <c r="F513">
        <f>Table1[[#This Row],[distance from 45-degree line]]/MAX(Table1[[Flux in SC / glucose uptake ($mmol/mmol\ glc$)]:[Flux in RT / glucose uptake ($mmol/mmol\ glc$)]])</f>
        <v>0</v>
      </c>
      <c r="G513">
        <f>_xlfn.RANK.AVG(Table1[[#This Row],[Flux in SC / glucose uptake ($mmol/mmol\ glc$)]],Table1[Flux in SC / glucose uptake ($mmol/mmol\ glc$)])</f>
        <v>1310.5</v>
      </c>
      <c r="H513">
        <f>_xlfn.RANK.AVG(Table1[[#This Row],[Flux in RT / glucose uptake ($mmol/mmol\ glc$)]],Table1[Flux in RT / glucose uptake ($mmol/mmol\ glc$)])</f>
        <v>1290.5</v>
      </c>
      <c r="I513" t="e">
        <f>LOG(Table1[[#This Row],[Flux in SC / glucose uptake ($mmol/mmol\ glc$)]])</f>
        <v>#NUM!</v>
      </c>
      <c r="J513" t="e">
        <f>LOG(Table1[[#This Row],[Flux in RT / glucose uptake ($mmol/mmol\ glc$)]])</f>
        <v>#NUM!</v>
      </c>
    </row>
    <row r="514" spans="1:10" x14ac:dyDescent="0.2">
      <c r="A514" t="s">
        <v>517</v>
      </c>
      <c r="B514" t="s">
        <v>3114</v>
      </c>
      <c r="C514">
        <v>0</v>
      </c>
      <c r="D514">
        <v>0</v>
      </c>
      <c r="E514">
        <f>ABS(Table1[[#This Row],[Flux in SC / glucose uptake ($mmol/mmol\ glc$)]]-Table1[[#This Row],[Flux in RT / glucose uptake ($mmol/mmol\ glc$)]])/SQRT(2)</f>
        <v>0</v>
      </c>
      <c r="F514">
        <f>Table1[[#This Row],[distance from 45-degree line]]/MAX(Table1[[Flux in SC / glucose uptake ($mmol/mmol\ glc$)]:[Flux in RT / glucose uptake ($mmol/mmol\ glc$)]])</f>
        <v>0</v>
      </c>
      <c r="G514">
        <f>_xlfn.RANK.AVG(Table1[[#This Row],[Flux in SC / glucose uptake ($mmol/mmol\ glc$)]],Table1[Flux in SC / glucose uptake ($mmol/mmol\ glc$)])</f>
        <v>1310.5</v>
      </c>
      <c r="H514">
        <f>_xlfn.RANK.AVG(Table1[[#This Row],[Flux in RT / glucose uptake ($mmol/mmol\ glc$)]],Table1[Flux in RT / glucose uptake ($mmol/mmol\ glc$)])</f>
        <v>1290.5</v>
      </c>
      <c r="I514" t="e">
        <f>LOG(Table1[[#This Row],[Flux in SC / glucose uptake ($mmol/mmol\ glc$)]])</f>
        <v>#NUM!</v>
      </c>
      <c r="J514" t="e">
        <f>LOG(Table1[[#This Row],[Flux in RT / glucose uptake ($mmol/mmol\ glc$)]])</f>
        <v>#NUM!</v>
      </c>
    </row>
    <row r="515" spans="1:10" x14ac:dyDescent="0.2">
      <c r="A515" t="s">
        <v>518</v>
      </c>
      <c r="B515" t="s">
        <v>3120</v>
      </c>
      <c r="C515">
        <v>3.8069218230133788E-3</v>
      </c>
      <c r="D515">
        <v>1.7230052188683002E-2</v>
      </c>
      <c r="E515">
        <f>ABS(Table1[[#This Row],[Flux in SC / glucose uptake ($mmol/mmol\ glc$)]]-Table1[[#This Row],[Flux in RT / glucose uptake ($mmol/mmol\ glc$)]])/SQRT(2)</f>
        <v>9.4915865063160514E-3</v>
      </c>
      <c r="F515">
        <f>Table1[[#This Row],[distance from 45-degree line]]/MAX(Table1[[Flux in SC / glucose uptake ($mmol/mmol\ glc$)]:[Flux in RT / glucose uptake ($mmol/mmol\ glc$)]])</f>
        <v>5.1158568216436401E-4</v>
      </c>
      <c r="G515">
        <f>_xlfn.RANK.AVG(Table1[[#This Row],[Flux in SC / glucose uptake ($mmol/mmol\ glc$)]],Table1[Flux in SC / glucose uptake ($mmol/mmol\ glc$)])</f>
        <v>151</v>
      </c>
      <c r="H515">
        <f>_xlfn.RANK.AVG(Table1[[#This Row],[Flux in RT / glucose uptake ($mmol/mmol\ glc$)]],Table1[Flux in RT / glucose uptake ($mmol/mmol\ glc$)])</f>
        <v>164</v>
      </c>
      <c r="I515">
        <f>LOG(Table1[[#This Row],[Flux in SC / glucose uptake ($mmol/mmol\ glc$)]])</f>
        <v>-2.4194260415419522</v>
      </c>
      <c r="J515">
        <f>LOG(Table1[[#This Row],[Flux in RT / glucose uptake ($mmol/mmol\ glc$)]])</f>
        <v>-1.763713407100856</v>
      </c>
    </row>
    <row r="516" spans="1:10" x14ac:dyDescent="0.2">
      <c r="A516" t="s">
        <v>519</v>
      </c>
      <c r="B516" t="s">
        <v>3120</v>
      </c>
      <c r="C516">
        <v>4.2395240083936388E-3</v>
      </c>
      <c r="D516">
        <v>1.9187997833945303E-2</v>
      </c>
      <c r="E516">
        <f>ABS(Table1[[#This Row],[Flux in SC / glucose uptake ($mmol/mmol\ glc$)]]-Table1[[#This Row],[Flux in RT / glucose uptake ($mmol/mmol\ glc$)]])/SQRT(2)</f>
        <v>1.0570167210437194E-2</v>
      </c>
      <c r="F516">
        <f>Table1[[#This Row],[distance from 45-degree line]]/MAX(Table1[[Flux in SC / glucose uptake ($mmol/mmol\ glc$)]:[Flux in RT / glucose uptake ($mmol/mmol\ glc$)]])</f>
        <v>5.6971995138478942E-4</v>
      </c>
      <c r="G516">
        <f>_xlfn.RANK.AVG(Table1[[#This Row],[Flux in SC / glucose uptake ($mmol/mmol\ glc$)]],Table1[Flux in SC / glucose uptake ($mmol/mmol\ glc$)])</f>
        <v>133</v>
      </c>
      <c r="H516">
        <f>_xlfn.RANK.AVG(Table1[[#This Row],[Flux in RT / glucose uptake ($mmol/mmol\ glc$)]],Table1[Flux in RT / glucose uptake ($mmol/mmol\ glc$)])</f>
        <v>153</v>
      </c>
      <c r="I516">
        <f>LOG(Table1[[#This Row],[Flux in SC / glucose uptake ($mmol/mmol\ glc$)]])</f>
        <v>-2.3726829009856614</v>
      </c>
      <c r="J516">
        <f>LOG(Table1[[#This Row],[Flux in RT / glucose uptake ($mmol/mmol\ glc$)]])</f>
        <v>-1.7169703392318678</v>
      </c>
    </row>
    <row r="517" spans="1:10" x14ac:dyDescent="0.2">
      <c r="A517" t="s">
        <v>520</v>
      </c>
      <c r="B517" t="s">
        <v>3127</v>
      </c>
      <c r="C517">
        <v>0</v>
      </c>
      <c r="D517">
        <v>0</v>
      </c>
      <c r="E517">
        <f>ABS(Table1[[#This Row],[Flux in SC / glucose uptake ($mmol/mmol\ glc$)]]-Table1[[#This Row],[Flux in RT / glucose uptake ($mmol/mmol\ glc$)]])/SQRT(2)</f>
        <v>0</v>
      </c>
      <c r="F517">
        <f>Table1[[#This Row],[distance from 45-degree line]]/MAX(Table1[[Flux in SC / glucose uptake ($mmol/mmol\ glc$)]:[Flux in RT / glucose uptake ($mmol/mmol\ glc$)]])</f>
        <v>0</v>
      </c>
      <c r="G517">
        <f>_xlfn.RANK.AVG(Table1[[#This Row],[Flux in SC / glucose uptake ($mmol/mmol\ glc$)]],Table1[Flux in SC / glucose uptake ($mmol/mmol\ glc$)])</f>
        <v>1310.5</v>
      </c>
      <c r="H517">
        <f>_xlfn.RANK.AVG(Table1[[#This Row],[Flux in RT / glucose uptake ($mmol/mmol\ glc$)]],Table1[Flux in RT / glucose uptake ($mmol/mmol\ glc$)])</f>
        <v>1290.5</v>
      </c>
      <c r="I517" t="e">
        <f>LOG(Table1[[#This Row],[Flux in SC / glucose uptake ($mmol/mmol\ glc$)]])</f>
        <v>#NUM!</v>
      </c>
      <c r="J517" t="e">
        <f>LOG(Table1[[#This Row],[Flux in RT / glucose uptake ($mmol/mmol\ glc$)]])</f>
        <v>#NUM!</v>
      </c>
    </row>
    <row r="518" spans="1:10" x14ac:dyDescent="0.2">
      <c r="A518" t="s">
        <v>521</v>
      </c>
      <c r="B518" t="s">
        <v>3139</v>
      </c>
      <c r="C518">
        <v>0</v>
      </c>
      <c r="D518">
        <v>0</v>
      </c>
      <c r="E518">
        <f>ABS(Table1[[#This Row],[Flux in SC / glucose uptake ($mmol/mmol\ glc$)]]-Table1[[#This Row],[Flux in RT / glucose uptake ($mmol/mmol\ glc$)]])/SQRT(2)</f>
        <v>0</v>
      </c>
      <c r="F518">
        <f>Table1[[#This Row],[distance from 45-degree line]]/MAX(Table1[[Flux in SC / glucose uptake ($mmol/mmol\ glc$)]:[Flux in RT / glucose uptake ($mmol/mmol\ glc$)]])</f>
        <v>0</v>
      </c>
      <c r="G518">
        <f>_xlfn.RANK.AVG(Table1[[#This Row],[Flux in SC / glucose uptake ($mmol/mmol\ glc$)]],Table1[Flux in SC / glucose uptake ($mmol/mmol\ glc$)])</f>
        <v>1310.5</v>
      </c>
      <c r="H518">
        <f>_xlfn.RANK.AVG(Table1[[#This Row],[Flux in RT / glucose uptake ($mmol/mmol\ glc$)]],Table1[Flux in RT / glucose uptake ($mmol/mmol\ glc$)])</f>
        <v>1290.5</v>
      </c>
      <c r="I518" t="e">
        <f>LOG(Table1[[#This Row],[Flux in SC / glucose uptake ($mmol/mmol\ glc$)]])</f>
        <v>#NUM!</v>
      </c>
      <c r="J518" t="e">
        <f>LOG(Table1[[#This Row],[Flux in RT / glucose uptake ($mmol/mmol\ glc$)]])</f>
        <v>#NUM!</v>
      </c>
    </row>
    <row r="519" spans="1:10" x14ac:dyDescent="0.2">
      <c r="A519" t="s">
        <v>522</v>
      </c>
      <c r="B519" t="s">
        <v>3118</v>
      </c>
      <c r="C519">
        <v>0</v>
      </c>
      <c r="D519">
        <v>0</v>
      </c>
      <c r="E519">
        <f>ABS(Table1[[#This Row],[Flux in SC / glucose uptake ($mmol/mmol\ glc$)]]-Table1[[#This Row],[Flux in RT / glucose uptake ($mmol/mmol\ glc$)]])/SQRT(2)</f>
        <v>0</v>
      </c>
      <c r="F519">
        <f>Table1[[#This Row],[distance from 45-degree line]]/MAX(Table1[[Flux in SC / glucose uptake ($mmol/mmol\ glc$)]:[Flux in RT / glucose uptake ($mmol/mmol\ glc$)]])</f>
        <v>0</v>
      </c>
      <c r="G519">
        <f>_xlfn.RANK.AVG(Table1[[#This Row],[Flux in SC / glucose uptake ($mmol/mmol\ glc$)]],Table1[Flux in SC / glucose uptake ($mmol/mmol\ glc$)])</f>
        <v>1310.5</v>
      </c>
      <c r="H519">
        <f>_xlfn.RANK.AVG(Table1[[#This Row],[Flux in RT / glucose uptake ($mmol/mmol\ glc$)]],Table1[Flux in RT / glucose uptake ($mmol/mmol\ glc$)])</f>
        <v>1290.5</v>
      </c>
      <c r="I519" t="e">
        <f>LOG(Table1[[#This Row],[Flux in SC / glucose uptake ($mmol/mmol\ glc$)]])</f>
        <v>#NUM!</v>
      </c>
      <c r="J519" t="e">
        <f>LOG(Table1[[#This Row],[Flux in RT / glucose uptake ($mmol/mmol\ glc$)]])</f>
        <v>#NUM!</v>
      </c>
    </row>
    <row r="520" spans="1:10" x14ac:dyDescent="0.2">
      <c r="A520" t="s">
        <v>523</v>
      </c>
      <c r="B520" t="s">
        <v>3118</v>
      </c>
      <c r="C520">
        <v>0</v>
      </c>
      <c r="D520">
        <v>0</v>
      </c>
      <c r="E520">
        <f>ABS(Table1[[#This Row],[Flux in SC / glucose uptake ($mmol/mmol\ glc$)]]-Table1[[#This Row],[Flux in RT / glucose uptake ($mmol/mmol\ glc$)]])/SQRT(2)</f>
        <v>0</v>
      </c>
      <c r="F520">
        <f>Table1[[#This Row],[distance from 45-degree line]]/MAX(Table1[[Flux in SC / glucose uptake ($mmol/mmol\ glc$)]:[Flux in RT / glucose uptake ($mmol/mmol\ glc$)]])</f>
        <v>0</v>
      </c>
      <c r="G520">
        <f>_xlfn.RANK.AVG(Table1[[#This Row],[Flux in SC / glucose uptake ($mmol/mmol\ glc$)]],Table1[Flux in SC / glucose uptake ($mmol/mmol\ glc$)])</f>
        <v>1310.5</v>
      </c>
      <c r="H520">
        <f>_xlfn.RANK.AVG(Table1[[#This Row],[Flux in RT / glucose uptake ($mmol/mmol\ glc$)]],Table1[Flux in RT / glucose uptake ($mmol/mmol\ glc$)])</f>
        <v>1290.5</v>
      </c>
      <c r="I520" t="e">
        <f>LOG(Table1[[#This Row],[Flux in SC / glucose uptake ($mmol/mmol\ glc$)]])</f>
        <v>#NUM!</v>
      </c>
      <c r="J520" t="e">
        <f>LOG(Table1[[#This Row],[Flux in RT / glucose uptake ($mmol/mmol\ glc$)]])</f>
        <v>#NUM!</v>
      </c>
    </row>
    <row r="521" spans="1:10" x14ac:dyDescent="0.2">
      <c r="A521" t="s">
        <v>524</v>
      </c>
      <c r="B521" t="s">
        <v>3139</v>
      </c>
      <c r="C521">
        <v>1.9904670694253902E-4</v>
      </c>
      <c r="D521">
        <v>1.1734332811037241E-3</v>
      </c>
      <c r="E521">
        <f>ABS(Table1[[#This Row],[Flux in SC / glucose uptake ($mmol/mmol\ glc$)]]-Table1[[#This Row],[Flux in RT / glucose uptake ($mmol/mmol\ glc$)]])/SQRT(2)</f>
        <v>6.8899535408650271E-4</v>
      </c>
      <c r="F521">
        <f>Table1[[#This Row],[distance from 45-degree line]]/MAX(Table1[[Flux in SC / glucose uptake ($mmol/mmol\ glc$)]:[Flux in RT / glucose uptake ($mmol/mmol\ glc$)]])</f>
        <v>3.7136063396131692E-5</v>
      </c>
      <c r="G521">
        <f>_xlfn.RANK.AVG(Table1[[#This Row],[Flux in SC / glucose uptake ($mmol/mmol\ glc$)]],Table1[Flux in SC / glucose uptake ($mmol/mmol\ glc$)])</f>
        <v>258</v>
      </c>
      <c r="H521">
        <f>_xlfn.RANK.AVG(Table1[[#This Row],[Flux in RT / glucose uptake ($mmol/mmol\ glc$)]],Table1[Flux in RT / glucose uptake ($mmol/mmol\ glc$)])</f>
        <v>254</v>
      </c>
      <c r="I521">
        <f>LOG(Table1[[#This Row],[Flux in SC / glucose uptake ($mmol/mmol\ glc$)]])</f>
        <v>-3.7010450030510671</v>
      </c>
      <c r="J521">
        <f>LOG(Table1[[#This Row],[Flux in RT / glucose uptake ($mmol/mmol\ glc$)]])</f>
        <v>-2.9305415984149601</v>
      </c>
    </row>
    <row r="522" spans="1:10" x14ac:dyDescent="0.2">
      <c r="A522" t="s">
        <v>525</v>
      </c>
      <c r="B522" t="s">
        <v>3172</v>
      </c>
      <c r="C522">
        <v>0</v>
      </c>
      <c r="D522">
        <v>0</v>
      </c>
      <c r="E522">
        <f>ABS(Table1[[#This Row],[Flux in SC / glucose uptake ($mmol/mmol\ glc$)]]-Table1[[#This Row],[Flux in RT / glucose uptake ($mmol/mmol\ glc$)]])/SQRT(2)</f>
        <v>0</v>
      </c>
      <c r="F522">
        <f>Table1[[#This Row],[distance from 45-degree line]]/MAX(Table1[[Flux in SC / glucose uptake ($mmol/mmol\ glc$)]:[Flux in RT / glucose uptake ($mmol/mmol\ glc$)]])</f>
        <v>0</v>
      </c>
      <c r="G522">
        <f>_xlfn.RANK.AVG(Table1[[#This Row],[Flux in SC / glucose uptake ($mmol/mmol\ glc$)]],Table1[Flux in SC / glucose uptake ($mmol/mmol\ glc$)])</f>
        <v>1310.5</v>
      </c>
      <c r="H522">
        <f>_xlfn.RANK.AVG(Table1[[#This Row],[Flux in RT / glucose uptake ($mmol/mmol\ glc$)]],Table1[Flux in RT / glucose uptake ($mmol/mmol\ glc$)])</f>
        <v>1290.5</v>
      </c>
      <c r="I522" t="e">
        <f>LOG(Table1[[#This Row],[Flux in SC / glucose uptake ($mmol/mmol\ glc$)]])</f>
        <v>#NUM!</v>
      </c>
      <c r="J522" t="e">
        <f>LOG(Table1[[#This Row],[Flux in RT / glucose uptake ($mmol/mmol\ glc$)]])</f>
        <v>#NUM!</v>
      </c>
    </row>
    <row r="523" spans="1:10" x14ac:dyDescent="0.2">
      <c r="A523" t="s">
        <v>526</v>
      </c>
      <c r="B523" t="s">
        <v>3114</v>
      </c>
      <c r="C523">
        <v>2.4787605175401444E-2</v>
      </c>
      <c r="D523">
        <v>0</v>
      </c>
      <c r="E523">
        <f>ABS(Table1[[#This Row],[Flux in SC / glucose uptake ($mmol/mmol\ glc$)]]-Table1[[#This Row],[Flux in RT / glucose uptake ($mmol/mmol\ glc$)]])/SQRT(2)</f>
        <v>1.7527483708901122E-2</v>
      </c>
      <c r="F523">
        <f>Table1[[#This Row],[distance from 45-degree line]]/MAX(Table1[[Flux in SC / glucose uptake ($mmol/mmol\ glc$)]:[Flux in RT / glucose uptake ($mmol/mmol\ glc$)]])</f>
        <v>9.4471137189511062E-4</v>
      </c>
      <c r="G523">
        <f>_xlfn.RANK.AVG(Table1[[#This Row],[Flux in SC / glucose uptake ($mmol/mmol\ glc$)]],Table1[Flux in SC / glucose uptake ($mmol/mmol\ glc$)])</f>
        <v>62</v>
      </c>
      <c r="H523">
        <f>_xlfn.RANK.AVG(Table1[[#This Row],[Flux in RT / glucose uptake ($mmol/mmol\ glc$)]],Table1[Flux in RT / glucose uptake ($mmol/mmol\ glc$)])</f>
        <v>1290.5</v>
      </c>
      <c r="I523">
        <f>LOG(Table1[[#This Row],[Flux in SC / glucose uptake ($mmol/mmol\ glc$)]])</f>
        <v>-1.6057654300433399</v>
      </c>
      <c r="J523" t="e">
        <f>LOG(Table1[[#This Row],[Flux in RT / glucose uptake ($mmol/mmol\ glc$)]])</f>
        <v>#NUM!</v>
      </c>
    </row>
    <row r="524" spans="1:10" x14ac:dyDescent="0.2">
      <c r="A524" t="s">
        <v>527</v>
      </c>
      <c r="B524" t="s">
        <v>3114</v>
      </c>
      <c r="C524">
        <v>0</v>
      </c>
      <c r="D524">
        <v>0</v>
      </c>
      <c r="E524">
        <f>ABS(Table1[[#This Row],[Flux in SC / glucose uptake ($mmol/mmol\ glc$)]]-Table1[[#This Row],[Flux in RT / glucose uptake ($mmol/mmol\ glc$)]])/SQRT(2)</f>
        <v>0</v>
      </c>
      <c r="F524">
        <f>Table1[[#This Row],[distance from 45-degree line]]/MAX(Table1[[Flux in SC / glucose uptake ($mmol/mmol\ glc$)]:[Flux in RT / glucose uptake ($mmol/mmol\ glc$)]])</f>
        <v>0</v>
      </c>
      <c r="G524">
        <f>_xlfn.RANK.AVG(Table1[[#This Row],[Flux in SC / glucose uptake ($mmol/mmol\ glc$)]],Table1[Flux in SC / glucose uptake ($mmol/mmol\ glc$)])</f>
        <v>1310.5</v>
      </c>
      <c r="H524">
        <f>_xlfn.RANK.AVG(Table1[[#This Row],[Flux in RT / glucose uptake ($mmol/mmol\ glc$)]],Table1[Flux in RT / glucose uptake ($mmol/mmol\ glc$)])</f>
        <v>1290.5</v>
      </c>
      <c r="I524" t="e">
        <f>LOG(Table1[[#This Row],[Flux in SC / glucose uptake ($mmol/mmol\ glc$)]])</f>
        <v>#NUM!</v>
      </c>
      <c r="J524" t="e">
        <f>LOG(Table1[[#This Row],[Flux in RT / glucose uptake ($mmol/mmol\ glc$)]])</f>
        <v>#NUM!</v>
      </c>
    </row>
    <row r="525" spans="1:10" x14ac:dyDescent="0.2">
      <c r="A525" t="s">
        <v>528</v>
      </c>
      <c r="B525" t="s">
        <v>3114</v>
      </c>
      <c r="C525">
        <v>2.4787601564369332E-2</v>
      </c>
      <c r="D525">
        <v>0.19811356148231085</v>
      </c>
      <c r="E525">
        <f>ABS(Table1[[#This Row],[Flux in SC / glucose uptake ($mmol/mmol\ glc$)]]-Table1[[#This Row],[Flux in RT / glucose uptake ($mmol/mmol\ glc$)]])/SQRT(2)</f>
        <v>0.12255996161364419</v>
      </c>
      <c r="F525">
        <f>Table1[[#This Row],[distance from 45-degree line]]/MAX(Table1[[Flux in SC / glucose uptake ($mmol/mmol\ glc$)]:[Flux in RT / glucose uptake ($mmol/mmol\ glc$)]])</f>
        <v>6.6058420819777169E-3</v>
      </c>
      <c r="G525">
        <f>_xlfn.RANK.AVG(Table1[[#This Row],[Flux in SC / glucose uptake ($mmol/mmol\ glc$)]],Table1[Flux in SC / glucose uptake ($mmol/mmol\ glc$)])</f>
        <v>63</v>
      </c>
      <c r="H525">
        <f>_xlfn.RANK.AVG(Table1[[#This Row],[Flux in RT / glucose uptake ($mmol/mmol\ glc$)]],Table1[Flux in RT / glucose uptake ($mmol/mmol\ glc$)])</f>
        <v>65.5</v>
      </c>
      <c r="I525">
        <f>LOG(Table1[[#This Row],[Flux in SC / glucose uptake ($mmol/mmol\ glc$)]])</f>
        <v>-1.6057654933109053</v>
      </c>
      <c r="J525">
        <f>LOG(Table1[[#This Row],[Flux in RT / glucose uptake ($mmol/mmol\ glc$)]])</f>
        <v>-0.70308579465152776</v>
      </c>
    </row>
    <row r="526" spans="1:10" x14ac:dyDescent="0.2">
      <c r="A526" t="s">
        <v>529</v>
      </c>
      <c r="B526" t="s">
        <v>3114</v>
      </c>
      <c r="C526">
        <v>0</v>
      </c>
      <c r="D526">
        <v>0</v>
      </c>
      <c r="E526">
        <f>ABS(Table1[[#This Row],[Flux in SC / glucose uptake ($mmol/mmol\ glc$)]]-Table1[[#This Row],[Flux in RT / glucose uptake ($mmol/mmol\ glc$)]])/SQRT(2)</f>
        <v>0</v>
      </c>
      <c r="F526">
        <f>Table1[[#This Row],[distance from 45-degree line]]/MAX(Table1[[Flux in SC / glucose uptake ($mmol/mmol\ glc$)]:[Flux in RT / glucose uptake ($mmol/mmol\ glc$)]])</f>
        <v>0</v>
      </c>
      <c r="G526">
        <f>_xlfn.RANK.AVG(Table1[[#This Row],[Flux in SC / glucose uptake ($mmol/mmol\ glc$)]],Table1[Flux in SC / glucose uptake ($mmol/mmol\ glc$)])</f>
        <v>1310.5</v>
      </c>
      <c r="H526">
        <f>_xlfn.RANK.AVG(Table1[[#This Row],[Flux in RT / glucose uptake ($mmol/mmol\ glc$)]],Table1[Flux in RT / glucose uptake ($mmol/mmol\ glc$)])</f>
        <v>1290.5</v>
      </c>
      <c r="I526" t="e">
        <f>LOG(Table1[[#This Row],[Flux in SC / glucose uptake ($mmol/mmol\ glc$)]])</f>
        <v>#NUM!</v>
      </c>
      <c r="J526" t="e">
        <f>LOG(Table1[[#This Row],[Flux in RT / glucose uptake ($mmol/mmol\ glc$)]])</f>
        <v>#NUM!</v>
      </c>
    </row>
    <row r="527" spans="1:10" x14ac:dyDescent="0.2">
      <c r="A527" t="s">
        <v>530</v>
      </c>
      <c r="B527" t="s">
        <v>3114</v>
      </c>
      <c r="C527">
        <v>0</v>
      </c>
      <c r="D527">
        <v>0</v>
      </c>
      <c r="E527">
        <f>ABS(Table1[[#This Row],[Flux in SC / glucose uptake ($mmol/mmol\ glc$)]]-Table1[[#This Row],[Flux in RT / glucose uptake ($mmol/mmol\ glc$)]])/SQRT(2)</f>
        <v>0</v>
      </c>
      <c r="F527">
        <f>Table1[[#This Row],[distance from 45-degree line]]/MAX(Table1[[Flux in SC / glucose uptake ($mmol/mmol\ glc$)]:[Flux in RT / glucose uptake ($mmol/mmol\ glc$)]])</f>
        <v>0</v>
      </c>
      <c r="G527">
        <f>_xlfn.RANK.AVG(Table1[[#This Row],[Flux in SC / glucose uptake ($mmol/mmol\ glc$)]],Table1[Flux in SC / glucose uptake ($mmol/mmol\ glc$)])</f>
        <v>1310.5</v>
      </c>
      <c r="H527">
        <f>_xlfn.RANK.AVG(Table1[[#This Row],[Flux in RT / glucose uptake ($mmol/mmol\ glc$)]],Table1[Flux in RT / glucose uptake ($mmol/mmol\ glc$)])</f>
        <v>1290.5</v>
      </c>
      <c r="I527" t="e">
        <f>LOG(Table1[[#This Row],[Flux in SC / glucose uptake ($mmol/mmol\ glc$)]])</f>
        <v>#NUM!</v>
      </c>
      <c r="J527" t="e">
        <f>LOG(Table1[[#This Row],[Flux in RT / glucose uptake ($mmol/mmol\ glc$)]])</f>
        <v>#NUM!</v>
      </c>
    </row>
    <row r="528" spans="1:10" x14ac:dyDescent="0.2">
      <c r="A528" t="s">
        <v>531</v>
      </c>
      <c r="B528" t="s">
        <v>3114</v>
      </c>
      <c r="C528">
        <v>0</v>
      </c>
      <c r="D528">
        <v>0</v>
      </c>
      <c r="E528">
        <f>ABS(Table1[[#This Row],[Flux in SC / glucose uptake ($mmol/mmol\ glc$)]]-Table1[[#This Row],[Flux in RT / glucose uptake ($mmol/mmol\ glc$)]])/SQRT(2)</f>
        <v>0</v>
      </c>
      <c r="F528">
        <f>Table1[[#This Row],[distance from 45-degree line]]/MAX(Table1[[Flux in SC / glucose uptake ($mmol/mmol\ glc$)]:[Flux in RT / glucose uptake ($mmol/mmol\ glc$)]])</f>
        <v>0</v>
      </c>
      <c r="G528">
        <f>_xlfn.RANK.AVG(Table1[[#This Row],[Flux in SC / glucose uptake ($mmol/mmol\ glc$)]],Table1[Flux in SC / glucose uptake ($mmol/mmol\ glc$)])</f>
        <v>1310.5</v>
      </c>
      <c r="H528">
        <f>_xlfn.RANK.AVG(Table1[[#This Row],[Flux in RT / glucose uptake ($mmol/mmol\ glc$)]],Table1[Flux in RT / glucose uptake ($mmol/mmol\ glc$)])</f>
        <v>1290.5</v>
      </c>
      <c r="I528" t="e">
        <f>LOG(Table1[[#This Row],[Flux in SC / glucose uptake ($mmol/mmol\ glc$)]])</f>
        <v>#NUM!</v>
      </c>
      <c r="J528" t="e">
        <f>LOG(Table1[[#This Row],[Flux in RT / glucose uptake ($mmol/mmol\ glc$)]])</f>
        <v>#NUM!</v>
      </c>
    </row>
    <row r="529" spans="1:10" x14ac:dyDescent="0.2">
      <c r="A529" t="s">
        <v>532</v>
      </c>
      <c r="B529" t="s">
        <v>3117</v>
      </c>
      <c r="C529">
        <v>0</v>
      </c>
      <c r="D529">
        <v>0</v>
      </c>
      <c r="E529">
        <f>ABS(Table1[[#This Row],[Flux in SC / glucose uptake ($mmol/mmol\ glc$)]]-Table1[[#This Row],[Flux in RT / glucose uptake ($mmol/mmol\ glc$)]])/SQRT(2)</f>
        <v>0</v>
      </c>
      <c r="F529">
        <f>Table1[[#This Row],[distance from 45-degree line]]/MAX(Table1[[Flux in SC / glucose uptake ($mmol/mmol\ glc$)]:[Flux in RT / glucose uptake ($mmol/mmol\ glc$)]])</f>
        <v>0</v>
      </c>
      <c r="G529">
        <f>_xlfn.RANK.AVG(Table1[[#This Row],[Flux in SC / glucose uptake ($mmol/mmol\ glc$)]],Table1[Flux in SC / glucose uptake ($mmol/mmol\ glc$)])</f>
        <v>1310.5</v>
      </c>
      <c r="H529">
        <f>_xlfn.RANK.AVG(Table1[[#This Row],[Flux in RT / glucose uptake ($mmol/mmol\ glc$)]],Table1[Flux in RT / glucose uptake ($mmol/mmol\ glc$)])</f>
        <v>1290.5</v>
      </c>
      <c r="I529" t="e">
        <f>LOG(Table1[[#This Row],[Flux in SC / glucose uptake ($mmol/mmol\ glc$)]])</f>
        <v>#NUM!</v>
      </c>
      <c r="J529" t="e">
        <f>LOG(Table1[[#This Row],[Flux in RT / glucose uptake ($mmol/mmol\ glc$)]])</f>
        <v>#NUM!</v>
      </c>
    </row>
    <row r="530" spans="1:10" x14ac:dyDescent="0.2">
      <c r="A530" t="s">
        <v>533</v>
      </c>
      <c r="B530" t="s">
        <v>3117</v>
      </c>
      <c r="C530">
        <v>0</v>
      </c>
      <c r="D530">
        <v>0</v>
      </c>
      <c r="E530">
        <f>ABS(Table1[[#This Row],[Flux in SC / glucose uptake ($mmol/mmol\ glc$)]]-Table1[[#This Row],[Flux in RT / glucose uptake ($mmol/mmol\ glc$)]])/SQRT(2)</f>
        <v>0</v>
      </c>
      <c r="F530">
        <f>Table1[[#This Row],[distance from 45-degree line]]/MAX(Table1[[Flux in SC / glucose uptake ($mmol/mmol\ glc$)]:[Flux in RT / glucose uptake ($mmol/mmol\ glc$)]])</f>
        <v>0</v>
      </c>
      <c r="G530">
        <f>_xlfn.RANK.AVG(Table1[[#This Row],[Flux in SC / glucose uptake ($mmol/mmol\ glc$)]],Table1[Flux in SC / glucose uptake ($mmol/mmol\ glc$)])</f>
        <v>1310.5</v>
      </c>
      <c r="H530">
        <f>_xlfn.RANK.AVG(Table1[[#This Row],[Flux in RT / glucose uptake ($mmol/mmol\ glc$)]],Table1[Flux in RT / glucose uptake ($mmol/mmol\ glc$)])</f>
        <v>1290.5</v>
      </c>
      <c r="I530" t="e">
        <f>LOG(Table1[[#This Row],[Flux in SC / glucose uptake ($mmol/mmol\ glc$)]])</f>
        <v>#NUM!</v>
      </c>
      <c r="J530" t="e">
        <f>LOG(Table1[[#This Row],[Flux in RT / glucose uptake ($mmol/mmol\ glc$)]])</f>
        <v>#NUM!</v>
      </c>
    </row>
    <row r="531" spans="1:10" x14ac:dyDescent="0.2">
      <c r="A531" t="s">
        <v>534</v>
      </c>
      <c r="B531" t="s">
        <v>3117</v>
      </c>
      <c r="C531">
        <v>0</v>
      </c>
      <c r="D531">
        <v>0</v>
      </c>
      <c r="E531">
        <f>ABS(Table1[[#This Row],[Flux in SC / glucose uptake ($mmol/mmol\ glc$)]]-Table1[[#This Row],[Flux in RT / glucose uptake ($mmol/mmol\ glc$)]])/SQRT(2)</f>
        <v>0</v>
      </c>
      <c r="F531">
        <f>Table1[[#This Row],[distance from 45-degree line]]/MAX(Table1[[Flux in SC / glucose uptake ($mmol/mmol\ glc$)]:[Flux in RT / glucose uptake ($mmol/mmol\ glc$)]])</f>
        <v>0</v>
      </c>
      <c r="G531">
        <f>_xlfn.RANK.AVG(Table1[[#This Row],[Flux in SC / glucose uptake ($mmol/mmol\ glc$)]],Table1[Flux in SC / glucose uptake ($mmol/mmol\ glc$)])</f>
        <v>1310.5</v>
      </c>
      <c r="H531">
        <f>_xlfn.RANK.AVG(Table1[[#This Row],[Flux in RT / glucose uptake ($mmol/mmol\ glc$)]],Table1[Flux in RT / glucose uptake ($mmol/mmol\ glc$)])</f>
        <v>1290.5</v>
      </c>
      <c r="I531" t="e">
        <f>LOG(Table1[[#This Row],[Flux in SC / glucose uptake ($mmol/mmol\ glc$)]])</f>
        <v>#NUM!</v>
      </c>
      <c r="J531" t="e">
        <f>LOG(Table1[[#This Row],[Flux in RT / glucose uptake ($mmol/mmol\ glc$)]])</f>
        <v>#NUM!</v>
      </c>
    </row>
    <row r="532" spans="1:10" x14ac:dyDescent="0.2">
      <c r="A532" t="s">
        <v>535</v>
      </c>
      <c r="B532" t="s">
        <v>3114</v>
      </c>
      <c r="C532">
        <v>0</v>
      </c>
      <c r="D532">
        <v>0</v>
      </c>
      <c r="E532">
        <f>ABS(Table1[[#This Row],[Flux in SC / glucose uptake ($mmol/mmol\ glc$)]]-Table1[[#This Row],[Flux in RT / glucose uptake ($mmol/mmol\ glc$)]])/SQRT(2)</f>
        <v>0</v>
      </c>
      <c r="F532">
        <f>Table1[[#This Row],[distance from 45-degree line]]/MAX(Table1[[Flux in SC / glucose uptake ($mmol/mmol\ glc$)]:[Flux in RT / glucose uptake ($mmol/mmol\ glc$)]])</f>
        <v>0</v>
      </c>
      <c r="G532">
        <f>_xlfn.RANK.AVG(Table1[[#This Row],[Flux in SC / glucose uptake ($mmol/mmol\ glc$)]],Table1[Flux in SC / glucose uptake ($mmol/mmol\ glc$)])</f>
        <v>1310.5</v>
      </c>
      <c r="H532">
        <f>_xlfn.RANK.AVG(Table1[[#This Row],[Flux in RT / glucose uptake ($mmol/mmol\ glc$)]],Table1[Flux in RT / glucose uptake ($mmol/mmol\ glc$)])</f>
        <v>1290.5</v>
      </c>
      <c r="I532" t="e">
        <f>LOG(Table1[[#This Row],[Flux in SC / glucose uptake ($mmol/mmol\ glc$)]])</f>
        <v>#NUM!</v>
      </c>
      <c r="J532" t="e">
        <f>LOG(Table1[[#This Row],[Flux in RT / glucose uptake ($mmol/mmol\ glc$)]])</f>
        <v>#NUM!</v>
      </c>
    </row>
    <row r="533" spans="1:10" x14ac:dyDescent="0.2">
      <c r="A533" t="s">
        <v>536</v>
      </c>
      <c r="B533" t="s">
        <v>3173</v>
      </c>
      <c r="C533">
        <v>0</v>
      </c>
      <c r="D533">
        <v>0</v>
      </c>
      <c r="E533">
        <f>ABS(Table1[[#This Row],[Flux in SC / glucose uptake ($mmol/mmol\ glc$)]]-Table1[[#This Row],[Flux in RT / glucose uptake ($mmol/mmol\ glc$)]])/SQRT(2)</f>
        <v>0</v>
      </c>
      <c r="F533">
        <f>Table1[[#This Row],[distance from 45-degree line]]/MAX(Table1[[Flux in SC / glucose uptake ($mmol/mmol\ glc$)]:[Flux in RT / glucose uptake ($mmol/mmol\ glc$)]])</f>
        <v>0</v>
      </c>
      <c r="G533">
        <f>_xlfn.RANK.AVG(Table1[[#This Row],[Flux in SC / glucose uptake ($mmol/mmol\ glc$)]],Table1[Flux in SC / glucose uptake ($mmol/mmol\ glc$)])</f>
        <v>1310.5</v>
      </c>
      <c r="H533">
        <f>_xlfn.RANK.AVG(Table1[[#This Row],[Flux in RT / glucose uptake ($mmol/mmol\ glc$)]],Table1[Flux in RT / glucose uptake ($mmol/mmol\ glc$)])</f>
        <v>1290.5</v>
      </c>
      <c r="I533" t="e">
        <f>LOG(Table1[[#This Row],[Flux in SC / glucose uptake ($mmol/mmol\ glc$)]])</f>
        <v>#NUM!</v>
      </c>
      <c r="J533" t="e">
        <f>LOG(Table1[[#This Row],[Flux in RT / glucose uptake ($mmol/mmol\ glc$)]])</f>
        <v>#NUM!</v>
      </c>
    </row>
    <row r="534" spans="1:10" x14ac:dyDescent="0.2">
      <c r="A534" t="s">
        <v>537</v>
      </c>
      <c r="B534" t="s">
        <v>3125</v>
      </c>
      <c r="C534">
        <v>0</v>
      </c>
      <c r="D534">
        <v>0</v>
      </c>
      <c r="E534">
        <f>ABS(Table1[[#This Row],[Flux in SC / glucose uptake ($mmol/mmol\ glc$)]]-Table1[[#This Row],[Flux in RT / glucose uptake ($mmol/mmol\ glc$)]])/SQRT(2)</f>
        <v>0</v>
      </c>
      <c r="F534">
        <f>Table1[[#This Row],[distance from 45-degree line]]/MAX(Table1[[Flux in SC / glucose uptake ($mmol/mmol\ glc$)]:[Flux in RT / glucose uptake ($mmol/mmol\ glc$)]])</f>
        <v>0</v>
      </c>
      <c r="G534">
        <f>_xlfn.RANK.AVG(Table1[[#This Row],[Flux in SC / glucose uptake ($mmol/mmol\ glc$)]],Table1[Flux in SC / glucose uptake ($mmol/mmol\ glc$)])</f>
        <v>1310.5</v>
      </c>
      <c r="H534">
        <f>_xlfn.RANK.AVG(Table1[[#This Row],[Flux in RT / glucose uptake ($mmol/mmol\ glc$)]],Table1[Flux in RT / glucose uptake ($mmol/mmol\ glc$)])</f>
        <v>1290.5</v>
      </c>
      <c r="I534" t="e">
        <f>LOG(Table1[[#This Row],[Flux in SC / glucose uptake ($mmol/mmol\ glc$)]])</f>
        <v>#NUM!</v>
      </c>
      <c r="J534" t="e">
        <f>LOG(Table1[[#This Row],[Flux in RT / glucose uptake ($mmol/mmol\ glc$)]])</f>
        <v>#NUM!</v>
      </c>
    </row>
    <row r="535" spans="1:10" x14ac:dyDescent="0.2">
      <c r="A535" t="s">
        <v>538</v>
      </c>
      <c r="B535" t="s">
        <v>3134</v>
      </c>
      <c r="C535">
        <v>0</v>
      </c>
      <c r="D535">
        <v>0</v>
      </c>
      <c r="E535">
        <f>ABS(Table1[[#This Row],[Flux in SC / glucose uptake ($mmol/mmol\ glc$)]]-Table1[[#This Row],[Flux in RT / glucose uptake ($mmol/mmol\ glc$)]])/SQRT(2)</f>
        <v>0</v>
      </c>
      <c r="F535">
        <f>Table1[[#This Row],[distance from 45-degree line]]/MAX(Table1[[Flux in SC / glucose uptake ($mmol/mmol\ glc$)]:[Flux in RT / glucose uptake ($mmol/mmol\ glc$)]])</f>
        <v>0</v>
      </c>
      <c r="G535">
        <f>_xlfn.RANK.AVG(Table1[[#This Row],[Flux in SC / glucose uptake ($mmol/mmol\ glc$)]],Table1[Flux in SC / glucose uptake ($mmol/mmol\ glc$)])</f>
        <v>1310.5</v>
      </c>
      <c r="H535">
        <f>_xlfn.RANK.AVG(Table1[[#This Row],[Flux in RT / glucose uptake ($mmol/mmol\ glc$)]],Table1[Flux in RT / glucose uptake ($mmol/mmol\ glc$)])</f>
        <v>1290.5</v>
      </c>
      <c r="I535" t="e">
        <f>LOG(Table1[[#This Row],[Flux in SC / glucose uptake ($mmol/mmol\ glc$)]])</f>
        <v>#NUM!</v>
      </c>
      <c r="J535" t="e">
        <f>LOG(Table1[[#This Row],[Flux in RT / glucose uptake ($mmol/mmol\ glc$)]])</f>
        <v>#NUM!</v>
      </c>
    </row>
    <row r="536" spans="1:10" x14ac:dyDescent="0.2">
      <c r="A536" t="s">
        <v>539</v>
      </c>
      <c r="B536" t="s">
        <v>3162</v>
      </c>
      <c r="C536">
        <v>0</v>
      </c>
      <c r="D536">
        <v>0</v>
      </c>
      <c r="E536">
        <f>ABS(Table1[[#This Row],[Flux in SC / glucose uptake ($mmol/mmol\ glc$)]]-Table1[[#This Row],[Flux in RT / glucose uptake ($mmol/mmol\ glc$)]])/SQRT(2)</f>
        <v>0</v>
      </c>
      <c r="F536">
        <f>Table1[[#This Row],[distance from 45-degree line]]/MAX(Table1[[Flux in SC / glucose uptake ($mmol/mmol\ glc$)]:[Flux in RT / glucose uptake ($mmol/mmol\ glc$)]])</f>
        <v>0</v>
      </c>
      <c r="G536">
        <f>_xlfn.RANK.AVG(Table1[[#This Row],[Flux in SC / glucose uptake ($mmol/mmol\ glc$)]],Table1[Flux in SC / glucose uptake ($mmol/mmol\ glc$)])</f>
        <v>1310.5</v>
      </c>
      <c r="H536">
        <f>_xlfn.RANK.AVG(Table1[[#This Row],[Flux in RT / glucose uptake ($mmol/mmol\ glc$)]],Table1[Flux in RT / glucose uptake ($mmol/mmol\ glc$)])</f>
        <v>1290.5</v>
      </c>
      <c r="I536" t="e">
        <f>LOG(Table1[[#This Row],[Flux in SC / glucose uptake ($mmol/mmol\ glc$)]])</f>
        <v>#NUM!</v>
      </c>
      <c r="J536" t="e">
        <f>LOG(Table1[[#This Row],[Flux in RT / glucose uptake ($mmol/mmol\ glc$)]])</f>
        <v>#NUM!</v>
      </c>
    </row>
    <row r="537" spans="1:10" x14ac:dyDescent="0.2">
      <c r="A537" t="s">
        <v>540</v>
      </c>
      <c r="B537" t="s">
        <v>3114</v>
      </c>
      <c r="C537">
        <v>0</v>
      </c>
      <c r="D537">
        <v>0</v>
      </c>
      <c r="E537">
        <f>ABS(Table1[[#This Row],[Flux in SC / glucose uptake ($mmol/mmol\ glc$)]]-Table1[[#This Row],[Flux in RT / glucose uptake ($mmol/mmol\ glc$)]])/SQRT(2)</f>
        <v>0</v>
      </c>
      <c r="F537">
        <f>Table1[[#This Row],[distance from 45-degree line]]/MAX(Table1[[Flux in SC / glucose uptake ($mmol/mmol\ glc$)]:[Flux in RT / glucose uptake ($mmol/mmol\ glc$)]])</f>
        <v>0</v>
      </c>
      <c r="G537">
        <f>_xlfn.RANK.AVG(Table1[[#This Row],[Flux in SC / glucose uptake ($mmol/mmol\ glc$)]],Table1[Flux in SC / glucose uptake ($mmol/mmol\ glc$)])</f>
        <v>1310.5</v>
      </c>
      <c r="H537">
        <f>_xlfn.RANK.AVG(Table1[[#This Row],[Flux in RT / glucose uptake ($mmol/mmol\ glc$)]],Table1[Flux in RT / glucose uptake ($mmol/mmol\ glc$)])</f>
        <v>1290.5</v>
      </c>
      <c r="I537" t="e">
        <f>LOG(Table1[[#This Row],[Flux in SC / glucose uptake ($mmol/mmol\ glc$)]])</f>
        <v>#NUM!</v>
      </c>
      <c r="J537" t="e">
        <f>LOG(Table1[[#This Row],[Flux in RT / glucose uptake ($mmol/mmol\ glc$)]])</f>
        <v>#NUM!</v>
      </c>
    </row>
    <row r="538" spans="1:10" x14ac:dyDescent="0.2">
      <c r="A538" t="s">
        <v>541</v>
      </c>
      <c r="B538" t="s">
        <v>3114</v>
      </c>
      <c r="C538">
        <v>0</v>
      </c>
      <c r="D538">
        <v>0</v>
      </c>
      <c r="E538">
        <f>ABS(Table1[[#This Row],[Flux in SC / glucose uptake ($mmol/mmol\ glc$)]]-Table1[[#This Row],[Flux in RT / glucose uptake ($mmol/mmol\ glc$)]])/SQRT(2)</f>
        <v>0</v>
      </c>
      <c r="F538">
        <f>Table1[[#This Row],[distance from 45-degree line]]/MAX(Table1[[Flux in SC / glucose uptake ($mmol/mmol\ glc$)]:[Flux in RT / glucose uptake ($mmol/mmol\ glc$)]])</f>
        <v>0</v>
      </c>
      <c r="G538">
        <f>_xlfn.RANK.AVG(Table1[[#This Row],[Flux in SC / glucose uptake ($mmol/mmol\ glc$)]],Table1[Flux in SC / glucose uptake ($mmol/mmol\ glc$)])</f>
        <v>1310.5</v>
      </c>
      <c r="H538">
        <f>_xlfn.RANK.AVG(Table1[[#This Row],[Flux in RT / glucose uptake ($mmol/mmol\ glc$)]],Table1[Flux in RT / glucose uptake ($mmol/mmol\ glc$)])</f>
        <v>1290.5</v>
      </c>
      <c r="I538" t="e">
        <f>LOG(Table1[[#This Row],[Flux in SC / glucose uptake ($mmol/mmol\ glc$)]])</f>
        <v>#NUM!</v>
      </c>
      <c r="J538" t="e">
        <f>LOG(Table1[[#This Row],[Flux in RT / glucose uptake ($mmol/mmol\ glc$)]])</f>
        <v>#NUM!</v>
      </c>
    </row>
    <row r="539" spans="1:10" x14ac:dyDescent="0.2">
      <c r="A539" t="s">
        <v>542</v>
      </c>
      <c r="B539" t="s">
        <v>3128</v>
      </c>
      <c r="C539">
        <v>0</v>
      </c>
      <c r="D539">
        <v>0</v>
      </c>
      <c r="E539">
        <f>ABS(Table1[[#This Row],[Flux in SC / glucose uptake ($mmol/mmol\ glc$)]]-Table1[[#This Row],[Flux in RT / glucose uptake ($mmol/mmol\ glc$)]])/SQRT(2)</f>
        <v>0</v>
      </c>
      <c r="F539">
        <f>Table1[[#This Row],[distance from 45-degree line]]/MAX(Table1[[Flux in SC / glucose uptake ($mmol/mmol\ glc$)]:[Flux in RT / glucose uptake ($mmol/mmol\ glc$)]])</f>
        <v>0</v>
      </c>
      <c r="G539">
        <f>_xlfn.RANK.AVG(Table1[[#This Row],[Flux in SC / glucose uptake ($mmol/mmol\ glc$)]],Table1[Flux in SC / glucose uptake ($mmol/mmol\ glc$)])</f>
        <v>1310.5</v>
      </c>
      <c r="H539">
        <f>_xlfn.RANK.AVG(Table1[[#This Row],[Flux in RT / glucose uptake ($mmol/mmol\ glc$)]],Table1[Flux in RT / glucose uptake ($mmol/mmol\ glc$)])</f>
        <v>1290.5</v>
      </c>
      <c r="I539" t="e">
        <f>LOG(Table1[[#This Row],[Flux in SC / glucose uptake ($mmol/mmol\ glc$)]])</f>
        <v>#NUM!</v>
      </c>
      <c r="J539" t="e">
        <f>LOG(Table1[[#This Row],[Flux in RT / glucose uptake ($mmol/mmol\ glc$)]])</f>
        <v>#NUM!</v>
      </c>
    </row>
    <row r="540" spans="1:10" x14ac:dyDescent="0.2">
      <c r="A540" t="s">
        <v>543</v>
      </c>
      <c r="B540" t="s">
        <v>3114</v>
      </c>
      <c r="C540">
        <v>1.9142318646306125</v>
      </c>
      <c r="D540">
        <v>3.1205967300881126</v>
      </c>
      <c r="E540">
        <f>ABS(Table1[[#This Row],[Flux in SC / glucose uptake ($mmol/mmol\ glc$)]]-Table1[[#This Row],[Flux in RT / glucose uptake ($mmol/mmol\ glc$)]])/SQRT(2)</f>
        <v>0.8530287769501953</v>
      </c>
      <c r="F540">
        <f>Table1[[#This Row],[distance from 45-degree line]]/MAX(Table1[[Flux in SC / glucose uptake ($mmol/mmol\ glc$)]:[Flux in RT / glucose uptake ($mmol/mmol\ glc$)]])</f>
        <v>4.5977277715533005E-2</v>
      </c>
      <c r="G540">
        <f>_xlfn.RANK.AVG(Table1[[#This Row],[Flux in SC / glucose uptake ($mmol/mmol\ glc$)]],Table1[Flux in SC / glucose uptake ($mmol/mmol\ glc$)])</f>
        <v>1.5</v>
      </c>
      <c r="H540">
        <f>_xlfn.RANK.AVG(Table1[[#This Row],[Flux in RT / glucose uptake ($mmol/mmol\ glc$)]],Table1[Flux in RT / glucose uptake ($mmol/mmol\ glc$)])</f>
        <v>9.5</v>
      </c>
      <c r="I540">
        <f>LOG(Table1[[#This Row],[Flux in SC / glucose uptake ($mmol/mmol\ glc$)]])</f>
        <v>0.28199454129390544</v>
      </c>
      <c r="J540">
        <f>LOG(Table1[[#This Row],[Flux in RT / glucose uptake ($mmol/mmol\ glc$)]])</f>
        <v>0.49423764908399231</v>
      </c>
    </row>
    <row r="541" spans="1:10" x14ac:dyDescent="0.2">
      <c r="A541" t="s">
        <v>544</v>
      </c>
      <c r="B541" t="s">
        <v>3114</v>
      </c>
      <c r="C541">
        <v>0</v>
      </c>
      <c r="D541">
        <v>0</v>
      </c>
      <c r="E541">
        <f>ABS(Table1[[#This Row],[Flux in SC / glucose uptake ($mmol/mmol\ glc$)]]-Table1[[#This Row],[Flux in RT / glucose uptake ($mmol/mmol\ glc$)]])/SQRT(2)</f>
        <v>0</v>
      </c>
      <c r="F541">
        <f>Table1[[#This Row],[distance from 45-degree line]]/MAX(Table1[[Flux in SC / glucose uptake ($mmol/mmol\ glc$)]:[Flux in RT / glucose uptake ($mmol/mmol\ glc$)]])</f>
        <v>0</v>
      </c>
      <c r="G541">
        <f>_xlfn.RANK.AVG(Table1[[#This Row],[Flux in SC / glucose uptake ($mmol/mmol\ glc$)]],Table1[Flux in SC / glucose uptake ($mmol/mmol\ glc$)])</f>
        <v>1310.5</v>
      </c>
      <c r="H541">
        <f>_xlfn.RANK.AVG(Table1[[#This Row],[Flux in RT / glucose uptake ($mmol/mmol\ glc$)]],Table1[Flux in RT / glucose uptake ($mmol/mmol\ glc$)])</f>
        <v>1290.5</v>
      </c>
      <c r="I541" t="e">
        <f>LOG(Table1[[#This Row],[Flux in SC / glucose uptake ($mmol/mmol\ glc$)]])</f>
        <v>#NUM!</v>
      </c>
      <c r="J541" t="e">
        <f>LOG(Table1[[#This Row],[Flux in RT / glucose uptake ($mmol/mmol\ glc$)]])</f>
        <v>#NUM!</v>
      </c>
    </row>
    <row r="542" spans="1:10" x14ac:dyDescent="0.2">
      <c r="A542" t="s">
        <v>545</v>
      </c>
      <c r="B542" t="s">
        <v>3114</v>
      </c>
      <c r="C542">
        <v>-0.13630797279600068</v>
      </c>
      <c r="D542">
        <v>-1.7033499188299281</v>
      </c>
      <c r="E542">
        <f>ABS(Table1[[#This Row],[Flux in SC / glucose uptake ($mmol/mmol\ glc$)]]-Table1[[#This Row],[Flux in RT / glucose uptake ($mmol/mmol\ glc$)]])/SQRT(2)</f>
        <v>1.1080659864443538</v>
      </c>
      <c r="F542">
        <f>Table1[[#This Row],[distance from 45-degree line]]/MAX(Table1[[Flux in SC / glucose uptake ($mmol/mmol\ glc$)]:[Flux in RT / glucose uptake ($mmol/mmol\ glc$)]])</f>
        <v>5.9723492292995173E-2</v>
      </c>
      <c r="G542">
        <f>_xlfn.RANK.AVG(Table1[[#This Row],[Flux in SC / glucose uptake ($mmol/mmol\ glc$)]],Table1[Flux in SC / glucose uptake ($mmol/mmol\ glc$)])</f>
        <v>2308</v>
      </c>
      <c r="H542">
        <f>_xlfn.RANK.AVG(Table1[[#This Row],[Flux in RT / glucose uptake ($mmol/mmol\ glc$)]],Table1[Flux in RT / glucose uptake ($mmol/mmol\ glc$)])</f>
        <v>2308</v>
      </c>
      <c r="I542" t="e">
        <f>LOG(Table1[[#This Row],[Flux in SC / glucose uptake ($mmol/mmol\ glc$)]])</f>
        <v>#NUM!</v>
      </c>
      <c r="J542" t="e">
        <f>LOG(Table1[[#This Row],[Flux in RT / glucose uptake ($mmol/mmol\ glc$)]])</f>
        <v>#NUM!</v>
      </c>
    </row>
    <row r="543" spans="1:10" x14ac:dyDescent="0.2">
      <c r="A543" t="s">
        <v>546</v>
      </c>
      <c r="B543" t="s">
        <v>3114</v>
      </c>
      <c r="C543">
        <v>0</v>
      </c>
      <c r="D543">
        <v>0</v>
      </c>
      <c r="E543">
        <f>ABS(Table1[[#This Row],[Flux in SC / glucose uptake ($mmol/mmol\ glc$)]]-Table1[[#This Row],[Flux in RT / glucose uptake ($mmol/mmol\ glc$)]])/SQRT(2)</f>
        <v>0</v>
      </c>
      <c r="F543">
        <f>Table1[[#This Row],[distance from 45-degree line]]/MAX(Table1[[Flux in SC / glucose uptake ($mmol/mmol\ glc$)]:[Flux in RT / glucose uptake ($mmol/mmol\ glc$)]])</f>
        <v>0</v>
      </c>
      <c r="G543">
        <f>_xlfn.RANK.AVG(Table1[[#This Row],[Flux in SC / glucose uptake ($mmol/mmol\ glc$)]],Table1[Flux in SC / glucose uptake ($mmol/mmol\ glc$)])</f>
        <v>1310.5</v>
      </c>
      <c r="H543">
        <f>_xlfn.RANK.AVG(Table1[[#This Row],[Flux in RT / glucose uptake ($mmol/mmol\ glc$)]],Table1[Flux in RT / glucose uptake ($mmol/mmol\ glc$)])</f>
        <v>1290.5</v>
      </c>
      <c r="I543" t="e">
        <f>LOG(Table1[[#This Row],[Flux in SC / glucose uptake ($mmol/mmol\ glc$)]])</f>
        <v>#NUM!</v>
      </c>
      <c r="J543" t="e">
        <f>LOG(Table1[[#This Row],[Flux in RT / glucose uptake ($mmol/mmol\ glc$)]])</f>
        <v>#NUM!</v>
      </c>
    </row>
    <row r="544" spans="1:10" x14ac:dyDescent="0.2">
      <c r="A544" t="s">
        <v>547</v>
      </c>
      <c r="B544" t="s">
        <v>3114</v>
      </c>
      <c r="C544">
        <v>0</v>
      </c>
      <c r="D544">
        <v>0</v>
      </c>
      <c r="E544">
        <f>ABS(Table1[[#This Row],[Flux in SC / glucose uptake ($mmol/mmol\ glc$)]]-Table1[[#This Row],[Flux in RT / glucose uptake ($mmol/mmol\ glc$)]])/SQRT(2)</f>
        <v>0</v>
      </c>
      <c r="F544">
        <f>Table1[[#This Row],[distance from 45-degree line]]/MAX(Table1[[Flux in SC / glucose uptake ($mmol/mmol\ glc$)]:[Flux in RT / glucose uptake ($mmol/mmol\ glc$)]])</f>
        <v>0</v>
      </c>
      <c r="G544">
        <f>_xlfn.RANK.AVG(Table1[[#This Row],[Flux in SC / glucose uptake ($mmol/mmol\ glc$)]],Table1[Flux in SC / glucose uptake ($mmol/mmol\ glc$)])</f>
        <v>1310.5</v>
      </c>
      <c r="H544">
        <f>_xlfn.RANK.AVG(Table1[[#This Row],[Flux in RT / glucose uptake ($mmol/mmol\ glc$)]],Table1[Flux in RT / glucose uptake ($mmol/mmol\ glc$)])</f>
        <v>1290.5</v>
      </c>
      <c r="I544" t="e">
        <f>LOG(Table1[[#This Row],[Flux in SC / glucose uptake ($mmol/mmol\ glc$)]])</f>
        <v>#NUM!</v>
      </c>
      <c r="J544" t="e">
        <f>LOG(Table1[[#This Row],[Flux in RT / glucose uptake ($mmol/mmol\ glc$)]])</f>
        <v>#NUM!</v>
      </c>
    </row>
    <row r="545" spans="1:10" x14ac:dyDescent="0.2">
      <c r="A545" t="s">
        <v>548</v>
      </c>
      <c r="B545" t="s">
        <v>3114</v>
      </c>
      <c r="C545">
        <v>0</v>
      </c>
      <c r="D545">
        <v>0</v>
      </c>
      <c r="E545">
        <f>ABS(Table1[[#This Row],[Flux in SC / glucose uptake ($mmol/mmol\ glc$)]]-Table1[[#This Row],[Flux in RT / glucose uptake ($mmol/mmol\ glc$)]])/SQRT(2)</f>
        <v>0</v>
      </c>
      <c r="F545">
        <f>Table1[[#This Row],[distance from 45-degree line]]/MAX(Table1[[Flux in SC / glucose uptake ($mmol/mmol\ glc$)]:[Flux in RT / glucose uptake ($mmol/mmol\ glc$)]])</f>
        <v>0</v>
      </c>
      <c r="G545">
        <f>_xlfn.RANK.AVG(Table1[[#This Row],[Flux in SC / glucose uptake ($mmol/mmol\ glc$)]],Table1[Flux in SC / glucose uptake ($mmol/mmol\ glc$)])</f>
        <v>1310.5</v>
      </c>
      <c r="H545">
        <f>_xlfn.RANK.AVG(Table1[[#This Row],[Flux in RT / glucose uptake ($mmol/mmol\ glc$)]],Table1[Flux in RT / glucose uptake ($mmol/mmol\ glc$)])</f>
        <v>1290.5</v>
      </c>
      <c r="I545" t="e">
        <f>LOG(Table1[[#This Row],[Flux in SC / glucose uptake ($mmol/mmol\ glc$)]])</f>
        <v>#NUM!</v>
      </c>
      <c r="J545" t="e">
        <f>LOG(Table1[[#This Row],[Flux in RT / glucose uptake ($mmol/mmol\ glc$)]])</f>
        <v>#NUM!</v>
      </c>
    </row>
    <row r="546" spans="1:10" x14ac:dyDescent="0.2">
      <c r="A546" t="s">
        <v>549</v>
      </c>
      <c r="B546" t="s">
        <v>3114</v>
      </c>
      <c r="C546">
        <v>0</v>
      </c>
      <c r="D546">
        <v>0</v>
      </c>
      <c r="E546">
        <f>ABS(Table1[[#This Row],[Flux in SC / glucose uptake ($mmol/mmol\ glc$)]]-Table1[[#This Row],[Flux in RT / glucose uptake ($mmol/mmol\ glc$)]])/SQRT(2)</f>
        <v>0</v>
      </c>
      <c r="F546">
        <f>Table1[[#This Row],[distance from 45-degree line]]/MAX(Table1[[Flux in SC / glucose uptake ($mmol/mmol\ glc$)]:[Flux in RT / glucose uptake ($mmol/mmol\ glc$)]])</f>
        <v>0</v>
      </c>
      <c r="G546">
        <f>_xlfn.RANK.AVG(Table1[[#This Row],[Flux in SC / glucose uptake ($mmol/mmol\ glc$)]],Table1[Flux in SC / glucose uptake ($mmol/mmol\ glc$)])</f>
        <v>1310.5</v>
      </c>
      <c r="H546">
        <f>_xlfn.RANK.AVG(Table1[[#This Row],[Flux in RT / glucose uptake ($mmol/mmol\ glc$)]],Table1[Flux in RT / glucose uptake ($mmol/mmol\ glc$)])</f>
        <v>1290.5</v>
      </c>
      <c r="I546" t="e">
        <f>LOG(Table1[[#This Row],[Flux in SC / glucose uptake ($mmol/mmol\ glc$)]])</f>
        <v>#NUM!</v>
      </c>
      <c r="J546" t="e">
        <f>LOG(Table1[[#This Row],[Flux in RT / glucose uptake ($mmol/mmol\ glc$)]])</f>
        <v>#NUM!</v>
      </c>
    </row>
    <row r="547" spans="1:10" x14ac:dyDescent="0.2">
      <c r="A547" t="s">
        <v>550</v>
      </c>
      <c r="B547" t="s">
        <v>3114</v>
      </c>
      <c r="C547">
        <v>0</v>
      </c>
      <c r="D547">
        <v>0</v>
      </c>
      <c r="E547">
        <f>ABS(Table1[[#This Row],[Flux in SC / glucose uptake ($mmol/mmol\ glc$)]]-Table1[[#This Row],[Flux in RT / glucose uptake ($mmol/mmol\ glc$)]])/SQRT(2)</f>
        <v>0</v>
      </c>
      <c r="F547">
        <f>Table1[[#This Row],[distance from 45-degree line]]/MAX(Table1[[Flux in SC / glucose uptake ($mmol/mmol\ glc$)]:[Flux in RT / glucose uptake ($mmol/mmol\ glc$)]])</f>
        <v>0</v>
      </c>
      <c r="G547">
        <f>_xlfn.RANK.AVG(Table1[[#This Row],[Flux in SC / glucose uptake ($mmol/mmol\ glc$)]],Table1[Flux in SC / glucose uptake ($mmol/mmol\ glc$)])</f>
        <v>1310.5</v>
      </c>
      <c r="H547">
        <f>_xlfn.RANK.AVG(Table1[[#This Row],[Flux in RT / glucose uptake ($mmol/mmol\ glc$)]],Table1[Flux in RT / glucose uptake ($mmol/mmol\ glc$)])</f>
        <v>1290.5</v>
      </c>
      <c r="I547" t="e">
        <f>LOG(Table1[[#This Row],[Flux in SC / glucose uptake ($mmol/mmol\ glc$)]])</f>
        <v>#NUM!</v>
      </c>
      <c r="J547" t="e">
        <f>LOG(Table1[[#This Row],[Flux in RT / glucose uptake ($mmol/mmol\ glc$)]])</f>
        <v>#NUM!</v>
      </c>
    </row>
    <row r="548" spans="1:10" x14ac:dyDescent="0.2">
      <c r="A548" t="s">
        <v>551</v>
      </c>
      <c r="B548" t="s">
        <v>3114</v>
      </c>
      <c r="C548">
        <v>0</v>
      </c>
      <c r="D548">
        <v>0</v>
      </c>
      <c r="E548">
        <f>ABS(Table1[[#This Row],[Flux in SC / glucose uptake ($mmol/mmol\ glc$)]]-Table1[[#This Row],[Flux in RT / glucose uptake ($mmol/mmol\ glc$)]])/SQRT(2)</f>
        <v>0</v>
      </c>
      <c r="F548">
        <f>Table1[[#This Row],[distance from 45-degree line]]/MAX(Table1[[Flux in SC / glucose uptake ($mmol/mmol\ glc$)]:[Flux in RT / glucose uptake ($mmol/mmol\ glc$)]])</f>
        <v>0</v>
      </c>
      <c r="G548">
        <f>_xlfn.RANK.AVG(Table1[[#This Row],[Flux in SC / glucose uptake ($mmol/mmol\ glc$)]],Table1[Flux in SC / glucose uptake ($mmol/mmol\ glc$)])</f>
        <v>1310.5</v>
      </c>
      <c r="H548">
        <f>_xlfn.RANK.AVG(Table1[[#This Row],[Flux in RT / glucose uptake ($mmol/mmol\ glc$)]],Table1[Flux in RT / glucose uptake ($mmol/mmol\ glc$)])</f>
        <v>1290.5</v>
      </c>
      <c r="I548" t="e">
        <f>LOG(Table1[[#This Row],[Flux in SC / glucose uptake ($mmol/mmol\ glc$)]])</f>
        <v>#NUM!</v>
      </c>
      <c r="J548" t="e">
        <f>LOG(Table1[[#This Row],[Flux in RT / glucose uptake ($mmol/mmol\ glc$)]])</f>
        <v>#NUM!</v>
      </c>
    </row>
    <row r="549" spans="1:10" x14ac:dyDescent="0.2">
      <c r="A549" t="s">
        <v>552</v>
      </c>
      <c r="B549" t="s">
        <v>3114</v>
      </c>
      <c r="C549">
        <v>0</v>
      </c>
      <c r="D549">
        <v>0</v>
      </c>
      <c r="E549">
        <f>ABS(Table1[[#This Row],[Flux in SC / glucose uptake ($mmol/mmol\ glc$)]]-Table1[[#This Row],[Flux in RT / glucose uptake ($mmol/mmol\ glc$)]])/SQRT(2)</f>
        <v>0</v>
      </c>
      <c r="F549">
        <f>Table1[[#This Row],[distance from 45-degree line]]/MAX(Table1[[Flux in SC / glucose uptake ($mmol/mmol\ glc$)]:[Flux in RT / glucose uptake ($mmol/mmol\ glc$)]])</f>
        <v>0</v>
      </c>
      <c r="G549">
        <f>_xlfn.RANK.AVG(Table1[[#This Row],[Flux in SC / glucose uptake ($mmol/mmol\ glc$)]],Table1[Flux in SC / glucose uptake ($mmol/mmol\ glc$)])</f>
        <v>1310.5</v>
      </c>
      <c r="H549">
        <f>_xlfn.RANK.AVG(Table1[[#This Row],[Flux in RT / glucose uptake ($mmol/mmol\ glc$)]],Table1[Flux in RT / glucose uptake ($mmol/mmol\ glc$)])</f>
        <v>1290.5</v>
      </c>
      <c r="I549" t="e">
        <f>LOG(Table1[[#This Row],[Flux in SC / glucose uptake ($mmol/mmol\ glc$)]])</f>
        <v>#NUM!</v>
      </c>
      <c r="J549" t="e">
        <f>LOG(Table1[[#This Row],[Flux in RT / glucose uptake ($mmol/mmol\ glc$)]])</f>
        <v>#NUM!</v>
      </c>
    </row>
    <row r="550" spans="1:10" x14ac:dyDescent="0.2">
      <c r="A550" t="s">
        <v>553</v>
      </c>
      <c r="B550" t="s">
        <v>3114</v>
      </c>
      <c r="C550">
        <v>0</v>
      </c>
      <c r="D550">
        <v>0</v>
      </c>
      <c r="E550">
        <f>ABS(Table1[[#This Row],[Flux in SC / glucose uptake ($mmol/mmol\ glc$)]]-Table1[[#This Row],[Flux in RT / glucose uptake ($mmol/mmol\ glc$)]])/SQRT(2)</f>
        <v>0</v>
      </c>
      <c r="F550">
        <f>Table1[[#This Row],[distance from 45-degree line]]/MAX(Table1[[Flux in SC / glucose uptake ($mmol/mmol\ glc$)]:[Flux in RT / glucose uptake ($mmol/mmol\ glc$)]])</f>
        <v>0</v>
      </c>
      <c r="G550">
        <f>_xlfn.RANK.AVG(Table1[[#This Row],[Flux in SC / glucose uptake ($mmol/mmol\ glc$)]],Table1[Flux in SC / glucose uptake ($mmol/mmol\ glc$)])</f>
        <v>1310.5</v>
      </c>
      <c r="H550">
        <f>_xlfn.RANK.AVG(Table1[[#This Row],[Flux in RT / glucose uptake ($mmol/mmol\ glc$)]],Table1[Flux in RT / glucose uptake ($mmol/mmol\ glc$)])</f>
        <v>1290.5</v>
      </c>
      <c r="I550" t="e">
        <f>LOG(Table1[[#This Row],[Flux in SC / glucose uptake ($mmol/mmol\ glc$)]])</f>
        <v>#NUM!</v>
      </c>
      <c r="J550" t="e">
        <f>LOG(Table1[[#This Row],[Flux in RT / glucose uptake ($mmol/mmol\ glc$)]])</f>
        <v>#NUM!</v>
      </c>
    </row>
    <row r="551" spans="1:10" x14ac:dyDescent="0.2">
      <c r="A551" t="s">
        <v>554</v>
      </c>
      <c r="B551" t="s">
        <v>3114</v>
      </c>
      <c r="C551">
        <v>0</v>
      </c>
      <c r="D551">
        <v>0</v>
      </c>
      <c r="E551">
        <f>ABS(Table1[[#This Row],[Flux in SC / glucose uptake ($mmol/mmol\ glc$)]]-Table1[[#This Row],[Flux in RT / glucose uptake ($mmol/mmol\ glc$)]])/SQRT(2)</f>
        <v>0</v>
      </c>
      <c r="F551">
        <f>Table1[[#This Row],[distance from 45-degree line]]/MAX(Table1[[Flux in SC / glucose uptake ($mmol/mmol\ glc$)]:[Flux in RT / glucose uptake ($mmol/mmol\ glc$)]])</f>
        <v>0</v>
      </c>
      <c r="G551">
        <f>_xlfn.RANK.AVG(Table1[[#This Row],[Flux in SC / glucose uptake ($mmol/mmol\ glc$)]],Table1[Flux in SC / glucose uptake ($mmol/mmol\ glc$)])</f>
        <v>1310.5</v>
      </c>
      <c r="H551">
        <f>_xlfn.RANK.AVG(Table1[[#This Row],[Flux in RT / glucose uptake ($mmol/mmol\ glc$)]],Table1[Flux in RT / glucose uptake ($mmol/mmol\ glc$)])</f>
        <v>1290.5</v>
      </c>
      <c r="I551" t="e">
        <f>LOG(Table1[[#This Row],[Flux in SC / glucose uptake ($mmol/mmol\ glc$)]])</f>
        <v>#NUM!</v>
      </c>
      <c r="J551" t="e">
        <f>LOG(Table1[[#This Row],[Flux in RT / glucose uptake ($mmol/mmol\ glc$)]])</f>
        <v>#NUM!</v>
      </c>
    </row>
    <row r="552" spans="1:10" x14ac:dyDescent="0.2">
      <c r="A552" t="s">
        <v>555</v>
      </c>
      <c r="B552" t="s">
        <v>3114</v>
      </c>
      <c r="C552">
        <v>0</v>
      </c>
      <c r="D552">
        <v>0</v>
      </c>
      <c r="E552">
        <f>ABS(Table1[[#This Row],[Flux in SC / glucose uptake ($mmol/mmol\ glc$)]]-Table1[[#This Row],[Flux in RT / glucose uptake ($mmol/mmol\ glc$)]])/SQRT(2)</f>
        <v>0</v>
      </c>
      <c r="F552">
        <f>Table1[[#This Row],[distance from 45-degree line]]/MAX(Table1[[Flux in SC / glucose uptake ($mmol/mmol\ glc$)]:[Flux in RT / glucose uptake ($mmol/mmol\ glc$)]])</f>
        <v>0</v>
      </c>
      <c r="G552">
        <f>_xlfn.RANK.AVG(Table1[[#This Row],[Flux in SC / glucose uptake ($mmol/mmol\ glc$)]],Table1[Flux in SC / glucose uptake ($mmol/mmol\ glc$)])</f>
        <v>1310.5</v>
      </c>
      <c r="H552">
        <f>_xlfn.RANK.AVG(Table1[[#This Row],[Flux in RT / glucose uptake ($mmol/mmol\ glc$)]],Table1[Flux in RT / glucose uptake ($mmol/mmol\ glc$)])</f>
        <v>1290.5</v>
      </c>
      <c r="I552" t="e">
        <f>LOG(Table1[[#This Row],[Flux in SC / glucose uptake ($mmol/mmol\ glc$)]])</f>
        <v>#NUM!</v>
      </c>
      <c r="J552" t="e">
        <f>LOG(Table1[[#This Row],[Flux in RT / glucose uptake ($mmol/mmol\ glc$)]])</f>
        <v>#NUM!</v>
      </c>
    </row>
    <row r="553" spans="1:10" x14ac:dyDescent="0.2">
      <c r="A553" t="s">
        <v>556</v>
      </c>
      <c r="B553" t="s">
        <v>3114</v>
      </c>
      <c r="C553">
        <v>0</v>
      </c>
      <c r="D553">
        <v>0</v>
      </c>
      <c r="E553">
        <f>ABS(Table1[[#This Row],[Flux in SC / glucose uptake ($mmol/mmol\ glc$)]]-Table1[[#This Row],[Flux in RT / glucose uptake ($mmol/mmol\ glc$)]])/SQRT(2)</f>
        <v>0</v>
      </c>
      <c r="F553">
        <f>Table1[[#This Row],[distance from 45-degree line]]/MAX(Table1[[Flux in SC / glucose uptake ($mmol/mmol\ glc$)]:[Flux in RT / glucose uptake ($mmol/mmol\ glc$)]])</f>
        <v>0</v>
      </c>
      <c r="G553">
        <f>_xlfn.RANK.AVG(Table1[[#This Row],[Flux in SC / glucose uptake ($mmol/mmol\ glc$)]],Table1[Flux in SC / glucose uptake ($mmol/mmol\ glc$)])</f>
        <v>1310.5</v>
      </c>
      <c r="H553">
        <f>_xlfn.RANK.AVG(Table1[[#This Row],[Flux in RT / glucose uptake ($mmol/mmol\ glc$)]],Table1[Flux in RT / glucose uptake ($mmol/mmol\ glc$)])</f>
        <v>1290.5</v>
      </c>
      <c r="I553" t="e">
        <f>LOG(Table1[[#This Row],[Flux in SC / glucose uptake ($mmol/mmol\ glc$)]])</f>
        <v>#NUM!</v>
      </c>
      <c r="J553" t="e">
        <f>LOG(Table1[[#This Row],[Flux in RT / glucose uptake ($mmol/mmol\ glc$)]])</f>
        <v>#NUM!</v>
      </c>
    </row>
    <row r="554" spans="1:10" x14ac:dyDescent="0.2">
      <c r="A554" t="s">
        <v>557</v>
      </c>
      <c r="B554" t="s">
        <v>3114</v>
      </c>
      <c r="C554">
        <v>0</v>
      </c>
      <c r="D554">
        <v>0</v>
      </c>
      <c r="E554">
        <f>ABS(Table1[[#This Row],[Flux in SC / glucose uptake ($mmol/mmol\ glc$)]]-Table1[[#This Row],[Flux in RT / glucose uptake ($mmol/mmol\ glc$)]])/SQRT(2)</f>
        <v>0</v>
      </c>
      <c r="F554">
        <f>Table1[[#This Row],[distance from 45-degree line]]/MAX(Table1[[Flux in SC / glucose uptake ($mmol/mmol\ glc$)]:[Flux in RT / glucose uptake ($mmol/mmol\ glc$)]])</f>
        <v>0</v>
      </c>
      <c r="G554">
        <f>_xlfn.RANK.AVG(Table1[[#This Row],[Flux in SC / glucose uptake ($mmol/mmol\ glc$)]],Table1[Flux in SC / glucose uptake ($mmol/mmol\ glc$)])</f>
        <v>1310.5</v>
      </c>
      <c r="H554">
        <f>_xlfn.RANK.AVG(Table1[[#This Row],[Flux in RT / glucose uptake ($mmol/mmol\ glc$)]],Table1[Flux in RT / glucose uptake ($mmol/mmol\ glc$)])</f>
        <v>1290.5</v>
      </c>
      <c r="I554" t="e">
        <f>LOG(Table1[[#This Row],[Flux in SC / glucose uptake ($mmol/mmol\ glc$)]])</f>
        <v>#NUM!</v>
      </c>
      <c r="J554" t="e">
        <f>LOG(Table1[[#This Row],[Flux in RT / glucose uptake ($mmol/mmol\ glc$)]])</f>
        <v>#NUM!</v>
      </c>
    </row>
    <row r="555" spans="1:10" x14ac:dyDescent="0.2">
      <c r="A555" t="s">
        <v>558</v>
      </c>
      <c r="B555" t="s">
        <v>3114</v>
      </c>
      <c r="C555">
        <v>0</v>
      </c>
      <c r="D555">
        <v>0</v>
      </c>
      <c r="E555">
        <f>ABS(Table1[[#This Row],[Flux in SC / glucose uptake ($mmol/mmol\ glc$)]]-Table1[[#This Row],[Flux in RT / glucose uptake ($mmol/mmol\ glc$)]])/SQRT(2)</f>
        <v>0</v>
      </c>
      <c r="F555">
        <f>Table1[[#This Row],[distance from 45-degree line]]/MAX(Table1[[Flux in SC / glucose uptake ($mmol/mmol\ glc$)]:[Flux in RT / glucose uptake ($mmol/mmol\ glc$)]])</f>
        <v>0</v>
      </c>
      <c r="G555">
        <f>_xlfn.RANK.AVG(Table1[[#This Row],[Flux in SC / glucose uptake ($mmol/mmol\ glc$)]],Table1[Flux in SC / glucose uptake ($mmol/mmol\ glc$)])</f>
        <v>1310.5</v>
      </c>
      <c r="H555">
        <f>_xlfn.RANK.AVG(Table1[[#This Row],[Flux in RT / glucose uptake ($mmol/mmol\ glc$)]],Table1[Flux in RT / glucose uptake ($mmol/mmol\ glc$)])</f>
        <v>1290.5</v>
      </c>
      <c r="I555" t="e">
        <f>LOG(Table1[[#This Row],[Flux in SC / glucose uptake ($mmol/mmol\ glc$)]])</f>
        <v>#NUM!</v>
      </c>
      <c r="J555" t="e">
        <f>LOG(Table1[[#This Row],[Flux in RT / glucose uptake ($mmol/mmol\ glc$)]])</f>
        <v>#NUM!</v>
      </c>
    </row>
    <row r="556" spans="1:10" x14ac:dyDescent="0.2">
      <c r="A556" t="s">
        <v>559</v>
      </c>
      <c r="B556" t="s">
        <v>3114</v>
      </c>
      <c r="C556">
        <v>0</v>
      </c>
      <c r="D556">
        <v>0</v>
      </c>
      <c r="E556">
        <f>ABS(Table1[[#This Row],[Flux in SC / glucose uptake ($mmol/mmol\ glc$)]]-Table1[[#This Row],[Flux in RT / glucose uptake ($mmol/mmol\ glc$)]])/SQRT(2)</f>
        <v>0</v>
      </c>
      <c r="F556">
        <f>Table1[[#This Row],[distance from 45-degree line]]/MAX(Table1[[Flux in SC / glucose uptake ($mmol/mmol\ glc$)]:[Flux in RT / glucose uptake ($mmol/mmol\ glc$)]])</f>
        <v>0</v>
      </c>
      <c r="G556">
        <f>_xlfn.RANK.AVG(Table1[[#This Row],[Flux in SC / glucose uptake ($mmol/mmol\ glc$)]],Table1[Flux in SC / glucose uptake ($mmol/mmol\ glc$)])</f>
        <v>1310.5</v>
      </c>
      <c r="H556">
        <f>_xlfn.RANK.AVG(Table1[[#This Row],[Flux in RT / glucose uptake ($mmol/mmol\ glc$)]],Table1[Flux in RT / glucose uptake ($mmol/mmol\ glc$)])</f>
        <v>1290.5</v>
      </c>
      <c r="I556" t="e">
        <f>LOG(Table1[[#This Row],[Flux in SC / glucose uptake ($mmol/mmol\ glc$)]])</f>
        <v>#NUM!</v>
      </c>
      <c r="J556" t="e">
        <f>LOG(Table1[[#This Row],[Flux in RT / glucose uptake ($mmol/mmol\ glc$)]])</f>
        <v>#NUM!</v>
      </c>
    </row>
    <row r="557" spans="1:10" x14ac:dyDescent="0.2">
      <c r="A557" t="s">
        <v>560</v>
      </c>
      <c r="B557" t="s">
        <v>3165</v>
      </c>
      <c r="C557">
        <v>1.6667143600911005E-3</v>
      </c>
      <c r="D557">
        <v>1.0432423204409532E-2</v>
      </c>
      <c r="E557">
        <f>ABS(Table1[[#This Row],[Flux in SC / glucose uptake ($mmol/mmol\ glc$)]]-Table1[[#This Row],[Flux in RT / glucose uptake ($mmol/mmol\ glc$)]])/SQRT(2)</f>
        <v>6.1982921657244569E-3</v>
      </c>
      <c r="F557">
        <f>Table1[[#This Row],[distance from 45-degree line]]/MAX(Table1[[Flux in SC / glucose uptake ($mmol/mmol\ glc$)]:[Flux in RT / glucose uptake ($mmol/mmol\ glc$)]])</f>
        <v>3.3408087507247683E-4</v>
      </c>
      <c r="G557">
        <f>_xlfn.RANK.AVG(Table1[[#This Row],[Flux in SC / glucose uptake ($mmol/mmol\ glc$)]],Table1[Flux in SC / glucose uptake ($mmol/mmol\ glc$)])</f>
        <v>193</v>
      </c>
      <c r="H557">
        <f>_xlfn.RANK.AVG(Table1[[#This Row],[Flux in RT / glucose uptake ($mmol/mmol\ glc$)]],Table1[Flux in RT / glucose uptake ($mmol/mmol\ glc$)])</f>
        <v>195</v>
      </c>
      <c r="I557">
        <f>LOG(Table1[[#This Row],[Flux in SC / glucose uptake ($mmol/mmol\ glc$)]])</f>
        <v>-2.7781388227668247</v>
      </c>
      <c r="J557">
        <f>LOG(Table1[[#This Row],[Flux in RT / glucose uptake ($mmol/mmol\ glc$)]])</f>
        <v>-1.9816148035512098</v>
      </c>
    </row>
    <row r="558" spans="1:10" x14ac:dyDescent="0.2">
      <c r="A558" t="s">
        <v>561</v>
      </c>
      <c r="B558" t="s">
        <v>3165</v>
      </c>
      <c r="C558">
        <v>0</v>
      </c>
      <c r="D558">
        <v>0</v>
      </c>
      <c r="E558">
        <f>ABS(Table1[[#This Row],[Flux in SC / glucose uptake ($mmol/mmol\ glc$)]]-Table1[[#This Row],[Flux in RT / glucose uptake ($mmol/mmol\ glc$)]])/SQRT(2)</f>
        <v>0</v>
      </c>
      <c r="F558">
        <f>Table1[[#This Row],[distance from 45-degree line]]/MAX(Table1[[Flux in SC / glucose uptake ($mmol/mmol\ glc$)]:[Flux in RT / glucose uptake ($mmol/mmol\ glc$)]])</f>
        <v>0</v>
      </c>
      <c r="G558">
        <f>_xlfn.RANK.AVG(Table1[[#This Row],[Flux in SC / glucose uptake ($mmol/mmol\ glc$)]],Table1[Flux in SC / glucose uptake ($mmol/mmol\ glc$)])</f>
        <v>1310.5</v>
      </c>
      <c r="H558">
        <f>_xlfn.RANK.AVG(Table1[[#This Row],[Flux in RT / glucose uptake ($mmol/mmol\ glc$)]],Table1[Flux in RT / glucose uptake ($mmol/mmol\ glc$)])</f>
        <v>1290.5</v>
      </c>
      <c r="I558" t="e">
        <f>LOG(Table1[[#This Row],[Flux in SC / glucose uptake ($mmol/mmol\ glc$)]])</f>
        <v>#NUM!</v>
      </c>
      <c r="J558" t="e">
        <f>LOG(Table1[[#This Row],[Flux in RT / glucose uptake ($mmol/mmol\ glc$)]])</f>
        <v>#NUM!</v>
      </c>
    </row>
    <row r="559" spans="1:10" x14ac:dyDescent="0.2">
      <c r="A559" t="s">
        <v>562</v>
      </c>
      <c r="B559" t="s">
        <v>3165</v>
      </c>
      <c r="C559">
        <v>0</v>
      </c>
      <c r="D559">
        <v>0</v>
      </c>
      <c r="E559">
        <f>ABS(Table1[[#This Row],[Flux in SC / glucose uptake ($mmol/mmol\ glc$)]]-Table1[[#This Row],[Flux in RT / glucose uptake ($mmol/mmol\ glc$)]])/SQRT(2)</f>
        <v>0</v>
      </c>
      <c r="F559">
        <f>Table1[[#This Row],[distance from 45-degree line]]/MAX(Table1[[Flux in SC / glucose uptake ($mmol/mmol\ glc$)]:[Flux in RT / glucose uptake ($mmol/mmol\ glc$)]])</f>
        <v>0</v>
      </c>
      <c r="G559">
        <f>_xlfn.RANK.AVG(Table1[[#This Row],[Flux in SC / glucose uptake ($mmol/mmol\ glc$)]],Table1[Flux in SC / glucose uptake ($mmol/mmol\ glc$)])</f>
        <v>1310.5</v>
      </c>
      <c r="H559">
        <f>_xlfn.RANK.AVG(Table1[[#This Row],[Flux in RT / glucose uptake ($mmol/mmol\ glc$)]],Table1[Flux in RT / glucose uptake ($mmol/mmol\ glc$)])</f>
        <v>1290.5</v>
      </c>
      <c r="I559" t="e">
        <f>LOG(Table1[[#This Row],[Flux in SC / glucose uptake ($mmol/mmol\ glc$)]])</f>
        <v>#NUM!</v>
      </c>
      <c r="J559" t="e">
        <f>LOG(Table1[[#This Row],[Flux in RT / glucose uptake ($mmol/mmol\ glc$)]])</f>
        <v>#NUM!</v>
      </c>
    </row>
    <row r="560" spans="1:10" x14ac:dyDescent="0.2">
      <c r="A560" t="s">
        <v>563</v>
      </c>
      <c r="B560" t="s">
        <v>3165</v>
      </c>
      <c r="C560">
        <v>0</v>
      </c>
      <c r="D560">
        <v>0</v>
      </c>
      <c r="E560">
        <f>ABS(Table1[[#This Row],[Flux in SC / glucose uptake ($mmol/mmol\ glc$)]]-Table1[[#This Row],[Flux in RT / glucose uptake ($mmol/mmol\ glc$)]])/SQRT(2)</f>
        <v>0</v>
      </c>
      <c r="F560">
        <f>Table1[[#This Row],[distance from 45-degree line]]/MAX(Table1[[Flux in SC / glucose uptake ($mmol/mmol\ glc$)]:[Flux in RT / glucose uptake ($mmol/mmol\ glc$)]])</f>
        <v>0</v>
      </c>
      <c r="G560">
        <f>_xlfn.RANK.AVG(Table1[[#This Row],[Flux in SC / glucose uptake ($mmol/mmol\ glc$)]],Table1[Flux in SC / glucose uptake ($mmol/mmol\ glc$)])</f>
        <v>1310.5</v>
      </c>
      <c r="H560">
        <f>_xlfn.RANK.AVG(Table1[[#This Row],[Flux in RT / glucose uptake ($mmol/mmol\ glc$)]],Table1[Flux in RT / glucose uptake ($mmol/mmol\ glc$)])</f>
        <v>1290.5</v>
      </c>
      <c r="I560" t="e">
        <f>LOG(Table1[[#This Row],[Flux in SC / glucose uptake ($mmol/mmol\ glc$)]])</f>
        <v>#NUM!</v>
      </c>
      <c r="J560" t="e">
        <f>LOG(Table1[[#This Row],[Flux in RT / glucose uptake ($mmol/mmol\ glc$)]])</f>
        <v>#NUM!</v>
      </c>
    </row>
    <row r="561" spans="1:10" x14ac:dyDescent="0.2">
      <c r="A561" t="s">
        <v>564</v>
      </c>
      <c r="B561" t="s">
        <v>3165</v>
      </c>
      <c r="C561">
        <v>0</v>
      </c>
      <c r="D561">
        <v>0</v>
      </c>
      <c r="E561">
        <f>ABS(Table1[[#This Row],[Flux in SC / glucose uptake ($mmol/mmol\ glc$)]]-Table1[[#This Row],[Flux in RT / glucose uptake ($mmol/mmol\ glc$)]])/SQRT(2)</f>
        <v>0</v>
      </c>
      <c r="F561">
        <f>Table1[[#This Row],[distance from 45-degree line]]/MAX(Table1[[Flux in SC / glucose uptake ($mmol/mmol\ glc$)]:[Flux in RT / glucose uptake ($mmol/mmol\ glc$)]])</f>
        <v>0</v>
      </c>
      <c r="G561">
        <f>_xlfn.RANK.AVG(Table1[[#This Row],[Flux in SC / glucose uptake ($mmol/mmol\ glc$)]],Table1[Flux in SC / glucose uptake ($mmol/mmol\ glc$)])</f>
        <v>1310.5</v>
      </c>
      <c r="H561">
        <f>_xlfn.RANK.AVG(Table1[[#This Row],[Flux in RT / glucose uptake ($mmol/mmol\ glc$)]],Table1[Flux in RT / glucose uptake ($mmol/mmol\ glc$)])</f>
        <v>1290.5</v>
      </c>
      <c r="I561" t="e">
        <f>LOG(Table1[[#This Row],[Flux in SC / glucose uptake ($mmol/mmol\ glc$)]])</f>
        <v>#NUM!</v>
      </c>
      <c r="J561" t="e">
        <f>LOG(Table1[[#This Row],[Flux in RT / glucose uptake ($mmol/mmol\ glc$)]])</f>
        <v>#NUM!</v>
      </c>
    </row>
    <row r="562" spans="1:10" x14ac:dyDescent="0.2">
      <c r="A562" t="s">
        <v>565</v>
      </c>
      <c r="B562" t="s">
        <v>3165</v>
      </c>
      <c r="C562">
        <v>0</v>
      </c>
      <c r="D562">
        <v>0</v>
      </c>
      <c r="E562">
        <f>ABS(Table1[[#This Row],[Flux in SC / glucose uptake ($mmol/mmol\ glc$)]]-Table1[[#This Row],[Flux in RT / glucose uptake ($mmol/mmol\ glc$)]])/SQRT(2)</f>
        <v>0</v>
      </c>
      <c r="F562">
        <f>Table1[[#This Row],[distance from 45-degree line]]/MAX(Table1[[Flux in SC / glucose uptake ($mmol/mmol\ glc$)]:[Flux in RT / glucose uptake ($mmol/mmol\ glc$)]])</f>
        <v>0</v>
      </c>
      <c r="G562">
        <f>_xlfn.RANK.AVG(Table1[[#This Row],[Flux in SC / glucose uptake ($mmol/mmol\ glc$)]],Table1[Flux in SC / glucose uptake ($mmol/mmol\ glc$)])</f>
        <v>1310.5</v>
      </c>
      <c r="H562">
        <f>_xlfn.RANK.AVG(Table1[[#This Row],[Flux in RT / glucose uptake ($mmol/mmol\ glc$)]],Table1[Flux in RT / glucose uptake ($mmol/mmol\ glc$)])</f>
        <v>1290.5</v>
      </c>
      <c r="I562" t="e">
        <f>LOG(Table1[[#This Row],[Flux in SC / glucose uptake ($mmol/mmol\ glc$)]])</f>
        <v>#NUM!</v>
      </c>
      <c r="J562" t="e">
        <f>LOG(Table1[[#This Row],[Flux in RT / glucose uptake ($mmol/mmol\ glc$)]])</f>
        <v>#NUM!</v>
      </c>
    </row>
    <row r="563" spans="1:10" x14ac:dyDescent="0.2">
      <c r="A563" t="s">
        <v>566</v>
      </c>
      <c r="B563" t="s">
        <v>3165</v>
      </c>
      <c r="C563">
        <v>0</v>
      </c>
      <c r="D563">
        <v>0</v>
      </c>
      <c r="E563">
        <f>ABS(Table1[[#This Row],[Flux in SC / glucose uptake ($mmol/mmol\ glc$)]]-Table1[[#This Row],[Flux in RT / glucose uptake ($mmol/mmol\ glc$)]])/SQRT(2)</f>
        <v>0</v>
      </c>
      <c r="F563">
        <f>Table1[[#This Row],[distance from 45-degree line]]/MAX(Table1[[Flux in SC / glucose uptake ($mmol/mmol\ glc$)]:[Flux in RT / glucose uptake ($mmol/mmol\ glc$)]])</f>
        <v>0</v>
      </c>
      <c r="G563">
        <f>_xlfn.RANK.AVG(Table1[[#This Row],[Flux in SC / glucose uptake ($mmol/mmol\ glc$)]],Table1[Flux in SC / glucose uptake ($mmol/mmol\ glc$)])</f>
        <v>1310.5</v>
      </c>
      <c r="H563">
        <f>_xlfn.RANK.AVG(Table1[[#This Row],[Flux in RT / glucose uptake ($mmol/mmol\ glc$)]],Table1[Flux in RT / glucose uptake ($mmol/mmol\ glc$)])</f>
        <v>1290.5</v>
      </c>
      <c r="I563" t="e">
        <f>LOG(Table1[[#This Row],[Flux in SC / glucose uptake ($mmol/mmol\ glc$)]])</f>
        <v>#NUM!</v>
      </c>
      <c r="J563" t="e">
        <f>LOG(Table1[[#This Row],[Flux in RT / glucose uptake ($mmol/mmol\ glc$)]])</f>
        <v>#NUM!</v>
      </c>
    </row>
    <row r="564" spans="1:10" x14ac:dyDescent="0.2">
      <c r="A564" t="s">
        <v>567</v>
      </c>
      <c r="B564" t="s">
        <v>3165</v>
      </c>
      <c r="C564">
        <v>0</v>
      </c>
      <c r="D564">
        <v>0</v>
      </c>
      <c r="E564">
        <f>ABS(Table1[[#This Row],[Flux in SC / glucose uptake ($mmol/mmol\ glc$)]]-Table1[[#This Row],[Flux in RT / glucose uptake ($mmol/mmol\ glc$)]])/SQRT(2)</f>
        <v>0</v>
      </c>
      <c r="F564">
        <f>Table1[[#This Row],[distance from 45-degree line]]/MAX(Table1[[Flux in SC / glucose uptake ($mmol/mmol\ glc$)]:[Flux in RT / glucose uptake ($mmol/mmol\ glc$)]])</f>
        <v>0</v>
      </c>
      <c r="G564">
        <f>_xlfn.RANK.AVG(Table1[[#This Row],[Flux in SC / glucose uptake ($mmol/mmol\ glc$)]],Table1[Flux in SC / glucose uptake ($mmol/mmol\ glc$)])</f>
        <v>1310.5</v>
      </c>
      <c r="H564">
        <f>_xlfn.RANK.AVG(Table1[[#This Row],[Flux in RT / glucose uptake ($mmol/mmol\ glc$)]],Table1[Flux in RT / glucose uptake ($mmol/mmol\ glc$)])</f>
        <v>1290.5</v>
      </c>
      <c r="I564" t="e">
        <f>LOG(Table1[[#This Row],[Flux in SC / glucose uptake ($mmol/mmol\ glc$)]])</f>
        <v>#NUM!</v>
      </c>
      <c r="J564" t="e">
        <f>LOG(Table1[[#This Row],[Flux in RT / glucose uptake ($mmol/mmol\ glc$)]])</f>
        <v>#NUM!</v>
      </c>
    </row>
    <row r="565" spans="1:10" x14ac:dyDescent="0.2">
      <c r="A565" t="s">
        <v>568</v>
      </c>
      <c r="B565" t="s">
        <v>3165</v>
      </c>
      <c r="C565">
        <v>0</v>
      </c>
      <c r="D565">
        <v>0</v>
      </c>
      <c r="E565">
        <f>ABS(Table1[[#This Row],[Flux in SC / glucose uptake ($mmol/mmol\ glc$)]]-Table1[[#This Row],[Flux in RT / glucose uptake ($mmol/mmol\ glc$)]])/SQRT(2)</f>
        <v>0</v>
      </c>
      <c r="F565">
        <f>Table1[[#This Row],[distance from 45-degree line]]/MAX(Table1[[Flux in SC / glucose uptake ($mmol/mmol\ glc$)]:[Flux in RT / glucose uptake ($mmol/mmol\ glc$)]])</f>
        <v>0</v>
      </c>
      <c r="G565">
        <f>_xlfn.RANK.AVG(Table1[[#This Row],[Flux in SC / glucose uptake ($mmol/mmol\ glc$)]],Table1[Flux in SC / glucose uptake ($mmol/mmol\ glc$)])</f>
        <v>1310.5</v>
      </c>
      <c r="H565">
        <f>_xlfn.RANK.AVG(Table1[[#This Row],[Flux in RT / glucose uptake ($mmol/mmol\ glc$)]],Table1[Flux in RT / glucose uptake ($mmol/mmol\ glc$)])</f>
        <v>1290.5</v>
      </c>
      <c r="I565" t="e">
        <f>LOG(Table1[[#This Row],[Flux in SC / glucose uptake ($mmol/mmol\ glc$)]])</f>
        <v>#NUM!</v>
      </c>
      <c r="J565" t="e">
        <f>LOG(Table1[[#This Row],[Flux in RT / glucose uptake ($mmol/mmol\ glc$)]])</f>
        <v>#NUM!</v>
      </c>
    </row>
    <row r="566" spans="1:10" x14ac:dyDescent="0.2">
      <c r="A566" t="s">
        <v>569</v>
      </c>
      <c r="B566" t="s">
        <v>3165</v>
      </c>
      <c r="C566">
        <v>0</v>
      </c>
      <c r="D566">
        <v>0</v>
      </c>
      <c r="E566">
        <f>ABS(Table1[[#This Row],[Flux in SC / glucose uptake ($mmol/mmol\ glc$)]]-Table1[[#This Row],[Flux in RT / glucose uptake ($mmol/mmol\ glc$)]])/SQRT(2)</f>
        <v>0</v>
      </c>
      <c r="F566">
        <f>Table1[[#This Row],[distance from 45-degree line]]/MAX(Table1[[Flux in SC / glucose uptake ($mmol/mmol\ glc$)]:[Flux in RT / glucose uptake ($mmol/mmol\ glc$)]])</f>
        <v>0</v>
      </c>
      <c r="G566">
        <f>_xlfn.RANK.AVG(Table1[[#This Row],[Flux in SC / glucose uptake ($mmol/mmol\ glc$)]],Table1[Flux in SC / glucose uptake ($mmol/mmol\ glc$)])</f>
        <v>1310.5</v>
      </c>
      <c r="H566">
        <f>_xlfn.RANK.AVG(Table1[[#This Row],[Flux in RT / glucose uptake ($mmol/mmol\ glc$)]],Table1[Flux in RT / glucose uptake ($mmol/mmol\ glc$)])</f>
        <v>1290.5</v>
      </c>
      <c r="I566" t="e">
        <f>LOG(Table1[[#This Row],[Flux in SC / glucose uptake ($mmol/mmol\ glc$)]])</f>
        <v>#NUM!</v>
      </c>
      <c r="J566" t="e">
        <f>LOG(Table1[[#This Row],[Flux in RT / glucose uptake ($mmol/mmol\ glc$)]])</f>
        <v>#NUM!</v>
      </c>
    </row>
    <row r="567" spans="1:10" x14ac:dyDescent="0.2">
      <c r="A567" t="s">
        <v>570</v>
      </c>
      <c r="B567" t="s">
        <v>3165</v>
      </c>
      <c r="C567">
        <v>0</v>
      </c>
      <c r="D567">
        <v>0</v>
      </c>
      <c r="E567">
        <f>ABS(Table1[[#This Row],[Flux in SC / glucose uptake ($mmol/mmol\ glc$)]]-Table1[[#This Row],[Flux in RT / glucose uptake ($mmol/mmol\ glc$)]])/SQRT(2)</f>
        <v>0</v>
      </c>
      <c r="F567">
        <f>Table1[[#This Row],[distance from 45-degree line]]/MAX(Table1[[Flux in SC / glucose uptake ($mmol/mmol\ glc$)]:[Flux in RT / glucose uptake ($mmol/mmol\ glc$)]])</f>
        <v>0</v>
      </c>
      <c r="G567">
        <f>_xlfn.RANK.AVG(Table1[[#This Row],[Flux in SC / glucose uptake ($mmol/mmol\ glc$)]],Table1[Flux in SC / glucose uptake ($mmol/mmol\ glc$)])</f>
        <v>1310.5</v>
      </c>
      <c r="H567">
        <f>_xlfn.RANK.AVG(Table1[[#This Row],[Flux in RT / glucose uptake ($mmol/mmol\ glc$)]],Table1[Flux in RT / glucose uptake ($mmol/mmol\ glc$)])</f>
        <v>1290.5</v>
      </c>
      <c r="I567" t="e">
        <f>LOG(Table1[[#This Row],[Flux in SC / glucose uptake ($mmol/mmol\ glc$)]])</f>
        <v>#NUM!</v>
      </c>
      <c r="J567" t="e">
        <f>LOG(Table1[[#This Row],[Flux in RT / glucose uptake ($mmol/mmol\ glc$)]])</f>
        <v>#NUM!</v>
      </c>
    </row>
    <row r="568" spans="1:10" x14ac:dyDescent="0.2">
      <c r="A568" t="s">
        <v>571</v>
      </c>
      <c r="B568" t="s">
        <v>3165</v>
      </c>
      <c r="C568">
        <v>0</v>
      </c>
      <c r="D568">
        <v>0</v>
      </c>
      <c r="E568">
        <f>ABS(Table1[[#This Row],[Flux in SC / glucose uptake ($mmol/mmol\ glc$)]]-Table1[[#This Row],[Flux in RT / glucose uptake ($mmol/mmol\ glc$)]])/SQRT(2)</f>
        <v>0</v>
      </c>
      <c r="F568">
        <f>Table1[[#This Row],[distance from 45-degree line]]/MAX(Table1[[Flux in SC / glucose uptake ($mmol/mmol\ glc$)]:[Flux in RT / glucose uptake ($mmol/mmol\ glc$)]])</f>
        <v>0</v>
      </c>
      <c r="G568">
        <f>_xlfn.RANK.AVG(Table1[[#This Row],[Flux in SC / glucose uptake ($mmol/mmol\ glc$)]],Table1[Flux in SC / glucose uptake ($mmol/mmol\ glc$)])</f>
        <v>1310.5</v>
      </c>
      <c r="H568">
        <f>_xlfn.RANK.AVG(Table1[[#This Row],[Flux in RT / glucose uptake ($mmol/mmol\ glc$)]],Table1[Flux in RT / glucose uptake ($mmol/mmol\ glc$)])</f>
        <v>1290.5</v>
      </c>
      <c r="I568" t="e">
        <f>LOG(Table1[[#This Row],[Flux in SC / glucose uptake ($mmol/mmol\ glc$)]])</f>
        <v>#NUM!</v>
      </c>
      <c r="J568" t="e">
        <f>LOG(Table1[[#This Row],[Flux in RT / glucose uptake ($mmol/mmol\ glc$)]])</f>
        <v>#NUM!</v>
      </c>
    </row>
    <row r="569" spans="1:10" x14ac:dyDescent="0.2">
      <c r="A569" t="s">
        <v>572</v>
      </c>
      <c r="B569" t="s">
        <v>3165</v>
      </c>
      <c r="C569">
        <v>0</v>
      </c>
      <c r="D569">
        <v>0</v>
      </c>
      <c r="E569">
        <f>ABS(Table1[[#This Row],[Flux in SC / glucose uptake ($mmol/mmol\ glc$)]]-Table1[[#This Row],[Flux in RT / glucose uptake ($mmol/mmol\ glc$)]])/SQRT(2)</f>
        <v>0</v>
      </c>
      <c r="F569">
        <f>Table1[[#This Row],[distance from 45-degree line]]/MAX(Table1[[Flux in SC / glucose uptake ($mmol/mmol\ glc$)]:[Flux in RT / glucose uptake ($mmol/mmol\ glc$)]])</f>
        <v>0</v>
      </c>
      <c r="G569">
        <f>_xlfn.RANK.AVG(Table1[[#This Row],[Flux in SC / glucose uptake ($mmol/mmol\ glc$)]],Table1[Flux in SC / glucose uptake ($mmol/mmol\ glc$)])</f>
        <v>1310.5</v>
      </c>
      <c r="H569">
        <f>_xlfn.RANK.AVG(Table1[[#This Row],[Flux in RT / glucose uptake ($mmol/mmol\ glc$)]],Table1[Flux in RT / glucose uptake ($mmol/mmol\ glc$)])</f>
        <v>1290.5</v>
      </c>
      <c r="I569" t="e">
        <f>LOG(Table1[[#This Row],[Flux in SC / glucose uptake ($mmol/mmol\ glc$)]])</f>
        <v>#NUM!</v>
      </c>
      <c r="J569" t="e">
        <f>LOG(Table1[[#This Row],[Flux in RT / glucose uptake ($mmol/mmol\ glc$)]])</f>
        <v>#NUM!</v>
      </c>
    </row>
    <row r="570" spans="1:10" x14ac:dyDescent="0.2">
      <c r="A570" t="s">
        <v>573</v>
      </c>
      <c r="B570" t="s">
        <v>3165</v>
      </c>
      <c r="C570">
        <v>0</v>
      </c>
      <c r="D570">
        <v>0</v>
      </c>
      <c r="E570">
        <f>ABS(Table1[[#This Row],[Flux in SC / glucose uptake ($mmol/mmol\ glc$)]]-Table1[[#This Row],[Flux in RT / glucose uptake ($mmol/mmol\ glc$)]])/SQRT(2)</f>
        <v>0</v>
      </c>
      <c r="F570">
        <f>Table1[[#This Row],[distance from 45-degree line]]/MAX(Table1[[Flux in SC / glucose uptake ($mmol/mmol\ glc$)]:[Flux in RT / glucose uptake ($mmol/mmol\ glc$)]])</f>
        <v>0</v>
      </c>
      <c r="G570">
        <f>_xlfn.RANK.AVG(Table1[[#This Row],[Flux in SC / glucose uptake ($mmol/mmol\ glc$)]],Table1[Flux in SC / glucose uptake ($mmol/mmol\ glc$)])</f>
        <v>1310.5</v>
      </c>
      <c r="H570">
        <f>_xlfn.RANK.AVG(Table1[[#This Row],[Flux in RT / glucose uptake ($mmol/mmol\ glc$)]],Table1[Flux in RT / glucose uptake ($mmol/mmol\ glc$)])</f>
        <v>1290.5</v>
      </c>
      <c r="I570" t="e">
        <f>LOG(Table1[[#This Row],[Flux in SC / glucose uptake ($mmol/mmol\ glc$)]])</f>
        <v>#NUM!</v>
      </c>
      <c r="J570" t="e">
        <f>LOG(Table1[[#This Row],[Flux in RT / glucose uptake ($mmol/mmol\ glc$)]])</f>
        <v>#NUM!</v>
      </c>
    </row>
    <row r="571" spans="1:10" x14ac:dyDescent="0.2">
      <c r="A571" t="s">
        <v>574</v>
      </c>
      <c r="B571" t="s">
        <v>3169</v>
      </c>
      <c r="C571">
        <v>0</v>
      </c>
      <c r="D571">
        <v>0</v>
      </c>
      <c r="E571">
        <f>ABS(Table1[[#This Row],[Flux in SC / glucose uptake ($mmol/mmol\ glc$)]]-Table1[[#This Row],[Flux in RT / glucose uptake ($mmol/mmol\ glc$)]])/SQRT(2)</f>
        <v>0</v>
      </c>
      <c r="F571">
        <f>Table1[[#This Row],[distance from 45-degree line]]/MAX(Table1[[Flux in SC / glucose uptake ($mmol/mmol\ glc$)]:[Flux in RT / glucose uptake ($mmol/mmol\ glc$)]])</f>
        <v>0</v>
      </c>
      <c r="G571">
        <f>_xlfn.RANK.AVG(Table1[[#This Row],[Flux in SC / glucose uptake ($mmol/mmol\ glc$)]],Table1[Flux in SC / glucose uptake ($mmol/mmol\ glc$)])</f>
        <v>1310.5</v>
      </c>
      <c r="H571">
        <f>_xlfn.RANK.AVG(Table1[[#This Row],[Flux in RT / glucose uptake ($mmol/mmol\ glc$)]],Table1[Flux in RT / glucose uptake ($mmol/mmol\ glc$)])</f>
        <v>1290.5</v>
      </c>
      <c r="I571" t="e">
        <f>LOG(Table1[[#This Row],[Flux in SC / glucose uptake ($mmol/mmol\ glc$)]])</f>
        <v>#NUM!</v>
      </c>
      <c r="J571" t="e">
        <f>LOG(Table1[[#This Row],[Flux in RT / glucose uptake ($mmol/mmol\ glc$)]])</f>
        <v>#NUM!</v>
      </c>
    </row>
    <row r="572" spans="1:10" x14ac:dyDescent="0.2">
      <c r="A572" t="s">
        <v>575</v>
      </c>
      <c r="B572" t="s">
        <v>3174</v>
      </c>
      <c r="C572">
        <v>0</v>
      </c>
      <c r="D572">
        <v>0</v>
      </c>
      <c r="E572">
        <f>ABS(Table1[[#This Row],[Flux in SC / glucose uptake ($mmol/mmol\ glc$)]]-Table1[[#This Row],[Flux in RT / glucose uptake ($mmol/mmol\ glc$)]])/SQRT(2)</f>
        <v>0</v>
      </c>
      <c r="F572">
        <f>Table1[[#This Row],[distance from 45-degree line]]/MAX(Table1[[Flux in SC / glucose uptake ($mmol/mmol\ glc$)]:[Flux in RT / glucose uptake ($mmol/mmol\ glc$)]])</f>
        <v>0</v>
      </c>
      <c r="G572">
        <f>_xlfn.RANK.AVG(Table1[[#This Row],[Flux in SC / glucose uptake ($mmol/mmol\ glc$)]],Table1[Flux in SC / glucose uptake ($mmol/mmol\ glc$)])</f>
        <v>1310.5</v>
      </c>
      <c r="H572">
        <f>_xlfn.RANK.AVG(Table1[[#This Row],[Flux in RT / glucose uptake ($mmol/mmol\ glc$)]],Table1[Flux in RT / glucose uptake ($mmol/mmol\ glc$)])</f>
        <v>1290.5</v>
      </c>
      <c r="I572" t="e">
        <f>LOG(Table1[[#This Row],[Flux in SC / glucose uptake ($mmol/mmol\ glc$)]])</f>
        <v>#NUM!</v>
      </c>
      <c r="J572" t="e">
        <f>LOG(Table1[[#This Row],[Flux in RT / glucose uptake ($mmol/mmol\ glc$)]])</f>
        <v>#NUM!</v>
      </c>
    </row>
    <row r="573" spans="1:10" x14ac:dyDescent="0.2">
      <c r="A573" t="s">
        <v>576</v>
      </c>
      <c r="B573" t="s">
        <v>3114</v>
      </c>
      <c r="C573">
        <v>0</v>
      </c>
      <c r="D573">
        <v>0</v>
      </c>
      <c r="E573">
        <f>ABS(Table1[[#This Row],[Flux in SC / glucose uptake ($mmol/mmol\ glc$)]]-Table1[[#This Row],[Flux in RT / glucose uptake ($mmol/mmol\ glc$)]])/SQRT(2)</f>
        <v>0</v>
      </c>
      <c r="F573">
        <f>Table1[[#This Row],[distance from 45-degree line]]/MAX(Table1[[Flux in SC / glucose uptake ($mmol/mmol\ glc$)]:[Flux in RT / glucose uptake ($mmol/mmol\ glc$)]])</f>
        <v>0</v>
      </c>
      <c r="G573">
        <f>_xlfn.RANK.AVG(Table1[[#This Row],[Flux in SC / glucose uptake ($mmol/mmol\ glc$)]],Table1[Flux in SC / glucose uptake ($mmol/mmol\ glc$)])</f>
        <v>1310.5</v>
      </c>
      <c r="H573">
        <f>_xlfn.RANK.AVG(Table1[[#This Row],[Flux in RT / glucose uptake ($mmol/mmol\ glc$)]],Table1[Flux in RT / glucose uptake ($mmol/mmol\ glc$)])</f>
        <v>1290.5</v>
      </c>
      <c r="I573" t="e">
        <f>LOG(Table1[[#This Row],[Flux in SC / glucose uptake ($mmol/mmol\ glc$)]])</f>
        <v>#NUM!</v>
      </c>
      <c r="J573" t="e">
        <f>LOG(Table1[[#This Row],[Flux in RT / glucose uptake ($mmol/mmol\ glc$)]])</f>
        <v>#NUM!</v>
      </c>
    </row>
    <row r="574" spans="1:10" x14ac:dyDescent="0.2">
      <c r="A574" t="s">
        <v>577</v>
      </c>
      <c r="B574" t="s">
        <v>3114</v>
      </c>
      <c r="C574">
        <v>0</v>
      </c>
      <c r="D574">
        <v>0</v>
      </c>
      <c r="E574">
        <f>ABS(Table1[[#This Row],[Flux in SC / glucose uptake ($mmol/mmol\ glc$)]]-Table1[[#This Row],[Flux in RT / glucose uptake ($mmol/mmol\ glc$)]])/SQRT(2)</f>
        <v>0</v>
      </c>
      <c r="F574">
        <f>Table1[[#This Row],[distance from 45-degree line]]/MAX(Table1[[Flux in SC / glucose uptake ($mmol/mmol\ glc$)]:[Flux in RT / glucose uptake ($mmol/mmol\ glc$)]])</f>
        <v>0</v>
      </c>
      <c r="G574">
        <f>_xlfn.RANK.AVG(Table1[[#This Row],[Flux in SC / glucose uptake ($mmol/mmol\ glc$)]],Table1[Flux in SC / glucose uptake ($mmol/mmol\ glc$)])</f>
        <v>1310.5</v>
      </c>
      <c r="H574">
        <f>_xlfn.RANK.AVG(Table1[[#This Row],[Flux in RT / glucose uptake ($mmol/mmol\ glc$)]],Table1[Flux in RT / glucose uptake ($mmol/mmol\ glc$)])</f>
        <v>1290.5</v>
      </c>
      <c r="I574" t="e">
        <f>LOG(Table1[[#This Row],[Flux in SC / glucose uptake ($mmol/mmol\ glc$)]])</f>
        <v>#NUM!</v>
      </c>
      <c r="J574" t="e">
        <f>LOG(Table1[[#This Row],[Flux in RT / glucose uptake ($mmol/mmol\ glc$)]])</f>
        <v>#NUM!</v>
      </c>
    </row>
    <row r="575" spans="1:10" x14ac:dyDescent="0.2">
      <c r="A575" t="s">
        <v>578</v>
      </c>
      <c r="B575" t="s">
        <v>3114</v>
      </c>
      <c r="C575">
        <v>0</v>
      </c>
      <c r="D575">
        <v>0</v>
      </c>
      <c r="E575">
        <f>ABS(Table1[[#This Row],[Flux in SC / glucose uptake ($mmol/mmol\ glc$)]]-Table1[[#This Row],[Flux in RT / glucose uptake ($mmol/mmol\ glc$)]])/SQRT(2)</f>
        <v>0</v>
      </c>
      <c r="F575">
        <f>Table1[[#This Row],[distance from 45-degree line]]/MAX(Table1[[Flux in SC / glucose uptake ($mmol/mmol\ glc$)]:[Flux in RT / glucose uptake ($mmol/mmol\ glc$)]])</f>
        <v>0</v>
      </c>
      <c r="G575">
        <f>_xlfn.RANK.AVG(Table1[[#This Row],[Flux in SC / glucose uptake ($mmol/mmol\ glc$)]],Table1[Flux in SC / glucose uptake ($mmol/mmol\ glc$)])</f>
        <v>1310.5</v>
      </c>
      <c r="H575">
        <f>_xlfn.RANK.AVG(Table1[[#This Row],[Flux in RT / glucose uptake ($mmol/mmol\ glc$)]],Table1[Flux in RT / glucose uptake ($mmol/mmol\ glc$)])</f>
        <v>1290.5</v>
      </c>
      <c r="I575" t="e">
        <f>LOG(Table1[[#This Row],[Flux in SC / glucose uptake ($mmol/mmol\ glc$)]])</f>
        <v>#NUM!</v>
      </c>
      <c r="J575" t="e">
        <f>LOG(Table1[[#This Row],[Flux in RT / glucose uptake ($mmol/mmol\ glc$)]])</f>
        <v>#NUM!</v>
      </c>
    </row>
    <row r="576" spans="1:10" x14ac:dyDescent="0.2">
      <c r="A576" t="s">
        <v>579</v>
      </c>
      <c r="B576" t="s">
        <v>3114</v>
      </c>
      <c r="C576">
        <v>0</v>
      </c>
      <c r="D576">
        <v>0</v>
      </c>
      <c r="E576">
        <f>ABS(Table1[[#This Row],[Flux in SC / glucose uptake ($mmol/mmol\ glc$)]]-Table1[[#This Row],[Flux in RT / glucose uptake ($mmol/mmol\ glc$)]])/SQRT(2)</f>
        <v>0</v>
      </c>
      <c r="F576">
        <f>Table1[[#This Row],[distance from 45-degree line]]/MAX(Table1[[Flux in SC / glucose uptake ($mmol/mmol\ glc$)]:[Flux in RT / glucose uptake ($mmol/mmol\ glc$)]])</f>
        <v>0</v>
      </c>
      <c r="G576">
        <f>_xlfn.RANK.AVG(Table1[[#This Row],[Flux in SC / glucose uptake ($mmol/mmol\ glc$)]],Table1[Flux in SC / glucose uptake ($mmol/mmol\ glc$)])</f>
        <v>1310.5</v>
      </c>
      <c r="H576">
        <f>_xlfn.RANK.AVG(Table1[[#This Row],[Flux in RT / glucose uptake ($mmol/mmol\ glc$)]],Table1[Flux in RT / glucose uptake ($mmol/mmol\ glc$)])</f>
        <v>1290.5</v>
      </c>
      <c r="I576" t="e">
        <f>LOG(Table1[[#This Row],[Flux in SC / glucose uptake ($mmol/mmol\ glc$)]])</f>
        <v>#NUM!</v>
      </c>
      <c r="J576" t="e">
        <f>LOG(Table1[[#This Row],[Flux in RT / glucose uptake ($mmol/mmol\ glc$)]])</f>
        <v>#NUM!</v>
      </c>
    </row>
    <row r="577" spans="1:10" x14ac:dyDescent="0.2">
      <c r="A577" t="s">
        <v>580</v>
      </c>
      <c r="B577" t="s">
        <v>3114</v>
      </c>
      <c r="C577">
        <v>0</v>
      </c>
      <c r="D577">
        <v>0</v>
      </c>
      <c r="E577">
        <f>ABS(Table1[[#This Row],[Flux in SC / glucose uptake ($mmol/mmol\ glc$)]]-Table1[[#This Row],[Flux in RT / glucose uptake ($mmol/mmol\ glc$)]])/SQRT(2)</f>
        <v>0</v>
      </c>
      <c r="F577">
        <f>Table1[[#This Row],[distance from 45-degree line]]/MAX(Table1[[Flux in SC / glucose uptake ($mmol/mmol\ glc$)]:[Flux in RT / glucose uptake ($mmol/mmol\ glc$)]])</f>
        <v>0</v>
      </c>
      <c r="G577">
        <f>_xlfn.RANK.AVG(Table1[[#This Row],[Flux in SC / glucose uptake ($mmol/mmol\ glc$)]],Table1[Flux in SC / glucose uptake ($mmol/mmol\ glc$)])</f>
        <v>1310.5</v>
      </c>
      <c r="H577">
        <f>_xlfn.RANK.AVG(Table1[[#This Row],[Flux in RT / glucose uptake ($mmol/mmol\ glc$)]],Table1[Flux in RT / glucose uptake ($mmol/mmol\ glc$)])</f>
        <v>1290.5</v>
      </c>
      <c r="I577" t="e">
        <f>LOG(Table1[[#This Row],[Flux in SC / glucose uptake ($mmol/mmol\ glc$)]])</f>
        <v>#NUM!</v>
      </c>
      <c r="J577" t="e">
        <f>LOG(Table1[[#This Row],[Flux in RT / glucose uptake ($mmol/mmol\ glc$)]])</f>
        <v>#NUM!</v>
      </c>
    </row>
    <row r="578" spans="1:10" x14ac:dyDescent="0.2">
      <c r="A578" t="s">
        <v>581</v>
      </c>
      <c r="B578" t="s">
        <v>3114</v>
      </c>
      <c r="C578">
        <v>0</v>
      </c>
      <c r="D578">
        <v>0</v>
      </c>
      <c r="E578">
        <f>ABS(Table1[[#This Row],[Flux in SC / glucose uptake ($mmol/mmol\ glc$)]]-Table1[[#This Row],[Flux in RT / glucose uptake ($mmol/mmol\ glc$)]])/SQRT(2)</f>
        <v>0</v>
      </c>
      <c r="F578">
        <f>Table1[[#This Row],[distance from 45-degree line]]/MAX(Table1[[Flux in SC / glucose uptake ($mmol/mmol\ glc$)]:[Flux in RT / glucose uptake ($mmol/mmol\ glc$)]])</f>
        <v>0</v>
      </c>
      <c r="G578">
        <f>_xlfn.RANK.AVG(Table1[[#This Row],[Flux in SC / glucose uptake ($mmol/mmol\ glc$)]],Table1[Flux in SC / glucose uptake ($mmol/mmol\ glc$)])</f>
        <v>1310.5</v>
      </c>
      <c r="H578">
        <f>_xlfn.RANK.AVG(Table1[[#This Row],[Flux in RT / glucose uptake ($mmol/mmol\ glc$)]],Table1[Flux in RT / glucose uptake ($mmol/mmol\ glc$)])</f>
        <v>1290.5</v>
      </c>
      <c r="I578" t="e">
        <f>LOG(Table1[[#This Row],[Flux in SC / glucose uptake ($mmol/mmol\ glc$)]])</f>
        <v>#NUM!</v>
      </c>
      <c r="J578" t="e">
        <f>LOG(Table1[[#This Row],[Flux in RT / glucose uptake ($mmol/mmol\ glc$)]])</f>
        <v>#NUM!</v>
      </c>
    </row>
    <row r="579" spans="1:10" x14ac:dyDescent="0.2">
      <c r="A579" t="s">
        <v>582</v>
      </c>
      <c r="B579" t="s">
        <v>3114</v>
      </c>
      <c r="C579">
        <v>0</v>
      </c>
      <c r="D579">
        <v>0</v>
      </c>
      <c r="E579">
        <f>ABS(Table1[[#This Row],[Flux in SC / glucose uptake ($mmol/mmol\ glc$)]]-Table1[[#This Row],[Flux in RT / glucose uptake ($mmol/mmol\ glc$)]])/SQRT(2)</f>
        <v>0</v>
      </c>
      <c r="F579">
        <f>Table1[[#This Row],[distance from 45-degree line]]/MAX(Table1[[Flux in SC / glucose uptake ($mmol/mmol\ glc$)]:[Flux in RT / glucose uptake ($mmol/mmol\ glc$)]])</f>
        <v>0</v>
      </c>
      <c r="G579">
        <f>_xlfn.RANK.AVG(Table1[[#This Row],[Flux in SC / glucose uptake ($mmol/mmol\ glc$)]],Table1[Flux in SC / glucose uptake ($mmol/mmol\ glc$)])</f>
        <v>1310.5</v>
      </c>
      <c r="H579">
        <f>_xlfn.RANK.AVG(Table1[[#This Row],[Flux in RT / glucose uptake ($mmol/mmol\ glc$)]],Table1[Flux in RT / glucose uptake ($mmol/mmol\ glc$)])</f>
        <v>1290.5</v>
      </c>
      <c r="I579" t="e">
        <f>LOG(Table1[[#This Row],[Flux in SC / glucose uptake ($mmol/mmol\ glc$)]])</f>
        <v>#NUM!</v>
      </c>
      <c r="J579" t="e">
        <f>LOG(Table1[[#This Row],[Flux in RT / glucose uptake ($mmol/mmol\ glc$)]])</f>
        <v>#NUM!</v>
      </c>
    </row>
    <row r="580" spans="1:10" x14ac:dyDescent="0.2">
      <c r="A580" t="s">
        <v>583</v>
      </c>
      <c r="B580" t="s">
        <v>3114</v>
      </c>
      <c r="C580">
        <v>0</v>
      </c>
      <c r="D580">
        <v>0</v>
      </c>
      <c r="E580">
        <f>ABS(Table1[[#This Row],[Flux in SC / glucose uptake ($mmol/mmol\ glc$)]]-Table1[[#This Row],[Flux in RT / glucose uptake ($mmol/mmol\ glc$)]])/SQRT(2)</f>
        <v>0</v>
      </c>
      <c r="F580">
        <f>Table1[[#This Row],[distance from 45-degree line]]/MAX(Table1[[Flux in SC / glucose uptake ($mmol/mmol\ glc$)]:[Flux in RT / glucose uptake ($mmol/mmol\ glc$)]])</f>
        <v>0</v>
      </c>
      <c r="G580">
        <f>_xlfn.RANK.AVG(Table1[[#This Row],[Flux in SC / glucose uptake ($mmol/mmol\ glc$)]],Table1[Flux in SC / glucose uptake ($mmol/mmol\ glc$)])</f>
        <v>1310.5</v>
      </c>
      <c r="H580">
        <f>_xlfn.RANK.AVG(Table1[[#This Row],[Flux in RT / glucose uptake ($mmol/mmol\ glc$)]],Table1[Flux in RT / glucose uptake ($mmol/mmol\ glc$)])</f>
        <v>1290.5</v>
      </c>
      <c r="I580" t="e">
        <f>LOG(Table1[[#This Row],[Flux in SC / glucose uptake ($mmol/mmol\ glc$)]])</f>
        <v>#NUM!</v>
      </c>
      <c r="J580" t="e">
        <f>LOG(Table1[[#This Row],[Flux in RT / glucose uptake ($mmol/mmol\ glc$)]])</f>
        <v>#NUM!</v>
      </c>
    </row>
    <row r="581" spans="1:10" x14ac:dyDescent="0.2">
      <c r="A581" t="s">
        <v>584</v>
      </c>
      <c r="B581" t="s">
        <v>3114</v>
      </c>
      <c r="C581">
        <v>0</v>
      </c>
      <c r="D581">
        <v>0</v>
      </c>
      <c r="E581">
        <f>ABS(Table1[[#This Row],[Flux in SC / glucose uptake ($mmol/mmol\ glc$)]]-Table1[[#This Row],[Flux in RT / glucose uptake ($mmol/mmol\ glc$)]])/SQRT(2)</f>
        <v>0</v>
      </c>
      <c r="F581">
        <f>Table1[[#This Row],[distance from 45-degree line]]/MAX(Table1[[Flux in SC / glucose uptake ($mmol/mmol\ glc$)]:[Flux in RT / glucose uptake ($mmol/mmol\ glc$)]])</f>
        <v>0</v>
      </c>
      <c r="G581">
        <f>_xlfn.RANK.AVG(Table1[[#This Row],[Flux in SC / glucose uptake ($mmol/mmol\ glc$)]],Table1[Flux in SC / glucose uptake ($mmol/mmol\ glc$)])</f>
        <v>1310.5</v>
      </c>
      <c r="H581">
        <f>_xlfn.RANK.AVG(Table1[[#This Row],[Flux in RT / glucose uptake ($mmol/mmol\ glc$)]],Table1[Flux in RT / glucose uptake ($mmol/mmol\ glc$)])</f>
        <v>1290.5</v>
      </c>
      <c r="I581" t="e">
        <f>LOG(Table1[[#This Row],[Flux in SC / glucose uptake ($mmol/mmol\ glc$)]])</f>
        <v>#NUM!</v>
      </c>
      <c r="J581" t="e">
        <f>LOG(Table1[[#This Row],[Flux in RT / glucose uptake ($mmol/mmol\ glc$)]])</f>
        <v>#NUM!</v>
      </c>
    </row>
    <row r="582" spans="1:10" x14ac:dyDescent="0.2">
      <c r="A582" t="s">
        <v>585</v>
      </c>
      <c r="B582" t="s">
        <v>3114</v>
      </c>
      <c r="C582">
        <v>0</v>
      </c>
      <c r="D582">
        <v>0</v>
      </c>
      <c r="E582">
        <f>ABS(Table1[[#This Row],[Flux in SC / glucose uptake ($mmol/mmol\ glc$)]]-Table1[[#This Row],[Flux in RT / glucose uptake ($mmol/mmol\ glc$)]])/SQRT(2)</f>
        <v>0</v>
      </c>
      <c r="F582">
        <f>Table1[[#This Row],[distance from 45-degree line]]/MAX(Table1[[Flux in SC / glucose uptake ($mmol/mmol\ glc$)]:[Flux in RT / glucose uptake ($mmol/mmol\ glc$)]])</f>
        <v>0</v>
      </c>
      <c r="G582">
        <f>_xlfn.RANK.AVG(Table1[[#This Row],[Flux in SC / glucose uptake ($mmol/mmol\ glc$)]],Table1[Flux in SC / glucose uptake ($mmol/mmol\ glc$)])</f>
        <v>1310.5</v>
      </c>
      <c r="H582">
        <f>_xlfn.RANK.AVG(Table1[[#This Row],[Flux in RT / glucose uptake ($mmol/mmol\ glc$)]],Table1[Flux in RT / glucose uptake ($mmol/mmol\ glc$)])</f>
        <v>1290.5</v>
      </c>
      <c r="I582" t="e">
        <f>LOG(Table1[[#This Row],[Flux in SC / glucose uptake ($mmol/mmol\ glc$)]])</f>
        <v>#NUM!</v>
      </c>
      <c r="J582" t="e">
        <f>LOG(Table1[[#This Row],[Flux in RT / glucose uptake ($mmol/mmol\ glc$)]])</f>
        <v>#NUM!</v>
      </c>
    </row>
    <row r="583" spans="1:10" x14ac:dyDescent="0.2">
      <c r="A583" t="s">
        <v>586</v>
      </c>
      <c r="B583" t="s">
        <v>3114</v>
      </c>
      <c r="C583">
        <v>0</v>
      </c>
      <c r="D583">
        <v>0</v>
      </c>
      <c r="E583">
        <f>ABS(Table1[[#This Row],[Flux in SC / glucose uptake ($mmol/mmol\ glc$)]]-Table1[[#This Row],[Flux in RT / glucose uptake ($mmol/mmol\ glc$)]])/SQRT(2)</f>
        <v>0</v>
      </c>
      <c r="F583">
        <f>Table1[[#This Row],[distance from 45-degree line]]/MAX(Table1[[Flux in SC / glucose uptake ($mmol/mmol\ glc$)]:[Flux in RT / glucose uptake ($mmol/mmol\ glc$)]])</f>
        <v>0</v>
      </c>
      <c r="G583">
        <f>_xlfn.RANK.AVG(Table1[[#This Row],[Flux in SC / glucose uptake ($mmol/mmol\ glc$)]],Table1[Flux in SC / glucose uptake ($mmol/mmol\ glc$)])</f>
        <v>1310.5</v>
      </c>
      <c r="H583">
        <f>_xlfn.RANK.AVG(Table1[[#This Row],[Flux in RT / glucose uptake ($mmol/mmol\ glc$)]],Table1[Flux in RT / glucose uptake ($mmol/mmol\ glc$)])</f>
        <v>1290.5</v>
      </c>
      <c r="I583" t="e">
        <f>LOG(Table1[[#This Row],[Flux in SC / glucose uptake ($mmol/mmol\ glc$)]])</f>
        <v>#NUM!</v>
      </c>
      <c r="J583" t="e">
        <f>LOG(Table1[[#This Row],[Flux in RT / glucose uptake ($mmol/mmol\ glc$)]])</f>
        <v>#NUM!</v>
      </c>
    </row>
    <row r="584" spans="1:10" x14ac:dyDescent="0.2">
      <c r="A584" t="s">
        <v>587</v>
      </c>
      <c r="B584" t="s">
        <v>3135</v>
      </c>
      <c r="C584">
        <v>0</v>
      </c>
      <c r="D584">
        <v>0</v>
      </c>
      <c r="E584">
        <f>ABS(Table1[[#This Row],[Flux in SC / glucose uptake ($mmol/mmol\ glc$)]]-Table1[[#This Row],[Flux in RT / glucose uptake ($mmol/mmol\ glc$)]])/SQRT(2)</f>
        <v>0</v>
      </c>
      <c r="F584">
        <f>Table1[[#This Row],[distance from 45-degree line]]/MAX(Table1[[Flux in SC / glucose uptake ($mmol/mmol\ glc$)]:[Flux in RT / glucose uptake ($mmol/mmol\ glc$)]])</f>
        <v>0</v>
      </c>
      <c r="G584">
        <f>_xlfn.RANK.AVG(Table1[[#This Row],[Flux in SC / glucose uptake ($mmol/mmol\ glc$)]],Table1[Flux in SC / glucose uptake ($mmol/mmol\ glc$)])</f>
        <v>1310.5</v>
      </c>
      <c r="H584">
        <f>_xlfn.RANK.AVG(Table1[[#This Row],[Flux in RT / glucose uptake ($mmol/mmol\ glc$)]],Table1[Flux in RT / glucose uptake ($mmol/mmol\ glc$)])</f>
        <v>1290.5</v>
      </c>
      <c r="I584" t="e">
        <f>LOG(Table1[[#This Row],[Flux in SC / glucose uptake ($mmol/mmol\ glc$)]])</f>
        <v>#NUM!</v>
      </c>
      <c r="J584" t="e">
        <f>LOG(Table1[[#This Row],[Flux in RT / glucose uptake ($mmol/mmol\ glc$)]])</f>
        <v>#NUM!</v>
      </c>
    </row>
    <row r="585" spans="1:10" x14ac:dyDescent="0.2">
      <c r="A585" t="s">
        <v>588</v>
      </c>
      <c r="B585" t="s">
        <v>3135</v>
      </c>
      <c r="C585">
        <v>0</v>
      </c>
      <c r="D585">
        <v>0</v>
      </c>
      <c r="E585">
        <f>ABS(Table1[[#This Row],[Flux in SC / glucose uptake ($mmol/mmol\ glc$)]]-Table1[[#This Row],[Flux in RT / glucose uptake ($mmol/mmol\ glc$)]])/SQRT(2)</f>
        <v>0</v>
      </c>
      <c r="F585">
        <f>Table1[[#This Row],[distance from 45-degree line]]/MAX(Table1[[Flux in SC / glucose uptake ($mmol/mmol\ glc$)]:[Flux in RT / glucose uptake ($mmol/mmol\ glc$)]])</f>
        <v>0</v>
      </c>
      <c r="G585">
        <f>_xlfn.RANK.AVG(Table1[[#This Row],[Flux in SC / glucose uptake ($mmol/mmol\ glc$)]],Table1[Flux in SC / glucose uptake ($mmol/mmol\ glc$)])</f>
        <v>1310.5</v>
      </c>
      <c r="H585">
        <f>_xlfn.RANK.AVG(Table1[[#This Row],[Flux in RT / glucose uptake ($mmol/mmol\ glc$)]],Table1[Flux in RT / glucose uptake ($mmol/mmol\ glc$)])</f>
        <v>1290.5</v>
      </c>
      <c r="I585" t="e">
        <f>LOG(Table1[[#This Row],[Flux in SC / glucose uptake ($mmol/mmol\ glc$)]])</f>
        <v>#NUM!</v>
      </c>
      <c r="J585" t="e">
        <f>LOG(Table1[[#This Row],[Flux in RT / glucose uptake ($mmol/mmol\ glc$)]])</f>
        <v>#NUM!</v>
      </c>
    </row>
    <row r="586" spans="1:10" x14ac:dyDescent="0.2">
      <c r="A586" t="s">
        <v>589</v>
      </c>
      <c r="B586" t="s">
        <v>3135</v>
      </c>
      <c r="C586">
        <v>0</v>
      </c>
      <c r="D586">
        <v>0</v>
      </c>
      <c r="E586">
        <f>ABS(Table1[[#This Row],[Flux in SC / glucose uptake ($mmol/mmol\ glc$)]]-Table1[[#This Row],[Flux in RT / glucose uptake ($mmol/mmol\ glc$)]])/SQRT(2)</f>
        <v>0</v>
      </c>
      <c r="F586">
        <f>Table1[[#This Row],[distance from 45-degree line]]/MAX(Table1[[Flux in SC / glucose uptake ($mmol/mmol\ glc$)]:[Flux in RT / glucose uptake ($mmol/mmol\ glc$)]])</f>
        <v>0</v>
      </c>
      <c r="G586">
        <f>_xlfn.RANK.AVG(Table1[[#This Row],[Flux in SC / glucose uptake ($mmol/mmol\ glc$)]],Table1[Flux in SC / glucose uptake ($mmol/mmol\ glc$)])</f>
        <v>1310.5</v>
      </c>
      <c r="H586">
        <f>_xlfn.RANK.AVG(Table1[[#This Row],[Flux in RT / glucose uptake ($mmol/mmol\ glc$)]],Table1[Flux in RT / glucose uptake ($mmol/mmol\ glc$)])</f>
        <v>1290.5</v>
      </c>
      <c r="I586" t="e">
        <f>LOG(Table1[[#This Row],[Flux in SC / glucose uptake ($mmol/mmol\ glc$)]])</f>
        <v>#NUM!</v>
      </c>
      <c r="J586" t="e">
        <f>LOG(Table1[[#This Row],[Flux in RT / glucose uptake ($mmol/mmol\ glc$)]])</f>
        <v>#NUM!</v>
      </c>
    </row>
    <row r="587" spans="1:10" x14ac:dyDescent="0.2">
      <c r="A587" t="s">
        <v>590</v>
      </c>
      <c r="B587" t="s">
        <v>3135</v>
      </c>
      <c r="C587">
        <v>0</v>
      </c>
      <c r="D587">
        <v>0</v>
      </c>
      <c r="E587">
        <f>ABS(Table1[[#This Row],[Flux in SC / glucose uptake ($mmol/mmol\ glc$)]]-Table1[[#This Row],[Flux in RT / glucose uptake ($mmol/mmol\ glc$)]])/SQRT(2)</f>
        <v>0</v>
      </c>
      <c r="F587">
        <f>Table1[[#This Row],[distance from 45-degree line]]/MAX(Table1[[Flux in SC / glucose uptake ($mmol/mmol\ glc$)]:[Flux in RT / glucose uptake ($mmol/mmol\ glc$)]])</f>
        <v>0</v>
      </c>
      <c r="G587">
        <f>_xlfn.RANK.AVG(Table1[[#This Row],[Flux in SC / glucose uptake ($mmol/mmol\ glc$)]],Table1[Flux in SC / glucose uptake ($mmol/mmol\ glc$)])</f>
        <v>1310.5</v>
      </c>
      <c r="H587">
        <f>_xlfn.RANK.AVG(Table1[[#This Row],[Flux in RT / glucose uptake ($mmol/mmol\ glc$)]],Table1[Flux in RT / glucose uptake ($mmol/mmol\ glc$)])</f>
        <v>1290.5</v>
      </c>
      <c r="I587" t="e">
        <f>LOG(Table1[[#This Row],[Flux in SC / glucose uptake ($mmol/mmol\ glc$)]])</f>
        <v>#NUM!</v>
      </c>
      <c r="J587" t="e">
        <f>LOG(Table1[[#This Row],[Flux in RT / glucose uptake ($mmol/mmol\ glc$)]])</f>
        <v>#NUM!</v>
      </c>
    </row>
    <row r="588" spans="1:10" x14ac:dyDescent="0.2">
      <c r="A588" t="s">
        <v>591</v>
      </c>
      <c r="B588" t="s">
        <v>3135</v>
      </c>
      <c r="C588">
        <v>0</v>
      </c>
      <c r="D588">
        <v>0</v>
      </c>
      <c r="E588">
        <f>ABS(Table1[[#This Row],[Flux in SC / glucose uptake ($mmol/mmol\ glc$)]]-Table1[[#This Row],[Flux in RT / glucose uptake ($mmol/mmol\ glc$)]])/SQRT(2)</f>
        <v>0</v>
      </c>
      <c r="F588">
        <f>Table1[[#This Row],[distance from 45-degree line]]/MAX(Table1[[Flux in SC / glucose uptake ($mmol/mmol\ glc$)]:[Flux in RT / glucose uptake ($mmol/mmol\ glc$)]])</f>
        <v>0</v>
      </c>
      <c r="G588">
        <f>_xlfn.RANK.AVG(Table1[[#This Row],[Flux in SC / glucose uptake ($mmol/mmol\ glc$)]],Table1[Flux in SC / glucose uptake ($mmol/mmol\ glc$)])</f>
        <v>1310.5</v>
      </c>
      <c r="H588">
        <f>_xlfn.RANK.AVG(Table1[[#This Row],[Flux in RT / glucose uptake ($mmol/mmol\ glc$)]],Table1[Flux in RT / glucose uptake ($mmol/mmol\ glc$)])</f>
        <v>1290.5</v>
      </c>
      <c r="I588" t="e">
        <f>LOG(Table1[[#This Row],[Flux in SC / glucose uptake ($mmol/mmol\ glc$)]])</f>
        <v>#NUM!</v>
      </c>
      <c r="J588" t="e">
        <f>LOG(Table1[[#This Row],[Flux in RT / glucose uptake ($mmol/mmol\ glc$)]])</f>
        <v>#NUM!</v>
      </c>
    </row>
    <row r="589" spans="1:10" x14ac:dyDescent="0.2">
      <c r="A589" t="s">
        <v>592</v>
      </c>
      <c r="B589" t="s">
        <v>3135</v>
      </c>
      <c r="C589">
        <v>0</v>
      </c>
      <c r="D589">
        <v>0</v>
      </c>
      <c r="E589">
        <f>ABS(Table1[[#This Row],[Flux in SC / glucose uptake ($mmol/mmol\ glc$)]]-Table1[[#This Row],[Flux in RT / glucose uptake ($mmol/mmol\ glc$)]])/SQRT(2)</f>
        <v>0</v>
      </c>
      <c r="F589">
        <f>Table1[[#This Row],[distance from 45-degree line]]/MAX(Table1[[Flux in SC / glucose uptake ($mmol/mmol\ glc$)]:[Flux in RT / glucose uptake ($mmol/mmol\ glc$)]])</f>
        <v>0</v>
      </c>
      <c r="G589">
        <f>_xlfn.RANK.AVG(Table1[[#This Row],[Flux in SC / glucose uptake ($mmol/mmol\ glc$)]],Table1[Flux in SC / glucose uptake ($mmol/mmol\ glc$)])</f>
        <v>1310.5</v>
      </c>
      <c r="H589">
        <f>_xlfn.RANK.AVG(Table1[[#This Row],[Flux in RT / glucose uptake ($mmol/mmol\ glc$)]],Table1[Flux in RT / glucose uptake ($mmol/mmol\ glc$)])</f>
        <v>1290.5</v>
      </c>
      <c r="I589" t="e">
        <f>LOG(Table1[[#This Row],[Flux in SC / glucose uptake ($mmol/mmol\ glc$)]])</f>
        <v>#NUM!</v>
      </c>
      <c r="J589" t="e">
        <f>LOG(Table1[[#This Row],[Flux in RT / glucose uptake ($mmol/mmol\ glc$)]])</f>
        <v>#NUM!</v>
      </c>
    </row>
    <row r="590" spans="1:10" x14ac:dyDescent="0.2">
      <c r="A590" t="s">
        <v>593</v>
      </c>
      <c r="B590" t="s">
        <v>3135</v>
      </c>
      <c r="C590">
        <v>0</v>
      </c>
      <c r="D590">
        <v>0</v>
      </c>
      <c r="E590">
        <f>ABS(Table1[[#This Row],[Flux in SC / glucose uptake ($mmol/mmol\ glc$)]]-Table1[[#This Row],[Flux in RT / glucose uptake ($mmol/mmol\ glc$)]])/SQRT(2)</f>
        <v>0</v>
      </c>
      <c r="F590">
        <f>Table1[[#This Row],[distance from 45-degree line]]/MAX(Table1[[Flux in SC / glucose uptake ($mmol/mmol\ glc$)]:[Flux in RT / glucose uptake ($mmol/mmol\ glc$)]])</f>
        <v>0</v>
      </c>
      <c r="G590">
        <f>_xlfn.RANK.AVG(Table1[[#This Row],[Flux in SC / glucose uptake ($mmol/mmol\ glc$)]],Table1[Flux in SC / glucose uptake ($mmol/mmol\ glc$)])</f>
        <v>1310.5</v>
      </c>
      <c r="H590">
        <f>_xlfn.RANK.AVG(Table1[[#This Row],[Flux in RT / glucose uptake ($mmol/mmol\ glc$)]],Table1[Flux in RT / glucose uptake ($mmol/mmol\ glc$)])</f>
        <v>1290.5</v>
      </c>
      <c r="I590" t="e">
        <f>LOG(Table1[[#This Row],[Flux in SC / glucose uptake ($mmol/mmol\ glc$)]])</f>
        <v>#NUM!</v>
      </c>
      <c r="J590" t="e">
        <f>LOG(Table1[[#This Row],[Flux in RT / glucose uptake ($mmol/mmol\ glc$)]])</f>
        <v>#NUM!</v>
      </c>
    </row>
    <row r="591" spans="1:10" x14ac:dyDescent="0.2">
      <c r="A591" t="s">
        <v>594</v>
      </c>
      <c r="B591" t="s">
        <v>3135</v>
      </c>
      <c r="C591">
        <v>0</v>
      </c>
      <c r="D591">
        <v>0</v>
      </c>
      <c r="E591">
        <f>ABS(Table1[[#This Row],[Flux in SC / glucose uptake ($mmol/mmol\ glc$)]]-Table1[[#This Row],[Flux in RT / glucose uptake ($mmol/mmol\ glc$)]])/SQRT(2)</f>
        <v>0</v>
      </c>
      <c r="F591">
        <f>Table1[[#This Row],[distance from 45-degree line]]/MAX(Table1[[Flux in SC / glucose uptake ($mmol/mmol\ glc$)]:[Flux in RT / glucose uptake ($mmol/mmol\ glc$)]])</f>
        <v>0</v>
      </c>
      <c r="G591">
        <f>_xlfn.RANK.AVG(Table1[[#This Row],[Flux in SC / glucose uptake ($mmol/mmol\ glc$)]],Table1[Flux in SC / glucose uptake ($mmol/mmol\ glc$)])</f>
        <v>1310.5</v>
      </c>
      <c r="H591">
        <f>_xlfn.RANK.AVG(Table1[[#This Row],[Flux in RT / glucose uptake ($mmol/mmol\ glc$)]],Table1[Flux in RT / glucose uptake ($mmol/mmol\ glc$)])</f>
        <v>1290.5</v>
      </c>
      <c r="I591" t="e">
        <f>LOG(Table1[[#This Row],[Flux in SC / glucose uptake ($mmol/mmol\ glc$)]])</f>
        <v>#NUM!</v>
      </c>
      <c r="J591" t="e">
        <f>LOG(Table1[[#This Row],[Flux in RT / glucose uptake ($mmol/mmol\ glc$)]])</f>
        <v>#NUM!</v>
      </c>
    </row>
    <row r="592" spans="1:10" x14ac:dyDescent="0.2">
      <c r="A592" t="s">
        <v>595</v>
      </c>
      <c r="B592" t="s">
        <v>3135</v>
      </c>
      <c r="C592">
        <v>0</v>
      </c>
      <c r="D592">
        <v>0</v>
      </c>
      <c r="E592">
        <f>ABS(Table1[[#This Row],[Flux in SC / glucose uptake ($mmol/mmol\ glc$)]]-Table1[[#This Row],[Flux in RT / glucose uptake ($mmol/mmol\ glc$)]])/SQRT(2)</f>
        <v>0</v>
      </c>
      <c r="F592">
        <f>Table1[[#This Row],[distance from 45-degree line]]/MAX(Table1[[Flux in SC / glucose uptake ($mmol/mmol\ glc$)]:[Flux in RT / glucose uptake ($mmol/mmol\ glc$)]])</f>
        <v>0</v>
      </c>
      <c r="G592">
        <f>_xlfn.RANK.AVG(Table1[[#This Row],[Flux in SC / glucose uptake ($mmol/mmol\ glc$)]],Table1[Flux in SC / glucose uptake ($mmol/mmol\ glc$)])</f>
        <v>1310.5</v>
      </c>
      <c r="H592">
        <f>_xlfn.RANK.AVG(Table1[[#This Row],[Flux in RT / glucose uptake ($mmol/mmol\ glc$)]],Table1[Flux in RT / glucose uptake ($mmol/mmol\ glc$)])</f>
        <v>1290.5</v>
      </c>
      <c r="I592" t="e">
        <f>LOG(Table1[[#This Row],[Flux in SC / glucose uptake ($mmol/mmol\ glc$)]])</f>
        <v>#NUM!</v>
      </c>
      <c r="J592" t="e">
        <f>LOG(Table1[[#This Row],[Flux in RT / glucose uptake ($mmol/mmol\ glc$)]])</f>
        <v>#NUM!</v>
      </c>
    </row>
    <row r="593" spans="1:10" x14ac:dyDescent="0.2">
      <c r="A593" t="s">
        <v>596</v>
      </c>
      <c r="B593" t="s">
        <v>3135</v>
      </c>
      <c r="C593">
        <v>0</v>
      </c>
      <c r="D593">
        <v>0</v>
      </c>
      <c r="E593">
        <f>ABS(Table1[[#This Row],[Flux in SC / glucose uptake ($mmol/mmol\ glc$)]]-Table1[[#This Row],[Flux in RT / glucose uptake ($mmol/mmol\ glc$)]])/SQRT(2)</f>
        <v>0</v>
      </c>
      <c r="F593">
        <f>Table1[[#This Row],[distance from 45-degree line]]/MAX(Table1[[Flux in SC / glucose uptake ($mmol/mmol\ glc$)]:[Flux in RT / glucose uptake ($mmol/mmol\ glc$)]])</f>
        <v>0</v>
      </c>
      <c r="G593">
        <f>_xlfn.RANK.AVG(Table1[[#This Row],[Flux in SC / glucose uptake ($mmol/mmol\ glc$)]],Table1[Flux in SC / glucose uptake ($mmol/mmol\ glc$)])</f>
        <v>1310.5</v>
      </c>
      <c r="H593">
        <f>_xlfn.RANK.AVG(Table1[[#This Row],[Flux in RT / glucose uptake ($mmol/mmol\ glc$)]],Table1[Flux in RT / glucose uptake ($mmol/mmol\ glc$)])</f>
        <v>1290.5</v>
      </c>
      <c r="I593" t="e">
        <f>LOG(Table1[[#This Row],[Flux in SC / glucose uptake ($mmol/mmol\ glc$)]])</f>
        <v>#NUM!</v>
      </c>
      <c r="J593" t="e">
        <f>LOG(Table1[[#This Row],[Flux in RT / glucose uptake ($mmol/mmol\ glc$)]])</f>
        <v>#NUM!</v>
      </c>
    </row>
    <row r="594" spans="1:10" x14ac:dyDescent="0.2">
      <c r="A594" t="s">
        <v>597</v>
      </c>
      <c r="B594" t="s">
        <v>3114</v>
      </c>
      <c r="C594">
        <v>0</v>
      </c>
      <c r="D594">
        <v>0</v>
      </c>
      <c r="E594">
        <f>ABS(Table1[[#This Row],[Flux in SC / glucose uptake ($mmol/mmol\ glc$)]]-Table1[[#This Row],[Flux in RT / glucose uptake ($mmol/mmol\ glc$)]])/SQRT(2)</f>
        <v>0</v>
      </c>
      <c r="F594">
        <f>Table1[[#This Row],[distance from 45-degree line]]/MAX(Table1[[Flux in SC / glucose uptake ($mmol/mmol\ glc$)]:[Flux in RT / glucose uptake ($mmol/mmol\ glc$)]])</f>
        <v>0</v>
      </c>
      <c r="G594">
        <f>_xlfn.RANK.AVG(Table1[[#This Row],[Flux in SC / glucose uptake ($mmol/mmol\ glc$)]],Table1[Flux in SC / glucose uptake ($mmol/mmol\ glc$)])</f>
        <v>1310.5</v>
      </c>
      <c r="H594">
        <f>_xlfn.RANK.AVG(Table1[[#This Row],[Flux in RT / glucose uptake ($mmol/mmol\ glc$)]],Table1[Flux in RT / glucose uptake ($mmol/mmol\ glc$)])</f>
        <v>1290.5</v>
      </c>
      <c r="I594" t="e">
        <f>LOG(Table1[[#This Row],[Flux in SC / glucose uptake ($mmol/mmol\ glc$)]])</f>
        <v>#NUM!</v>
      </c>
      <c r="J594" t="e">
        <f>LOG(Table1[[#This Row],[Flux in RT / glucose uptake ($mmol/mmol\ glc$)]])</f>
        <v>#NUM!</v>
      </c>
    </row>
    <row r="595" spans="1:10" x14ac:dyDescent="0.2">
      <c r="A595" t="s">
        <v>598</v>
      </c>
      <c r="B595" t="s">
        <v>3135</v>
      </c>
      <c r="C595">
        <v>0</v>
      </c>
      <c r="D595">
        <v>0</v>
      </c>
      <c r="E595">
        <f>ABS(Table1[[#This Row],[Flux in SC / glucose uptake ($mmol/mmol\ glc$)]]-Table1[[#This Row],[Flux in RT / glucose uptake ($mmol/mmol\ glc$)]])/SQRT(2)</f>
        <v>0</v>
      </c>
      <c r="F595">
        <f>Table1[[#This Row],[distance from 45-degree line]]/MAX(Table1[[Flux in SC / glucose uptake ($mmol/mmol\ glc$)]:[Flux in RT / glucose uptake ($mmol/mmol\ glc$)]])</f>
        <v>0</v>
      </c>
      <c r="G595">
        <f>_xlfn.RANK.AVG(Table1[[#This Row],[Flux in SC / glucose uptake ($mmol/mmol\ glc$)]],Table1[Flux in SC / glucose uptake ($mmol/mmol\ glc$)])</f>
        <v>1310.5</v>
      </c>
      <c r="H595">
        <f>_xlfn.RANK.AVG(Table1[[#This Row],[Flux in RT / glucose uptake ($mmol/mmol\ glc$)]],Table1[Flux in RT / glucose uptake ($mmol/mmol\ glc$)])</f>
        <v>1290.5</v>
      </c>
      <c r="I595" t="e">
        <f>LOG(Table1[[#This Row],[Flux in SC / glucose uptake ($mmol/mmol\ glc$)]])</f>
        <v>#NUM!</v>
      </c>
      <c r="J595" t="e">
        <f>LOG(Table1[[#This Row],[Flux in RT / glucose uptake ($mmol/mmol\ glc$)]])</f>
        <v>#NUM!</v>
      </c>
    </row>
    <row r="596" spans="1:10" x14ac:dyDescent="0.2">
      <c r="A596" t="s">
        <v>599</v>
      </c>
      <c r="B596" t="s">
        <v>3135</v>
      </c>
      <c r="C596">
        <v>0</v>
      </c>
      <c r="D596">
        <v>0</v>
      </c>
      <c r="E596">
        <f>ABS(Table1[[#This Row],[Flux in SC / glucose uptake ($mmol/mmol\ glc$)]]-Table1[[#This Row],[Flux in RT / glucose uptake ($mmol/mmol\ glc$)]])/SQRT(2)</f>
        <v>0</v>
      </c>
      <c r="F596">
        <f>Table1[[#This Row],[distance from 45-degree line]]/MAX(Table1[[Flux in SC / glucose uptake ($mmol/mmol\ glc$)]:[Flux in RT / glucose uptake ($mmol/mmol\ glc$)]])</f>
        <v>0</v>
      </c>
      <c r="G596">
        <f>_xlfn.RANK.AVG(Table1[[#This Row],[Flux in SC / glucose uptake ($mmol/mmol\ glc$)]],Table1[Flux in SC / glucose uptake ($mmol/mmol\ glc$)])</f>
        <v>1310.5</v>
      </c>
      <c r="H596">
        <f>_xlfn.RANK.AVG(Table1[[#This Row],[Flux in RT / glucose uptake ($mmol/mmol\ glc$)]],Table1[Flux in RT / glucose uptake ($mmol/mmol\ glc$)])</f>
        <v>1290.5</v>
      </c>
      <c r="I596" t="e">
        <f>LOG(Table1[[#This Row],[Flux in SC / glucose uptake ($mmol/mmol\ glc$)]])</f>
        <v>#NUM!</v>
      </c>
      <c r="J596" t="e">
        <f>LOG(Table1[[#This Row],[Flux in RT / glucose uptake ($mmol/mmol\ glc$)]])</f>
        <v>#NUM!</v>
      </c>
    </row>
    <row r="597" spans="1:10" x14ac:dyDescent="0.2">
      <c r="A597" t="s">
        <v>600</v>
      </c>
      <c r="B597" t="s">
        <v>3135</v>
      </c>
      <c r="C597">
        <v>0</v>
      </c>
      <c r="D597">
        <v>0</v>
      </c>
      <c r="E597">
        <f>ABS(Table1[[#This Row],[Flux in SC / glucose uptake ($mmol/mmol\ glc$)]]-Table1[[#This Row],[Flux in RT / glucose uptake ($mmol/mmol\ glc$)]])/SQRT(2)</f>
        <v>0</v>
      </c>
      <c r="F597">
        <f>Table1[[#This Row],[distance from 45-degree line]]/MAX(Table1[[Flux in SC / glucose uptake ($mmol/mmol\ glc$)]:[Flux in RT / glucose uptake ($mmol/mmol\ glc$)]])</f>
        <v>0</v>
      </c>
      <c r="G597">
        <f>_xlfn.RANK.AVG(Table1[[#This Row],[Flux in SC / glucose uptake ($mmol/mmol\ glc$)]],Table1[Flux in SC / glucose uptake ($mmol/mmol\ glc$)])</f>
        <v>1310.5</v>
      </c>
      <c r="H597">
        <f>_xlfn.RANK.AVG(Table1[[#This Row],[Flux in RT / glucose uptake ($mmol/mmol\ glc$)]],Table1[Flux in RT / glucose uptake ($mmol/mmol\ glc$)])</f>
        <v>1290.5</v>
      </c>
      <c r="I597" t="e">
        <f>LOG(Table1[[#This Row],[Flux in SC / glucose uptake ($mmol/mmol\ glc$)]])</f>
        <v>#NUM!</v>
      </c>
      <c r="J597" t="e">
        <f>LOG(Table1[[#This Row],[Flux in RT / glucose uptake ($mmol/mmol\ glc$)]])</f>
        <v>#NUM!</v>
      </c>
    </row>
    <row r="598" spans="1:10" x14ac:dyDescent="0.2">
      <c r="A598" t="s">
        <v>601</v>
      </c>
      <c r="B598" t="s">
        <v>3114</v>
      </c>
      <c r="C598">
        <v>0</v>
      </c>
      <c r="D598">
        <v>0</v>
      </c>
      <c r="E598">
        <f>ABS(Table1[[#This Row],[Flux in SC / glucose uptake ($mmol/mmol\ glc$)]]-Table1[[#This Row],[Flux in RT / glucose uptake ($mmol/mmol\ glc$)]])/SQRT(2)</f>
        <v>0</v>
      </c>
      <c r="F598">
        <f>Table1[[#This Row],[distance from 45-degree line]]/MAX(Table1[[Flux in SC / glucose uptake ($mmol/mmol\ glc$)]:[Flux in RT / glucose uptake ($mmol/mmol\ glc$)]])</f>
        <v>0</v>
      </c>
      <c r="G598">
        <f>_xlfn.RANK.AVG(Table1[[#This Row],[Flux in SC / glucose uptake ($mmol/mmol\ glc$)]],Table1[Flux in SC / glucose uptake ($mmol/mmol\ glc$)])</f>
        <v>1310.5</v>
      </c>
      <c r="H598">
        <f>_xlfn.RANK.AVG(Table1[[#This Row],[Flux in RT / glucose uptake ($mmol/mmol\ glc$)]],Table1[Flux in RT / glucose uptake ($mmol/mmol\ glc$)])</f>
        <v>1290.5</v>
      </c>
      <c r="I598" t="e">
        <f>LOG(Table1[[#This Row],[Flux in SC / glucose uptake ($mmol/mmol\ glc$)]])</f>
        <v>#NUM!</v>
      </c>
      <c r="J598" t="e">
        <f>LOG(Table1[[#This Row],[Flux in RT / glucose uptake ($mmol/mmol\ glc$)]])</f>
        <v>#NUM!</v>
      </c>
    </row>
    <row r="599" spans="1:10" x14ac:dyDescent="0.2">
      <c r="A599" t="s">
        <v>602</v>
      </c>
      <c r="B599" t="s">
        <v>3114</v>
      </c>
      <c r="C599">
        <v>0</v>
      </c>
      <c r="D599">
        <v>0</v>
      </c>
      <c r="E599">
        <f>ABS(Table1[[#This Row],[Flux in SC / glucose uptake ($mmol/mmol\ glc$)]]-Table1[[#This Row],[Flux in RT / glucose uptake ($mmol/mmol\ glc$)]])/SQRT(2)</f>
        <v>0</v>
      </c>
      <c r="F599">
        <f>Table1[[#This Row],[distance from 45-degree line]]/MAX(Table1[[Flux in SC / glucose uptake ($mmol/mmol\ glc$)]:[Flux in RT / glucose uptake ($mmol/mmol\ glc$)]])</f>
        <v>0</v>
      </c>
      <c r="G599">
        <f>_xlfn.RANK.AVG(Table1[[#This Row],[Flux in SC / glucose uptake ($mmol/mmol\ glc$)]],Table1[Flux in SC / glucose uptake ($mmol/mmol\ glc$)])</f>
        <v>1310.5</v>
      </c>
      <c r="H599">
        <f>_xlfn.RANK.AVG(Table1[[#This Row],[Flux in RT / glucose uptake ($mmol/mmol\ glc$)]],Table1[Flux in RT / glucose uptake ($mmol/mmol\ glc$)])</f>
        <v>1290.5</v>
      </c>
      <c r="I599" t="e">
        <f>LOG(Table1[[#This Row],[Flux in SC / glucose uptake ($mmol/mmol\ glc$)]])</f>
        <v>#NUM!</v>
      </c>
      <c r="J599" t="e">
        <f>LOG(Table1[[#This Row],[Flux in RT / glucose uptake ($mmol/mmol\ glc$)]])</f>
        <v>#NUM!</v>
      </c>
    </row>
    <row r="600" spans="1:10" x14ac:dyDescent="0.2">
      <c r="A600" t="s">
        <v>603</v>
      </c>
      <c r="B600" t="s">
        <v>3146</v>
      </c>
      <c r="C600">
        <v>2.4787612397465672E-2</v>
      </c>
      <c r="D600">
        <v>0.5364433022901488</v>
      </c>
      <c r="E600">
        <f>ABS(Table1[[#This Row],[Flux in SC / glucose uptake ($mmol/mmol\ glc$)]]-Table1[[#This Row],[Flux in RT / glucose uptake ($mmol/mmol\ glc$)]])/SQRT(2)</f>
        <v>0.3617952079557975</v>
      </c>
      <c r="F600">
        <f>Table1[[#This Row],[distance from 45-degree line]]/MAX(Table1[[Flux in SC / glucose uptake ($mmol/mmol\ glc$)]:[Flux in RT / glucose uptake ($mmol/mmol\ glc$)]])</f>
        <v>1.9500348876628729E-2</v>
      </c>
      <c r="G600">
        <f>_xlfn.RANK.AVG(Table1[[#This Row],[Flux in SC / glucose uptake ($mmol/mmol\ glc$)]],Table1[Flux in SC / glucose uptake ($mmol/mmol\ glc$)])</f>
        <v>60</v>
      </c>
      <c r="H600">
        <f>_xlfn.RANK.AVG(Table1[[#This Row],[Flux in RT / glucose uptake ($mmol/mmol\ glc$)]],Table1[Flux in RT / glucose uptake ($mmol/mmol\ glc$)])</f>
        <v>40</v>
      </c>
      <c r="I600">
        <f>LOG(Table1[[#This Row],[Flux in SC / glucose uptake ($mmol/mmol\ glc$)]])</f>
        <v>-1.6057653035082364</v>
      </c>
      <c r="J600">
        <f>LOG(Table1[[#This Row],[Flux in RT / glucose uptake ($mmol/mmol\ glc$)]])</f>
        <v>-0.27047617267982216</v>
      </c>
    </row>
    <row r="601" spans="1:10" x14ac:dyDescent="0.2">
      <c r="A601" t="s">
        <v>604</v>
      </c>
      <c r="B601" t="s">
        <v>3146</v>
      </c>
      <c r="C601">
        <v>0</v>
      </c>
      <c r="D601">
        <v>0</v>
      </c>
      <c r="E601">
        <f>ABS(Table1[[#This Row],[Flux in SC / glucose uptake ($mmol/mmol\ glc$)]]-Table1[[#This Row],[Flux in RT / glucose uptake ($mmol/mmol\ glc$)]])/SQRT(2)</f>
        <v>0</v>
      </c>
      <c r="F601">
        <f>Table1[[#This Row],[distance from 45-degree line]]/MAX(Table1[[Flux in SC / glucose uptake ($mmol/mmol\ glc$)]:[Flux in RT / glucose uptake ($mmol/mmol\ glc$)]])</f>
        <v>0</v>
      </c>
      <c r="G601">
        <f>_xlfn.RANK.AVG(Table1[[#This Row],[Flux in SC / glucose uptake ($mmol/mmol\ glc$)]],Table1[Flux in SC / glucose uptake ($mmol/mmol\ glc$)])</f>
        <v>1310.5</v>
      </c>
      <c r="H601">
        <f>_xlfn.RANK.AVG(Table1[[#This Row],[Flux in RT / glucose uptake ($mmol/mmol\ glc$)]],Table1[Flux in RT / glucose uptake ($mmol/mmol\ glc$)])</f>
        <v>1290.5</v>
      </c>
      <c r="I601" t="e">
        <f>LOG(Table1[[#This Row],[Flux in SC / glucose uptake ($mmol/mmol\ glc$)]])</f>
        <v>#NUM!</v>
      </c>
      <c r="J601" t="e">
        <f>LOG(Table1[[#This Row],[Flux in RT / glucose uptake ($mmol/mmol\ glc$)]])</f>
        <v>#NUM!</v>
      </c>
    </row>
    <row r="602" spans="1:10" x14ac:dyDescent="0.2">
      <c r="A602" t="s">
        <v>605</v>
      </c>
      <c r="B602" t="s">
        <v>3162</v>
      </c>
      <c r="C602">
        <v>0</v>
      </c>
      <c r="D602">
        <v>0</v>
      </c>
      <c r="E602">
        <f>ABS(Table1[[#This Row],[Flux in SC / glucose uptake ($mmol/mmol\ glc$)]]-Table1[[#This Row],[Flux in RT / glucose uptake ($mmol/mmol\ glc$)]])/SQRT(2)</f>
        <v>0</v>
      </c>
      <c r="F602">
        <f>Table1[[#This Row],[distance from 45-degree line]]/MAX(Table1[[Flux in SC / glucose uptake ($mmol/mmol\ glc$)]:[Flux in RT / glucose uptake ($mmol/mmol\ glc$)]])</f>
        <v>0</v>
      </c>
      <c r="G602">
        <f>_xlfn.RANK.AVG(Table1[[#This Row],[Flux in SC / glucose uptake ($mmol/mmol\ glc$)]],Table1[Flux in SC / glucose uptake ($mmol/mmol\ glc$)])</f>
        <v>1310.5</v>
      </c>
      <c r="H602">
        <f>_xlfn.RANK.AVG(Table1[[#This Row],[Flux in RT / glucose uptake ($mmol/mmol\ glc$)]],Table1[Flux in RT / glucose uptake ($mmol/mmol\ glc$)])</f>
        <v>1290.5</v>
      </c>
      <c r="I602" t="e">
        <f>LOG(Table1[[#This Row],[Flux in SC / glucose uptake ($mmol/mmol\ glc$)]])</f>
        <v>#NUM!</v>
      </c>
      <c r="J602" t="e">
        <f>LOG(Table1[[#This Row],[Flux in RT / glucose uptake ($mmol/mmol\ glc$)]])</f>
        <v>#NUM!</v>
      </c>
    </row>
    <row r="603" spans="1:10" x14ac:dyDescent="0.2">
      <c r="A603" t="s">
        <v>606</v>
      </c>
      <c r="B603" t="s">
        <v>3114</v>
      </c>
      <c r="C603">
        <v>0</v>
      </c>
      <c r="D603">
        <v>0</v>
      </c>
      <c r="E603">
        <f>ABS(Table1[[#This Row],[Flux in SC / glucose uptake ($mmol/mmol\ glc$)]]-Table1[[#This Row],[Flux in RT / glucose uptake ($mmol/mmol\ glc$)]])/SQRT(2)</f>
        <v>0</v>
      </c>
      <c r="F603">
        <f>Table1[[#This Row],[distance from 45-degree line]]/MAX(Table1[[Flux in SC / glucose uptake ($mmol/mmol\ glc$)]:[Flux in RT / glucose uptake ($mmol/mmol\ glc$)]])</f>
        <v>0</v>
      </c>
      <c r="G603">
        <f>_xlfn.RANK.AVG(Table1[[#This Row],[Flux in SC / glucose uptake ($mmol/mmol\ glc$)]],Table1[Flux in SC / glucose uptake ($mmol/mmol\ glc$)])</f>
        <v>1310.5</v>
      </c>
      <c r="H603">
        <f>_xlfn.RANK.AVG(Table1[[#This Row],[Flux in RT / glucose uptake ($mmol/mmol\ glc$)]],Table1[Flux in RT / glucose uptake ($mmol/mmol\ glc$)])</f>
        <v>1290.5</v>
      </c>
      <c r="I603" t="e">
        <f>LOG(Table1[[#This Row],[Flux in SC / glucose uptake ($mmol/mmol\ glc$)]])</f>
        <v>#NUM!</v>
      </c>
      <c r="J603" t="e">
        <f>LOG(Table1[[#This Row],[Flux in RT / glucose uptake ($mmol/mmol\ glc$)]])</f>
        <v>#NUM!</v>
      </c>
    </row>
    <row r="604" spans="1:10" x14ac:dyDescent="0.2">
      <c r="A604" t="s">
        <v>607</v>
      </c>
      <c r="B604" t="s">
        <v>3114</v>
      </c>
      <c r="C604">
        <v>0</v>
      </c>
      <c r="D604">
        <v>0</v>
      </c>
      <c r="E604">
        <f>ABS(Table1[[#This Row],[Flux in SC / glucose uptake ($mmol/mmol\ glc$)]]-Table1[[#This Row],[Flux in RT / glucose uptake ($mmol/mmol\ glc$)]])/SQRT(2)</f>
        <v>0</v>
      </c>
      <c r="F604">
        <f>Table1[[#This Row],[distance from 45-degree line]]/MAX(Table1[[Flux in SC / glucose uptake ($mmol/mmol\ glc$)]:[Flux in RT / glucose uptake ($mmol/mmol\ glc$)]])</f>
        <v>0</v>
      </c>
      <c r="G604">
        <f>_xlfn.RANK.AVG(Table1[[#This Row],[Flux in SC / glucose uptake ($mmol/mmol\ glc$)]],Table1[Flux in SC / glucose uptake ($mmol/mmol\ glc$)])</f>
        <v>1310.5</v>
      </c>
      <c r="H604">
        <f>_xlfn.RANK.AVG(Table1[[#This Row],[Flux in RT / glucose uptake ($mmol/mmol\ glc$)]],Table1[Flux in RT / glucose uptake ($mmol/mmol\ glc$)])</f>
        <v>1290.5</v>
      </c>
      <c r="I604" t="e">
        <f>LOG(Table1[[#This Row],[Flux in SC / glucose uptake ($mmol/mmol\ glc$)]])</f>
        <v>#NUM!</v>
      </c>
      <c r="J604" t="e">
        <f>LOG(Table1[[#This Row],[Flux in RT / glucose uptake ($mmol/mmol\ glc$)]])</f>
        <v>#NUM!</v>
      </c>
    </row>
    <row r="605" spans="1:10" x14ac:dyDescent="0.2">
      <c r="A605" t="s">
        <v>608</v>
      </c>
      <c r="B605" t="s">
        <v>3114</v>
      </c>
      <c r="C605">
        <v>0</v>
      </c>
      <c r="D605">
        <v>0</v>
      </c>
      <c r="E605">
        <f>ABS(Table1[[#This Row],[Flux in SC / glucose uptake ($mmol/mmol\ glc$)]]-Table1[[#This Row],[Flux in RT / glucose uptake ($mmol/mmol\ glc$)]])/SQRT(2)</f>
        <v>0</v>
      </c>
      <c r="F605">
        <f>Table1[[#This Row],[distance from 45-degree line]]/MAX(Table1[[Flux in SC / glucose uptake ($mmol/mmol\ glc$)]:[Flux in RT / glucose uptake ($mmol/mmol\ glc$)]])</f>
        <v>0</v>
      </c>
      <c r="G605">
        <f>_xlfn.RANK.AVG(Table1[[#This Row],[Flux in SC / glucose uptake ($mmol/mmol\ glc$)]],Table1[Flux in SC / glucose uptake ($mmol/mmol\ glc$)])</f>
        <v>1310.5</v>
      </c>
      <c r="H605">
        <f>_xlfn.RANK.AVG(Table1[[#This Row],[Flux in RT / glucose uptake ($mmol/mmol\ glc$)]],Table1[Flux in RT / glucose uptake ($mmol/mmol\ glc$)])</f>
        <v>1290.5</v>
      </c>
      <c r="I605" t="e">
        <f>LOG(Table1[[#This Row],[Flux in SC / glucose uptake ($mmol/mmol\ glc$)]])</f>
        <v>#NUM!</v>
      </c>
      <c r="J605" t="e">
        <f>LOG(Table1[[#This Row],[Flux in RT / glucose uptake ($mmol/mmol\ glc$)]])</f>
        <v>#NUM!</v>
      </c>
    </row>
    <row r="606" spans="1:10" x14ac:dyDescent="0.2">
      <c r="A606" t="s">
        <v>609</v>
      </c>
      <c r="B606" t="s">
        <v>3162</v>
      </c>
      <c r="C606">
        <v>0</v>
      </c>
      <c r="D606">
        <v>0</v>
      </c>
      <c r="E606">
        <f>ABS(Table1[[#This Row],[Flux in SC / glucose uptake ($mmol/mmol\ glc$)]]-Table1[[#This Row],[Flux in RT / glucose uptake ($mmol/mmol\ glc$)]])/SQRT(2)</f>
        <v>0</v>
      </c>
      <c r="F606">
        <f>Table1[[#This Row],[distance from 45-degree line]]/MAX(Table1[[Flux in SC / glucose uptake ($mmol/mmol\ glc$)]:[Flux in RT / glucose uptake ($mmol/mmol\ glc$)]])</f>
        <v>0</v>
      </c>
      <c r="G606">
        <f>_xlfn.RANK.AVG(Table1[[#This Row],[Flux in SC / glucose uptake ($mmol/mmol\ glc$)]],Table1[Flux in SC / glucose uptake ($mmol/mmol\ glc$)])</f>
        <v>1310.5</v>
      </c>
      <c r="H606">
        <f>_xlfn.RANK.AVG(Table1[[#This Row],[Flux in RT / glucose uptake ($mmol/mmol\ glc$)]],Table1[Flux in RT / glucose uptake ($mmol/mmol\ glc$)])</f>
        <v>1290.5</v>
      </c>
      <c r="I606" t="e">
        <f>LOG(Table1[[#This Row],[Flux in SC / glucose uptake ($mmol/mmol\ glc$)]])</f>
        <v>#NUM!</v>
      </c>
      <c r="J606" t="e">
        <f>LOG(Table1[[#This Row],[Flux in RT / glucose uptake ($mmol/mmol\ glc$)]])</f>
        <v>#NUM!</v>
      </c>
    </row>
    <row r="607" spans="1:10" x14ac:dyDescent="0.2">
      <c r="A607" t="s">
        <v>610</v>
      </c>
      <c r="B607" t="s">
        <v>3162</v>
      </c>
      <c r="C607">
        <v>1.3612891406916496E-3</v>
      </c>
      <c r="D607">
        <v>9.3301141896755032E-3</v>
      </c>
      <c r="E607">
        <f>ABS(Table1[[#This Row],[Flux in SC / glucose uptake ($mmol/mmol\ glc$)]]-Table1[[#This Row],[Flux in RT / glucose uptake ($mmol/mmol\ glc$)]])/SQRT(2)</f>
        <v>5.6348102302257045E-3</v>
      </c>
      <c r="F607">
        <f>Table1[[#This Row],[distance from 45-degree line]]/MAX(Table1[[Flux in SC / glucose uptake ($mmol/mmol\ glc$)]:[Flux in RT / glucose uptake ($mmol/mmol\ glc$)]])</f>
        <v>3.0370984171913801E-4</v>
      </c>
      <c r="G607">
        <f>_xlfn.RANK.AVG(Table1[[#This Row],[Flux in SC / glucose uptake ($mmol/mmol\ glc$)]],Table1[Flux in SC / glucose uptake ($mmol/mmol\ glc$)])</f>
        <v>200</v>
      </c>
      <c r="H607">
        <f>_xlfn.RANK.AVG(Table1[[#This Row],[Flux in RT / glucose uptake ($mmol/mmol\ glc$)]],Table1[Flux in RT / glucose uptake ($mmol/mmol\ glc$)])</f>
        <v>201</v>
      </c>
      <c r="I607">
        <f>LOG(Table1[[#This Row],[Flux in SC / glucose uptake ($mmol/mmol\ glc$)]])</f>
        <v>-2.8660496199325713</v>
      </c>
      <c r="J607">
        <f>LOG(Table1[[#This Row],[Flux in RT / glucose uptake ($mmol/mmol\ glc$)]])</f>
        <v>-2.0301130409649164</v>
      </c>
    </row>
    <row r="608" spans="1:10" x14ac:dyDescent="0.2">
      <c r="A608" t="s">
        <v>611</v>
      </c>
      <c r="B608" t="s">
        <v>3114</v>
      </c>
      <c r="C608">
        <v>0</v>
      </c>
      <c r="D608">
        <v>0</v>
      </c>
      <c r="E608">
        <f>ABS(Table1[[#This Row],[Flux in SC / glucose uptake ($mmol/mmol\ glc$)]]-Table1[[#This Row],[Flux in RT / glucose uptake ($mmol/mmol\ glc$)]])/SQRT(2)</f>
        <v>0</v>
      </c>
      <c r="F608">
        <f>Table1[[#This Row],[distance from 45-degree line]]/MAX(Table1[[Flux in SC / glucose uptake ($mmol/mmol\ glc$)]:[Flux in RT / glucose uptake ($mmol/mmol\ glc$)]])</f>
        <v>0</v>
      </c>
      <c r="G608">
        <f>_xlfn.RANK.AVG(Table1[[#This Row],[Flux in SC / glucose uptake ($mmol/mmol\ glc$)]],Table1[Flux in SC / glucose uptake ($mmol/mmol\ glc$)])</f>
        <v>1310.5</v>
      </c>
      <c r="H608">
        <f>_xlfn.RANK.AVG(Table1[[#This Row],[Flux in RT / glucose uptake ($mmol/mmol\ glc$)]],Table1[Flux in RT / glucose uptake ($mmol/mmol\ glc$)])</f>
        <v>1290.5</v>
      </c>
      <c r="I608" t="e">
        <f>LOG(Table1[[#This Row],[Flux in SC / glucose uptake ($mmol/mmol\ glc$)]])</f>
        <v>#NUM!</v>
      </c>
      <c r="J608" t="e">
        <f>LOG(Table1[[#This Row],[Flux in RT / glucose uptake ($mmol/mmol\ glc$)]])</f>
        <v>#NUM!</v>
      </c>
    </row>
    <row r="609" spans="1:10" x14ac:dyDescent="0.2">
      <c r="A609" t="s">
        <v>612</v>
      </c>
      <c r="B609" t="s">
        <v>3114</v>
      </c>
      <c r="C609">
        <v>0</v>
      </c>
      <c r="D609">
        <v>0</v>
      </c>
      <c r="E609">
        <f>ABS(Table1[[#This Row],[Flux in SC / glucose uptake ($mmol/mmol\ glc$)]]-Table1[[#This Row],[Flux in RT / glucose uptake ($mmol/mmol\ glc$)]])/SQRT(2)</f>
        <v>0</v>
      </c>
      <c r="F609">
        <f>Table1[[#This Row],[distance from 45-degree line]]/MAX(Table1[[Flux in SC / glucose uptake ($mmol/mmol\ glc$)]:[Flux in RT / glucose uptake ($mmol/mmol\ glc$)]])</f>
        <v>0</v>
      </c>
      <c r="G609">
        <f>_xlfn.RANK.AVG(Table1[[#This Row],[Flux in SC / glucose uptake ($mmol/mmol\ glc$)]],Table1[Flux in SC / glucose uptake ($mmol/mmol\ glc$)])</f>
        <v>1310.5</v>
      </c>
      <c r="H609">
        <f>_xlfn.RANK.AVG(Table1[[#This Row],[Flux in RT / glucose uptake ($mmol/mmol\ glc$)]],Table1[Flux in RT / glucose uptake ($mmol/mmol\ glc$)])</f>
        <v>1290.5</v>
      </c>
      <c r="I609" t="e">
        <f>LOG(Table1[[#This Row],[Flux in SC / glucose uptake ($mmol/mmol\ glc$)]])</f>
        <v>#NUM!</v>
      </c>
      <c r="J609" t="e">
        <f>LOG(Table1[[#This Row],[Flux in RT / glucose uptake ($mmol/mmol\ glc$)]])</f>
        <v>#NUM!</v>
      </c>
    </row>
    <row r="610" spans="1:10" x14ac:dyDescent="0.2">
      <c r="A610" t="s">
        <v>613</v>
      </c>
      <c r="B610" t="s">
        <v>3114</v>
      </c>
      <c r="C610">
        <v>0</v>
      </c>
      <c r="D610">
        <v>0</v>
      </c>
      <c r="E610">
        <f>ABS(Table1[[#This Row],[Flux in SC / glucose uptake ($mmol/mmol\ glc$)]]-Table1[[#This Row],[Flux in RT / glucose uptake ($mmol/mmol\ glc$)]])/SQRT(2)</f>
        <v>0</v>
      </c>
      <c r="F610">
        <f>Table1[[#This Row],[distance from 45-degree line]]/MAX(Table1[[Flux in SC / glucose uptake ($mmol/mmol\ glc$)]:[Flux in RT / glucose uptake ($mmol/mmol\ glc$)]])</f>
        <v>0</v>
      </c>
      <c r="G610">
        <f>_xlfn.RANK.AVG(Table1[[#This Row],[Flux in SC / glucose uptake ($mmol/mmol\ glc$)]],Table1[Flux in SC / glucose uptake ($mmol/mmol\ glc$)])</f>
        <v>1310.5</v>
      </c>
      <c r="H610">
        <f>_xlfn.RANK.AVG(Table1[[#This Row],[Flux in RT / glucose uptake ($mmol/mmol\ glc$)]],Table1[Flux in RT / glucose uptake ($mmol/mmol\ glc$)])</f>
        <v>1290.5</v>
      </c>
      <c r="I610" t="e">
        <f>LOG(Table1[[#This Row],[Flux in SC / glucose uptake ($mmol/mmol\ glc$)]])</f>
        <v>#NUM!</v>
      </c>
      <c r="J610" t="e">
        <f>LOG(Table1[[#This Row],[Flux in RT / glucose uptake ($mmol/mmol\ glc$)]])</f>
        <v>#NUM!</v>
      </c>
    </row>
    <row r="611" spans="1:10" x14ac:dyDescent="0.2">
      <c r="A611" t="s">
        <v>614</v>
      </c>
      <c r="B611" t="s">
        <v>3114</v>
      </c>
      <c r="C611">
        <v>1.6105203231866522E-6</v>
      </c>
      <c r="D611">
        <v>8.2656570715413093E-6</v>
      </c>
      <c r="E611">
        <f>ABS(Table1[[#This Row],[Flux in SC / glucose uptake ($mmol/mmol\ glc$)]]-Table1[[#This Row],[Flux in RT / glucose uptake ($mmol/mmol\ glc$)]])/SQRT(2)</f>
        <v>4.7058923244853675E-6</v>
      </c>
      <c r="F611">
        <f>Table1[[#This Row],[distance from 45-degree line]]/MAX(Table1[[Flux in SC / glucose uptake ($mmol/mmol\ glc$)]:[Flux in RT / glucose uptake ($mmol/mmol\ glc$)]])</f>
        <v>2.5364222655631638E-7</v>
      </c>
      <c r="G611">
        <f>_xlfn.RANK.AVG(Table1[[#This Row],[Flux in SC / glucose uptake ($mmol/mmol\ glc$)]],Table1[Flux in SC / glucose uptake ($mmol/mmol\ glc$)])</f>
        <v>285.5</v>
      </c>
      <c r="H611">
        <f>_xlfn.RANK.AVG(Table1[[#This Row],[Flux in RT / glucose uptake ($mmol/mmol\ glc$)]],Table1[Flux in RT / glucose uptake ($mmol/mmol\ glc$)])</f>
        <v>281.5</v>
      </c>
      <c r="I611">
        <f>LOG(Table1[[#This Row],[Flux in SC / glucose uptake ($mmol/mmol\ glc$)]])</f>
        <v>-5.7930337904393667</v>
      </c>
      <c r="J611">
        <f>LOG(Table1[[#This Row],[Flux in RT / glucose uptake ($mmol/mmol\ glc$)]])</f>
        <v>-5.0827226168412363</v>
      </c>
    </row>
    <row r="612" spans="1:10" x14ac:dyDescent="0.2">
      <c r="A612" t="s">
        <v>615</v>
      </c>
      <c r="B612" t="s">
        <v>3114</v>
      </c>
      <c r="C612">
        <v>0</v>
      </c>
      <c r="D612">
        <v>0</v>
      </c>
      <c r="E612">
        <f>ABS(Table1[[#This Row],[Flux in SC / glucose uptake ($mmol/mmol\ glc$)]]-Table1[[#This Row],[Flux in RT / glucose uptake ($mmol/mmol\ glc$)]])/SQRT(2)</f>
        <v>0</v>
      </c>
      <c r="F612">
        <f>Table1[[#This Row],[distance from 45-degree line]]/MAX(Table1[[Flux in SC / glucose uptake ($mmol/mmol\ glc$)]:[Flux in RT / glucose uptake ($mmol/mmol\ glc$)]])</f>
        <v>0</v>
      </c>
      <c r="G612">
        <f>_xlfn.RANK.AVG(Table1[[#This Row],[Flux in SC / glucose uptake ($mmol/mmol\ glc$)]],Table1[Flux in SC / glucose uptake ($mmol/mmol\ glc$)])</f>
        <v>1310.5</v>
      </c>
      <c r="H612">
        <f>_xlfn.RANK.AVG(Table1[[#This Row],[Flux in RT / glucose uptake ($mmol/mmol\ glc$)]],Table1[Flux in RT / glucose uptake ($mmol/mmol\ glc$)])</f>
        <v>1290.5</v>
      </c>
      <c r="I612" t="e">
        <f>LOG(Table1[[#This Row],[Flux in SC / glucose uptake ($mmol/mmol\ glc$)]])</f>
        <v>#NUM!</v>
      </c>
      <c r="J612" t="e">
        <f>LOG(Table1[[#This Row],[Flux in RT / glucose uptake ($mmol/mmol\ glc$)]])</f>
        <v>#NUM!</v>
      </c>
    </row>
    <row r="613" spans="1:10" x14ac:dyDescent="0.2">
      <c r="A613" t="s">
        <v>616</v>
      </c>
      <c r="B613" t="s">
        <v>3148</v>
      </c>
      <c r="C613">
        <v>3.6110321147682783E-9</v>
      </c>
      <c r="D613">
        <v>0</v>
      </c>
      <c r="E613">
        <f>ABS(Table1[[#This Row],[Flux in SC / glucose uptake ($mmol/mmol\ glc$)]]-Table1[[#This Row],[Flux in RT / glucose uptake ($mmol/mmol\ glc$)]])/SQRT(2)</f>
        <v>2.5533852954350489E-9</v>
      </c>
      <c r="F613">
        <f>Table1[[#This Row],[distance from 45-degree line]]/MAX(Table1[[Flux in SC / glucose uptake ($mmol/mmol\ glc$)]:[Flux in RT / glucose uptake ($mmol/mmol\ glc$)]])</f>
        <v>1.376245538429589E-10</v>
      </c>
      <c r="G613">
        <f>_xlfn.RANK.AVG(Table1[[#This Row],[Flux in SC / glucose uptake ($mmol/mmol\ glc$)]],Table1[Flux in SC / glucose uptake ($mmol/mmol\ glc$)])</f>
        <v>310</v>
      </c>
      <c r="H613">
        <f>_xlfn.RANK.AVG(Table1[[#This Row],[Flux in RT / glucose uptake ($mmol/mmol\ glc$)]],Table1[Flux in RT / glucose uptake ($mmol/mmol\ glc$)])</f>
        <v>1290.5</v>
      </c>
      <c r="I613">
        <f>LOG(Table1[[#This Row],[Flux in SC / glucose uptake ($mmol/mmol\ glc$)]])</f>
        <v>-8.4423686491515095</v>
      </c>
      <c r="J613" t="e">
        <f>LOG(Table1[[#This Row],[Flux in RT / glucose uptake ($mmol/mmol\ glc$)]])</f>
        <v>#NUM!</v>
      </c>
    </row>
    <row r="614" spans="1:10" x14ac:dyDescent="0.2">
      <c r="A614" t="s">
        <v>617</v>
      </c>
      <c r="B614" t="s">
        <v>3131</v>
      </c>
      <c r="C614">
        <v>9.3176506995375956E-5</v>
      </c>
      <c r="D614">
        <v>4.2169352217617768E-4</v>
      </c>
      <c r="E614">
        <f>ABS(Table1[[#This Row],[Flux in SC / glucose uptake ($mmol/mmol\ glc$)]]-Table1[[#This Row],[Flux in RT / glucose uptake ($mmol/mmol\ glc$)]])/SQRT(2)</f>
        <v>2.3229660916950886E-4</v>
      </c>
      <c r="F614">
        <f>Table1[[#This Row],[distance from 45-degree line]]/MAX(Table1[[Flux in SC / glucose uptake ($mmol/mmol\ glc$)]:[Flux in RT / glucose uptake ($mmol/mmol\ glc$)]])</f>
        <v>1.2520522168488016E-5</v>
      </c>
      <c r="G614">
        <f>_xlfn.RANK.AVG(Table1[[#This Row],[Flux in SC / glucose uptake ($mmol/mmol\ glc$)]],Table1[Flux in SC / glucose uptake ($mmol/mmol\ glc$)])</f>
        <v>264</v>
      </c>
      <c r="H614">
        <f>_xlfn.RANK.AVG(Table1[[#This Row],[Flux in RT / glucose uptake ($mmol/mmol\ glc$)]],Table1[Flux in RT / glucose uptake ($mmol/mmol\ glc$)])</f>
        <v>273</v>
      </c>
      <c r="I614">
        <f>LOG(Table1[[#This Row],[Flux in SC / glucose uptake ($mmol/mmol\ glc$)]])</f>
        <v>-4.0306935744315586</v>
      </c>
      <c r="J614">
        <f>LOG(Table1[[#This Row],[Flux in RT / glucose uptake ($mmol/mmol\ glc$)]])</f>
        <v>-3.3750030703267271</v>
      </c>
    </row>
    <row r="615" spans="1:10" x14ac:dyDescent="0.2">
      <c r="A615" t="s">
        <v>618</v>
      </c>
      <c r="B615" t="s">
        <v>3114</v>
      </c>
      <c r="C615">
        <v>0</v>
      </c>
      <c r="D615">
        <v>0</v>
      </c>
      <c r="E615">
        <f>ABS(Table1[[#This Row],[Flux in SC / glucose uptake ($mmol/mmol\ glc$)]]-Table1[[#This Row],[Flux in RT / glucose uptake ($mmol/mmol\ glc$)]])/SQRT(2)</f>
        <v>0</v>
      </c>
      <c r="F615">
        <f>Table1[[#This Row],[distance from 45-degree line]]/MAX(Table1[[Flux in SC / glucose uptake ($mmol/mmol\ glc$)]:[Flux in RT / glucose uptake ($mmol/mmol\ glc$)]])</f>
        <v>0</v>
      </c>
      <c r="G615">
        <f>_xlfn.RANK.AVG(Table1[[#This Row],[Flux in SC / glucose uptake ($mmol/mmol\ glc$)]],Table1[Flux in SC / glucose uptake ($mmol/mmol\ glc$)])</f>
        <v>1310.5</v>
      </c>
      <c r="H615">
        <f>_xlfn.RANK.AVG(Table1[[#This Row],[Flux in RT / glucose uptake ($mmol/mmol\ glc$)]],Table1[Flux in RT / glucose uptake ($mmol/mmol\ glc$)])</f>
        <v>1290.5</v>
      </c>
      <c r="I615" t="e">
        <f>LOG(Table1[[#This Row],[Flux in SC / glucose uptake ($mmol/mmol\ glc$)]])</f>
        <v>#NUM!</v>
      </c>
      <c r="J615" t="e">
        <f>LOG(Table1[[#This Row],[Flux in RT / glucose uptake ($mmol/mmol\ glc$)]])</f>
        <v>#NUM!</v>
      </c>
    </row>
    <row r="616" spans="1:10" x14ac:dyDescent="0.2">
      <c r="A616" t="s">
        <v>619</v>
      </c>
      <c r="B616" t="s">
        <v>3154</v>
      </c>
      <c r="C616">
        <v>0</v>
      </c>
      <c r="D616">
        <v>0</v>
      </c>
      <c r="E616">
        <f>ABS(Table1[[#This Row],[Flux in SC / glucose uptake ($mmol/mmol\ glc$)]]-Table1[[#This Row],[Flux in RT / glucose uptake ($mmol/mmol\ glc$)]])/SQRT(2)</f>
        <v>0</v>
      </c>
      <c r="F616">
        <f>Table1[[#This Row],[distance from 45-degree line]]/MAX(Table1[[Flux in SC / glucose uptake ($mmol/mmol\ glc$)]:[Flux in RT / glucose uptake ($mmol/mmol\ glc$)]])</f>
        <v>0</v>
      </c>
      <c r="G616">
        <f>_xlfn.RANK.AVG(Table1[[#This Row],[Flux in SC / glucose uptake ($mmol/mmol\ glc$)]],Table1[Flux in SC / glucose uptake ($mmol/mmol\ glc$)])</f>
        <v>1310.5</v>
      </c>
      <c r="H616">
        <f>_xlfn.RANK.AVG(Table1[[#This Row],[Flux in RT / glucose uptake ($mmol/mmol\ glc$)]],Table1[Flux in RT / glucose uptake ($mmol/mmol\ glc$)])</f>
        <v>1290.5</v>
      </c>
      <c r="I616" t="e">
        <f>LOG(Table1[[#This Row],[Flux in SC / glucose uptake ($mmol/mmol\ glc$)]])</f>
        <v>#NUM!</v>
      </c>
      <c r="J616" t="e">
        <f>LOG(Table1[[#This Row],[Flux in RT / glucose uptake ($mmol/mmol\ glc$)]])</f>
        <v>#NUM!</v>
      </c>
    </row>
    <row r="617" spans="1:10" x14ac:dyDescent="0.2">
      <c r="A617" t="s">
        <v>620</v>
      </c>
      <c r="B617" t="s">
        <v>3131</v>
      </c>
      <c r="C617">
        <v>9.3176506995375956E-5</v>
      </c>
      <c r="D617">
        <v>4.2169352217617768E-4</v>
      </c>
      <c r="E617">
        <f>ABS(Table1[[#This Row],[Flux in SC / glucose uptake ($mmol/mmol\ glc$)]]-Table1[[#This Row],[Flux in RT / glucose uptake ($mmol/mmol\ glc$)]])/SQRT(2)</f>
        <v>2.3229660916950886E-4</v>
      </c>
      <c r="F617">
        <f>Table1[[#This Row],[distance from 45-degree line]]/MAX(Table1[[Flux in SC / glucose uptake ($mmol/mmol\ glc$)]:[Flux in RT / glucose uptake ($mmol/mmol\ glc$)]])</f>
        <v>1.2520522168488016E-5</v>
      </c>
      <c r="G617">
        <f>_xlfn.RANK.AVG(Table1[[#This Row],[Flux in SC / glucose uptake ($mmol/mmol\ glc$)]],Table1[Flux in SC / glucose uptake ($mmol/mmol\ glc$)])</f>
        <v>264</v>
      </c>
      <c r="H617">
        <f>_xlfn.RANK.AVG(Table1[[#This Row],[Flux in RT / glucose uptake ($mmol/mmol\ glc$)]],Table1[Flux in RT / glucose uptake ($mmol/mmol\ glc$)])</f>
        <v>273</v>
      </c>
      <c r="I617">
        <f>LOG(Table1[[#This Row],[Flux in SC / glucose uptake ($mmol/mmol\ glc$)]])</f>
        <v>-4.0306935744315586</v>
      </c>
      <c r="J617">
        <f>LOG(Table1[[#This Row],[Flux in RT / glucose uptake ($mmol/mmol\ glc$)]])</f>
        <v>-3.3750030703267271</v>
      </c>
    </row>
    <row r="618" spans="1:10" x14ac:dyDescent="0.2">
      <c r="A618" t="s">
        <v>621</v>
      </c>
      <c r="B618" t="s">
        <v>3162</v>
      </c>
      <c r="C618">
        <v>0</v>
      </c>
      <c r="D618">
        <v>0</v>
      </c>
      <c r="E618">
        <f>ABS(Table1[[#This Row],[Flux in SC / glucose uptake ($mmol/mmol\ glc$)]]-Table1[[#This Row],[Flux in RT / glucose uptake ($mmol/mmol\ glc$)]])/SQRT(2)</f>
        <v>0</v>
      </c>
      <c r="F618">
        <f>Table1[[#This Row],[distance from 45-degree line]]/MAX(Table1[[Flux in SC / glucose uptake ($mmol/mmol\ glc$)]:[Flux in RT / glucose uptake ($mmol/mmol\ glc$)]])</f>
        <v>0</v>
      </c>
      <c r="G618">
        <f>_xlfn.RANK.AVG(Table1[[#This Row],[Flux in SC / glucose uptake ($mmol/mmol\ glc$)]],Table1[Flux in SC / glucose uptake ($mmol/mmol\ glc$)])</f>
        <v>1310.5</v>
      </c>
      <c r="H618">
        <f>_xlfn.RANK.AVG(Table1[[#This Row],[Flux in RT / glucose uptake ($mmol/mmol\ glc$)]],Table1[Flux in RT / glucose uptake ($mmol/mmol\ glc$)])</f>
        <v>1290.5</v>
      </c>
      <c r="I618" t="e">
        <f>LOG(Table1[[#This Row],[Flux in SC / glucose uptake ($mmol/mmol\ glc$)]])</f>
        <v>#NUM!</v>
      </c>
      <c r="J618" t="e">
        <f>LOG(Table1[[#This Row],[Flux in RT / glucose uptake ($mmol/mmol\ glc$)]])</f>
        <v>#NUM!</v>
      </c>
    </row>
    <row r="619" spans="1:10" x14ac:dyDescent="0.2">
      <c r="A619" t="s">
        <v>622</v>
      </c>
      <c r="B619" t="s">
        <v>3162</v>
      </c>
      <c r="C619">
        <v>0</v>
      </c>
      <c r="D619">
        <v>0</v>
      </c>
      <c r="E619">
        <f>ABS(Table1[[#This Row],[Flux in SC / glucose uptake ($mmol/mmol\ glc$)]]-Table1[[#This Row],[Flux in RT / glucose uptake ($mmol/mmol\ glc$)]])/SQRT(2)</f>
        <v>0</v>
      </c>
      <c r="F619">
        <f>Table1[[#This Row],[distance from 45-degree line]]/MAX(Table1[[Flux in SC / glucose uptake ($mmol/mmol\ glc$)]:[Flux in RT / glucose uptake ($mmol/mmol\ glc$)]])</f>
        <v>0</v>
      </c>
      <c r="G619">
        <f>_xlfn.RANK.AVG(Table1[[#This Row],[Flux in SC / glucose uptake ($mmol/mmol\ glc$)]],Table1[Flux in SC / glucose uptake ($mmol/mmol\ glc$)])</f>
        <v>1310.5</v>
      </c>
      <c r="H619">
        <f>_xlfn.RANK.AVG(Table1[[#This Row],[Flux in RT / glucose uptake ($mmol/mmol\ glc$)]],Table1[Flux in RT / glucose uptake ($mmol/mmol\ glc$)])</f>
        <v>1290.5</v>
      </c>
      <c r="I619" t="e">
        <f>LOG(Table1[[#This Row],[Flux in SC / glucose uptake ($mmol/mmol\ glc$)]])</f>
        <v>#NUM!</v>
      </c>
      <c r="J619" t="e">
        <f>LOG(Table1[[#This Row],[Flux in RT / glucose uptake ($mmol/mmol\ glc$)]])</f>
        <v>#NUM!</v>
      </c>
    </row>
    <row r="620" spans="1:10" x14ac:dyDescent="0.2">
      <c r="A620" t="s">
        <v>623</v>
      </c>
      <c r="B620" t="s">
        <v>3114</v>
      </c>
      <c r="C620">
        <v>0</v>
      </c>
      <c r="D620">
        <v>0</v>
      </c>
      <c r="E620">
        <f>ABS(Table1[[#This Row],[Flux in SC / glucose uptake ($mmol/mmol\ glc$)]]-Table1[[#This Row],[Flux in RT / glucose uptake ($mmol/mmol\ glc$)]])/SQRT(2)</f>
        <v>0</v>
      </c>
      <c r="F620">
        <f>Table1[[#This Row],[distance from 45-degree line]]/MAX(Table1[[Flux in SC / glucose uptake ($mmol/mmol\ glc$)]:[Flux in RT / glucose uptake ($mmol/mmol\ glc$)]])</f>
        <v>0</v>
      </c>
      <c r="G620">
        <f>_xlfn.RANK.AVG(Table1[[#This Row],[Flux in SC / glucose uptake ($mmol/mmol\ glc$)]],Table1[Flux in SC / glucose uptake ($mmol/mmol\ glc$)])</f>
        <v>1310.5</v>
      </c>
      <c r="H620">
        <f>_xlfn.RANK.AVG(Table1[[#This Row],[Flux in RT / glucose uptake ($mmol/mmol\ glc$)]],Table1[Flux in RT / glucose uptake ($mmol/mmol\ glc$)])</f>
        <v>1290.5</v>
      </c>
      <c r="I620" t="e">
        <f>LOG(Table1[[#This Row],[Flux in SC / glucose uptake ($mmol/mmol\ glc$)]])</f>
        <v>#NUM!</v>
      </c>
      <c r="J620" t="e">
        <f>LOG(Table1[[#This Row],[Flux in RT / glucose uptake ($mmol/mmol\ glc$)]])</f>
        <v>#NUM!</v>
      </c>
    </row>
    <row r="621" spans="1:10" x14ac:dyDescent="0.2">
      <c r="A621" t="s">
        <v>624</v>
      </c>
      <c r="B621" t="s">
        <v>3162</v>
      </c>
      <c r="C621">
        <v>6.9494791957848379E-4</v>
      </c>
      <c r="D621">
        <v>4.0646750617642493E-3</v>
      </c>
      <c r="E621">
        <f>ABS(Table1[[#This Row],[Flux in SC / glucose uptake ($mmol/mmol\ glc$)]]-Table1[[#This Row],[Flux in RT / glucose uptake ($mmol/mmol\ glc$)]])/SQRT(2)</f>
        <v>2.3827569129879203E-3</v>
      </c>
      <c r="F621">
        <f>Table1[[#This Row],[distance from 45-degree line]]/MAX(Table1[[Flux in SC / glucose uptake ($mmol/mmol\ glc$)]:[Flux in RT / glucose uptake ($mmol/mmol\ glc$)]])</f>
        <v>1.2842787872729413E-4</v>
      </c>
      <c r="G621">
        <f>_xlfn.RANK.AVG(Table1[[#This Row],[Flux in SC / glucose uptake ($mmol/mmol\ glc$)]],Table1[Flux in SC / glucose uptake ($mmol/mmol\ glc$)])</f>
        <v>234</v>
      </c>
      <c r="H621">
        <f>_xlfn.RANK.AVG(Table1[[#This Row],[Flux in RT / glucose uptake ($mmol/mmol\ glc$)]],Table1[Flux in RT / glucose uptake ($mmol/mmol\ glc$)])</f>
        <v>225</v>
      </c>
      <c r="I621">
        <f>LOG(Table1[[#This Row],[Flux in SC / glucose uptake ($mmol/mmol\ glc$)]])</f>
        <v>-3.1580477408590668</v>
      </c>
      <c r="J621">
        <f>LOG(Table1[[#This Row],[Flux in RT / glucose uptake ($mmol/mmol\ glc$)]])</f>
        <v>-2.3909741670498041</v>
      </c>
    </row>
    <row r="622" spans="1:10" x14ac:dyDescent="0.2">
      <c r="A622" t="s">
        <v>625</v>
      </c>
      <c r="B622" t="s">
        <v>3162</v>
      </c>
      <c r="C622">
        <v>0</v>
      </c>
      <c r="D622">
        <v>0</v>
      </c>
      <c r="E622">
        <f>ABS(Table1[[#This Row],[Flux in SC / glucose uptake ($mmol/mmol\ glc$)]]-Table1[[#This Row],[Flux in RT / glucose uptake ($mmol/mmol\ glc$)]])/SQRT(2)</f>
        <v>0</v>
      </c>
      <c r="F622">
        <f>Table1[[#This Row],[distance from 45-degree line]]/MAX(Table1[[Flux in SC / glucose uptake ($mmol/mmol\ glc$)]:[Flux in RT / glucose uptake ($mmol/mmol\ glc$)]])</f>
        <v>0</v>
      </c>
      <c r="G622">
        <f>_xlfn.RANK.AVG(Table1[[#This Row],[Flux in SC / glucose uptake ($mmol/mmol\ glc$)]],Table1[Flux in SC / glucose uptake ($mmol/mmol\ glc$)])</f>
        <v>1310.5</v>
      </c>
      <c r="H622">
        <f>_xlfn.RANK.AVG(Table1[[#This Row],[Flux in RT / glucose uptake ($mmol/mmol\ glc$)]],Table1[Flux in RT / glucose uptake ($mmol/mmol\ glc$)])</f>
        <v>1290.5</v>
      </c>
      <c r="I622" t="e">
        <f>LOG(Table1[[#This Row],[Flux in SC / glucose uptake ($mmol/mmol\ glc$)]])</f>
        <v>#NUM!</v>
      </c>
      <c r="J622" t="e">
        <f>LOG(Table1[[#This Row],[Flux in RT / glucose uptake ($mmol/mmol\ glc$)]])</f>
        <v>#NUM!</v>
      </c>
    </row>
    <row r="623" spans="1:10" x14ac:dyDescent="0.2">
      <c r="A623" t="s">
        <v>626</v>
      </c>
      <c r="B623" t="s">
        <v>3150</v>
      </c>
      <c r="C623">
        <v>0</v>
      </c>
      <c r="D623">
        <v>0</v>
      </c>
      <c r="E623">
        <f>ABS(Table1[[#This Row],[Flux in SC / glucose uptake ($mmol/mmol\ glc$)]]-Table1[[#This Row],[Flux in RT / glucose uptake ($mmol/mmol\ glc$)]])/SQRT(2)</f>
        <v>0</v>
      </c>
      <c r="F623">
        <f>Table1[[#This Row],[distance from 45-degree line]]/MAX(Table1[[Flux in SC / glucose uptake ($mmol/mmol\ glc$)]:[Flux in RT / glucose uptake ($mmol/mmol\ glc$)]])</f>
        <v>0</v>
      </c>
      <c r="G623">
        <f>_xlfn.RANK.AVG(Table1[[#This Row],[Flux in SC / glucose uptake ($mmol/mmol\ glc$)]],Table1[Flux in SC / glucose uptake ($mmol/mmol\ glc$)])</f>
        <v>1310.5</v>
      </c>
      <c r="H623">
        <f>_xlfn.RANK.AVG(Table1[[#This Row],[Flux in RT / glucose uptake ($mmol/mmol\ glc$)]],Table1[Flux in RT / glucose uptake ($mmol/mmol\ glc$)])</f>
        <v>1290.5</v>
      </c>
      <c r="I623" t="e">
        <f>LOG(Table1[[#This Row],[Flux in SC / glucose uptake ($mmol/mmol\ glc$)]])</f>
        <v>#NUM!</v>
      </c>
      <c r="J623" t="e">
        <f>LOG(Table1[[#This Row],[Flux in RT / glucose uptake ($mmol/mmol\ glc$)]])</f>
        <v>#NUM!</v>
      </c>
    </row>
    <row r="624" spans="1:10" x14ac:dyDescent="0.2">
      <c r="A624" t="s">
        <v>627</v>
      </c>
      <c r="B624" t="s">
        <v>3150</v>
      </c>
      <c r="C624">
        <v>0</v>
      </c>
      <c r="D624">
        <v>0</v>
      </c>
      <c r="E624">
        <f>ABS(Table1[[#This Row],[Flux in SC / glucose uptake ($mmol/mmol\ glc$)]]-Table1[[#This Row],[Flux in RT / glucose uptake ($mmol/mmol\ glc$)]])/SQRT(2)</f>
        <v>0</v>
      </c>
      <c r="F624">
        <f>Table1[[#This Row],[distance from 45-degree line]]/MAX(Table1[[Flux in SC / glucose uptake ($mmol/mmol\ glc$)]:[Flux in RT / glucose uptake ($mmol/mmol\ glc$)]])</f>
        <v>0</v>
      </c>
      <c r="G624">
        <f>_xlfn.RANK.AVG(Table1[[#This Row],[Flux in SC / glucose uptake ($mmol/mmol\ glc$)]],Table1[Flux in SC / glucose uptake ($mmol/mmol\ glc$)])</f>
        <v>1310.5</v>
      </c>
      <c r="H624">
        <f>_xlfn.RANK.AVG(Table1[[#This Row],[Flux in RT / glucose uptake ($mmol/mmol\ glc$)]],Table1[Flux in RT / glucose uptake ($mmol/mmol\ glc$)])</f>
        <v>1290.5</v>
      </c>
      <c r="I624" t="e">
        <f>LOG(Table1[[#This Row],[Flux in SC / glucose uptake ($mmol/mmol\ glc$)]])</f>
        <v>#NUM!</v>
      </c>
      <c r="J624" t="e">
        <f>LOG(Table1[[#This Row],[Flux in RT / glucose uptake ($mmol/mmol\ glc$)]])</f>
        <v>#NUM!</v>
      </c>
    </row>
    <row r="625" spans="1:10" x14ac:dyDescent="0.2">
      <c r="A625" t="s">
        <v>628</v>
      </c>
      <c r="B625" t="s">
        <v>3114</v>
      </c>
      <c r="C625">
        <v>0</v>
      </c>
      <c r="D625">
        <v>0</v>
      </c>
      <c r="E625">
        <f>ABS(Table1[[#This Row],[Flux in SC / glucose uptake ($mmol/mmol\ glc$)]]-Table1[[#This Row],[Flux in RT / glucose uptake ($mmol/mmol\ glc$)]])/SQRT(2)</f>
        <v>0</v>
      </c>
      <c r="F625">
        <f>Table1[[#This Row],[distance from 45-degree line]]/MAX(Table1[[Flux in SC / glucose uptake ($mmol/mmol\ glc$)]:[Flux in RT / glucose uptake ($mmol/mmol\ glc$)]])</f>
        <v>0</v>
      </c>
      <c r="G625">
        <f>_xlfn.RANK.AVG(Table1[[#This Row],[Flux in SC / glucose uptake ($mmol/mmol\ glc$)]],Table1[Flux in SC / glucose uptake ($mmol/mmol\ glc$)])</f>
        <v>1310.5</v>
      </c>
      <c r="H625">
        <f>_xlfn.RANK.AVG(Table1[[#This Row],[Flux in RT / glucose uptake ($mmol/mmol\ glc$)]],Table1[Flux in RT / glucose uptake ($mmol/mmol\ glc$)])</f>
        <v>1290.5</v>
      </c>
      <c r="I625" t="e">
        <f>LOG(Table1[[#This Row],[Flux in SC / glucose uptake ($mmol/mmol\ glc$)]])</f>
        <v>#NUM!</v>
      </c>
      <c r="J625" t="e">
        <f>LOG(Table1[[#This Row],[Flux in RT / glucose uptake ($mmol/mmol\ glc$)]])</f>
        <v>#NUM!</v>
      </c>
    </row>
    <row r="626" spans="1:10" x14ac:dyDescent="0.2">
      <c r="A626" t="s">
        <v>629</v>
      </c>
      <c r="B626" t="s">
        <v>3114</v>
      </c>
      <c r="C626">
        <v>0</v>
      </c>
      <c r="D626">
        <v>0</v>
      </c>
      <c r="E626">
        <f>ABS(Table1[[#This Row],[Flux in SC / glucose uptake ($mmol/mmol\ glc$)]]-Table1[[#This Row],[Flux in RT / glucose uptake ($mmol/mmol\ glc$)]])/SQRT(2)</f>
        <v>0</v>
      </c>
      <c r="F626">
        <f>Table1[[#This Row],[distance from 45-degree line]]/MAX(Table1[[Flux in SC / glucose uptake ($mmol/mmol\ glc$)]:[Flux in RT / glucose uptake ($mmol/mmol\ glc$)]])</f>
        <v>0</v>
      </c>
      <c r="G626">
        <f>_xlfn.RANK.AVG(Table1[[#This Row],[Flux in SC / glucose uptake ($mmol/mmol\ glc$)]],Table1[Flux in SC / glucose uptake ($mmol/mmol\ glc$)])</f>
        <v>1310.5</v>
      </c>
      <c r="H626">
        <f>_xlfn.RANK.AVG(Table1[[#This Row],[Flux in RT / glucose uptake ($mmol/mmol\ glc$)]],Table1[Flux in RT / glucose uptake ($mmol/mmol\ glc$)])</f>
        <v>1290.5</v>
      </c>
      <c r="I626" t="e">
        <f>LOG(Table1[[#This Row],[Flux in SC / glucose uptake ($mmol/mmol\ glc$)]])</f>
        <v>#NUM!</v>
      </c>
      <c r="J626" t="e">
        <f>LOG(Table1[[#This Row],[Flux in RT / glucose uptake ($mmol/mmol\ glc$)]])</f>
        <v>#NUM!</v>
      </c>
    </row>
    <row r="627" spans="1:10" x14ac:dyDescent="0.2">
      <c r="A627" t="s">
        <v>630</v>
      </c>
      <c r="B627" t="s">
        <v>3114</v>
      </c>
      <c r="C627">
        <v>0</v>
      </c>
      <c r="D627">
        <v>0</v>
      </c>
      <c r="E627">
        <f>ABS(Table1[[#This Row],[Flux in SC / glucose uptake ($mmol/mmol\ glc$)]]-Table1[[#This Row],[Flux in RT / glucose uptake ($mmol/mmol\ glc$)]])/SQRT(2)</f>
        <v>0</v>
      </c>
      <c r="F627">
        <f>Table1[[#This Row],[distance from 45-degree line]]/MAX(Table1[[Flux in SC / glucose uptake ($mmol/mmol\ glc$)]:[Flux in RT / glucose uptake ($mmol/mmol\ glc$)]])</f>
        <v>0</v>
      </c>
      <c r="G627">
        <f>_xlfn.RANK.AVG(Table1[[#This Row],[Flux in SC / glucose uptake ($mmol/mmol\ glc$)]],Table1[Flux in SC / glucose uptake ($mmol/mmol\ glc$)])</f>
        <v>1310.5</v>
      </c>
      <c r="H627">
        <f>_xlfn.RANK.AVG(Table1[[#This Row],[Flux in RT / glucose uptake ($mmol/mmol\ glc$)]],Table1[Flux in RT / glucose uptake ($mmol/mmol\ glc$)])</f>
        <v>1290.5</v>
      </c>
      <c r="I627" t="e">
        <f>LOG(Table1[[#This Row],[Flux in SC / glucose uptake ($mmol/mmol\ glc$)]])</f>
        <v>#NUM!</v>
      </c>
      <c r="J627" t="e">
        <f>LOG(Table1[[#This Row],[Flux in RT / glucose uptake ($mmol/mmol\ glc$)]])</f>
        <v>#NUM!</v>
      </c>
    </row>
    <row r="628" spans="1:10" x14ac:dyDescent="0.2">
      <c r="A628" t="s">
        <v>631</v>
      </c>
      <c r="B628" t="s">
        <v>3141</v>
      </c>
      <c r="C628">
        <v>0</v>
      </c>
      <c r="D628">
        <v>0</v>
      </c>
      <c r="E628">
        <f>ABS(Table1[[#This Row],[Flux in SC / glucose uptake ($mmol/mmol\ glc$)]]-Table1[[#This Row],[Flux in RT / glucose uptake ($mmol/mmol\ glc$)]])/SQRT(2)</f>
        <v>0</v>
      </c>
      <c r="F628">
        <f>Table1[[#This Row],[distance from 45-degree line]]/MAX(Table1[[Flux in SC / glucose uptake ($mmol/mmol\ glc$)]:[Flux in RT / glucose uptake ($mmol/mmol\ glc$)]])</f>
        <v>0</v>
      </c>
      <c r="G628">
        <f>_xlfn.RANK.AVG(Table1[[#This Row],[Flux in SC / glucose uptake ($mmol/mmol\ glc$)]],Table1[Flux in SC / glucose uptake ($mmol/mmol\ glc$)])</f>
        <v>1310.5</v>
      </c>
      <c r="H628">
        <f>_xlfn.RANK.AVG(Table1[[#This Row],[Flux in RT / glucose uptake ($mmol/mmol\ glc$)]],Table1[Flux in RT / glucose uptake ($mmol/mmol\ glc$)])</f>
        <v>1290.5</v>
      </c>
      <c r="I628" t="e">
        <f>LOG(Table1[[#This Row],[Flux in SC / glucose uptake ($mmol/mmol\ glc$)]])</f>
        <v>#NUM!</v>
      </c>
      <c r="J628" t="e">
        <f>LOG(Table1[[#This Row],[Flux in RT / glucose uptake ($mmol/mmol\ glc$)]])</f>
        <v>#NUM!</v>
      </c>
    </row>
    <row r="629" spans="1:10" x14ac:dyDescent="0.2">
      <c r="A629" t="s">
        <v>632</v>
      </c>
      <c r="B629" t="s">
        <v>3175</v>
      </c>
      <c r="C629">
        <v>0</v>
      </c>
      <c r="D629">
        <v>0</v>
      </c>
      <c r="E629">
        <f>ABS(Table1[[#This Row],[Flux in SC / glucose uptake ($mmol/mmol\ glc$)]]-Table1[[#This Row],[Flux in RT / glucose uptake ($mmol/mmol\ glc$)]])/SQRT(2)</f>
        <v>0</v>
      </c>
      <c r="F629">
        <f>Table1[[#This Row],[distance from 45-degree line]]/MAX(Table1[[Flux in SC / glucose uptake ($mmol/mmol\ glc$)]:[Flux in RT / glucose uptake ($mmol/mmol\ glc$)]])</f>
        <v>0</v>
      </c>
      <c r="G629">
        <f>_xlfn.RANK.AVG(Table1[[#This Row],[Flux in SC / glucose uptake ($mmol/mmol\ glc$)]],Table1[Flux in SC / glucose uptake ($mmol/mmol\ glc$)])</f>
        <v>1310.5</v>
      </c>
      <c r="H629">
        <f>_xlfn.RANK.AVG(Table1[[#This Row],[Flux in RT / glucose uptake ($mmol/mmol\ glc$)]],Table1[Flux in RT / glucose uptake ($mmol/mmol\ glc$)])</f>
        <v>1290.5</v>
      </c>
      <c r="I629" t="e">
        <f>LOG(Table1[[#This Row],[Flux in SC / glucose uptake ($mmol/mmol\ glc$)]])</f>
        <v>#NUM!</v>
      </c>
      <c r="J629" t="e">
        <f>LOG(Table1[[#This Row],[Flux in RT / glucose uptake ($mmol/mmol\ glc$)]])</f>
        <v>#NUM!</v>
      </c>
    </row>
    <row r="630" spans="1:10" x14ac:dyDescent="0.2">
      <c r="A630" t="s">
        <v>633</v>
      </c>
      <c r="B630" t="s">
        <v>3175</v>
      </c>
      <c r="C630">
        <v>0</v>
      </c>
      <c r="D630">
        <v>0</v>
      </c>
      <c r="E630">
        <f>ABS(Table1[[#This Row],[Flux in SC / glucose uptake ($mmol/mmol\ glc$)]]-Table1[[#This Row],[Flux in RT / glucose uptake ($mmol/mmol\ glc$)]])/SQRT(2)</f>
        <v>0</v>
      </c>
      <c r="F630">
        <f>Table1[[#This Row],[distance from 45-degree line]]/MAX(Table1[[Flux in SC / glucose uptake ($mmol/mmol\ glc$)]:[Flux in RT / glucose uptake ($mmol/mmol\ glc$)]])</f>
        <v>0</v>
      </c>
      <c r="G630">
        <f>_xlfn.RANK.AVG(Table1[[#This Row],[Flux in SC / glucose uptake ($mmol/mmol\ glc$)]],Table1[Flux in SC / glucose uptake ($mmol/mmol\ glc$)])</f>
        <v>1310.5</v>
      </c>
      <c r="H630">
        <f>_xlfn.RANK.AVG(Table1[[#This Row],[Flux in RT / glucose uptake ($mmol/mmol\ glc$)]],Table1[Flux in RT / glucose uptake ($mmol/mmol\ glc$)])</f>
        <v>1290.5</v>
      </c>
      <c r="I630" t="e">
        <f>LOG(Table1[[#This Row],[Flux in SC / glucose uptake ($mmol/mmol\ glc$)]])</f>
        <v>#NUM!</v>
      </c>
      <c r="J630" t="e">
        <f>LOG(Table1[[#This Row],[Flux in RT / glucose uptake ($mmol/mmol\ glc$)]])</f>
        <v>#NUM!</v>
      </c>
    </row>
    <row r="631" spans="1:10" x14ac:dyDescent="0.2">
      <c r="A631" t="s">
        <v>634</v>
      </c>
      <c r="B631" t="s">
        <v>3114</v>
      </c>
      <c r="C631">
        <v>0</v>
      </c>
      <c r="D631">
        <v>0</v>
      </c>
      <c r="E631">
        <f>ABS(Table1[[#This Row],[Flux in SC / glucose uptake ($mmol/mmol\ glc$)]]-Table1[[#This Row],[Flux in RT / glucose uptake ($mmol/mmol\ glc$)]])/SQRT(2)</f>
        <v>0</v>
      </c>
      <c r="F631">
        <f>Table1[[#This Row],[distance from 45-degree line]]/MAX(Table1[[Flux in SC / glucose uptake ($mmol/mmol\ glc$)]:[Flux in RT / glucose uptake ($mmol/mmol\ glc$)]])</f>
        <v>0</v>
      </c>
      <c r="G631">
        <f>_xlfn.RANK.AVG(Table1[[#This Row],[Flux in SC / glucose uptake ($mmol/mmol\ glc$)]],Table1[Flux in SC / glucose uptake ($mmol/mmol\ glc$)])</f>
        <v>1310.5</v>
      </c>
      <c r="H631">
        <f>_xlfn.RANK.AVG(Table1[[#This Row],[Flux in RT / glucose uptake ($mmol/mmol\ glc$)]],Table1[Flux in RT / glucose uptake ($mmol/mmol\ glc$)])</f>
        <v>1290.5</v>
      </c>
      <c r="I631" t="e">
        <f>LOG(Table1[[#This Row],[Flux in SC / glucose uptake ($mmol/mmol\ glc$)]])</f>
        <v>#NUM!</v>
      </c>
      <c r="J631" t="e">
        <f>LOG(Table1[[#This Row],[Flux in RT / glucose uptake ($mmol/mmol\ glc$)]])</f>
        <v>#NUM!</v>
      </c>
    </row>
    <row r="632" spans="1:10" x14ac:dyDescent="0.2">
      <c r="A632" t="s">
        <v>635</v>
      </c>
      <c r="B632" t="s">
        <v>3114</v>
      </c>
      <c r="C632">
        <v>0</v>
      </c>
      <c r="D632">
        <v>0</v>
      </c>
      <c r="E632">
        <f>ABS(Table1[[#This Row],[Flux in SC / glucose uptake ($mmol/mmol\ glc$)]]-Table1[[#This Row],[Flux in RT / glucose uptake ($mmol/mmol\ glc$)]])/SQRT(2)</f>
        <v>0</v>
      </c>
      <c r="F632">
        <f>Table1[[#This Row],[distance from 45-degree line]]/MAX(Table1[[Flux in SC / glucose uptake ($mmol/mmol\ glc$)]:[Flux in RT / glucose uptake ($mmol/mmol\ glc$)]])</f>
        <v>0</v>
      </c>
      <c r="G632">
        <f>_xlfn.RANK.AVG(Table1[[#This Row],[Flux in SC / glucose uptake ($mmol/mmol\ glc$)]],Table1[Flux in SC / glucose uptake ($mmol/mmol\ glc$)])</f>
        <v>1310.5</v>
      </c>
      <c r="H632">
        <f>_xlfn.RANK.AVG(Table1[[#This Row],[Flux in RT / glucose uptake ($mmol/mmol\ glc$)]],Table1[Flux in RT / glucose uptake ($mmol/mmol\ glc$)])</f>
        <v>1290.5</v>
      </c>
      <c r="I632" t="e">
        <f>LOG(Table1[[#This Row],[Flux in SC / glucose uptake ($mmol/mmol\ glc$)]])</f>
        <v>#NUM!</v>
      </c>
      <c r="J632" t="e">
        <f>LOG(Table1[[#This Row],[Flux in RT / glucose uptake ($mmol/mmol\ glc$)]])</f>
        <v>#NUM!</v>
      </c>
    </row>
    <row r="633" spans="1:10" x14ac:dyDescent="0.2">
      <c r="A633" t="s">
        <v>636</v>
      </c>
      <c r="B633" t="s">
        <v>3114</v>
      </c>
      <c r="C633">
        <v>0</v>
      </c>
      <c r="D633">
        <v>0</v>
      </c>
      <c r="E633">
        <f>ABS(Table1[[#This Row],[Flux in SC / glucose uptake ($mmol/mmol\ glc$)]]-Table1[[#This Row],[Flux in RT / glucose uptake ($mmol/mmol\ glc$)]])/SQRT(2)</f>
        <v>0</v>
      </c>
      <c r="F633">
        <f>Table1[[#This Row],[distance from 45-degree line]]/MAX(Table1[[Flux in SC / glucose uptake ($mmol/mmol\ glc$)]:[Flux in RT / glucose uptake ($mmol/mmol\ glc$)]])</f>
        <v>0</v>
      </c>
      <c r="G633">
        <f>_xlfn.RANK.AVG(Table1[[#This Row],[Flux in SC / glucose uptake ($mmol/mmol\ glc$)]],Table1[Flux in SC / glucose uptake ($mmol/mmol\ glc$)])</f>
        <v>1310.5</v>
      </c>
      <c r="H633">
        <f>_xlfn.RANK.AVG(Table1[[#This Row],[Flux in RT / glucose uptake ($mmol/mmol\ glc$)]],Table1[Flux in RT / glucose uptake ($mmol/mmol\ glc$)])</f>
        <v>1290.5</v>
      </c>
      <c r="I633" t="e">
        <f>LOG(Table1[[#This Row],[Flux in SC / glucose uptake ($mmol/mmol\ glc$)]])</f>
        <v>#NUM!</v>
      </c>
      <c r="J633" t="e">
        <f>LOG(Table1[[#This Row],[Flux in RT / glucose uptake ($mmol/mmol\ glc$)]])</f>
        <v>#NUM!</v>
      </c>
    </row>
    <row r="634" spans="1:10" x14ac:dyDescent="0.2">
      <c r="A634" t="s">
        <v>637</v>
      </c>
      <c r="B634" t="s">
        <v>3114</v>
      </c>
      <c r="C634">
        <v>0</v>
      </c>
      <c r="D634">
        <v>0</v>
      </c>
      <c r="E634">
        <f>ABS(Table1[[#This Row],[Flux in SC / glucose uptake ($mmol/mmol\ glc$)]]-Table1[[#This Row],[Flux in RT / glucose uptake ($mmol/mmol\ glc$)]])/SQRT(2)</f>
        <v>0</v>
      </c>
      <c r="F634">
        <f>Table1[[#This Row],[distance from 45-degree line]]/MAX(Table1[[Flux in SC / glucose uptake ($mmol/mmol\ glc$)]:[Flux in RT / glucose uptake ($mmol/mmol\ glc$)]])</f>
        <v>0</v>
      </c>
      <c r="G634">
        <f>_xlfn.RANK.AVG(Table1[[#This Row],[Flux in SC / glucose uptake ($mmol/mmol\ glc$)]],Table1[Flux in SC / glucose uptake ($mmol/mmol\ glc$)])</f>
        <v>1310.5</v>
      </c>
      <c r="H634">
        <f>_xlfn.RANK.AVG(Table1[[#This Row],[Flux in RT / glucose uptake ($mmol/mmol\ glc$)]],Table1[Flux in RT / glucose uptake ($mmol/mmol\ glc$)])</f>
        <v>1290.5</v>
      </c>
      <c r="I634" t="e">
        <f>LOG(Table1[[#This Row],[Flux in SC / glucose uptake ($mmol/mmol\ glc$)]])</f>
        <v>#NUM!</v>
      </c>
      <c r="J634" t="e">
        <f>LOG(Table1[[#This Row],[Flux in RT / glucose uptake ($mmol/mmol\ glc$)]])</f>
        <v>#NUM!</v>
      </c>
    </row>
    <row r="635" spans="1:10" x14ac:dyDescent="0.2">
      <c r="A635" t="s">
        <v>638</v>
      </c>
      <c r="B635" t="s">
        <v>3114</v>
      </c>
      <c r="C635">
        <v>0</v>
      </c>
      <c r="D635">
        <v>0</v>
      </c>
      <c r="E635">
        <f>ABS(Table1[[#This Row],[Flux in SC / glucose uptake ($mmol/mmol\ glc$)]]-Table1[[#This Row],[Flux in RT / glucose uptake ($mmol/mmol\ glc$)]])/SQRT(2)</f>
        <v>0</v>
      </c>
      <c r="F635">
        <f>Table1[[#This Row],[distance from 45-degree line]]/MAX(Table1[[Flux in SC / glucose uptake ($mmol/mmol\ glc$)]:[Flux in RT / glucose uptake ($mmol/mmol\ glc$)]])</f>
        <v>0</v>
      </c>
      <c r="G635">
        <f>_xlfn.RANK.AVG(Table1[[#This Row],[Flux in SC / glucose uptake ($mmol/mmol\ glc$)]],Table1[Flux in SC / glucose uptake ($mmol/mmol\ glc$)])</f>
        <v>1310.5</v>
      </c>
      <c r="H635">
        <f>_xlfn.RANK.AVG(Table1[[#This Row],[Flux in RT / glucose uptake ($mmol/mmol\ glc$)]],Table1[Flux in RT / glucose uptake ($mmol/mmol\ glc$)])</f>
        <v>1290.5</v>
      </c>
      <c r="I635" t="e">
        <f>LOG(Table1[[#This Row],[Flux in SC / glucose uptake ($mmol/mmol\ glc$)]])</f>
        <v>#NUM!</v>
      </c>
      <c r="J635" t="e">
        <f>LOG(Table1[[#This Row],[Flux in RT / glucose uptake ($mmol/mmol\ glc$)]])</f>
        <v>#NUM!</v>
      </c>
    </row>
    <row r="636" spans="1:10" x14ac:dyDescent="0.2">
      <c r="A636" t="s">
        <v>639</v>
      </c>
      <c r="B636" t="s">
        <v>3114</v>
      </c>
      <c r="C636">
        <v>0</v>
      </c>
      <c r="D636">
        <v>0</v>
      </c>
      <c r="E636">
        <f>ABS(Table1[[#This Row],[Flux in SC / glucose uptake ($mmol/mmol\ glc$)]]-Table1[[#This Row],[Flux in RT / glucose uptake ($mmol/mmol\ glc$)]])/SQRT(2)</f>
        <v>0</v>
      </c>
      <c r="F636">
        <f>Table1[[#This Row],[distance from 45-degree line]]/MAX(Table1[[Flux in SC / glucose uptake ($mmol/mmol\ glc$)]:[Flux in RT / glucose uptake ($mmol/mmol\ glc$)]])</f>
        <v>0</v>
      </c>
      <c r="G636">
        <f>_xlfn.RANK.AVG(Table1[[#This Row],[Flux in SC / glucose uptake ($mmol/mmol\ glc$)]],Table1[Flux in SC / glucose uptake ($mmol/mmol\ glc$)])</f>
        <v>1310.5</v>
      </c>
      <c r="H636">
        <f>_xlfn.RANK.AVG(Table1[[#This Row],[Flux in RT / glucose uptake ($mmol/mmol\ glc$)]],Table1[Flux in RT / glucose uptake ($mmol/mmol\ glc$)])</f>
        <v>1290.5</v>
      </c>
      <c r="I636" t="e">
        <f>LOG(Table1[[#This Row],[Flux in SC / glucose uptake ($mmol/mmol\ glc$)]])</f>
        <v>#NUM!</v>
      </c>
      <c r="J636" t="e">
        <f>LOG(Table1[[#This Row],[Flux in RT / glucose uptake ($mmol/mmol\ glc$)]])</f>
        <v>#NUM!</v>
      </c>
    </row>
    <row r="637" spans="1:10" x14ac:dyDescent="0.2">
      <c r="A637" t="s">
        <v>640</v>
      </c>
      <c r="B637" t="s">
        <v>3114</v>
      </c>
      <c r="C637">
        <v>0</v>
      </c>
      <c r="D637">
        <v>0</v>
      </c>
      <c r="E637">
        <f>ABS(Table1[[#This Row],[Flux in SC / glucose uptake ($mmol/mmol\ glc$)]]-Table1[[#This Row],[Flux in RT / glucose uptake ($mmol/mmol\ glc$)]])/SQRT(2)</f>
        <v>0</v>
      </c>
      <c r="F637">
        <f>Table1[[#This Row],[distance from 45-degree line]]/MAX(Table1[[Flux in SC / glucose uptake ($mmol/mmol\ glc$)]:[Flux in RT / glucose uptake ($mmol/mmol\ glc$)]])</f>
        <v>0</v>
      </c>
      <c r="G637">
        <f>_xlfn.RANK.AVG(Table1[[#This Row],[Flux in SC / glucose uptake ($mmol/mmol\ glc$)]],Table1[Flux in SC / glucose uptake ($mmol/mmol\ glc$)])</f>
        <v>1310.5</v>
      </c>
      <c r="H637">
        <f>_xlfn.RANK.AVG(Table1[[#This Row],[Flux in RT / glucose uptake ($mmol/mmol\ glc$)]],Table1[Flux in RT / glucose uptake ($mmol/mmol\ glc$)])</f>
        <v>1290.5</v>
      </c>
      <c r="I637" t="e">
        <f>LOG(Table1[[#This Row],[Flux in SC / glucose uptake ($mmol/mmol\ glc$)]])</f>
        <v>#NUM!</v>
      </c>
      <c r="J637" t="e">
        <f>LOG(Table1[[#This Row],[Flux in RT / glucose uptake ($mmol/mmol\ glc$)]])</f>
        <v>#NUM!</v>
      </c>
    </row>
    <row r="638" spans="1:10" x14ac:dyDescent="0.2">
      <c r="A638" t="s">
        <v>641</v>
      </c>
      <c r="B638" t="s">
        <v>3134</v>
      </c>
      <c r="C638">
        <v>0</v>
      </c>
      <c r="D638">
        <v>0</v>
      </c>
      <c r="E638">
        <f>ABS(Table1[[#This Row],[Flux in SC / glucose uptake ($mmol/mmol\ glc$)]]-Table1[[#This Row],[Flux in RT / glucose uptake ($mmol/mmol\ glc$)]])/SQRT(2)</f>
        <v>0</v>
      </c>
      <c r="F638">
        <f>Table1[[#This Row],[distance from 45-degree line]]/MAX(Table1[[Flux in SC / glucose uptake ($mmol/mmol\ glc$)]:[Flux in RT / glucose uptake ($mmol/mmol\ glc$)]])</f>
        <v>0</v>
      </c>
      <c r="G638">
        <f>_xlfn.RANK.AVG(Table1[[#This Row],[Flux in SC / glucose uptake ($mmol/mmol\ glc$)]],Table1[Flux in SC / glucose uptake ($mmol/mmol\ glc$)])</f>
        <v>1310.5</v>
      </c>
      <c r="H638">
        <f>_xlfn.RANK.AVG(Table1[[#This Row],[Flux in RT / glucose uptake ($mmol/mmol\ glc$)]],Table1[Flux in RT / glucose uptake ($mmol/mmol\ glc$)])</f>
        <v>1290.5</v>
      </c>
      <c r="I638" t="e">
        <f>LOG(Table1[[#This Row],[Flux in SC / glucose uptake ($mmol/mmol\ glc$)]])</f>
        <v>#NUM!</v>
      </c>
      <c r="J638" t="e">
        <f>LOG(Table1[[#This Row],[Flux in RT / glucose uptake ($mmol/mmol\ glc$)]])</f>
        <v>#NUM!</v>
      </c>
    </row>
    <row r="639" spans="1:10" x14ac:dyDescent="0.2">
      <c r="A639" t="s">
        <v>642</v>
      </c>
      <c r="B639" t="s">
        <v>3131</v>
      </c>
      <c r="C639">
        <v>0</v>
      </c>
      <c r="D639">
        <v>0</v>
      </c>
      <c r="E639">
        <f>ABS(Table1[[#This Row],[Flux in SC / glucose uptake ($mmol/mmol\ glc$)]]-Table1[[#This Row],[Flux in RT / glucose uptake ($mmol/mmol\ glc$)]])/SQRT(2)</f>
        <v>0</v>
      </c>
      <c r="F639">
        <f>Table1[[#This Row],[distance from 45-degree line]]/MAX(Table1[[Flux in SC / glucose uptake ($mmol/mmol\ glc$)]:[Flux in RT / glucose uptake ($mmol/mmol\ glc$)]])</f>
        <v>0</v>
      </c>
      <c r="G639">
        <f>_xlfn.RANK.AVG(Table1[[#This Row],[Flux in SC / glucose uptake ($mmol/mmol\ glc$)]],Table1[Flux in SC / glucose uptake ($mmol/mmol\ glc$)])</f>
        <v>1310.5</v>
      </c>
      <c r="H639">
        <f>_xlfn.RANK.AVG(Table1[[#This Row],[Flux in RT / glucose uptake ($mmol/mmol\ glc$)]],Table1[Flux in RT / glucose uptake ($mmol/mmol\ glc$)])</f>
        <v>1290.5</v>
      </c>
      <c r="I639" t="e">
        <f>LOG(Table1[[#This Row],[Flux in SC / glucose uptake ($mmol/mmol\ glc$)]])</f>
        <v>#NUM!</v>
      </c>
      <c r="J639" t="e">
        <f>LOG(Table1[[#This Row],[Flux in RT / glucose uptake ($mmol/mmol\ glc$)]])</f>
        <v>#NUM!</v>
      </c>
    </row>
    <row r="640" spans="1:10" x14ac:dyDescent="0.2">
      <c r="A640" t="s">
        <v>643</v>
      </c>
      <c r="B640" t="s">
        <v>3176</v>
      </c>
      <c r="C640">
        <v>0</v>
      </c>
      <c r="D640">
        <v>0</v>
      </c>
      <c r="E640">
        <f>ABS(Table1[[#This Row],[Flux in SC / glucose uptake ($mmol/mmol\ glc$)]]-Table1[[#This Row],[Flux in RT / glucose uptake ($mmol/mmol\ glc$)]])/SQRT(2)</f>
        <v>0</v>
      </c>
      <c r="F640">
        <f>Table1[[#This Row],[distance from 45-degree line]]/MAX(Table1[[Flux in SC / glucose uptake ($mmol/mmol\ glc$)]:[Flux in RT / glucose uptake ($mmol/mmol\ glc$)]])</f>
        <v>0</v>
      </c>
      <c r="G640">
        <f>_xlfn.RANK.AVG(Table1[[#This Row],[Flux in SC / glucose uptake ($mmol/mmol\ glc$)]],Table1[Flux in SC / glucose uptake ($mmol/mmol\ glc$)])</f>
        <v>1310.5</v>
      </c>
      <c r="H640">
        <f>_xlfn.RANK.AVG(Table1[[#This Row],[Flux in RT / glucose uptake ($mmol/mmol\ glc$)]],Table1[Flux in RT / glucose uptake ($mmol/mmol\ glc$)])</f>
        <v>1290.5</v>
      </c>
      <c r="I640" t="e">
        <f>LOG(Table1[[#This Row],[Flux in SC / glucose uptake ($mmol/mmol\ glc$)]])</f>
        <v>#NUM!</v>
      </c>
      <c r="J640" t="e">
        <f>LOG(Table1[[#This Row],[Flux in RT / glucose uptake ($mmol/mmol\ glc$)]])</f>
        <v>#NUM!</v>
      </c>
    </row>
    <row r="641" spans="1:10" x14ac:dyDescent="0.2">
      <c r="A641" t="s">
        <v>644</v>
      </c>
      <c r="B641" t="s">
        <v>3131</v>
      </c>
      <c r="C641">
        <v>0</v>
      </c>
      <c r="D641">
        <v>0</v>
      </c>
      <c r="E641">
        <f>ABS(Table1[[#This Row],[Flux in SC / glucose uptake ($mmol/mmol\ glc$)]]-Table1[[#This Row],[Flux in RT / glucose uptake ($mmol/mmol\ glc$)]])/SQRT(2)</f>
        <v>0</v>
      </c>
      <c r="F641">
        <f>Table1[[#This Row],[distance from 45-degree line]]/MAX(Table1[[Flux in SC / glucose uptake ($mmol/mmol\ glc$)]:[Flux in RT / glucose uptake ($mmol/mmol\ glc$)]])</f>
        <v>0</v>
      </c>
      <c r="G641">
        <f>_xlfn.RANK.AVG(Table1[[#This Row],[Flux in SC / glucose uptake ($mmol/mmol\ glc$)]],Table1[Flux in SC / glucose uptake ($mmol/mmol\ glc$)])</f>
        <v>1310.5</v>
      </c>
      <c r="H641">
        <f>_xlfn.RANK.AVG(Table1[[#This Row],[Flux in RT / glucose uptake ($mmol/mmol\ glc$)]],Table1[Flux in RT / glucose uptake ($mmol/mmol\ glc$)])</f>
        <v>1290.5</v>
      </c>
      <c r="I641" t="e">
        <f>LOG(Table1[[#This Row],[Flux in SC / glucose uptake ($mmol/mmol\ glc$)]])</f>
        <v>#NUM!</v>
      </c>
      <c r="J641" t="e">
        <f>LOG(Table1[[#This Row],[Flux in RT / glucose uptake ($mmol/mmol\ glc$)]])</f>
        <v>#NUM!</v>
      </c>
    </row>
    <row r="642" spans="1:10" x14ac:dyDescent="0.2">
      <c r="A642" t="s">
        <v>645</v>
      </c>
      <c r="B642" t="s">
        <v>3176</v>
      </c>
      <c r="C642">
        <v>0</v>
      </c>
      <c r="D642">
        <v>0</v>
      </c>
      <c r="E642">
        <f>ABS(Table1[[#This Row],[Flux in SC / glucose uptake ($mmol/mmol\ glc$)]]-Table1[[#This Row],[Flux in RT / glucose uptake ($mmol/mmol\ glc$)]])/SQRT(2)</f>
        <v>0</v>
      </c>
      <c r="F642">
        <f>Table1[[#This Row],[distance from 45-degree line]]/MAX(Table1[[Flux in SC / glucose uptake ($mmol/mmol\ glc$)]:[Flux in RT / glucose uptake ($mmol/mmol\ glc$)]])</f>
        <v>0</v>
      </c>
      <c r="G642">
        <f>_xlfn.RANK.AVG(Table1[[#This Row],[Flux in SC / glucose uptake ($mmol/mmol\ glc$)]],Table1[Flux in SC / glucose uptake ($mmol/mmol\ glc$)])</f>
        <v>1310.5</v>
      </c>
      <c r="H642">
        <f>_xlfn.RANK.AVG(Table1[[#This Row],[Flux in RT / glucose uptake ($mmol/mmol\ glc$)]],Table1[Flux in RT / glucose uptake ($mmol/mmol\ glc$)])</f>
        <v>1290.5</v>
      </c>
      <c r="I642" t="e">
        <f>LOG(Table1[[#This Row],[Flux in SC / glucose uptake ($mmol/mmol\ glc$)]])</f>
        <v>#NUM!</v>
      </c>
      <c r="J642" t="e">
        <f>LOG(Table1[[#This Row],[Flux in RT / glucose uptake ($mmol/mmol\ glc$)]])</f>
        <v>#NUM!</v>
      </c>
    </row>
    <row r="643" spans="1:10" x14ac:dyDescent="0.2">
      <c r="A643" t="s">
        <v>646</v>
      </c>
      <c r="B643" t="s">
        <v>3134</v>
      </c>
      <c r="C643">
        <v>0</v>
      </c>
      <c r="D643">
        <v>0</v>
      </c>
      <c r="E643">
        <f>ABS(Table1[[#This Row],[Flux in SC / glucose uptake ($mmol/mmol\ glc$)]]-Table1[[#This Row],[Flux in RT / glucose uptake ($mmol/mmol\ glc$)]])/SQRT(2)</f>
        <v>0</v>
      </c>
      <c r="F643">
        <f>Table1[[#This Row],[distance from 45-degree line]]/MAX(Table1[[Flux in SC / glucose uptake ($mmol/mmol\ glc$)]:[Flux in RT / glucose uptake ($mmol/mmol\ glc$)]])</f>
        <v>0</v>
      </c>
      <c r="G643">
        <f>_xlfn.RANK.AVG(Table1[[#This Row],[Flux in SC / glucose uptake ($mmol/mmol\ glc$)]],Table1[Flux in SC / glucose uptake ($mmol/mmol\ glc$)])</f>
        <v>1310.5</v>
      </c>
      <c r="H643">
        <f>_xlfn.RANK.AVG(Table1[[#This Row],[Flux in RT / glucose uptake ($mmol/mmol\ glc$)]],Table1[Flux in RT / glucose uptake ($mmol/mmol\ glc$)])</f>
        <v>1290.5</v>
      </c>
      <c r="I643" t="e">
        <f>LOG(Table1[[#This Row],[Flux in SC / glucose uptake ($mmol/mmol\ glc$)]])</f>
        <v>#NUM!</v>
      </c>
      <c r="J643" t="e">
        <f>LOG(Table1[[#This Row],[Flux in RT / glucose uptake ($mmol/mmol\ glc$)]])</f>
        <v>#NUM!</v>
      </c>
    </row>
    <row r="644" spans="1:10" x14ac:dyDescent="0.2">
      <c r="A644" t="s">
        <v>647</v>
      </c>
      <c r="B644" t="s">
        <v>3147</v>
      </c>
      <c r="C644">
        <v>0</v>
      </c>
      <c r="D644">
        <v>0</v>
      </c>
      <c r="E644">
        <f>ABS(Table1[[#This Row],[Flux in SC / glucose uptake ($mmol/mmol\ glc$)]]-Table1[[#This Row],[Flux in RT / glucose uptake ($mmol/mmol\ glc$)]])/SQRT(2)</f>
        <v>0</v>
      </c>
      <c r="F644">
        <f>Table1[[#This Row],[distance from 45-degree line]]/MAX(Table1[[Flux in SC / glucose uptake ($mmol/mmol\ glc$)]:[Flux in RT / glucose uptake ($mmol/mmol\ glc$)]])</f>
        <v>0</v>
      </c>
      <c r="G644">
        <f>_xlfn.RANK.AVG(Table1[[#This Row],[Flux in SC / glucose uptake ($mmol/mmol\ glc$)]],Table1[Flux in SC / glucose uptake ($mmol/mmol\ glc$)])</f>
        <v>1310.5</v>
      </c>
      <c r="H644">
        <f>_xlfn.RANK.AVG(Table1[[#This Row],[Flux in RT / glucose uptake ($mmol/mmol\ glc$)]],Table1[Flux in RT / glucose uptake ($mmol/mmol\ glc$)])</f>
        <v>1290.5</v>
      </c>
      <c r="I644" t="e">
        <f>LOG(Table1[[#This Row],[Flux in SC / glucose uptake ($mmol/mmol\ glc$)]])</f>
        <v>#NUM!</v>
      </c>
      <c r="J644" t="e">
        <f>LOG(Table1[[#This Row],[Flux in RT / glucose uptake ($mmol/mmol\ glc$)]])</f>
        <v>#NUM!</v>
      </c>
    </row>
    <row r="645" spans="1:10" x14ac:dyDescent="0.2">
      <c r="A645" t="s">
        <v>648</v>
      </c>
      <c r="B645" t="s">
        <v>3157</v>
      </c>
      <c r="C645">
        <v>0</v>
      </c>
      <c r="D645">
        <v>0</v>
      </c>
      <c r="E645">
        <f>ABS(Table1[[#This Row],[Flux in SC / glucose uptake ($mmol/mmol\ glc$)]]-Table1[[#This Row],[Flux in RT / glucose uptake ($mmol/mmol\ glc$)]])/SQRT(2)</f>
        <v>0</v>
      </c>
      <c r="F645">
        <f>Table1[[#This Row],[distance from 45-degree line]]/MAX(Table1[[Flux in SC / glucose uptake ($mmol/mmol\ glc$)]:[Flux in RT / glucose uptake ($mmol/mmol\ glc$)]])</f>
        <v>0</v>
      </c>
      <c r="G645">
        <f>_xlfn.RANK.AVG(Table1[[#This Row],[Flux in SC / glucose uptake ($mmol/mmol\ glc$)]],Table1[Flux in SC / glucose uptake ($mmol/mmol\ glc$)])</f>
        <v>1310.5</v>
      </c>
      <c r="H645">
        <f>_xlfn.RANK.AVG(Table1[[#This Row],[Flux in RT / glucose uptake ($mmol/mmol\ glc$)]],Table1[Flux in RT / glucose uptake ($mmol/mmol\ glc$)])</f>
        <v>1290.5</v>
      </c>
      <c r="I645" t="e">
        <f>LOG(Table1[[#This Row],[Flux in SC / glucose uptake ($mmol/mmol\ glc$)]])</f>
        <v>#NUM!</v>
      </c>
      <c r="J645" t="e">
        <f>LOG(Table1[[#This Row],[Flux in RT / glucose uptake ($mmol/mmol\ glc$)]])</f>
        <v>#NUM!</v>
      </c>
    </row>
    <row r="646" spans="1:10" x14ac:dyDescent="0.2">
      <c r="A646" t="s">
        <v>649</v>
      </c>
      <c r="B646" t="s">
        <v>3114</v>
      </c>
      <c r="C646">
        <v>0</v>
      </c>
      <c r="D646">
        <v>0</v>
      </c>
      <c r="E646">
        <f>ABS(Table1[[#This Row],[Flux in SC / glucose uptake ($mmol/mmol\ glc$)]]-Table1[[#This Row],[Flux in RT / glucose uptake ($mmol/mmol\ glc$)]])/SQRT(2)</f>
        <v>0</v>
      </c>
      <c r="F646">
        <f>Table1[[#This Row],[distance from 45-degree line]]/MAX(Table1[[Flux in SC / glucose uptake ($mmol/mmol\ glc$)]:[Flux in RT / glucose uptake ($mmol/mmol\ glc$)]])</f>
        <v>0</v>
      </c>
      <c r="G646">
        <f>_xlfn.RANK.AVG(Table1[[#This Row],[Flux in SC / glucose uptake ($mmol/mmol\ glc$)]],Table1[Flux in SC / glucose uptake ($mmol/mmol\ glc$)])</f>
        <v>1310.5</v>
      </c>
      <c r="H646">
        <f>_xlfn.RANK.AVG(Table1[[#This Row],[Flux in RT / glucose uptake ($mmol/mmol\ glc$)]],Table1[Flux in RT / glucose uptake ($mmol/mmol\ glc$)])</f>
        <v>1290.5</v>
      </c>
      <c r="I646" t="e">
        <f>LOG(Table1[[#This Row],[Flux in SC / glucose uptake ($mmol/mmol\ glc$)]])</f>
        <v>#NUM!</v>
      </c>
      <c r="J646" t="e">
        <f>LOG(Table1[[#This Row],[Flux in RT / glucose uptake ($mmol/mmol\ glc$)]])</f>
        <v>#NUM!</v>
      </c>
    </row>
    <row r="647" spans="1:10" x14ac:dyDescent="0.2">
      <c r="A647" t="s">
        <v>650</v>
      </c>
      <c r="B647" t="s">
        <v>3114</v>
      </c>
      <c r="C647">
        <v>0</v>
      </c>
      <c r="D647">
        <v>0</v>
      </c>
      <c r="E647">
        <f>ABS(Table1[[#This Row],[Flux in SC / glucose uptake ($mmol/mmol\ glc$)]]-Table1[[#This Row],[Flux in RT / glucose uptake ($mmol/mmol\ glc$)]])/SQRT(2)</f>
        <v>0</v>
      </c>
      <c r="F647">
        <f>Table1[[#This Row],[distance from 45-degree line]]/MAX(Table1[[Flux in SC / glucose uptake ($mmol/mmol\ glc$)]:[Flux in RT / glucose uptake ($mmol/mmol\ glc$)]])</f>
        <v>0</v>
      </c>
      <c r="G647">
        <f>_xlfn.RANK.AVG(Table1[[#This Row],[Flux in SC / glucose uptake ($mmol/mmol\ glc$)]],Table1[Flux in SC / glucose uptake ($mmol/mmol\ glc$)])</f>
        <v>1310.5</v>
      </c>
      <c r="H647">
        <f>_xlfn.RANK.AVG(Table1[[#This Row],[Flux in RT / glucose uptake ($mmol/mmol\ glc$)]],Table1[Flux in RT / glucose uptake ($mmol/mmol\ glc$)])</f>
        <v>1290.5</v>
      </c>
      <c r="I647" t="e">
        <f>LOG(Table1[[#This Row],[Flux in SC / glucose uptake ($mmol/mmol\ glc$)]])</f>
        <v>#NUM!</v>
      </c>
      <c r="J647" t="e">
        <f>LOG(Table1[[#This Row],[Flux in RT / glucose uptake ($mmol/mmol\ glc$)]])</f>
        <v>#NUM!</v>
      </c>
    </row>
    <row r="648" spans="1:10" x14ac:dyDescent="0.2">
      <c r="A648" t="s">
        <v>651</v>
      </c>
      <c r="B648" t="s">
        <v>3114</v>
      </c>
      <c r="C648">
        <v>0</v>
      </c>
      <c r="D648">
        <v>0</v>
      </c>
      <c r="E648">
        <f>ABS(Table1[[#This Row],[Flux in SC / glucose uptake ($mmol/mmol\ glc$)]]-Table1[[#This Row],[Flux in RT / glucose uptake ($mmol/mmol\ glc$)]])/SQRT(2)</f>
        <v>0</v>
      </c>
      <c r="F648">
        <f>Table1[[#This Row],[distance from 45-degree line]]/MAX(Table1[[Flux in SC / glucose uptake ($mmol/mmol\ glc$)]:[Flux in RT / glucose uptake ($mmol/mmol\ glc$)]])</f>
        <v>0</v>
      </c>
      <c r="G648">
        <f>_xlfn.RANK.AVG(Table1[[#This Row],[Flux in SC / glucose uptake ($mmol/mmol\ glc$)]],Table1[Flux in SC / glucose uptake ($mmol/mmol\ glc$)])</f>
        <v>1310.5</v>
      </c>
      <c r="H648">
        <f>_xlfn.RANK.AVG(Table1[[#This Row],[Flux in RT / glucose uptake ($mmol/mmol\ glc$)]],Table1[Flux in RT / glucose uptake ($mmol/mmol\ glc$)])</f>
        <v>1290.5</v>
      </c>
      <c r="I648" t="e">
        <f>LOG(Table1[[#This Row],[Flux in SC / glucose uptake ($mmol/mmol\ glc$)]])</f>
        <v>#NUM!</v>
      </c>
      <c r="J648" t="e">
        <f>LOG(Table1[[#This Row],[Flux in RT / glucose uptake ($mmol/mmol\ glc$)]])</f>
        <v>#NUM!</v>
      </c>
    </row>
    <row r="649" spans="1:10" x14ac:dyDescent="0.2">
      <c r="A649" t="s">
        <v>652</v>
      </c>
      <c r="B649" t="s">
        <v>3162</v>
      </c>
      <c r="C649">
        <v>0</v>
      </c>
      <c r="D649">
        <v>0</v>
      </c>
      <c r="E649">
        <f>ABS(Table1[[#This Row],[Flux in SC / glucose uptake ($mmol/mmol\ glc$)]]-Table1[[#This Row],[Flux in RT / glucose uptake ($mmol/mmol\ glc$)]])/SQRT(2)</f>
        <v>0</v>
      </c>
      <c r="F649">
        <f>Table1[[#This Row],[distance from 45-degree line]]/MAX(Table1[[Flux in SC / glucose uptake ($mmol/mmol\ glc$)]:[Flux in RT / glucose uptake ($mmol/mmol\ glc$)]])</f>
        <v>0</v>
      </c>
      <c r="G649">
        <f>_xlfn.RANK.AVG(Table1[[#This Row],[Flux in SC / glucose uptake ($mmol/mmol\ glc$)]],Table1[Flux in SC / glucose uptake ($mmol/mmol\ glc$)])</f>
        <v>1310.5</v>
      </c>
      <c r="H649">
        <f>_xlfn.RANK.AVG(Table1[[#This Row],[Flux in RT / glucose uptake ($mmol/mmol\ glc$)]],Table1[Flux in RT / glucose uptake ($mmol/mmol\ glc$)])</f>
        <v>1290.5</v>
      </c>
      <c r="I649" t="e">
        <f>LOG(Table1[[#This Row],[Flux in SC / glucose uptake ($mmol/mmol\ glc$)]])</f>
        <v>#NUM!</v>
      </c>
      <c r="J649" t="e">
        <f>LOG(Table1[[#This Row],[Flux in RT / glucose uptake ($mmol/mmol\ glc$)]])</f>
        <v>#NUM!</v>
      </c>
    </row>
    <row r="650" spans="1:10" x14ac:dyDescent="0.2">
      <c r="A650" t="s">
        <v>653</v>
      </c>
      <c r="B650" t="s">
        <v>3162</v>
      </c>
      <c r="C650">
        <v>0</v>
      </c>
      <c r="D650">
        <v>0</v>
      </c>
      <c r="E650">
        <f>ABS(Table1[[#This Row],[Flux in SC / glucose uptake ($mmol/mmol\ glc$)]]-Table1[[#This Row],[Flux in RT / glucose uptake ($mmol/mmol\ glc$)]])/SQRT(2)</f>
        <v>0</v>
      </c>
      <c r="F650">
        <f>Table1[[#This Row],[distance from 45-degree line]]/MAX(Table1[[Flux in SC / glucose uptake ($mmol/mmol\ glc$)]:[Flux in RT / glucose uptake ($mmol/mmol\ glc$)]])</f>
        <v>0</v>
      </c>
      <c r="G650">
        <f>_xlfn.RANK.AVG(Table1[[#This Row],[Flux in SC / glucose uptake ($mmol/mmol\ glc$)]],Table1[Flux in SC / glucose uptake ($mmol/mmol\ glc$)])</f>
        <v>1310.5</v>
      </c>
      <c r="H650">
        <f>_xlfn.RANK.AVG(Table1[[#This Row],[Flux in RT / glucose uptake ($mmol/mmol\ glc$)]],Table1[Flux in RT / glucose uptake ($mmol/mmol\ glc$)])</f>
        <v>1290.5</v>
      </c>
      <c r="I650" t="e">
        <f>LOG(Table1[[#This Row],[Flux in SC / glucose uptake ($mmol/mmol\ glc$)]])</f>
        <v>#NUM!</v>
      </c>
      <c r="J650" t="e">
        <f>LOG(Table1[[#This Row],[Flux in RT / glucose uptake ($mmol/mmol\ glc$)]])</f>
        <v>#NUM!</v>
      </c>
    </row>
    <row r="651" spans="1:10" x14ac:dyDescent="0.2">
      <c r="A651" t="s">
        <v>654</v>
      </c>
      <c r="B651" t="s">
        <v>3162</v>
      </c>
      <c r="C651">
        <v>0</v>
      </c>
      <c r="D651">
        <v>0</v>
      </c>
      <c r="E651">
        <f>ABS(Table1[[#This Row],[Flux in SC / glucose uptake ($mmol/mmol\ glc$)]]-Table1[[#This Row],[Flux in RT / glucose uptake ($mmol/mmol\ glc$)]])/SQRT(2)</f>
        <v>0</v>
      </c>
      <c r="F651">
        <f>Table1[[#This Row],[distance from 45-degree line]]/MAX(Table1[[Flux in SC / glucose uptake ($mmol/mmol\ glc$)]:[Flux in RT / glucose uptake ($mmol/mmol\ glc$)]])</f>
        <v>0</v>
      </c>
      <c r="G651">
        <f>_xlfn.RANK.AVG(Table1[[#This Row],[Flux in SC / glucose uptake ($mmol/mmol\ glc$)]],Table1[Flux in SC / glucose uptake ($mmol/mmol\ glc$)])</f>
        <v>1310.5</v>
      </c>
      <c r="H651">
        <f>_xlfn.RANK.AVG(Table1[[#This Row],[Flux in RT / glucose uptake ($mmol/mmol\ glc$)]],Table1[Flux in RT / glucose uptake ($mmol/mmol\ glc$)])</f>
        <v>1290.5</v>
      </c>
      <c r="I651" t="e">
        <f>LOG(Table1[[#This Row],[Flux in SC / glucose uptake ($mmol/mmol\ glc$)]])</f>
        <v>#NUM!</v>
      </c>
      <c r="J651" t="e">
        <f>LOG(Table1[[#This Row],[Flux in RT / glucose uptake ($mmol/mmol\ glc$)]])</f>
        <v>#NUM!</v>
      </c>
    </row>
    <row r="652" spans="1:10" x14ac:dyDescent="0.2">
      <c r="A652" t="s">
        <v>655</v>
      </c>
      <c r="B652" t="s">
        <v>3114</v>
      </c>
      <c r="C652">
        <v>0</v>
      </c>
      <c r="D652">
        <v>0</v>
      </c>
      <c r="E652">
        <f>ABS(Table1[[#This Row],[Flux in SC / glucose uptake ($mmol/mmol\ glc$)]]-Table1[[#This Row],[Flux in RT / glucose uptake ($mmol/mmol\ glc$)]])/SQRT(2)</f>
        <v>0</v>
      </c>
      <c r="F652">
        <f>Table1[[#This Row],[distance from 45-degree line]]/MAX(Table1[[Flux in SC / glucose uptake ($mmol/mmol\ glc$)]:[Flux in RT / glucose uptake ($mmol/mmol\ glc$)]])</f>
        <v>0</v>
      </c>
      <c r="G652">
        <f>_xlfn.RANK.AVG(Table1[[#This Row],[Flux in SC / glucose uptake ($mmol/mmol\ glc$)]],Table1[Flux in SC / glucose uptake ($mmol/mmol\ glc$)])</f>
        <v>1310.5</v>
      </c>
      <c r="H652">
        <f>_xlfn.RANK.AVG(Table1[[#This Row],[Flux in RT / glucose uptake ($mmol/mmol\ glc$)]],Table1[Flux in RT / glucose uptake ($mmol/mmol\ glc$)])</f>
        <v>1290.5</v>
      </c>
      <c r="I652" t="e">
        <f>LOG(Table1[[#This Row],[Flux in SC / glucose uptake ($mmol/mmol\ glc$)]])</f>
        <v>#NUM!</v>
      </c>
      <c r="J652" t="e">
        <f>LOG(Table1[[#This Row],[Flux in RT / glucose uptake ($mmol/mmol\ glc$)]])</f>
        <v>#NUM!</v>
      </c>
    </row>
    <row r="653" spans="1:10" x14ac:dyDescent="0.2">
      <c r="A653" t="s">
        <v>656</v>
      </c>
      <c r="B653" t="s">
        <v>3114</v>
      </c>
      <c r="C653">
        <v>0</v>
      </c>
      <c r="D653">
        <v>0</v>
      </c>
      <c r="E653">
        <f>ABS(Table1[[#This Row],[Flux in SC / glucose uptake ($mmol/mmol\ glc$)]]-Table1[[#This Row],[Flux in RT / glucose uptake ($mmol/mmol\ glc$)]])/SQRT(2)</f>
        <v>0</v>
      </c>
      <c r="F653">
        <f>Table1[[#This Row],[distance from 45-degree line]]/MAX(Table1[[Flux in SC / glucose uptake ($mmol/mmol\ glc$)]:[Flux in RT / glucose uptake ($mmol/mmol\ glc$)]])</f>
        <v>0</v>
      </c>
      <c r="G653">
        <f>_xlfn.RANK.AVG(Table1[[#This Row],[Flux in SC / glucose uptake ($mmol/mmol\ glc$)]],Table1[Flux in SC / glucose uptake ($mmol/mmol\ glc$)])</f>
        <v>1310.5</v>
      </c>
      <c r="H653">
        <f>_xlfn.RANK.AVG(Table1[[#This Row],[Flux in RT / glucose uptake ($mmol/mmol\ glc$)]],Table1[Flux in RT / glucose uptake ($mmol/mmol\ glc$)])</f>
        <v>1290.5</v>
      </c>
      <c r="I653" t="e">
        <f>LOG(Table1[[#This Row],[Flux in SC / glucose uptake ($mmol/mmol\ glc$)]])</f>
        <v>#NUM!</v>
      </c>
      <c r="J653" t="e">
        <f>LOG(Table1[[#This Row],[Flux in RT / glucose uptake ($mmol/mmol\ glc$)]])</f>
        <v>#NUM!</v>
      </c>
    </row>
    <row r="654" spans="1:10" x14ac:dyDescent="0.2">
      <c r="A654" t="s">
        <v>657</v>
      </c>
      <c r="B654" t="s">
        <v>3114</v>
      </c>
      <c r="C654">
        <v>0</v>
      </c>
      <c r="D654">
        <v>0</v>
      </c>
      <c r="E654">
        <f>ABS(Table1[[#This Row],[Flux in SC / glucose uptake ($mmol/mmol\ glc$)]]-Table1[[#This Row],[Flux in RT / glucose uptake ($mmol/mmol\ glc$)]])/SQRT(2)</f>
        <v>0</v>
      </c>
      <c r="F654">
        <f>Table1[[#This Row],[distance from 45-degree line]]/MAX(Table1[[Flux in SC / glucose uptake ($mmol/mmol\ glc$)]:[Flux in RT / glucose uptake ($mmol/mmol\ glc$)]])</f>
        <v>0</v>
      </c>
      <c r="G654">
        <f>_xlfn.RANK.AVG(Table1[[#This Row],[Flux in SC / glucose uptake ($mmol/mmol\ glc$)]],Table1[Flux in SC / glucose uptake ($mmol/mmol\ glc$)])</f>
        <v>1310.5</v>
      </c>
      <c r="H654">
        <f>_xlfn.RANK.AVG(Table1[[#This Row],[Flux in RT / glucose uptake ($mmol/mmol\ glc$)]],Table1[Flux in RT / glucose uptake ($mmol/mmol\ glc$)])</f>
        <v>1290.5</v>
      </c>
      <c r="I654" t="e">
        <f>LOG(Table1[[#This Row],[Flux in SC / glucose uptake ($mmol/mmol\ glc$)]])</f>
        <v>#NUM!</v>
      </c>
      <c r="J654" t="e">
        <f>LOG(Table1[[#This Row],[Flux in RT / glucose uptake ($mmol/mmol\ glc$)]])</f>
        <v>#NUM!</v>
      </c>
    </row>
    <row r="655" spans="1:10" x14ac:dyDescent="0.2">
      <c r="A655" t="s">
        <v>658</v>
      </c>
      <c r="B655" t="s">
        <v>3114</v>
      </c>
      <c r="C655">
        <v>0</v>
      </c>
      <c r="D655">
        <v>0</v>
      </c>
      <c r="E655">
        <f>ABS(Table1[[#This Row],[Flux in SC / glucose uptake ($mmol/mmol\ glc$)]]-Table1[[#This Row],[Flux in RT / glucose uptake ($mmol/mmol\ glc$)]])/SQRT(2)</f>
        <v>0</v>
      </c>
      <c r="F655">
        <f>Table1[[#This Row],[distance from 45-degree line]]/MAX(Table1[[Flux in SC / glucose uptake ($mmol/mmol\ glc$)]:[Flux in RT / glucose uptake ($mmol/mmol\ glc$)]])</f>
        <v>0</v>
      </c>
      <c r="G655">
        <f>_xlfn.RANK.AVG(Table1[[#This Row],[Flux in SC / glucose uptake ($mmol/mmol\ glc$)]],Table1[Flux in SC / glucose uptake ($mmol/mmol\ glc$)])</f>
        <v>1310.5</v>
      </c>
      <c r="H655">
        <f>_xlfn.RANK.AVG(Table1[[#This Row],[Flux in RT / glucose uptake ($mmol/mmol\ glc$)]],Table1[Flux in RT / glucose uptake ($mmol/mmol\ glc$)])</f>
        <v>1290.5</v>
      </c>
      <c r="I655" t="e">
        <f>LOG(Table1[[#This Row],[Flux in SC / glucose uptake ($mmol/mmol\ glc$)]])</f>
        <v>#NUM!</v>
      </c>
      <c r="J655" t="e">
        <f>LOG(Table1[[#This Row],[Flux in RT / glucose uptake ($mmol/mmol\ glc$)]])</f>
        <v>#NUM!</v>
      </c>
    </row>
    <row r="656" spans="1:10" x14ac:dyDescent="0.2">
      <c r="A656" t="s">
        <v>659</v>
      </c>
      <c r="B656" t="s">
        <v>3114</v>
      </c>
      <c r="C656">
        <v>0</v>
      </c>
      <c r="D656">
        <v>0</v>
      </c>
      <c r="E656">
        <f>ABS(Table1[[#This Row],[Flux in SC / glucose uptake ($mmol/mmol\ glc$)]]-Table1[[#This Row],[Flux in RT / glucose uptake ($mmol/mmol\ glc$)]])/SQRT(2)</f>
        <v>0</v>
      </c>
      <c r="F656">
        <f>Table1[[#This Row],[distance from 45-degree line]]/MAX(Table1[[Flux in SC / glucose uptake ($mmol/mmol\ glc$)]:[Flux in RT / glucose uptake ($mmol/mmol\ glc$)]])</f>
        <v>0</v>
      </c>
      <c r="G656">
        <f>_xlfn.RANK.AVG(Table1[[#This Row],[Flux in SC / glucose uptake ($mmol/mmol\ glc$)]],Table1[Flux in SC / glucose uptake ($mmol/mmol\ glc$)])</f>
        <v>1310.5</v>
      </c>
      <c r="H656">
        <f>_xlfn.RANK.AVG(Table1[[#This Row],[Flux in RT / glucose uptake ($mmol/mmol\ glc$)]],Table1[Flux in RT / glucose uptake ($mmol/mmol\ glc$)])</f>
        <v>1290.5</v>
      </c>
      <c r="I656" t="e">
        <f>LOG(Table1[[#This Row],[Flux in SC / glucose uptake ($mmol/mmol\ glc$)]])</f>
        <v>#NUM!</v>
      </c>
      <c r="J656" t="e">
        <f>LOG(Table1[[#This Row],[Flux in RT / glucose uptake ($mmol/mmol\ glc$)]])</f>
        <v>#NUM!</v>
      </c>
    </row>
    <row r="657" spans="1:10" x14ac:dyDescent="0.2">
      <c r="A657" t="s">
        <v>660</v>
      </c>
      <c r="B657" t="s">
        <v>3114</v>
      </c>
      <c r="C657">
        <v>0</v>
      </c>
      <c r="D657">
        <v>0</v>
      </c>
      <c r="E657">
        <f>ABS(Table1[[#This Row],[Flux in SC / glucose uptake ($mmol/mmol\ glc$)]]-Table1[[#This Row],[Flux in RT / glucose uptake ($mmol/mmol\ glc$)]])/SQRT(2)</f>
        <v>0</v>
      </c>
      <c r="F657">
        <f>Table1[[#This Row],[distance from 45-degree line]]/MAX(Table1[[Flux in SC / glucose uptake ($mmol/mmol\ glc$)]:[Flux in RT / glucose uptake ($mmol/mmol\ glc$)]])</f>
        <v>0</v>
      </c>
      <c r="G657">
        <f>_xlfn.RANK.AVG(Table1[[#This Row],[Flux in SC / glucose uptake ($mmol/mmol\ glc$)]],Table1[Flux in SC / glucose uptake ($mmol/mmol\ glc$)])</f>
        <v>1310.5</v>
      </c>
      <c r="H657">
        <f>_xlfn.RANK.AVG(Table1[[#This Row],[Flux in RT / glucose uptake ($mmol/mmol\ glc$)]],Table1[Flux in RT / glucose uptake ($mmol/mmol\ glc$)])</f>
        <v>1290.5</v>
      </c>
      <c r="I657" t="e">
        <f>LOG(Table1[[#This Row],[Flux in SC / glucose uptake ($mmol/mmol\ glc$)]])</f>
        <v>#NUM!</v>
      </c>
      <c r="J657" t="e">
        <f>LOG(Table1[[#This Row],[Flux in RT / glucose uptake ($mmol/mmol\ glc$)]])</f>
        <v>#NUM!</v>
      </c>
    </row>
    <row r="658" spans="1:10" x14ac:dyDescent="0.2">
      <c r="A658" t="s">
        <v>661</v>
      </c>
      <c r="B658" t="s">
        <v>3114</v>
      </c>
      <c r="C658">
        <v>0</v>
      </c>
      <c r="D658">
        <v>0</v>
      </c>
      <c r="E658">
        <f>ABS(Table1[[#This Row],[Flux in SC / glucose uptake ($mmol/mmol\ glc$)]]-Table1[[#This Row],[Flux in RT / glucose uptake ($mmol/mmol\ glc$)]])/SQRT(2)</f>
        <v>0</v>
      </c>
      <c r="F658">
        <f>Table1[[#This Row],[distance from 45-degree line]]/MAX(Table1[[Flux in SC / glucose uptake ($mmol/mmol\ glc$)]:[Flux in RT / glucose uptake ($mmol/mmol\ glc$)]])</f>
        <v>0</v>
      </c>
      <c r="G658">
        <f>_xlfn.RANK.AVG(Table1[[#This Row],[Flux in SC / glucose uptake ($mmol/mmol\ glc$)]],Table1[Flux in SC / glucose uptake ($mmol/mmol\ glc$)])</f>
        <v>1310.5</v>
      </c>
      <c r="H658">
        <f>_xlfn.RANK.AVG(Table1[[#This Row],[Flux in RT / glucose uptake ($mmol/mmol\ glc$)]],Table1[Flux in RT / glucose uptake ($mmol/mmol\ glc$)])</f>
        <v>1290.5</v>
      </c>
      <c r="I658" t="e">
        <f>LOG(Table1[[#This Row],[Flux in SC / glucose uptake ($mmol/mmol\ glc$)]])</f>
        <v>#NUM!</v>
      </c>
      <c r="J658" t="e">
        <f>LOG(Table1[[#This Row],[Flux in RT / glucose uptake ($mmol/mmol\ glc$)]])</f>
        <v>#NUM!</v>
      </c>
    </row>
    <row r="659" spans="1:10" x14ac:dyDescent="0.2">
      <c r="A659" t="s">
        <v>662</v>
      </c>
      <c r="B659" t="s">
        <v>3120</v>
      </c>
      <c r="C659">
        <v>4.2395240083936388E-3</v>
      </c>
      <c r="D659">
        <v>1.9187997833945303E-2</v>
      </c>
      <c r="E659">
        <f>ABS(Table1[[#This Row],[Flux in SC / glucose uptake ($mmol/mmol\ glc$)]]-Table1[[#This Row],[Flux in RT / glucose uptake ($mmol/mmol\ glc$)]])/SQRT(2)</f>
        <v>1.0570167210437194E-2</v>
      </c>
      <c r="F659">
        <f>Table1[[#This Row],[distance from 45-degree line]]/MAX(Table1[[Flux in SC / glucose uptake ($mmol/mmol\ glc$)]:[Flux in RT / glucose uptake ($mmol/mmol\ glc$)]])</f>
        <v>5.6971995138478942E-4</v>
      </c>
      <c r="G659">
        <f>_xlfn.RANK.AVG(Table1[[#This Row],[Flux in SC / glucose uptake ($mmol/mmol\ glc$)]],Table1[Flux in SC / glucose uptake ($mmol/mmol\ glc$)])</f>
        <v>133</v>
      </c>
      <c r="H659">
        <f>_xlfn.RANK.AVG(Table1[[#This Row],[Flux in RT / glucose uptake ($mmol/mmol\ glc$)]],Table1[Flux in RT / glucose uptake ($mmol/mmol\ glc$)])</f>
        <v>153</v>
      </c>
      <c r="I659">
        <f>LOG(Table1[[#This Row],[Flux in SC / glucose uptake ($mmol/mmol\ glc$)]])</f>
        <v>-2.3726829009856614</v>
      </c>
      <c r="J659">
        <f>LOG(Table1[[#This Row],[Flux in RT / glucose uptake ($mmol/mmol\ glc$)]])</f>
        <v>-1.7169703392318678</v>
      </c>
    </row>
    <row r="660" spans="1:10" x14ac:dyDescent="0.2">
      <c r="A660" t="s">
        <v>663</v>
      </c>
      <c r="B660" t="s">
        <v>3120</v>
      </c>
      <c r="C660">
        <v>0</v>
      </c>
      <c r="D660">
        <v>0</v>
      </c>
      <c r="E660">
        <f>ABS(Table1[[#This Row],[Flux in SC / glucose uptake ($mmol/mmol\ glc$)]]-Table1[[#This Row],[Flux in RT / glucose uptake ($mmol/mmol\ glc$)]])/SQRT(2)</f>
        <v>0</v>
      </c>
      <c r="F660">
        <f>Table1[[#This Row],[distance from 45-degree line]]/MAX(Table1[[Flux in SC / glucose uptake ($mmol/mmol\ glc$)]:[Flux in RT / glucose uptake ($mmol/mmol\ glc$)]])</f>
        <v>0</v>
      </c>
      <c r="G660">
        <f>_xlfn.RANK.AVG(Table1[[#This Row],[Flux in SC / glucose uptake ($mmol/mmol\ glc$)]],Table1[Flux in SC / glucose uptake ($mmol/mmol\ glc$)])</f>
        <v>1310.5</v>
      </c>
      <c r="H660">
        <f>_xlfn.RANK.AVG(Table1[[#This Row],[Flux in RT / glucose uptake ($mmol/mmol\ glc$)]],Table1[Flux in RT / glucose uptake ($mmol/mmol\ glc$)])</f>
        <v>1290.5</v>
      </c>
      <c r="I660" t="e">
        <f>LOG(Table1[[#This Row],[Flux in SC / glucose uptake ($mmol/mmol\ glc$)]])</f>
        <v>#NUM!</v>
      </c>
      <c r="J660" t="e">
        <f>LOG(Table1[[#This Row],[Flux in RT / glucose uptake ($mmol/mmol\ glc$)]])</f>
        <v>#NUM!</v>
      </c>
    </row>
    <row r="661" spans="1:10" x14ac:dyDescent="0.2">
      <c r="A661" t="s">
        <v>664</v>
      </c>
      <c r="B661" t="s">
        <v>3135</v>
      </c>
      <c r="C661">
        <v>0</v>
      </c>
      <c r="D661">
        <v>0</v>
      </c>
      <c r="E661">
        <f>ABS(Table1[[#This Row],[Flux in SC / glucose uptake ($mmol/mmol\ glc$)]]-Table1[[#This Row],[Flux in RT / glucose uptake ($mmol/mmol\ glc$)]])/SQRT(2)</f>
        <v>0</v>
      </c>
      <c r="F661">
        <f>Table1[[#This Row],[distance from 45-degree line]]/MAX(Table1[[Flux in SC / glucose uptake ($mmol/mmol\ glc$)]:[Flux in RT / glucose uptake ($mmol/mmol\ glc$)]])</f>
        <v>0</v>
      </c>
      <c r="G661">
        <f>_xlfn.RANK.AVG(Table1[[#This Row],[Flux in SC / glucose uptake ($mmol/mmol\ glc$)]],Table1[Flux in SC / glucose uptake ($mmol/mmol\ glc$)])</f>
        <v>1310.5</v>
      </c>
      <c r="H661">
        <f>_xlfn.RANK.AVG(Table1[[#This Row],[Flux in RT / glucose uptake ($mmol/mmol\ glc$)]],Table1[Flux in RT / glucose uptake ($mmol/mmol\ glc$)])</f>
        <v>1290.5</v>
      </c>
      <c r="I661" t="e">
        <f>LOG(Table1[[#This Row],[Flux in SC / glucose uptake ($mmol/mmol\ glc$)]])</f>
        <v>#NUM!</v>
      </c>
      <c r="J661" t="e">
        <f>LOG(Table1[[#This Row],[Flux in RT / glucose uptake ($mmol/mmol\ glc$)]])</f>
        <v>#NUM!</v>
      </c>
    </row>
    <row r="662" spans="1:10" x14ac:dyDescent="0.2">
      <c r="A662" t="s">
        <v>665</v>
      </c>
      <c r="B662" t="s">
        <v>3135</v>
      </c>
      <c r="C662">
        <v>0</v>
      </c>
      <c r="D662">
        <v>0</v>
      </c>
      <c r="E662">
        <f>ABS(Table1[[#This Row],[Flux in SC / glucose uptake ($mmol/mmol\ glc$)]]-Table1[[#This Row],[Flux in RT / glucose uptake ($mmol/mmol\ glc$)]])/SQRT(2)</f>
        <v>0</v>
      </c>
      <c r="F662">
        <f>Table1[[#This Row],[distance from 45-degree line]]/MAX(Table1[[Flux in SC / glucose uptake ($mmol/mmol\ glc$)]:[Flux in RT / glucose uptake ($mmol/mmol\ glc$)]])</f>
        <v>0</v>
      </c>
      <c r="G662">
        <f>_xlfn.RANK.AVG(Table1[[#This Row],[Flux in SC / glucose uptake ($mmol/mmol\ glc$)]],Table1[Flux in SC / glucose uptake ($mmol/mmol\ glc$)])</f>
        <v>1310.5</v>
      </c>
      <c r="H662">
        <f>_xlfn.RANK.AVG(Table1[[#This Row],[Flux in RT / glucose uptake ($mmol/mmol\ glc$)]],Table1[Flux in RT / glucose uptake ($mmol/mmol\ glc$)])</f>
        <v>1290.5</v>
      </c>
      <c r="I662" t="e">
        <f>LOG(Table1[[#This Row],[Flux in SC / glucose uptake ($mmol/mmol\ glc$)]])</f>
        <v>#NUM!</v>
      </c>
      <c r="J662" t="e">
        <f>LOG(Table1[[#This Row],[Flux in RT / glucose uptake ($mmol/mmol\ glc$)]])</f>
        <v>#NUM!</v>
      </c>
    </row>
    <row r="663" spans="1:10" x14ac:dyDescent="0.2">
      <c r="A663" t="s">
        <v>666</v>
      </c>
      <c r="B663" t="s">
        <v>3135</v>
      </c>
      <c r="C663">
        <v>0</v>
      </c>
      <c r="D663">
        <v>0</v>
      </c>
      <c r="E663">
        <f>ABS(Table1[[#This Row],[Flux in SC / glucose uptake ($mmol/mmol\ glc$)]]-Table1[[#This Row],[Flux in RT / glucose uptake ($mmol/mmol\ glc$)]])/SQRT(2)</f>
        <v>0</v>
      </c>
      <c r="F663">
        <f>Table1[[#This Row],[distance from 45-degree line]]/MAX(Table1[[Flux in SC / glucose uptake ($mmol/mmol\ glc$)]:[Flux in RT / glucose uptake ($mmol/mmol\ glc$)]])</f>
        <v>0</v>
      </c>
      <c r="G663">
        <f>_xlfn.RANK.AVG(Table1[[#This Row],[Flux in SC / glucose uptake ($mmol/mmol\ glc$)]],Table1[Flux in SC / glucose uptake ($mmol/mmol\ glc$)])</f>
        <v>1310.5</v>
      </c>
      <c r="H663">
        <f>_xlfn.RANK.AVG(Table1[[#This Row],[Flux in RT / glucose uptake ($mmol/mmol\ glc$)]],Table1[Flux in RT / glucose uptake ($mmol/mmol\ glc$)])</f>
        <v>1290.5</v>
      </c>
      <c r="I663" t="e">
        <f>LOG(Table1[[#This Row],[Flux in SC / glucose uptake ($mmol/mmol\ glc$)]])</f>
        <v>#NUM!</v>
      </c>
      <c r="J663" t="e">
        <f>LOG(Table1[[#This Row],[Flux in RT / glucose uptake ($mmol/mmol\ glc$)]])</f>
        <v>#NUM!</v>
      </c>
    </row>
    <row r="664" spans="1:10" x14ac:dyDescent="0.2">
      <c r="A664" t="s">
        <v>667</v>
      </c>
      <c r="B664" t="s">
        <v>3135</v>
      </c>
      <c r="C664">
        <v>0</v>
      </c>
      <c r="D664">
        <v>0</v>
      </c>
      <c r="E664">
        <f>ABS(Table1[[#This Row],[Flux in SC / glucose uptake ($mmol/mmol\ glc$)]]-Table1[[#This Row],[Flux in RT / glucose uptake ($mmol/mmol\ glc$)]])/SQRT(2)</f>
        <v>0</v>
      </c>
      <c r="F664">
        <f>Table1[[#This Row],[distance from 45-degree line]]/MAX(Table1[[Flux in SC / glucose uptake ($mmol/mmol\ glc$)]:[Flux in RT / glucose uptake ($mmol/mmol\ glc$)]])</f>
        <v>0</v>
      </c>
      <c r="G664">
        <f>_xlfn.RANK.AVG(Table1[[#This Row],[Flux in SC / glucose uptake ($mmol/mmol\ glc$)]],Table1[Flux in SC / glucose uptake ($mmol/mmol\ glc$)])</f>
        <v>1310.5</v>
      </c>
      <c r="H664">
        <f>_xlfn.RANK.AVG(Table1[[#This Row],[Flux in RT / glucose uptake ($mmol/mmol\ glc$)]],Table1[Flux in RT / glucose uptake ($mmol/mmol\ glc$)])</f>
        <v>1290.5</v>
      </c>
      <c r="I664" t="e">
        <f>LOG(Table1[[#This Row],[Flux in SC / glucose uptake ($mmol/mmol\ glc$)]])</f>
        <v>#NUM!</v>
      </c>
      <c r="J664" t="e">
        <f>LOG(Table1[[#This Row],[Flux in RT / glucose uptake ($mmol/mmol\ glc$)]])</f>
        <v>#NUM!</v>
      </c>
    </row>
    <row r="665" spans="1:10" x14ac:dyDescent="0.2">
      <c r="A665" t="s">
        <v>668</v>
      </c>
      <c r="B665" t="s">
        <v>3177</v>
      </c>
      <c r="C665">
        <v>0</v>
      </c>
      <c r="D665">
        <v>0</v>
      </c>
      <c r="E665">
        <f>ABS(Table1[[#This Row],[Flux in SC / glucose uptake ($mmol/mmol\ glc$)]]-Table1[[#This Row],[Flux in RT / glucose uptake ($mmol/mmol\ glc$)]])/SQRT(2)</f>
        <v>0</v>
      </c>
      <c r="F665">
        <f>Table1[[#This Row],[distance from 45-degree line]]/MAX(Table1[[Flux in SC / glucose uptake ($mmol/mmol\ glc$)]:[Flux in RT / glucose uptake ($mmol/mmol\ glc$)]])</f>
        <v>0</v>
      </c>
      <c r="G665">
        <f>_xlfn.RANK.AVG(Table1[[#This Row],[Flux in SC / glucose uptake ($mmol/mmol\ glc$)]],Table1[Flux in SC / glucose uptake ($mmol/mmol\ glc$)])</f>
        <v>1310.5</v>
      </c>
      <c r="H665">
        <f>_xlfn.RANK.AVG(Table1[[#This Row],[Flux in RT / glucose uptake ($mmol/mmol\ glc$)]],Table1[Flux in RT / glucose uptake ($mmol/mmol\ glc$)])</f>
        <v>1290.5</v>
      </c>
      <c r="I665" t="e">
        <f>LOG(Table1[[#This Row],[Flux in SC / glucose uptake ($mmol/mmol\ glc$)]])</f>
        <v>#NUM!</v>
      </c>
      <c r="J665" t="e">
        <f>LOG(Table1[[#This Row],[Flux in RT / glucose uptake ($mmol/mmol\ glc$)]])</f>
        <v>#NUM!</v>
      </c>
    </row>
    <row r="666" spans="1:10" x14ac:dyDescent="0.2">
      <c r="A666" t="s">
        <v>669</v>
      </c>
      <c r="B666" t="s">
        <v>3177</v>
      </c>
      <c r="C666">
        <v>0</v>
      </c>
      <c r="D666">
        <v>0</v>
      </c>
      <c r="E666">
        <f>ABS(Table1[[#This Row],[Flux in SC / glucose uptake ($mmol/mmol\ glc$)]]-Table1[[#This Row],[Flux in RT / glucose uptake ($mmol/mmol\ glc$)]])/SQRT(2)</f>
        <v>0</v>
      </c>
      <c r="F666">
        <f>Table1[[#This Row],[distance from 45-degree line]]/MAX(Table1[[Flux in SC / glucose uptake ($mmol/mmol\ glc$)]:[Flux in RT / glucose uptake ($mmol/mmol\ glc$)]])</f>
        <v>0</v>
      </c>
      <c r="G666">
        <f>_xlfn.RANK.AVG(Table1[[#This Row],[Flux in SC / glucose uptake ($mmol/mmol\ glc$)]],Table1[Flux in SC / glucose uptake ($mmol/mmol\ glc$)])</f>
        <v>1310.5</v>
      </c>
      <c r="H666">
        <f>_xlfn.RANK.AVG(Table1[[#This Row],[Flux in RT / glucose uptake ($mmol/mmol\ glc$)]],Table1[Flux in RT / glucose uptake ($mmol/mmol\ glc$)])</f>
        <v>1290.5</v>
      </c>
      <c r="I666" t="e">
        <f>LOG(Table1[[#This Row],[Flux in SC / glucose uptake ($mmol/mmol\ glc$)]])</f>
        <v>#NUM!</v>
      </c>
      <c r="J666" t="e">
        <f>LOG(Table1[[#This Row],[Flux in RT / glucose uptake ($mmol/mmol\ glc$)]])</f>
        <v>#NUM!</v>
      </c>
    </row>
    <row r="667" spans="1:10" x14ac:dyDescent="0.2">
      <c r="A667" t="s">
        <v>670</v>
      </c>
      <c r="B667" t="s">
        <v>3114</v>
      </c>
      <c r="C667">
        <v>0</v>
      </c>
      <c r="D667">
        <v>0</v>
      </c>
      <c r="E667">
        <f>ABS(Table1[[#This Row],[Flux in SC / glucose uptake ($mmol/mmol\ glc$)]]-Table1[[#This Row],[Flux in RT / glucose uptake ($mmol/mmol\ glc$)]])/SQRT(2)</f>
        <v>0</v>
      </c>
      <c r="F667">
        <f>Table1[[#This Row],[distance from 45-degree line]]/MAX(Table1[[Flux in SC / glucose uptake ($mmol/mmol\ glc$)]:[Flux in RT / glucose uptake ($mmol/mmol\ glc$)]])</f>
        <v>0</v>
      </c>
      <c r="G667">
        <f>_xlfn.RANK.AVG(Table1[[#This Row],[Flux in SC / glucose uptake ($mmol/mmol\ glc$)]],Table1[Flux in SC / glucose uptake ($mmol/mmol\ glc$)])</f>
        <v>1310.5</v>
      </c>
      <c r="H667">
        <f>_xlfn.RANK.AVG(Table1[[#This Row],[Flux in RT / glucose uptake ($mmol/mmol\ glc$)]],Table1[Flux in RT / glucose uptake ($mmol/mmol\ glc$)])</f>
        <v>1290.5</v>
      </c>
      <c r="I667" t="e">
        <f>LOG(Table1[[#This Row],[Flux in SC / glucose uptake ($mmol/mmol\ glc$)]])</f>
        <v>#NUM!</v>
      </c>
      <c r="J667" t="e">
        <f>LOG(Table1[[#This Row],[Flux in RT / glucose uptake ($mmol/mmol\ glc$)]])</f>
        <v>#NUM!</v>
      </c>
    </row>
    <row r="668" spans="1:10" x14ac:dyDescent="0.2">
      <c r="A668" t="s">
        <v>671</v>
      </c>
      <c r="B668" t="s">
        <v>3150</v>
      </c>
      <c r="C668">
        <v>0</v>
      </c>
      <c r="D668">
        <v>0</v>
      </c>
      <c r="E668">
        <f>ABS(Table1[[#This Row],[Flux in SC / glucose uptake ($mmol/mmol\ glc$)]]-Table1[[#This Row],[Flux in RT / glucose uptake ($mmol/mmol\ glc$)]])/SQRT(2)</f>
        <v>0</v>
      </c>
      <c r="F668">
        <f>Table1[[#This Row],[distance from 45-degree line]]/MAX(Table1[[Flux in SC / glucose uptake ($mmol/mmol\ glc$)]:[Flux in RT / glucose uptake ($mmol/mmol\ glc$)]])</f>
        <v>0</v>
      </c>
      <c r="G668">
        <f>_xlfn.RANK.AVG(Table1[[#This Row],[Flux in SC / glucose uptake ($mmol/mmol\ glc$)]],Table1[Flux in SC / glucose uptake ($mmol/mmol\ glc$)])</f>
        <v>1310.5</v>
      </c>
      <c r="H668">
        <f>_xlfn.RANK.AVG(Table1[[#This Row],[Flux in RT / glucose uptake ($mmol/mmol\ glc$)]],Table1[Flux in RT / glucose uptake ($mmol/mmol\ glc$)])</f>
        <v>1290.5</v>
      </c>
      <c r="I668" t="e">
        <f>LOG(Table1[[#This Row],[Flux in SC / glucose uptake ($mmol/mmol\ glc$)]])</f>
        <v>#NUM!</v>
      </c>
      <c r="J668" t="e">
        <f>LOG(Table1[[#This Row],[Flux in RT / glucose uptake ($mmol/mmol\ glc$)]])</f>
        <v>#NUM!</v>
      </c>
    </row>
    <row r="669" spans="1:10" x14ac:dyDescent="0.2">
      <c r="A669" t="s">
        <v>672</v>
      </c>
      <c r="B669" t="s">
        <v>3125</v>
      </c>
      <c r="C669">
        <v>0</v>
      </c>
      <c r="D669">
        <v>0</v>
      </c>
      <c r="E669">
        <f>ABS(Table1[[#This Row],[Flux in SC / glucose uptake ($mmol/mmol\ glc$)]]-Table1[[#This Row],[Flux in RT / glucose uptake ($mmol/mmol\ glc$)]])/SQRT(2)</f>
        <v>0</v>
      </c>
      <c r="F669">
        <f>Table1[[#This Row],[distance from 45-degree line]]/MAX(Table1[[Flux in SC / glucose uptake ($mmol/mmol\ glc$)]:[Flux in RT / glucose uptake ($mmol/mmol\ glc$)]])</f>
        <v>0</v>
      </c>
      <c r="G669">
        <f>_xlfn.RANK.AVG(Table1[[#This Row],[Flux in SC / glucose uptake ($mmol/mmol\ glc$)]],Table1[Flux in SC / glucose uptake ($mmol/mmol\ glc$)])</f>
        <v>1310.5</v>
      </c>
      <c r="H669">
        <f>_xlfn.RANK.AVG(Table1[[#This Row],[Flux in RT / glucose uptake ($mmol/mmol\ glc$)]],Table1[Flux in RT / glucose uptake ($mmol/mmol\ glc$)])</f>
        <v>1290.5</v>
      </c>
      <c r="I669" t="e">
        <f>LOG(Table1[[#This Row],[Flux in SC / glucose uptake ($mmol/mmol\ glc$)]])</f>
        <v>#NUM!</v>
      </c>
      <c r="J669" t="e">
        <f>LOG(Table1[[#This Row],[Flux in RT / glucose uptake ($mmol/mmol\ glc$)]])</f>
        <v>#NUM!</v>
      </c>
    </row>
    <row r="670" spans="1:10" x14ac:dyDescent="0.2">
      <c r="A670" t="s">
        <v>673</v>
      </c>
      <c r="B670" t="s">
        <v>3155</v>
      </c>
      <c r="C670">
        <v>0</v>
      </c>
      <c r="D670">
        <v>0</v>
      </c>
      <c r="E670">
        <f>ABS(Table1[[#This Row],[Flux in SC / glucose uptake ($mmol/mmol\ glc$)]]-Table1[[#This Row],[Flux in RT / glucose uptake ($mmol/mmol\ glc$)]])/SQRT(2)</f>
        <v>0</v>
      </c>
      <c r="F670">
        <f>Table1[[#This Row],[distance from 45-degree line]]/MAX(Table1[[Flux in SC / glucose uptake ($mmol/mmol\ glc$)]:[Flux in RT / glucose uptake ($mmol/mmol\ glc$)]])</f>
        <v>0</v>
      </c>
      <c r="G670">
        <f>_xlfn.RANK.AVG(Table1[[#This Row],[Flux in SC / glucose uptake ($mmol/mmol\ glc$)]],Table1[Flux in SC / glucose uptake ($mmol/mmol\ glc$)])</f>
        <v>1310.5</v>
      </c>
      <c r="H670">
        <f>_xlfn.RANK.AVG(Table1[[#This Row],[Flux in RT / glucose uptake ($mmol/mmol\ glc$)]],Table1[Flux in RT / glucose uptake ($mmol/mmol\ glc$)])</f>
        <v>1290.5</v>
      </c>
      <c r="I670" t="e">
        <f>LOG(Table1[[#This Row],[Flux in SC / glucose uptake ($mmol/mmol\ glc$)]])</f>
        <v>#NUM!</v>
      </c>
      <c r="J670" t="e">
        <f>LOG(Table1[[#This Row],[Flux in RT / glucose uptake ($mmol/mmol\ glc$)]])</f>
        <v>#NUM!</v>
      </c>
    </row>
    <row r="671" spans="1:10" x14ac:dyDescent="0.2">
      <c r="A671" t="s">
        <v>674</v>
      </c>
      <c r="B671" t="s">
        <v>3141</v>
      </c>
      <c r="C671">
        <v>0</v>
      </c>
      <c r="D671">
        <v>0</v>
      </c>
      <c r="E671">
        <f>ABS(Table1[[#This Row],[Flux in SC / glucose uptake ($mmol/mmol\ glc$)]]-Table1[[#This Row],[Flux in RT / glucose uptake ($mmol/mmol\ glc$)]])/SQRT(2)</f>
        <v>0</v>
      </c>
      <c r="F671">
        <f>Table1[[#This Row],[distance from 45-degree line]]/MAX(Table1[[Flux in SC / glucose uptake ($mmol/mmol\ glc$)]:[Flux in RT / glucose uptake ($mmol/mmol\ glc$)]])</f>
        <v>0</v>
      </c>
      <c r="G671">
        <f>_xlfn.RANK.AVG(Table1[[#This Row],[Flux in SC / glucose uptake ($mmol/mmol\ glc$)]],Table1[Flux in SC / glucose uptake ($mmol/mmol\ glc$)])</f>
        <v>1310.5</v>
      </c>
      <c r="H671">
        <f>_xlfn.RANK.AVG(Table1[[#This Row],[Flux in RT / glucose uptake ($mmol/mmol\ glc$)]],Table1[Flux in RT / glucose uptake ($mmol/mmol\ glc$)])</f>
        <v>1290.5</v>
      </c>
      <c r="I671" t="e">
        <f>LOG(Table1[[#This Row],[Flux in SC / glucose uptake ($mmol/mmol\ glc$)]])</f>
        <v>#NUM!</v>
      </c>
      <c r="J671" t="e">
        <f>LOG(Table1[[#This Row],[Flux in RT / glucose uptake ($mmol/mmol\ glc$)]])</f>
        <v>#NUM!</v>
      </c>
    </row>
    <row r="672" spans="1:10" x14ac:dyDescent="0.2">
      <c r="A672" t="s">
        <v>675</v>
      </c>
      <c r="B672" t="s">
        <v>3114</v>
      </c>
      <c r="C672">
        <v>0</v>
      </c>
      <c r="D672">
        <v>0</v>
      </c>
      <c r="E672">
        <f>ABS(Table1[[#This Row],[Flux in SC / glucose uptake ($mmol/mmol\ glc$)]]-Table1[[#This Row],[Flux in RT / glucose uptake ($mmol/mmol\ glc$)]])/SQRT(2)</f>
        <v>0</v>
      </c>
      <c r="F672">
        <f>Table1[[#This Row],[distance from 45-degree line]]/MAX(Table1[[Flux in SC / glucose uptake ($mmol/mmol\ glc$)]:[Flux in RT / glucose uptake ($mmol/mmol\ glc$)]])</f>
        <v>0</v>
      </c>
      <c r="G672">
        <f>_xlfn.RANK.AVG(Table1[[#This Row],[Flux in SC / glucose uptake ($mmol/mmol\ glc$)]],Table1[Flux in SC / glucose uptake ($mmol/mmol\ glc$)])</f>
        <v>1310.5</v>
      </c>
      <c r="H672">
        <f>_xlfn.RANK.AVG(Table1[[#This Row],[Flux in RT / glucose uptake ($mmol/mmol\ glc$)]],Table1[Flux in RT / glucose uptake ($mmol/mmol\ glc$)])</f>
        <v>1290.5</v>
      </c>
      <c r="I672" t="e">
        <f>LOG(Table1[[#This Row],[Flux in SC / glucose uptake ($mmol/mmol\ glc$)]])</f>
        <v>#NUM!</v>
      </c>
      <c r="J672" t="e">
        <f>LOG(Table1[[#This Row],[Flux in RT / glucose uptake ($mmol/mmol\ glc$)]])</f>
        <v>#NUM!</v>
      </c>
    </row>
    <row r="673" spans="1:10" x14ac:dyDescent="0.2">
      <c r="A673" t="s">
        <v>676</v>
      </c>
      <c r="B673" t="s">
        <v>3142</v>
      </c>
      <c r="C673">
        <v>0</v>
      </c>
      <c r="D673">
        <v>0</v>
      </c>
      <c r="E673">
        <f>ABS(Table1[[#This Row],[Flux in SC / glucose uptake ($mmol/mmol\ glc$)]]-Table1[[#This Row],[Flux in RT / glucose uptake ($mmol/mmol\ glc$)]])/SQRT(2)</f>
        <v>0</v>
      </c>
      <c r="F673">
        <f>Table1[[#This Row],[distance from 45-degree line]]/MAX(Table1[[Flux in SC / glucose uptake ($mmol/mmol\ glc$)]:[Flux in RT / glucose uptake ($mmol/mmol\ glc$)]])</f>
        <v>0</v>
      </c>
      <c r="G673">
        <f>_xlfn.RANK.AVG(Table1[[#This Row],[Flux in SC / glucose uptake ($mmol/mmol\ glc$)]],Table1[Flux in SC / glucose uptake ($mmol/mmol\ glc$)])</f>
        <v>1310.5</v>
      </c>
      <c r="H673">
        <f>_xlfn.RANK.AVG(Table1[[#This Row],[Flux in RT / glucose uptake ($mmol/mmol\ glc$)]],Table1[Flux in RT / glucose uptake ($mmol/mmol\ glc$)])</f>
        <v>1290.5</v>
      </c>
      <c r="I673" t="e">
        <f>LOG(Table1[[#This Row],[Flux in SC / glucose uptake ($mmol/mmol\ glc$)]])</f>
        <v>#NUM!</v>
      </c>
      <c r="J673" t="e">
        <f>LOG(Table1[[#This Row],[Flux in RT / glucose uptake ($mmol/mmol\ glc$)]])</f>
        <v>#NUM!</v>
      </c>
    </row>
    <row r="674" spans="1:10" x14ac:dyDescent="0.2">
      <c r="A674" t="s">
        <v>677</v>
      </c>
      <c r="B674" t="s">
        <v>3142</v>
      </c>
      <c r="C674">
        <v>1.0209484997892187E-2</v>
      </c>
      <c r="D674">
        <v>4.6207778248939776E-2</v>
      </c>
      <c r="E674">
        <f>ABS(Table1[[#This Row],[Flux in SC / glucose uptake ($mmol/mmol\ glc$)]]-Table1[[#This Row],[Flux in RT / glucose uptake ($mmol/mmol\ glc$)]])/SQRT(2)</f>
        <v>2.5454637268957674E-2</v>
      </c>
      <c r="F674">
        <f>Table1[[#This Row],[distance from 45-degree line]]/MAX(Table1[[Flux in SC / glucose uptake ($mmol/mmol\ glc$)]:[Flux in RT / glucose uptake ($mmol/mmol\ glc$)]])</f>
        <v>1.3719759033772368E-3</v>
      </c>
      <c r="G674">
        <f>_xlfn.RANK.AVG(Table1[[#This Row],[Flux in SC / glucose uptake ($mmol/mmol\ glc$)]],Table1[Flux in SC / glucose uptake ($mmol/mmol\ glc$)])</f>
        <v>80</v>
      </c>
      <c r="H674">
        <f>_xlfn.RANK.AVG(Table1[[#This Row],[Flux in RT / glucose uptake ($mmol/mmol\ glc$)]],Table1[Flux in RT / glucose uptake ($mmol/mmol\ glc$)])</f>
        <v>103</v>
      </c>
      <c r="I674">
        <f>LOG(Table1[[#This Row],[Flux in SC / glucose uptake ($mmol/mmol\ glc$)]])</f>
        <v>-1.9909961646921943</v>
      </c>
      <c r="J674">
        <f>LOG(Table1[[#This Row],[Flux in RT / glucose uptake ($mmol/mmol\ glc$)]])</f>
        <v>-1.3352849126200561</v>
      </c>
    </row>
    <row r="675" spans="1:10" x14ac:dyDescent="0.2">
      <c r="A675" t="s">
        <v>678</v>
      </c>
      <c r="B675" t="s">
        <v>3142</v>
      </c>
      <c r="C675">
        <v>0</v>
      </c>
      <c r="D675">
        <v>0</v>
      </c>
      <c r="E675">
        <f>ABS(Table1[[#This Row],[Flux in SC / glucose uptake ($mmol/mmol\ glc$)]]-Table1[[#This Row],[Flux in RT / glucose uptake ($mmol/mmol\ glc$)]])/SQRT(2)</f>
        <v>0</v>
      </c>
      <c r="F675">
        <f>Table1[[#This Row],[distance from 45-degree line]]/MAX(Table1[[Flux in SC / glucose uptake ($mmol/mmol\ glc$)]:[Flux in RT / glucose uptake ($mmol/mmol\ glc$)]])</f>
        <v>0</v>
      </c>
      <c r="G675">
        <f>_xlfn.RANK.AVG(Table1[[#This Row],[Flux in SC / glucose uptake ($mmol/mmol\ glc$)]],Table1[Flux in SC / glucose uptake ($mmol/mmol\ glc$)])</f>
        <v>1310.5</v>
      </c>
      <c r="H675">
        <f>_xlfn.RANK.AVG(Table1[[#This Row],[Flux in RT / glucose uptake ($mmol/mmol\ glc$)]],Table1[Flux in RT / glucose uptake ($mmol/mmol\ glc$)])</f>
        <v>1290.5</v>
      </c>
      <c r="I675" t="e">
        <f>LOG(Table1[[#This Row],[Flux in SC / glucose uptake ($mmol/mmol\ glc$)]])</f>
        <v>#NUM!</v>
      </c>
      <c r="J675" t="e">
        <f>LOG(Table1[[#This Row],[Flux in RT / glucose uptake ($mmol/mmol\ glc$)]])</f>
        <v>#NUM!</v>
      </c>
    </row>
    <row r="676" spans="1:10" x14ac:dyDescent="0.2">
      <c r="A676" t="s">
        <v>679</v>
      </c>
      <c r="B676" t="s">
        <v>3142</v>
      </c>
      <c r="C676">
        <v>3.9200637158083385E-3</v>
      </c>
      <c r="D676">
        <v>1.7742087892535847E-2</v>
      </c>
      <c r="E676">
        <f>ABS(Table1[[#This Row],[Flux in SC / glucose uptake ($mmol/mmol\ glc$)]]-Table1[[#This Row],[Flux in RT / glucose uptake ($mmol/mmol\ glc$)]])/SQRT(2)</f>
        <v>9.7736470250884278E-3</v>
      </c>
      <c r="F676">
        <f>Table1[[#This Row],[distance from 45-degree line]]/MAX(Table1[[Flux in SC / glucose uptake ($mmol/mmol\ glc$)]:[Flux in RT / glucose uptake ($mmol/mmol\ glc$)]])</f>
        <v>5.2678842227654428E-4</v>
      </c>
      <c r="G676">
        <f>_xlfn.RANK.AVG(Table1[[#This Row],[Flux in SC / glucose uptake ($mmol/mmol\ glc$)]],Table1[Flux in SC / glucose uptake ($mmol/mmol\ glc$)])</f>
        <v>146</v>
      </c>
      <c r="H676">
        <f>_xlfn.RANK.AVG(Table1[[#This Row],[Flux in RT / glucose uptake ($mmol/mmol\ glc$)]],Table1[Flux in RT / glucose uptake ($mmol/mmol\ glc$)])</f>
        <v>159</v>
      </c>
      <c r="I676">
        <f>LOG(Table1[[#This Row],[Flux in SC / glucose uptake ($mmol/mmol\ glc$)]])</f>
        <v>-2.4067068740001836</v>
      </c>
      <c r="J676">
        <f>LOG(Table1[[#This Row],[Flux in RT / glucose uptake ($mmol/mmol\ glc$)]])</f>
        <v>-1.7509952736333134</v>
      </c>
    </row>
    <row r="677" spans="1:10" x14ac:dyDescent="0.2">
      <c r="A677" t="s">
        <v>680</v>
      </c>
      <c r="B677" t="s">
        <v>3178</v>
      </c>
      <c r="C677">
        <v>0</v>
      </c>
      <c r="D677">
        <v>0</v>
      </c>
      <c r="E677">
        <f>ABS(Table1[[#This Row],[Flux in SC / glucose uptake ($mmol/mmol\ glc$)]]-Table1[[#This Row],[Flux in RT / glucose uptake ($mmol/mmol\ glc$)]])/SQRT(2)</f>
        <v>0</v>
      </c>
      <c r="F677">
        <f>Table1[[#This Row],[distance from 45-degree line]]/MAX(Table1[[Flux in SC / glucose uptake ($mmol/mmol\ glc$)]:[Flux in RT / glucose uptake ($mmol/mmol\ glc$)]])</f>
        <v>0</v>
      </c>
      <c r="G677">
        <f>_xlfn.RANK.AVG(Table1[[#This Row],[Flux in SC / glucose uptake ($mmol/mmol\ glc$)]],Table1[Flux in SC / glucose uptake ($mmol/mmol\ glc$)])</f>
        <v>1310.5</v>
      </c>
      <c r="H677">
        <f>_xlfn.RANK.AVG(Table1[[#This Row],[Flux in RT / glucose uptake ($mmol/mmol\ glc$)]],Table1[Flux in RT / glucose uptake ($mmol/mmol\ glc$)])</f>
        <v>1290.5</v>
      </c>
      <c r="I677" t="e">
        <f>LOG(Table1[[#This Row],[Flux in SC / glucose uptake ($mmol/mmol\ glc$)]])</f>
        <v>#NUM!</v>
      </c>
      <c r="J677" t="e">
        <f>LOG(Table1[[#This Row],[Flux in RT / glucose uptake ($mmol/mmol\ glc$)]])</f>
        <v>#NUM!</v>
      </c>
    </row>
    <row r="678" spans="1:10" x14ac:dyDescent="0.2">
      <c r="A678" t="s">
        <v>681</v>
      </c>
      <c r="B678" t="s">
        <v>3117</v>
      </c>
      <c r="C678">
        <v>0</v>
      </c>
      <c r="D678">
        <v>0</v>
      </c>
      <c r="E678">
        <f>ABS(Table1[[#This Row],[Flux in SC / glucose uptake ($mmol/mmol\ glc$)]]-Table1[[#This Row],[Flux in RT / glucose uptake ($mmol/mmol\ glc$)]])/SQRT(2)</f>
        <v>0</v>
      </c>
      <c r="F678">
        <f>Table1[[#This Row],[distance from 45-degree line]]/MAX(Table1[[Flux in SC / glucose uptake ($mmol/mmol\ glc$)]:[Flux in RT / glucose uptake ($mmol/mmol\ glc$)]])</f>
        <v>0</v>
      </c>
      <c r="G678">
        <f>_xlfn.RANK.AVG(Table1[[#This Row],[Flux in SC / glucose uptake ($mmol/mmol\ glc$)]],Table1[Flux in SC / glucose uptake ($mmol/mmol\ glc$)])</f>
        <v>1310.5</v>
      </c>
      <c r="H678">
        <f>_xlfn.RANK.AVG(Table1[[#This Row],[Flux in RT / glucose uptake ($mmol/mmol\ glc$)]],Table1[Flux in RT / glucose uptake ($mmol/mmol\ glc$)])</f>
        <v>1290.5</v>
      </c>
      <c r="I678" t="e">
        <f>LOG(Table1[[#This Row],[Flux in SC / glucose uptake ($mmol/mmol\ glc$)]])</f>
        <v>#NUM!</v>
      </c>
      <c r="J678" t="e">
        <f>LOG(Table1[[#This Row],[Flux in RT / glucose uptake ($mmol/mmol\ glc$)]])</f>
        <v>#NUM!</v>
      </c>
    </row>
    <row r="679" spans="1:10" x14ac:dyDescent="0.2">
      <c r="A679" t="s">
        <v>682</v>
      </c>
      <c r="B679" t="s">
        <v>3117</v>
      </c>
      <c r="C679">
        <v>0</v>
      </c>
      <c r="D679">
        <v>0</v>
      </c>
      <c r="E679">
        <f>ABS(Table1[[#This Row],[Flux in SC / glucose uptake ($mmol/mmol\ glc$)]]-Table1[[#This Row],[Flux in RT / glucose uptake ($mmol/mmol\ glc$)]])/SQRT(2)</f>
        <v>0</v>
      </c>
      <c r="F679">
        <f>Table1[[#This Row],[distance from 45-degree line]]/MAX(Table1[[Flux in SC / glucose uptake ($mmol/mmol\ glc$)]:[Flux in RT / glucose uptake ($mmol/mmol\ glc$)]])</f>
        <v>0</v>
      </c>
      <c r="G679">
        <f>_xlfn.RANK.AVG(Table1[[#This Row],[Flux in SC / glucose uptake ($mmol/mmol\ glc$)]],Table1[Flux in SC / glucose uptake ($mmol/mmol\ glc$)])</f>
        <v>1310.5</v>
      </c>
      <c r="H679">
        <f>_xlfn.RANK.AVG(Table1[[#This Row],[Flux in RT / glucose uptake ($mmol/mmol\ glc$)]],Table1[Flux in RT / glucose uptake ($mmol/mmol\ glc$)])</f>
        <v>1290.5</v>
      </c>
      <c r="I679" t="e">
        <f>LOG(Table1[[#This Row],[Flux in SC / glucose uptake ($mmol/mmol\ glc$)]])</f>
        <v>#NUM!</v>
      </c>
      <c r="J679" t="e">
        <f>LOG(Table1[[#This Row],[Flux in RT / glucose uptake ($mmol/mmol\ glc$)]])</f>
        <v>#NUM!</v>
      </c>
    </row>
    <row r="680" spans="1:10" x14ac:dyDescent="0.2">
      <c r="A680" t="s">
        <v>683</v>
      </c>
      <c r="B680" t="s">
        <v>3114</v>
      </c>
      <c r="C680">
        <v>0</v>
      </c>
      <c r="D680">
        <v>0</v>
      </c>
      <c r="E680">
        <f>ABS(Table1[[#This Row],[Flux in SC / glucose uptake ($mmol/mmol\ glc$)]]-Table1[[#This Row],[Flux in RT / glucose uptake ($mmol/mmol\ glc$)]])/SQRT(2)</f>
        <v>0</v>
      </c>
      <c r="F680">
        <f>Table1[[#This Row],[distance from 45-degree line]]/MAX(Table1[[Flux in SC / glucose uptake ($mmol/mmol\ glc$)]:[Flux in RT / glucose uptake ($mmol/mmol\ glc$)]])</f>
        <v>0</v>
      </c>
      <c r="G680">
        <f>_xlfn.RANK.AVG(Table1[[#This Row],[Flux in SC / glucose uptake ($mmol/mmol\ glc$)]],Table1[Flux in SC / glucose uptake ($mmol/mmol\ glc$)])</f>
        <v>1310.5</v>
      </c>
      <c r="H680">
        <f>_xlfn.RANK.AVG(Table1[[#This Row],[Flux in RT / glucose uptake ($mmol/mmol\ glc$)]],Table1[Flux in RT / glucose uptake ($mmol/mmol\ glc$)])</f>
        <v>1290.5</v>
      </c>
      <c r="I680" t="e">
        <f>LOG(Table1[[#This Row],[Flux in SC / glucose uptake ($mmol/mmol\ glc$)]])</f>
        <v>#NUM!</v>
      </c>
      <c r="J680" t="e">
        <f>LOG(Table1[[#This Row],[Flux in RT / glucose uptake ($mmol/mmol\ glc$)]])</f>
        <v>#NUM!</v>
      </c>
    </row>
    <row r="681" spans="1:10" x14ac:dyDescent="0.2">
      <c r="A681" t="s">
        <v>684</v>
      </c>
      <c r="B681" t="s">
        <v>3114</v>
      </c>
      <c r="C681">
        <v>3.6110321147682783E-9</v>
      </c>
      <c r="D681">
        <v>0</v>
      </c>
      <c r="E681">
        <f>ABS(Table1[[#This Row],[Flux in SC / glucose uptake ($mmol/mmol\ glc$)]]-Table1[[#This Row],[Flux in RT / glucose uptake ($mmol/mmol\ glc$)]])/SQRT(2)</f>
        <v>2.5533852954350489E-9</v>
      </c>
      <c r="F681">
        <f>Table1[[#This Row],[distance from 45-degree line]]/MAX(Table1[[Flux in SC / glucose uptake ($mmol/mmol\ glc$)]:[Flux in RT / glucose uptake ($mmol/mmol\ glc$)]])</f>
        <v>1.376245538429589E-10</v>
      </c>
      <c r="G681">
        <f>_xlfn.RANK.AVG(Table1[[#This Row],[Flux in SC / glucose uptake ($mmol/mmol\ glc$)]],Table1[Flux in SC / glucose uptake ($mmol/mmol\ glc$)])</f>
        <v>310</v>
      </c>
      <c r="H681">
        <f>_xlfn.RANK.AVG(Table1[[#This Row],[Flux in RT / glucose uptake ($mmol/mmol\ glc$)]],Table1[Flux in RT / glucose uptake ($mmol/mmol\ glc$)])</f>
        <v>1290.5</v>
      </c>
      <c r="I681">
        <f>LOG(Table1[[#This Row],[Flux in SC / glucose uptake ($mmol/mmol\ glc$)]])</f>
        <v>-8.4423686491515095</v>
      </c>
      <c r="J681" t="e">
        <f>LOG(Table1[[#This Row],[Flux in RT / glucose uptake ($mmol/mmol\ glc$)]])</f>
        <v>#NUM!</v>
      </c>
    </row>
    <row r="682" spans="1:10" x14ac:dyDescent="0.2">
      <c r="A682" t="s">
        <v>685</v>
      </c>
      <c r="B682" t="s">
        <v>3114</v>
      </c>
      <c r="C682">
        <v>0</v>
      </c>
      <c r="D682">
        <v>0</v>
      </c>
      <c r="E682">
        <f>ABS(Table1[[#This Row],[Flux in SC / glucose uptake ($mmol/mmol\ glc$)]]-Table1[[#This Row],[Flux in RT / glucose uptake ($mmol/mmol\ glc$)]])/SQRT(2)</f>
        <v>0</v>
      </c>
      <c r="F682">
        <f>Table1[[#This Row],[distance from 45-degree line]]/MAX(Table1[[Flux in SC / glucose uptake ($mmol/mmol\ glc$)]:[Flux in RT / glucose uptake ($mmol/mmol\ glc$)]])</f>
        <v>0</v>
      </c>
      <c r="G682">
        <f>_xlfn.RANK.AVG(Table1[[#This Row],[Flux in SC / glucose uptake ($mmol/mmol\ glc$)]],Table1[Flux in SC / glucose uptake ($mmol/mmol\ glc$)])</f>
        <v>1310.5</v>
      </c>
      <c r="H682">
        <f>_xlfn.RANK.AVG(Table1[[#This Row],[Flux in RT / glucose uptake ($mmol/mmol\ glc$)]],Table1[Flux in RT / glucose uptake ($mmol/mmol\ glc$)])</f>
        <v>1290.5</v>
      </c>
      <c r="I682" t="e">
        <f>LOG(Table1[[#This Row],[Flux in SC / glucose uptake ($mmol/mmol\ glc$)]])</f>
        <v>#NUM!</v>
      </c>
      <c r="J682" t="e">
        <f>LOG(Table1[[#This Row],[Flux in RT / glucose uptake ($mmol/mmol\ glc$)]])</f>
        <v>#NUM!</v>
      </c>
    </row>
    <row r="683" spans="1:10" x14ac:dyDescent="0.2">
      <c r="A683" t="s">
        <v>686</v>
      </c>
      <c r="B683" t="s">
        <v>3114</v>
      </c>
      <c r="C683">
        <v>0</v>
      </c>
      <c r="D683">
        <v>0</v>
      </c>
      <c r="E683">
        <f>ABS(Table1[[#This Row],[Flux in SC / glucose uptake ($mmol/mmol\ glc$)]]-Table1[[#This Row],[Flux in RT / glucose uptake ($mmol/mmol\ glc$)]])/SQRT(2)</f>
        <v>0</v>
      </c>
      <c r="F683">
        <f>Table1[[#This Row],[distance from 45-degree line]]/MAX(Table1[[Flux in SC / glucose uptake ($mmol/mmol\ glc$)]:[Flux in RT / glucose uptake ($mmol/mmol\ glc$)]])</f>
        <v>0</v>
      </c>
      <c r="G683">
        <f>_xlfn.RANK.AVG(Table1[[#This Row],[Flux in SC / glucose uptake ($mmol/mmol\ glc$)]],Table1[Flux in SC / glucose uptake ($mmol/mmol\ glc$)])</f>
        <v>1310.5</v>
      </c>
      <c r="H683">
        <f>_xlfn.RANK.AVG(Table1[[#This Row],[Flux in RT / glucose uptake ($mmol/mmol\ glc$)]],Table1[Flux in RT / glucose uptake ($mmol/mmol\ glc$)])</f>
        <v>1290.5</v>
      </c>
      <c r="I683" t="e">
        <f>LOG(Table1[[#This Row],[Flux in SC / glucose uptake ($mmol/mmol\ glc$)]])</f>
        <v>#NUM!</v>
      </c>
      <c r="J683" t="e">
        <f>LOG(Table1[[#This Row],[Flux in RT / glucose uptake ($mmol/mmol\ glc$)]])</f>
        <v>#NUM!</v>
      </c>
    </row>
    <row r="684" spans="1:10" x14ac:dyDescent="0.2">
      <c r="A684" t="s">
        <v>687</v>
      </c>
      <c r="B684" t="s">
        <v>3151</v>
      </c>
      <c r="C684">
        <v>5.5815537528825745E-5</v>
      </c>
      <c r="D684">
        <v>4.3568713458676944E-4</v>
      </c>
      <c r="E684">
        <f>ABS(Table1[[#This Row],[Flux in SC / glucose uptake ($mmol/mmol\ glc$)]]-Table1[[#This Row],[Flux in RT / glucose uptake ($mmol/mmol\ glc$)]])/SQRT(2)</f>
        <v>2.6860978225983574E-4</v>
      </c>
      <c r="F684">
        <f>Table1[[#This Row],[distance from 45-degree line]]/MAX(Table1[[Flux in SC / glucose uptake ($mmol/mmol\ glc$)]:[Flux in RT / glucose uptake ($mmol/mmol\ glc$)]])</f>
        <v>1.4477760762331678E-5</v>
      </c>
      <c r="G684">
        <f>_xlfn.RANK.AVG(Table1[[#This Row],[Flux in SC / glucose uptake ($mmol/mmol\ glc$)]],Table1[Flux in SC / glucose uptake ($mmol/mmol\ glc$)])</f>
        <v>270</v>
      </c>
      <c r="H684">
        <f>_xlfn.RANK.AVG(Table1[[#This Row],[Flux in RT / glucose uptake ($mmol/mmol\ glc$)]],Table1[Flux in RT / glucose uptake ($mmol/mmol\ glc$)])</f>
        <v>267.5</v>
      </c>
      <c r="I684">
        <f>LOG(Table1[[#This Row],[Flux in SC / glucose uptake ($mmol/mmol\ glc$)]])</f>
        <v>-4.2532448884507108</v>
      </c>
      <c r="J684">
        <f>LOG(Table1[[#This Row],[Flux in RT / glucose uptake ($mmol/mmol\ glc$)]])</f>
        <v>-3.36082526416447</v>
      </c>
    </row>
    <row r="685" spans="1:10" x14ac:dyDescent="0.2">
      <c r="A685" t="s">
        <v>688</v>
      </c>
      <c r="B685" t="s">
        <v>3151</v>
      </c>
      <c r="C685">
        <v>0</v>
      </c>
      <c r="D685">
        <v>0</v>
      </c>
      <c r="E685">
        <f>ABS(Table1[[#This Row],[Flux in SC / glucose uptake ($mmol/mmol\ glc$)]]-Table1[[#This Row],[Flux in RT / glucose uptake ($mmol/mmol\ glc$)]])/SQRT(2)</f>
        <v>0</v>
      </c>
      <c r="F685">
        <f>Table1[[#This Row],[distance from 45-degree line]]/MAX(Table1[[Flux in SC / glucose uptake ($mmol/mmol\ glc$)]:[Flux in RT / glucose uptake ($mmol/mmol\ glc$)]])</f>
        <v>0</v>
      </c>
      <c r="G685">
        <f>_xlfn.RANK.AVG(Table1[[#This Row],[Flux in SC / glucose uptake ($mmol/mmol\ glc$)]],Table1[Flux in SC / glucose uptake ($mmol/mmol\ glc$)])</f>
        <v>1310.5</v>
      </c>
      <c r="H685">
        <f>_xlfn.RANK.AVG(Table1[[#This Row],[Flux in RT / glucose uptake ($mmol/mmol\ glc$)]],Table1[Flux in RT / glucose uptake ($mmol/mmol\ glc$)])</f>
        <v>1290.5</v>
      </c>
      <c r="I685" t="e">
        <f>LOG(Table1[[#This Row],[Flux in SC / glucose uptake ($mmol/mmol\ glc$)]])</f>
        <v>#NUM!</v>
      </c>
      <c r="J685" t="e">
        <f>LOG(Table1[[#This Row],[Flux in RT / glucose uptake ($mmol/mmol\ glc$)]])</f>
        <v>#NUM!</v>
      </c>
    </row>
    <row r="686" spans="1:10" x14ac:dyDescent="0.2">
      <c r="A686" t="s">
        <v>689</v>
      </c>
      <c r="B686" t="s">
        <v>3151</v>
      </c>
      <c r="C686">
        <v>0</v>
      </c>
      <c r="D686">
        <v>0</v>
      </c>
      <c r="E686">
        <f>ABS(Table1[[#This Row],[Flux in SC / glucose uptake ($mmol/mmol\ glc$)]]-Table1[[#This Row],[Flux in RT / glucose uptake ($mmol/mmol\ glc$)]])/SQRT(2)</f>
        <v>0</v>
      </c>
      <c r="F686">
        <f>Table1[[#This Row],[distance from 45-degree line]]/MAX(Table1[[Flux in SC / glucose uptake ($mmol/mmol\ glc$)]:[Flux in RT / glucose uptake ($mmol/mmol\ glc$)]])</f>
        <v>0</v>
      </c>
      <c r="G686">
        <f>_xlfn.RANK.AVG(Table1[[#This Row],[Flux in SC / glucose uptake ($mmol/mmol\ glc$)]],Table1[Flux in SC / glucose uptake ($mmol/mmol\ glc$)])</f>
        <v>1310.5</v>
      </c>
      <c r="H686">
        <f>_xlfn.RANK.AVG(Table1[[#This Row],[Flux in RT / glucose uptake ($mmol/mmol\ glc$)]],Table1[Flux in RT / glucose uptake ($mmol/mmol\ glc$)])</f>
        <v>1290.5</v>
      </c>
      <c r="I686" t="e">
        <f>LOG(Table1[[#This Row],[Flux in SC / glucose uptake ($mmol/mmol\ glc$)]])</f>
        <v>#NUM!</v>
      </c>
      <c r="J686" t="e">
        <f>LOG(Table1[[#This Row],[Flux in RT / glucose uptake ($mmol/mmol\ glc$)]])</f>
        <v>#NUM!</v>
      </c>
    </row>
    <row r="687" spans="1:10" x14ac:dyDescent="0.2">
      <c r="A687" t="s">
        <v>690</v>
      </c>
      <c r="B687" t="s">
        <v>3114</v>
      </c>
      <c r="C687">
        <v>0</v>
      </c>
      <c r="D687">
        <v>0</v>
      </c>
      <c r="E687">
        <f>ABS(Table1[[#This Row],[Flux in SC / glucose uptake ($mmol/mmol\ glc$)]]-Table1[[#This Row],[Flux in RT / glucose uptake ($mmol/mmol\ glc$)]])/SQRT(2)</f>
        <v>0</v>
      </c>
      <c r="F687">
        <f>Table1[[#This Row],[distance from 45-degree line]]/MAX(Table1[[Flux in SC / glucose uptake ($mmol/mmol\ glc$)]:[Flux in RT / glucose uptake ($mmol/mmol\ glc$)]])</f>
        <v>0</v>
      </c>
      <c r="G687">
        <f>_xlfn.RANK.AVG(Table1[[#This Row],[Flux in SC / glucose uptake ($mmol/mmol\ glc$)]],Table1[Flux in SC / glucose uptake ($mmol/mmol\ glc$)])</f>
        <v>1310.5</v>
      </c>
      <c r="H687">
        <f>_xlfn.RANK.AVG(Table1[[#This Row],[Flux in RT / glucose uptake ($mmol/mmol\ glc$)]],Table1[Flux in RT / glucose uptake ($mmol/mmol\ glc$)])</f>
        <v>1290.5</v>
      </c>
      <c r="I687" t="e">
        <f>LOG(Table1[[#This Row],[Flux in SC / glucose uptake ($mmol/mmol\ glc$)]])</f>
        <v>#NUM!</v>
      </c>
      <c r="J687" t="e">
        <f>LOG(Table1[[#This Row],[Flux in RT / glucose uptake ($mmol/mmol\ glc$)]])</f>
        <v>#NUM!</v>
      </c>
    </row>
    <row r="688" spans="1:10" x14ac:dyDescent="0.2">
      <c r="A688" t="s">
        <v>691</v>
      </c>
      <c r="B688" t="s">
        <v>3151</v>
      </c>
      <c r="C688">
        <v>0</v>
      </c>
      <c r="D688">
        <v>0</v>
      </c>
      <c r="E688">
        <f>ABS(Table1[[#This Row],[Flux in SC / glucose uptake ($mmol/mmol\ glc$)]]-Table1[[#This Row],[Flux in RT / glucose uptake ($mmol/mmol\ glc$)]])/SQRT(2)</f>
        <v>0</v>
      </c>
      <c r="F688">
        <f>Table1[[#This Row],[distance from 45-degree line]]/MAX(Table1[[Flux in SC / glucose uptake ($mmol/mmol\ glc$)]:[Flux in RT / glucose uptake ($mmol/mmol\ glc$)]])</f>
        <v>0</v>
      </c>
      <c r="G688">
        <f>_xlfn.RANK.AVG(Table1[[#This Row],[Flux in SC / glucose uptake ($mmol/mmol\ glc$)]],Table1[Flux in SC / glucose uptake ($mmol/mmol\ glc$)])</f>
        <v>1310.5</v>
      </c>
      <c r="H688">
        <f>_xlfn.RANK.AVG(Table1[[#This Row],[Flux in RT / glucose uptake ($mmol/mmol\ glc$)]],Table1[Flux in RT / glucose uptake ($mmol/mmol\ glc$)])</f>
        <v>1290.5</v>
      </c>
      <c r="I688" t="e">
        <f>LOG(Table1[[#This Row],[Flux in SC / glucose uptake ($mmol/mmol\ glc$)]])</f>
        <v>#NUM!</v>
      </c>
      <c r="J688" t="e">
        <f>LOG(Table1[[#This Row],[Flux in RT / glucose uptake ($mmol/mmol\ glc$)]])</f>
        <v>#NUM!</v>
      </c>
    </row>
    <row r="689" spans="1:10" x14ac:dyDescent="0.2">
      <c r="A689" t="s">
        <v>692</v>
      </c>
      <c r="B689" t="s">
        <v>3114</v>
      </c>
      <c r="C689">
        <v>0</v>
      </c>
      <c r="D689">
        <v>0</v>
      </c>
      <c r="E689">
        <f>ABS(Table1[[#This Row],[Flux in SC / glucose uptake ($mmol/mmol\ glc$)]]-Table1[[#This Row],[Flux in RT / glucose uptake ($mmol/mmol\ glc$)]])/SQRT(2)</f>
        <v>0</v>
      </c>
      <c r="F689">
        <f>Table1[[#This Row],[distance from 45-degree line]]/MAX(Table1[[Flux in SC / glucose uptake ($mmol/mmol\ glc$)]:[Flux in RT / glucose uptake ($mmol/mmol\ glc$)]])</f>
        <v>0</v>
      </c>
      <c r="G689">
        <f>_xlfn.RANK.AVG(Table1[[#This Row],[Flux in SC / glucose uptake ($mmol/mmol\ glc$)]],Table1[Flux in SC / glucose uptake ($mmol/mmol\ glc$)])</f>
        <v>1310.5</v>
      </c>
      <c r="H689">
        <f>_xlfn.RANK.AVG(Table1[[#This Row],[Flux in RT / glucose uptake ($mmol/mmol\ glc$)]],Table1[Flux in RT / glucose uptake ($mmol/mmol\ glc$)])</f>
        <v>1290.5</v>
      </c>
      <c r="I689" t="e">
        <f>LOG(Table1[[#This Row],[Flux in SC / glucose uptake ($mmol/mmol\ glc$)]])</f>
        <v>#NUM!</v>
      </c>
      <c r="J689" t="e">
        <f>LOG(Table1[[#This Row],[Flux in RT / glucose uptake ($mmol/mmol\ glc$)]])</f>
        <v>#NUM!</v>
      </c>
    </row>
    <row r="690" spans="1:10" x14ac:dyDescent="0.2">
      <c r="A690" t="s">
        <v>693</v>
      </c>
      <c r="B690" t="s">
        <v>3162</v>
      </c>
      <c r="C690">
        <v>3.190818821613736E-3</v>
      </c>
      <c r="D690">
        <v>1.430009427411298E-2</v>
      </c>
      <c r="E690">
        <f>ABS(Table1[[#This Row],[Flux in SC / glucose uptake ($mmol/mmol\ glc$)]]-Table1[[#This Row],[Flux in RT / glucose uptake ($mmol/mmol\ glc$)]])/SQRT(2)</f>
        <v>7.855444006531466E-3</v>
      </c>
      <c r="F690">
        <f>Table1[[#This Row],[distance from 45-degree line]]/MAX(Table1[[Flux in SC / glucose uptake ($mmol/mmol\ glc$)]:[Flux in RT / glucose uptake ($mmol/mmol\ glc$)]])</f>
        <v>4.2339946837245299E-4</v>
      </c>
      <c r="G690">
        <f>_xlfn.RANK.AVG(Table1[[#This Row],[Flux in SC / glucose uptake ($mmol/mmol\ glc$)]],Table1[Flux in SC / glucose uptake ($mmol/mmol\ glc$)])</f>
        <v>161.5</v>
      </c>
      <c r="H690">
        <f>_xlfn.RANK.AVG(Table1[[#This Row],[Flux in RT / glucose uptake ($mmol/mmol\ glc$)]],Table1[Flux in RT / glucose uptake ($mmol/mmol\ glc$)])</f>
        <v>169</v>
      </c>
      <c r="I690">
        <f>LOG(Table1[[#This Row],[Flux in SC / glucose uptake ($mmol/mmol\ glc$)]])</f>
        <v>-2.4960978548498174</v>
      </c>
      <c r="J690">
        <f>LOG(Table1[[#This Row],[Flux in RT / glucose uptake ($mmol/mmol\ glc$)]])</f>
        <v>-1.8446610994166099</v>
      </c>
    </row>
    <row r="691" spans="1:10" x14ac:dyDescent="0.2">
      <c r="A691" t="s">
        <v>694</v>
      </c>
      <c r="B691" t="s">
        <v>3162</v>
      </c>
      <c r="C691">
        <v>3.190818821613736E-3</v>
      </c>
      <c r="D691">
        <v>1.430009427411298E-2</v>
      </c>
      <c r="E691">
        <f>ABS(Table1[[#This Row],[Flux in SC / glucose uptake ($mmol/mmol\ glc$)]]-Table1[[#This Row],[Flux in RT / glucose uptake ($mmol/mmol\ glc$)]])/SQRT(2)</f>
        <v>7.855444006531466E-3</v>
      </c>
      <c r="F691">
        <f>Table1[[#This Row],[distance from 45-degree line]]/MAX(Table1[[Flux in SC / glucose uptake ($mmol/mmol\ glc$)]:[Flux in RT / glucose uptake ($mmol/mmol\ glc$)]])</f>
        <v>4.2339946837245299E-4</v>
      </c>
      <c r="G691">
        <f>_xlfn.RANK.AVG(Table1[[#This Row],[Flux in SC / glucose uptake ($mmol/mmol\ glc$)]],Table1[Flux in SC / glucose uptake ($mmol/mmol\ glc$)])</f>
        <v>161.5</v>
      </c>
      <c r="H691">
        <f>_xlfn.RANK.AVG(Table1[[#This Row],[Flux in RT / glucose uptake ($mmol/mmol\ glc$)]],Table1[Flux in RT / glucose uptake ($mmol/mmol\ glc$)])</f>
        <v>169</v>
      </c>
      <c r="I691">
        <f>LOG(Table1[[#This Row],[Flux in SC / glucose uptake ($mmol/mmol\ glc$)]])</f>
        <v>-2.4960978548498174</v>
      </c>
      <c r="J691">
        <f>LOG(Table1[[#This Row],[Flux in RT / glucose uptake ($mmol/mmol\ glc$)]])</f>
        <v>-1.8446610994166099</v>
      </c>
    </row>
    <row r="692" spans="1:10" x14ac:dyDescent="0.2">
      <c r="A692" t="s">
        <v>695</v>
      </c>
      <c r="B692" t="s">
        <v>3162</v>
      </c>
      <c r="C692">
        <v>0</v>
      </c>
      <c r="D692">
        <v>0</v>
      </c>
      <c r="E692">
        <f>ABS(Table1[[#This Row],[Flux in SC / glucose uptake ($mmol/mmol\ glc$)]]-Table1[[#This Row],[Flux in RT / glucose uptake ($mmol/mmol\ glc$)]])/SQRT(2)</f>
        <v>0</v>
      </c>
      <c r="F692">
        <f>Table1[[#This Row],[distance from 45-degree line]]/MAX(Table1[[Flux in SC / glucose uptake ($mmol/mmol\ glc$)]:[Flux in RT / glucose uptake ($mmol/mmol\ glc$)]])</f>
        <v>0</v>
      </c>
      <c r="G692">
        <f>_xlfn.RANK.AVG(Table1[[#This Row],[Flux in SC / glucose uptake ($mmol/mmol\ glc$)]],Table1[Flux in SC / glucose uptake ($mmol/mmol\ glc$)])</f>
        <v>1310.5</v>
      </c>
      <c r="H692">
        <f>_xlfn.RANK.AVG(Table1[[#This Row],[Flux in RT / glucose uptake ($mmol/mmol\ glc$)]],Table1[Flux in RT / glucose uptake ($mmol/mmol\ glc$)])</f>
        <v>1290.5</v>
      </c>
      <c r="I692" t="e">
        <f>LOG(Table1[[#This Row],[Flux in SC / glucose uptake ($mmol/mmol\ glc$)]])</f>
        <v>#NUM!</v>
      </c>
      <c r="J692" t="e">
        <f>LOG(Table1[[#This Row],[Flux in RT / glucose uptake ($mmol/mmol\ glc$)]])</f>
        <v>#NUM!</v>
      </c>
    </row>
    <row r="693" spans="1:10" x14ac:dyDescent="0.2">
      <c r="A693" t="s">
        <v>696</v>
      </c>
      <c r="B693" t="s">
        <v>3147</v>
      </c>
      <c r="C693">
        <v>0</v>
      </c>
      <c r="D693">
        <v>0</v>
      </c>
      <c r="E693">
        <f>ABS(Table1[[#This Row],[Flux in SC / glucose uptake ($mmol/mmol\ glc$)]]-Table1[[#This Row],[Flux in RT / glucose uptake ($mmol/mmol\ glc$)]])/SQRT(2)</f>
        <v>0</v>
      </c>
      <c r="F693">
        <f>Table1[[#This Row],[distance from 45-degree line]]/MAX(Table1[[Flux in SC / glucose uptake ($mmol/mmol\ glc$)]:[Flux in RT / glucose uptake ($mmol/mmol\ glc$)]])</f>
        <v>0</v>
      </c>
      <c r="G693">
        <f>_xlfn.RANK.AVG(Table1[[#This Row],[Flux in SC / glucose uptake ($mmol/mmol\ glc$)]],Table1[Flux in SC / glucose uptake ($mmol/mmol\ glc$)])</f>
        <v>1310.5</v>
      </c>
      <c r="H693">
        <f>_xlfn.RANK.AVG(Table1[[#This Row],[Flux in RT / glucose uptake ($mmol/mmol\ glc$)]],Table1[Flux in RT / glucose uptake ($mmol/mmol\ glc$)])</f>
        <v>1290.5</v>
      </c>
      <c r="I693" t="e">
        <f>LOG(Table1[[#This Row],[Flux in SC / glucose uptake ($mmol/mmol\ glc$)]])</f>
        <v>#NUM!</v>
      </c>
      <c r="J693" t="e">
        <f>LOG(Table1[[#This Row],[Flux in RT / glucose uptake ($mmol/mmol\ glc$)]])</f>
        <v>#NUM!</v>
      </c>
    </row>
    <row r="694" spans="1:10" x14ac:dyDescent="0.2">
      <c r="A694" t="s">
        <v>697</v>
      </c>
      <c r="B694" t="s">
        <v>3151</v>
      </c>
      <c r="C694">
        <v>0</v>
      </c>
      <c r="D694">
        <v>0</v>
      </c>
      <c r="E694">
        <f>ABS(Table1[[#This Row],[Flux in SC / glucose uptake ($mmol/mmol\ glc$)]]-Table1[[#This Row],[Flux in RT / glucose uptake ($mmol/mmol\ glc$)]])/SQRT(2)</f>
        <v>0</v>
      </c>
      <c r="F694">
        <f>Table1[[#This Row],[distance from 45-degree line]]/MAX(Table1[[Flux in SC / glucose uptake ($mmol/mmol\ glc$)]:[Flux in RT / glucose uptake ($mmol/mmol\ glc$)]])</f>
        <v>0</v>
      </c>
      <c r="G694">
        <f>_xlfn.RANK.AVG(Table1[[#This Row],[Flux in SC / glucose uptake ($mmol/mmol\ glc$)]],Table1[Flux in SC / glucose uptake ($mmol/mmol\ glc$)])</f>
        <v>1310.5</v>
      </c>
      <c r="H694">
        <f>_xlfn.RANK.AVG(Table1[[#This Row],[Flux in RT / glucose uptake ($mmol/mmol\ glc$)]],Table1[Flux in RT / glucose uptake ($mmol/mmol\ glc$)])</f>
        <v>1290.5</v>
      </c>
      <c r="I694" t="e">
        <f>LOG(Table1[[#This Row],[Flux in SC / glucose uptake ($mmol/mmol\ glc$)]])</f>
        <v>#NUM!</v>
      </c>
      <c r="J694" t="e">
        <f>LOG(Table1[[#This Row],[Flux in RT / glucose uptake ($mmol/mmol\ glc$)]])</f>
        <v>#NUM!</v>
      </c>
    </row>
    <row r="695" spans="1:10" x14ac:dyDescent="0.2">
      <c r="A695" t="s">
        <v>698</v>
      </c>
      <c r="B695" t="s">
        <v>3114</v>
      </c>
      <c r="C695">
        <v>0</v>
      </c>
      <c r="D695">
        <v>0</v>
      </c>
      <c r="E695">
        <f>ABS(Table1[[#This Row],[Flux in SC / glucose uptake ($mmol/mmol\ glc$)]]-Table1[[#This Row],[Flux in RT / glucose uptake ($mmol/mmol\ glc$)]])/SQRT(2)</f>
        <v>0</v>
      </c>
      <c r="F695">
        <f>Table1[[#This Row],[distance from 45-degree line]]/MAX(Table1[[Flux in SC / glucose uptake ($mmol/mmol\ glc$)]:[Flux in RT / glucose uptake ($mmol/mmol\ glc$)]])</f>
        <v>0</v>
      </c>
      <c r="G695">
        <f>_xlfn.RANK.AVG(Table1[[#This Row],[Flux in SC / glucose uptake ($mmol/mmol\ glc$)]],Table1[Flux in SC / glucose uptake ($mmol/mmol\ glc$)])</f>
        <v>1310.5</v>
      </c>
      <c r="H695">
        <f>_xlfn.RANK.AVG(Table1[[#This Row],[Flux in RT / glucose uptake ($mmol/mmol\ glc$)]],Table1[Flux in RT / glucose uptake ($mmol/mmol\ glc$)])</f>
        <v>1290.5</v>
      </c>
      <c r="I695" t="e">
        <f>LOG(Table1[[#This Row],[Flux in SC / glucose uptake ($mmol/mmol\ glc$)]])</f>
        <v>#NUM!</v>
      </c>
      <c r="J695" t="e">
        <f>LOG(Table1[[#This Row],[Flux in RT / glucose uptake ($mmol/mmol\ glc$)]])</f>
        <v>#NUM!</v>
      </c>
    </row>
    <row r="696" spans="1:10" x14ac:dyDescent="0.2">
      <c r="A696" t="s">
        <v>699</v>
      </c>
      <c r="B696" t="s">
        <v>3120</v>
      </c>
      <c r="C696">
        <v>4.2395240083936388E-3</v>
      </c>
      <c r="D696">
        <v>1.9187997833945303E-2</v>
      </c>
      <c r="E696">
        <f>ABS(Table1[[#This Row],[Flux in SC / glucose uptake ($mmol/mmol\ glc$)]]-Table1[[#This Row],[Flux in RT / glucose uptake ($mmol/mmol\ glc$)]])/SQRT(2)</f>
        <v>1.0570167210437194E-2</v>
      </c>
      <c r="F696">
        <f>Table1[[#This Row],[distance from 45-degree line]]/MAX(Table1[[Flux in SC / glucose uptake ($mmol/mmol\ glc$)]:[Flux in RT / glucose uptake ($mmol/mmol\ glc$)]])</f>
        <v>5.6971995138478942E-4</v>
      </c>
      <c r="G696">
        <f>_xlfn.RANK.AVG(Table1[[#This Row],[Flux in SC / glucose uptake ($mmol/mmol\ glc$)]],Table1[Flux in SC / glucose uptake ($mmol/mmol\ glc$)])</f>
        <v>133</v>
      </c>
      <c r="H696">
        <f>_xlfn.RANK.AVG(Table1[[#This Row],[Flux in RT / glucose uptake ($mmol/mmol\ glc$)]],Table1[Flux in RT / glucose uptake ($mmol/mmol\ glc$)])</f>
        <v>153</v>
      </c>
      <c r="I696">
        <f>LOG(Table1[[#This Row],[Flux in SC / glucose uptake ($mmol/mmol\ glc$)]])</f>
        <v>-2.3726829009856614</v>
      </c>
      <c r="J696">
        <f>LOG(Table1[[#This Row],[Flux in RT / glucose uptake ($mmol/mmol\ glc$)]])</f>
        <v>-1.7169703392318678</v>
      </c>
    </row>
    <row r="697" spans="1:10" x14ac:dyDescent="0.2">
      <c r="A697" t="s">
        <v>700</v>
      </c>
      <c r="B697" t="s">
        <v>3120</v>
      </c>
      <c r="C697">
        <v>4.2395240083936388E-3</v>
      </c>
      <c r="D697">
        <v>1.9187997833945303E-2</v>
      </c>
      <c r="E697">
        <f>ABS(Table1[[#This Row],[Flux in SC / glucose uptake ($mmol/mmol\ glc$)]]-Table1[[#This Row],[Flux in RT / glucose uptake ($mmol/mmol\ glc$)]])/SQRT(2)</f>
        <v>1.0570167210437194E-2</v>
      </c>
      <c r="F697">
        <f>Table1[[#This Row],[distance from 45-degree line]]/MAX(Table1[[Flux in SC / glucose uptake ($mmol/mmol\ glc$)]:[Flux in RT / glucose uptake ($mmol/mmol\ glc$)]])</f>
        <v>5.6971995138478942E-4</v>
      </c>
      <c r="G697">
        <f>_xlfn.RANK.AVG(Table1[[#This Row],[Flux in SC / glucose uptake ($mmol/mmol\ glc$)]],Table1[Flux in SC / glucose uptake ($mmol/mmol\ glc$)])</f>
        <v>133</v>
      </c>
      <c r="H697">
        <f>_xlfn.RANK.AVG(Table1[[#This Row],[Flux in RT / glucose uptake ($mmol/mmol\ glc$)]],Table1[Flux in RT / glucose uptake ($mmol/mmol\ glc$)])</f>
        <v>153</v>
      </c>
      <c r="I697">
        <f>LOG(Table1[[#This Row],[Flux in SC / glucose uptake ($mmol/mmol\ glc$)]])</f>
        <v>-2.3726829009856614</v>
      </c>
      <c r="J697">
        <f>LOG(Table1[[#This Row],[Flux in RT / glucose uptake ($mmol/mmol\ glc$)]])</f>
        <v>-1.7169703392318678</v>
      </c>
    </row>
    <row r="698" spans="1:10" x14ac:dyDescent="0.2">
      <c r="A698" t="s">
        <v>701</v>
      </c>
      <c r="B698" t="s">
        <v>3114</v>
      </c>
      <c r="C698">
        <v>0</v>
      </c>
      <c r="D698">
        <v>0</v>
      </c>
      <c r="E698">
        <f>ABS(Table1[[#This Row],[Flux in SC / glucose uptake ($mmol/mmol\ glc$)]]-Table1[[#This Row],[Flux in RT / glucose uptake ($mmol/mmol\ glc$)]])/SQRT(2)</f>
        <v>0</v>
      </c>
      <c r="F698">
        <f>Table1[[#This Row],[distance from 45-degree line]]/MAX(Table1[[Flux in SC / glucose uptake ($mmol/mmol\ glc$)]:[Flux in RT / glucose uptake ($mmol/mmol\ glc$)]])</f>
        <v>0</v>
      </c>
      <c r="G698">
        <f>_xlfn.RANK.AVG(Table1[[#This Row],[Flux in SC / glucose uptake ($mmol/mmol\ glc$)]],Table1[Flux in SC / glucose uptake ($mmol/mmol\ glc$)])</f>
        <v>1310.5</v>
      </c>
      <c r="H698">
        <f>_xlfn.RANK.AVG(Table1[[#This Row],[Flux in RT / glucose uptake ($mmol/mmol\ glc$)]],Table1[Flux in RT / glucose uptake ($mmol/mmol\ glc$)])</f>
        <v>1290.5</v>
      </c>
      <c r="I698" t="e">
        <f>LOG(Table1[[#This Row],[Flux in SC / glucose uptake ($mmol/mmol\ glc$)]])</f>
        <v>#NUM!</v>
      </c>
      <c r="J698" t="e">
        <f>LOG(Table1[[#This Row],[Flux in RT / glucose uptake ($mmol/mmol\ glc$)]])</f>
        <v>#NUM!</v>
      </c>
    </row>
    <row r="699" spans="1:10" x14ac:dyDescent="0.2">
      <c r="A699" t="s">
        <v>702</v>
      </c>
      <c r="B699" t="s">
        <v>3125</v>
      </c>
      <c r="C699">
        <v>0</v>
      </c>
      <c r="D699">
        <v>0</v>
      </c>
      <c r="E699">
        <f>ABS(Table1[[#This Row],[Flux in SC / glucose uptake ($mmol/mmol\ glc$)]]-Table1[[#This Row],[Flux in RT / glucose uptake ($mmol/mmol\ glc$)]])/SQRT(2)</f>
        <v>0</v>
      </c>
      <c r="F699">
        <f>Table1[[#This Row],[distance from 45-degree line]]/MAX(Table1[[Flux in SC / glucose uptake ($mmol/mmol\ glc$)]:[Flux in RT / glucose uptake ($mmol/mmol\ glc$)]])</f>
        <v>0</v>
      </c>
      <c r="G699">
        <f>_xlfn.RANK.AVG(Table1[[#This Row],[Flux in SC / glucose uptake ($mmol/mmol\ glc$)]],Table1[Flux in SC / glucose uptake ($mmol/mmol\ glc$)])</f>
        <v>1310.5</v>
      </c>
      <c r="H699">
        <f>_xlfn.RANK.AVG(Table1[[#This Row],[Flux in RT / glucose uptake ($mmol/mmol\ glc$)]],Table1[Flux in RT / glucose uptake ($mmol/mmol\ glc$)])</f>
        <v>1290.5</v>
      </c>
      <c r="I699" t="e">
        <f>LOG(Table1[[#This Row],[Flux in SC / glucose uptake ($mmol/mmol\ glc$)]])</f>
        <v>#NUM!</v>
      </c>
      <c r="J699" t="e">
        <f>LOG(Table1[[#This Row],[Flux in RT / glucose uptake ($mmol/mmol\ glc$)]])</f>
        <v>#NUM!</v>
      </c>
    </row>
    <row r="700" spans="1:10" x14ac:dyDescent="0.2">
      <c r="A700" t="s">
        <v>703</v>
      </c>
      <c r="B700" t="s">
        <v>3148</v>
      </c>
      <c r="C700">
        <v>0</v>
      </c>
      <c r="D700">
        <v>0</v>
      </c>
      <c r="E700">
        <f>ABS(Table1[[#This Row],[Flux in SC / glucose uptake ($mmol/mmol\ glc$)]]-Table1[[#This Row],[Flux in RT / glucose uptake ($mmol/mmol\ glc$)]])/SQRT(2)</f>
        <v>0</v>
      </c>
      <c r="F700">
        <f>Table1[[#This Row],[distance from 45-degree line]]/MAX(Table1[[Flux in SC / glucose uptake ($mmol/mmol\ glc$)]:[Flux in RT / glucose uptake ($mmol/mmol\ glc$)]])</f>
        <v>0</v>
      </c>
      <c r="G700">
        <f>_xlfn.RANK.AVG(Table1[[#This Row],[Flux in SC / glucose uptake ($mmol/mmol\ glc$)]],Table1[Flux in SC / glucose uptake ($mmol/mmol\ glc$)])</f>
        <v>1310.5</v>
      </c>
      <c r="H700">
        <f>_xlfn.RANK.AVG(Table1[[#This Row],[Flux in RT / glucose uptake ($mmol/mmol\ glc$)]],Table1[Flux in RT / glucose uptake ($mmol/mmol\ glc$)])</f>
        <v>1290.5</v>
      </c>
      <c r="I700" t="e">
        <f>LOG(Table1[[#This Row],[Flux in SC / glucose uptake ($mmol/mmol\ glc$)]])</f>
        <v>#NUM!</v>
      </c>
      <c r="J700" t="e">
        <f>LOG(Table1[[#This Row],[Flux in RT / glucose uptake ($mmol/mmol\ glc$)]])</f>
        <v>#NUM!</v>
      </c>
    </row>
    <row r="701" spans="1:10" x14ac:dyDescent="0.2">
      <c r="A701" t="s">
        <v>704</v>
      </c>
      <c r="B701" t="s">
        <v>3148</v>
      </c>
      <c r="C701">
        <v>0</v>
      </c>
      <c r="D701">
        <v>0</v>
      </c>
      <c r="E701">
        <f>ABS(Table1[[#This Row],[Flux in SC / glucose uptake ($mmol/mmol\ glc$)]]-Table1[[#This Row],[Flux in RT / glucose uptake ($mmol/mmol\ glc$)]])/SQRT(2)</f>
        <v>0</v>
      </c>
      <c r="F701">
        <f>Table1[[#This Row],[distance from 45-degree line]]/MAX(Table1[[Flux in SC / glucose uptake ($mmol/mmol\ glc$)]:[Flux in RT / glucose uptake ($mmol/mmol\ glc$)]])</f>
        <v>0</v>
      </c>
      <c r="G701">
        <f>_xlfn.RANK.AVG(Table1[[#This Row],[Flux in SC / glucose uptake ($mmol/mmol\ glc$)]],Table1[Flux in SC / glucose uptake ($mmol/mmol\ glc$)])</f>
        <v>1310.5</v>
      </c>
      <c r="H701">
        <f>_xlfn.RANK.AVG(Table1[[#This Row],[Flux in RT / glucose uptake ($mmol/mmol\ glc$)]],Table1[Flux in RT / glucose uptake ($mmol/mmol\ glc$)])</f>
        <v>1290.5</v>
      </c>
      <c r="I701" t="e">
        <f>LOG(Table1[[#This Row],[Flux in SC / glucose uptake ($mmol/mmol\ glc$)]])</f>
        <v>#NUM!</v>
      </c>
      <c r="J701" t="e">
        <f>LOG(Table1[[#This Row],[Flux in RT / glucose uptake ($mmol/mmol\ glc$)]])</f>
        <v>#NUM!</v>
      </c>
    </row>
    <row r="702" spans="1:10" x14ac:dyDescent="0.2">
      <c r="A702" t="s">
        <v>705</v>
      </c>
      <c r="B702" t="s">
        <v>3165</v>
      </c>
      <c r="C702">
        <v>0</v>
      </c>
      <c r="D702">
        <v>0</v>
      </c>
      <c r="E702">
        <f>ABS(Table1[[#This Row],[Flux in SC / glucose uptake ($mmol/mmol\ glc$)]]-Table1[[#This Row],[Flux in RT / glucose uptake ($mmol/mmol\ glc$)]])/SQRT(2)</f>
        <v>0</v>
      </c>
      <c r="F702">
        <f>Table1[[#This Row],[distance from 45-degree line]]/MAX(Table1[[Flux in SC / glucose uptake ($mmol/mmol\ glc$)]:[Flux in RT / glucose uptake ($mmol/mmol\ glc$)]])</f>
        <v>0</v>
      </c>
      <c r="G702">
        <f>_xlfn.RANK.AVG(Table1[[#This Row],[Flux in SC / glucose uptake ($mmol/mmol\ glc$)]],Table1[Flux in SC / glucose uptake ($mmol/mmol\ glc$)])</f>
        <v>1310.5</v>
      </c>
      <c r="H702">
        <f>_xlfn.RANK.AVG(Table1[[#This Row],[Flux in RT / glucose uptake ($mmol/mmol\ glc$)]],Table1[Flux in RT / glucose uptake ($mmol/mmol\ glc$)])</f>
        <v>1290.5</v>
      </c>
      <c r="I702" t="e">
        <f>LOG(Table1[[#This Row],[Flux in SC / glucose uptake ($mmol/mmol\ glc$)]])</f>
        <v>#NUM!</v>
      </c>
      <c r="J702" t="e">
        <f>LOG(Table1[[#This Row],[Flux in RT / glucose uptake ($mmol/mmol\ glc$)]])</f>
        <v>#NUM!</v>
      </c>
    </row>
    <row r="703" spans="1:10" x14ac:dyDescent="0.2">
      <c r="A703" t="s">
        <v>706</v>
      </c>
      <c r="B703" t="s">
        <v>3165</v>
      </c>
      <c r="C703">
        <v>0</v>
      </c>
      <c r="D703">
        <v>0</v>
      </c>
      <c r="E703">
        <f>ABS(Table1[[#This Row],[Flux in SC / glucose uptake ($mmol/mmol\ glc$)]]-Table1[[#This Row],[Flux in RT / glucose uptake ($mmol/mmol\ glc$)]])/SQRT(2)</f>
        <v>0</v>
      </c>
      <c r="F703">
        <f>Table1[[#This Row],[distance from 45-degree line]]/MAX(Table1[[Flux in SC / glucose uptake ($mmol/mmol\ glc$)]:[Flux in RT / glucose uptake ($mmol/mmol\ glc$)]])</f>
        <v>0</v>
      </c>
      <c r="G703">
        <f>_xlfn.RANK.AVG(Table1[[#This Row],[Flux in SC / glucose uptake ($mmol/mmol\ glc$)]],Table1[Flux in SC / glucose uptake ($mmol/mmol\ glc$)])</f>
        <v>1310.5</v>
      </c>
      <c r="H703">
        <f>_xlfn.RANK.AVG(Table1[[#This Row],[Flux in RT / glucose uptake ($mmol/mmol\ glc$)]],Table1[Flux in RT / glucose uptake ($mmol/mmol\ glc$)])</f>
        <v>1290.5</v>
      </c>
      <c r="I703" t="e">
        <f>LOG(Table1[[#This Row],[Flux in SC / glucose uptake ($mmol/mmol\ glc$)]])</f>
        <v>#NUM!</v>
      </c>
      <c r="J703" t="e">
        <f>LOG(Table1[[#This Row],[Flux in RT / glucose uptake ($mmol/mmol\ glc$)]])</f>
        <v>#NUM!</v>
      </c>
    </row>
    <row r="704" spans="1:10" x14ac:dyDescent="0.2">
      <c r="A704" t="s">
        <v>707</v>
      </c>
      <c r="B704" t="s">
        <v>3136</v>
      </c>
      <c r="C704">
        <v>9.390508825934949E-4</v>
      </c>
      <c r="D704">
        <v>7.7582709199513792E-3</v>
      </c>
      <c r="E704">
        <f>ABS(Table1[[#This Row],[Flux in SC / glucose uptake ($mmol/mmol\ glc$)]]-Table1[[#This Row],[Flux in RT / glucose uptake ($mmol/mmol\ glc$)]])/SQRT(2)</f>
        <v>4.8219167308189417E-3</v>
      </c>
      <c r="F704">
        <f>Table1[[#This Row],[distance from 45-degree line]]/MAX(Table1[[Flux in SC / glucose uptake ($mmol/mmol\ glc$)]:[Flux in RT / glucose uptake ($mmol/mmol\ glc$)]])</f>
        <v>2.5989580966619786E-4</v>
      </c>
      <c r="G704">
        <f>_xlfn.RANK.AVG(Table1[[#This Row],[Flux in SC / glucose uptake ($mmol/mmol\ glc$)]],Table1[Flux in SC / glucose uptake ($mmol/mmol\ glc$)])</f>
        <v>217</v>
      </c>
      <c r="H704">
        <f>_xlfn.RANK.AVG(Table1[[#This Row],[Flux in RT / glucose uptake ($mmol/mmol\ glc$)]],Table1[Flux in RT / glucose uptake ($mmol/mmol\ glc$)])</f>
        <v>205.5</v>
      </c>
      <c r="I704">
        <f>LOG(Table1[[#This Row],[Flux in SC / glucose uptake ($mmol/mmol\ glc$)]])</f>
        <v>-3.0273108747936583</v>
      </c>
      <c r="J704">
        <f>LOG(Table1[[#This Row],[Flux in RT / glucose uptake ($mmol/mmol\ glc$)]])</f>
        <v>-2.1102350588445518</v>
      </c>
    </row>
    <row r="705" spans="1:10" x14ac:dyDescent="0.2">
      <c r="A705" t="s">
        <v>708</v>
      </c>
      <c r="B705" t="s">
        <v>3114</v>
      </c>
      <c r="C705">
        <v>0</v>
      </c>
      <c r="D705">
        <v>0</v>
      </c>
      <c r="E705">
        <f>ABS(Table1[[#This Row],[Flux in SC / glucose uptake ($mmol/mmol\ glc$)]]-Table1[[#This Row],[Flux in RT / glucose uptake ($mmol/mmol\ glc$)]])/SQRT(2)</f>
        <v>0</v>
      </c>
      <c r="F705">
        <f>Table1[[#This Row],[distance from 45-degree line]]/MAX(Table1[[Flux in SC / glucose uptake ($mmol/mmol\ glc$)]:[Flux in RT / glucose uptake ($mmol/mmol\ glc$)]])</f>
        <v>0</v>
      </c>
      <c r="G705">
        <f>_xlfn.RANK.AVG(Table1[[#This Row],[Flux in SC / glucose uptake ($mmol/mmol\ glc$)]],Table1[Flux in SC / glucose uptake ($mmol/mmol\ glc$)])</f>
        <v>1310.5</v>
      </c>
      <c r="H705">
        <f>_xlfn.RANK.AVG(Table1[[#This Row],[Flux in RT / glucose uptake ($mmol/mmol\ glc$)]],Table1[Flux in RT / glucose uptake ($mmol/mmol\ glc$)])</f>
        <v>1290.5</v>
      </c>
      <c r="I705" t="e">
        <f>LOG(Table1[[#This Row],[Flux in SC / glucose uptake ($mmol/mmol\ glc$)]])</f>
        <v>#NUM!</v>
      </c>
      <c r="J705" t="e">
        <f>LOG(Table1[[#This Row],[Flux in RT / glucose uptake ($mmol/mmol\ glc$)]])</f>
        <v>#NUM!</v>
      </c>
    </row>
    <row r="706" spans="1:10" x14ac:dyDescent="0.2">
      <c r="A706" t="s">
        <v>709</v>
      </c>
      <c r="B706" t="s">
        <v>3151</v>
      </c>
      <c r="C706">
        <v>0</v>
      </c>
      <c r="D706">
        <v>0</v>
      </c>
      <c r="E706">
        <f>ABS(Table1[[#This Row],[Flux in SC / glucose uptake ($mmol/mmol\ glc$)]]-Table1[[#This Row],[Flux in RT / glucose uptake ($mmol/mmol\ glc$)]])/SQRT(2)</f>
        <v>0</v>
      </c>
      <c r="F706">
        <f>Table1[[#This Row],[distance from 45-degree line]]/MAX(Table1[[Flux in SC / glucose uptake ($mmol/mmol\ glc$)]:[Flux in RT / glucose uptake ($mmol/mmol\ glc$)]])</f>
        <v>0</v>
      </c>
      <c r="G706">
        <f>_xlfn.RANK.AVG(Table1[[#This Row],[Flux in SC / glucose uptake ($mmol/mmol\ glc$)]],Table1[Flux in SC / glucose uptake ($mmol/mmol\ glc$)])</f>
        <v>1310.5</v>
      </c>
      <c r="H706">
        <f>_xlfn.RANK.AVG(Table1[[#This Row],[Flux in RT / glucose uptake ($mmol/mmol\ glc$)]],Table1[Flux in RT / glucose uptake ($mmol/mmol\ glc$)])</f>
        <v>1290.5</v>
      </c>
      <c r="I706" t="e">
        <f>LOG(Table1[[#This Row],[Flux in SC / glucose uptake ($mmol/mmol\ glc$)]])</f>
        <v>#NUM!</v>
      </c>
      <c r="J706" t="e">
        <f>LOG(Table1[[#This Row],[Flux in RT / glucose uptake ($mmol/mmol\ glc$)]])</f>
        <v>#NUM!</v>
      </c>
    </row>
    <row r="707" spans="1:10" x14ac:dyDescent="0.2">
      <c r="A707" t="s">
        <v>710</v>
      </c>
      <c r="B707" t="s">
        <v>3150</v>
      </c>
      <c r="C707">
        <v>0</v>
      </c>
      <c r="D707">
        <v>0</v>
      </c>
      <c r="E707">
        <f>ABS(Table1[[#This Row],[Flux in SC / glucose uptake ($mmol/mmol\ glc$)]]-Table1[[#This Row],[Flux in RT / glucose uptake ($mmol/mmol\ glc$)]])/SQRT(2)</f>
        <v>0</v>
      </c>
      <c r="F707">
        <f>Table1[[#This Row],[distance from 45-degree line]]/MAX(Table1[[Flux in SC / glucose uptake ($mmol/mmol\ glc$)]:[Flux in RT / glucose uptake ($mmol/mmol\ glc$)]])</f>
        <v>0</v>
      </c>
      <c r="G707">
        <f>_xlfn.RANK.AVG(Table1[[#This Row],[Flux in SC / glucose uptake ($mmol/mmol\ glc$)]],Table1[Flux in SC / glucose uptake ($mmol/mmol\ glc$)])</f>
        <v>1310.5</v>
      </c>
      <c r="H707">
        <f>_xlfn.RANK.AVG(Table1[[#This Row],[Flux in RT / glucose uptake ($mmol/mmol\ glc$)]],Table1[Flux in RT / glucose uptake ($mmol/mmol\ glc$)])</f>
        <v>1290.5</v>
      </c>
      <c r="I707" t="e">
        <f>LOG(Table1[[#This Row],[Flux in SC / glucose uptake ($mmol/mmol\ glc$)]])</f>
        <v>#NUM!</v>
      </c>
      <c r="J707" t="e">
        <f>LOG(Table1[[#This Row],[Flux in RT / glucose uptake ($mmol/mmol\ glc$)]])</f>
        <v>#NUM!</v>
      </c>
    </row>
    <row r="708" spans="1:10" x14ac:dyDescent="0.2">
      <c r="A708" t="s">
        <v>711</v>
      </c>
      <c r="B708" t="s">
        <v>3151</v>
      </c>
      <c r="C708">
        <v>0</v>
      </c>
      <c r="D708">
        <v>0</v>
      </c>
      <c r="E708">
        <f>ABS(Table1[[#This Row],[Flux in SC / glucose uptake ($mmol/mmol\ glc$)]]-Table1[[#This Row],[Flux in RT / glucose uptake ($mmol/mmol\ glc$)]])/SQRT(2)</f>
        <v>0</v>
      </c>
      <c r="F708">
        <f>Table1[[#This Row],[distance from 45-degree line]]/MAX(Table1[[Flux in SC / glucose uptake ($mmol/mmol\ glc$)]:[Flux in RT / glucose uptake ($mmol/mmol\ glc$)]])</f>
        <v>0</v>
      </c>
      <c r="G708">
        <f>_xlfn.RANK.AVG(Table1[[#This Row],[Flux in SC / glucose uptake ($mmol/mmol\ glc$)]],Table1[Flux in SC / glucose uptake ($mmol/mmol\ glc$)])</f>
        <v>1310.5</v>
      </c>
      <c r="H708">
        <f>_xlfn.RANK.AVG(Table1[[#This Row],[Flux in RT / glucose uptake ($mmol/mmol\ glc$)]],Table1[Flux in RT / glucose uptake ($mmol/mmol\ glc$)])</f>
        <v>1290.5</v>
      </c>
      <c r="I708" t="e">
        <f>LOG(Table1[[#This Row],[Flux in SC / glucose uptake ($mmol/mmol\ glc$)]])</f>
        <v>#NUM!</v>
      </c>
      <c r="J708" t="e">
        <f>LOG(Table1[[#This Row],[Flux in RT / glucose uptake ($mmol/mmol\ glc$)]])</f>
        <v>#NUM!</v>
      </c>
    </row>
    <row r="709" spans="1:10" x14ac:dyDescent="0.2">
      <c r="A709" t="s">
        <v>712</v>
      </c>
      <c r="B709" t="s">
        <v>3114</v>
      </c>
      <c r="C709">
        <v>0</v>
      </c>
      <c r="D709">
        <v>0</v>
      </c>
      <c r="E709">
        <f>ABS(Table1[[#This Row],[Flux in SC / glucose uptake ($mmol/mmol\ glc$)]]-Table1[[#This Row],[Flux in RT / glucose uptake ($mmol/mmol\ glc$)]])/SQRT(2)</f>
        <v>0</v>
      </c>
      <c r="F709">
        <f>Table1[[#This Row],[distance from 45-degree line]]/MAX(Table1[[Flux in SC / glucose uptake ($mmol/mmol\ glc$)]:[Flux in RT / glucose uptake ($mmol/mmol\ glc$)]])</f>
        <v>0</v>
      </c>
      <c r="G709">
        <f>_xlfn.RANK.AVG(Table1[[#This Row],[Flux in SC / glucose uptake ($mmol/mmol\ glc$)]],Table1[Flux in SC / glucose uptake ($mmol/mmol\ glc$)])</f>
        <v>1310.5</v>
      </c>
      <c r="H709">
        <f>_xlfn.RANK.AVG(Table1[[#This Row],[Flux in RT / glucose uptake ($mmol/mmol\ glc$)]],Table1[Flux in RT / glucose uptake ($mmol/mmol\ glc$)])</f>
        <v>1290.5</v>
      </c>
      <c r="I709" t="e">
        <f>LOG(Table1[[#This Row],[Flux in SC / glucose uptake ($mmol/mmol\ glc$)]])</f>
        <v>#NUM!</v>
      </c>
      <c r="J709" t="e">
        <f>LOG(Table1[[#This Row],[Flux in RT / glucose uptake ($mmol/mmol\ glc$)]])</f>
        <v>#NUM!</v>
      </c>
    </row>
    <row r="710" spans="1:10" x14ac:dyDescent="0.2">
      <c r="A710" t="s">
        <v>713</v>
      </c>
      <c r="B710" t="s">
        <v>3114</v>
      </c>
      <c r="C710">
        <v>0</v>
      </c>
      <c r="D710">
        <v>0</v>
      </c>
      <c r="E710">
        <f>ABS(Table1[[#This Row],[Flux in SC / glucose uptake ($mmol/mmol\ glc$)]]-Table1[[#This Row],[Flux in RT / glucose uptake ($mmol/mmol\ glc$)]])/SQRT(2)</f>
        <v>0</v>
      </c>
      <c r="F710">
        <f>Table1[[#This Row],[distance from 45-degree line]]/MAX(Table1[[Flux in SC / glucose uptake ($mmol/mmol\ glc$)]:[Flux in RT / glucose uptake ($mmol/mmol\ glc$)]])</f>
        <v>0</v>
      </c>
      <c r="G710">
        <f>_xlfn.RANK.AVG(Table1[[#This Row],[Flux in SC / glucose uptake ($mmol/mmol\ glc$)]],Table1[Flux in SC / glucose uptake ($mmol/mmol\ glc$)])</f>
        <v>1310.5</v>
      </c>
      <c r="H710">
        <f>_xlfn.RANK.AVG(Table1[[#This Row],[Flux in RT / glucose uptake ($mmol/mmol\ glc$)]],Table1[Flux in RT / glucose uptake ($mmol/mmol\ glc$)])</f>
        <v>1290.5</v>
      </c>
      <c r="I710" t="e">
        <f>LOG(Table1[[#This Row],[Flux in SC / glucose uptake ($mmol/mmol\ glc$)]])</f>
        <v>#NUM!</v>
      </c>
      <c r="J710" t="e">
        <f>LOG(Table1[[#This Row],[Flux in RT / glucose uptake ($mmol/mmol\ glc$)]])</f>
        <v>#NUM!</v>
      </c>
    </row>
    <row r="711" spans="1:10" x14ac:dyDescent="0.2">
      <c r="A711" t="s">
        <v>714</v>
      </c>
      <c r="B711" t="s">
        <v>3114</v>
      </c>
      <c r="C711">
        <v>0</v>
      </c>
      <c r="D711">
        <v>0</v>
      </c>
      <c r="E711">
        <f>ABS(Table1[[#This Row],[Flux in SC / glucose uptake ($mmol/mmol\ glc$)]]-Table1[[#This Row],[Flux in RT / glucose uptake ($mmol/mmol\ glc$)]])/SQRT(2)</f>
        <v>0</v>
      </c>
      <c r="F711">
        <f>Table1[[#This Row],[distance from 45-degree line]]/MAX(Table1[[Flux in SC / glucose uptake ($mmol/mmol\ glc$)]:[Flux in RT / glucose uptake ($mmol/mmol\ glc$)]])</f>
        <v>0</v>
      </c>
      <c r="G711">
        <f>_xlfn.RANK.AVG(Table1[[#This Row],[Flux in SC / glucose uptake ($mmol/mmol\ glc$)]],Table1[Flux in SC / glucose uptake ($mmol/mmol\ glc$)])</f>
        <v>1310.5</v>
      </c>
      <c r="H711">
        <f>_xlfn.RANK.AVG(Table1[[#This Row],[Flux in RT / glucose uptake ($mmol/mmol\ glc$)]],Table1[Flux in RT / glucose uptake ($mmol/mmol\ glc$)])</f>
        <v>1290.5</v>
      </c>
      <c r="I711" t="e">
        <f>LOG(Table1[[#This Row],[Flux in SC / glucose uptake ($mmol/mmol\ glc$)]])</f>
        <v>#NUM!</v>
      </c>
      <c r="J711" t="e">
        <f>LOG(Table1[[#This Row],[Flux in RT / glucose uptake ($mmol/mmol\ glc$)]])</f>
        <v>#NUM!</v>
      </c>
    </row>
    <row r="712" spans="1:10" x14ac:dyDescent="0.2">
      <c r="A712" t="s">
        <v>715</v>
      </c>
      <c r="B712" t="s">
        <v>3114</v>
      </c>
      <c r="C712">
        <v>0</v>
      </c>
      <c r="D712">
        <v>0</v>
      </c>
      <c r="E712">
        <f>ABS(Table1[[#This Row],[Flux in SC / glucose uptake ($mmol/mmol\ glc$)]]-Table1[[#This Row],[Flux in RT / glucose uptake ($mmol/mmol\ glc$)]])/SQRT(2)</f>
        <v>0</v>
      </c>
      <c r="F712">
        <f>Table1[[#This Row],[distance from 45-degree line]]/MAX(Table1[[Flux in SC / glucose uptake ($mmol/mmol\ glc$)]:[Flux in RT / glucose uptake ($mmol/mmol\ glc$)]])</f>
        <v>0</v>
      </c>
      <c r="G712">
        <f>_xlfn.RANK.AVG(Table1[[#This Row],[Flux in SC / glucose uptake ($mmol/mmol\ glc$)]],Table1[Flux in SC / glucose uptake ($mmol/mmol\ glc$)])</f>
        <v>1310.5</v>
      </c>
      <c r="H712">
        <f>_xlfn.RANK.AVG(Table1[[#This Row],[Flux in RT / glucose uptake ($mmol/mmol\ glc$)]],Table1[Flux in RT / glucose uptake ($mmol/mmol\ glc$)])</f>
        <v>1290.5</v>
      </c>
      <c r="I712" t="e">
        <f>LOG(Table1[[#This Row],[Flux in SC / glucose uptake ($mmol/mmol\ glc$)]])</f>
        <v>#NUM!</v>
      </c>
      <c r="J712" t="e">
        <f>LOG(Table1[[#This Row],[Flux in RT / glucose uptake ($mmol/mmol\ glc$)]])</f>
        <v>#NUM!</v>
      </c>
    </row>
    <row r="713" spans="1:10" x14ac:dyDescent="0.2">
      <c r="A713" t="s">
        <v>716</v>
      </c>
      <c r="B713" t="s">
        <v>3114</v>
      </c>
      <c r="C713">
        <v>0</v>
      </c>
      <c r="D713">
        <v>0</v>
      </c>
      <c r="E713">
        <f>ABS(Table1[[#This Row],[Flux in SC / glucose uptake ($mmol/mmol\ glc$)]]-Table1[[#This Row],[Flux in RT / glucose uptake ($mmol/mmol\ glc$)]])/SQRT(2)</f>
        <v>0</v>
      </c>
      <c r="F713">
        <f>Table1[[#This Row],[distance from 45-degree line]]/MAX(Table1[[Flux in SC / glucose uptake ($mmol/mmol\ glc$)]:[Flux in RT / glucose uptake ($mmol/mmol\ glc$)]])</f>
        <v>0</v>
      </c>
      <c r="G713">
        <f>_xlfn.RANK.AVG(Table1[[#This Row],[Flux in SC / glucose uptake ($mmol/mmol\ glc$)]],Table1[Flux in SC / glucose uptake ($mmol/mmol\ glc$)])</f>
        <v>1310.5</v>
      </c>
      <c r="H713">
        <f>_xlfn.RANK.AVG(Table1[[#This Row],[Flux in RT / glucose uptake ($mmol/mmol\ glc$)]],Table1[Flux in RT / glucose uptake ($mmol/mmol\ glc$)])</f>
        <v>1290.5</v>
      </c>
      <c r="I713" t="e">
        <f>LOG(Table1[[#This Row],[Flux in SC / glucose uptake ($mmol/mmol\ glc$)]])</f>
        <v>#NUM!</v>
      </c>
      <c r="J713" t="e">
        <f>LOG(Table1[[#This Row],[Flux in RT / glucose uptake ($mmol/mmol\ glc$)]])</f>
        <v>#NUM!</v>
      </c>
    </row>
    <row r="714" spans="1:10" x14ac:dyDescent="0.2">
      <c r="A714" t="s">
        <v>717</v>
      </c>
      <c r="B714" t="s">
        <v>3114</v>
      </c>
      <c r="C714">
        <v>0</v>
      </c>
      <c r="D714">
        <v>0</v>
      </c>
      <c r="E714">
        <f>ABS(Table1[[#This Row],[Flux in SC / glucose uptake ($mmol/mmol\ glc$)]]-Table1[[#This Row],[Flux in RT / glucose uptake ($mmol/mmol\ glc$)]])/SQRT(2)</f>
        <v>0</v>
      </c>
      <c r="F714">
        <f>Table1[[#This Row],[distance from 45-degree line]]/MAX(Table1[[Flux in SC / glucose uptake ($mmol/mmol\ glc$)]:[Flux in RT / glucose uptake ($mmol/mmol\ glc$)]])</f>
        <v>0</v>
      </c>
      <c r="G714">
        <f>_xlfn.RANK.AVG(Table1[[#This Row],[Flux in SC / glucose uptake ($mmol/mmol\ glc$)]],Table1[Flux in SC / glucose uptake ($mmol/mmol\ glc$)])</f>
        <v>1310.5</v>
      </c>
      <c r="H714">
        <f>_xlfn.RANK.AVG(Table1[[#This Row],[Flux in RT / glucose uptake ($mmol/mmol\ glc$)]],Table1[Flux in RT / glucose uptake ($mmol/mmol\ glc$)])</f>
        <v>1290.5</v>
      </c>
      <c r="I714" t="e">
        <f>LOG(Table1[[#This Row],[Flux in SC / glucose uptake ($mmol/mmol\ glc$)]])</f>
        <v>#NUM!</v>
      </c>
      <c r="J714" t="e">
        <f>LOG(Table1[[#This Row],[Flux in RT / glucose uptake ($mmol/mmol\ glc$)]])</f>
        <v>#NUM!</v>
      </c>
    </row>
    <row r="715" spans="1:10" x14ac:dyDescent="0.2">
      <c r="A715" t="s">
        <v>718</v>
      </c>
      <c r="B715" t="s">
        <v>3113</v>
      </c>
      <c r="C715">
        <v>0</v>
      </c>
      <c r="D715">
        <v>0</v>
      </c>
      <c r="E715">
        <f>ABS(Table1[[#This Row],[Flux in SC / glucose uptake ($mmol/mmol\ glc$)]]-Table1[[#This Row],[Flux in RT / glucose uptake ($mmol/mmol\ glc$)]])/SQRT(2)</f>
        <v>0</v>
      </c>
      <c r="F715">
        <f>Table1[[#This Row],[distance from 45-degree line]]/MAX(Table1[[Flux in SC / glucose uptake ($mmol/mmol\ glc$)]:[Flux in RT / glucose uptake ($mmol/mmol\ glc$)]])</f>
        <v>0</v>
      </c>
      <c r="G715">
        <f>_xlfn.RANK.AVG(Table1[[#This Row],[Flux in SC / glucose uptake ($mmol/mmol\ glc$)]],Table1[Flux in SC / glucose uptake ($mmol/mmol\ glc$)])</f>
        <v>1310.5</v>
      </c>
      <c r="H715">
        <f>_xlfn.RANK.AVG(Table1[[#This Row],[Flux in RT / glucose uptake ($mmol/mmol\ glc$)]],Table1[Flux in RT / glucose uptake ($mmol/mmol\ glc$)])</f>
        <v>1290.5</v>
      </c>
      <c r="I715" t="e">
        <f>LOG(Table1[[#This Row],[Flux in SC / glucose uptake ($mmol/mmol\ glc$)]])</f>
        <v>#NUM!</v>
      </c>
      <c r="J715" t="e">
        <f>LOG(Table1[[#This Row],[Flux in RT / glucose uptake ($mmol/mmol\ glc$)]])</f>
        <v>#NUM!</v>
      </c>
    </row>
    <row r="716" spans="1:10" x14ac:dyDescent="0.2">
      <c r="A716" t="s">
        <v>719</v>
      </c>
      <c r="B716" t="s">
        <v>3114</v>
      </c>
      <c r="C716">
        <v>0</v>
      </c>
      <c r="D716">
        <v>0</v>
      </c>
      <c r="E716">
        <f>ABS(Table1[[#This Row],[Flux in SC / glucose uptake ($mmol/mmol\ glc$)]]-Table1[[#This Row],[Flux in RT / glucose uptake ($mmol/mmol\ glc$)]])/SQRT(2)</f>
        <v>0</v>
      </c>
      <c r="F716">
        <f>Table1[[#This Row],[distance from 45-degree line]]/MAX(Table1[[Flux in SC / glucose uptake ($mmol/mmol\ glc$)]:[Flux in RT / glucose uptake ($mmol/mmol\ glc$)]])</f>
        <v>0</v>
      </c>
      <c r="G716">
        <f>_xlfn.RANK.AVG(Table1[[#This Row],[Flux in SC / glucose uptake ($mmol/mmol\ glc$)]],Table1[Flux in SC / glucose uptake ($mmol/mmol\ glc$)])</f>
        <v>1310.5</v>
      </c>
      <c r="H716">
        <f>_xlfn.RANK.AVG(Table1[[#This Row],[Flux in RT / glucose uptake ($mmol/mmol\ glc$)]],Table1[Flux in RT / glucose uptake ($mmol/mmol\ glc$)])</f>
        <v>1290.5</v>
      </c>
      <c r="I716" t="e">
        <f>LOG(Table1[[#This Row],[Flux in SC / glucose uptake ($mmol/mmol\ glc$)]])</f>
        <v>#NUM!</v>
      </c>
      <c r="J716" t="e">
        <f>LOG(Table1[[#This Row],[Flux in RT / glucose uptake ($mmol/mmol\ glc$)]])</f>
        <v>#NUM!</v>
      </c>
    </row>
    <row r="717" spans="1:10" x14ac:dyDescent="0.2">
      <c r="A717" t="s">
        <v>720</v>
      </c>
      <c r="B717" t="s">
        <v>3114</v>
      </c>
      <c r="C717">
        <v>0</v>
      </c>
      <c r="D717">
        <v>0</v>
      </c>
      <c r="E717">
        <f>ABS(Table1[[#This Row],[Flux in SC / glucose uptake ($mmol/mmol\ glc$)]]-Table1[[#This Row],[Flux in RT / glucose uptake ($mmol/mmol\ glc$)]])/SQRT(2)</f>
        <v>0</v>
      </c>
      <c r="F717">
        <f>Table1[[#This Row],[distance from 45-degree line]]/MAX(Table1[[Flux in SC / glucose uptake ($mmol/mmol\ glc$)]:[Flux in RT / glucose uptake ($mmol/mmol\ glc$)]])</f>
        <v>0</v>
      </c>
      <c r="G717">
        <f>_xlfn.RANK.AVG(Table1[[#This Row],[Flux in SC / glucose uptake ($mmol/mmol\ glc$)]],Table1[Flux in SC / glucose uptake ($mmol/mmol\ glc$)])</f>
        <v>1310.5</v>
      </c>
      <c r="H717">
        <f>_xlfn.RANK.AVG(Table1[[#This Row],[Flux in RT / glucose uptake ($mmol/mmol\ glc$)]],Table1[Flux in RT / glucose uptake ($mmol/mmol\ glc$)])</f>
        <v>1290.5</v>
      </c>
      <c r="I717" t="e">
        <f>LOG(Table1[[#This Row],[Flux in SC / glucose uptake ($mmol/mmol\ glc$)]])</f>
        <v>#NUM!</v>
      </c>
      <c r="J717" t="e">
        <f>LOG(Table1[[#This Row],[Flux in RT / glucose uptake ($mmol/mmol\ glc$)]])</f>
        <v>#NUM!</v>
      </c>
    </row>
    <row r="718" spans="1:10" x14ac:dyDescent="0.2">
      <c r="A718" t="s">
        <v>721</v>
      </c>
      <c r="B718" t="s">
        <v>3114</v>
      </c>
      <c r="C718">
        <v>0</v>
      </c>
      <c r="D718">
        <v>0</v>
      </c>
      <c r="E718">
        <f>ABS(Table1[[#This Row],[Flux in SC / glucose uptake ($mmol/mmol\ glc$)]]-Table1[[#This Row],[Flux in RT / glucose uptake ($mmol/mmol\ glc$)]])/SQRT(2)</f>
        <v>0</v>
      </c>
      <c r="F718">
        <f>Table1[[#This Row],[distance from 45-degree line]]/MAX(Table1[[Flux in SC / glucose uptake ($mmol/mmol\ glc$)]:[Flux in RT / glucose uptake ($mmol/mmol\ glc$)]])</f>
        <v>0</v>
      </c>
      <c r="G718">
        <f>_xlfn.RANK.AVG(Table1[[#This Row],[Flux in SC / glucose uptake ($mmol/mmol\ glc$)]],Table1[Flux in SC / glucose uptake ($mmol/mmol\ glc$)])</f>
        <v>1310.5</v>
      </c>
      <c r="H718">
        <f>_xlfn.RANK.AVG(Table1[[#This Row],[Flux in RT / glucose uptake ($mmol/mmol\ glc$)]],Table1[Flux in RT / glucose uptake ($mmol/mmol\ glc$)])</f>
        <v>1290.5</v>
      </c>
      <c r="I718" t="e">
        <f>LOG(Table1[[#This Row],[Flux in SC / glucose uptake ($mmol/mmol\ glc$)]])</f>
        <v>#NUM!</v>
      </c>
      <c r="J718" t="e">
        <f>LOG(Table1[[#This Row],[Flux in RT / glucose uptake ($mmol/mmol\ glc$)]])</f>
        <v>#NUM!</v>
      </c>
    </row>
    <row r="719" spans="1:10" x14ac:dyDescent="0.2">
      <c r="A719" t="s">
        <v>722</v>
      </c>
      <c r="B719" t="s">
        <v>3113</v>
      </c>
      <c r="C719">
        <v>0</v>
      </c>
      <c r="D719">
        <v>0</v>
      </c>
      <c r="E719">
        <f>ABS(Table1[[#This Row],[Flux in SC / glucose uptake ($mmol/mmol\ glc$)]]-Table1[[#This Row],[Flux in RT / glucose uptake ($mmol/mmol\ glc$)]])/SQRT(2)</f>
        <v>0</v>
      </c>
      <c r="F719">
        <f>Table1[[#This Row],[distance from 45-degree line]]/MAX(Table1[[Flux in SC / glucose uptake ($mmol/mmol\ glc$)]:[Flux in RT / glucose uptake ($mmol/mmol\ glc$)]])</f>
        <v>0</v>
      </c>
      <c r="G719">
        <f>_xlfn.RANK.AVG(Table1[[#This Row],[Flux in SC / glucose uptake ($mmol/mmol\ glc$)]],Table1[Flux in SC / glucose uptake ($mmol/mmol\ glc$)])</f>
        <v>1310.5</v>
      </c>
      <c r="H719">
        <f>_xlfn.RANK.AVG(Table1[[#This Row],[Flux in RT / glucose uptake ($mmol/mmol\ glc$)]],Table1[Flux in RT / glucose uptake ($mmol/mmol\ glc$)])</f>
        <v>1290.5</v>
      </c>
      <c r="I719" t="e">
        <f>LOG(Table1[[#This Row],[Flux in SC / glucose uptake ($mmol/mmol\ glc$)]])</f>
        <v>#NUM!</v>
      </c>
      <c r="J719" t="e">
        <f>LOG(Table1[[#This Row],[Flux in RT / glucose uptake ($mmol/mmol\ glc$)]])</f>
        <v>#NUM!</v>
      </c>
    </row>
    <row r="720" spans="1:10" x14ac:dyDescent="0.2">
      <c r="A720" t="s">
        <v>723</v>
      </c>
      <c r="B720" t="s">
        <v>3179</v>
      </c>
      <c r="C720">
        <v>0</v>
      </c>
      <c r="D720">
        <v>0</v>
      </c>
      <c r="E720">
        <f>ABS(Table1[[#This Row],[Flux in SC / glucose uptake ($mmol/mmol\ glc$)]]-Table1[[#This Row],[Flux in RT / glucose uptake ($mmol/mmol\ glc$)]])/SQRT(2)</f>
        <v>0</v>
      </c>
      <c r="F720">
        <f>Table1[[#This Row],[distance from 45-degree line]]/MAX(Table1[[Flux in SC / glucose uptake ($mmol/mmol\ glc$)]:[Flux in RT / glucose uptake ($mmol/mmol\ glc$)]])</f>
        <v>0</v>
      </c>
      <c r="G720">
        <f>_xlfn.RANK.AVG(Table1[[#This Row],[Flux in SC / glucose uptake ($mmol/mmol\ glc$)]],Table1[Flux in SC / glucose uptake ($mmol/mmol\ glc$)])</f>
        <v>1310.5</v>
      </c>
      <c r="H720">
        <f>_xlfn.RANK.AVG(Table1[[#This Row],[Flux in RT / glucose uptake ($mmol/mmol\ glc$)]],Table1[Flux in RT / glucose uptake ($mmol/mmol\ glc$)])</f>
        <v>1290.5</v>
      </c>
      <c r="I720" t="e">
        <f>LOG(Table1[[#This Row],[Flux in SC / glucose uptake ($mmol/mmol\ glc$)]])</f>
        <v>#NUM!</v>
      </c>
      <c r="J720" t="e">
        <f>LOG(Table1[[#This Row],[Flux in RT / glucose uptake ($mmol/mmol\ glc$)]])</f>
        <v>#NUM!</v>
      </c>
    </row>
    <row r="721" spans="1:10" x14ac:dyDescent="0.2">
      <c r="A721" t="s">
        <v>724</v>
      </c>
      <c r="B721" t="s">
        <v>3113</v>
      </c>
      <c r="C721">
        <v>5.4252476561347657E-3</v>
      </c>
      <c r="D721">
        <v>3.5538700119438354E-2</v>
      </c>
      <c r="E721">
        <f>ABS(Table1[[#This Row],[Flux in SC / glucose uptake ($mmol/mmol\ glc$)]]-Table1[[#This Row],[Flux in RT / glucose uptake ($mmol/mmol\ glc$)]])/SQRT(2)</f>
        <v>2.1293426441740711E-2</v>
      </c>
      <c r="F721">
        <f>Table1[[#This Row],[distance from 45-degree line]]/MAX(Table1[[Flux in SC / glucose uptake ($mmol/mmol\ glc$)]:[Flux in RT / glucose uptake ($mmol/mmol\ glc$)]])</f>
        <v>1.1476913880061831E-3</v>
      </c>
      <c r="G721">
        <f>_xlfn.RANK.AVG(Table1[[#This Row],[Flux in SC / glucose uptake ($mmol/mmol\ glc$)]],Table1[Flux in SC / glucose uptake ($mmol/mmol\ glc$)])</f>
        <v>107.5</v>
      </c>
      <c r="H721">
        <f>_xlfn.RANK.AVG(Table1[[#This Row],[Flux in RT / glucose uptake ($mmol/mmol\ glc$)]],Table1[Flux in RT / glucose uptake ($mmol/mmol\ glc$)])</f>
        <v>115.5</v>
      </c>
      <c r="I721">
        <f>LOG(Table1[[#This Row],[Flux in SC / glucose uptake ($mmol/mmol\ glc$)]])</f>
        <v>-2.2655804319978099</v>
      </c>
      <c r="J721">
        <f>LOG(Table1[[#This Row],[Flux in RT / glucose uptake ($mmol/mmol\ glc$)]])</f>
        <v>-1.4492984612037394</v>
      </c>
    </row>
    <row r="722" spans="1:10" x14ac:dyDescent="0.2">
      <c r="A722" t="s">
        <v>725</v>
      </c>
      <c r="B722" t="s">
        <v>3114</v>
      </c>
      <c r="C722">
        <v>0</v>
      </c>
      <c r="D722">
        <v>0</v>
      </c>
      <c r="E722">
        <f>ABS(Table1[[#This Row],[Flux in SC / glucose uptake ($mmol/mmol\ glc$)]]-Table1[[#This Row],[Flux in RT / glucose uptake ($mmol/mmol\ glc$)]])/SQRT(2)</f>
        <v>0</v>
      </c>
      <c r="F722">
        <f>Table1[[#This Row],[distance from 45-degree line]]/MAX(Table1[[Flux in SC / glucose uptake ($mmol/mmol\ glc$)]:[Flux in RT / glucose uptake ($mmol/mmol\ glc$)]])</f>
        <v>0</v>
      </c>
      <c r="G722">
        <f>_xlfn.RANK.AVG(Table1[[#This Row],[Flux in SC / glucose uptake ($mmol/mmol\ glc$)]],Table1[Flux in SC / glucose uptake ($mmol/mmol\ glc$)])</f>
        <v>1310.5</v>
      </c>
      <c r="H722">
        <f>_xlfn.RANK.AVG(Table1[[#This Row],[Flux in RT / glucose uptake ($mmol/mmol\ glc$)]],Table1[Flux in RT / glucose uptake ($mmol/mmol\ glc$)])</f>
        <v>1290.5</v>
      </c>
      <c r="I722" t="e">
        <f>LOG(Table1[[#This Row],[Flux in SC / glucose uptake ($mmol/mmol\ glc$)]])</f>
        <v>#NUM!</v>
      </c>
      <c r="J722" t="e">
        <f>LOG(Table1[[#This Row],[Flux in RT / glucose uptake ($mmol/mmol\ glc$)]])</f>
        <v>#NUM!</v>
      </c>
    </row>
    <row r="723" spans="1:10" x14ac:dyDescent="0.2">
      <c r="A723" t="s">
        <v>726</v>
      </c>
      <c r="B723" t="s">
        <v>3180</v>
      </c>
      <c r="C723">
        <v>0</v>
      </c>
      <c r="D723">
        <v>0</v>
      </c>
      <c r="E723">
        <f>ABS(Table1[[#This Row],[Flux in SC / glucose uptake ($mmol/mmol\ glc$)]]-Table1[[#This Row],[Flux in RT / glucose uptake ($mmol/mmol\ glc$)]])/SQRT(2)</f>
        <v>0</v>
      </c>
      <c r="F723">
        <f>Table1[[#This Row],[distance from 45-degree line]]/MAX(Table1[[Flux in SC / glucose uptake ($mmol/mmol\ glc$)]:[Flux in RT / glucose uptake ($mmol/mmol\ glc$)]])</f>
        <v>0</v>
      </c>
      <c r="G723">
        <f>_xlfn.RANK.AVG(Table1[[#This Row],[Flux in SC / glucose uptake ($mmol/mmol\ glc$)]],Table1[Flux in SC / glucose uptake ($mmol/mmol\ glc$)])</f>
        <v>1310.5</v>
      </c>
      <c r="H723">
        <f>_xlfn.RANK.AVG(Table1[[#This Row],[Flux in RT / glucose uptake ($mmol/mmol\ glc$)]],Table1[Flux in RT / glucose uptake ($mmol/mmol\ glc$)])</f>
        <v>1290.5</v>
      </c>
      <c r="I723" t="e">
        <f>LOG(Table1[[#This Row],[Flux in SC / glucose uptake ($mmol/mmol\ glc$)]])</f>
        <v>#NUM!</v>
      </c>
      <c r="J723" t="e">
        <f>LOG(Table1[[#This Row],[Flux in RT / glucose uptake ($mmol/mmol\ glc$)]])</f>
        <v>#NUM!</v>
      </c>
    </row>
    <row r="724" spans="1:10" x14ac:dyDescent="0.2">
      <c r="A724" t="s">
        <v>727</v>
      </c>
      <c r="B724" t="s">
        <v>3181</v>
      </c>
      <c r="C724">
        <v>0</v>
      </c>
      <c r="D724">
        <v>0</v>
      </c>
      <c r="E724">
        <f>ABS(Table1[[#This Row],[Flux in SC / glucose uptake ($mmol/mmol\ glc$)]]-Table1[[#This Row],[Flux in RT / glucose uptake ($mmol/mmol\ glc$)]])/SQRT(2)</f>
        <v>0</v>
      </c>
      <c r="F724">
        <f>Table1[[#This Row],[distance from 45-degree line]]/MAX(Table1[[Flux in SC / glucose uptake ($mmol/mmol\ glc$)]:[Flux in RT / glucose uptake ($mmol/mmol\ glc$)]])</f>
        <v>0</v>
      </c>
      <c r="G724">
        <f>_xlfn.RANK.AVG(Table1[[#This Row],[Flux in SC / glucose uptake ($mmol/mmol\ glc$)]],Table1[Flux in SC / glucose uptake ($mmol/mmol\ glc$)])</f>
        <v>1310.5</v>
      </c>
      <c r="H724">
        <f>_xlfn.RANK.AVG(Table1[[#This Row],[Flux in RT / glucose uptake ($mmol/mmol\ glc$)]],Table1[Flux in RT / glucose uptake ($mmol/mmol\ glc$)])</f>
        <v>1290.5</v>
      </c>
      <c r="I724" t="e">
        <f>LOG(Table1[[#This Row],[Flux in SC / glucose uptake ($mmol/mmol\ glc$)]])</f>
        <v>#NUM!</v>
      </c>
      <c r="J724" t="e">
        <f>LOG(Table1[[#This Row],[Flux in RT / glucose uptake ($mmol/mmol\ glc$)]])</f>
        <v>#NUM!</v>
      </c>
    </row>
    <row r="725" spans="1:10" x14ac:dyDescent="0.2">
      <c r="A725" t="s">
        <v>728</v>
      </c>
      <c r="B725" t="s">
        <v>3113</v>
      </c>
      <c r="C725">
        <v>0</v>
      </c>
      <c r="D725">
        <v>0</v>
      </c>
      <c r="E725">
        <f>ABS(Table1[[#This Row],[Flux in SC / glucose uptake ($mmol/mmol\ glc$)]]-Table1[[#This Row],[Flux in RT / glucose uptake ($mmol/mmol\ glc$)]])/SQRT(2)</f>
        <v>0</v>
      </c>
      <c r="F725">
        <f>Table1[[#This Row],[distance from 45-degree line]]/MAX(Table1[[Flux in SC / glucose uptake ($mmol/mmol\ glc$)]:[Flux in RT / glucose uptake ($mmol/mmol\ glc$)]])</f>
        <v>0</v>
      </c>
      <c r="G725">
        <f>_xlfn.RANK.AVG(Table1[[#This Row],[Flux in SC / glucose uptake ($mmol/mmol\ glc$)]],Table1[Flux in SC / glucose uptake ($mmol/mmol\ glc$)])</f>
        <v>1310.5</v>
      </c>
      <c r="H725">
        <f>_xlfn.RANK.AVG(Table1[[#This Row],[Flux in RT / glucose uptake ($mmol/mmol\ glc$)]],Table1[Flux in RT / glucose uptake ($mmol/mmol\ glc$)])</f>
        <v>1290.5</v>
      </c>
      <c r="I725" t="e">
        <f>LOG(Table1[[#This Row],[Flux in SC / glucose uptake ($mmol/mmol\ glc$)]])</f>
        <v>#NUM!</v>
      </c>
      <c r="J725" t="e">
        <f>LOG(Table1[[#This Row],[Flux in RT / glucose uptake ($mmol/mmol\ glc$)]])</f>
        <v>#NUM!</v>
      </c>
    </row>
    <row r="726" spans="1:10" x14ac:dyDescent="0.2">
      <c r="A726" t="s">
        <v>729</v>
      </c>
      <c r="B726" t="s">
        <v>3136</v>
      </c>
      <c r="C726">
        <v>2.8171526477804849E-3</v>
      </c>
      <c r="D726">
        <v>2.3274812759854133E-2</v>
      </c>
      <c r="E726">
        <f>ABS(Table1[[#This Row],[Flux in SC / glucose uptake ($mmol/mmol\ glc$)]]-Table1[[#This Row],[Flux in RT / glucose uptake ($mmol/mmol\ glc$)]])/SQRT(2)</f>
        <v>1.4465750192456821E-2</v>
      </c>
      <c r="F726">
        <f>Table1[[#This Row],[distance from 45-degree line]]/MAX(Table1[[Flux in SC / glucose uptake ($mmol/mmol\ glc$)]:[Flux in RT / glucose uptake ($mmol/mmol\ glc$)]])</f>
        <v>7.7968742899859331E-4</v>
      </c>
      <c r="G726">
        <f>_xlfn.RANK.AVG(Table1[[#This Row],[Flux in SC / glucose uptake ($mmol/mmol\ glc$)]],Table1[Flux in SC / glucose uptake ($mmol/mmol\ glc$)])</f>
        <v>177.5</v>
      </c>
      <c r="H726">
        <f>_xlfn.RANK.AVG(Table1[[#This Row],[Flux in RT / glucose uptake ($mmol/mmol\ glc$)]],Table1[Flux in RT / glucose uptake ($mmol/mmol\ glc$)])</f>
        <v>131.5</v>
      </c>
      <c r="I726">
        <f>LOG(Table1[[#This Row],[Flux in SC / glucose uptake ($mmol/mmol\ glc$)]])</f>
        <v>-2.5501896200739957</v>
      </c>
      <c r="J726">
        <f>LOG(Table1[[#This Row],[Flux in RT / glucose uptake ($mmol/mmol\ glc$)]])</f>
        <v>-1.6331138041248896</v>
      </c>
    </row>
    <row r="727" spans="1:10" x14ac:dyDescent="0.2">
      <c r="A727" t="s">
        <v>730</v>
      </c>
      <c r="B727" t="s">
        <v>3180</v>
      </c>
      <c r="C727">
        <v>0</v>
      </c>
      <c r="D727">
        <v>0</v>
      </c>
      <c r="E727">
        <f>ABS(Table1[[#This Row],[Flux in SC / glucose uptake ($mmol/mmol\ glc$)]]-Table1[[#This Row],[Flux in RT / glucose uptake ($mmol/mmol\ glc$)]])/SQRT(2)</f>
        <v>0</v>
      </c>
      <c r="F727">
        <f>Table1[[#This Row],[distance from 45-degree line]]/MAX(Table1[[Flux in SC / glucose uptake ($mmol/mmol\ glc$)]:[Flux in RT / glucose uptake ($mmol/mmol\ glc$)]])</f>
        <v>0</v>
      </c>
      <c r="G727">
        <f>_xlfn.RANK.AVG(Table1[[#This Row],[Flux in SC / glucose uptake ($mmol/mmol\ glc$)]],Table1[Flux in SC / glucose uptake ($mmol/mmol\ glc$)])</f>
        <v>1310.5</v>
      </c>
      <c r="H727">
        <f>_xlfn.RANK.AVG(Table1[[#This Row],[Flux in RT / glucose uptake ($mmol/mmol\ glc$)]],Table1[Flux in RT / glucose uptake ($mmol/mmol\ glc$)])</f>
        <v>1290.5</v>
      </c>
      <c r="I727" t="e">
        <f>LOG(Table1[[#This Row],[Flux in SC / glucose uptake ($mmol/mmol\ glc$)]])</f>
        <v>#NUM!</v>
      </c>
      <c r="J727" t="e">
        <f>LOG(Table1[[#This Row],[Flux in RT / glucose uptake ($mmol/mmol\ glc$)]])</f>
        <v>#NUM!</v>
      </c>
    </row>
    <row r="728" spans="1:10" x14ac:dyDescent="0.2">
      <c r="A728" t="s">
        <v>731</v>
      </c>
      <c r="B728" t="s">
        <v>3147</v>
      </c>
      <c r="C728">
        <v>0</v>
      </c>
      <c r="D728">
        <v>0</v>
      </c>
      <c r="E728">
        <f>ABS(Table1[[#This Row],[Flux in SC / glucose uptake ($mmol/mmol\ glc$)]]-Table1[[#This Row],[Flux in RT / glucose uptake ($mmol/mmol\ glc$)]])/SQRT(2)</f>
        <v>0</v>
      </c>
      <c r="F728">
        <f>Table1[[#This Row],[distance from 45-degree line]]/MAX(Table1[[Flux in SC / glucose uptake ($mmol/mmol\ glc$)]:[Flux in RT / glucose uptake ($mmol/mmol\ glc$)]])</f>
        <v>0</v>
      </c>
      <c r="G728">
        <f>_xlfn.RANK.AVG(Table1[[#This Row],[Flux in SC / glucose uptake ($mmol/mmol\ glc$)]],Table1[Flux in SC / glucose uptake ($mmol/mmol\ glc$)])</f>
        <v>1310.5</v>
      </c>
      <c r="H728">
        <f>_xlfn.RANK.AVG(Table1[[#This Row],[Flux in RT / glucose uptake ($mmol/mmol\ glc$)]],Table1[Flux in RT / glucose uptake ($mmol/mmol\ glc$)])</f>
        <v>1290.5</v>
      </c>
      <c r="I728" t="e">
        <f>LOG(Table1[[#This Row],[Flux in SC / glucose uptake ($mmol/mmol\ glc$)]])</f>
        <v>#NUM!</v>
      </c>
      <c r="J728" t="e">
        <f>LOG(Table1[[#This Row],[Flux in RT / glucose uptake ($mmol/mmol\ glc$)]])</f>
        <v>#NUM!</v>
      </c>
    </row>
    <row r="729" spans="1:10" x14ac:dyDescent="0.2">
      <c r="A729" t="s">
        <v>732</v>
      </c>
      <c r="B729" t="s">
        <v>3182</v>
      </c>
      <c r="C729">
        <v>0</v>
      </c>
      <c r="D729">
        <v>0</v>
      </c>
      <c r="E729">
        <f>ABS(Table1[[#This Row],[Flux in SC / glucose uptake ($mmol/mmol\ glc$)]]-Table1[[#This Row],[Flux in RT / glucose uptake ($mmol/mmol\ glc$)]])/SQRT(2)</f>
        <v>0</v>
      </c>
      <c r="F729">
        <f>Table1[[#This Row],[distance from 45-degree line]]/MAX(Table1[[Flux in SC / glucose uptake ($mmol/mmol\ glc$)]:[Flux in RT / glucose uptake ($mmol/mmol\ glc$)]])</f>
        <v>0</v>
      </c>
      <c r="G729">
        <f>_xlfn.RANK.AVG(Table1[[#This Row],[Flux in SC / glucose uptake ($mmol/mmol\ glc$)]],Table1[Flux in SC / glucose uptake ($mmol/mmol\ glc$)])</f>
        <v>1310.5</v>
      </c>
      <c r="H729">
        <f>_xlfn.RANK.AVG(Table1[[#This Row],[Flux in RT / glucose uptake ($mmol/mmol\ glc$)]],Table1[Flux in RT / glucose uptake ($mmol/mmol\ glc$)])</f>
        <v>1290.5</v>
      </c>
      <c r="I729" t="e">
        <f>LOG(Table1[[#This Row],[Flux in SC / glucose uptake ($mmol/mmol\ glc$)]])</f>
        <v>#NUM!</v>
      </c>
      <c r="J729" t="e">
        <f>LOG(Table1[[#This Row],[Flux in RT / glucose uptake ($mmol/mmol\ glc$)]])</f>
        <v>#NUM!</v>
      </c>
    </row>
    <row r="730" spans="1:10" x14ac:dyDescent="0.2">
      <c r="A730" t="s">
        <v>733</v>
      </c>
      <c r="B730" t="s">
        <v>3162</v>
      </c>
      <c r="C730">
        <v>5.5815537528825745E-5</v>
      </c>
      <c r="D730">
        <v>4.3568713458676944E-4</v>
      </c>
      <c r="E730">
        <f>ABS(Table1[[#This Row],[Flux in SC / glucose uptake ($mmol/mmol\ glc$)]]-Table1[[#This Row],[Flux in RT / glucose uptake ($mmol/mmol\ glc$)]])/SQRT(2)</f>
        <v>2.6860978225983574E-4</v>
      </c>
      <c r="F730">
        <f>Table1[[#This Row],[distance from 45-degree line]]/MAX(Table1[[Flux in SC / glucose uptake ($mmol/mmol\ glc$)]:[Flux in RT / glucose uptake ($mmol/mmol\ glc$)]])</f>
        <v>1.4477760762331678E-5</v>
      </c>
      <c r="G730">
        <f>_xlfn.RANK.AVG(Table1[[#This Row],[Flux in SC / glucose uptake ($mmol/mmol\ glc$)]],Table1[Flux in SC / glucose uptake ($mmol/mmol\ glc$)])</f>
        <v>270</v>
      </c>
      <c r="H730">
        <f>_xlfn.RANK.AVG(Table1[[#This Row],[Flux in RT / glucose uptake ($mmol/mmol\ glc$)]],Table1[Flux in RT / glucose uptake ($mmol/mmol\ glc$)])</f>
        <v>267.5</v>
      </c>
      <c r="I730">
        <f>LOG(Table1[[#This Row],[Flux in SC / glucose uptake ($mmol/mmol\ glc$)]])</f>
        <v>-4.2532448884507108</v>
      </c>
      <c r="J730">
        <f>LOG(Table1[[#This Row],[Flux in RT / glucose uptake ($mmol/mmol\ glc$)]])</f>
        <v>-3.36082526416447</v>
      </c>
    </row>
    <row r="731" spans="1:10" x14ac:dyDescent="0.2">
      <c r="A731" t="s">
        <v>734</v>
      </c>
      <c r="B731" t="s">
        <v>3114</v>
      </c>
      <c r="C731">
        <v>0</v>
      </c>
      <c r="D731">
        <v>0</v>
      </c>
      <c r="E731">
        <f>ABS(Table1[[#This Row],[Flux in SC / glucose uptake ($mmol/mmol\ glc$)]]-Table1[[#This Row],[Flux in RT / glucose uptake ($mmol/mmol\ glc$)]])/SQRT(2)</f>
        <v>0</v>
      </c>
      <c r="F731">
        <f>Table1[[#This Row],[distance from 45-degree line]]/MAX(Table1[[Flux in SC / glucose uptake ($mmol/mmol\ glc$)]:[Flux in RT / glucose uptake ($mmol/mmol\ glc$)]])</f>
        <v>0</v>
      </c>
      <c r="G731">
        <f>_xlfn.RANK.AVG(Table1[[#This Row],[Flux in SC / glucose uptake ($mmol/mmol\ glc$)]],Table1[Flux in SC / glucose uptake ($mmol/mmol\ glc$)])</f>
        <v>1310.5</v>
      </c>
      <c r="H731">
        <f>_xlfn.RANK.AVG(Table1[[#This Row],[Flux in RT / glucose uptake ($mmol/mmol\ glc$)]],Table1[Flux in RT / glucose uptake ($mmol/mmol\ glc$)])</f>
        <v>1290.5</v>
      </c>
      <c r="I731" t="e">
        <f>LOG(Table1[[#This Row],[Flux in SC / glucose uptake ($mmol/mmol\ glc$)]])</f>
        <v>#NUM!</v>
      </c>
      <c r="J731" t="e">
        <f>LOG(Table1[[#This Row],[Flux in RT / glucose uptake ($mmol/mmol\ glc$)]])</f>
        <v>#NUM!</v>
      </c>
    </row>
    <row r="732" spans="1:10" x14ac:dyDescent="0.2">
      <c r="A732" t="s">
        <v>735</v>
      </c>
      <c r="B732" t="s">
        <v>3114</v>
      </c>
      <c r="C732">
        <v>0</v>
      </c>
      <c r="D732">
        <v>0</v>
      </c>
      <c r="E732">
        <f>ABS(Table1[[#This Row],[Flux in SC / glucose uptake ($mmol/mmol\ glc$)]]-Table1[[#This Row],[Flux in RT / glucose uptake ($mmol/mmol\ glc$)]])/SQRT(2)</f>
        <v>0</v>
      </c>
      <c r="F732">
        <f>Table1[[#This Row],[distance from 45-degree line]]/MAX(Table1[[Flux in SC / glucose uptake ($mmol/mmol\ glc$)]:[Flux in RT / glucose uptake ($mmol/mmol\ glc$)]])</f>
        <v>0</v>
      </c>
      <c r="G732">
        <f>_xlfn.RANK.AVG(Table1[[#This Row],[Flux in SC / glucose uptake ($mmol/mmol\ glc$)]],Table1[Flux in SC / glucose uptake ($mmol/mmol\ glc$)])</f>
        <v>1310.5</v>
      </c>
      <c r="H732">
        <f>_xlfn.RANK.AVG(Table1[[#This Row],[Flux in RT / glucose uptake ($mmol/mmol\ glc$)]],Table1[Flux in RT / glucose uptake ($mmol/mmol\ glc$)])</f>
        <v>1290.5</v>
      </c>
      <c r="I732" t="e">
        <f>LOG(Table1[[#This Row],[Flux in SC / glucose uptake ($mmol/mmol\ glc$)]])</f>
        <v>#NUM!</v>
      </c>
      <c r="J732" t="e">
        <f>LOG(Table1[[#This Row],[Flux in RT / glucose uptake ($mmol/mmol\ glc$)]])</f>
        <v>#NUM!</v>
      </c>
    </row>
    <row r="733" spans="1:10" x14ac:dyDescent="0.2">
      <c r="A733" t="s">
        <v>736</v>
      </c>
      <c r="B733" t="s">
        <v>3114</v>
      </c>
      <c r="C733">
        <v>0</v>
      </c>
      <c r="D733">
        <v>0</v>
      </c>
      <c r="E733">
        <f>ABS(Table1[[#This Row],[Flux in SC / glucose uptake ($mmol/mmol\ glc$)]]-Table1[[#This Row],[Flux in RT / glucose uptake ($mmol/mmol\ glc$)]])/SQRT(2)</f>
        <v>0</v>
      </c>
      <c r="F733">
        <f>Table1[[#This Row],[distance from 45-degree line]]/MAX(Table1[[Flux in SC / glucose uptake ($mmol/mmol\ glc$)]:[Flux in RT / glucose uptake ($mmol/mmol\ glc$)]])</f>
        <v>0</v>
      </c>
      <c r="G733">
        <f>_xlfn.RANK.AVG(Table1[[#This Row],[Flux in SC / glucose uptake ($mmol/mmol\ glc$)]],Table1[Flux in SC / glucose uptake ($mmol/mmol\ glc$)])</f>
        <v>1310.5</v>
      </c>
      <c r="H733">
        <f>_xlfn.RANK.AVG(Table1[[#This Row],[Flux in RT / glucose uptake ($mmol/mmol\ glc$)]],Table1[Flux in RT / glucose uptake ($mmol/mmol\ glc$)])</f>
        <v>1290.5</v>
      </c>
      <c r="I733" t="e">
        <f>LOG(Table1[[#This Row],[Flux in SC / glucose uptake ($mmol/mmol\ glc$)]])</f>
        <v>#NUM!</v>
      </c>
      <c r="J733" t="e">
        <f>LOG(Table1[[#This Row],[Flux in RT / glucose uptake ($mmol/mmol\ glc$)]])</f>
        <v>#NUM!</v>
      </c>
    </row>
    <row r="734" spans="1:10" x14ac:dyDescent="0.2">
      <c r="A734" t="s">
        <v>737</v>
      </c>
      <c r="B734" t="s">
        <v>3162</v>
      </c>
      <c r="C734">
        <v>0</v>
      </c>
      <c r="D734">
        <v>0</v>
      </c>
      <c r="E734">
        <f>ABS(Table1[[#This Row],[Flux in SC / glucose uptake ($mmol/mmol\ glc$)]]-Table1[[#This Row],[Flux in RT / glucose uptake ($mmol/mmol\ glc$)]])/SQRT(2)</f>
        <v>0</v>
      </c>
      <c r="F734">
        <f>Table1[[#This Row],[distance from 45-degree line]]/MAX(Table1[[Flux in SC / glucose uptake ($mmol/mmol\ glc$)]:[Flux in RT / glucose uptake ($mmol/mmol\ glc$)]])</f>
        <v>0</v>
      </c>
      <c r="G734">
        <f>_xlfn.RANK.AVG(Table1[[#This Row],[Flux in SC / glucose uptake ($mmol/mmol\ glc$)]],Table1[Flux in SC / glucose uptake ($mmol/mmol\ glc$)])</f>
        <v>1310.5</v>
      </c>
      <c r="H734">
        <f>_xlfn.RANK.AVG(Table1[[#This Row],[Flux in RT / glucose uptake ($mmol/mmol\ glc$)]],Table1[Flux in RT / glucose uptake ($mmol/mmol\ glc$)])</f>
        <v>1290.5</v>
      </c>
      <c r="I734" t="e">
        <f>LOG(Table1[[#This Row],[Flux in SC / glucose uptake ($mmol/mmol\ glc$)]])</f>
        <v>#NUM!</v>
      </c>
      <c r="J734" t="e">
        <f>LOG(Table1[[#This Row],[Flux in RT / glucose uptake ($mmol/mmol\ glc$)]])</f>
        <v>#NUM!</v>
      </c>
    </row>
    <row r="735" spans="1:10" x14ac:dyDescent="0.2">
      <c r="A735" t="s">
        <v>738</v>
      </c>
      <c r="B735" t="s">
        <v>3114</v>
      </c>
      <c r="C735">
        <v>0</v>
      </c>
      <c r="D735">
        <v>0</v>
      </c>
      <c r="E735">
        <f>ABS(Table1[[#This Row],[Flux in SC / glucose uptake ($mmol/mmol\ glc$)]]-Table1[[#This Row],[Flux in RT / glucose uptake ($mmol/mmol\ glc$)]])/SQRT(2)</f>
        <v>0</v>
      </c>
      <c r="F735">
        <f>Table1[[#This Row],[distance from 45-degree line]]/MAX(Table1[[Flux in SC / glucose uptake ($mmol/mmol\ glc$)]:[Flux in RT / glucose uptake ($mmol/mmol\ glc$)]])</f>
        <v>0</v>
      </c>
      <c r="G735">
        <f>_xlfn.RANK.AVG(Table1[[#This Row],[Flux in SC / glucose uptake ($mmol/mmol\ glc$)]],Table1[Flux in SC / glucose uptake ($mmol/mmol\ glc$)])</f>
        <v>1310.5</v>
      </c>
      <c r="H735">
        <f>_xlfn.RANK.AVG(Table1[[#This Row],[Flux in RT / glucose uptake ($mmol/mmol\ glc$)]],Table1[Flux in RT / glucose uptake ($mmol/mmol\ glc$)])</f>
        <v>1290.5</v>
      </c>
      <c r="I735" t="e">
        <f>LOG(Table1[[#This Row],[Flux in SC / glucose uptake ($mmol/mmol\ glc$)]])</f>
        <v>#NUM!</v>
      </c>
      <c r="J735" t="e">
        <f>LOG(Table1[[#This Row],[Flux in RT / glucose uptake ($mmol/mmol\ glc$)]])</f>
        <v>#NUM!</v>
      </c>
    </row>
    <row r="736" spans="1:10" x14ac:dyDescent="0.2">
      <c r="A736" t="s">
        <v>739</v>
      </c>
      <c r="B736" t="s">
        <v>3162</v>
      </c>
      <c r="C736">
        <v>5.5815537528825745E-5</v>
      </c>
      <c r="D736">
        <v>4.3568713458676944E-4</v>
      </c>
      <c r="E736">
        <f>ABS(Table1[[#This Row],[Flux in SC / glucose uptake ($mmol/mmol\ glc$)]]-Table1[[#This Row],[Flux in RT / glucose uptake ($mmol/mmol\ glc$)]])/SQRT(2)</f>
        <v>2.6860978225983574E-4</v>
      </c>
      <c r="F736">
        <f>Table1[[#This Row],[distance from 45-degree line]]/MAX(Table1[[Flux in SC / glucose uptake ($mmol/mmol\ glc$)]:[Flux in RT / glucose uptake ($mmol/mmol\ glc$)]])</f>
        <v>1.4477760762331678E-5</v>
      </c>
      <c r="G736">
        <f>_xlfn.RANK.AVG(Table1[[#This Row],[Flux in SC / glucose uptake ($mmol/mmol\ glc$)]],Table1[Flux in SC / glucose uptake ($mmol/mmol\ glc$)])</f>
        <v>270</v>
      </c>
      <c r="H736">
        <f>_xlfn.RANK.AVG(Table1[[#This Row],[Flux in RT / glucose uptake ($mmol/mmol\ glc$)]],Table1[Flux in RT / glucose uptake ($mmol/mmol\ glc$)])</f>
        <v>267.5</v>
      </c>
      <c r="I736">
        <f>LOG(Table1[[#This Row],[Flux in SC / glucose uptake ($mmol/mmol\ glc$)]])</f>
        <v>-4.2532448884507108</v>
      </c>
      <c r="J736">
        <f>LOG(Table1[[#This Row],[Flux in RT / glucose uptake ($mmol/mmol\ glc$)]])</f>
        <v>-3.36082526416447</v>
      </c>
    </row>
    <row r="737" spans="1:10" x14ac:dyDescent="0.2">
      <c r="A737" t="s">
        <v>740</v>
      </c>
      <c r="B737" t="s">
        <v>3125</v>
      </c>
      <c r="C737">
        <v>0</v>
      </c>
      <c r="D737">
        <v>0</v>
      </c>
      <c r="E737">
        <f>ABS(Table1[[#This Row],[Flux in SC / glucose uptake ($mmol/mmol\ glc$)]]-Table1[[#This Row],[Flux in RT / glucose uptake ($mmol/mmol\ glc$)]])/SQRT(2)</f>
        <v>0</v>
      </c>
      <c r="F737">
        <f>Table1[[#This Row],[distance from 45-degree line]]/MAX(Table1[[Flux in SC / glucose uptake ($mmol/mmol\ glc$)]:[Flux in RT / glucose uptake ($mmol/mmol\ glc$)]])</f>
        <v>0</v>
      </c>
      <c r="G737">
        <f>_xlfn.RANK.AVG(Table1[[#This Row],[Flux in SC / glucose uptake ($mmol/mmol\ glc$)]],Table1[Flux in SC / glucose uptake ($mmol/mmol\ glc$)])</f>
        <v>1310.5</v>
      </c>
      <c r="H737">
        <f>_xlfn.RANK.AVG(Table1[[#This Row],[Flux in RT / glucose uptake ($mmol/mmol\ glc$)]],Table1[Flux in RT / glucose uptake ($mmol/mmol\ glc$)])</f>
        <v>1290.5</v>
      </c>
      <c r="I737" t="e">
        <f>LOG(Table1[[#This Row],[Flux in SC / glucose uptake ($mmol/mmol\ glc$)]])</f>
        <v>#NUM!</v>
      </c>
      <c r="J737" t="e">
        <f>LOG(Table1[[#This Row],[Flux in RT / glucose uptake ($mmol/mmol\ glc$)]])</f>
        <v>#NUM!</v>
      </c>
    </row>
    <row r="738" spans="1:10" x14ac:dyDescent="0.2">
      <c r="A738" t="s">
        <v>741</v>
      </c>
      <c r="B738" t="s">
        <v>3114</v>
      </c>
      <c r="C738">
        <v>0</v>
      </c>
      <c r="D738">
        <v>0</v>
      </c>
      <c r="E738">
        <f>ABS(Table1[[#This Row],[Flux in SC / glucose uptake ($mmol/mmol\ glc$)]]-Table1[[#This Row],[Flux in RT / glucose uptake ($mmol/mmol\ glc$)]])/SQRT(2)</f>
        <v>0</v>
      </c>
      <c r="F738">
        <f>Table1[[#This Row],[distance from 45-degree line]]/MAX(Table1[[Flux in SC / glucose uptake ($mmol/mmol\ glc$)]:[Flux in RT / glucose uptake ($mmol/mmol\ glc$)]])</f>
        <v>0</v>
      </c>
      <c r="G738">
        <f>_xlfn.RANK.AVG(Table1[[#This Row],[Flux in SC / glucose uptake ($mmol/mmol\ glc$)]],Table1[Flux in SC / glucose uptake ($mmol/mmol\ glc$)])</f>
        <v>1310.5</v>
      </c>
      <c r="H738">
        <f>_xlfn.RANK.AVG(Table1[[#This Row],[Flux in RT / glucose uptake ($mmol/mmol\ glc$)]],Table1[Flux in RT / glucose uptake ($mmol/mmol\ glc$)])</f>
        <v>1290.5</v>
      </c>
      <c r="I738" t="e">
        <f>LOG(Table1[[#This Row],[Flux in SC / glucose uptake ($mmol/mmol\ glc$)]])</f>
        <v>#NUM!</v>
      </c>
      <c r="J738" t="e">
        <f>LOG(Table1[[#This Row],[Flux in RT / glucose uptake ($mmol/mmol\ glc$)]])</f>
        <v>#NUM!</v>
      </c>
    </row>
    <row r="739" spans="1:10" x14ac:dyDescent="0.2">
      <c r="A739" t="s">
        <v>742</v>
      </c>
      <c r="B739" t="s">
        <v>3114</v>
      </c>
      <c r="C739">
        <v>0</v>
      </c>
      <c r="D739">
        <v>0</v>
      </c>
      <c r="E739">
        <f>ABS(Table1[[#This Row],[Flux in SC / glucose uptake ($mmol/mmol\ glc$)]]-Table1[[#This Row],[Flux in RT / glucose uptake ($mmol/mmol\ glc$)]])/SQRT(2)</f>
        <v>0</v>
      </c>
      <c r="F739">
        <f>Table1[[#This Row],[distance from 45-degree line]]/MAX(Table1[[Flux in SC / glucose uptake ($mmol/mmol\ glc$)]:[Flux in RT / glucose uptake ($mmol/mmol\ glc$)]])</f>
        <v>0</v>
      </c>
      <c r="G739">
        <f>_xlfn.RANK.AVG(Table1[[#This Row],[Flux in SC / glucose uptake ($mmol/mmol\ glc$)]],Table1[Flux in SC / glucose uptake ($mmol/mmol\ glc$)])</f>
        <v>1310.5</v>
      </c>
      <c r="H739">
        <f>_xlfn.RANK.AVG(Table1[[#This Row],[Flux in RT / glucose uptake ($mmol/mmol\ glc$)]],Table1[Flux in RT / glucose uptake ($mmol/mmol\ glc$)])</f>
        <v>1290.5</v>
      </c>
      <c r="I739" t="e">
        <f>LOG(Table1[[#This Row],[Flux in SC / glucose uptake ($mmol/mmol\ glc$)]])</f>
        <v>#NUM!</v>
      </c>
      <c r="J739" t="e">
        <f>LOG(Table1[[#This Row],[Flux in RT / glucose uptake ($mmol/mmol\ glc$)]])</f>
        <v>#NUM!</v>
      </c>
    </row>
    <row r="740" spans="1:10" x14ac:dyDescent="0.2">
      <c r="A740" t="s">
        <v>743</v>
      </c>
      <c r="B740" t="s">
        <v>3114</v>
      </c>
      <c r="C740">
        <v>0</v>
      </c>
      <c r="D740">
        <v>0</v>
      </c>
      <c r="E740">
        <f>ABS(Table1[[#This Row],[Flux in SC / glucose uptake ($mmol/mmol\ glc$)]]-Table1[[#This Row],[Flux in RT / glucose uptake ($mmol/mmol\ glc$)]])/SQRT(2)</f>
        <v>0</v>
      </c>
      <c r="F740">
        <f>Table1[[#This Row],[distance from 45-degree line]]/MAX(Table1[[Flux in SC / glucose uptake ($mmol/mmol\ glc$)]:[Flux in RT / glucose uptake ($mmol/mmol\ glc$)]])</f>
        <v>0</v>
      </c>
      <c r="G740">
        <f>_xlfn.RANK.AVG(Table1[[#This Row],[Flux in SC / glucose uptake ($mmol/mmol\ glc$)]],Table1[Flux in SC / glucose uptake ($mmol/mmol\ glc$)])</f>
        <v>1310.5</v>
      </c>
      <c r="H740">
        <f>_xlfn.RANK.AVG(Table1[[#This Row],[Flux in RT / glucose uptake ($mmol/mmol\ glc$)]],Table1[Flux in RT / glucose uptake ($mmol/mmol\ glc$)])</f>
        <v>1290.5</v>
      </c>
      <c r="I740" t="e">
        <f>LOG(Table1[[#This Row],[Flux in SC / glucose uptake ($mmol/mmol\ glc$)]])</f>
        <v>#NUM!</v>
      </c>
      <c r="J740" t="e">
        <f>LOG(Table1[[#This Row],[Flux in RT / glucose uptake ($mmol/mmol\ glc$)]])</f>
        <v>#NUM!</v>
      </c>
    </row>
    <row r="741" spans="1:10" x14ac:dyDescent="0.2">
      <c r="A741" t="s">
        <v>744</v>
      </c>
      <c r="B741" t="s">
        <v>3123</v>
      </c>
      <c r="C741">
        <v>0</v>
      </c>
      <c r="D741">
        <v>0</v>
      </c>
      <c r="E741">
        <f>ABS(Table1[[#This Row],[Flux in SC / glucose uptake ($mmol/mmol\ glc$)]]-Table1[[#This Row],[Flux in RT / glucose uptake ($mmol/mmol\ glc$)]])/SQRT(2)</f>
        <v>0</v>
      </c>
      <c r="F741">
        <f>Table1[[#This Row],[distance from 45-degree line]]/MAX(Table1[[Flux in SC / glucose uptake ($mmol/mmol\ glc$)]:[Flux in RT / glucose uptake ($mmol/mmol\ glc$)]])</f>
        <v>0</v>
      </c>
      <c r="G741">
        <f>_xlfn.RANK.AVG(Table1[[#This Row],[Flux in SC / glucose uptake ($mmol/mmol\ glc$)]],Table1[Flux in SC / glucose uptake ($mmol/mmol\ glc$)])</f>
        <v>1310.5</v>
      </c>
      <c r="H741">
        <f>_xlfn.RANK.AVG(Table1[[#This Row],[Flux in RT / glucose uptake ($mmol/mmol\ glc$)]],Table1[Flux in RT / glucose uptake ($mmol/mmol\ glc$)])</f>
        <v>1290.5</v>
      </c>
      <c r="I741" t="e">
        <f>LOG(Table1[[#This Row],[Flux in SC / glucose uptake ($mmol/mmol\ glc$)]])</f>
        <v>#NUM!</v>
      </c>
      <c r="J741" t="e">
        <f>LOG(Table1[[#This Row],[Flux in RT / glucose uptake ($mmol/mmol\ glc$)]])</f>
        <v>#NUM!</v>
      </c>
    </row>
    <row r="742" spans="1:10" x14ac:dyDescent="0.2">
      <c r="A742" t="s">
        <v>745</v>
      </c>
      <c r="B742" t="s">
        <v>3123</v>
      </c>
      <c r="C742">
        <v>0</v>
      </c>
      <c r="D742">
        <v>0</v>
      </c>
      <c r="E742">
        <f>ABS(Table1[[#This Row],[Flux in SC / glucose uptake ($mmol/mmol\ glc$)]]-Table1[[#This Row],[Flux in RT / glucose uptake ($mmol/mmol\ glc$)]])/SQRT(2)</f>
        <v>0</v>
      </c>
      <c r="F742">
        <f>Table1[[#This Row],[distance from 45-degree line]]/MAX(Table1[[Flux in SC / glucose uptake ($mmol/mmol\ glc$)]:[Flux in RT / glucose uptake ($mmol/mmol\ glc$)]])</f>
        <v>0</v>
      </c>
      <c r="G742">
        <f>_xlfn.RANK.AVG(Table1[[#This Row],[Flux in SC / glucose uptake ($mmol/mmol\ glc$)]],Table1[Flux in SC / glucose uptake ($mmol/mmol\ glc$)])</f>
        <v>1310.5</v>
      </c>
      <c r="H742">
        <f>_xlfn.RANK.AVG(Table1[[#This Row],[Flux in RT / glucose uptake ($mmol/mmol\ glc$)]],Table1[Flux in RT / glucose uptake ($mmol/mmol\ glc$)])</f>
        <v>1290.5</v>
      </c>
      <c r="I742" t="e">
        <f>LOG(Table1[[#This Row],[Flux in SC / glucose uptake ($mmol/mmol\ glc$)]])</f>
        <v>#NUM!</v>
      </c>
      <c r="J742" t="e">
        <f>LOG(Table1[[#This Row],[Flux in RT / glucose uptake ($mmol/mmol\ glc$)]])</f>
        <v>#NUM!</v>
      </c>
    </row>
    <row r="743" spans="1:10" x14ac:dyDescent="0.2">
      <c r="A743" t="s">
        <v>746</v>
      </c>
      <c r="B743" t="s">
        <v>3123</v>
      </c>
      <c r="C743">
        <v>0</v>
      </c>
      <c r="D743">
        <v>0</v>
      </c>
      <c r="E743">
        <f>ABS(Table1[[#This Row],[Flux in SC / glucose uptake ($mmol/mmol\ glc$)]]-Table1[[#This Row],[Flux in RT / glucose uptake ($mmol/mmol\ glc$)]])/SQRT(2)</f>
        <v>0</v>
      </c>
      <c r="F743">
        <f>Table1[[#This Row],[distance from 45-degree line]]/MAX(Table1[[Flux in SC / glucose uptake ($mmol/mmol\ glc$)]:[Flux in RT / glucose uptake ($mmol/mmol\ glc$)]])</f>
        <v>0</v>
      </c>
      <c r="G743">
        <f>_xlfn.RANK.AVG(Table1[[#This Row],[Flux in SC / glucose uptake ($mmol/mmol\ glc$)]],Table1[Flux in SC / glucose uptake ($mmol/mmol\ glc$)])</f>
        <v>1310.5</v>
      </c>
      <c r="H743">
        <f>_xlfn.RANK.AVG(Table1[[#This Row],[Flux in RT / glucose uptake ($mmol/mmol\ glc$)]],Table1[Flux in RT / glucose uptake ($mmol/mmol\ glc$)])</f>
        <v>1290.5</v>
      </c>
      <c r="I743" t="e">
        <f>LOG(Table1[[#This Row],[Flux in SC / glucose uptake ($mmol/mmol\ glc$)]])</f>
        <v>#NUM!</v>
      </c>
      <c r="J743" t="e">
        <f>LOG(Table1[[#This Row],[Flux in RT / glucose uptake ($mmol/mmol\ glc$)]])</f>
        <v>#NUM!</v>
      </c>
    </row>
    <row r="744" spans="1:10" x14ac:dyDescent="0.2">
      <c r="A744" t="s">
        <v>747</v>
      </c>
      <c r="B744" t="s">
        <v>3123</v>
      </c>
      <c r="C744">
        <v>0</v>
      </c>
      <c r="D744">
        <v>0</v>
      </c>
      <c r="E744">
        <f>ABS(Table1[[#This Row],[Flux in SC / glucose uptake ($mmol/mmol\ glc$)]]-Table1[[#This Row],[Flux in RT / glucose uptake ($mmol/mmol\ glc$)]])/SQRT(2)</f>
        <v>0</v>
      </c>
      <c r="F744">
        <f>Table1[[#This Row],[distance from 45-degree line]]/MAX(Table1[[Flux in SC / glucose uptake ($mmol/mmol\ glc$)]:[Flux in RT / glucose uptake ($mmol/mmol\ glc$)]])</f>
        <v>0</v>
      </c>
      <c r="G744">
        <f>_xlfn.RANK.AVG(Table1[[#This Row],[Flux in SC / glucose uptake ($mmol/mmol\ glc$)]],Table1[Flux in SC / glucose uptake ($mmol/mmol\ glc$)])</f>
        <v>1310.5</v>
      </c>
      <c r="H744">
        <f>_xlfn.RANK.AVG(Table1[[#This Row],[Flux in RT / glucose uptake ($mmol/mmol\ glc$)]],Table1[Flux in RT / glucose uptake ($mmol/mmol\ glc$)])</f>
        <v>1290.5</v>
      </c>
      <c r="I744" t="e">
        <f>LOG(Table1[[#This Row],[Flux in SC / glucose uptake ($mmol/mmol\ glc$)]])</f>
        <v>#NUM!</v>
      </c>
      <c r="J744" t="e">
        <f>LOG(Table1[[#This Row],[Flux in RT / glucose uptake ($mmol/mmol\ glc$)]])</f>
        <v>#NUM!</v>
      </c>
    </row>
    <row r="745" spans="1:10" x14ac:dyDescent="0.2">
      <c r="A745" t="s">
        <v>748</v>
      </c>
      <c r="B745" t="s">
        <v>3123</v>
      </c>
      <c r="C745">
        <v>0</v>
      </c>
      <c r="D745">
        <v>0</v>
      </c>
      <c r="E745">
        <f>ABS(Table1[[#This Row],[Flux in SC / glucose uptake ($mmol/mmol\ glc$)]]-Table1[[#This Row],[Flux in RT / glucose uptake ($mmol/mmol\ glc$)]])/SQRT(2)</f>
        <v>0</v>
      </c>
      <c r="F745">
        <f>Table1[[#This Row],[distance from 45-degree line]]/MAX(Table1[[Flux in SC / glucose uptake ($mmol/mmol\ glc$)]:[Flux in RT / glucose uptake ($mmol/mmol\ glc$)]])</f>
        <v>0</v>
      </c>
      <c r="G745">
        <f>_xlfn.RANK.AVG(Table1[[#This Row],[Flux in SC / glucose uptake ($mmol/mmol\ glc$)]],Table1[Flux in SC / glucose uptake ($mmol/mmol\ glc$)])</f>
        <v>1310.5</v>
      </c>
      <c r="H745">
        <f>_xlfn.RANK.AVG(Table1[[#This Row],[Flux in RT / glucose uptake ($mmol/mmol\ glc$)]],Table1[Flux in RT / glucose uptake ($mmol/mmol\ glc$)])</f>
        <v>1290.5</v>
      </c>
      <c r="I745" t="e">
        <f>LOG(Table1[[#This Row],[Flux in SC / glucose uptake ($mmol/mmol\ glc$)]])</f>
        <v>#NUM!</v>
      </c>
      <c r="J745" t="e">
        <f>LOG(Table1[[#This Row],[Flux in RT / glucose uptake ($mmol/mmol\ glc$)]])</f>
        <v>#NUM!</v>
      </c>
    </row>
    <row r="746" spans="1:10" x14ac:dyDescent="0.2">
      <c r="A746" t="s">
        <v>749</v>
      </c>
      <c r="B746" t="s">
        <v>3123</v>
      </c>
      <c r="C746">
        <v>0</v>
      </c>
      <c r="D746">
        <v>0</v>
      </c>
      <c r="E746">
        <f>ABS(Table1[[#This Row],[Flux in SC / glucose uptake ($mmol/mmol\ glc$)]]-Table1[[#This Row],[Flux in RT / glucose uptake ($mmol/mmol\ glc$)]])/SQRT(2)</f>
        <v>0</v>
      </c>
      <c r="F746">
        <f>Table1[[#This Row],[distance from 45-degree line]]/MAX(Table1[[Flux in SC / glucose uptake ($mmol/mmol\ glc$)]:[Flux in RT / glucose uptake ($mmol/mmol\ glc$)]])</f>
        <v>0</v>
      </c>
      <c r="G746">
        <f>_xlfn.RANK.AVG(Table1[[#This Row],[Flux in SC / glucose uptake ($mmol/mmol\ glc$)]],Table1[Flux in SC / glucose uptake ($mmol/mmol\ glc$)])</f>
        <v>1310.5</v>
      </c>
      <c r="H746">
        <f>_xlfn.RANK.AVG(Table1[[#This Row],[Flux in RT / glucose uptake ($mmol/mmol\ glc$)]],Table1[Flux in RT / glucose uptake ($mmol/mmol\ glc$)])</f>
        <v>1290.5</v>
      </c>
      <c r="I746" t="e">
        <f>LOG(Table1[[#This Row],[Flux in SC / glucose uptake ($mmol/mmol\ glc$)]])</f>
        <v>#NUM!</v>
      </c>
      <c r="J746" t="e">
        <f>LOG(Table1[[#This Row],[Flux in RT / glucose uptake ($mmol/mmol\ glc$)]])</f>
        <v>#NUM!</v>
      </c>
    </row>
    <row r="747" spans="1:10" x14ac:dyDescent="0.2">
      <c r="A747" t="s">
        <v>750</v>
      </c>
      <c r="B747" t="s">
        <v>3123</v>
      </c>
      <c r="C747">
        <v>0</v>
      </c>
      <c r="D747">
        <v>0</v>
      </c>
      <c r="E747">
        <f>ABS(Table1[[#This Row],[Flux in SC / glucose uptake ($mmol/mmol\ glc$)]]-Table1[[#This Row],[Flux in RT / glucose uptake ($mmol/mmol\ glc$)]])/SQRT(2)</f>
        <v>0</v>
      </c>
      <c r="F747">
        <f>Table1[[#This Row],[distance from 45-degree line]]/MAX(Table1[[Flux in SC / glucose uptake ($mmol/mmol\ glc$)]:[Flux in RT / glucose uptake ($mmol/mmol\ glc$)]])</f>
        <v>0</v>
      </c>
      <c r="G747">
        <f>_xlfn.RANK.AVG(Table1[[#This Row],[Flux in SC / glucose uptake ($mmol/mmol\ glc$)]],Table1[Flux in SC / glucose uptake ($mmol/mmol\ glc$)])</f>
        <v>1310.5</v>
      </c>
      <c r="H747">
        <f>_xlfn.RANK.AVG(Table1[[#This Row],[Flux in RT / glucose uptake ($mmol/mmol\ glc$)]],Table1[Flux in RT / glucose uptake ($mmol/mmol\ glc$)])</f>
        <v>1290.5</v>
      </c>
      <c r="I747" t="e">
        <f>LOG(Table1[[#This Row],[Flux in SC / glucose uptake ($mmol/mmol\ glc$)]])</f>
        <v>#NUM!</v>
      </c>
      <c r="J747" t="e">
        <f>LOG(Table1[[#This Row],[Flux in RT / glucose uptake ($mmol/mmol\ glc$)]])</f>
        <v>#NUM!</v>
      </c>
    </row>
    <row r="748" spans="1:10" x14ac:dyDescent="0.2">
      <c r="A748" t="s">
        <v>751</v>
      </c>
      <c r="B748" t="s">
        <v>3123</v>
      </c>
      <c r="C748">
        <v>0</v>
      </c>
      <c r="D748">
        <v>0</v>
      </c>
      <c r="E748">
        <f>ABS(Table1[[#This Row],[Flux in SC / glucose uptake ($mmol/mmol\ glc$)]]-Table1[[#This Row],[Flux in RT / glucose uptake ($mmol/mmol\ glc$)]])/SQRT(2)</f>
        <v>0</v>
      </c>
      <c r="F748">
        <f>Table1[[#This Row],[distance from 45-degree line]]/MAX(Table1[[Flux in SC / glucose uptake ($mmol/mmol\ glc$)]:[Flux in RT / glucose uptake ($mmol/mmol\ glc$)]])</f>
        <v>0</v>
      </c>
      <c r="G748">
        <f>_xlfn.RANK.AVG(Table1[[#This Row],[Flux in SC / glucose uptake ($mmol/mmol\ glc$)]],Table1[Flux in SC / glucose uptake ($mmol/mmol\ glc$)])</f>
        <v>1310.5</v>
      </c>
      <c r="H748">
        <f>_xlfn.RANK.AVG(Table1[[#This Row],[Flux in RT / glucose uptake ($mmol/mmol\ glc$)]],Table1[Flux in RT / glucose uptake ($mmol/mmol\ glc$)])</f>
        <v>1290.5</v>
      </c>
      <c r="I748" t="e">
        <f>LOG(Table1[[#This Row],[Flux in SC / glucose uptake ($mmol/mmol\ glc$)]])</f>
        <v>#NUM!</v>
      </c>
      <c r="J748" t="e">
        <f>LOG(Table1[[#This Row],[Flux in RT / glucose uptake ($mmol/mmol\ glc$)]])</f>
        <v>#NUM!</v>
      </c>
    </row>
    <row r="749" spans="1:10" x14ac:dyDescent="0.2">
      <c r="A749" t="s">
        <v>752</v>
      </c>
      <c r="B749" t="s">
        <v>3123</v>
      </c>
      <c r="C749">
        <v>0</v>
      </c>
      <c r="D749">
        <v>0</v>
      </c>
      <c r="E749">
        <f>ABS(Table1[[#This Row],[Flux in SC / glucose uptake ($mmol/mmol\ glc$)]]-Table1[[#This Row],[Flux in RT / glucose uptake ($mmol/mmol\ glc$)]])/SQRT(2)</f>
        <v>0</v>
      </c>
      <c r="F749">
        <f>Table1[[#This Row],[distance from 45-degree line]]/MAX(Table1[[Flux in SC / glucose uptake ($mmol/mmol\ glc$)]:[Flux in RT / glucose uptake ($mmol/mmol\ glc$)]])</f>
        <v>0</v>
      </c>
      <c r="G749">
        <f>_xlfn.RANK.AVG(Table1[[#This Row],[Flux in SC / glucose uptake ($mmol/mmol\ glc$)]],Table1[Flux in SC / glucose uptake ($mmol/mmol\ glc$)])</f>
        <v>1310.5</v>
      </c>
      <c r="H749">
        <f>_xlfn.RANK.AVG(Table1[[#This Row],[Flux in RT / glucose uptake ($mmol/mmol\ glc$)]],Table1[Flux in RT / glucose uptake ($mmol/mmol\ glc$)])</f>
        <v>1290.5</v>
      </c>
      <c r="I749" t="e">
        <f>LOG(Table1[[#This Row],[Flux in SC / glucose uptake ($mmol/mmol\ glc$)]])</f>
        <v>#NUM!</v>
      </c>
      <c r="J749" t="e">
        <f>LOG(Table1[[#This Row],[Flux in RT / glucose uptake ($mmol/mmol\ glc$)]])</f>
        <v>#NUM!</v>
      </c>
    </row>
    <row r="750" spans="1:10" x14ac:dyDescent="0.2">
      <c r="A750" t="s">
        <v>753</v>
      </c>
      <c r="B750" t="s">
        <v>3123</v>
      </c>
      <c r="C750">
        <v>0</v>
      </c>
      <c r="D750">
        <v>0</v>
      </c>
      <c r="E750">
        <f>ABS(Table1[[#This Row],[Flux in SC / glucose uptake ($mmol/mmol\ glc$)]]-Table1[[#This Row],[Flux in RT / glucose uptake ($mmol/mmol\ glc$)]])/SQRT(2)</f>
        <v>0</v>
      </c>
      <c r="F750">
        <f>Table1[[#This Row],[distance from 45-degree line]]/MAX(Table1[[Flux in SC / glucose uptake ($mmol/mmol\ glc$)]:[Flux in RT / glucose uptake ($mmol/mmol\ glc$)]])</f>
        <v>0</v>
      </c>
      <c r="G750">
        <f>_xlfn.RANK.AVG(Table1[[#This Row],[Flux in SC / glucose uptake ($mmol/mmol\ glc$)]],Table1[Flux in SC / glucose uptake ($mmol/mmol\ glc$)])</f>
        <v>1310.5</v>
      </c>
      <c r="H750">
        <f>_xlfn.RANK.AVG(Table1[[#This Row],[Flux in RT / glucose uptake ($mmol/mmol\ glc$)]],Table1[Flux in RT / glucose uptake ($mmol/mmol\ glc$)])</f>
        <v>1290.5</v>
      </c>
      <c r="I750" t="e">
        <f>LOG(Table1[[#This Row],[Flux in SC / glucose uptake ($mmol/mmol\ glc$)]])</f>
        <v>#NUM!</v>
      </c>
      <c r="J750" t="e">
        <f>LOG(Table1[[#This Row],[Flux in RT / glucose uptake ($mmol/mmol\ glc$)]])</f>
        <v>#NUM!</v>
      </c>
    </row>
    <row r="751" spans="1:10" x14ac:dyDescent="0.2">
      <c r="A751" t="s">
        <v>754</v>
      </c>
      <c r="B751" t="s">
        <v>3123</v>
      </c>
      <c r="C751">
        <v>0</v>
      </c>
      <c r="D751">
        <v>0</v>
      </c>
      <c r="E751">
        <f>ABS(Table1[[#This Row],[Flux in SC / glucose uptake ($mmol/mmol\ glc$)]]-Table1[[#This Row],[Flux in RT / glucose uptake ($mmol/mmol\ glc$)]])/SQRT(2)</f>
        <v>0</v>
      </c>
      <c r="F751">
        <f>Table1[[#This Row],[distance from 45-degree line]]/MAX(Table1[[Flux in SC / glucose uptake ($mmol/mmol\ glc$)]:[Flux in RT / glucose uptake ($mmol/mmol\ glc$)]])</f>
        <v>0</v>
      </c>
      <c r="G751">
        <f>_xlfn.RANK.AVG(Table1[[#This Row],[Flux in SC / glucose uptake ($mmol/mmol\ glc$)]],Table1[Flux in SC / glucose uptake ($mmol/mmol\ glc$)])</f>
        <v>1310.5</v>
      </c>
      <c r="H751">
        <f>_xlfn.RANK.AVG(Table1[[#This Row],[Flux in RT / glucose uptake ($mmol/mmol\ glc$)]],Table1[Flux in RT / glucose uptake ($mmol/mmol\ glc$)])</f>
        <v>1290.5</v>
      </c>
      <c r="I751" t="e">
        <f>LOG(Table1[[#This Row],[Flux in SC / glucose uptake ($mmol/mmol\ glc$)]])</f>
        <v>#NUM!</v>
      </c>
      <c r="J751" t="e">
        <f>LOG(Table1[[#This Row],[Flux in RT / glucose uptake ($mmol/mmol\ glc$)]])</f>
        <v>#NUM!</v>
      </c>
    </row>
    <row r="752" spans="1:10" x14ac:dyDescent="0.2">
      <c r="A752" t="s">
        <v>755</v>
      </c>
      <c r="B752" t="s">
        <v>3135</v>
      </c>
      <c r="C752">
        <v>0</v>
      </c>
      <c r="D752">
        <v>0</v>
      </c>
      <c r="E752">
        <f>ABS(Table1[[#This Row],[Flux in SC / glucose uptake ($mmol/mmol\ glc$)]]-Table1[[#This Row],[Flux in RT / glucose uptake ($mmol/mmol\ glc$)]])/SQRT(2)</f>
        <v>0</v>
      </c>
      <c r="F752">
        <f>Table1[[#This Row],[distance from 45-degree line]]/MAX(Table1[[Flux in SC / glucose uptake ($mmol/mmol\ glc$)]:[Flux in RT / glucose uptake ($mmol/mmol\ glc$)]])</f>
        <v>0</v>
      </c>
      <c r="G752">
        <f>_xlfn.RANK.AVG(Table1[[#This Row],[Flux in SC / glucose uptake ($mmol/mmol\ glc$)]],Table1[Flux in SC / glucose uptake ($mmol/mmol\ glc$)])</f>
        <v>1310.5</v>
      </c>
      <c r="H752">
        <f>_xlfn.RANK.AVG(Table1[[#This Row],[Flux in RT / glucose uptake ($mmol/mmol\ glc$)]],Table1[Flux in RT / glucose uptake ($mmol/mmol\ glc$)])</f>
        <v>1290.5</v>
      </c>
      <c r="I752" t="e">
        <f>LOG(Table1[[#This Row],[Flux in SC / glucose uptake ($mmol/mmol\ glc$)]])</f>
        <v>#NUM!</v>
      </c>
      <c r="J752" t="e">
        <f>LOG(Table1[[#This Row],[Flux in RT / glucose uptake ($mmol/mmol\ glc$)]])</f>
        <v>#NUM!</v>
      </c>
    </row>
    <row r="753" spans="1:10" x14ac:dyDescent="0.2">
      <c r="A753" t="s">
        <v>756</v>
      </c>
      <c r="B753" t="s">
        <v>3135</v>
      </c>
      <c r="C753">
        <v>0</v>
      </c>
      <c r="D753">
        <v>0</v>
      </c>
      <c r="E753">
        <f>ABS(Table1[[#This Row],[Flux in SC / glucose uptake ($mmol/mmol\ glc$)]]-Table1[[#This Row],[Flux in RT / glucose uptake ($mmol/mmol\ glc$)]])/SQRT(2)</f>
        <v>0</v>
      </c>
      <c r="F753">
        <f>Table1[[#This Row],[distance from 45-degree line]]/MAX(Table1[[Flux in SC / glucose uptake ($mmol/mmol\ glc$)]:[Flux in RT / glucose uptake ($mmol/mmol\ glc$)]])</f>
        <v>0</v>
      </c>
      <c r="G753">
        <f>_xlfn.RANK.AVG(Table1[[#This Row],[Flux in SC / glucose uptake ($mmol/mmol\ glc$)]],Table1[Flux in SC / glucose uptake ($mmol/mmol\ glc$)])</f>
        <v>1310.5</v>
      </c>
      <c r="H753">
        <f>_xlfn.RANK.AVG(Table1[[#This Row],[Flux in RT / glucose uptake ($mmol/mmol\ glc$)]],Table1[Flux in RT / glucose uptake ($mmol/mmol\ glc$)])</f>
        <v>1290.5</v>
      </c>
      <c r="I753" t="e">
        <f>LOG(Table1[[#This Row],[Flux in SC / glucose uptake ($mmol/mmol\ glc$)]])</f>
        <v>#NUM!</v>
      </c>
      <c r="J753" t="e">
        <f>LOG(Table1[[#This Row],[Flux in RT / glucose uptake ($mmol/mmol\ glc$)]])</f>
        <v>#NUM!</v>
      </c>
    </row>
    <row r="754" spans="1:10" x14ac:dyDescent="0.2">
      <c r="A754" t="s">
        <v>757</v>
      </c>
      <c r="B754" t="s">
        <v>3135</v>
      </c>
      <c r="C754">
        <v>0</v>
      </c>
      <c r="D754">
        <v>0</v>
      </c>
      <c r="E754">
        <f>ABS(Table1[[#This Row],[Flux in SC / glucose uptake ($mmol/mmol\ glc$)]]-Table1[[#This Row],[Flux in RT / glucose uptake ($mmol/mmol\ glc$)]])/SQRT(2)</f>
        <v>0</v>
      </c>
      <c r="F754">
        <f>Table1[[#This Row],[distance from 45-degree line]]/MAX(Table1[[Flux in SC / glucose uptake ($mmol/mmol\ glc$)]:[Flux in RT / glucose uptake ($mmol/mmol\ glc$)]])</f>
        <v>0</v>
      </c>
      <c r="G754">
        <f>_xlfn.RANK.AVG(Table1[[#This Row],[Flux in SC / glucose uptake ($mmol/mmol\ glc$)]],Table1[Flux in SC / glucose uptake ($mmol/mmol\ glc$)])</f>
        <v>1310.5</v>
      </c>
      <c r="H754">
        <f>_xlfn.RANK.AVG(Table1[[#This Row],[Flux in RT / glucose uptake ($mmol/mmol\ glc$)]],Table1[Flux in RT / glucose uptake ($mmol/mmol\ glc$)])</f>
        <v>1290.5</v>
      </c>
      <c r="I754" t="e">
        <f>LOG(Table1[[#This Row],[Flux in SC / glucose uptake ($mmol/mmol\ glc$)]])</f>
        <v>#NUM!</v>
      </c>
      <c r="J754" t="e">
        <f>LOG(Table1[[#This Row],[Flux in RT / glucose uptake ($mmol/mmol\ glc$)]])</f>
        <v>#NUM!</v>
      </c>
    </row>
    <row r="755" spans="1:10" x14ac:dyDescent="0.2">
      <c r="A755" t="s">
        <v>758</v>
      </c>
      <c r="B755" t="s">
        <v>3135</v>
      </c>
      <c r="C755">
        <v>0</v>
      </c>
      <c r="D755">
        <v>0</v>
      </c>
      <c r="E755">
        <f>ABS(Table1[[#This Row],[Flux in SC / glucose uptake ($mmol/mmol\ glc$)]]-Table1[[#This Row],[Flux in RT / glucose uptake ($mmol/mmol\ glc$)]])/SQRT(2)</f>
        <v>0</v>
      </c>
      <c r="F755">
        <f>Table1[[#This Row],[distance from 45-degree line]]/MAX(Table1[[Flux in SC / glucose uptake ($mmol/mmol\ glc$)]:[Flux in RT / glucose uptake ($mmol/mmol\ glc$)]])</f>
        <v>0</v>
      </c>
      <c r="G755">
        <f>_xlfn.RANK.AVG(Table1[[#This Row],[Flux in SC / glucose uptake ($mmol/mmol\ glc$)]],Table1[Flux in SC / glucose uptake ($mmol/mmol\ glc$)])</f>
        <v>1310.5</v>
      </c>
      <c r="H755">
        <f>_xlfn.RANK.AVG(Table1[[#This Row],[Flux in RT / glucose uptake ($mmol/mmol\ glc$)]],Table1[Flux in RT / glucose uptake ($mmol/mmol\ glc$)])</f>
        <v>1290.5</v>
      </c>
      <c r="I755" t="e">
        <f>LOG(Table1[[#This Row],[Flux in SC / glucose uptake ($mmol/mmol\ glc$)]])</f>
        <v>#NUM!</v>
      </c>
      <c r="J755" t="e">
        <f>LOG(Table1[[#This Row],[Flux in RT / glucose uptake ($mmol/mmol\ glc$)]])</f>
        <v>#NUM!</v>
      </c>
    </row>
    <row r="756" spans="1:10" x14ac:dyDescent="0.2">
      <c r="A756" t="s">
        <v>759</v>
      </c>
      <c r="B756" t="s">
        <v>3135</v>
      </c>
      <c r="C756">
        <v>0</v>
      </c>
      <c r="D756">
        <v>0</v>
      </c>
      <c r="E756">
        <f>ABS(Table1[[#This Row],[Flux in SC / glucose uptake ($mmol/mmol\ glc$)]]-Table1[[#This Row],[Flux in RT / glucose uptake ($mmol/mmol\ glc$)]])/SQRT(2)</f>
        <v>0</v>
      </c>
      <c r="F756">
        <f>Table1[[#This Row],[distance from 45-degree line]]/MAX(Table1[[Flux in SC / glucose uptake ($mmol/mmol\ glc$)]:[Flux in RT / glucose uptake ($mmol/mmol\ glc$)]])</f>
        <v>0</v>
      </c>
      <c r="G756">
        <f>_xlfn.RANK.AVG(Table1[[#This Row],[Flux in SC / glucose uptake ($mmol/mmol\ glc$)]],Table1[Flux in SC / glucose uptake ($mmol/mmol\ glc$)])</f>
        <v>1310.5</v>
      </c>
      <c r="H756">
        <f>_xlfn.RANK.AVG(Table1[[#This Row],[Flux in RT / glucose uptake ($mmol/mmol\ glc$)]],Table1[Flux in RT / glucose uptake ($mmol/mmol\ glc$)])</f>
        <v>1290.5</v>
      </c>
      <c r="I756" t="e">
        <f>LOG(Table1[[#This Row],[Flux in SC / glucose uptake ($mmol/mmol\ glc$)]])</f>
        <v>#NUM!</v>
      </c>
      <c r="J756" t="e">
        <f>LOG(Table1[[#This Row],[Flux in RT / glucose uptake ($mmol/mmol\ glc$)]])</f>
        <v>#NUM!</v>
      </c>
    </row>
    <row r="757" spans="1:10" x14ac:dyDescent="0.2">
      <c r="A757" t="s">
        <v>760</v>
      </c>
      <c r="B757" t="s">
        <v>3135</v>
      </c>
      <c r="C757">
        <v>0</v>
      </c>
      <c r="D757">
        <v>0</v>
      </c>
      <c r="E757">
        <f>ABS(Table1[[#This Row],[Flux in SC / glucose uptake ($mmol/mmol\ glc$)]]-Table1[[#This Row],[Flux in RT / glucose uptake ($mmol/mmol\ glc$)]])/SQRT(2)</f>
        <v>0</v>
      </c>
      <c r="F757">
        <f>Table1[[#This Row],[distance from 45-degree line]]/MAX(Table1[[Flux in SC / glucose uptake ($mmol/mmol\ glc$)]:[Flux in RT / glucose uptake ($mmol/mmol\ glc$)]])</f>
        <v>0</v>
      </c>
      <c r="G757">
        <f>_xlfn.RANK.AVG(Table1[[#This Row],[Flux in SC / glucose uptake ($mmol/mmol\ glc$)]],Table1[Flux in SC / glucose uptake ($mmol/mmol\ glc$)])</f>
        <v>1310.5</v>
      </c>
      <c r="H757">
        <f>_xlfn.RANK.AVG(Table1[[#This Row],[Flux in RT / glucose uptake ($mmol/mmol\ glc$)]],Table1[Flux in RT / glucose uptake ($mmol/mmol\ glc$)])</f>
        <v>1290.5</v>
      </c>
      <c r="I757" t="e">
        <f>LOG(Table1[[#This Row],[Flux in SC / glucose uptake ($mmol/mmol\ glc$)]])</f>
        <v>#NUM!</v>
      </c>
      <c r="J757" t="e">
        <f>LOG(Table1[[#This Row],[Flux in RT / glucose uptake ($mmol/mmol\ glc$)]])</f>
        <v>#NUM!</v>
      </c>
    </row>
    <row r="758" spans="1:10" x14ac:dyDescent="0.2">
      <c r="A758" t="s">
        <v>761</v>
      </c>
      <c r="B758" t="s">
        <v>3135</v>
      </c>
      <c r="C758">
        <v>0</v>
      </c>
      <c r="D758">
        <v>0</v>
      </c>
      <c r="E758">
        <f>ABS(Table1[[#This Row],[Flux in SC / glucose uptake ($mmol/mmol\ glc$)]]-Table1[[#This Row],[Flux in RT / glucose uptake ($mmol/mmol\ glc$)]])/SQRT(2)</f>
        <v>0</v>
      </c>
      <c r="F758">
        <f>Table1[[#This Row],[distance from 45-degree line]]/MAX(Table1[[Flux in SC / glucose uptake ($mmol/mmol\ glc$)]:[Flux in RT / glucose uptake ($mmol/mmol\ glc$)]])</f>
        <v>0</v>
      </c>
      <c r="G758">
        <f>_xlfn.RANK.AVG(Table1[[#This Row],[Flux in SC / glucose uptake ($mmol/mmol\ glc$)]],Table1[Flux in SC / glucose uptake ($mmol/mmol\ glc$)])</f>
        <v>1310.5</v>
      </c>
      <c r="H758">
        <f>_xlfn.RANK.AVG(Table1[[#This Row],[Flux in RT / glucose uptake ($mmol/mmol\ glc$)]],Table1[Flux in RT / glucose uptake ($mmol/mmol\ glc$)])</f>
        <v>1290.5</v>
      </c>
      <c r="I758" t="e">
        <f>LOG(Table1[[#This Row],[Flux in SC / glucose uptake ($mmol/mmol\ glc$)]])</f>
        <v>#NUM!</v>
      </c>
      <c r="J758" t="e">
        <f>LOG(Table1[[#This Row],[Flux in RT / glucose uptake ($mmol/mmol\ glc$)]])</f>
        <v>#NUM!</v>
      </c>
    </row>
    <row r="759" spans="1:10" x14ac:dyDescent="0.2">
      <c r="A759" t="s">
        <v>762</v>
      </c>
      <c r="B759" t="s">
        <v>3135</v>
      </c>
      <c r="C759">
        <v>0</v>
      </c>
      <c r="D759">
        <v>0</v>
      </c>
      <c r="E759">
        <f>ABS(Table1[[#This Row],[Flux in SC / glucose uptake ($mmol/mmol\ glc$)]]-Table1[[#This Row],[Flux in RT / glucose uptake ($mmol/mmol\ glc$)]])/SQRT(2)</f>
        <v>0</v>
      </c>
      <c r="F759">
        <f>Table1[[#This Row],[distance from 45-degree line]]/MAX(Table1[[Flux in SC / glucose uptake ($mmol/mmol\ glc$)]:[Flux in RT / glucose uptake ($mmol/mmol\ glc$)]])</f>
        <v>0</v>
      </c>
      <c r="G759">
        <f>_xlfn.RANK.AVG(Table1[[#This Row],[Flux in SC / glucose uptake ($mmol/mmol\ glc$)]],Table1[Flux in SC / glucose uptake ($mmol/mmol\ glc$)])</f>
        <v>1310.5</v>
      </c>
      <c r="H759">
        <f>_xlfn.RANK.AVG(Table1[[#This Row],[Flux in RT / glucose uptake ($mmol/mmol\ glc$)]],Table1[Flux in RT / glucose uptake ($mmol/mmol\ glc$)])</f>
        <v>1290.5</v>
      </c>
      <c r="I759" t="e">
        <f>LOG(Table1[[#This Row],[Flux in SC / glucose uptake ($mmol/mmol\ glc$)]])</f>
        <v>#NUM!</v>
      </c>
      <c r="J759" t="e">
        <f>LOG(Table1[[#This Row],[Flux in RT / glucose uptake ($mmol/mmol\ glc$)]])</f>
        <v>#NUM!</v>
      </c>
    </row>
    <row r="760" spans="1:10" x14ac:dyDescent="0.2">
      <c r="A760" t="s">
        <v>763</v>
      </c>
      <c r="B760" t="s">
        <v>3135</v>
      </c>
      <c r="C760">
        <v>0</v>
      </c>
      <c r="D760">
        <v>0</v>
      </c>
      <c r="E760">
        <f>ABS(Table1[[#This Row],[Flux in SC / glucose uptake ($mmol/mmol\ glc$)]]-Table1[[#This Row],[Flux in RT / glucose uptake ($mmol/mmol\ glc$)]])/SQRT(2)</f>
        <v>0</v>
      </c>
      <c r="F760">
        <f>Table1[[#This Row],[distance from 45-degree line]]/MAX(Table1[[Flux in SC / glucose uptake ($mmol/mmol\ glc$)]:[Flux in RT / glucose uptake ($mmol/mmol\ glc$)]])</f>
        <v>0</v>
      </c>
      <c r="G760">
        <f>_xlfn.RANK.AVG(Table1[[#This Row],[Flux in SC / glucose uptake ($mmol/mmol\ glc$)]],Table1[Flux in SC / glucose uptake ($mmol/mmol\ glc$)])</f>
        <v>1310.5</v>
      </c>
      <c r="H760">
        <f>_xlfn.RANK.AVG(Table1[[#This Row],[Flux in RT / glucose uptake ($mmol/mmol\ glc$)]],Table1[Flux in RT / glucose uptake ($mmol/mmol\ glc$)])</f>
        <v>1290.5</v>
      </c>
      <c r="I760" t="e">
        <f>LOG(Table1[[#This Row],[Flux in SC / glucose uptake ($mmol/mmol\ glc$)]])</f>
        <v>#NUM!</v>
      </c>
      <c r="J760" t="e">
        <f>LOG(Table1[[#This Row],[Flux in RT / glucose uptake ($mmol/mmol\ glc$)]])</f>
        <v>#NUM!</v>
      </c>
    </row>
    <row r="761" spans="1:10" x14ac:dyDescent="0.2">
      <c r="A761" t="s">
        <v>764</v>
      </c>
      <c r="B761" t="s">
        <v>3135</v>
      </c>
      <c r="C761">
        <v>0</v>
      </c>
      <c r="D761">
        <v>0</v>
      </c>
      <c r="E761">
        <f>ABS(Table1[[#This Row],[Flux in SC / glucose uptake ($mmol/mmol\ glc$)]]-Table1[[#This Row],[Flux in RT / glucose uptake ($mmol/mmol\ glc$)]])/SQRT(2)</f>
        <v>0</v>
      </c>
      <c r="F761">
        <f>Table1[[#This Row],[distance from 45-degree line]]/MAX(Table1[[Flux in SC / glucose uptake ($mmol/mmol\ glc$)]:[Flux in RT / glucose uptake ($mmol/mmol\ glc$)]])</f>
        <v>0</v>
      </c>
      <c r="G761">
        <f>_xlfn.RANK.AVG(Table1[[#This Row],[Flux in SC / glucose uptake ($mmol/mmol\ glc$)]],Table1[Flux in SC / glucose uptake ($mmol/mmol\ glc$)])</f>
        <v>1310.5</v>
      </c>
      <c r="H761">
        <f>_xlfn.RANK.AVG(Table1[[#This Row],[Flux in RT / glucose uptake ($mmol/mmol\ glc$)]],Table1[Flux in RT / glucose uptake ($mmol/mmol\ glc$)])</f>
        <v>1290.5</v>
      </c>
      <c r="I761" t="e">
        <f>LOG(Table1[[#This Row],[Flux in SC / glucose uptake ($mmol/mmol\ glc$)]])</f>
        <v>#NUM!</v>
      </c>
      <c r="J761" t="e">
        <f>LOG(Table1[[#This Row],[Flux in RT / glucose uptake ($mmol/mmol\ glc$)]])</f>
        <v>#NUM!</v>
      </c>
    </row>
    <row r="762" spans="1:10" x14ac:dyDescent="0.2">
      <c r="A762" t="s">
        <v>765</v>
      </c>
      <c r="B762" t="s">
        <v>3135</v>
      </c>
      <c r="C762">
        <v>0</v>
      </c>
      <c r="D762">
        <v>0</v>
      </c>
      <c r="E762">
        <f>ABS(Table1[[#This Row],[Flux in SC / glucose uptake ($mmol/mmol\ glc$)]]-Table1[[#This Row],[Flux in RT / glucose uptake ($mmol/mmol\ glc$)]])/SQRT(2)</f>
        <v>0</v>
      </c>
      <c r="F762">
        <f>Table1[[#This Row],[distance from 45-degree line]]/MAX(Table1[[Flux in SC / glucose uptake ($mmol/mmol\ glc$)]:[Flux in RT / glucose uptake ($mmol/mmol\ glc$)]])</f>
        <v>0</v>
      </c>
      <c r="G762">
        <f>_xlfn.RANK.AVG(Table1[[#This Row],[Flux in SC / glucose uptake ($mmol/mmol\ glc$)]],Table1[Flux in SC / glucose uptake ($mmol/mmol\ glc$)])</f>
        <v>1310.5</v>
      </c>
      <c r="H762">
        <f>_xlfn.RANK.AVG(Table1[[#This Row],[Flux in RT / glucose uptake ($mmol/mmol\ glc$)]],Table1[Flux in RT / glucose uptake ($mmol/mmol\ glc$)])</f>
        <v>1290.5</v>
      </c>
      <c r="I762" t="e">
        <f>LOG(Table1[[#This Row],[Flux in SC / glucose uptake ($mmol/mmol\ glc$)]])</f>
        <v>#NUM!</v>
      </c>
      <c r="J762" t="e">
        <f>LOG(Table1[[#This Row],[Flux in RT / glucose uptake ($mmol/mmol\ glc$)]])</f>
        <v>#NUM!</v>
      </c>
    </row>
    <row r="763" spans="1:10" x14ac:dyDescent="0.2">
      <c r="A763" t="s">
        <v>766</v>
      </c>
      <c r="B763" t="s">
        <v>3135</v>
      </c>
      <c r="C763">
        <v>0</v>
      </c>
      <c r="D763">
        <v>0</v>
      </c>
      <c r="E763">
        <f>ABS(Table1[[#This Row],[Flux in SC / glucose uptake ($mmol/mmol\ glc$)]]-Table1[[#This Row],[Flux in RT / glucose uptake ($mmol/mmol\ glc$)]])/SQRT(2)</f>
        <v>0</v>
      </c>
      <c r="F763">
        <f>Table1[[#This Row],[distance from 45-degree line]]/MAX(Table1[[Flux in SC / glucose uptake ($mmol/mmol\ glc$)]:[Flux in RT / glucose uptake ($mmol/mmol\ glc$)]])</f>
        <v>0</v>
      </c>
      <c r="G763">
        <f>_xlfn.RANK.AVG(Table1[[#This Row],[Flux in SC / glucose uptake ($mmol/mmol\ glc$)]],Table1[Flux in SC / glucose uptake ($mmol/mmol\ glc$)])</f>
        <v>1310.5</v>
      </c>
      <c r="H763">
        <f>_xlfn.RANK.AVG(Table1[[#This Row],[Flux in RT / glucose uptake ($mmol/mmol\ glc$)]],Table1[Flux in RT / glucose uptake ($mmol/mmol\ glc$)])</f>
        <v>1290.5</v>
      </c>
      <c r="I763" t="e">
        <f>LOG(Table1[[#This Row],[Flux in SC / glucose uptake ($mmol/mmol\ glc$)]])</f>
        <v>#NUM!</v>
      </c>
      <c r="J763" t="e">
        <f>LOG(Table1[[#This Row],[Flux in RT / glucose uptake ($mmol/mmol\ glc$)]])</f>
        <v>#NUM!</v>
      </c>
    </row>
    <row r="764" spans="1:10" x14ac:dyDescent="0.2">
      <c r="A764" t="s">
        <v>767</v>
      </c>
      <c r="B764" t="s">
        <v>3135</v>
      </c>
      <c r="C764">
        <v>0</v>
      </c>
      <c r="D764">
        <v>0</v>
      </c>
      <c r="E764">
        <f>ABS(Table1[[#This Row],[Flux in SC / glucose uptake ($mmol/mmol\ glc$)]]-Table1[[#This Row],[Flux in RT / glucose uptake ($mmol/mmol\ glc$)]])/SQRT(2)</f>
        <v>0</v>
      </c>
      <c r="F764">
        <f>Table1[[#This Row],[distance from 45-degree line]]/MAX(Table1[[Flux in SC / glucose uptake ($mmol/mmol\ glc$)]:[Flux in RT / glucose uptake ($mmol/mmol\ glc$)]])</f>
        <v>0</v>
      </c>
      <c r="G764">
        <f>_xlfn.RANK.AVG(Table1[[#This Row],[Flux in SC / glucose uptake ($mmol/mmol\ glc$)]],Table1[Flux in SC / glucose uptake ($mmol/mmol\ glc$)])</f>
        <v>1310.5</v>
      </c>
      <c r="H764">
        <f>_xlfn.RANK.AVG(Table1[[#This Row],[Flux in RT / glucose uptake ($mmol/mmol\ glc$)]],Table1[Flux in RT / glucose uptake ($mmol/mmol\ glc$)])</f>
        <v>1290.5</v>
      </c>
      <c r="I764" t="e">
        <f>LOG(Table1[[#This Row],[Flux in SC / glucose uptake ($mmol/mmol\ glc$)]])</f>
        <v>#NUM!</v>
      </c>
      <c r="J764" t="e">
        <f>LOG(Table1[[#This Row],[Flux in RT / glucose uptake ($mmol/mmol\ glc$)]])</f>
        <v>#NUM!</v>
      </c>
    </row>
    <row r="765" spans="1:10" x14ac:dyDescent="0.2">
      <c r="A765" t="s">
        <v>768</v>
      </c>
      <c r="B765" t="s">
        <v>3135</v>
      </c>
      <c r="C765">
        <v>0</v>
      </c>
      <c r="D765">
        <v>0</v>
      </c>
      <c r="E765">
        <f>ABS(Table1[[#This Row],[Flux in SC / glucose uptake ($mmol/mmol\ glc$)]]-Table1[[#This Row],[Flux in RT / glucose uptake ($mmol/mmol\ glc$)]])/SQRT(2)</f>
        <v>0</v>
      </c>
      <c r="F765">
        <f>Table1[[#This Row],[distance from 45-degree line]]/MAX(Table1[[Flux in SC / glucose uptake ($mmol/mmol\ glc$)]:[Flux in RT / glucose uptake ($mmol/mmol\ glc$)]])</f>
        <v>0</v>
      </c>
      <c r="G765">
        <f>_xlfn.RANK.AVG(Table1[[#This Row],[Flux in SC / glucose uptake ($mmol/mmol\ glc$)]],Table1[Flux in SC / glucose uptake ($mmol/mmol\ glc$)])</f>
        <v>1310.5</v>
      </c>
      <c r="H765">
        <f>_xlfn.RANK.AVG(Table1[[#This Row],[Flux in RT / glucose uptake ($mmol/mmol\ glc$)]],Table1[Flux in RT / glucose uptake ($mmol/mmol\ glc$)])</f>
        <v>1290.5</v>
      </c>
      <c r="I765" t="e">
        <f>LOG(Table1[[#This Row],[Flux in SC / glucose uptake ($mmol/mmol\ glc$)]])</f>
        <v>#NUM!</v>
      </c>
      <c r="J765" t="e">
        <f>LOG(Table1[[#This Row],[Flux in RT / glucose uptake ($mmol/mmol\ glc$)]])</f>
        <v>#NUM!</v>
      </c>
    </row>
    <row r="766" spans="1:10" x14ac:dyDescent="0.2">
      <c r="A766" t="s">
        <v>769</v>
      </c>
      <c r="B766" t="s">
        <v>3135</v>
      </c>
      <c r="C766">
        <v>0</v>
      </c>
      <c r="D766">
        <v>0</v>
      </c>
      <c r="E766">
        <f>ABS(Table1[[#This Row],[Flux in SC / glucose uptake ($mmol/mmol\ glc$)]]-Table1[[#This Row],[Flux in RT / glucose uptake ($mmol/mmol\ glc$)]])/SQRT(2)</f>
        <v>0</v>
      </c>
      <c r="F766">
        <f>Table1[[#This Row],[distance from 45-degree line]]/MAX(Table1[[Flux in SC / glucose uptake ($mmol/mmol\ glc$)]:[Flux in RT / glucose uptake ($mmol/mmol\ glc$)]])</f>
        <v>0</v>
      </c>
      <c r="G766">
        <f>_xlfn.RANK.AVG(Table1[[#This Row],[Flux in SC / glucose uptake ($mmol/mmol\ glc$)]],Table1[Flux in SC / glucose uptake ($mmol/mmol\ glc$)])</f>
        <v>1310.5</v>
      </c>
      <c r="H766">
        <f>_xlfn.RANK.AVG(Table1[[#This Row],[Flux in RT / glucose uptake ($mmol/mmol\ glc$)]],Table1[Flux in RT / glucose uptake ($mmol/mmol\ glc$)])</f>
        <v>1290.5</v>
      </c>
      <c r="I766" t="e">
        <f>LOG(Table1[[#This Row],[Flux in SC / glucose uptake ($mmol/mmol\ glc$)]])</f>
        <v>#NUM!</v>
      </c>
      <c r="J766" t="e">
        <f>LOG(Table1[[#This Row],[Flux in RT / glucose uptake ($mmol/mmol\ glc$)]])</f>
        <v>#NUM!</v>
      </c>
    </row>
    <row r="767" spans="1:10" x14ac:dyDescent="0.2">
      <c r="A767" t="s">
        <v>770</v>
      </c>
      <c r="B767" t="s">
        <v>3135</v>
      </c>
      <c r="C767">
        <v>0</v>
      </c>
      <c r="D767">
        <v>0</v>
      </c>
      <c r="E767">
        <f>ABS(Table1[[#This Row],[Flux in SC / glucose uptake ($mmol/mmol\ glc$)]]-Table1[[#This Row],[Flux in RT / glucose uptake ($mmol/mmol\ glc$)]])/SQRT(2)</f>
        <v>0</v>
      </c>
      <c r="F767">
        <f>Table1[[#This Row],[distance from 45-degree line]]/MAX(Table1[[Flux in SC / glucose uptake ($mmol/mmol\ glc$)]:[Flux in RT / glucose uptake ($mmol/mmol\ glc$)]])</f>
        <v>0</v>
      </c>
      <c r="G767">
        <f>_xlfn.RANK.AVG(Table1[[#This Row],[Flux in SC / glucose uptake ($mmol/mmol\ glc$)]],Table1[Flux in SC / glucose uptake ($mmol/mmol\ glc$)])</f>
        <v>1310.5</v>
      </c>
      <c r="H767">
        <f>_xlfn.RANK.AVG(Table1[[#This Row],[Flux in RT / glucose uptake ($mmol/mmol\ glc$)]],Table1[Flux in RT / glucose uptake ($mmol/mmol\ glc$)])</f>
        <v>1290.5</v>
      </c>
      <c r="I767" t="e">
        <f>LOG(Table1[[#This Row],[Flux in SC / glucose uptake ($mmol/mmol\ glc$)]])</f>
        <v>#NUM!</v>
      </c>
      <c r="J767" t="e">
        <f>LOG(Table1[[#This Row],[Flux in RT / glucose uptake ($mmol/mmol\ glc$)]])</f>
        <v>#NUM!</v>
      </c>
    </row>
    <row r="768" spans="1:10" x14ac:dyDescent="0.2">
      <c r="A768" t="s">
        <v>771</v>
      </c>
      <c r="B768" t="s">
        <v>3135</v>
      </c>
      <c r="C768">
        <v>0</v>
      </c>
      <c r="D768">
        <v>0</v>
      </c>
      <c r="E768">
        <f>ABS(Table1[[#This Row],[Flux in SC / glucose uptake ($mmol/mmol\ glc$)]]-Table1[[#This Row],[Flux in RT / glucose uptake ($mmol/mmol\ glc$)]])/SQRT(2)</f>
        <v>0</v>
      </c>
      <c r="F768">
        <f>Table1[[#This Row],[distance from 45-degree line]]/MAX(Table1[[Flux in SC / glucose uptake ($mmol/mmol\ glc$)]:[Flux in RT / glucose uptake ($mmol/mmol\ glc$)]])</f>
        <v>0</v>
      </c>
      <c r="G768">
        <f>_xlfn.RANK.AVG(Table1[[#This Row],[Flux in SC / glucose uptake ($mmol/mmol\ glc$)]],Table1[Flux in SC / glucose uptake ($mmol/mmol\ glc$)])</f>
        <v>1310.5</v>
      </c>
      <c r="H768">
        <f>_xlfn.RANK.AVG(Table1[[#This Row],[Flux in RT / glucose uptake ($mmol/mmol\ glc$)]],Table1[Flux in RT / glucose uptake ($mmol/mmol\ glc$)])</f>
        <v>1290.5</v>
      </c>
      <c r="I768" t="e">
        <f>LOG(Table1[[#This Row],[Flux in SC / glucose uptake ($mmol/mmol\ glc$)]])</f>
        <v>#NUM!</v>
      </c>
      <c r="J768" t="e">
        <f>LOG(Table1[[#This Row],[Flux in RT / glucose uptake ($mmol/mmol\ glc$)]])</f>
        <v>#NUM!</v>
      </c>
    </row>
    <row r="769" spans="1:10" x14ac:dyDescent="0.2">
      <c r="A769" t="s">
        <v>772</v>
      </c>
      <c r="B769" t="s">
        <v>3135</v>
      </c>
      <c r="C769">
        <v>0</v>
      </c>
      <c r="D769">
        <v>0</v>
      </c>
      <c r="E769">
        <f>ABS(Table1[[#This Row],[Flux in SC / glucose uptake ($mmol/mmol\ glc$)]]-Table1[[#This Row],[Flux in RT / glucose uptake ($mmol/mmol\ glc$)]])/SQRT(2)</f>
        <v>0</v>
      </c>
      <c r="F769">
        <f>Table1[[#This Row],[distance from 45-degree line]]/MAX(Table1[[Flux in SC / glucose uptake ($mmol/mmol\ glc$)]:[Flux in RT / glucose uptake ($mmol/mmol\ glc$)]])</f>
        <v>0</v>
      </c>
      <c r="G769">
        <f>_xlfn.RANK.AVG(Table1[[#This Row],[Flux in SC / glucose uptake ($mmol/mmol\ glc$)]],Table1[Flux in SC / glucose uptake ($mmol/mmol\ glc$)])</f>
        <v>1310.5</v>
      </c>
      <c r="H769">
        <f>_xlfn.RANK.AVG(Table1[[#This Row],[Flux in RT / glucose uptake ($mmol/mmol\ glc$)]],Table1[Flux in RT / glucose uptake ($mmol/mmol\ glc$)])</f>
        <v>1290.5</v>
      </c>
      <c r="I769" t="e">
        <f>LOG(Table1[[#This Row],[Flux in SC / glucose uptake ($mmol/mmol\ glc$)]])</f>
        <v>#NUM!</v>
      </c>
      <c r="J769" t="e">
        <f>LOG(Table1[[#This Row],[Flux in RT / glucose uptake ($mmol/mmol\ glc$)]])</f>
        <v>#NUM!</v>
      </c>
    </row>
    <row r="770" spans="1:10" x14ac:dyDescent="0.2">
      <c r="A770" t="s">
        <v>773</v>
      </c>
      <c r="B770" t="s">
        <v>3135</v>
      </c>
      <c r="C770">
        <v>0</v>
      </c>
      <c r="D770">
        <v>0</v>
      </c>
      <c r="E770">
        <f>ABS(Table1[[#This Row],[Flux in SC / glucose uptake ($mmol/mmol\ glc$)]]-Table1[[#This Row],[Flux in RT / glucose uptake ($mmol/mmol\ glc$)]])/SQRT(2)</f>
        <v>0</v>
      </c>
      <c r="F770">
        <f>Table1[[#This Row],[distance from 45-degree line]]/MAX(Table1[[Flux in SC / glucose uptake ($mmol/mmol\ glc$)]:[Flux in RT / glucose uptake ($mmol/mmol\ glc$)]])</f>
        <v>0</v>
      </c>
      <c r="G770">
        <f>_xlfn.RANK.AVG(Table1[[#This Row],[Flux in SC / glucose uptake ($mmol/mmol\ glc$)]],Table1[Flux in SC / glucose uptake ($mmol/mmol\ glc$)])</f>
        <v>1310.5</v>
      </c>
      <c r="H770">
        <f>_xlfn.RANK.AVG(Table1[[#This Row],[Flux in RT / glucose uptake ($mmol/mmol\ glc$)]],Table1[Flux in RT / glucose uptake ($mmol/mmol\ glc$)])</f>
        <v>1290.5</v>
      </c>
      <c r="I770" t="e">
        <f>LOG(Table1[[#This Row],[Flux in SC / glucose uptake ($mmol/mmol\ glc$)]])</f>
        <v>#NUM!</v>
      </c>
      <c r="J770" t="e">
        <f>LOG(Table1[[#This Row],[Flux in RT / glucose uptake ($mmol/mmol\ glc$)]])</f>
        <v>#NUM!</v>
      </c>
    </row>
    <row r="771" spans="1:10" x14ac:dyDescent="0.2">
      <c r="A771" t="s">
        <v>774</v>
      </c>
      <c r="B771" t="s">
        <v>3135</v>
      </c>
      <c r="C771">
        <v>0</v>
      </c>
      <c r="D771">
        <v>0</v>
      </c>
      <c r="E771">
        <f>ABS(Table1[[#This Row],[Flux in SC / glucose uptake ($mmol/mmol\ glc$)]]-Table1[[#This Row],[Flux in RT / glucose uptake ($mmol/mmol\ glc$)]])/SQRT(2)</f>
        <v>0</v>
      </c>
      <c r="F771">
        <f>Table1[[#This Row],[distance from 45-degree line]]/MAX(Table1[[Flux in SC / glucose uptake ($mmol/mmol\ glc$)]:[Flux in RT / glucose uptake ($mmol/mmol\ glc$)]])</f>
        <v>0</v>
      </c>
      <c r="G771">
        <f>_xlfn.RANK.AVG(Table1[[#This Row],[Flux in SC / glucose uptake ($mmol/mmol\ glc$)]],Table1[Flux in SC / glucose uptake ($mmol/mmol\ glc$)])</f>
        <v>1310.5</v>
      </c>
      <c r="H771">
        <f>_xlfn.RANK.AVG(Table1[[#This Row],[Flux in RT / glucose uptake ($mmol/mmol\ glc$)]],Table1[Flux in RT / glucose uptake ($mmol/mmol\ glc$)])</f>
        <v>1290.5</v>
      </c>
      <c r="I771" t="e">
        <f>LOG(Table1[[#This Row],[Flux in SC / glucose uptake ($mmol/mmol\ glc$)]])</f>
        <v>#NUM!</v>
      </c>
      <c r="J771" t="e">
        <f>LOG(Table1[[#This Row],[Flux in RT / glucose uptake ($mmol/mmol\ glc$)]])</f>
        <v>#NUM!</v>
      </c>
    </row>
    <row r="772" spans="1:10" x14ac:dyDescent="0.2">
      <c r="A772" t="s">
        <v>775</v>
      </c>
      <c r="B772" t="s">
        <v>3135</v>
      </c>
      <c r="C772">
        <v>0</v>
      </c>
      <c r="D772">
        <v>0</v>
      </c>
      <c r="E772">
        <f>ABS(Table1[[#This Row],[Flux in SC / glucose uptake ($mmol/mmol\ glc$)]]-Table1[[#This Row],[Flux in RT / glucose uptake ($mmol/mmol\ glc$)]])/SQRT(2)</f>
        <v>0</v>
      </c>
      <c r="F772">
        <f>Table1[[#This Row],[distance from 45-degree line]]/MAX(Table1[[Flux in SC / glucose uptake ($mmol/mmol\ glc$)]:[Flux in RT / glucose uptake ($mmol/mmol\ glc$)]])</f>
        <v>0</v>
      </c>
      <c r="G772">
        <f>_xlfn.RANK.AVG(Table1[[#This Row],[Flux in SC / glucose uptake ($mmol/mmol\ glc$)]],Table1[Flux in SC / glucose uptake ($mmol/mmol\ glc$)])</f>
        <v>1310.5</v>
      </c>
      <c r="H772">
        <f>_xlfn.RANK.AVG(Table1[[#This Row],[Flux in RT / glucose uptake ($mmol/mmol\ glc$)]],Table1[Flux in RT / glucose uptake ($mmol/mmol\ glc$)])</f>
        <v>1290.5</v>
      </c>
      <c r="I772" t="e">
        <f>LOG(Table1[[#This Row],[Flux in SC / glucose uptake ($mmol/mmol\ glc$)]])</f>
        <v>#NUM!</v>
      </c>
      <c r="J772" t="e">
        <f>LOG(Table1[[#This Row],[Flux in RT / glucose uptake ($mmol/mmol\ glc$)]])</f>
        <v>#NUM!</v>
      </c>
    </row>
    <row r="773" spans="1:10" x14ac:dyDescent="0.2">
      <c r="A773" t="s">
        <v>776</v>
      </c>
      <c r="B773" t="s">
        <v>3135</v>
      </c>
      <c r="C773">
        <v>0</v>
      </c>
      <c r="D773">
        <v>0</v>
      </c>
      <c r="E773">
        <f>ABS(Table1[[#This Row],[Flux in SC / glucose uptake ($mmol/mmol\ glc$)]]-Table1[[#This Row],[Flux in RT / glucose uptake ($mmol/mmol\ glc$)]])/SQRT(2)</f>
        <v>0</v>
      </c>
      <c r="F773">
        <f>Table1[[#This Row],[distance from 45-degree line]]/MAX(Table1[[Flux in SC / glucose uptake ($mmol/mmol\ glc$)]:[Flux in RT / glucose uptake ($mmol/mmol\ glc$)]])</f>
        <v>0</v>
      </c>
      <c r="G773">
        <f>_xlfn.RANK.AVG(Table1[[#This Row],[Flux in SC / glucose uptake ($mmol/mmol\ glc$)]],Table1[Flux in SC / glucose uptake ($mmol/mmol\ glc$)])</f>
        <v>1310.5</v>
      </c>
      <c r="H773">
        <f>_xlfn.RANK.AVG(Table1[[#This Row],[Flux in RT / glucose uptake ($mmol/mmol\ glc$)]],Table1[Flux in RT / glucose uptake ($mmol/mmol\ glc$)])</f>
        <v>1290.5</v>
      </c>
      <c r="I773" t="e">
        <f>LOG(Table1[[#This Row],[Flux in SC / glucose uptake ($mmol/mmol\ glc$)]])</f>
        <v>#NUM!</v>
      </c>
      <c r="J773" t="e">
        <f>LOG(Table1[[#This Row],[Flux in RT / glucose uptake ($mmol/mmol\ glc$)]])</f>
        <v>#NUM!</v>
      </c>
    </row>
    <row r="774" spans="1:10" x14ac:dyDescent="0.2">
      <c r="A774" t="s">
        <v>777</v>
      </c>
      <c r="B774" t="s">
        <v>3135</v>
      </c>
      <c r="C774">
        <v>0</v>
      </c>
      <c r="D774">
        <v>0</v>
      </c>
      <c r="E774">
        <f>ABS(Table1[[#This Row],[Flux in SC / glucose uptake ($mmol/mmol\ glc$)]]-Table1[[#This Row],[Flux in RT / glucose uptake ($mmol/mmol\ glc$)]])/SQRT(2)</f>
        <v>0</v>
      </c>
      <c r="F774">
        <f>Table1[[#This Row],[distance from 45-degree line]]/MAX(Table1[[Flux in SC / glucose uptake ($mmol/mmol\ glc$)]:[Flux in RT / glucose uptake ($mmol/mmol\ glc$)]])</f>
        <v>0</v>
      </c>
      <c r="G774">
        <f>_xlfn.RANK.AVG(Table1[[#This Row],[Flux in SC / glucose uptake ($mmol/mmol\ glc$)]],Table1[Flux in SC / glucose uptake ($mmol/mmol\ glc$)])</f>
        <v>1310.5</v>
      </c>
      <c r="H774">
        <f>_xlfn.RANK.AVG(Table1[[#This Row],[Flux in RT / glucose uptake ($mmol/mmol\ glc$)]],Table1[Flux in RT / glucose uptake ($mmol/mmol\ glc$)])</f>
        <v>1290.5</v>
      </c>
      <c r="I774" t="e">
        <f>LOG(Table1[[#This Row],[Flux in SC / glucose uptake ($mmol/mmol\ glc$)]])</f>
        <v>#NUM!</v>
      </c>
      <c r="J774" t="e">
        <f>LOG(Table1[[#This Row],[Flux in RT / glucose uptake ($mmol/mmol\ glc$)]])</f>
        <v>#NUM!</v>
      </c>
    </row>
    <row r="775" spans="1:10" x14ac:dyDescent="0.2">
      <c r="A775" t="s">
        <v>778</v>
      </c>
      <c r="B775" t="s">
        <v>3135</v>
      </c>
      <c r="C775">
        <v>0</v>
      </c>
      <c r="D775">
        <v>0</v>
      </c>
      <c r="E775">
        <f>ABS(Table1[[#This Row],[Flux in SC / glucose uptake ($mmol/mmol\ glc$)]]-Table1[[#This Row],[Flux in RT / glucose uptake ($mmol/mmol\ glc$)]])/SQRT(2)</f>
        <v>0</v>
      </c>
      <c r="F775">
        <f>Table1[[#This Row],[distance from 45-degree line]]/MAX(Table1[[Flux in SC / glucose uptake ($mmol/mmol\ glc$)]:[Flux in RT / glucose uptake ($mmol/mmol\ glc$)]])</f>
        <v>0</v>
      </c>
      <c r="G775">
        <f>_xlfn.RANK.AVG(Table1[[#This Row],[Flux in SC / glucose uptake ($mmol/mmol\ glc$)]],Table1[Flux in SC / glucose uptake ($mmol/mmol\ glc$)])</f>
        <v>1310.5</v>
      </c>
      <c r="H775">
        <f>_xlfn.RANK.AVG(Table1[[#This Row],[Flux in RT / glucose uptake ($mmol/mmol\ glc$)]],Table1[Flux in RT / glucose uptake ($mmol/mmol\ glc$)])</f>
        <v>1290.5</v>
      </c>
      <c r="I775" t="e">
        <f>LOG(Table1[[#This Row],[Flux in SC / glucose uptake ($mmol/mmol\ glc$)]])</f>
        <v>#NUM!</v>
      </c>
      <c r="J775" t="e">
        <f>LOG(Table1[[#This Row],[Flux in RT / glucose uptake ($mmol/mmol\ glc$)]])</f>
        <v>#NUM!</v>
      </c>
    </row>
    <row r="776" spans="1:10" x14ac:dyDescent="0.2">
      <c r="A776" t="s">
        <v>779</v>
      </c>
      <c r="B776" t="s">
        <v>3135</v>
      </c>
      <c r="C776">
        <v>0</v>
      </c>
      <c r="D776">
        <v>0</v>
      </c>
      <c r="E776">
        <f>ABS(Table1[[#This Row],[Flux in SC / glucose uptake ($mmol/mmol\ glc$)]]-Table1[[#This Row],[Flux in RT / glucose uptake ($mmol/mmol\ glc$)]])/SQRT(2)</f>
        <v>0</v>
      </c>
      <c r="F776">
        <f>Table1[[#This Row],[distance from 45-degree line]]/MAX(Table1[[Flux in SC / glucose uptake ($mmol/mmol\ glc$)]:[Flux in RT / glucose uptake ($mmol/mmol\ glc$)]])</f>
        <v>0</v>
      </c>
      <c r="G776">
        <f>_xlfn.RANK.AVG(Table1[[#This Row],[Flux in SC / glucose uptake ($mmol/mmol\ glc$)]],Table1[Flux in SC / glucose uptake ($mmol/mmol\ glc$)])</f>
        <v>1310.5</v>
      </c>
      <c r="H776">
        <f>_xlfn.RANK.AVG(Table1[[#This Row],[Flux in RT / glucose uptake ($mmol/mmol\ glc$)]],Table1[Flux in RT / glucose uptake ($mmol/mmol\ glc$)])</f>
        <v>1290.5</v>
      </c>
      <c r="I776" t="e">
        <f>LOG(Table1[[#This Row],[Flux in SC / glucose uptake ($mmol/mmol\ glc$)]])</f>
        <v>#NUM!</v>
      </c>
      <c r="J776" t="e">
        <f>LOG(Table1[[#This Row],[Flux in RT / glucose uptake ($mmol/mmol\ glc$)]])</f>
        <v>#NUM!</v>
      </c>
    </row>
    <row r="777" spans="1:10" x14ac:dyDescent="0.2">
      <c r="A777" t="s">
        <v>780</v>
      </c>
      <c r="B777" t="s">
        <v>3135</v>
      </c>
      <c r="C777">
        <v>0</v>
      </c>
      <c r="D777">
        <v>0</v>
      </c>
      <c r="E777">
        <f>ABS(Table1[[#This Row],[Flux in SC / glucose uptake ($mmol/mmol\ glc$)]]-Table1[[#This Row],[Flux in RT / glucose uptake ($mmol/mmol\ glc$)]])/SQRT(2)</f>
        <v>0</v>
      </c>
      <c r="F777">
        <f>Table1[[#This Row],[distance from 45-degree line]]/MAX(Table1[[Flux in SC / glucose uptake ($mmol/mmol\ glc$)]:[Flux in RT / glucose uptake ($mmol/mmol\ glc$)]])</f>
        <v>0</v>
      </c>
      <c r="G777">
        <f>_xlfn.RANK.AVG(Table1[[#This Row],[Flux in SC / glucose uptake ($mmol/mmol\ glc$)]],Table1[Flux in SC / glucose uptake ($mmol/mmol\ glc$)])</f>
        <v>1310.5</v>
      </c>
      <c r="H777">
        <f>_xlfn.RANK.AVG(Table1[[#This Row],[Flux in RT / glucose uptake ($mmol/mmol\ glc$)]],Table1[Flux in RT / glucose uptake ($mmol/mmol\ glc$)])</f>
        <v>1290.5</v>
      </c>
      <c r="I777" t="e">
        <f>LOG(Table1[[#This Row],[Flux in SC / glucose uptake ($mmol/mmol\ glc$)]])</f>
        <v>#NUM!</v>
      </c>
      <c r="J777" t="e">
        <f>LOG(Table1[[#This Row],[Flux in RT / glucose uptake ($mmol/mmol\ glc$)]])</f>
        <v>#NUM!</v>
      </c>
    </row>
    <row r="778" spans="1:10" x14ac:dyDescent="0.2">
      <c r="A778" t="s">
        <v>781</v>
      </c>
      <c r="B778" t="s">
        <v>3135</v>
      </c>
      <c r="C778">
        <v>0</v>
      </c>
      <c r="D778">
        <v>0</v>
      </c>
      <c r="E778">
        <f>ABS(Table1[[#This Row],[Flux in SC / glucose uptake ($mmol/mmol\ glc$)]]-Table1[[#This Row],[Flux in RT / glucose uptake ($mmol/mmol\ glc$)]])/SQRT(2)</f>
        <v>0</v>
      </c>
      <c r="F778">
        <f>Table1[[#This Row],[distance from 45-degree line]]/MAX(Table1[[Flux in SC / glucose uptake ($mmol/mmol\ glc$)]:[Flux in RT / glucose uptake ($mmol/mmol\ glc$)]])</f>
        <v>0</v>
      </c>
      <c r="G778">
        <f>_xlfn.RANK.AVG(Table1[[#This Row],[Flux in SC / glucose uptake ($mmol/mmol\ glc$)]],Table1[Flux in SC / glucose uptake ($mmol/mmol\ glc$)])</f>
        <v>1310.5</v>
      </c>
      <c r="H778">
        <f>_xlfn.RANK.AVG(Table1[[#This Row],[Flux in RT / glucose uptake ($mmol/mmol\ glc$)]],Table1[Flux in RT / glucose uptake ($mmol/mmol\ glc$)])</f>
        <v>1290.5</v>
      </c>
      <c r="I778" t="e">
        <f>LOG(Table1[[#This Row],[Flux in SC / glucose uptake ($mmol/mmol\ glc$)]])</f>
        <v>#NUM!</v>
      </c>
      <c r="J778" t="e">
        <f>LOG(Table1[[#This Row],[Flux in RT / glucose uptake ($mmol/mmol\ glc$)]])</f>
        <v>#NUM!</v>
      </c>
    </row>
    <row r="779" spans="1:10" x14ac:dyDescent="0.2">
      <c r="A779" t="s">
        <v>782</v>
      </c>
      <c r="B779" t="s">
        <v>3135</v>
      </c>
      <c r="C779">
        <v>0</v>
      </c>
      <c r="D779">
        <v>0</v>
      </c>
      <c r="E779">
        <f>ABS(Table1[[#This Row],[Flux in SC / glucose uptake ($mmol/mmol\ glc$)]]-Table1[[#This Row],[Flux in RT / glucose uptake ($mmol/mmol\ glc$)]])/SQRT(2)</f>
        <v>0</v>
      </c>
      <c r="F779">
        <f>Table1[[#This Row],[distance from 45-degree line]]/MAX(Table1[[Flux in SC / glucose uptake ($mmol/mmol\ glc$)]:[Flux in RT / glucose uptake ($mmol/mmol\ glc$)]])</f>
        <v>0</v>
      </c>
      <c r="G779">
        <f>_xlfn.RANK.AVG(Table1[[#This Row],[Flux in SC / glucose uptake ($mmol/mmol\ glc$)]],Table1[Flux in SC / glucose uptake ($mmol/mmol\ glc$)])</f>
        <v>1310.5</v>
      </c>
      <c r="H779">
        <f>_xlfn.RANK.AVG(Table1[[#This Row],[Flux in RT / glucose uptake ($mmol/mmol\ glc$)]],Table1[Flux in RT / glucose uptake ($mmol/mmol\ glc$)])</f>
        <v>1290.5</v>
      </c>
      <c r="I779" t="e">
        <f>LOG(Table1[[#This Row],[Flux in SC / glucose uptake ($mmol/mmol\ glc$)]])</f>
        <v>#NUM!</v>
      </c>
      <c r="J779" t="e">
        <f>LOG(Table1[[#This Row],[Flux in RT / glucose uptake ($mmol/mmol\ glc$)]])</f>
        <v>#NUM!</v>
      </c>
    </row>
    <row r="780" spans="1:10" x14ac:dyDescent="0.2">
      <c r="A780" t="s">
        <v>783</v>
      </c>
      <c r="B780" t="s">
        <v>3135</v>
      </c>
      <c r="C780">
        <v>0</v>
      </c>
      <c r="D780">
        <v>0</v>
      </c>
      <c r="E780">
        <f>ABS(Table1[[#This Row],[Flux in SC / glucose uptake ($mmol/mmol\ glc$)]]-Table1[[#This Row],[Flux in RT / glucose uptake ($mmol/mmol\ glc$)]])/SQRT(2)</f>
        <v>0</v>
      </c>
      <c r="F780">
        <f>Table1[[#This Row],[distance from 45-degree line]]/MAX(Table1[[Flux in SC / glucose uptake ($mmol/mmol\ glc$)]:[Flux in RT / glucose uptake ($mmol/mmol\ glc$)]])</f>
        <v>0</v>
      </c>
      <c r="G780">
        <f>_xlfn.RANK.AVG(Table1[[#This Row],[Flux in SC / glucose uptake ($mmol/mmol\ glc$)]],Table1[Flux in SC / glucose uptake ($mmol/mmol\ glc$)])</f>
        <v>1310.5</v>
      </c>
      <c r="H780">
        <f>_xlfn.RANK.AVG(Table1[[#This Row],[Flux in RT / glucose uptake ($mmol/mmol\ glc$)]],Table1[Flux in RT / glucose uptake ($mmol/mmol\ glc$)])</f>
        <v>1290.5</v>
      </c>
      <c r="I780" t="e">
        <f>LOG(Table1[[#This Row],[Flux in SC / glucose uptake ($mmol/mmol\ glc$)]])</f>
        <v>#NUM!</v>
      </c>
      <c r="J780" t="e">
        <f>LOG(Table1[[#This Row],[Flux in RT / glucose uptake ($mmol/mmol\ glc$)]])</f>
        <v>#NUM!</v>
      </c>
    </row>
    <row r="781" spans="1:10" x14ac:dyDescent="0.2">
      <c r="A781" t="s">
        <v>784</v>
      </c>
      <c r="B781" t="s">
        <v>3135</v>
      </c>
      <c r="C781">
        <v>0</v>
      </c>
      <c r="D781">
        <v>0</v>
      </c>
      <c r="E781">
        <f>ABS(Table1[[#This Row],[Flux in SC / glucose uptake ($mmol/mmol\ glc$)]]-Table1[[#This Row],[Flux in RT / glucose uptake ($mmol/mmol\ glc$)]])/SQRT(2)</f>
        <v>0</v>
      </c>
      <c r="F781">
        <f>Table1[[#This Row],[distance from 45-degree line]]/MAX(Table1[[Flux in SC / glucose uptake ($mmol/mmol\ glc$)]:[Flux in RT / glucose uptake ($mmol/mmol\ glc$)]])</f>
        <v>0</v>
      </c>
      <c r="G781">
        <f>_xlfn.RANK.AVG(Table1[[#This Row],[Flux in SC / glucose uptake ($mmol/mmol\ glc$)]],Table1[Flux in SC / glucose uptake ($mmol/mmol\ glc$)])</f>
        <v>1310.5</v>
      </c>
      <c r="H781">
        <f>_xlfn.RANK.AVG(Table1[[#This Row],[Flux in RT / glucose uptake ($mmol/mmol\ glc$)]],Table1[Flux in RT / glucose uptake ($mmol/mmol\ glc$)])</f>
        <v>1290.5</v>
      </c>
      <c r="I781" t="e">
        <f>LOG(Table1[[#This Row],[Flux in SC / glucose uptake ($mmol/mmol\ glc$)]])</f>
        <v>#NUM!</v>
      </c>
      <c r="J781" t="e">
        <f>LOG(Table1[[#This Row],[Flux in RT / glucose uptake ($mmol/mmol\ glc$)]])</f>
        <v>#NUM!</v>
      </c>
    </row>
    <row r="782" spans="1:10" x14ac:dyDescent="0.2">
      <c r="A782" t="s">
        <v>785</v>
      </c>
      <c r="B782" t="s">
        <v>3135</v>
      </c>
      <c r="C782">
        <v>0</v>
      </c>
      <c r="D782">
        <v>0</v>
      </c>
      <c r="E782">
        <f>ABS(Table1[[#This Row],[Flux in SC / glucose uptake ($mmol/mmol\ glc$)]]-Table1[[#This Row],[Flux in RT / glucose uptake ($mmol/mmol\ glc$)]])/SQRT(2)</f>
        <v>0</v>
      </c>
      <c r="F782">
        <f>Table1[[#This Row],[distance from 45-degree line]]/MAX(Table1[[Flux in SC / glucose uptake ($mmol/mmol\ glc$)]:[Flux in RT / glucose uptake ($mmol/mmol\ glc$)]])</f>
        <v>0</v>
      </c>
      <c r="G782">
        <f>_xlfn.RANK.AVG(Table1[[#This Row],[Flux in SC / glucose uptake ($mmol/mmol\ glc$)]],Table1[Flux in SC / glucose uptake ($mmol/mmol\ glc$)])</f>
        <v>1310.5</v>
      </c>
      <c r="H782">
        <f>_xlfn.RANK.AVG(Table1[[#This Row],[Flux in RT / glucose uptake ($mmol/mmol\ glc$)]],Table1[Flux in RT / glucose uptake ($mmol/mmol\ glc$)])</f>
        <v>1290.5</v>
      </c>
      <c r="I782" t="e">
        <f>LOG(Table1[[#This Row],[Flux in SC / glucose uptake ($mmol/mmol\ glc$)]])</f>
        <v>#NUM!</v>
      </c>
      <c r="J782" t="e">
        <f>LOG(Table1[[#This Row],[Flux in RT / glucose uptake ($mmol/mmol\ glc$)]])</f>
        <v>#NUM!</v>
      </c>
    </row>
    <row r="783" spans="1:10" x14ac:dyDescent="0.2">
      <c r="A783" t="s">
        <v>786</v>
      </c>
      <c r="B783" t="s">
        <v>3135</v>
      </c>
      <c r="C783">
        <v>0</v>
      </c>
      <c r="D783">
        <v>0</v>
      </c>
      <c r="E783">
        <f>ABS(Table1[[#This Row],[Flux in SC / glucose uptake ($mmol/mmol\ glc$)]]-Table1[[#This Row],[Flux in RT / glucose uptake ($mmol/mmol\ glc$)]])/SQRT(2)</f>
        <v>0</v>
      </c>
      <c r="F783">
        <f>Table1[[#This Row],[distance from 45-degree line]]/MAX(Table1[[Flux in SC / glucose uptake ($mmol/mmol\ glc$)]:[Flux in RT / glucose uptake ($mmol/mmol\ glc$)]])</f>
        <v>0</v>
      </c>
      <c r="G783">
        <f>_xlfn.RANK.AVG(Table1[[#This Row],[Flux in SC / glucose uptake ($mmol/mmol\ glc$)]],Table1[Flux in SC / glucose uptake ($mmol/mmol\ glc$)])</f>
        <v>1310.5</v>
      </c>
      <c r="H783">
        <f>_xlfn.RANK.AVG(Table1[[#This Row],[Flux in RT / glucose uptake ($mmol/mmol\ glc$)]],Table1[Flux in RT / glucose uptake ($mmol/mmol\ glc$)])</f>
        <v>1290.5</v>
      </c>
      <c r="I783" t="e">
        <f>LOG(Table1[[#This Row],[Flux in SC / glucose uptake ($mmol/mmol\ glc$)]])</f>
        <v>#NUM!</v>
      </c>
      <c r="J783" t="e">
        <f>LOG(Table1[[#This Row],[Flux in RT / glucose uptake ($mmol/mmol\ glc$)]])</f>
        <v>#NUM!</v>
      </c>
    </row>
    <row r="784" spans="1:10" x14ac:dyDescent="0.2">
      <c r="A784" t="s">
        <v>787</v>
      </c>
      <c r="B784" t="s">
        <v>3135</v>
      </c>
      <c r="C784">
        <v>0</v>
      </c>
      <c r="D784">
        <v>0</v>
      </c>
      <c r="E784">
        <f>ABS(Table1[[#This Row],[Flux in SC / glucose uptake ($mmol/mmol\ glc$)]]-Table1[[#This Row],[Flux in RT / glucose uptake ($mmol/mmol\ glc$)]])/SQRT(2)</f>
        <v>0</v>
      </c>
      <c r="F784">
        <f>Table1[[#This Row],[distance from 45-degree line]]/MAX(Table1[[Flux in SC / glucose uptake ($mmol/mmol\ glc$)]:[Flux in RT / glucose uptake ($mmol/mmol\ glc$)]])</f>
        <v>0</v>
      </c>
      <c r="G784">
        <f>_xlfn.RANK.AVG(Table1[[#This Row],[Flux in SC / glucose uptake ($mmol/mmol\ glc$)]],Table1[Flux in SC / glucose uptake ($mmol/mmol\ glc$)])</f>
        <v>1310.5</v>
      </c>
      <c r="H784">
        <f>_xlfn.RANK.AVG(Table1[[#This Row],[Flux in RT / glucose uptake ($mmol/mmol\ glc$)]],Table1[Flux in RT / glucose uptake ($mmol/mmol\ glc$)])</f>
        <v>1290.5</v>
      </c>
      <c r="I784" t="e">
        <f>LOG(Table1[[#This Row],[Flux in SC / glucose uptake ($mmol/mmol\ glc$)]])</f>
        <v>#NUM!</v>
      </c>
      <c r="J784" t="e">
        <f>LOG(Table1[[#This Row],[Flux in RT / glucose uptake ($mmol/mmol\ glc$)]])</f>
        <v>#NUM!</v>
      </c>
    </row>
    <row r="785" spans="1:10" x14ac:dyDescent="0.2">
      <c r="A785" t="s">
        <v>788</v>
      </c>
      <c r="B785" t="s">
        <v>3135</v>
      </c>
      <c r="C785">
        <v>0</v>
      </c>
      <c r="D785">
        <v>0</v>
      </c>
      <c r="E785">
        <f>ABS(Table1[[#This Row],[Flux in SC / glucose uptake ($mmol/mmol\ glc$)]]-Table1[[#This Row],[Flux in RT / glucose uptake ($mmol/mmol\ glc$)]])/SQRT(2)</f>
        <v>0</v>
      </c>
      <c r="F785">
        <f>Table1[[#This Row],[distance from 45-degree line]]/MAX(Table1[[Flux in SC / glucose uptake ($mmol/mmol\ glc$)]:[Flux in RT / glucose uptake ($mmol/mmol\ glc$)]])</f>
        <v>0</v>
      </c>
      <c r="G785">
        <f>_xlfn.RANK.AVG(Table1[[#This Row],[Flux in SC / glucose uptake ($mmol/mmol\ glc$)]],Table1[Flux in SC / glucose uptake ($mmol/mmol\ glc$)])</f>
        <v>1310.5</v>
      </c>
      <c r="H785">
        <f>_xlfn.RANK.AVG(Table1[[#This Row],[Flux in RT / glucose uptake ($mmol/mmol\ glc$)]],Table1[Flux in RT / glucose uptake ($mmol/mmol\ glc$)])</f>
        <v>1290.5</v>
      </c>
      <c r="I785" t="e">
        <f>LOG(Table1[[#This Row],[Flux in SC / glucose uptake ($mmol/mmol\ glc$)]])</f>
        <v>#NUM!</v>
      </c>
      <c r="J785" t="e">
        <f>LOG(Table1[[#This Row],[Flux in RT / glucose uptake ($mmol/mmol\ glc$)]])</f>
        <v>#NUM!</v>
      </c>
    </row>
    <row r="786" spans="1:10" x14ac:dyDescent="0.2">
      <c r="A786" t="s">
        <v>789</v>
      </c>
      <c r="B786" t="s">
        <v>3135</v>
      </c>
      <c r="C786">
        <v>0</v>
      </c>
      <c r="D786">
        <v>0</v>
      </c>
      <c r="E786">
        <f>ABS(Table1[[#This Row],[Flux in SC / glucose uptake ($mmol/mmol\ glc$)]]-Table1[[#This Row],[Flux in RT / glucose uptake ($mmol/mmol\ glc$)]])/SQRT(2)</f>
        <v>0</v>
      </c>
      <c r="F786">
        <f>Table1[[#This Row],[distance from 45-degree line]]/MAX(Table1[[Flux in SC / glucose uptake ($mmol/mmol\ glc$)]:[Flux in RT / glucose uptake ($mmol/mmol\ glc$)]])</f>
        <v>0</v>
      </c>
      <c r="G786">
        <f>_xlfn.RANK.AVG(Table1[[#This Row],[Flux in SC / glucose uptake ($mmol/mmol\ glc$)]],Table1[Flux in SC / glucose uptake ($mmol/mmol\ glc$)])</f>
        <v>1310.5</v>
      </c>
      <c r="H786">
        <f>_xlfn.RANK.AVG(Table1[[#This Row],[Flux in RT / glucose uptake ($mmol/mmol\ glc$)]],Table1[Flux in RT / glucose uptake ($mmol/mmol\ glc$)])</f>
        <v>1290.5</v>
      </c>
      <c r="I786" t="e">
        <f>LOG(Table1[[#This Row],[Flux in SC / glucose uptake ($mmol/mmol\ glc$)]])</f>
        <v>#NUM!</v>
      </c>
      <c r="J786" t="e">
        <f>LOG(Table1[[#This Row],[Flux in RT / glucose uptake ($mmol/mmol\ glc$)]])</f>
        <v>#NUM!</v>
      </c>
    </row>
    <row r="787" spans="1:10" x14ac:dyDescent="0.2">
      <c r="A787" t="s">
        <v>790</v>
      </c>
      <c r="B787" t="s">
        <v>3135</v>
      </c>
      <c r="C787">
        <v>0</v>
      </c>
      <c r="D787">
        <v>0</v>
      </c>
      <c r="E787">
        <f>ABS(Table1[[#This Row],[Flux in SC / glucose uptake ($mmol/mmol\ glc$)]]-Table1[[#This Row],[Flux in RT / glucose uptake ($mmol/mmol\ glc$)]])/SQRT(2)</f>
        <v>0</v>
      </c>
      <c r="F787">
        <f>Table1[[#This Row],[distance from 45-degree line]]/MAX(Table1[[Flux in SC / glucose uptake ($mmol/mmol\ glc$)]:[Flux in RT / glucose uptake ($mmol/mmol\ glc$)]])</f>
        <v>0</v>
      </c>
      <c r="G787">
        <f>_xlfn.RANK.AVG(Table1[[#This Row],[Flux in SC / glucose uptake ($mmol/mmol\ glc$)]],Table1[Flux in SC / glucose uptake ($mmol/mmol\ glc$)])</f>
        <v>1310.5</v>
      </c>
      <c r="H787">
        <f>_xlfn.RANK.AVG(Table1[[#This Row],[Flux in RT / glucose uptake ($mmol/mmol\ glc$)]],Table1[Flux in RT / glucose uptake ($mmol/mmol\ glc$)])</f>
        <v>1290.5</v>
      </c>
      <c r="I787" t="e">
        <f>LOG(Table1[[#This Row],[Flux in SC / glucose uptake ($mmol/mmol\ glc$)]])</f>
        <v>#NUM!</v>
      </c>
      <c r="J787" t="e">
        <f>LOG(Table1[[#This Row],[Flux in RT / glucose uptake ($mmol/mmol\ glc$)]])</f>
        <v>#NUM!</v>
      </c>
    </row>
    <row r="788" spans="1:10" x14ac:dyDescent="0.2">
      <c r="A788" t="s">
        <v>791</v>
      </c>
      <c r="B788" t="s">
        <v>3135</v>
      </c>
      <c r="C788">
        <v>0</v>
      </c>
      <c r="D788">
        <v>0</v>
      </c>
      <c r="E788">
        <f>ABS(Table1[[#This Row],[Flux in SC / glucose uptake ($mmol/mmol\ glc$)]]-Table1[[#This Row],[Flux in RT / glucose uptake ($mmol/mmol\ glc$)]])/SQRT(2)</f>
        <v>0</v>
      </c>
      <c r="F788">
        <f>Table1[[#This Row],[distance from 45-degree line]]/MAX(Table1[[Flux in SC / glucose uptake ($mmol/mmol\ glc$)]:[Flux in RT / glucose uptake ($mmol/mmol\ glc$)]])</f>
        <v>0</v>
      </c>
      <c r="G788">
        <f>_xlfn.RANK.AVG(Table1[[#This Row],[Flux in SC / glucose uptake ($mmol/mmol\ glc$)]],Table1[Flux in SC / glucose uptake ($mmol/mmol\ glc$)])</f>
        <v>1310.5</v>
      </c>
      <c r="H788">
        <f>_xlfn.RANK.AVG(Table1[[#This Row],[Flux in RT / glucose uptake ($mmol/mmol\ glc$)]],Table1[Flux in RT / glucose uptake ($mmol/mmol\ glc$)])</f>
        <v>1290.5</v>
      </c>
      <c r="I788" t="e">
        <f>LOG(Table1[[#This Row],[Flux in SC / glucose uptake ($mmol/mmol\ glc$)]])</f>
        <v>#NUM!</v>
      </c>
      <c r="J788" t="e">
        <f>LOG(Table1[[#This Row],[Flux in RT / glucose uptake ($mmol/mmol\ glc$)]])</f>
        <v>#NUM!</v>
      </c>
    </row>
    <row r="789" spans="1:10" x14ac:dyDescent="0.2">
      <c r="A789" t="s">
        <v>792</v>
      </c>
      <c r="B789" t="s">
        <v>3135</v>
      </c>
      <c r="C789">
        <v>0</v>
      </c>
      <c r="D789">
        <v>0</v>
      </c>
      <c r="E789">
        <f>ABS(Table1[[#This Row],[Flux in SC / glucose uptake ($mmol/mmol\ glc$)]]-Table1[[#This Row],[Flux in RT / glucose uptake ($mmol/mmol\ glc$)]])/SQRT(2)</f>
        <v>0</v>
      </c>
      <c r="F789">
        <f>Table1[[#This Row],[distance from 45-degree line]]/MAX(Table1[[Flux in SC / glucose uptake ($mmol/mmol\ glc$)]:[Flux in RT / glucose uptake ($mmol/mmol\ glc$)]])</f>
        <v>0</v>
      </c>
      <c r="G789">
        <f>_xlfn.RANK.AVG(Table1[[#This Row],[Flux in SC / glucose uptake ($mmol/mmol\ glc$)]],Table1[Flux in SC / glucose uptake ($mmol/mmol\ glc$)])</f>
        <v>1310.5</v>
      </c>
      <c r="H789">
        <f>_xlfn.RANK.AVG(Table1[[#This Row],[Flux in RT / glucose uptake ($mmol/mmol\ glc$)]],Table1[Flux in RT / glucose uptake ($mmol/mmol\ glc$)])</f>
        <v>1290.5</v>
      </c>
      <c r="I789" t="e">
        <f>LOG(Table1[[#This Row],[Flux in SC / glucose uptake ($mmol/mmol\ glc$)]])</f>
        <v>#NUM!</v>
      </c>
      <c r="J789" t="e">
        <f>LOG(Table1[[#This Row],[Flux in RT / glucose uptake ($mmol/mmol\ glc$)]])</f>
        <v>#NUM!</v>
      </c>
    </row>
    <row r="790" spans="1:10" x14ac:dyDescent="0.2">
      <c r="A790" t="s">
        <v>793</v>
      </c>
      <c r="B790" t="s">
        <v>3135</v>
      </c>
      <c r="C790">
        <v>0</v>
      </c>
      <c r="D790">
        <v>0</v>
      </c>
      <c r="E790">
        <f>ABS(Table1[[#This Row],[Flux in SC / glucose uptake ($mmol/mmol\ glc$)]]-Table1[[#This Row],[Flux in RT / glucose uptake ($mmol/mmol\ glc$)]])/SQRT(2)</f>
        <v>0</v>
      </c>
      <c r="F790">
        <f>Table1[[#This Row],[distance from 45-degree line]]/MAX(Table1[[Flux in SC / glucose uptake ($mmol/mmol\ glc$)]:[Flux in RT / glucose uptake ($mmol/mmol\ glc$)]])</f>
        <v>0</v>
      </c>
      <c r="G790">
        <f>_xlfn.RANK.AVG(Table1[[#This Row],[Flux in SC / glucose uptake ($mmol/mmol\ glc$)]],Table1[Flux in SC / glucose uptake ($mmol/mmol\ glc$)])</f>
        <v>1310.5</v>
      </c>
      <c r="H790">
        <f>_xlfn.RANK.AVG(Table1[[#This Row],[Flux in RT / glucose uptake ($mmol/mmol\ glc$)]],Table1[Flux in RT / glucose uptake ($mmol/mmol\ glc$)])</f>
        <v>1290.5</v>
      </c>
      <c r="I790" t="e">
        <f>LOG(Table1[[#This Row],[Flux in SC / glucose uptake ($mmol/mmol\ glc$)]])</f>
        <v>#NUM!</v>
      </c>
      <c r="J790" t="e">
        <f>LOG(Table1[[#This Row],[Flux in RT / glucose uptake ($mmol/mmol\ glc$)]])</f>
        <v>#NUM!</v>
      </c>
    </row>
    <row r="791" spans="1:10" x14ac:dyDescent="0.2">
      <c r="A791" t="s">
        <v>794</v>
      </c>
      <c r="B791" t="s">
        <v>3135</v>
      </c>
      <c r="C791">
        <v>0</v>
      </c>
      <c r="D791">
        <v>0</v>
      </c>
      <c r="E791">
        <f>ABS(Table1[[#This Row],[Flux in SC / glucose uptake ($mmol/mmol\ glc$)]]-Table1[[#This Row],[Flux in RT / glucose uptake ($mmol/mmol\ glc$)]])/SQRT(2)</f>
        <v>0</v>
      </c>
      <c r="F791">
        <f>Table1[[#This Row],[distance from 45-degree line]]/MAX(Table1[[Flux in SC / glucose uptake ($mmol/mmol\ glc$)]:[Flux in RT / glucose uptake ($mmol/mmol\ glc$)]])</f>
        <v>0</v>
      </c>
      <c r="G791">
        <f>_xlfn.RANK.AVG(Table1[[#This Row],[Flux in SC / glucose uptake ($mmol/mmol\ glc$)]],Table1[Flux in SC / glucose uptake ($mmol/mmol\ glc$)])</f>
        <v>1310.5</v>
      </c>
      <c r="H791">
        <f>_xlfn.RANK.AVG(Table1[[#This Row],[Flux in RT / glucose uptake ($mmol/mmol\ glc$)]],Table1[Flux in RT / glucose uptake ($mmol/mmol\ glc$)])</f>
        <v>1290.5</v>
      </c>
      <c r="I791" t="e">
        <f>LOG(Table1[[#This Row],[Flux in SC / glucose uptake ($mmol/mmol\ glc$)]])</f>
        <v>#NUM!</v>
      </c>
      <c r="J791" t="e">
        <f>LOG(Table1[[#This Row],[Flux in RT / glucose uptake ($mmol/mmol\ glc$)]])</f>
        <v>#NUM!</v>
      </c>
    </row>
    <row r="792" spans="1:10" x14ac:dyDescent="0.2">
      <c r="A792" t="s">
        <v>795</v>
      </c>
      <c r="B792" t="s">
        <v>3135</v>
      </c>
      <c r="C792">
        <v>0</v>
      </c>
      <c r="D792">
        <v>0</v>
      </c>
      <c r="E792">
        <f>ABS(Table1[[#This Row],[Flux in SC / glucose uptake ($mmol/mmol\ glc$)]]-Table1[[#This Row],[Flux in RT / glucose uptake ($mmol/mmol\ glc$)]])/SQRT(2)</f>
        <v>0</v>
      </c>
      <c r="F792">
        <f>Table1[[#This Row],[distance from 45-degree line]]/MAX(Table1[[Flux in SC / glucose uptake ($mmol/mmol\ glc$)]:[Flux in RT / glucose uptake ($mmol/mmol\ glc$)]])</f>
        <v>0</v>
      </c>
      <c r="G792">
        <f>_xlfn.RANK.AVG(Table1[[#This Row],[Flux in SC / glucose uptake ($mmol/mmol\ glc$)]],Table1[Flux in SC / glucose uptake ($mmol/mmol\ glc$)])</f>
        <v>1310.5</v>
      </c>
      <c r="H792">
        <f>_xlfn.RANK.AVG(Table1[[#This Row],[Flux in RT / glucose uptake ($mmol/mmol\ glc$)]],Table1[Flux in RT / glucose uptake ($mmol/mmol\ glc$)])</f>
        <v>1290.5</v>
      </c>
      <c r="I792" t="e">
        <f>LOG(Table1[[#This Row],[Flux in SC / glucose uptake ($mmol/mmol\ glc$)]])</f>
        <v>#NUM!</v>
      </c>
      <c r="J792" t="e">
        <f>LOG(Table1[[#This Row],[Flux in RT / glucose uptake ($mmol/mmol\ glc$)]])</f>
        <v>#NUM!</v>
      </c>
    </row>
    <row r="793" spans="1:10" x14ac:dyDescent="0.2">
      <c r="A793" t="s">
        <v>796</v>
      </c>
      <c r="B793" t="s">
        <v>3135</v>
      </c>
      <c r="C793">
        <v>0</v>
      </c>
      <c r="D793">
        <v>0</v>
      </c>
      <c r="E793">
        <f>ABS(Table1[[#This Row],[Flux in SC / glucose uptake ($mmol/mmol\ glc$)]]-Table1[[#This Row],[Flux in RT / glucose uptake ($mmol/mmol\ glc$)]])/SQRT(2)</f>
        <v>0</v>
      </c>
      <c r="F793">
        <f>Table1[[#This Row],[distance from 45-degree line]]/MAX(Table1[[Flux in SC / glucose uptake ($mmol/mmol\ glc$)]:[Flux in RT / glucose uptake ($mmol/mmol\ glc$)]])</f>
        <v>0</v>
      </c>
      <c r="G793">
        <f>_xlfn.RANK.AVG(Table1[[#This Row],[Flux in SC / glucose uptake ($mmol/mmol\ glc$)]],Table1[Flux in SC / glucose uptake ($mmol/mmol\ glc$)])</f>
        <v>1310.5</v>
      </c>
      <c r="H793">
        <f>_xlfn.RANK.AVG(Table1[[#This Row],[Flux in RT / glucose uptake ($mmol/mmol\ glc$)]],Table1[Flux in RT / glucose uptake ($mmol/mmol\ glc$)])</f>
        <v>1290.5</v>
      </c>
      <c r="I793" t="e">
        <f>LOG(Table1[[#This Row],[Flux in SC / glucose uptake ($mmol/mmol\ glc$)]])</f>
        <v>#NUM!</v>
      </c>
      <c r="J793" t="e">
        <f>LOG(Table1[[#This Row],[Flux in RT / glucose uptake ($mmol/mmol\ glc$)]])</f>
        <v>#NUM!</v>
      </c>
    </row>
    <row r="794" spans="1:10" x14ac:dyDescent="0.2">
      <c r="A794" t="s">
        <v>797</v>
      </c>
      <c r="B794" t="s">
        <v>3135</v>
      </c>
      <c r="C794">
        <v>0</v>
      </c>
      <c r="D794">
        <v>0</v>
      </c>
      <c r="E794">
        <f>ABS(Table1[[#This Row],[Flux in SC / glucose uptake ($mmol/mmol\ glc$)]]-Table1[[#This Row],[Flux in RT / glucose uptake ($mmol/mmol\ glc$)]])/SQRT(2)</f>
        <v>0</v>
      </c>
      <c r="F794">
        <f>Table1[[#This Row],[distance from 45-degree line]]/MAX(Table1[[Flux in SC / glucose uptake ($mmol/mmol\ glc$)]:[Flux in RT / glucose uptake ($mmol/mmol\ glc$)]])</f>
        <v>0</v>
      </c>
      <c r="G794">
        <f>_xlfn.RANK.AVG(Table1[[#This Row],[Flux in SC / glucose uptake ($mmol/mmol\ glc$)]],Table1[Flux in SC / glucose uptake ($mmol/mmol\ glc$)])</f>
        <v>1310.5</v>
      </c>
      <c r="H794">
        <f>_xlfn.RANK.AVG(Table1[[#This Row],[Flux in RT / glucose uptake ($mmol/mmol\ glc$)]],Table1[Flux in RT / glucose uptake ($mmol/mmol\ glc$)])</f>
        <v>1290.5</v>
      </c>
      <c r="I794" t="e">
        <f>LOG(Table1[[#This Row],[Flux in SC / glucose uptake ($mmol/mmol\ glc$)]])</f>
        <v>#NUM!</v>
      </c>
      <c r="J794" t="e">
        <f>LOG(Table1[[#This Row],[Flux in RT / glucose uptake ($mmol/mmol\ glc$)]])</f>
        <v>#NUM!</v>
      </c>
    </row>
    <row r="795" spans="1:10" x14ac:dyDescent="0.2">
      <c r="A795" t="s">
        <v>798</v>
      </c>
      <c r="B795" t="s">
        <v>3135</v>
      </c>
      <c r="C795">
        <v>0</v>
      </c>
      <c r="D795">
        <v>0</v>
      </c>
      <c r="E795">
        <f>ABS(Table1[[#This Row],[Flux in SC / glucose uptake ($mmol/mmol\ glc$)]]-Table1[[#This Row],[Flux in RT / glucose uptake ($mmol/mmol\ glc$)]])/SQRT(2)</f>
        <v>0</v>
      </c>
      <c r="F795">
        <f>Table1[[#This Row],[distance from 45-degree line]]/MAX(Table1[[Flux in SC / glucose uptake ($mmol/mmol\ glc$)]:[Flux in RT / glucose uptake ($mmol/mmol\ glc$)]])</f>
        <v>0</v>
      </c>
      <c r="G795">
        <f>_xlfn.RANK.AVG(Table1[[#This Row],[Flux in SC / glucose uptake ($mmol/mmol\ glc$)]],Table1[Flux in SC / glucose uptake ($mmol/mmol\ glc$)])</f>
        <v>1310.5</v>
      </c>
      <c r="H795">
        <f>_xlfn.RANK.AVG(Table1[[#This Row],[Flux in RT / glucose uptake ($mmol/mmol\ glc$)]],Table1[Flux in RT / glucose uptake ($mmol/mmol\ glc$)])</f>
        <v>1290.5</v>
      </c>
      <c r="I795" t="e">
        <f>LOG(Table1[[#This Row],[Flux in SC / glucose uptake ($mmol/mmol\ glc$)]])</f>
        <v>#NUM!</v>
      </c>
      <c r="J795" t="e">
        <f>LOG(Table1[[#This Row],[Flux in RT / glucose uptake ($mmol/mmol\ glc$)]])</f>
        <v>#NUM!</v>
      </c>
    </row>
    <row r="796" spans="1:10" x14ac:dyDescent="0.2">
      <c r="A796" t="s">
        <v>799</v>
      </c>
      <c r="B796" t="s">
        <v>3135</v>
      </c>
      <c r="C796">
        <v>0</v>
      </c>
      <c r="D796">
        <v>0</v>
      </c>
      <c r="E796">
        <f>ABS(Table1[[#This Row],[Flux in SC / glucose uptake ($mmol/mmol\ glc$)]]-Table1[[#This Row],[Flux in RT / glucose uptake ($mmol/mmol\ glc$)]])/SQRT(2)</f>
        <v>0</v>
      </c>
      <c r="F796">
        <f>Table1[[#This Row],[distance from 45-degree line]]/MAX(Table1[[Flux in SC / glucose uptake ($mmol/mmol\ glc$)]:[Flux in RT / glucose uptake ($mmol/mmol\ glc$)]])</f>
        <v>0</v>
      </c>
      <c r="G796">
        <f>_xlfn.RANK.AVG(Table1[[#This Row],[Flux in SC / glucose uptake ($mmol/mmol\ glc$)]],Table1[Flux in SC / glucose uptake ($mmol/mmol\ glc$)])</f>
        <v>1310.5</v>
      </c>
      <c r="H796">
        <f>_xlfn.RANK.AVG(Table1[[#This Row],[Flux in RT / glucose uptake ($mmol/mmol\ glc$)]],Table1[Flux in RT / glucose uptake ($mmol/mmol\ glc$)])</f>
        <v>1290.5</v>
      </c>
      <c r="I796" t="e">
        <f>LOG(Table1[[#This Row],[Flux in SC / glucose uptake ($mmol/mmol\ glc$)]])</f>
        <v>#NUM!</v>
      </c>
      <c r="J796" t="e">
        <f>LOG(Table1[[#This Row],[Flux in RT / glucose uptake ($mmol/mmol\ glc$)]])</f>
        <v>#NUM!</v>
      </c>
    </row>
    <row r="797" spans="1:10" x14ac:dyDescent="0.2">
      <c r="A797" t="s">
        <v>800</v>
      </c>
      <c r="B797" t="s">
        <v>3135</v>
      </c>
      <c r="C797">
        <v>0</v>
      </c>
      <c r="D797">
        <v>0</v>
      </c>
      <c r="E797">
        <f>ABS(Table1[[#This Row],[Flux in SC / glucose uptake ($mmol/mmol\ glc$)]]-Table1[[#This Row],[Flux in RT / glucose uptake ($mmol/mmol\ glc$)]])/SQRT(2)</f>
        <v>0</v>
      </c>
      <c r="F797">
        <f>Table1[[#This Row],[distance from 45-degree line]]/MAX(Table1[[Flux in SC / glucose uptake ($mmol/mmol\ glc$)]:[Flux in RT / glucose uptake ($mmol/mmol\ glc$)]])</f>
        <v>0</v>
      </c>
      <c r="G797">
        <f>_xlfn.RANK.AVG(Table1[[#This Row],[Flux in SC / glucose uptake ($mmol/mmol\ glc$)]],Table1[Flux in SC / glucose uptake ($mmol/mmol\ glc$)])</f>
        <v>1310.5</v>
      </c>
      <c r="H797">
        <f>_xlfn.RANK.AVG(Table1[[#This Row],[Flux in RT / glucose uptake ($mmol/mmol\ glc$)]],Table1[Flux in RT / glucose uptake ($mmol/mmol\ glc$)])</f>
        <v>1290.5</v>
      </c>
      <c r="I797" t="e">
        <f>LOG(Table1[[#This Row],[Flux in SC / glucose uptake ($mmol/mmol\ glc$)]])</f>
        <v>#NUM!</v>
      </c>
      <c r="J797" t="e">
        <f>LOG(Table1[[#This Row],[Flux in RT / glucose uptake ($mmol/mmol\ glc$)]])</f>
        <v>#NUM!</v>
      </c>
    </row>
    <row r="798" spans="1:10" x14ac:dyDescent="0.2">
      <c r="A798" t="s">
        <v>801</v>
      </c>
      <c r="B798" t="s">
        <v>3135</v>
      </c>
      <c r="C798">
        <v>0</v>
      </c>
      <c r="D798">
        <v>0</v>
      </c>
      <c r="E798">
        <f>ABS(Table1[[#This Row],[Flux in SC / glucose uptake ($mmol/mmol\ glc$)]]-Table1[[#This Row],[Flux in RT / glucose uptake ($mmol/mmol\ glc$)]])/SQRT(2)</f>
        <v>0</v>
      </c>
      <c r="F798">
        <f>Table1[[#This Row],[distance from 45-degree line]]/MAX(Table1[[Flux in SC / glucose uptake ($mmol/mmol\ glc$)]:[Flux in RT / glucose uptake ($mmol/mmol\ glc$)]])</f>
        <v>0</v>
      </c>
      <c r="G798">
        <f>_xlfn.RANK.AVG(Table1[[#This Row],[Flux in SC / glucose uptake ($mmol/mmol\ glc$)]],Table1[Flux in SC / glucose uptake ($mmol/mmol\ glc$)])</f>
        <v>1310.5</v>
      </c>
      <c r="H798">
        <f>_xlfn.RANK.AVG(Table1[[#This Row],[Flux in RT / glucose uptake ($mmol/mmol\ glc$)]],Table1[Flux in RT / glucose uptake ($mmol/mmol\ glc$)])</f>
        <v>1290.5</v>
      </c>
      <c r="I798" t="e">
        <f>LOG(Table1[[#This Row],[Flux in SC / glucose uptake ($mmol/mmol\ glc$)]])</f>
        <v>#NUM!</v>
      </c>
      <c r="J798" t="e">
        <f>LOG(Table1[[#This Row],[Flux in RT / glucose uptake ($mmol/mmol\ glc$)]])</f>
        <v>#NUM!</v>
      </c>
    </row>
    <row r="799" spans="1:10" x14ac:dyDescent="0.2">
      <c r="A799" t="s">
        <v>802</v>
      </c>
      <c r="B799" t="s">
        <v>3135</v>
      </c>
      <c r="C799">
        <v>0</v>
      </c>
      <c r="D799">
        <v>0</v>
      </c>
      <c r="E799">
        <f>ABS(Table1[[#This Row],[Flux in SC / glucose uptake ($mmol/mmol\ glc$)]]-Table1[[#This Row],[Flux in RT / glucose uptake ($mmol/mmol\ glc$)]])/SQRT(2)</f>
        <v>0</v>
      </c>
      <c r="F799">
        <f>Table1[[#This Row],[distance from 45-degree line]]/MAX(Table1[[Flux in SC / glucose uptake ($mmol/mmol\ glc$)]:[Flux in RT / glucose uptake ($mmol/mmol\ glc$)]])</f>
        <v>0</v>
      </c>
      <c r="G799">
        <f>_xlfn.RANK.AVG(Table1[[#This Row],[Flux in SC / glucose uptake ($mmol/mmol\ glc$)]],Table1[Flux in SC / glucose uptake ($mmol/mmol\ glc$)])</f>
        <v>1310.5</v>
      </c>
      <c r="H799">
        <f>_xlfn.RANK.AVG(Table1[[#This Row],[Flux in RT / glucose uptake ($mmol/mmol\ glc$)]],Table1[Flux in RT / glucose uptake ($mmol/mmol\ glc$)])</f>
        <v>1290.5</v>
      </c>
      <c r="I799" t="e">
        <f>LOG(Table1[[#This Row],[Flux in SC / glucose uptake ($mmol/mmol\ glc$)]])</f>
        <v>#NUM!</v>
      </c>
      <c r="J799" t="e">
        <f>LOG(Table1[[#This Row],[Flux in RT / glucose uptake ($mmol/mmol\ glc$)]])</f>
        <v>#NUM!</v>
      </c>
    </row>
    <row r="800" spans="1:10" x14ac:dyDescent="0.2">
      <c r="A800" t="s">
        <v>803</v>
      </c>
      <c r="B800" t="s">
        <v>3135</v>
      </c>
      <c r="C800">
        <v>0</v>
      </c>
      <c r="D800">
        <v>0</v>
      </c>
      <c r="E800">
        <f>ABS(Table1[[#This Row],[Flux in SC / glucose uptake ($mmol/mmol\ glc$)]]-Table1[[#This Row],[Flux in RT / glucose uptake ($mmol/mmol\ glc$)]])/SQRT(2)</f>
        <v>0</v>
      </c>
      <c r="F800">
        <f>Table1[[#This Row],[distance from 45-degree line]]/MAX(Table1[[Flux in SC / glucose uptake ($mmol/mmol\ glc$)]:[Flux in RT / glucose uptake ($mmol/mmol\ glc$)]])</f>
        <v>0</v>
      </c>
      <c r="G800">
        <f>_xlfn.RANK.AVG(Table1[[#This Row],[Flux in SC / glucose uptake ($mmol/mmol\ glc$)]],Table1[Flux in SC / glucose uptake ($mmol/mmol\ glc$)])</f>
        <v>1310.5</v>
      </c>
      <c r="H800">
        <f>_xlfn.RANK.AVG(Table1[[#This Row],[Flux in RT / glucose uptake ($mmol/mmol\ glc$)]],Table1[Flux in RT / glucose uptake ($mmol/mmol\ glc$)])</f>
        <v>1290.5</v>
      </c>
      <c r="I800" t="e">
        <f>LOG(Table1[[#This Row],[Flux in SC / glucose uptake ($mmol/mmol\ glc$)]])</f>
        <v>#NUM!</v>
      </c>
      <c r="J800" t="e">
        <f>LOG(Table1[[#This Row],[Flux in RT / glucose uptake ($mmol/mmol\ glc$)]])</f>
        <v>#NUM!</v>
      </c>
    </row>
    <row r="801" spans="1:10" x14ac:dyDescent="0.2">
      <c r="A801" t="s">
        <v>804</v>
      </c>
      <c r="B801" t="s">
        <v>3135</v>
      </c>
      <c r="C801">
        <v>0</v>
      </c>
      <c r="D801">
        <v>0</v>
      </c>
      <c r="E801">
        <f>ABS(Table1[[#This Row],[Flux in SC / glucose uptake ($mmol/mmol\ glc$)]]-Table1[[#This Row],[Flux in RT / glucose uptake ($mmol/mmol\ glc$)]])/SQRT(2)</f>
        <v>0</v>
      </c>
      <c r="F801">
        <f>Table1[[#This Row],[distance from 45-degree line]]/MAX(Table1[[Flux in SC / glucose uptake ($mmol/mmol\ glc$)]:[Flux in RT / glucose uptake ($mmol/mmol\ glc$)]])</f>
        <v>0</v>
      </c>
      <c r="G801">
        <f>_xlfn.RANK.AVG(Table1[[#This Row],[Flux in SC / glucose uptake ($mmol/mmol\ glc$)]],Table1[Flux in SC / glucose uptake ($mmol/mmol\ glc$)])</f>
        <v>1310.5</v>
      </c>
      <c r="H801">
        <f>_xlfn.RANK.AVG(Table1[[#This Row],[Flux in RT / glucose uptake ($mmol/mmol\ glc$)]],Table1[Flux in RT / glucose uptake ($mmol/mmol\ glc$)])</f>
        <v>1290.5</v>
      </c>
      <c r="I801" t="e">
        <f>LOG(Table1[[#This Row],[Flux in SC / glucose uptake ($mmol/mmol\ glc$)]])</f>
        <v>#NUM!</v>
      </c>
      <c r="J801" t="e">
        <f>LOG(Table1[[#This Row],[Flux in RT / glucose uptake ($mmol/mmol\ glc$)]])</f>
        <v>#NUM!</v>
      </c>
    </row>
    <row r="802" spans="1:10" x14ac:dyDescent="0.2">
      <c r="A802" t="s">
        <v>805</v>
      </c>
      <c r="B802" t="s">
        <v>3135</v>
      </c>
      <c r="C802">
        <v>0</v>
      </c>
      <c r="D802">
        <v>0</v>
      </c>
      <c r="E802">
        <f>ABS(Table1[[#This Row],[Flux in SC / glucose uptake ($mmol/mmol\ glc$)]]-Table1[[#This Row],[Flux in RT / glucose uptake ($mmol/mmol\ glc$)]])/SQRT(2)</f>
        <v>0</v>
      </c>
      <c r="F802">
        <f>Table1[[#This Row],[distance from 45-degree line]]/MAX(Table1[[Flux in SC / glucose uptake ($mmol/mmol\ glc$)]:[Flux in RT / glucose uptake ($mmol/mmol\ glc$)]])</f>
        <v>0</v>
      </c>
      <c r="G802">
        <f>_xlfn.RANK.AVG(Table1[[#This Row],[Flux in SC / glucose uptake ($mmol/mmol\ glc$)]],Table1[Flux in SC / glucose uptake ($mmol/mmol\ glc$)])</f>
        <v>1310.5</v>
      </c>
      <c r="H802">
        <f>_xlfn.RANK.AVG(Table1[[#This Row],[Flux in RT / glucose uptake ($mmol/mmol\ glc$)]],Table1[Flux in RT / glucose uptake ($mmol/mmol\ glc$)])</f>
        <v>1290.5</v>
      </c>
      <c r="I802" t="e">
        <f>LOG(Table1[[#This Row],[Flux in SC / glucose uptake ($mmol/mmol\ glc$)]])</f>
        <v>#NUM!</v>
      </c>
      <c r="J802" t="e">
        <f>LOG(Table1[[#This Row],[Flux in RT / glucose uptake ($mmol/mmol\ glc$)]])</f>
        <v>#NUM!</v>
      </c>
    </row>
    <row r="803" spans="1:10" x14ac:dyDescent="0.2">
      <c r="A803" t="s">
        <v>806</v>
      </c>
      <c r="B803" t="s">
        <v>3135</v>
      </c>
      <c r="C803">
        <v>0</v>
      </c>
      <c r="D803">
        <v>0</v>
      </c>
      <c r="E803">
        <f>ABS(Table1[[#This Row],[Flux in SC / glucose uptake ($mmol/mmol\ glc$)]]-Table1[[#This Row],[Flux in RT / glucose uptake ($mmol/mmol\ glc$)]])/SQRT(2)</f>
        <v>0</v>
      </c>
      <c r="F803">
        <f>Table1[[#This Row],[distance from 45-degree line]]/MAX(Table1[[Flux in SC / glucose uptake ($mmol/mmol\ glc$)]:[Flux in RT / glucose uptake ($mmol/mmol\ glc$)]])</f>
        <v>0</v>
      </c>
      <c r="G803">
        <f>_xlfn.RANK.AVG(Table1[[#This Row],[Flux in SC / glucose uptake ($mmol/mmol\ glc$)]],Table1[Flux in SC / glucose uptake ($mmol/mmol\ glc$)])</f>
        <v>1310.5</v>
      </c>
      <c r="H803">
        <f>_xlfn.RANK.AVG(Table1[[#This Row],[Flux in RT / glucose uptake ($mmol/mmol\ glc$)]],Table1[Flux in RT / glucose uptake ($mmol/mmol\ glc$)])</f>
        <v>1290.5</v>
      </c>
      <c r="I803" t="e">
        <f>LOG(Table1[[#This Row],[Flux in SC / glucose uptake ($mmol/mmol\ glc$)]])</f>
        <v>#NUM!</v>
      </c>
      <c r="J803" t="e">
        <f>LOG(Table1[[#This Row],[Flux in RT / glucose uptake ($mmol/mmol\ glc$)]])</f>
        <v>#NUM!</v>
      </c>
    </row>
    <row r="804" spans="1:10" x14ac:dyDescent="0.2">
      <c r="A804" t="s">
        <v>807</v>
      </c>
      <c r="B804" t="s">
        <v>3135</v>
      </c>
      <c r="C804">
        <v>0</v>
      </c>
      <c r="D804">
        <v>0</v>
      </c>
      <c r="E804">
        <f>ABS(Table1[[#This Row],[Flux in SC / glucose uptake ($mmol/mmol\ glc$)]]-Table1[[#This Row],[Flux in RT / glucose uptake ($mmol/mmol\ glc$)]])/SQRT(2)</f>
        <v>0</v>
      </c>
      <c r="F804">
        <f>Table1[[#This Row],[distance from 45-degree line]]/MAX(Table1[[Flux in SC / glucose uptake ($mmol/mmol\ glc$)]:[Flux in RT / glucose uptake ($mmol/mmol\ glc$)]])</f>
        <v>0</v>
      </c>
      <c r="G804">
        <f>_xlfn.RANK.AVG(Table1[[#This Row],[Flux in SC / glucose uptake ($mmol/mmol\ glc$)]],Table1[Flux in SC / glucose uptake ($mmol/mmol\ glc$)])</f>
        <v>1310.5</v>
      </c>
      <c r="H804">
        <f>_xlfn.RANK.AVG(Table1[[#This Row],[Flux in RT / glucose uptake ($mmol/mmol\ glc$)]],Table1[Flux in RT / glucose uptake ($mmol/mmol\ glc$)])</f>
        <v>1290.5</v>
      </c>
      <c r="I804" t="e">
        <f>LOG(Table1[[#This Row],[Flux in SC / glucose uptake ($mmol/mmol\ glc$)]])</f>
        <v>#NUM!</v>
      </c>
      <c r="J804" t="e">
        <f>LOG(Table1[[#This Row],[Flux in RT / glucose uptake ($mmol/mmol\ glc$)]])</f>
        <v>#NUM!</v>
      </c>
    </row>
    <row r="805" spans="1:10" x14ac:dyDescent="0.2">
      <c r="A805" t="s">
        <v>808</v>
      </c>
      <c r="B805" t="s">
        <v>3135</v>
      </c>
      <c r="C805">
        <v>0</v>
      </c>
      <c r="D805">
        <v>0</v>
      </c>
      <c r="E805">
        <f>ABS(Table1[[#This Row],[Flux in SC / glucose uptake ($mmol/mmol\ glc$)]]-Table1[[#This Row],[Flux in RT / glucose uptake ($mmol/mmol\ glc$)]])/SQRT(2)</f>
        <v>0</v>
      </c>
      <c r="F805">
        <f>Table1[[#This Row],[distance from 45-degree line]]/MAX(Table1[[Flux in SC / glucose uptake ($mmol/mmol\ glc$)]:[Flux in RT / glucose uptake ($mmol/mmol\ glc$)]])</f>
        <v>0</v>
      </c>
      <c r="G805">
        <f>_xlfn.RANK.AVG(Table1[[#This Row],[Flux in SC / glucose uptake ($mmol/mmol\ glc$)]],Table1[Flux in SC / glucose uptake ($mmol/mmol\ glc$)])</f>
        <v>1310.5</v>
      </c>
      <c r="H805">
        <f>_xlfn.RANK.AVG(Table1[[#This Row],[Flux in RT / glucose uptake ($mmol/mmol\ glc$)]],Table1[Flux in RT / glucose uptake ($mmol/mmol\ glc$)])</f>
        <v>1290.5</v>
      </c>
      <c r="I805" t="e">
        <f>LOG(Table1[[#This Row],[Flux in SC / glucose uptake ($mmol/mmol\ glc$)]])</f>
        <v>#NUM!</v>
      </c>
      <c r="J805" t="e">
        <f>LOG(Table1[[#This Row],[Flux in RT / glucose uptake ($mmol/mmol\ glc$)]])</f>
        <v>#NUM!</v>
      </c>
    </row>
    <row r="806" spans="1:10" x14ac:dyDescent="0.2">
      <c r="A806" t="s">
        <v>809</v>
      </c>
      <c r="B806" t="s">
        <v>3135</v>
      </c>
      <c r="C806">
        <v>0</v>
      </c>
      <c r="D806">
        <v>0</v>
      </c>
      <c r="E806">
        <f>ABS(Table1[[#This Row],[Flux in SC / glucose uptake ($mmol/mmol\ glc$)]]-Table1[[#This Row],[Flux in RT / glucose uptake ($mmol/mmol\ glc$)]])/SQRT(2)</f>
        <v>0</v>
      </c>
      <c r="F806">
        <f>Table1[[#This Row],[distance from 45-degree line]]/MAX(Table1[[Flux in SC / glucose uptake ($mmol/mmol\ glc$)]:[Flux in RT / glucose uptake ($mmol/mmol\ glc$)]])</f>
        <v>0</v>
      </c>
      <c r="G806">
        <f>_xlfn.RANK.AVG(Table1[[#This Row],[Flux in SC / glucose uptake ($mmol/mmol\ glc$)]],Table1[Flux in SC / glucose uptake ($mmol/mmol\ glc$)])</f>
        <v>1310.5</v>
      </c>
      <c r="H806">
        <f>_xlfn.RANK.AVG(Table1[[#This Row],[Flux in RT / glucose uptake ($mmol/mmol\ glc$)]],Table1[Flux in RT / glucose uptake ($mmol/mmol\ glc$)])</f>
        <v>1290.5</v>
      </c>
      <c r="I806" t="e">
        <f>LOG(Table1[[#This Row],[Flux in SC / glucose uptake ($mmol/mmol\ glc$)]])</f>
        <v>#NUM!</v>
      </c>
      <c r="J806" t="e">
        <f>LOG(Table1[[#This Row],[Flux in RT / glucose uptake ($mmol/mmol\ glc$)]])</f>
        <v>#NUM!</v>
      </c>
    </row>
    <row r="807" spans="1:10" x14ac:dyDescent="0.2">
      <c r="A807" t="s">
        <v>810</v>
      </c>
      <c r="B807" t="s">
        <v>3122</v>
      </c>
      <c r="C807">
        <v>0</v>
      </c>
      <c r="D807">
        <v>0</v>
      </c>
      <c r="E807">
        <f>ABS(Table1[[#This Row],[Flux in SC / glucose uptake ($mmol/mmol\ glc$)]]-Table1[[#This Row],[Flux in RT / glucose uptake ($mmol/mmol\ glc$)]])/SQRT(2)</f>
        <v>0</v>
      </c>
      <c r="F807">
        <f>Table1[[#This Row],[distance from 45-degree line]]/MAX(Table1[[Flux in SC / glucose uptake ($mmol/mmol\ glc$)]:[Flux in RT / glucose uptake ($mmol/mmol\ glc$)]])</f>
        <v>0</v>
      </c>
      <c r="G807">
        <f>_xlfn.RANK.AVG(Table1[[#This Row],[Flux in SC / glucose uptake ($mmol/mmol\ glc$)]],Table1[Flux in SC / glucose uptake ($mmol/mmol\ glc$)])</f>
        <v>1310.5</v>
      </c>
      <c r="H807">
        <f>_xlfn.RANK.AVG(Table1[[#This Row],[Flux in RT / glucose uptake ($mmol/mmol\ glc$)]],Table1[Flux in RT / glucose uptake ($mmol/mmol\ glc$)])</f>
        <v>1290.5</v>
      </c>
      <c r="I807" t="e">
        <f>LOG(Table1[[#This Row],[Flux in SC / glucose uptake ($mmol/mmol\ glc$)]])</f>
        <v>#NUM!</v>
      </c>
      <c r="J807" t="e">
        <f>LOG(Table1[[#This Row],[Flux in RT / glucose uptake ($mmol/mmol\ glc$)]])</f>
        <v>#NUM!</v>
      </c>
    </row>
    <row r="808" spans="1:10" x14ac:dyDescent="0.2">
      <c r="A808" t="s">
        <v>811</v>
      </c>
      <c r="B808" t="s">
        <v>3122</v>
      </c>
      <c r="C808">
        <v>0</v>
      </c>
      <c r="D808">
        <v>0</v>
      </c>
      <c r="E808">
        <f>ABS(Table1[[#This Row],[Flux in SC / glucose uptake ($mmol/mmol\ glc$)]]-Table1[[#This Row],[Flux in RT / glucose uptake ($mmol/mmol\ glc$)]])/SQRT(2)</f>
        <v>0</v>
      </c>
      <c r="F808">
        <f>Table1[[#This Row],[distance from 45-degree line]]/MAX(Table1[[Flux in SC / glucose uptake ($mmol/mmol\ glc$)]:[Flux in RT / glucose uptake ($mmol/mmol\ glc$)]])</f>
        <v>0</v>
      </c>
      <c r="G808">
        <f>_xlfn.RANK.AVG(Table1[[#This Row],[Flux in SC / glucose uptake ($mmol/mmol\ glc$)]],Table1[Flux in SC / glucose uptake ($mmol/mmol\ glc$)])</f>
        <v>1310.5</v>
      </c>
      <c r="H808">
        <f>_xlfn.RANK.AVG(Table1[[#This Row],[Flux in RT / glucose uptake ($mmol/mmol\ glc$)]],Table1[Flux in RT / glucose uptake ($mmol/mmol\ glc$)])</f>
        <v>1290.5</v>
      </c>
      <c r="I808" t="e">
        <f>LOG(Table1[[#This Row],[Flux in SC / glucose uptake ($mmol/mmol\ glc$)]])</f>
        <v>#NUM!</v>
      </c>
      <c r="J808" t="e">
        <f>LOG(Table1[[#This Row],[Flux in RT / glucose uptake ($mmol/mmol\ glc$)]])</f>
        <v>#NUM!</v>
      </c>
    </row>
    <row r="809" spans="1:10" x14ac:dyDescent="0.2">
      <c r="A809" t="s">
        <v>812</v>
      </c>
      <c r="B809" t="s">
        <v>3122</v>
      </c>
      <c r="C809">
        <v>0</v>
      </c>
      <c r="D809">
        <v>0</v>
      </c>
      <c r="E809">
        <f>ABS(Table1[[#This Row],[Flux in SC / glucose uptake ($mmol/mmol\ glc$)]]-Table1[[#This Row],[Flux in RT / glucose uptake ($mmol/mmol\ glc$)]])/SQRT(2)</f>
        <v>0</v>
      </c>
      <c r="F809">
        <f>Table1[[#This Row],[distance from 45-degree line]]/MAX(Table1[[Flux in SC / glucose uptake ($mmol/mmol\ glc$)]:[Flux in RT / glucose uptake ($mmol/mmol\ glc$)]])</f>
        <v>0</v>
      </c>
      <c r="G809">
        <f>_xlfn.RANK.AVG(Table1[[#This Row],[Flux in SC / glucose uptake ($mmol/mmol\ glc$)]],Table1[Flux in SC / glucose uptake ($mmol/mmol\ glc$)])</f>
        <v>1310.5</v>
      </c>
      <c r="H809">
        <f>_xlfn.RANK.AVG(Table1[[#This Row],[Flux in RT / glucose uptake ($mmol/mmol\ glc$)]],Table1[Flux in RT / glucose uptake ($mmol/mmol\ glc$)])</f>
        <v>1290.5</v>
      </c>
      <c r="I809" t="e">
        <f>LOG(Table1[[#This Row],[Flux in SC / glucose uptake ($mmol/mmol\ glc$)]])</f>
        <v>#NUM!</v>
      </c>
      <c r="J809" t="e">
        <f>LOG(Table1[[#This Row],[Flux in RT / glucose uptake ($mmol/mmol\ glc$)]])</f>
        <v>#NUM!</v>
      </c>
    </row>
    <row r="810" spans="1:10" x14ac:dyDescent="0.2">
      <c r="A810" t="s">
        <v>813</v>
      </c>
      <c r="B810" t="s">
        <v>3122</v>
      </c>
      <c r="C810">
        <v>0</v>
      </c>
      <c r="D810">
        <v>0</v>
      </c>
      <c r="E810">
        <f>ABS(Table1[[#This Row],[Flux in SC / glucose uptake ($mmol/mmol\ glc$)]]-Table1[[#This Row],[Flux in RT / glucose uptake ($mmol/mmol\ glc$)]])/SQRT(2)</f>
        <v>0</v>
      </c>
      <c r="F810">
        <f>Table1[[#This Row],[distance from 45-degree line]]/MAX(Table1[[Flux in SC / glucose uptake ($mmol/mmol\ glc$)]:[Flux in RT / glucose uptake ($mmol/mmol\ glc$)]])</f>
        <v>0</v>
      </c>
      <c r="G810">
        <f>_xlfn.RANK.AVG(Table1[[#This Row],[Flux in SC / glucose uptake ($mmol/mmol\ glc$)]],Table1[Flux in SC / glucose uptake ($mmol/mmol\ glc$)])</f>
        <v>1310.5</v>
      </c>
      <c r="H810">
        <f>_xlfn.RANK.AVG(Table1[[#This Row],[Flux in RT / glucose uptake ($mmol/mmol\ glc$)]],Table1[Flux in RT / glucose uptake ($mmol/mmol\ glc$)])</f>
        <v>1290.5</v>
      </c>
      <c r="I810" t="e">
        <f>LOG(Table1[[#This Row],[Flux in SC / glucose uptake ($mmol/mmol\ glc$)]])</f>
        <v>#NUM!</v>
      </c>
      <c r="J810" t="e">
        <f>LOG(Table1[[#This Row],[Flux in RT / glucose uptake ($mmol/mmol\ glc$)]])</f>
        <v>#NUM!</v>
      </c>
    </row>
    <row r="811" spans="1:10" x14ac:dyDescent="0.2">
      <c r="A811" t="s">
        <v>814</v>
      </c>
      <c r="B811" t="s">
        <v>3134</v>
      </c>
      <c r="C811">
        <v>0</v>
      </c>
      <c r="D811">
        <v>0</v>
      </c>
      <c r="E811">
        <f>ABS(Table1[[#This Row],[Flux in SC / glucose uptake ($mmol/mmol\ glc$)]]-Table1[[#This Row],[Flux in RT / glucose uptake ($mmol/mmol\ glc$)]])/SQRT(2)</f>
        <v>0</v>
      </c>
      <c r="F811">
        <f>Table1[[#This Row],[distance from 45-degree line]]/MAX(Table1[[Flux in SC / glucose uptake ($mmol/mmol\ glc$)]:[Flux in RT / glucose uptake ($mmol/mmol\ glc$)]])</f>
        <v>0</v>
      </c>
      <c r="G811">
        <f>_xlfn.RANK.AVG(Table1[[#This Row],[Flux in SC / glucose uptake ($mmol/mmol\ glc$)]],Table1[Flux in SC / glucose uptake ($mmol/mmol\ glc$)])</f>
        <v>1310.5</v>
      </c>
      <c r="H811">
        <f>_xlfn.RANK.AVG(Table1[[#This Row],[Flux in RT / glucose uptake ($mmol/mmol\ glc$)]],Table1[Flux in RT / glucose uptake ($mmol/mmol\ glc$)])</f>
        <v>1290.5</v>
      </c>
      <c r="I811" t="e">
        <f>LOG(Table1[[#This Row],[Flux in SC / glucose uptake ($mmol/mmol\ glc$)]])</f>
        <v>#NUM!</v>
      </c>
      <c r="J811" t="e">
        <f>LOG(Table1[[#This Row],[Flux in RT / glucose uptake ($mmol/mmol\ glc$)]])</f>
        <v>#NUM!</v>
      </c>
    </row>
    <row r="812" spans="1:10" x14ac:dyDescent="0.2">
      <c r="A812" t="s">
        <v>815</v>
      </c>
      <c r="B812" t="s">
        <v>3125</v>
      </c>
      <c r="C812">
        <v>0</v>
      </c>
      <c r="D812">
        <v>0</v>
      </c>
      <c r="E812">
        <f>ABS(Table1[[#This Row],[Flux in SC / glucose uptake ($mmol/mmol\ glc$)]]-Table1[[#This Row],[Flux in RT / glucose uptake ($mmol/mmol\ glc$)]])/SQRT(2)</f>
        <v>0</v>
      </c>
      <c r="F812">
        <f>Table1[[#This Row],[distance from 45-degree line]]/MAX(Table1[[Flux in SC / glucose uptake ($mmol/mmol\ glc$)]:[Flux in RT / glucose uptake ($mmol/mmol\ glc$)]])</f>
        <v>0</v>
      </c>
      <c r="G812">
        <f>_xlfn.RANK.AVG(Table1[[#This Row],[Flux in SC / glucose uptake ($mmol/mmol\ glc$)]],Table1[Flux in SC / glucose uptake ($mmol/mmol\ glc$)])</f>
        <v>1310.5</v>
      </c>
      <c r="H812">
        <f>_xlfn.RANK.AVG(Table1[[#This Row],[Flux in RT / glucose uptake ($mmol/mmol\ glc$)]],Table1[Flux in RT / glucose uptake ($mmol/mmol\ glc$)])</f>
        <v>1290.5</v>
      </c>
      <c r="I812" t="e">
        <f>LOG(Table1[[#This Row],[Flux in SC / glucose uptake ($mmol/mmol\ glc$)]])</f>
        <v>#NUM!</v>
      </c>
      <c r="J812" t="e">
        <f>LOG(Table1[[#This Row],[Flux in RT / glucose uptake ($mmol/mmol\ glc$)]])</f>
        <v>#NUM!</v>
      </c>
    </row>
    <row r="813" spans="1:10" x14ac:dyDescent="0.2">
      <c r="A813" t="s">
        <v>816</v>
      </c>
      <c r="B813" t="s">
        <v>3134</v>
      </c>
      <c r="C813">
        <v>0</v>
      </c>
      <c r="D813">
        <v>0</v>
      </c>
      <c r="E813">
        <f>ABS(Table1[[#This Row],[Flux in SC / glucose uptake ($mmol/mmol\ glc$)]]-Table1[[#This Row],[Flux in RT / glucose uptake ($mmol/mmol\ glc$)]])/SQRT(2)</f>
        <v>0</v>
      </c>
      <c r="F813">
        <f>Table1[[#This Row],[distance from 45-degree line]]/MAX(Table1[[Flux in SC / glucose uptake ($mmol/mmol\ glc$)]:[Flux in RT / glucose uptake ($mmol/mmol\ glc$)]])</f>
        <v>0</v>
      </c>
      <c r="G813">
        <f>_xlfn.RANK.AVG(Table1[[#This Row],[Flux in SC / glucose uptake ($mmol/mmol\ glc$)]],Table1[Flux in SC / glucose uptake ($mmol/mmol\ glc$)])</f>
        <v>1310.5</v>
      </c>
      <c r="H813">
        <f>_xlfn.RANK.AVG(Table1[[#This Row],[Flux in RT / glucose uptake ($mmol/mmol\ glc$)]],Table1[Flux in RT / glucose uptake ($mmol/mmol\ glc$)])</f>
        <v>1290.5</v>
      </c>
      <c r="I813" t="e">
        <f>LOG(Table1[[#This Row],[Flux in SC / glucose uptake ($mmol/mmol\ glc$)]])</f>
        <v>#NUM!</v>
      </c>
      <c r="J813" t="e">
        <f>LOG(Table1[[#This Row],[Flux in RT / glucose uptake ($mmol/mmol\ glc$)]])</f>
        <v>#NUM!</v>
      </c>
    </row>
    <row r="814" spans="1:10" x14ac:dyDescent="0.2">
      <c r="A814" t="s">
        <v>817</v>
      </c>
      <c r="B814" t="s">
        <v>3181</v>
      </c>
      <c r="C814">
        <v>1.7864425384000082</v>
      </c>
      <c r="D814">
        <v>0.77060159266072981</v>
      </c>
      <c r="E814">
        <f>ABS(Table1[[#This Row],[Flux in SC / glucose uptake ($mmol/mmol\ glc$)]]-Table1[[#This Row],[Flux in RT / glucose uptake ($mmol/mmol\ glc$)]])/SQRT(2)</f>
        <v>0.71830802133919935</v>
      </c>
      <c r="F814">
        <f>Table1[[#This Row],[distance from 45-degree line]]/MAX(Table1[[Flux in SC / glucose uptake ($mmol/mmol\ glc$)]:[Flux in RT / glucose uptake ($mmol/mmol\ glc$)]])</f>
        <v>3.8715982713365855E-2</v>
      </c>
      <c r="G814">
        <f>_xlfn.RANK.AVG(Table1[[#This Row],[Flux in SC / glucose uptake ($mmol/mmol\ glc$)]],Table1[Flux in SC / glucose uptake ($mmol/mmol\ glc$)])</f>
        <v>5.5</v>
      </c>
      <c r="H814">
        <f>_xlfn.RANK.AVG(Table1[[#This Row],[Flux in RT / glucose uptake ($mmol/mmol\ glc$)]],Table1[Flux in RT / glucose uptake ($mmol/mmol\ glc$)])</f>
        <v>24.5</v>
      </c>
      <c r="I814">
        <f>LOG(Table1[[#This Row],[Flux in SC / glucose uptake ($mmol/mmol\ glc$)]])</f>
        <v>0.25198905151682927</v>
      </c>
      <c r="J814">
        <f>LOG(Table1[[#This Row],[Flux in RT / glucose uptake ($mmol/mmol\ glc$)]])</f>
        <v>-0.11317009773276131</v>
      </c>
    </row>
    <row r="815" spans="1:10" x14ac:dyDescent="0.2">
      <c r="A815" t="s">
        <v>818</v>
      </c>
      <c r="B815" t="s">
        <v>3155</v>
      </c>
      <c r="C815">
        <v>0</v>
      </c>
      <c r="D815">
        <v>0</v>
      </c>
      <c r="E815">
        <f>ABS(Table1[[#This Row],[Flux in SC / glucose uptake ($mmol/mmol\ glc$)]]-Table1[[#This Row],[Flux in RT / glucose uptake ($mmol/mmol\ glc$)]])/SQRT(2)</f>
        <v>0</v>
      </c>
      <c r="F815">
        <f>Table1[[#This Row],[distance from 45-degree line]]/MAX(Table1[[Flux in SC / glucose uptake ($mmol/mmol\ glc$)]:[Flux in RT / glucose uptake ($mmol/mmol\ glc$)]])</f>
        <v>0</v>
      </c>
      <c r="G815">
        <f>_xlfn.RANK.AVG(Table1[[#This Row],[Flux in SC / glucose uptake ($mmol/mmol\ glc$)]],Table1[Flux in SC / glucose uptake ($mmol/mmol\ glc$)])</f>
        <v>1310.5</v>
      </c>
      <c r="H815">
        <f>_xlfn.RANK.AVG(Table1[[#This Row],[Flux in RT / glucose uptake ($mmol/mmol\ glc$)]],Table1[Flux in RT / glucose uptake ($mmol/mmol\ glc$)])</f>
        <v>1290.5</v>
      </c>
      <c r="I815" t="e">
        <f>LOG(Table1[[#This Row],[Flux in SC / glucose uptake ($mmol/mmol\ glc$)]])</f>
        <v>#NUM!</v>
      </c>
      <c r="J815" t="e">
        <f>LOG(Table1[[#This Row],[Flux in RT / glucose uptake ($mmol/mmol\ glc$)]])</f>
        <v>#NUM!</v>
      </c>
    </row>
    <row r="816" spans="1:10" x14ac:dyDescent="0.2">
      <c r="A816" t="s">
        <v>819</v>
      </c>
      <c r="B816" t="s">
        <v>3114</v>
      </c>
      <c r="C816">
        <v>0</v>
      </c>
      <c r="D816">
        <v>0</v>
      </c>
      <c r="E816">
        <f>ABS(Table1[[#This Row],[Flux in SC / glucose uptake ($mmol/mmol\ glc$)]]-Table1[[#This Row],[Flux in RT / glucose uptake ($mmol/mmol\ glc$)]])/SQRT(2)</f>
        <v>0</v>
      </c>
      <c r="F816">
        <f>Table1[[#This Row],[distance from 45-degree line]]/MAX(Table1[[Flux in SC / glucose uptake ($mmol/mmol\ glc$)]:[Flux in RT / glucose uptake ($mmol/mmol\ glc$)]])</f>
        <v>0</v>
      </c>
      <c r="G816">
        <f>_xlfn.RANK.AVG(Table1[[#This Row],[Flux in SC / glucose uptake ($mmol/mmol\ glc$)]],Table1[Flux in SC / glucose uptake ($mmol/mmol\ glc$)])</f>
        <v>1310.5</v>
      </c>
      <c r="H816">
        <f>_xlfn.RANK.AVG(Table1[[#This Row],[Flux in RT / glucose uptake ($mmol/mmol\ glc$)]],Table1[Flux in RT / glucose uptake ($mmol/mmol\ glc$)])</f>
        <v>1290.5</v>
      </c>
      <c r="I816" t="e">
        <f>LOG(Table1[[#This Row],[Flux in SC / glucose uptake ($mmol/mmol\ glc$)]])</f>
        <v>#NUM!</v>
      </c>
      <c r="J816" t="e">
        <f>LOG(Table1[[#This Row],[Flux in RT / glucose uptake ($mmol/mmol\ glc$)]])</f>
        <v>#NUM!</v>
      </c>
    </row>
    <row r="817" spans="1:10" x14ac:dyDescent="0.2">
      <c r="A817" t="s">
        <v>820</v>
      </c>
      <c r="B817" t="s">
        <v>3114</v>
      </c>
      <c r="C817">
        <v>0</v>
      </c>
      <c r="D817">
        <v>0</v>
      </c>
      <c r="E817">
        <f>ABS(Table1[[#This Row],[Flux in SC / glucose uptake ($mmol/mmol\ glc$)]]-Table1[[#This Row],[Flux in RT / glucose uptake ($mmol/mmol\ glc$)]])/SQRT(2)</f>
        <v>0</v>
      </c>
      <c r="F817">
        <f>Table1[[#This Row],[distance from 45-degree line]]/MAX(Table1[[Flux in SC / glucose uptake ($mmol/mmol\ glc$)]:[Flux in RT / glucose uptake ($mmol/mmol\ glc$)]])</f>
        <v>0</v>
      </c>
      <c r="G817">
        <f>_xlfn.RANK.AVG(Table1[[#This Row],[Flux in SC / glucose uptake ($mmol/mmol\ glc$)]],Table1[Flux in SC / glucose uptake ($mmol/mmol\ glc$)])</f>
        <v>1310.5</v>
      </c>
      <c r="H817">
        <f>_xlfn.RANK.AVG(Table1[[#This Row],[Flux in RT / glucose uptake ($mmol/mmol\ glc$)]],Table1[Flux in RT / glucose uptake ($mmol/mmol\ glc$)])</f>
        <v>1290.5</v>
      </c>
      <c r="I817" t="e">
        <f>LOG(Table1[[#This Row],[Flux in SC / glucose uptake ($mmol/mmol\ glc$)]])</f>
        <v>#NUM!</v>
      </c>
      <c r="J817" t="e">
        <f>LOG(Table1[[#This Row],[Flux in RT / glucose uptake ($mmol/mmol\ glc$)]])</f>
        <v>#NUM!</v>
      </c>
    </row>
    <row r="818" spans="1:10" x14ac:dyDescent="0.2">
      <c r="A818" t="s">
        <v>821</v>
      </c>
      <c r="B818" t="s">
        <v>3114</v>
      </c>
      <c r="C818">
        <v>0</v>
      </c>
      <c r="D818">
        <v>0</v>
      </c>
      <c r="E818">
        <f>ABS(Table1[[#This Row],[Flux in SC / glucose uptake ($mmol/mmol\ glc$)]]-Table1[[#This Row],[Flux in RT / glucose uptake ($mmol/mmol\ glc$)]])/SQRT(2)</f>
        <v>0</v>
      </c>
      <c r="F818">
        <f>Table1[[#This Row],[distance from 45-degree line]]/MAX(Table1[[Flux in SC / glucose uptake ($mmol/mmol\ glc$)]:[Flux in RT / glucose uptake ($mmol/mmol\ glc$)]])</f>
        <v>0</v>
      </c>
      <c r="G818">
        <f>_xlfn.RANK.AVG(Table1[[#This Row],[Flux in SC / glucose uptake ($mmol/mmol\ glc$)]],Table1[Flux in SC / glucose uptake ($mmol/mmol\ glc$)])</f>
        <v>1310.5</v>
      </c>
      <c r="H818">
        <f>_xlfn.RANK.AVG(Table1[[#This Row],[Flux in RT / glucose uptake ($mmol/mmol\ glc$)]],Table1[Flux in RT / glucose uptake ($mmol/mmol\ glc$)])</f>
        <v>1290.5</v>
      </c>
      <c r="I818" t="e">
        <f>LOG(Table1[[#This Row],[Flux in SC / glucose uptake ($mmol/mmol\ glc$)]])</f>
        <v>#NUM!</v>
      </c>
      <c r="J818" t="e">
        <f>LOG(Table1[[#This Row],[Flux in RT / glucose uptake ($mmol/mmol\ glc$)]])</f>
        <v>#NUM!</v>
      </c>
    </row>
    <row r="819" spans="1:10" x14ac:dyDescent="0.2">
      <c r="A819" t="s">
        <v>822</v>
      </c>
      <c r="B819" t="s">
        <v>3114</v>
      </c>
      <c r="C819">
        <v>0</v>
      </c>
      <c r="D819">
        <v>0</v>
      </c>
      <c r="E819">
        <f>ABS(Table1[[#This Row],[Flux in SC / glucose uptake ($mmol/mmol\ glc$)]]-Table1[[#This Row],[Flux in RT / glucose uptake ($mmol/mmol\ glc$)]])/SQRT(2)</f>
        <v>0</v>
      </c>
      <c r="F819">
        <f>Table1[[#This Row],[distance from 45-degree line]]/MAX(Table1[[Flux in SC / glucose uptake ($mmol/mmol\ glc$)]:[Flux in RT / glucose uptake ($mmol/mmol\ glc$)]])</f>
        <v>0</v>
      </c>
      <c r="G819">
        <f>_xlfn.RANK.AVG(Table1[[#This Row],[Flux in SC / glucose uptake ($mmol/mmol\ glc$)]],Table1[Flux in SC / glucose uptake ($mmol/mmol\ glc$)])</f>
        <v>1310.5</v>
      </c>
      <c r="H819">
        <f>_xlfn.RANK.AVG(Table1[[#This Row],[Flux in RT / glucose uptake ($mmol/mmol\ glc$)]],Table1[Flux in RT / glucose uptake ($mmol/mmol\ glc$)])</f>
        <v>1290.5</v>
      </c>
      <c r="I819" t="e">
        <f>LOG(Table1[[#This Row],[Flux in SC / glucose uptake ($mmol/mmol\ glc$)]])</f>
        <v>#NUM!</v>
      </c>
      <c r="J819" t="e">
        <f>LOG(Table1[[#This Row],[Flux in RT / glucose uptake ($mmol/mmol\ glc$)]])</f>
        <v>#NUM!</v>
      </c>
    </row>
    <row r="820" spans="1:10" x14ac:dyDescent="0.2">
      <c r="A820" t="s">
        <v>823</v>
      </c>
      <c r="B820" t="s">
        <v>3114</v>
      </c>
      <c r="C820">
        <v>0</v>
      </c>
      <c r="D820">
        <v>0</v>
      </c>
      <c r="E820">
        <f>ABS(Table1[[#This Row],[Flux in SC / glucose uptake ($mmol/mmol\ glc$)]]-Table1[[#This Row],[Flux in RT / glucose uptake ($mmol/mmol\ glc$)]])/SQRT(2)</f>
        <v>0</v>
      </c>
      <c r="F820">
        <f>Table1[[#This Row],[distance from 45-degree line]]/MAX(Table1[[Flux in SC / glucose uptake ($mmol/mmol\ glc$)]:[Flux in RT / glucose uptake ($mmol/mmol\ glc$)]])</f>
        <v>0</v>
      </c>
      <c r="G820">
        <f>_xlfn.RANK.AVG(Table1[[#This Row],[Flux in SC / glucose uptake ($mmol/mmol\ glc$)]],Table1[Flux in SC / glucose uptake ($mmol/mmol\ glc$)])</f>
        <v>1310.5</v>
      </c>
      <c r="H820">
        <f>_xlfn.RANK.AVG(Table1[[#This Row],[Flux in RT / glucose uptake ($mmol/mmol\ glc$)]],Table1[Flux in RT / glucose uptake ($mmol/mmol\ glc$)])</f>
        <v>1290.5</v>
      </c>
      <c r="I820" t="e">
        <f>LOG(Table1[[#This Row],[Flux in SC / glucose uptake ($mmol/mmol\ glc$)]])</f>
        <v>#NUM!</v>
      </c>
      <c r="J820" t="e">
        <f>LOG(Table1[[#This Row],[Flux in RT / glucose uptake ($mmol/mmol\ glc$)]])</f>
        <v>#NUM!</v>
      </c>
    </row>
    <row r="821" spans="1:10" x14ac:dyDescent="0.2">
      <c r="A821" t="s">
        <v>824</v>
      </c>
      <c r="B821" t="s">
        <v>3125</v>
      </c>
      <c r="C821">
        <v>0</v>
      </c>
      <c r="D821">
        <v>0</v>
      </c>
      <c r="E821">
        <f>ABS(Table1[[#This Row],[Flux in SC / glucose uptake ($mmol/mmol\ glc$)]]-Table1[[#This Row],[Flux in RT / glucose uptake ($mmol/mmol\ glc$)]])/SQRT(2)</f>
        <v>0</v>
      </c>
      <c r="F821">
        <f>Table1[[#This Row],[distance from 45-degree line]]/MAX(Table1[[Flux in SC / glucose uptake ($mmol/mmol\ glc$)]:[Flux in RT / glucose uptake ($mmol/mmol\ glc$)]])</f>
        <v>0</v>
      </c>
      <c r="G821">
        <f>_xlfn.RANK.AVG(Table1[[#This Row],[Flux in SC / glucose uptake ($mmol/mmol\ glc$)]],Table1[Flux in SC / glucose uptake ($mmol/mmol\ glc$)])</f>
        <v>1310.5</v>
      </c>
      <c r="H821">
        <f>_xlfn.RANK.AVG(Table1[[#This Row],[Flux in RT / glucose uptake ($mmol/mmol\ glc$)]],Table1[Flux in RT / glucose uptake ($mmol/mmol\ glc$)])</f>
        <v>1290.5</v>
      </c>
      <c r="I821" t="e">
        <f>LOG(Table1[[#This Row],[Flux in SC / glucose uptake ($mmol/mmol\ glc$)]])</f>
        <v>#NUM!</v>
      </c>
      <c r="J821" t="e">
        <f>LOG(Table1[[#This Row],[Flux in RT / glucose uptake ($mmol/mmol\ glc$)]])</f>
        <v>#NUM!</v>
      </c>
    </row>
    <row r="822" spans="1:10" x14ac:dyDescent="0.2">
      <c r="A822" t="s">
        <v>825</v>
      </c>
      <c r="B822" t="s">
        <v>3114</v>
      </c>
      <c r="C822">
        <v>0</v>
      </c>
      <c r="D822">
        <v>0</v>
      </c>
      <c r="E822">
        <f>ABS(Table1[[#This Row],[Flux in SC / glucose uptake ($mmol/mmol\ glc$)]]-Table1[[#This Row],[Flux in RT / glucose uptake ($mmol/mmol\ glc$)]])/SQRT(2)</f>
        <v>0</v>
      </c>
      <c r="F822">
        <f>Table1[[#This Row],[distance from 45-degree line]]/MAX(Table1[[Flux in SC / glucose uptake ($mmol/mmol\ glc$)]:[Flux in RT / glucose uptake ($mmol/mmol\ glc$)]])</f>
        <v>0</v>
      </c>
      <c r="G822">
        <f>_xlfn.RANK.AVG(Table1[[#This Row],[Flux in SC / glucose uptake ($mmol/mmol\ glc$)]],Table1[Flux in SC / glucose uptake ($mmol/mmol\ glc$)])</f>
        <v>1310.5</v>
      </c>
      <c r="H822">
        <f>_xlfn.RANK.AVG(Table1[[#This Row],[Flux in RT / glucose uptake ($mmol/mmol\ glc$)]],Table1[Flux in RT / glucose uptake ($mmol/mmol\ glc$)])</f>
        <v>1290.5</v>
      </c>
      <c r="I822" t="e">
        <f>LOG(Table1[[#This Row],[Flux in SC / glucose uptake ($mmol/mmol\ glc$)]])</f>
        <v>#NUM!</v>
      </c>
      <c r="J822" t="e">
        <f>LOG(Table1[[#This Row],[Flux in RT / glucose uptake ($mmol/mmol\ glc$)]])</f>
        <v>#NUM!</v>
      </c>
    </row>
    <row r="823" spans="1:10" x14ac:dyDescent="0.2">
      <c r="A823" t="s">
        <v>826</v>
      </c>
      <c r="B823" t="s">
        <v>3114</v>
      </c>
      <c r="C823">
        <v>0</v>
      </c>
      <c r="D823">
        <v>0</v>
      </c>
      <c r="E823">
        <f>ABS(Table1[[#This Row],[Flux in SC / glucose uptake ($mmol/mmol\ glc$)]]-Table1[[#This Row],[Flux in RT / glucose uptake ($mmol/mmol\ glc$)]])/SQRT(2)</f>
        <v>0</v>
      </c>
      <c r="F823">
        <f>Table1[[#This Row],[distance from 45-degree line]]/MAX(Table1[[Flux in SC / glucose uptake ($mmol/mmol\ glc$)]:[Flux in RT / glucose uptake ($mmol/mmol\ glc$)]])</f>
        <v>0</v>
      </c>
      <c r="G823">
        <f>_xlfn.RANK.AVG(Table1[[#This Row],[Flux in SC / glucose uptake ($mmol/mmol\ glc$)]],Table1[Flux in SC / glucose uptake ($mmol/mmol\ glc$)])</f>
        <v>1310.5</v>
      </c>
      <c r="H823">
        <f>_xlfn.RANK.AVG(Table1[[#This Row],[Flux in RT / glucose uptake ($mmol/mmol\ glc$)]],Table1[Flux in RT / glucose uptake ($mmol/mmol\ glc$)])</f>
        <v>1290.5</v>
      </c>
      <c r="I823" t="e">
        <f>LOG(Table1[[#This Row],[Flux in SC / glucose uptake ($mmol/mmol\ glc$)]])</f>
        <v>#NUM!</v>
      </c>
      <c r="J823" t="e">
        <f>LOG(Table1[[#This Row],[Flux in RT / glucose uptake ($mmol/mmol\ glc$)]])</f>
        <v>#NUM!</v>
      </c>
    </row>
    <row r="824" spans="1:10" x14ac:dyDescent="0.2">
      <c r="A824" t="s">
        <v>827</v>
      </c>
      <c r="B824" t="s">
        <v>3114</v>
      </c>
      <c r="C824">
        <v>0</v>
      </c>
      <c r="D824">
        <v>0</v>
      </c>
      <c r="E824">
        <f>ABS(Table1[[#This Row],[Flux in SC / glucose uptake ($mmol/mmol\ glc$)]]-Table1[[#This Row],[Flux in RT / glucose uptake ($mmol/mmol\ glc$)]])/SQRT(2)</f>
        <v>0</v>
      </c>
      <c r="F824">
        <f>Table1[[#This Row],[distance from 45-degree line]]/MAX(Table1[[Flux in SC / glucose uptake ($mmol/mmol\ glc$)]:[Flux in RT / glucose uptake ($mmol/mmol\ glc$)]])</f>
        <v>0</v>
      </c>
      <c r="G824">
        <f>_xlfn.RANK.AVG(Table1[[#This Row],[Flux in SC / glucose uptake ($mmol/mmol\ glc$)]],Table1[Flux in SC / glucose uptake ($mmol/mmol\ glc$)])</f>
        <v>1310.5</v>
      </c>
      <c r="H824">
        <f>_xlfn.RANK.AVG(Table1[[#This Row],[Flux in RT / glucose uptake ($mmol/mmol\ glc$)]],Table1[Flux in RT / glucose uptake ($mmol/mmol\ glc$)])</f>
        <v>1290.5</v>
      </c>
      <c r="I824" t="e">
        <f>LOG(Table1[[#This Row],[Flux in SC / glucose uptake ($mmol/mmol\ glc$)]])</f>
        <v>#NUM!</v>
      </c>
      <c r="J824" t="e">
        <f>LOG(Table1[[#This Row],[Flux in RT / glucose uptake ($mmol/mmol\ glc$)]])</f>
        <v>#NUM!</v>
      </c>
    </row>
    <row r="825" spans="1:10" x14ac:dyDescent="0.2">
      <c r="A825" t="s">
        <v>828</v>
      </c>
      <c r="B825" t="s">
        <v>3114</v>
      </c>
      <c r="C825">
        <v>0</v>
      </c>
      <c r="D825">
        <v>0</v>
      </c>
      <c r="E825">
        <f>ABS(Table1[[#This Row],[Flux in SC / glucose uptake ($mmol/mmol\ glc$)]]-Table1[[#This Row],[Flux in RT / glucose uptake ($mmol/mmol\ glc$)]])/SQRT(2)</f>
        <v>0</v>
      </c>
      <c r="F825">
        <f>Table1[[#This Row],[distance from 45-degree line]]/MAX(Table1[[Flux in SC / glucose uptake ($mmol/mmol\ glc$)]:[Flux in RT / glucose uptake ($mmol/mmol\ glc$)]])</f>
        <v>0</v>
      </c>
      <c r="G825">
        <f>_xlfn.RANK.AVG(Table1[[#This Row],[Flux in SC / glucose uptake ($mmol/mmol\ glc$)]],Table1[Flux in SC / glucose uptake ($mmol/mmol\ glc$)])</f>
        <v>1310.5</v>
      </c>
      <c r="H825">
        <f>_xlfn.RANK.AVG(Table1[[#This Row],[Flux in RT / glucose uptake ($mmol/mmol\ glc$)]],Table1[Flux in RT / glucose uptake ($mmol/mmol\ glc$)])</f>
        <v>1290.5</v>
      </c>
      <c r="I825" t="e">
        <f>LOG(Table1[[#This Row],[Flux in SC / glucose uptake ($mmol/mmol\ glc$)]])</f>
        <v>#NUM!</v>
      </c>
      <c r="J825" t="e">
        <f>LOG(Table1[[#This Row],[Flux in RT / glucose uptake ($mmol/mmol\ glc$)]])</f>
        <v>#NUM!</v>
      </c>
    </row>
    <row r="826" spans="1:10" x14ac:dyDescent="0.2">
      <c r="A826" t="s">
        <v>829</v>
      </c>
      <c r="B826" t="s">
        <v>3114</v>
      </c>
      <c r="C826">
        <v>0</v>
      </c>
      <c r="D826">
        <v>0</v>
      </c>
      <c r="E826">
        <f>ABS(Table1[[#This Row],[Flux in SC / glucose uptake ($mmol/mmol\ glc$)]]-Table1[[#This Row],[Flux in RT / glucose uptake ($mmol/mmol\ glc$)]])/SQRT(2)</f>
        <v>0</v>
      </c>
      <c r="F826">
        <f>Table1[[#This Row],[distance from 45-degree line]]/MAX(Table1[[Flux in SC / glucose uptake ($mmol/mmol\ glc$)]:[Flux in RT / glucose uptake ($mmol/mmol\ glc$)]])</f>
        <v>0</v>
      </c>
      <c r="G826">
        <f>_xlfn.RANK.AVG(Table1[[#This Row],[Flux in SC / glucose uptake ($mmol/mmol\ glc$)]],Table1[Flux in SC / glucose uptake ($mmol/mmol\ glc$)])</f>
        <v>1310.5</v>
      </c>
      <c r="H826">
        <f>_xlfn.RANK.AVG(Table1[[#This Row],[Flux in RT / glucose uptake ($mmol/mmol\ glc$)]],Table1[Flux in RT / glucose uptake ($mmol/mmol\ glc$)])</f>
        <v>1290.5</v>
      </c>
      <c r="I826" t="e">
        <f>LOG(Table1[[#This Row],[Flux in SC / glucose uptake ($mmol/mmol\ glc$)]])</f>
        <v>#NUM!</v>
      </c>
      <c r="J826" t="e">
        <f>LOG(Table1[[#This Row],[Flux in RT / glucose uptake ($mmol/mmol\ glc$)]])</f>
        <v>#NUM!</v>
      </c>
    </row>
    <row r="827" spans="1:10" x14ac:dyDescent="0.2">
      <c r="A827" t="s">
        <v>830</v>
      </c>
      <c r="B827" t="s">
        <v>3114</v>
      </c>
      <c r="C827">
        <v>0</v>
      </c>
      <c r="D827">
        <v>0</v>
      </c>
      <c r="E827">
        <f>ABS(Table1[[#This Row],[Flux in SC / glucose uptake ($mmol/mmol\ glc$)]]-Table1[[#This Row],[Flux in RT / glucose uptake ($mmol/mmol\ glc$)]])/SQRT(2)</f>
        <v>0</v>
      </c>
      <c r="F827">
        <f>Table1[[#This Row],[distance from 45-degree line]]/MAX(Table1[[Flux in SC / glucose uptake ($mmol/mmol\ glc$)]:[Flux in RT / glucose uptake ($mmol/mmol\ glc$)]])</f>
        <v>0</v>
      </c>
      <c r="G827">
        <f>_xlfn.RANK.AVG(Table1[[#This Row],[Flux in SC / glucose uptake ($mmol/mmol\ glc$)]],Table1[Flux in SC / glucose uptake ($mmol/mmol\ glc$)])</f>
        <v>1310.5</v>
      </c>
      <c r="H827">
        <f>_xlfn.RANK.AVG(Table1[[#This Row],[Flux in RT / glucose uptake ($mmol/mmol\ glc$)]],Table1[Flux in RT / glucose uptake ($mmol/mmol\ glc$)])</f>
        <v>1290.5</v>
      </c>
      <c r="I827" t="e">
        <f>LOG(Table1[[#This Row],[Flux in SC / glucose uptake ($mmol/mmol\ glc$)]])</f>
        <v>#NUM!</v>
      </c>
      <c r="J827" t="e">
        <f>LOG(Table1[[#This Row],[Flux in RT / glucose uptake ($mmol/mmol\ glc$)]])</f>
        <v>#NUM!</v>
      </c>
    </row>
    <row r="828" spans="1:10" x14ac:dyDescent="0.2">
      <c r="A828" t="s">
        <v>831</v>
      </c>
      <c r="B828" t="s">
        <v>3114</v>
      </c>
      <c r="C828">
        <v>0</v>
      </c>
      <c r="D828">
        <v>0</v>
      </c>
      <c r="E828">
        <f>ABS(Table1[[#This Row],[Flux in SC / glucose uptake ($mmol/mmol\ glc$)]]-Table1[[#This Row],[Flux in RT / glucose uptake ($mmol/mmol\ glc$)]])/SQRT(2)</f>
        <v>0</v>
      </c>
      <c r="F828">
        <f>Table1[[#This Row],[distance from 45-degree line]]/MAX(Table1[[Flux in SC / glucose uptake ($mmol/mmol\ glc$)]:[Flux in RT / glucose uptake ($mmol/mmol\ glc$)]])</f>
        <v>0</v>
      </c>
      <c r="G828">
        <f>_xlfn.RANK.AVG(Table1[[#This Row],[Flux in SC / glucose uptake ($mmol/mmol\ glc$)]],Table1[Flux in SC / glucose uptake ($mmol/mmol\ glc$)])</f>
        <v>1310.5</v>
      </c>
      <c r="H828">
        <f>_xlfn.RANK.AVG(Table1[[#This Row],[Flux in RT / glucose uptake ($mmol/mmol\ glc$)]],Table1[Flux in RT / glucose uptake ($mmol/mmol\ glc$)])</f>
        <v>1290.5</v>
      </c>
      <c r="I828" t="e">
        <f>LOG(Table1[[#This Row],[Flux in SC / glucose uptake ($mmol/mmol\ glc$)]])</f>
        <v>#NUM!</v>
      </c>
      <c r="J828" t="e">
        <f>LOG(Table1[[#This Row],[Flux in RT / glucose uptake ($mmol/mmol\ glc$)]])</f>
        <v>#NUM!</v>
      </c>
    </row>
    <row r="829" spans="1:10" x14ac:dyDescent="0.2">
      <c r="A829" t="s">
        <v>832</v>
      </c>
      <c r="B829" t="s">
        <v>3114</v>
      </c>
      <c r="C829">
        <v>0</v>
      </c>
      <c r="D829">
        <v>0</v>
      </c>
      <c r="E829">
        <f>ABS(Table1[[#This Row],[Flux in SC / glucose uptake ($mmol/mmol\ glc$)]]-Table1[[#This Row],[Flux in RT / glucose uptake ($mmol/mmol\ glc$)]])/SQRT(2)</f>
        <v>0</v>
      </c>
      <c r="F829">
        <f>Table1[[#This Row],[distance from 45-degree line]]/MAX(Table1[[Flux in SC / glucose uptake ($mmol/mmol\ glc$)]:[Flux in RT / glucose uptake ($mmol/mmol\ glc$)]])</f>
        <v>0</v>
      </c>
      <c r="G829">
        <f>_xlfn.RANK.AVG(Table1[[#This Row],[Flux in SC / glucose uptake ($mmol/mmol\ glc$)]],Table1[Flux in SC / glucose uptake ($mmol/mmol\ glc$)])</f>
        <v>1310.5</v>
      </c>
      <c r="H829">
        <f>_xlfn.RANK.AVG(Table1[[#This Row],[Flux in RT / glucose uptake ($mmol/mmol\ glc$)]],Table1[Flux in RT / glucose uptake ($mmol/mmol\ glc$)])</f>
        <v>1290.5</v>
      </c>
      <c r="I829" t="e">
        <f>LOG(Table1[[#This Row],[Flux in SC / glucose uptake ($mmol/mmol\ glc$)]])</f>
        <v>#NUM!</v>
      </c>
      <c r="J829" t="e">
        <f>LOG(Table1[[#This Row],[Flux in RT / glucose uptake ($mmol/mmol\ glc$)]])</f>
        <v>#NUM!</v>
      </c>
    </row>
    <row r="830" spans="1:10" x14ac:dyDescent="0.2">
      <c r="A830" t="s">
        <v>833</v>
      </c>
      <c r="B830" t="s">
        <v>3163</v>
      </c>
      <c r="C830">
        <v>0</v>
      </c>
      <c r="D830">
        <v>0</v>
      </c>
      <c r="E830">
        <f>ABS(Table1[[#This Row],[Flux in SC / glucose uptake ($mmol/mmol\ glc$)]]-Table1[[#This Row],[Flux in RT / glucose uptake ($mmol/mmol\ glc$)]])/SQRT(2)</f>
        <v>0</v>
      </c>
      <c r="F830">
        <f>Table1[[#This Row],[distance from 45-degree line]]/MAX(Table1[[Flux in SC / glucose uptake ($mmol/mmol\ glc$)]:[Flux in RT / glucose uptake ($mmol/mmol\ glc$)]])</f>
        <v>0</v>
      </c>
      <c r="G830">
        <f>_xlfn.RANK.AVG(Table1[[#This Row],[Flux in SC / glucose uptake ($mmol/mmol\ glc$)]],Table1[Flux in SC / glucose uptake ($mmol/mmol\ glc$)])</f>
        <v>1310.5</v>
      </c>
      <c r="H830">
        <f>_xlfn.RANK.AVG(Table1[[#This Row],[Flux in RT / glucose uptake ($mmol/mmol\ glc$)]],Table1[Flux in RT / glucose uptake ($mmol/mmol\ glc$)])</f>
        <v>1290.5</v>
      </c>
      <c r="I830" t="e">
        <f>LOG(Table1[[#This Row],[Flux in SC / glucose uptake ($mmol/mmol\ glc$)]])</f>
        <v>#NUM!</v>
      </c>
      <c r="J830" t="e">
        <f>LOG(Table1[[#This Row],[Flux in RT / glucose uptake ($mmol/mmol\ glc$)]])</f>
        <v>#NUM!</v>
      </c>
    </row>
    <row r="831" spans="1:10" x14ac:dyDescent="0.2">
      <c r="A831" t="s">
        <v>834</v>
      </c>
      <c r="B831" t="s">
        <v>3163</v>
      </c>
      <c r="C831">
        <v>0</v>
      </c>
      <c r="D831">
        <v>8.260576411240525E-2</v>
      </c>
      <c r="E831">
        <f>ABS(Table1[[#This Row],[Flux in SC / glucose uptake ($mmol/mmol\ glc$)]]-Table1[[#This Row],[Flux in RT / glucose uptake ($mmol/mmol\ glc$)]])/SQRT(2)</f>
        <v>5.8411095968978095E-2</v>
      </c>
      <c r="F831">
        <f>Table1[[#This Row],[distance from 45-degree line]]/MAX(Table1[[Flux in SC / glucose uptake ($mmol/mmol\ glc$)]:[Flux in RT / glucose uptake ($mmol/mmol\ glc$)]])</f>
        <v>3.1482914218158389E-3</v>
      </c>
      <c r="G831">
        <f>_xlfn.RANK.AVG(Table1[[#This Row],[Flux in SC / glucose uptake ($mmol/mmol\ glc$)]],Table1[Flux in SC / glucose uptake ($mmol/mmol\ glc$)])</f>
        <v>1310.5</v>
      </c>
      <c r="H831">
        <f>_xlfn.RANK.AVG(Table1[[#This Row],[Flux in RT / glucose uptake ($mmol/mmol\ glc$)]],Table1[Flux in RT / glucose uptake ($mmol/mmol\ glc$)])</f>
        <v>95</v>
      </c>
      <c r="I831" t="e">
        <f>LOG(Table1[[#This Row],[Flux in SC / glucose uptake ($mmol/mmol\ glc$)]])</f>
        <v>#NUM!</v>
      </c>
      <c r="J831">
        <f>LOG(Table1[[#This Row],[Flux in RT / glucose uptake ($mmol/mmol\ glc$)]])</f>
        <v>-1.0829896471727229</v>
      </c>
    </row>
    <row r="832" spans="1:10" x14ac:dyDescent="0.2">
      <c r="A832" t="s">
        <v>835</v>
      </c>
      <c r="B832" t="s">
        <v>3141</v>
      </c>
      <c r="C832">
        <v>0</v>
      </c>
      <c r="D832">
        <v>0</v>
      </c>
      <c r="E832">
        <f>ABS(Table1[[#This Row],[Flux in SC / glucose uptake ($mmol/mmol\ glc$)]]-Table1[[#This Row],[Flux in RT / glucose uptake ($mmol/mmol\ glc$)]])/SQRT(2)</f>
        <v>0</v>
      </c>
      <c r="F832">
        <f>Table1[[#This Row],[distance from 45-degree line]]/MAX(Table1[[Flux in SC / glucose uptake ($mmol/mmol\ glc$)]:[Flux in RT / glucose uptake ($mmol/mmol\ glc$)]])</f>
        <v>0</v>
      </c>
      <c r="G832">
        <f>_xlfn.RANK.AVG(Table1[[#This Row],[Flux in SC / glucose uptake ($mmol/mmol\ glc$)]],Table1[Flux in SC / glucose uptake ($mmol/mmol\ glc$)])</f>
        <v>1310.5</v>
      </c>
      <c r="H832">
        <f>_xlfn.RANK.AVG(Table1[[#This Row],[Flux in RT / glucose uptake ($mmol/mmol\ glc$)]],Table1[Flux in RT / glucose uptake ($mmol/mmol\ glc$)])</f>
        <v>1290.5</v>
      </c>
      <c r="I832" t="e">
        <f>LOG(Table1[[#This Row],[Flux in SC / glucose uptake ($mmol/mmol\ glc$)]])</f>
        <v>#NUM!</v>
      </c>
      <c r="J832" t="e">
        <f>LOG(Table1[[#This Row],[Flux in RT / glucose uptake ($mmol/mmol\ glc$)]])</f>
        <v>#NUM!</v>
      </c>
    </row>
    <row r="833" spans="1:10" x14ac:dyDescent="0.2">
      <c r="A833" t="s">
        <v>836</v>
      </c>
      <c r="B833" t="s">
        <v>3117</v>
      </c>
      <c r="C833">
        <v>0</v>
      </c>
      <c r="D833">
        <v>0</v>
      </c>
      <c r="E833">
        <f>ABS(Table1[[#This Row],[Flux in SC / glucose uptake ($mmol/mmol\ glc$)]]-Table1[[#This Row],[Flux in RT / glucose uptake ($mmol/mmol\ glc$)]])/SQRT(2)</f>
        <v>0</v>
      </c>
      <c r="F833">
        <f>Table1[[#This Row],[distance from 45-degree line]]/MAX(Table1[[Flux in SC / glucose uptake ($mmol/mmol\ glc$)]:[Flux in RT / glucose uptake ($mmol/mmol\ glc$)]])</f>
        <v>0</v>
      </c>
      <c r="G833">
        <f>_xlfn.RANK.AVG(Table1[[#This Row],[Flux in SC / glucose uptake ($mmol/mmol\ glc$)]],Table1[Flux in SC / glucose uptake ($mmol/mmol\ glc$)])</f>
        <v>1310.5</v>
      </c>
      <c r="H833">
        <f>_xlfn.RANK.AVG(Table1[[#This Row],[Flux in RT / glucose uptake ($mmol/mmol\ glc$)]],Table1[Flux in RT / glucose uptake ($mmol/mmol\ glc$)])</f>
        <v>1290.5</v>
      </c>
      <c r="I833" t="e">
        <f>LOG(Table1[[#This Row],[Flux in SC / glucose uptake ($mmol/mmol\ glc$)]])</f>
        <v>#NUM!</v>
      </c>
      <c r="J833" t="e">
        <f>LOG(Table1[[#This Row],[Flux in RT / glucose uptake ($mmol/mmol\ glc$)]])</f>
        <v>#NUM!</v>
      </c>
    </row>
    <row r="834" spans="1:10" x14ac:dyDescent="0.2">
      <c r="A834" t="s">
        <v>837</v>
      </c>
      <c r="B834" t="s">
        <v>3114</v>
      </c>
      <c r="C834">
        <v>0</v>
      </c>
      <c r="D834">
        <v>0</v>
      </c>
      <c r="E834">
        <f>ABS(Table1[[#This Row],[Flux in SC / glucose uptake ($mmol/mmol\ glc$)]]-Table1[[#This Row],[Flux in RT / glucose uptake ($mmol/mmol\ glc$)]])/SQRT(2)</f>
        <v>0</v>
      </c>
      <c r="F834">
        <f>Table1[[#This Row],[distance from 45-degree line]]/MAX(Table1[[Flux in SC / glucose uptake ($mmol/mmol\ glc$)]:[Flux in RT / glucose uptake ($mmol/mmol\ glc$)]])</f>
        <v>0</v>
      </c>
      <c r="G834">
        <f>_xlfn.RANK.AVG(Table1[[#This Row],[Flux in SC / glucose uptake ($mmol/mmol\ glc$)]],Table1[Flux in SC / glucose uptake ($mmol/mmol\ glc$)])</f>
        <v>1310.5</v>
      </c>
      <c r="H834">
        <f>_xlfn.RANK.AVG(Table1[[#This Row],[Flux in RT / glucose uptake ($mmol/mmol\ glc$)]],Table1[Flux in RT / glucose uptake ($mmol/mmol\ glc$)])</f>
        <v>1290.5</v>
      </c>
      <c r="I834" t="e">
        <f>LOG(Table1[[#This Row],[Flux in SC / glucose uptake ($mmol/mmol\ glc$)]])</f>
        <v>#NUM!</v>
      </c>
      <c r="J834" t="e">
        <f>LOG(Table1[[#This Row],[Flux in RT / glucose uptake ($mmol/mmol\ glc$)]])</f>
        <v>#NUM!</v>
      </c>
    </row>
    <row r="835" spans="1:10" x14ac:dyDescent="0.2">
      <c r="A835" t="s">
        <v>838</v>
      </c>
      <c r="B835" t="s">
        <v>3183</v>
      </c>
      <c r="C835">
        <v>0</v>
      </c>
      <c r="D835">
        <v>0</v>
      </c>
      <c r="E835">
        <f>ABS(Table1[[#This Row],[Flux in SC / glucose uptake ($mmol/mmol\ glc$)]]-Table1[[#This Row],[Flux in RT / glucose uptake ($mmol/mmol\ glc$)]])/SQRT(2)</f>
        <v>0</v>
      </c>
      <c r="F835">
        <f>Table1[[#This Row],[distance from 45-degree line]]/MAX(Table1[[Flux in SC / glucose uptake ($mmol/mmol\ glc$)]:[Flux in RT / glucose uptake ($mmol/mmol\ glc$)]])</f>
        <v>0</v>
      </c>
      <c r="G835">
        <f>_xlfn.RANK.AVG(Table1[[#This Row],[Flux in SC / glucose uptake ($mmol/mmol\ glc$)]],Table1[Flux in SC / glucose uptake ($mmol/mmol\ glc$)])</f>
        <v>1310.5</v>
      </c>
      <c r="H835">
        <f>_xlfn.RANK.AVG(Table1[[#This Row],[Flux in RT / glucose uptake ($mmol/mmol\ glc$)]],Table1[Flux in RT / glucose uptake ($mmol/mmol\ glc$)])</f>
        <v>1290.5</v>
      </c>
      <c r="I835" t="e">
        <f>LOG(Table1[[#This Row],[Flux in SC / glucose uptake ($mmol/mmol\ glc$)]])</f>
        <v>#NUM!</v>
      </c>
      <c r="J835" t="e">
        <f>LOG(Table1[[#This Row],[Flux in RT / glucose uptake ($mmol/mmol\ glc$)]])</f>
        <v>#NUM!</v>
      </c>
    </row>
    <row r="836" spans="1:10" x14ac:dyDescent="0.2">
      <c r="A836" t="s">
        <v>839</v>
      </c>
      <c r="B836" t="s">
        <v>3114</v>
      </c>
      <c r="C836">
        <v>1.6572966618337215</v>
      </c>
      <c r="D836">
        <v>0</v>
      </c>
      <c r="E836">
        <f>ABS(Table1[[#This Row],[Flux in SC / glucose uptake ($mmol/mmol\ glc$)]]-Table1[[#This Row],[Flux in RT / glucose uptake ($mmol/mmol\ glc$)]])/SQRT(2)</f>
        <v>1.1718857080204528</v>
      </c>
      <c r="F836">
        <f>Table1[[#This Row],[distance from 45-degree line]]/MAX(Table1[[Flux in SC / glucose uptake ($mmol/mmol\ glc$)]:[Flux in RT / glucose uptake ($mmol/mmol\ glc$)]])</f>
        <v>6.3163302463436363E-2</v>
      </c>
      <c r="G836">
        <f>_xlfn.RANK.AVG(Table1[[#This Row],[Flux in SC / glucose uptake ($mmol/mmol\ glc$)]],Table1[Flux in SC / glucose uptake ($mmol/mmol\ glc$)])</f>
        <v>9.5</v>
      </c>
      <c r="H836">
        <f>_xlfn.RANK.AVG(Table1[[#This Row],[Flux in RT / glucose uptake ($mmol/mmol\ glc$)]],Table1[Flux in RT / glucose uptake ($mmol/mmol\ glc$)])</f>
        <v>1290.5</v>
      </c>
      <c r="I836">
        <f>LOG(Table1[[#This Row],[Flux in SC / glucose uptake ($mmol/mmol\ glc$)]])</f>
        <v>0.21940025559218598</v>
      </c>
      <c r="J836" t="e">
        <f>LOG(Table1[[#This Row],[Flux in RT / glucose uptake ($mmol/mmol\ glc$)]])</f>
        <v>#NUM!</v>
      </c>
    </row>
    <row r="837" spans="1:10" x14ac:dyDescent="0.2">
      <c r="A837" t="s">
        <v>840</v>
      </c>
      <c r="B837" t="s">
        <v>3114</v>
      </c>
      <c r="C837">
        <v>3.6110321147682783E-9</v>
      </c>
      <c r="D837">
        <v>0</v>
      </c>
      <c r="E837">
        <f>ABS(Table1[[#This Row],[Flux in SC / glucose uptake ($mmol/mmol\ glc$)]]-Table1[[#This Row],[Flux in RT / glucose uptake ($mmol/mmol\ glc$)]])/SQRT(2)</f>
        <v>2.5533852954350489E-9</v>
      </c>
      <c r="F837">
        <f>Table1[[#This Row],[distance from 45-degree line]]/MAX(Table1[[Flux in SC / glucose uptake ($mmol/mmol\ glc$)]:[Flux in RT / glucose uptake ($mmol/mmol\ glc$)]])</f>
        <v>1.376245538429589E-10</v>
      </c>
      <c r="G837">
        <f>_xlfn.RANK.AVG(Table1[[#This Row],[Flux in SC / glucose uptake ($mmol/mmol\ glc$)]],Table1[Flux in SC / glucose uptake ($mmol/mmol\ glc$)])</f>
        <v>310</v>
      </c>
      <c r="H837">
        <f>_xlfn.RANK.AVG(Table1[[#This Row],[Flux in RT / glucose uptake ($mmol/mmol\ glc$)]],Table1[Flux in RT / glucose uptake ($mmol/mmol\ glc$)])</f>
        <v>1290.5</v>
      </c>
      <c r="I837">
        <f>LOG(Table1[[#This Row],[Flux in SC / glucose uptake ($mmol/mmol\ glc$)]])</f>
        <v>-8.4423686491515095</v>
      </c>
      <c r="J837" t="e">
        <f>LOG(Table1[[#This Row],[Flux in RT / glucose uptake ($mmol/mmol\ glc$)]])</f>
        <v>#NUM!</v>
      </c>
    </row>
    <row r="838" spans="1:10" x14ac:dyDescent="0.2">
      <c r="A838" t="s">
        <v>841</v>
      </c>
      <c r="B838" t="s">
        <v>3184</v>
      </c>
      <c r="C838">
        <v>0</v>
      </c>
      <c r="D838">
        <v>0</v>
      </c>
      <c r="E838">
        <f>ABS(Table1[[#This Row],[Flux in SC / glucose uptake ($mmol/mmol\ glc$)]]-Table1[[#This Row],[Flux in RT / glucose uptake ($mmol/mmol\ glc$)]])/SQRT(2)</f>
        <v>0</v>
      </c>
      <c r="F838">
        <f>Table1[[#This Row],[distance from 45-degree line]]/MAX(Table1[[Flux in SC / glucose uptake ($mmol/mmol\ glc$)]:[Flux in RT / glucose uptake ($mmol/mmol\ glc$)]])</f>
        <v>0</v>
      </c>
      <c r="G838">
        <f>_xlfn.RANK.AVG(Table1[[#This Row],[Flux in SC / glucose uptake ($mmol/mmol\ glc$)]],Table1[Flux in SC / glucose uptake ($mmol/mmol\ glc$)])</f>
        <v>1310.5</v>
      </c>
      <c r="H838">
        <f>_xlfn.RANK.AVG(Table1[[#This Row],[Flux in RT / glucose uptake ($mmol/mmol\ glc$)]],Table1[Flux in RT / glucose uptake ($mmol/mmol\ glc$)])</f>
        <v>1290.5</v>
      </c>
      <c r="I838" t="e">
        <f>LOG(Table1[[#This Row],[Flux in SC / glucose uptake ($mmol/mmol\ glc$)]])</f>
        <v>#NUM!</v>
      </c>
      <c r="J838" t="e">
        <f>LOG(Table1[[#This Row],[Flux in RT / glucose uptake ($mmol/mmol\ glc$)]])</f>
        <v>#NUM!</v>
      </c>
    </row>
    <row r="839" spans="1:10" x14ac:dyDescent="0.2">
      <c r="A839" t="s">
        <v>842</v>
      </c>
      <c r="B839" t="s">
        <v>3184</v>
      </c>
      <c r="C839">
        <v>0</v>
      </c>
      <c r="D839">
        <v>0</v>
      </c>
      <c r="E839">
        <f>ABS(Table1[[#This Row],[Flux in SC / glucose uptake ($mmol/mmol\ glc$)]]-Table1[[#This Row],[Flux in RT / glucose uptake ($mmol/mmol\ glc$)]])/SQRT(2)</f>
        <v>0</v>
      </c>
      <c r="F839">
        <f>Table1[[#This Row],[distance from 45-degree line]]/MAX(Table1[[Flux in SC / glucose uptake ($mmol/mmol\ glc$)]:[Flux in RT / glucose uptake ($mmol/mmol\ glc$)]])</f>
        <v>0</v>
      </c>
      <c r="G839">
        <f>_xlfn.RANK.AVG(Table1[[#This Row],[Flux in SC / glucose uptake ($mmol/mmol\ glc$)]],Table1[Flux in SC / glucose uptake ($mmol/mmol\ glc$)])</f>
        <v>1310.5</v>
      </c>
      <c r="H839">
        <f>_xlfn.RANK.AVG(Table1[[#This Row],[Flux in RT / glucose uptake ($mmol/mmol\ glc$)]],Table1[Flux in RT / glucose uptake ($mmol/mmol\ glc$)])</f>
        <v>1290.5</v>
      </c>
      <c r="I839" t="e">
        <f>LOG(Table1[[#This Row],[Flux in SC / glucose uptake ($mmol/mmol\ glc$)]])</f>
        <v>#NUM!</v>
      </c>
      <c r="J839" t="e">
        <f>LOG(Table1[[#This Row],[Flux in RT / glucose uptake ($mmol/mmol\ glc$)]])</f>
        <v>#NUM!</v>
      </c>
    </row>
    <row r="840" spans="1:10" x14ac:dyDescent="0.2">
      <c r="A840" t="s">
        <v>843</v>
      </c>
      <c r="B840" t="s">
        <v>3184</v>
      </c>
      <c r="C840">
        <v>0</v>
      </c>
      <c r="D840">
        <v>0</v>
      </c>
      <c r="E840">
        <f>ABS(Table1[[#This Row],[Flux in SC / glucose uptake ($mmol/mmol\ glc$)]]-Table1[[#This Row],[Flux in RT / glucose uptake ($mmol/mmol\ glc$)]])/SQRT(2)</f>
        <v>0</v>
      </c>
      <c r="F840">
        <f>Table1[[#This Row],[distance from 45-degree line]]/MAX(Table1[[Flux in SC / glucose uptake ($mmol/mmol\ glc$)]:[Flux in RT / glucose uptake ($mmol/mmol\ glc$)]])</f>
        <v>0</v>
      </c>
      <c r="G840">
        <f>_xlfn.RANK.AVG(Table1[[#This Row],[Flux in SC / glucose uptake ($mmol/mmol\ glc$)]],Table1[Flux in SC / glucose uptake ($mmol/mmol\ glc$)])</f>
        <v>1310.5</v>
      </c>
      <c r="H840">
        <f>_xlfn.RANK.AVG(Table1[[#This Row],[Flux in RT / glucose uptake ($mmol/mmol\ glc$)]],Table1[Flux in RT / glucose uptake ($mmol/mmol\ glc$)])</f>
        <v>1290.5</v>
      </c>
      <c r="I840" t="e">
        <f>LOG(Table1[[#This Row],[Flux in SC / glucose uptake ($mmol/mmol\ glc$)]])</f>
        <v>#NUM!</v>
      </c>
      <c r="J840" t="e">
        <f>LOG(Table1[[#This Row],[Flux in RT / glucose uptake ($mmol/mmol\ glc$)]])</f>
        <v>#NUM!</v>
      </c>
    </row>
    <row r="841" spans="1:10" x14ac:dyDescent="0.2">
      <c r="A841" t="s">
        <v>844</v>
      </c>
      <c r="B841" t="s">
        <v>3184</v>
      </c>
      <c r="C841">
        <v>0</v>
      </c>
      <c r="D841">
        <v>0</v>
      </c>
      <c r="E841">
        <f>ABS(Table1[[#This Row],[Flux in SC / glucose uptake ($mmol/mmol\ glc$)]]-Table1[[#This Row],[Flux in RT / glucose uptake ($mmol/mmol\ glc$)]])/SQRT(2)</f>
        <v>0</v>
      </c>
      <c r="F841">
        <f>Table1[[#This Row],[distance from 45-degree line]]/MAX(Table1[[Flux in SC / glucose uptake ($mmol/mmol\ glc$)]:[Flux in RT / glucose uptake ($mmol/mmol\ glc$)]])</f>
        <v>0</v>
      </c>
      <c r="G841">
        <f>_xlfn.RANK.AVG(Table1[[#This Row],[Flux in SC / glucose uptake ($mmol/mmol\ glc$)]],Table1[Flux in SC / glucose uptake ($mmol/mmol\ glc$)])</f>
        <v>1310.5</v>
      </c>
      <c r="H841">
        <f>_xlfn.RANK.AVG(Table1[[#This Row],[Flux in RT / glucose uptake ($mmol/mmol\ glc$)]],Table1[Flux in RT / glucose uptake ($mmol/mmol\ glc$)])</f>
        <v>1290.5</v>
      </c>
      <c r="I841" t="e">
        <f>LOG(Table1[[#This Row],[Flux in SC / glucose uptake ($mmol/mmol\ glc$)]])</f>
        <v>#NUM!</v>
      </c>
      <c r="J841" t="e">
        <f>LOG(Table1[[#This Row],[Flux in RT / glucose uptake ($mmol/mmol\ glc$)]])</f>
        <v>#NUM!</v>
      </c>
    </row>
    <row r="842" spans="1:10" x14ac:dyDescent="0.2">
      <c r="A842" t="s">
        <v>845</v>
      </c>
      <c r="B842" t="s">
        <v>3184</v>
      </c>
      <c r="C842">
        <v>0</v>
      </c>
      <c r="D842">
        <v>0</v>
      </c>
      <c r="E842">
        <f>ABS(Table1[[#This Row],[Flux in SC / glucose uptake ($mmol/mmol\ glc$)]]-Table1[[#This Row],[Flux in RT / glucose uptake ($mmol/mmol\ glc$)]])/SQRT(2)</f>
        <v>0</v>
      </c>
      <c r="F842">
        <f>Table1[[#This Row],[distance from 45-degree line]]/MAX(Table1[[Flux in SC / glucose uptake ($mmol/mmol\ glc$)]:[Flux in RT / glucose uptake ($mmol/mmol\ glc$)]])</f>
        <v>0</v>
      </c>
      <c r="G842">
        <f>_xlfn.RANK.AVG(Table1[[#This Row],[Flux in SC / glucose uptake ($mmol/mmol\ glc$)]],Table1[Flux in SC / glucose uptake ($mmol/mmol\ glc$)])</f>
        <v>1310.5</v>
      </c>
      <c r="H842">
        <f>_xlfn.RANK.AVG(Table1[[#This Row],[Flux in RT / glucose uptake ($mmol/mmol\ glc$)]],Table1[Flux in RT / glucose uptake ($mmol/mmol\ glc$)])</f>
        <v>1290.5</v>
      </c>
      <c r="I842" t="e">
        <f>LOG(Table1[[#This Row],[Flux in SC / glucose uptake ($mmol/mmol\ glc$)]])</f>
        <v>#NUM!</v>
      </c>
      <c r="J842" t="e">
        <f>LOG(Table1[[#This Row],[Flux in RT / glucose uptake ($mmol/mmol\ glc$)]])</f>
        <v>#NUM!</v>
      </c>
    </row>
    <row r="843" spans="1:10" x14ac:dyDescent="0.2">
      <c r="A843" t="s">
        <v>846</v>
      </c>
      <c r="B843" t="s">
        <v>3184</v>
      </c>
      <c r="C843">
        <v>0</v>
      </c>
      <c r="D843">
        <v>0</v>
      </c>
      <c r="E843">
        <f>ABS(Table1[[#This Row],[Flux in SC / glucose uptake ($mmol/mmol\ glc$)]]-Table1[[#This Row],[Flux in RT / glucose uptake ($mmol/mmol\ glc$)]])/SQRT(2)</f>
        <v>0</v>
      </c>
      <c r="F843">
        <f>Table1[[#This Row],[distance from 45-degree line]]/MAX(Table1[[Flux in SC / glucose uptake ($mmol/mmol\ glc$)]:[Flux in RT / glucose uptake ($mmol/mmol\ glc$)]])</f>
        <v>0</v>
      </c>
      <c r="G843">
        <f>_xlfn.RANK.AVG(Table1[[#This Row],[Flux in SC / glucose uptake ($mmol/mmol\ glc$)]],Table1[Flux in SC / glucose uptake ($mmol/mmol\ glc$)])</f>
        <v>1310.5</v>
      </c>
      <c r="H843">
        <f>_xlfn.RANK.AVG(Table1[[#This Row],[Flux in RT / glucose uptake ($mmol/mmol\ glc$)]],Table1[Flux in RT / glucose uptake ($mmol/mmol\ glc$)])</f>
        <v>1290.5</v>
      </c>
      <c r="I843" t="e">
        <f>LOG(Table1[[#This Row],[Flux in SC / glucose uptake ($mmol/mmol\ glc$)]])</f>
        <v>#NUM!</v>
      </c>
      <c r="J843" t="e">
        <f>LOG(Table1[[#This Row],[Flux in RT / glucose uptake ($mmol/mmol\ glc$)]])</f>
        <v>#NUM!</v>
      </c>
    </row>
    <row r="844" spans="1:10" x14ac:dyDescent="0.2">
      <c r="A844" t="s">
        <v>847</v>
      </c>
      <c r="B844" t="s">
        <v>3184</v>
      </c>
      <c r="C844">
        <v>0</v>
      </c>
      <c r="D844">
        <v>0</v>
      </c>
      <c r="E844">
        <f>ABS(Table1[[#This Row],[Flux in SC / glucose uptake ($mmol/mmol\ glc$)]]-Table1[[#This Row],[Flux in RT / glucose uptake ($mmol/mmol\ glc$)]])/SQRT(2)</f>
        <v>0</v>
      </c>
      <c r="F844">
        <f>Table1[[#This Row],[distance from 45-degree line]]/MAX(Table1[[Flux in SC / glucose uptake ($mmol/mmol\ glc$)]:[Flux in RT / glucose uptake ($mmol/mmol\ glc$)]])</f>
        <v>0</v>
      </c>
      <c r="G844">
        <f>_xlfn.RANK.AVG(Table1[[#This Row],[Flux in SC / glucose uptake ($mmol/mmol\ glc$)]],Table1[Flux in SC / glucose uptake ($mmol/mmol\ glc$)])</f>
        <v>1310.5</v>
      </c>
      <c r="H844">
        <f>_xlfn.RANK.AVG(Table1[[#This Row],[Flux in RT / glucose uptake ($mmol/mmol\ glc$)]],Table1[Flux in RT / glucose uptake ($mmol/mmol\ glc$)])</f>
        <v>1290.5</v>
      </c>
      <c r="I844" t="e">
        <f>LOG(Table1[[#This Row],[Flux in SC / glucose uptake ($mmol/mmol\ glc$)]])</f>
        <v>#NUM!</v>
      </c>
      <c r="J844" t="e">
        <f>LOG(Table1[[#This Row],[Flux in RT / glucose uptake ($mmol/mmol\ glc$)]])</f>
        <v>#NUM!</v>
      </c>
    </row>
    <row r="845" spans="1:10" x14ac:dyDescent="0.2">
      <c r="A845" t="s">
        <v>848</v>
      </c>
      <c r="B845" t="s">
        <v>3184</v>
      </c>
      <c r="C845">
        <v>0</v>
      </c>
      <c r="D845">
        <v>0</v>
      </c>
      <c r="E845">
        <f>ABS(Table1[[#This Row],[Flux in SC / glucose uptake ($mmol/mmol\ glc$)]]-Table1[[#This Row],[Flux in RT / glucose uptake ($mmol/mmol\ glc$)]])/SQRT(2)</f>
        <v>0</v>
      </c>
      <c r="F845">
        <f>Table1[[#This Row],[distance from 45-degree line]]/MAX(Table1[[Flux in SC / glucose uptake ($mmol/mmol\ glc$)]:[Flux in RT / glucose uptake ($mmol/mmol\ glc$)]])</f>
        <v>0</v>
      </c>
      <c r="G845">
        <f>_xlfn.RANK.AVG(Table1[[#This Row],[Flux in SC / glucose uptake ($mmol/mmol\ glc$)]],Table1[Flux in SC / glucose uptake ($mmol/mmol\ glc$)])</f>
        <v>1310.5</v>
      </c>
      <c r="H845">
        <f>_xlfn.RANK.AVG(Table1[[#This Row],[Flux in RT / glucose uptake ($mmol/mmol\ glc$)]],Table1[Flux in RT / glucose uptake ($mmol/mmol\ glc$)])</f>
        <v>1290.5</v>
      </c>
      <c r="I845" t="e">
        <f>LOG(Table1[[#This Row],[Flux in SC / glucose uptake ($mmol/mmol\ glc$)]])</f>
        <v>#NUM!</v>
      </c>
      <c r="J845" t="e">
        <f>LOG(Table1[[#This Row],[Flux in RT / glucose uptake ($mmol/mmol\ glc$)]])</f>
        <v>#NUM!</v>
      </c>
    </row>
    <row r="846" spans="1:10" x14ac:dyDescent="0.2">
      <c r="A846" t="s">
        <v>849</v>
      </c>
      <c r="B846" t="s">
        <v>3184</v>
      </c>
      <c r="C846">
        <v>0</v>
      </c>
      <c r="D846">
        <v>0</v>
      </c>
      <c r="E846">
        <f>ABS(Table1[[#This Row],[Flux in SC / glucose uptake ($mmol/mmol\ glc$)]]-Table1[[#This Row],[Flux in RT / glucose uptake ($mmol/mmol\ glc$)]])/SQRT(2)</f>
        <v>0</v>
      </c>
      <c r="F846">
        <f>Table1[[#This Row],[distance from 45-degree line]]/MAX(Table1[[Flux in SC / glucose uptake ($mmol/mmol\ glc$)]:[Flux in RT / glucose uptake ($mmol/mmol\ glc$)]])</f>
        <v>0</v>
      </c>
      <c r="G846">
        <f>_xlfn.RANK.AVG(Table1[[#This Row],[Flux in SC / glucose uptake ($mmol/mmol\ glc$)]],Table1[Flux in SC / glucose uptake ($mmol/mmol\ glc$)])</f>
        <v>1310.5</v>
      </c>
      <c r="H846">
        <f>_xlfn.RANK.AVG(Table1[[#This Row],[Flux in RT / glucose uptake ($mmol/mmol\ glc$)]],Table1[Flux in RT / glucose uptake ($mmol/mmol\ glc$)])</f>
        <v>1290.5</v>
      </c>
      <c r="I846" t="e">
        <f>LOG(Table1[[#This Row],[Flux in SC / glucose uptake ($mmol/mmol\ glc$)]])</f>
        <v>#NUM!</v>
      </c>
      <c r="J846" t="e">
        <f>LOG(Table1[[#This Row],[Flux in RT / glucose uptake ($mmol/mmol\ glc$)]])</f>
        <v>#NUM!</v>
      </c>
    </row>
    <row r="847" spans="1:10" x14ac:dyDescent="0.2">
      <c r="A847" t="s">
        <v>850</v>
      </c>
      <c r="B847" t="s">
        <v>3184</v>
      </c>
      <c r="C847">
        <v>0</v>
      </c>
      <c r="D847">
        <v>0</v>
      </c>
      <c r="E847">
        <f>ABS(Table1[[#This Row],[Flux in SC / glucose uptake ($mmol/mmol\ glc$)]]-Table1[[#This Row],[Flux in RT / glucose uptake ($mmol/mmol\ glc$)]])/SQRT(2)</f>
        <v>0</v>
      </c>
      <c r="F847">
        <f>Table1[[#This Row],[distance from 45-degree line]]/MAX(Table1[[Flux in SC / glucose uptake ($mmol/mmol\ glc$)]:[Flux in RT / glucose uptake ($mmol/mmol\ glc$)]])</f>
        <v>0</v>
      </c>
      <c r="G847">
        <f>_xlfn.RANK.AVG(Table1[[#This Row],[Flux in SC / glucose uptake ($mmol/mmol\ glc$)]],Table1[Flux in SC / glucose uptake ($mmol/mmol\ glc$)])</f>
        <v>1310.5</v>
      </c>
      <c r="H847">
        <f>_xlfn.RANK.AVG(Table1[[#This Row],[Flux in RT / glucose uptake ($mmol/mmol\ glc$)]],Table1[Flux in RT / glucose uptake ($mmol/mmol\ glc$)])</f>
        <v>1290.5</v>
      </c>
      <c r="I847" t="e">
        <f>LOG(Table1[[#This Row],[Flux in SC / glucose uptake ($mmol/mmol\ glc$)]])</f>
        <v>#NUM!</v>
      </c>
      <c r="J847" t="e">
        <f>LOG(Table1[[#This Row],[Flux in RT / glucose uptake ($mmol/mmol\ glc$)]])</f>
        <v>#NUM!</v>
      </c>
    </row>
    <row r="848" spans="1:10" x14ac:dyDescent="0.2">
      <c r="A848" t="s">
        <v>851</v>
      </c>
      <c r="B848" t="s">
        <v>3184</v>
      </c>
      <c r="C848">
        <v>0</v>
      </c>
      <c r="D848">
        <v>0</v>
      </c>
      <c r="E848">
        <f>ABS(Table1[[#This Row],[Flux in SC / glucose uptake ($mmol/mmol\ glc$)]]-Table1[[#This Row],[Flux in RT / glucose uptake ($mmol/mmol\ glc$)]])/SQRT(2)</f>
        <v>0</v>
      </c>
      <c r="F848">
        <f>Table1[[#This Row],[distance from 45-degree line]]/MAX(Table1[[Flux in SC / glucose uptake ($mmol/mmol\ glc$)]:[Flux in RT / glucose uptake ($mmol/mmol\ glc$)]])</f>
        <v>0</v>
      </c>
      <c r="G848">
        <f>_xlfn.RANK.AVG(Table1[[#This Row],[Flux in SC / glucose uptake ($mmol/mmol\ glc$)]],Table1[Flux in SC / glucose uptake ($mmol/mmol\ glc$)])</f>
        <v>1310.5</v>
      </c>
      <c r="H848">
        <f>_xlfn.RANK.AVG(Table1[[#This Row],[Flux in RT / glucose uptake ($mmol/mmol\ glc$)]],Table1[Flux in RT / glucose uptake ($mmol/mmol\ glc$)])</f>
        <v>1290.5</v>
      </c>
      <c r="I848" t="e">
        <f>LOG(Table1[[#This Row],[Flux in SC / glucose uptake ($mmol/mmol\ glc$)]])</f>
        <v>#NUM!</v>
      </c>
      <c r="J848" t="e">
        <f>LOG(Table1[[#This Row],[Flux in RT / glucose uptake ($mmol/mmol\ glc$)]])</f>
        <v>#NUM!</v>
      </c>
    </row>
    <row r="849" spans="1:10" x14ac:dyDescent="0.2">
      <c r="A849" t="s">
        <v>852</v>
      </c>
      <c r="B849" t="s">
        <v>3184</v>
      </c>
      <c r="C849">
        <v>0</v>
      </c>
      <c r="D849">
        <v>0</v>
      </c>
      <c r="E849">
        <f>ABS(Table1[[#This Row],[Flux in SC / glucose uptake ($mmol/mmol\ glc$)]]-Table1[[#This Row],[Flux in RT / glucose uptake ($mmol/mmol\ glc$)]])/SQRT(2)</f>
        <v>0</v>
      </c>
      <c r="F849">
        <f>Table1[[#This Row],[distance from 45-degree line]]/MAX(Table1[[Flux in SC / glucose uptake ($mmol/mmol\ glc$)]:[Flux in RT / glucose uptake ($mmol/mmol\ glc$)]])</f>
        <v>0</v>
      </c>
      <c r="G849">
        <f>_xlfn.RANK.AVG(Table1[[#This Row],[Flux in SC / glucose uptake ($mmol/mmol\ glc$)]],Table1[Flux in SC / glucose uptake ($mmol/mmol\ glc$)])</f>
        <v>1310.5</v>
      </c>
      <c r="H849">
        <f>_xlfn.RANK.AVG(Table1[[#This Row],[Flux in RT / glucose uptake ($mmol/mmol\ glc$)]],Table1[Flux in RT / glucose uptake ($mmol/mmol\ glc$)])</f>
        <v>1290.5</v>
      </c>
      <c r="I849" t="e">
        <f>LOG(Table1[[#This Row],[Flux in SC / glucose uptake ($mmol/mmol\ glc$)]])</f>
        <v>#NUM!</v>
      </c>
      <c r="J849" t="e">
        <f>LOG(Table1[[#This Row],[Flux in RT / glucose uptake ($mmol/mmol\ glc$)]])</f>
        <v>#NUM!</v>
      </c>
    </row>
    <row r="850" spans="1:10" x14ac:dyDescent="0.2">
      <c r="A850" t="s">
        <v>853</v>
      </c>
      <c r="B850" t="s">
        <v>3184</v>
      </c>
      <c r="C850">
        <v>0</v>
      </c>
      <c r="D850">
        <v>0</v>
      </c>
      <c r="E850">
        <f>ABS(Table1[[#This Row],[Flux in SC / glucose uptake ($mmol/mmol\ glc$)]]-Table1[[#This Row],[Flux in RT / glucose uptake ($mmol/mmol\ glc$)]])/SQRT(2)</f>
        <v>0</v>
      </c>
      <c r="F850">
        <f>Table1[[#This Row],[distance from 45-degree line]]/MAX(Table1[[Flux in SC / glucose uptake ($mmol/mmol\ glc$)]:[Flux in RT / glucose uptake ($mmol/mmol\ glc$)]])</f>
        <v>0</v>
      </c>
      <c r="G850">
        <f>_xlfn.RANK.AVG(Table1[[#This Row],[Flux in SC / glucose uptake ($mmol/mmol\ glc$)]],Table1[Flux in SC / glucose uptake ($mmol/mmol\ glc$)])</f>
        <v>1310.5</v>
      </c>
      <c r="H850">
        <f>_xlfn.RANK.AVG(Table1[[#This Row],[Flux in RT / glucose uptake ($mmol/mmol\ glc$)]],Table1[Flux in RT / glucose uptake ($mmol/mmol\ glc$)])</f>
        <v>1290.5</v>
      </c>
      <c r="I850" t="e">
        <f>LOG(Table1[[#This Row],[Flux in SC / glucose uptake ($mmol/mmol\ glc$)]])</f>
        <v>#NUM!</v>
      </c>
      <c r="J850" t="e">
        <f>LOG(Table1[[#This Row],[Flux in RT / glucose uptake ($mmol/mmol\ glc$)]])</f>
        <v>#NUM!</v>
      </c>
    </row>
    <row r="851" spans="1:10" x14ac:dyDescent="0.2">
      <c r="A851" t="s">
        <v>854</v>
      </c>
      <c r="B851" t="s">
        <v>3184</v>
      </c>
      <c r="C851">
        <v>0</v>
      </c>
      <c r="D851">
        <v>0</v>
      </c>
      <c r="E851">
        <f>ABS(Table1[[#This Row],[Flux in SC / glucose uptake ($mmol/mmol\ glc$)]]-Table1[[#This Row],[Flux in RT / glucose uptake ($mmol/mmol\ glc$)]])/SQRT(2)</f>
        <v>0</v>
      </c>
      <c r="F851">
        <f>Table1[[#This Row],[distance from 45-degree line]]/MAX(Table1[[Flux in SC / glucose uptake ($mmol/mmol\ glc$)]:[Flux in RT / glucose uptake ($mmol/mmol\ glc$)]])</f>
        <v>0</v>
      </c>
      <c r="G851">
        <f>_xlfn.RANK.AVG(Table1[[#This Row],[Flux in SC / glucose uptake ($mmol/mmol\ glc$)]],Table1[Flux in SC / glucose uptake ($mmol/mmol\ glc$)])</f>
        <v>1310.5</v>
      </c>
      <c r="H851">
        <f>_xlfn.RANK.AVG(Table1[[#This Row],[Flux in RT / glucose uptake ($mmol/mmol\ glc$)]],Table1[Flux in RT / glucose uptake ($mmol/mmol\ glc$)])</f>
        <v>1290.5</v>
      </c>
      <c r="I851" t="e">
        <f>LOG(Table1[[#This Row],[Flux in SC / glucose uptake ($mmol/mmol\ glc$)]])</f>
        <v>#NUM!</v>
      </c>
      <c r="J851" t="e">
        <f>LOG(Table1[[#This Row],[Flux in RT / glucose uptake ($mmol/mmol\ glc$)]])</f>
        <v>#NUM!</v>
      </c>
    </row>
    <row r="852" spans="1:10" x14ac:dyDescent="0.2">
      <c r="A852" t="s">
        <v>855</v>
      </c>
      <c r="B852" t="s">
        <v>3184</v>
      </c>
      <c r="C852">
        <v>0</v>
      </c>
      <c r="D852">
        <v>0</v>
      </c>
      <c r="E852">
        <f>ABS(Table1[[#This Row],[Flux in SC / glucose uptake ($mmol/mmol\ glc$)]]-Table1[[#This Row],[Flux in RT / glucose uptake ($mmol/mmol\ glc$)]])/SQRT(2)</f>
        <v>0</v>
      </c>
      <c r="F852">
        <f>Table1[[#This Row],[distance from 45-degree line]]/MAX(Table1[[Flux in SC / glucose uptake ($mmol/mmol\ glc$)]:[Flux in RT / glucose uptake ($mmol/mmol\ glc$)]])</f>
        <v>0</v>
      </c>
      <c r="G852">
        <f>_xlfn.RANK.AVG(Table1[[#This Row],[Flux in SC / glucose uptake ($mmol/mmol\ glc$)]],Table1[Flux in SC / glucose uptake ($mmol/mmol\ glc$)])</f>
        <v>1310.5</v>
      </c>
      <c r="H852">
        <f>_xlfn.RANK.AVG(Table1[[#This Row],[Flux in RT / glucose uptake ($mmol/mmol\ glc$)]],Table1[Flux in RT / glucose uptake ($mmol/mmol\ glc$)])</f>
        <v>1290.5</v>
      </c>
      <c r="I852" t="e">
        <f>LOG(Table1[[#This Row],[Flux in SC / glucose uptake ($mmol/mmol\ glc$)]])</f>
        <v>#NUM!</v>
      </c>
      <c r="J852" t="e">
        <f>LOG(Table1[[#This Row],[Flux in RT / glucose uptake ($mmol/mmol\ glc$)]])</f>
        <v>#NUM!</v>
      </c>
    </row>
    <row r="853" spans="1:10" x14ac:dyDescent="0.2">
      <c r="A853" t="s">
        <v>856</v>
      </c>
      <c r="B853" t="s">
        <v>3184</v>
      </c>
      <c r="C853">
        <v>0</v>
      </c>
      <c r="D853">
        <v>0</v>
      </c>
      <c r="E853">
        <f>ABS(Table1[[#This Row],[Flux in SC / glucose uptake ($mmol/mmol\ glc$)]]-Table1[[#This Row],[Flux in RT / glucose uptake ($mmol/mmol\ glc$)]])/SQRT(2)</f>
        <v>0</v>
      </c>
      <c r="F853">
        <f>Table1[[#This Row],[distance from 45-degree line]]/MAX(Table1[[Flux in SC / glucose uptake ($mmol/mmol\ glc$)]:[Flux in RT / glucose uptake ($mmol/mmol\ glc$)]])</f>
        <v>0</v>
      </c>
      <c r="G853">
        <f>_xlfn.RANK.AVG(Table1[[#This Row],[Flux in SC / glucose uptake ($mmol/mmol\ glc$)]],Table1[Flux in SC / glucose uptake ($mmol/mmol\ glc$)])</f>
        <v>1310.5</v>
      </c>
      <c r="H853">
        <f>_xlfn.RANK.AVG(Table1[[#This Row],[Flux in RT / glucose uptake ($mmol/mmol\ glc$)]],Table1[Flux in RT / glucose uptake ($mmol/mmol\ glc$)])</f>
        <v>1290.5</v>
      </c>
      <c r="I853" t="e">
        <f>LOG(Table1[[#This Row],[Flux in SC / glucose uptake ($mmol/mmol\ glc$)]])</f>
        <v>#NUM!</v>
      </c>
      <c r="J853" t="e">
        <f>LOG(Table1[[#This Row],[Flux in RT / glucose uptake ($mmol/mmol\ glc$)]])</f>
        <v>#NUM!</v>
      </c>
    </row>
    <row r="854" spans="1:10" x14ac:dyDescent="0.2">
      <c r="A854" t="s">
        <v>857</v>
      </c>
      <c r="B854" t="s">
        <v>3184</v>
      </c>
      <c r="C854">
        <v>0</v>
      </c>
      <c r="D854">
        <v>0</v>
      </c>
      <c r="E854">
        <f>ABS(Table1[[#This Row],[Flux in SC / glucose uptake ($mmol/mmol\ glc$)]]-Table1[[#This Row],[Flux in RT / glucose uptake ($mmol/mmol\ glc$)]])/SQRT(2)</f>
        <v>0</v>
      </c>
      <c r="F854">
        <f>Table1[[#This Row],[distance from 45-degree line]]/MAX(Table1[[Flux in SC / glucose uptake ($mmol/mmol\ glc$)]:[Flux in RT / glucose uptake ($mmol/mmol\ glc$)]])</f>
        <v>0</v>
      </c>
      <c r="G854">
        <f>_xlfn.RANK.AVG(Table1[[#This Row],[Flux in SC / glucose uptake ($mmol/mmol\ glc$)]],Table1[Flux in SC / glucose uptake ($mmol/mmol\ glc$)])</f>
        <v>1310.5</v>
      </c>
      <c r="H854">
        <f>_xlfn.RANK.AVG(Table1[[#This Row],[Flux in RT / glucose uptake ($mmol/mmol\ glc$)]],Table1[Flux in RT / glucose uptake ($mmol/mmol\ glc$)])</f>
        <v>1290.5</v>
      </c>
      <c r="I854" t="e">
        <f>LOG(Table1[[#This Row],[Flux in SC / glucose uptake ($mmol/mmol\ glc$)]])</f>
        <v>#NUM!</v>
      </c>
      <c r="J854" t="e">
        <f>LOG(Table1[[#This Row],[Flux in RT / glucose uptake ($mmol/mmol\ glc$)]])</f>
        <v>#NUM!</v>
      </c>
    </row>
    <row r="855" spans="1:10" x14ac:dyDescent="0.2">
      <c r="A855" t="s">
        <v>858</v>
      </c>
      <c r="B855" t="s">
        <v>3184</v>
      </c>
      <c r="C855">
        <v>0</v>
      </c>
      <c r="D855">
        <v>0</v>
      </c>
      <c r="E855">
        <f>ABS(Table1[[#This Row],[Flux in SC / glucose uptake ($mmol/mmol\ glc$)]]-Table1[[#This Row],[Flux in RT / glucose uptake ($mmol/mmol\ glc$)]])/SQRT(2)</f>
        <v>0</v>
      </c>
      <c r="F855">
        <f>Table1[[#This Row],[distance from 45-degree line]]/MAX(Table1[[Flux in SC / glucose uptake ($mmol/mmol\ glc$)]:[Flux in RT / glucose uptake ($mmol/mmol\ glc$)]])</f>
        <v>0</v>
      </c>
      <c r="G855">
        <f>_xlfn.RANK.AVG(Table1[[#This Row],[Flux in SC / glucose uptake ($mmol/mmol\ glc$)]],Table1[Flux in SC / glucose uptake ($mmol/mmol\ glc$)])</f>
        <v>1310.5</v>
      </c>
      <c r="H855">
        <f>_xlfn.RANK.AVG(Table1[[#This Row],[Flux in RT / glucose uptake ($mmol/mmol\ glc$)]],Table1[Flux in RT / glucose uptake ($mmol/mmol\ glc$)])</f>
        <v>1290.5</v>
      </c>
      <c r="I855" t="e">
        <f>LOG(Table1[[#This Row],[Flux in SC / glucose uptake ($mmol/mmol\ glc$)]])</f>
        <v>#NUM!</v>
      </c>
      <c r="J855" t="e">
        <f>LOG(Table1[[#This Row],[Flux in RT / glucose uptake ($mmol/mmol\ glc$)]])</f>
        <v>#NUM!</v>
      </c>
    </row>
    <row r="856" spans="1:10" x14ac:dyDescent="0.2">
      <c r="A856" t="s">
        <v>859</v>
      </c>
      <c r="B856" t="s">
        <v>3184</v>
      </c>
      <c r="C856">
        <v>0</v>
      </c>
      <c r="D856">
        <v>0</v>
      </c>
      <c r="E856">
        <f>ABS(Table1[[#This Row],[Flux in SC / glucose uptake ($mmol/mmol\ glc$)]]-Table1[[#This Row],[Flux in RT / glucose uptake ($mmol/mmol\ glc$)]])/SQRT(2)</f>
        <v>0</v>
      </c>
      <c r="F856">
        <f>Table1[[#This Row],[distance from 45-degree line]]/MAX(Table1[[Flux in SC / glucose uptake ($mmol/mmol\ glc$)]:[Flux in RT / glucose uptake ($mmol/mmol\ glc$)]])</f>
        <v>0</v>
      </c>
      <c r="G856">
        <f>_xlfn.RANK.AVG(Table1[[#This Row],[Flux in SC / glucose uptake ($mmol/mmol\ glc$)]],Table1[Flux in SC / glucose uptake ($mmol/mmol\ glc$)])</f>
        <v>1310.5</v>
      </c>
      <c r="H856">
        <f>_xlfn.RANK.AVG(Table1[[#This Row],[Flux in RT / glucose uptake ($mmol/mmol\ glc$)]],Table1[Flux in RT / glucose uptake ($mmol/mmol\ glc$)])</f>
        <v>1290.5</v>
      </c>
      <c r="I856" t="e">
        <f>LOG(Table1[[#This Row],[Flux in SC / glucose uptake ($mmol/mmol\ glc$)]])</f>
        <v>#NUM!</v>
      </c>
      <c r="J856" t="e">
        <f>LOG(Table1[[#This Row],[Flux in RT / glucose uptake ($mmol/mmol\ glc$)]])</f>
        <v>#NUM!</v>
      </c>
    </row>
    <row r="857" spans="1:10" x14ac:dyDescent="0.2">
      <c r="A857" t="s">
        <v>860</v>
      </c>
      <c r="B857" t="s">
        <v>3184</v>
      </c>
      <c r="C857">
        <v>0</v>
      </c>
      <c r="D857">
        <v>0</v>
      </c>
      <c r="E857">
        <f>ABS(Table1[[#This Row],[Flux in SC / glucose uptake ($mmol/mmol\ glc$)]]-Table1[[#This Row],[Flux in RT / glucose uptake ($mmol/mmol\ glc$)]])/SQRT(2)</f>
        <v>0</v>
      </c>
      <c r="F857">
        <f>Table1[[#This Row],[distance from 45-degree line]]/MAX(Table1[[Flux in SC / glucose uptake ($mmol/mmol\ glc$)]:[Flux in RT / glucose uptake ($mmol/mmol\ glc$)]])</f>
        <v>0</v>
      </c>
      <c r="G857">
        <f>_xlfn.RANK.AVG(Table1[[#This Row],[Flux in SC / glucose uptake ($mmol/mmol\ glc$)]],Table1[Flux in SC / glucose uptake ($mmol/mmol\ glc$)])</f>
        <v>1310.5</v>
      </c>
      <c r="H857">
        <f>_xlfn.RANK.AVG(Table1[[#This Row],[Flux in RT / glucose uptake ($mmol/mmol\ glc$)]],Table1[Flux in RT / glucose uptake ($mmol/mmol\ glc$)])</f>
        <v>1290.5</v>
      </c>
      <c r="I857" t="e">
        <f>LOG(Table1[[#This Row],[Flux in SC / glucose uptake ($mmol/mmol\ glc$)]])</f>
        <v>#NUM!</v>
      </c>
      <c r="J857" t="e">
        <f>LOG(Table1[[#This Row],[Flux in RT / glucose uptake ($mmol/mmol\ glc$)]])</f>
        <v>#NUM!</v>
      </c>
    </row>
    <row r="858" spans="1:10" x14ac:dyDescent="0.2">
      <c r="A858" t="s">
        <v>861</v>
      </c>
      <c r="B858" t="s">
        <v>3184</v>
      </c>
      <c r="C858">
        <v>0</v>
      </c>
      <c r="D858">
        <v>0</v>
      </c>
      <c r="E858">
        <f>ABS(Table1[[#This Row],[Flux in SC / glucose uptake ($mmol/mmol\ glc$)]]-Table1[[#This Row],[Flux in RT / glucose uptake ($mmol/mmol\ glc$)]])/SQRT(2)</f>
        <v>0</v>
      </c>
      <c r="F858">
        <f>Table1[[#This Row],[distance from 45-degree line]]/MAX(Table1[[Flux in SC / glucose uptake ($mmol/mmol\ glc$)]:[Flux in RT / glucose uptake ($mmol/mmol\ glc$)]])</f>
        <v>0</v>
      </c>
      <c r="G858">
        <f>_xlfn.RANK.AVG(Table1[[#This Row],[Flux in SC / glucose uptake ($mmol/mmol\ glc$)]],Table1[Flux in SC / glucose uptake ($mmol/mmol\ glc$)])</f>
        <v>1310.5</v>
      </c>
      <c r="H858">
        <f>_xlfn.RANK.AVG(Table1[[#This Row],[Flux in RT / glucose uptake ($mmol/mmol\ glc$)]],Table1[Flux in RT / glucose uptake ($mmol/mmol\ glc$)])</f>
        <v>1290.5</v>
      </c>
      <c r="I858" t="e">
        <f>LOG(Table1[[#This Row],[Flux in SC / glucose uptake ($mmol/mmol\ glc$)]])</f>
        <v>#NUM!</v>
      </c>
      <c r="J858" t="e">
        <f>LOG(Table1[[#This Row],[Flux in RT / glucose uptake ($mmol/mmol\ glc$)]])</f>
        <v>#NUM!</v>
      </c>
    </row>
    <row r="859" spans="1:10" x14ac:dyDescent="0.2">
      <c r="A859" t="s">
        <v>862</v>
      </c>
      <c r="B859" t="s">
        <v>3184</v>
      </c>
      <c r="C859">
        <v>0</v>
      </c>
      <c r="D859">
        <v>0</v>
      </c>
      <c r="E859">
        <f>ABS(Table1[[#This Row],[Flux in SC / glucose uptake ($mmol/mmol\ glc$)]]-Table1[[#This Row],[Flux in RT / glucose uptake ($mmol/mmol\ glc$)]])/SQRT(2)</f>
        <v>0</v>
      </c>
      <c r="F859">
        <f>Table1[[#This Row],[distance from 45-degree line]]/MAX(Table1[[Flux in SC / glucose uptake ($mmol/mmol\ glc$)]:[Flux in RT / glucose uptake ($mmol/mmol\ glc$)]])</f>
        <v>0</v>
      </c>
      <c r="G859">
        <f>_xlfn.RANK.AVG(Table1[[#This Row],[Flux in SC / glucose uptake ($mmol/mmol\ glc$)]],Table1[Flux in SC / glucose uptake ($mmol/mmol\ glc$)])</f>
        <v>1310.5</v>
      </c>
      <c r="H859">
        <f>_xlfn.RANK.AVG(Table1[[#This Row],[Flux in RT / glucose uptake ($mmol/mmol\ glc$)]],Table1[Flux in RT / glucose uptake ($mmol/mmol\ glc$)])</f>
        <v>1290.5</v>
      </c>
      <c r="I859" t="e">
        <f>LOG(Table1[[#This Row],[Flux in SC / glucose uptake ($mmol/mmol\ glc$)]])</f>
        <v>#NUM!</v>
      </c>
      <c r="J859" t="e">
        <f>LOG(Table1[[#This Row],[Flux in RT / glucose uptake ($mmol/mmol\ glc$)]])</f>
        <v>#NUM!</v>
      </c>
    </row>
    <row r="860" spans="1:10" x14ac:dyDescent="0.2">
      <c r="A860" t="s">
        <v>863</v>
      </c>
      <c r="B860" t="s">
        <v>3184</v>
      </c>
      <c r="C860">
        <v>0</v>
      </c>
      <c r="D860">
        <v>0</v>
      </c>
      <c r="E860">
        <f>ABS(Table1[[#This Row],[Flux in SC / glucose uptake ($mmol/mmol\ glc$)]]-Table1[[#This Row],[Flux in RT / glucose uptake ($mmol/mmol\ glc$)]])/SQRT(2)</f>
        <v>0</v>
      </c>
      <c r="F860">
        <f>Table1[[#This Row],[distance from 45-degree line]]/MAX(Table1[[Flux in SC / glucose uptake ($mmol/mmol\ glc$)]:[Flux in RT / glucose uptake ($mmol/mmol\ glc$)]])</f>
        <v>0</v>
      </c>
      <c r="G860">
        <f>_xlfn.RANK.AVG(Table1[[#This Row],[Flux in SC / glucose uptake ($mmol/mmol\ glc$)]],Table1[Flux in SC / glucose uptake ($mmol/mmol\ glc$)])</f>
        <v>1310.5</v>
      </c>
      <c r="H860">
        <f>_xlfn.RANK.AVG(Table1[[#This Row],[Flux in RT / glucose uptake ($mmol/mmol\ glc$)]],Table1[Flux in RT / glucose uptake ($mmol/mmol\ glc$)])</f>
        <v>1290.5</v>
      </c>
      <c r="I860" t="e">
        <f>LOG(Table1[[#This Row],[Flux in SC / glucose uptake ($mmol/mmol\ glc$)]])</f>
        <v>#NUM!</v>
      </c>
      <c r="J860" t="e">
        <f>LOG(Table1[[#This Row],[Flux in RT / glucose uptake ($mmol/mmol\ glc$)]])</f>
        <v>#NUM!</v>
      </c>
    </row>
    <row r="861" spans="1:10" x14ac:dyDescent="0.2">
      <c r="A861" t="s">
        <v>864</v>
      </c>
      <c r="B861" t="s">
        <v>3184</v>
      </c>
      <c r="C861">
        <v>0</v>
      </c>
      <c r="D861">
        <v>0</v>
      </c>
      <c r="E861">
        <f>ABS(Table1[[#This Row],[Flux in SC / glucose uptake ($mmol/mmol\ glc$)]]-Table1[[#This Row],[Flux in RT / glucose uptake ($mmol/mmol\ glc$)]])/SQRT(2)</f>
        <v>0</v>
      </c>
      <c r="F861">
        <f>Table1[[#This Row],[distance from 45-degree line]]/MAX(Table1[[Flux in SC / glucose uptake ($mmol/mmol\ glc$)]:[Flux in RT / glucose uptake ($mmol/mmol\ glc$)]])</f>
        <v>0</v>
      </c>
      <c r="G861">
        <f>_xlfn.RANK.AVG(Table1[[#This Row],[Flux in SC / glucose uptake ($mmol/mmol\ glc$)]],Table1[Flux in SC / glucose uptake ($mmol/mmol\ glc$)])</f>
        <v>1310.5</v>
      </c>
      <c r="H861">
        <f>_xlfn.RANK.AVG(Table1[[#This Row],[Flux in RT / glucose uptake ($mmol/mmol\ glc$)]],Table1[Flux in RT / glucose uptake ($mmol/mmol\ glc$)])</f>
        <v>1290.5</v>
      </c>
      <c r="I861" t="e">
        <f>LOG(Table1[[#This Row],[Flux in SC / glucose uptake ($mmol/mmol\ glc$)]])</f>
        <v>#NUM!</v>
      </c>
      <c r="J861" t="e">
        <f>LOG(Table1[[#This Row],[Flux in RT / glucose uptake ($mmol/mmol\ glc$)]])</f>
        <v>#NUM!</v>
      </c>
    </row>
    <row r="862" spans="1:10" x14ac:dyDescent="0.2">
      <c r="A862" t="s">
        <v>865</v>
      </c>
      <c r="B862" t="s">
        <v>3184</v>
      </c>
      <c r="C862">
        <v>0</v>
      </c>
      <c r="D862">
        <v>0</v>
      </c>
      <c r="E862">
        <f>ABS(Table1[[#This Row],[Flux in SC / glucose uptake ($mmol/mmol\ glc$)]]-Table1[[#This Row],[Flux in RT / glucose uptake ($mmol/mmol\ glc$)]])/SQRT(2)</f>
        <v>0</v>
      </c>
      <c r="F862">
        <f>Table1[[#This Row],[distance from 45-degree line]]/MAX(Table1[[Flux in SC / glucose uptake ($mmol/mmol\ glc$)]:[Flux in RT / glucose uptake ($mmol/mmol\ glc$)]])</f>
        <v>0</v>
      </c>
      <c r="G862">
        <f>_xlfn.RANK.AVG(Table1[[#This Row],[Flux in SC / glucose uptake ($mmol/mmol\ glc$)]],Table1[Flux in SC / glucose uptake ($mmol/mmol\ glc$)])</f>
        <v>1310.5</v>
      </c>
      <c r="H862">
        <f>_xlfn.RANK.AVG(Table1[[#This Row],[Flux in RT / glucose uptake ($mmol/mmol\ glc$)]],Table1[Flux in RT / glucose uptake ($mmol/mmol\ glc$)])</f>
        <v>1290.5</v>
      </c>
      <c r="I862" t="e">
        <f>LOG(Table1[[#This Row],[Flux in SC / glucose uptake ($mmol/mmol\ glc$)]])</f>
        <v>#NUM!</v>
      </c>
      <c r="J862" t="e">
        <f>LOG(Table1[[#This Row],[Flux in RT / glucose uptake ($mmol/mmol\ glc$)]])</f>
        <v>#NUM!</v>
      </c>
    </row>
    <row r="863" spans="1:10" x14ac:dyDescent="0.2">
      <c r="A863" t="s">
        <v>866</v>
      </c>
      <c r="B863" t="s">
        <v>3184</v>
      </c>
      <c r="C863">
        <v>0</v>
      </c>
      <c r="D863">
        <v>0</v>
      </c>
      <c r="E863">
        <f>ABS(Table1[[#This Row],[Flux in SC / glucose uptake ($mmol/mmol\ glc$)]]-Table1[[#This Row],[Flux in RT / glucose uptake ($mmol/mmol\ glc$)]])/SQRT(2)</f>
        <v>0</v>
      </c>
      <c r="F863">
        <f>Table1[[#This Row],[distance from 45-degree line]]/MAX(Table1[[Flux in SC / glucose uptake ($mmol/mmol\ glc$)]:[Flux in RT / glucose uptake ($mmol/mmol\ glc$)]])</f>
        <v>0</v>
      </c>
      <c r="G863">
        <f>_xlfn.RANK.AVG(Table1[[#This Row],[Flux in SC / glucose uptake ($mmol/mmol\ glc$)]],Table1[Flux in SC / glucose uptake ($mmol/mmol\ glc$)])</f>
        <v>1310.5</v>
      </c>
      <c r="H863">
        <f>_xlfn.RANK.AVG(Table1[[#This Row],[Flux in RT / glucose uptake ($mmol/mmol\ glc$)]],Table1[Flux in RT / glucose uptake ($mmol/mmol\ glc$)])</f>
        <v>1290.5</v>
      </c>
      <c r="I863" t="e">
        <f>LOG(Table1[[#This Row],[Flux in SC / glucose uptake ($mmol/mmol\ glc$)]])</f>
        <v>#NUM!</v>
      </c>
      <c r="J863" t="e">
        <f>LOG(Table1[[#This Row],[Flux in RT / glucose uptake ($mmol/mmol\ glc$)]])</f>
        <v>#NUM!</v>
      </c>
    </row>
    <row r="864" spans="1:10" x14ac:dyDescent="0.2">
      <c r="A864" t="s">
        <v>867</v>
      </c>
      <c r="B864" t="s">
        <v>3184</v>
      </c>
      <c r="C864">
        <v>0</v>
      </c>
      <c r="D864">
        <v>0</v>
      </c>
      <c r="E864">
        <f>ABS(Table1[[#This Row],[Flux in SC / glucose uptake ($mmol/mmol\ glc$)]]-Table1[[#This Row],[Flux in RT / glucose uptake ($mmol/mmol\ glc$)]])/SQRT(2)</f>
        <v>0</v>
      </c>
      <c r="F864">
        <f>Table1[[#This Row],[distance from 45-degree line]]/MAX(Table1[[Flux in SC / glucose uptake ($mmol/mmol\ glc$)]:[Flux in RT / glucose uptake ($mmol/mmol\ glc$)]])</f>
        <v>0</v>
      </c>
      <c r="G864">
        <f>_xlfn.RANK.AVG(Table1[[#This Row],[Flux in SC / glucose uptake ($mmol/mmol\ glc$)]],Table1[Flux in SC / glucose uptake ($mmol/mmol\ glc$)])</f>
        <v>1310.5</v>
      </c>
      <c r="H864">
        <f>_xlfn.RANK.AVG(Table1[[#This Row],[Flux in RT / glucose uptake ($mmol/mmol\ glc$)]],Table1[Flux in RT / glucose uptake ($mmol/mmol\ glc$)])</f>
        <v>1290.5</v>
      </c>
      <c r="I864" t="e">
        <f>LOG(Table1[[#This Row],[Flux in SC / glucose uptake ($mmol/mmol\ glc$)]])</f>
        <v>#NUM!</v>
      </c>
      <c r="J864" t="e">
        <f>LOG(Table1[[#This Row],[Flux in RT / glucose uptake ($mmol/mmol\ glc$)]])</f>
        <v>#NUM!</v>
      </c>
    </row>
    <row r="865" spans="1:10" x14ac:dyDescent="0.2">
      <c r="A865" t="s">
        <v>868</v>
      </c>
      <c r="B865" t="s">
        <v>3184</v>
      </c>
      <c r="C865">
        <v>0</v>
      </c>
      <c r="D865">
        <v>0</v>
      </c>
      <c r="E865">
        <f>ABS(Table1[[#This Row],[Flux in SC / glucose uptake ($mmol/mmol\ glc$)]]-Table1[[#This Row],[Flux in RT / glucose uptake ($mmol/mmol\ glc$)]])/SQRT(2)</f>
        <v>0</v>
      </c>
      <c r="F865">
        <f>Table1[[#This Row],[distance from 45-degree line]]/MAX(Table1[[Flux in SC / glucose uptake ($mmol/mmol\ glc$)]:[Flux in RT / glucose uptake ($mmol/mmol\ glc$)]])</f>
        <v>0</v>
      </c>
      <c r="G865">
        <f>_xlfn.RANK.AVG(Table1[[#This Row],[Flux in SC / glucose uptake ($mmol/mmol\ glc$)]],Table1[Flux in SC / glucose uptake ($mmol/mmol\ glc$)])</f>
        <v>1310.5</v>
      </c>
      <c r="H865">
        <f>_xlfn.RANK.AVG(Table1[[#This Row],[Flux in RT / glucose uptake ($mmol/mmol\ glc$)]],Table1[Flux in RT / glucose uptake ($mmol/mmol\ glc$)])</f>
        <v>1290.5</v>
      </c>
      <c r="I865" t="e">
        <f>LOG(Table1[[#This Row],[Flux in SC / glucose uptake ($mmol/mmol\ glc$)]])</f>
        <v>#NUM!</v>
      </c>
      <c r="J865" t="e">
        <f>LOG(Table1[[#This Row],[Flux in RT / glucose uptake ($mmol/mmol\ glc$)]])</f>
        <v>#NUM!</v>
      </c>
    </row>
    <row r="866" spans="1:10" x14ac:dyDescent="0.2">
      <c r="A866" t="s">
        <v>869</v>
      </c>
      <c r="B866" t="s">
        <v>3184</v>
      </c>
      <c r="C866">
        <v>0</v>
      </c>
      <c r="D866">
        <v>0</v>
      </c>
      <c r="E866">
        <f>ABS(Table1[[#This Row],[Flux in SC / glucose uptake ($mmol/mmol\ glc$)]]-Table1[[#This Row],[Flux in RT / glucose uptake ($mmol/mmol\ glc$)]])/SQRT(2)</f>
        <v>0</v>
      </c>
      <c r="F866">
        <f>Table1[[#This Row],[distance from 45-degree line]]/MAX(Table1[[Flux in SC / glucose uptake ($mmol/mmol\ glc$)]:[Flux in RT / glucose uptake ($mmol/mmol\ glc$)]])</f>
        <v>0</v>
      </c>
      <c r="G866">
        <f>_xlfn.RANK.AVG(Table1[[#This Row],[Flux in SC / glucose uptake ($mmol/mmol\ glc$)]],Table1[Flux in SC / glucose uptake ($mmol/mmol\ glc$)])</f>
        <v>1310.5</v>
      </c>
      <c r="H866">
        <f>_xlfn.RANK.AVG(Table1[[#This Row],[Flux in RT / glucose uptake ($mmol/mmol\ glc$)]],Table1[Flux in RT / glucose uptake ($mmol/mmol\ glc$)])</f>
        <v>1290.5</v>
      </c>
      <c r="I866" t="e">
        <f>LOG(Table1[[#This Row],[Flux in SC / glucose uptake ($mmol/mmol\ glc$)]])</f>
        <v>#NUM!</v>
      </c>
      <c r="J866" t="e">
        <f>LOG(Table1[[#This Row],[Flux in RT / glucose uptake ($mmol/mmol\ glc$)]])</f>
        <v>#NUM!</v>
      </c>
    </row>
    <row r="867" spans="1:10" x14ac:dyDescent="0.2">
      <c r="A867" t="s">
        <v>870</v>
      </c>
      <c r="B867" t="s">
        <v>3184</v>
      </c>
      <c r="C867">
        <v>0</v>
      </c>
      <c r="D867">
        <v>0</v>
      </c>
      <c r="E867">
        <f>ABS(Table1[[#This Row],[Flux in SC / glucose uptake ($mmol/mmol\ glc$)]]-Table1[[#This Row],[Flux in RT / glucose uptake ($mmol/mmol\ glc$)]])/SQRT(2)</f>
        <v>0</v>
      </c>
      <c r="F867">
        <f>Table1[[#This Row],[distance from 45-degree line]]/MAX(Table1[[Flux in SC / glucose uptake ($mmol/mmol\ glc$)]:[Flux in RT / glucose uptake ($mmol/mmol\ glc$)]])</f>
        <v>0</v>
      </c>
      <c r="G867">
        <f>_xlfn.RANK.AVG(Table1[[#This Row],[Flux in SC / glucose uptake ($mmol/mmol\ glc$)]],Table1[Flux in SC / glucose uptake ($mmol/mmol\ glc$)])</f>
        <v>1310.5</v>
      </c>
      <c r="H867">
        <f>_xlfn.RANK.AVG(Table1[[#This Row],[Flux in RT / glucose uptake ($mmol/mmol\ glc$)]],Table1[Flux in RT / glucose uptake ($mmol/mmol\ glc$)])</f>
        <v>1290.5</v>
      </c>
      <c r="I867" t="e">
        <f>LOG(Table1[[#This Row],[Flux in SC / glucose uptake ($mmol/mmol\ glc$)]])</f>
        <v>#NUM!</v>
      </c>
      <c r="J867" t="e">
        <f>LOG(Table1[[#This Row],[Flux in RT / glucose uptake ($mmol/mmol\ glc$)]])</f>
        <v>#NUM!</v>
      </c>
    </row>
    <row r="868" spans="1:10" x14ac:dyDescent="0.2">
      <c r="A868" t="s">
        <v>871</v>
      </c>
      <c r="B868" t="s">
        <v>3184</v>
      </c>
      <c r="C868">
        <v>0</v>
      </c>
      <c r="D868">
        <v>0</v>
      </c>
      <c r="E868">
        <f>ABS(Table1[[#This Row],[Flux in SC / glucose uptake ($mmol/mmol\ glc$)]]-Table1[[#This Row],[Flux in RT / glucose uptake ($mmol/mmol\ glc$)]])/SQRT(2)</f>
        <v>0</v>
      </c>
      <c r="F868">
        <f>Table1[[#This Row],[distance from 45-degree line]]/MAX(Table1[[Flux in SC / glucose uptake ($mmol/mmol\ glc$)]:[Flux in RT / glucose uptake ($mmol/mmol\ glc$)]])</f>
        <v>0</v>
      </c>
      <c r="G868">
        <f>_xlfn.RANK.AVG(Table1[[#This Row],[Flux in SC / glucose uptake ($mmol/mmol\ glc$)]],Table1[Flux in SC / glucose uptake ($mmol/mmol\ glc$)])</f>
        <v>1310.5</v>
      </c>
      <c r="H868">
        <f>_xlfn.RANK.AVG(Table1[[#This Row],[Flux in RT / glucose uptake ($mmol/mmol\ glc$)]],Table1[Flux in RT / glucose uptake ($mmol/mmol\ glc$)])</f>
        <v>1290.5</v>
      </c>
      <c r="I868" t="e">
        <f>LOG(Table1[[#This Row],[Flux in SC / glucose uptake ($mmol/mmol\ glc$)]])</f>
        <v>#NUM!</v>
      </c>
      <c r="J868" t="e">
        <f>LOG(Table1[[#This Row],[Flux in RT / glucose uptake ($mmol/mmol\ glc$)]])</f>
        <v>#NUM!</v>
      </c>
    </row>
    <row r="869" spans="1:10" x14ac:dyDescent="0.2">
      <c r="A869" t="s">
        <v>872</v>
      </c>
      <c r="B869" t="s">
        <v>3184</v>
      </c>
      <c r="C869">
        <v>0</v>
      </c>
      <c r="D869">
        <v>0</v>
      </c>
      <c r="E869">
        <f>ABS(Table1[[#This Row],[Flux in SC / glucose uptake ($mmol/mmol\ glc$)]]-Table1[[#This Row],[Flux in RT / glucose uptake ($mmol/mmol\ glc$)]])/SQRT(2)</f>
        <v>0</v>
      </c>
      <c r="F869">
        <f>Table1[[#This Row],[distance from 45-degree line]]/MAX(Table1[[Flux in SC / glucose uptake ($mmol/mmol\ glc$)]:[Flux in RT / glucose uptake ($mmol/mmol\ glc$)]])</f>
        <v>0</v>
      </c>
      <c r="G869">
        <f>_xlfn.RANK.AVG(Table1[[#This Row],[Flux in SC / glucose uptake ($mmol/mmol\ glc$)]],Table1[Flux in SC / glucose uptake ($mmol/mmol\ glc$)])</f>
        <v>1310.5</v>
      </c>
      <c r="H869">
        <f>_xlfn.RANK.AVG(Table1[[#This Row],[Flux in RT / glucose uptake ($mmol/mmol\ glc$)]],Table1[Flux in RT / glucose uptake ($mmol/mmol\ glc$)])</f>
        <v>1290.5</v>
      </c>
      <c r="I869" t="e">
        <f>LOG(Table1[[#This Row],[Flux in SC / glucose uptake ($mmol/mmol\ glc$)]])</f>
        <v>#NUM!</v>
      </c>
      <c r="J869" t="e">
        <f>LOG(Table1[[#This Row],[Flux in RT / glucose uptake ($mmol/mmol\ glc$)]])</f>
        <v>#NUM!</v>
      </c>
    </row>
    <row r="870" spans="1:10" x14ac:dyDescent="0.2">
      <c r="A870" t="s">
        <v>873</v>
      </c>
      <c r="B870" t="s">
        <v>3184</v>
      </c>
      <c r="C870">
        <v>0</v>
      </c>
      <c r="D870">
        <v>0</v>
      </c>
      <c r="E870">
        <f>ABS(Table1[[#This Row],[Flux in SC / glucose uptake ($mmol/mmol\ glc$)]]-Table1[[#This Row],[Flux in RT / glucose uptake ($mmol/mmol\ glc$)]])/SQRT(2)</f>
        <v>0</v>
      </c>
      <c r="F870">
        <f>Table1[[#This Row],[distance from 45-degree line]]/MAX(Table1[[Flux in SC / glucose uptake ($mmol/mmol\ glc$)]:[Flux in RT / glucose uptake ($mmol/mmol\ glc$)]])</f>
        <v>0</v>
      </c>
      <c r="G870">
        <f>_xlfn.RANK.AVG(Table1[[#This Row],[Flux in SC / glucose uptake ($mmol/mmol\ glc$)]],Table1[Flux in SC / glucose uptake ($mmol/mmol\ glc$)])</f>
        <v>1310.5</v>
      </c>
      <c r="H870">
        <f>_xlfn.RANK.AVG(Table1[[#This Row],[Flux in RT / glucose uptake ($mmol/mmol\ glc$)]],Table1[Flux in RT / glucose uptake ($mmol/mmol\ glc$)])</f>
        <v>1290.5</v>
      </c>
      <c r="I870" t="e">
        <f>LOG(Table1[[#This Row],[Flux in SC / glucose uptake ($mmol/mmol\ glc$)]])</f>
        <v>#NUM!</v>
      </c>
      <c r="J870" t="e">
        <f>LOG(Table1[[#This Row],[Flux in RT / glucose uptake ($mmol/mmol\ glc$)]])</f>
        <v>#NUM!</v>
      </c>
    </row>
    <row r="871" spans="1:10" x14ac:dyDescent="0.2">
      <c r="A871" t="s">
        <v>874</v>
      </c>
      <c r="B871" t="s">
        <v>3184</v>
      </c>
      <c r="C871">
        <v>0</v>
      </c>
      <c r="D871">
        <v>0</v>
      </c>
      <c r="E871">
        <f>ABS(Table1[[#This Row],[Flux in SC / glucose uptake ($mmol/mmol\ glc$)]]-Table1[[#This Row],[Flux in RT / glucose uptake ($mmol/mmol\ glc$)]])/SQRT(2)</f>
        <v>0</v>
      </c>
      <c r="F871">
        <f>Table1[[#This Row],[distance from 45-degree line]]/MAX(Table1[[Flux in SC / glucose uptake ($mmol/mmol\ glc$)]:[Flux in RT / glucose uptake ($mmol/mmol\ glc$)]])</f>
        <v>0</v>
      </c>
      <c r="G871">
        <f>_xlfn.RANK.AVG(Table1[[#This Row],[Flux in SC / glucose uptake ($mmol/mmol\ glc$)]],Table1[Flux in SC / glucose uptake ($mmol/mmol\ glc$)])</f>
        <v>1310.5</v>
      </c>
      <c r="H871">
        <f>_xlfn.RANK.AVG(Table1[[#This Row],[Flux in RT / glucose uptake ($mmol/mmol\ glc$)]],Table1[Flux in RT / glucose uptake ($mmol/mmol\ glc$)])</f>
        <v>1290.5</v>
      </c>
      <c r="I871" t="e">
        <f>LOG(Table1[[#This Row],[Flux in SC / glucose uptake ($mmol/mmol\ glc$)]])</f>
        <v>#NUM!</v>
      </c>
      <c r="J871" t="e">
        <f>LOG(Table1[[#This Row],[Flux in RT / glucose uptake ($mmol/mmol\ glc$)]])</f>
        <v>#NUM!</v>
      </c>
    </row>
    <row r="872" spans="1:10" x14ac:dyDescent="0.2">
      <c r="A872" t="s">
        <v>875</v>
      </c>
      <c r="B872" t="s">
        <v>3184</v>
      </c>
      <c r="C872">
        <v>1.815805243158865E-5</v>
      </c>
      <c r="D872">
        <v>9.3242412228088808E-5</v>
      </c>
      <c r="E872">
        <f>ABS(Table1[[#This Row],[Flux in SC / glucose uptake ($mmol/mmol\ glc$)]]-Table1[[#This Row],[Flux in RT / glucose uptake ($mmol/mmol\ glc$)]])/SQRT(2)</f>
        <v>5.3092659973155837E-5</v>
      </c>
      <c r="F872">
        <f>Table1[[#This Row],[distance from 45-degree line]]/MAX(Table1[[Flux in SC / glucose uptake ($mmol/mmol\ glc$)]:[Flux in RT / glucose uptake ($mmol/mmol\ glc$)]])</f>
        <v>2.8616337903271836E-6</v>
      </c>
      <c r="G872">
        <f>_xlfn.RANK.AVG(Table1[[#This Row],[Flux in SC / glucose uptake ($mmol/mmol\ glc$)]],Table1[Flux in SC / glucose uptake ($mmol/mmol\ glc$)])</f>
        <v>281.5</v>
      </c>
      <c r="H872">
        <f>_xlfn.RANK.AVG(Table1[[#This Row],[Flux in RT / glucose uptake ($mmol/mmol\ glc$)]],Table1[Flux in RT / glucose uptake ($mmol/mmol\ glc$)])</f>
        <v>277.5</v>
      </c>
      <c r="I872">
        <f>LOG(Table1[[#This Row],[Flux in SC / glucose uptake ($mmol/mmol\ glc$)]])</f>
        <v>-4.7409307342054783</v>
      </c>
      <c r="J872">
        <f>LOG(Table1[[#This Row],[Flux in RT / glucose uptake ($mmol/mmol\ glc$)]])</f>
        <v>-4.0303864995895049</v>
      </c>
    </row>
    <row r="873" spans="1:10" x14ac:dyDescent="0.2">
      <c r="A873" t="s">
        <v>876</v>
      </c>
      <c r="B873" t="s">
        <v>3184</v>
      </c>
      <c r="C873">
        <v>0</v>
      </c>
      <c r="D873">
        <v>0</v>
      </c>
      <c r="E873">
        <f>ABS(Table1[[#This Row],[Flux in SC / glucose uptake ($mmol/mmol\ glc$)]]-Table1[[#This Row],[Flux in RT / glucose uptake ($mmol/mmol\ glc$)]])/SQRT(2)</f>
        <v>0</v>
      </c>
      <c r="F873">
        <f>Table1[[#This Row],[distance from 45-degree line]]/MAX(Table1[[Flux in SC / glucose uptake ($mmol/mmol\ glc$)]:[Flux in RT / glucose uptake ($mmol/mmol\ glc$)]])</f>
        <v>0</v>
      </c>
      <c r="G873">
        <f>_xlfn.RANK.AVG(Table1[[#This Row],[Flux in SC / glucose uptake ($mmol/mmol\ glc$)]],Table1[Flux in SC / glucose uptake ($mmol/mmol\ glc$)])</f>
        <v>1310.5</v>
      </c>
      <c r="H873">
        <f>_xlfn.RANK.AVG(Table1[[#This Row],[Flux in RT / glucose uptake ($mmol/mmol\ glc$)]],Table1[Flux in RT / glucose uptake ($mmol/mmol\ glc$)])</f>
        <v>1290.5</v>
      </c>
      <c r="I873" t="e">
        <f>LOG(Table1[[#This Row],[Flux in SC / glucose uptake ($mmol/mmol\ glc$)]])</f>
        <v>#NUM!</v>
      </c>
      <c r="J873" t="e">
        <f>LOG(Table1[[#This Row],[Flux in RT / glucose uptake ($mmol/mmol\ glc$)]])</f>
        <v>#NUM!</v>
      </c>
    </row>
    <row r="874" spans="1:10" x14ac:dyDescent="0.2">
      <c r="A874" t="s">
        <v>877</v>
      </c>
      <c r="B874" t="s">
        <v>3184</v>
      </c>
      <c r="C874">
        <v>0</v>
      </c>
      <c r="D874">
        <v>0</v>
      </c>
      <c r="E874">
        <f>ABS(Table1[[#This Row],[Flux in SC / glucose uptake ($mmol/mmol\ glc$)]]-Table1[[#This Row],[Flux in RT / glucose uptake ($mmol/mmol\ glc$)]])/SQRT(2)</f>
        <v>0</v>
      </c>
      <c r="F874">
        <f>Table1[[#This Row],[distance from 45-degree line]]/MAX(Table1[[Flux in SC / glucose uptake ($mmol/mmol\ glc$)]:[Flux in RT / glucose uptake ($mmol/mmol\ glc$)]])</f>
        <v>0</v>
      </c>
      <c r="G874">
        <f>_xlfn.RANK.AVG(Table1[[#This Row],[Flux in SC / glucose uptake ($mmol/mmol\ glc$)]],Table1[Flux in SC / glucose uptake ($mmol/mmol\ glc$)])</f>
        <v>1310.5</v>
      </c>
      <c r="H874">
        <f>_xlfn.RANK.AVG(Table1[[#This Row],[Flux in RT / glucose uptake ($mmol/mmol\ glc$)]],Table1[Flux in RT / glucose uptake ($mmol/mmol\ glc$)])</f>
        <v>1290.5</v>
      </c>
      <c r="I874" t="e">
        <f>LOG(Table1[[#This Row],[Flux in SC / glucose uptake ($mmol/mmol\ glc$)]])</f>
        <v>#NUM!</v>
      </c>
      <c r="J874" t="e">
        <f>LOG(Table1[[#This Row],[Flux in RT / glucose uptake ($mmol/mmol\ glc$)]])</f>
        <v>#NUM!</v>
      </c>
    </row>
    <row r="875" spans="1:10" x14ac:dyDescent="0.2">
      <c r="A875" t="s">
        <v>878</v>
      </c>
      <c r="B875" t="s">
        <v>3184</v>
      </c>
      <c r="C875">
        <v>0</v>
      </c>
      <c r="D875">
        <v>0</v>
      </c>
      <c r="E875">
        <f>ABS(Table1[[#This Row],[Flux in SC / glucose uptake ($mmol/mmol\ glc$)]]-Table1[[#This Row],[Flux in RT / glucose uptake ($mmol/mmol\ glc$)]])/SQRT(2)</f>
        <v>0</v>
      </c>
      <c r="F875">
        <f>Table1[[#This Row],[distance from 45-degree line]]/MAX(Table1[[Flux in SC / glucose uptake ($mmol/mmol\ glc$)]:[Flux in RT / glucose uptake ($mmol/mmol\ glc$)]])</f>
        <v>0</v>
      </c>
      <c r="G875">
        <f>_xlfn.RANK.AVG(Table1[[#This Row],[Flux in SC / glucose uptake ($mmol/mmol\ glc$)]],Table1[Flux in SC / glucose uptake ($mmol/mmol\ glc$)])</f>
        <v>1310.5</v>
      </c>
      <c r="H875">
        <f>_xlfn.RANK.AVG(Table1[[#This Row],[Flux in RT / glucose uptake ($mmol/mmol\ glc$)]],Table1[Flux in RT / glucose uptake ($mmol/mmol\ glc$)])</f>
        <v>1290.5</v>
      </c>
      <c r="I875" t="e">
        <f>LOG(Table1[[#This Row],[Flux in SC / glucose uptake ($mmol/mmol\ glc$)]])</f>
        <v>#NUM!</v>
      </c>
      <c r="J875" t="e">
        <f>LOG(Table1[[#This Row],[Flux in RT / glucose uptake ($mmol/mmol\ glc$)]])</f>
        <v>#NUM!</v>
      </c>
    </row>
    <row r="876" spans="1:10" x14ac:dyDescent="0.2">
      <c r="A876" t="s">
        <v>879</v>
      </c>
      <c r="B876" t="s">
        <v>3184</v>
      </c>
      <c r="C876">
        <v>0</v>
      </c>
      <c r="D876">
        <v>0</v>
      </c>
      <c r="E876">
        <f>ABS(Table1[[#This Row],[Flux in SC / glucose uptake ($mmol/mmol\ glc$)]]-Table1[[#This Row],[Flux in RT / glucose uptake ($mmol/mmol\ glc$)]])/SQRT(2)</f>
        <v>0</v>
      </c>
      <c r="F876">
        <f>Table1[[#This Row],[distance from 45-degree line]]/MAX(Table1[[Flux in SC / glucose uptake ($mmol/mmol\ glc$)]:[Flux in RT / glucose uptake ($mmol/mmol\ glc$)]])</f>
        <v>0</v>
      </c>
      <c r="G876">
        <f>_xlfn.RANK.AVG(Table1[[#This Row],[Flux in SC / glucose uptake ($mmol/mmol\ glc$)]],Table1[Flux in SC / glucose uptake ($mmol/mmol\ glc$)])</f>
        <v>1310.5</v>
      </c>
      <c r="H876">
        <f>_xlfn.RANK.AVG(Table1[[#This Row],[Flux in RT / glucose uptake ($mmol/mmol\ glc$)]],Table1[Flux in RT / glucose uptake ($mmol/mmol\ glc$)])</f>
        <v>1290.5</v>
      </c>
      <c r="I876" t="e">
        <f>LOG(Table1[[#This Row],[Flux in SC / glucose uptake ($mmol/mmol\ glc$)]])</f>
        <v>#NUM!</v>
      </c>
      <c r="J876" t="e">
        <f>LOG(Table1[[#This Row],[Flux in RT / glucose uptake ($mmol/mmol\ glc$)]])</f>
        <v>#NUM!</v>
      </c>
    </row>
    <row r="877" spans="1:10" x14ac:dyDescent="0.2">
      <c r="A877" t="s">
        <v>880</v>
      </c>
      <c r="B877" t="s">
        <v>3184</v>
      </c>
      <c r="C877">
        <v>0</v>
      </c>
      <c r="D877">
        <v>0</v>
      </c>
      <c r="E877">
        <f>ABS(Table1[[#This Row],[Flux in SC / glucose uptake ($mmol/mmol\ glc$)]]-Table1[[#This Row],[Flux in RT / glucose uptake ($mmol/mmol\ glc$)]])/SQRT(2)</f>
        <v>0</v>
      </c>
      <c r="F877">
        <f>Table1[[#This Row],[distance from 45-degree line]]/MAX(Table1[[Flux in SC / glucose uptake ($mmol/mmol\ glc$)]:[Flux in RT / glucose uptake ($mmol/mmol\ glc$)]])</f>
        <v>0</v>
      </c>
      <c r="G877">
        <f>_xlfn.RANK.AVG(Table1[[#This Row],[Flux in SC / glucose uptake ($mmol/mmol\ glc$)]],Table1[Flux in SC / glucose uptake ($mmol/mmol\ glc$)])</f>
        <v>1310.5</v>
      </c>
      <c r="H877">
        <f>_xlfn.RANK.AVG(Table1[[#This Row],[Flux in RT / glucose uptake ($mmol/mmol\ glc$)]],Table1[Flux in RT / glucose uptake ($mmol/mmol\ glc$)])</f>
        <v>1290.5</v>
      </c>
      <c r="I877" t="e">
        <f>LOG(Table1[[#This Row],[Flux in SC / glucose uptake ($mmol/mmol\ glc$)]])</f>
        <v>#NUM!</v>
      </c>
      <c r="J877" t="e">
        <f>LOG(Table1[[#This Row],[Flux in RT / glucose uptake ($mmol/mmol\ glc$)]])</f>
        <v>#NUM!</v>
      </c>
    </row>
    <row r="878" spans="1:10" x14ac:dyDescent="0.2">
      <c r="A878" t="s">
        <v>881</v>
      </c>
      <c r="B878" t="s">
        <v>3184</v>
      </c>
      <c r="C878">
        <v>1.9142318646306125</v>
      </c>
      <c r="D878">
        <v>3.1205967300881126</v>
      </c>
      <c r="E878">
        <f>ABS(Table1[[#This Row],[Flux in SC / glucose uptake ($mmol/mmol\ glc$)]]-Table1[[#This Row],[Flux in RT / glucose uptake ($mmol/mmol\ glc$)]])/SQRT(2)</f>
        <v>0.8530287769501953</v>
      </c>
      <c r="F878">
        <f>Table1[[#This Row],[distance from 45-degree line]]/MAX(Table1[[Flux in SC / glucose uptake ($mmol/mmol\ glc$)]:[Flux in RT / glucose uptake ($mmol/mmol\ glc$)]])</f>
        <v>4.5977277715533005E-2</v>
      </c>
      <c r="G878">
        <f>_xlfn.RANK.AVG(Table1[[#This Row],[Flux in SC / glucose uptake ($mmol/mmol\ glc$)]],Table1[Flux in SC / glucose uptake ($mmol/mmol\ glc$)])</f>
        <v>1.5</v>
      </c>
      <c r="H878">
        <f>_xlfn.RANK.AVG(Table1[[#This Row],[Flux in RT / glucose uptake ($mmol/mmol\ glc$)]],Table1[Flux in RT / glucose uptake ($mmol/mmol\ glc$)])</f>
        <v>9.5</v>
      </c>
      <c r="I878">
        <f>LOG(Table1[[#This Row],[Flux in SC / glucose uptake ($mmol/mmol\ glc$)]])</f>
        <v>0.28199454129390544</v>
      </c>
      <c r="J878">
        <f>LOG(Table1[[#This Row],[Flux in RT / glucose uptake ($mmol/mmol\ glc$)]])</f>
        <v>0.49423764908399231</v>
      </c>
    </row>
    <row r="879" spans="1:10" x14ac:dyDescent="0.2">
      <c r="A879" t="s">
        <v>882</v>
      </c>
      <c r="B879" t="s">
        <v>3184</v>
      </c>
      <c r="C879">
        <v>0</v>
      </c>
      <c r="D879">
        <v>0</v>
      </c>
      <c r="E879">
        <f>ABS(Table1[[#This Row],[Flux in SC / glucose uptake ($mmol/mmol\ glc$)]]-Table1[[#This Row],[Flux in RT / glucose uptake ($mmol/mmol\ glc$)]])/SQRT(2)</f>
        <v>0</v>
      </c>
      <c r="F879">
        <f>Table1[[#This Row],[distance from 45-degree line]]/MAX(Table1[[Flux in SC / glucose uptake ($mmol/mmol\ glc$)]:[Flux in RT / glucose uptake ($mmol/mmol\ glc$)]])</f>
        <v>0</v>
      </c>
      <c r="G879">
        <f>_xlfn.RANK.AVG(Table1[[#This Row],[Flux in SC / glucose uptake ($mmol/mmol\ glc$)]],Table1[Flux in SC / glucose uptake ($mmol/mmol\ glc$)])</f>
        <v>1310.5</v>
      </c>
      <c r="H879">
        <f>_xlfn.RANK.AVG(Table1[[#This Row],[Flux in RT / glucose uptake ($mmol/mmol\ glc$)]],Table1[Flux in RT / glucose uptake ($mmol/mmol\ glc$)])</f>
        <v>1290.5</v>
      </c>
      <c r="I879" t="e">
        <f>LOG(Table1[[#This Row],[Flux in SC / glucose uptake ($mmol/mmol\ glc$)]])</f>
        <v>#NUM!</v>
      </c>
      <c r="J879" t="e">
        <f>LOG(Table1[[#This Row],[Flux in RT / glucose uptake ($mmol/mmol\ glc$)]])</f>
        <v>#NUM!</v>
      </c>
    </row>
    <row r="880" spans="1:10" x14ac:dyDescent="0.2">
      <c r="A880" t="s">
        <v>883</v>
      </c>
      <c r="B880" t="s">
        <v>3184</v>
      </c>
      <c r="C880">
        <v>0</v>
      </c>
      <c r="D880">
        <v>0</v>
      </c>
      <c r="E880">
        <f>ABS(Table1[[#This Row],[Flux in SC / glucose uptake ($mmol/mmol\ glc$)]]-Table1[[#This Row],[Flux in RT / glucose uptake ($mmol/mmol\ glc$)]])/SQRT(2)</f>
        <v>0</v>
      </c>
      <c r="F880">
        <f>Table1[[#This Row],[distance from 45-degree line]]/MAX(Table1[[Flux in SC / glucose uptake ($mmol/mmol\ glc$)]:[Flux in RT / glucose uptake ($mmol/mmol\ glc$)]])</f>
        <v>0</v>
      </c>
      <c r="G880">
        <f>_xlfn.RANK.AVG(Table1[[#This Row],[Flux in SC / glucose uptake ($mmol/mmol\ glc$)]],Table1[Flux in SC / glucose uptake ($mmol/mmol\ glc$)])</f>
        <v>1310.5</v>
      </c>
      <c r="H880">
        <f>_xlfn.RANK.AVG(Table1[[#This Row],[Flux in RT / glucose uptake ($mmol/mmol\ glc$)]],Table1[Flux in RT / glucose uptake ($mmol/mmol\ glc$)])</f>
        <v>1290.5</v>
      </c>
      <c r="I880" t="e">
        <f>LOG(Table1[[#This Row],[Flux in SC / glucose uptake ($mmol/mmol\ glc$)]])</f>
        <v>#NUM!</v>
      </c>
      <c r="J880" t="e">
        <f>LOG(Table1[[#This Row],[Flux in RT / glucose uptake ($mmol/mmol\ glc$)]])</f>
        <v>#NUM!</v>
      </c>
    </row>
    <row r="881" spans="1:10" x14ac:dyDescent="0.2">
      <c r="A881" t="s">
        <v>884</v>
      </c>
      <c r="B881" t="s">
        <v>3184</v>
      </c>
      <c r="C881">
        <v>0</v>
      </c>
      <c r="D881">
        <v>0</v>
      </c>
      <c r="E881">
        <f>ABS(Table1[[#This Row],[Flux in SC / glucose uptake ($mmol/mmol\ glc$)]]-Table1[[#This Row],[Flux in RT / glucose uptake ($mmol/mmol\ glc$)]])/SQRT(2)</f>
        <v>0</v>
      </c>
      <c r="F881">
        <f>Table1[[#This Row],[distance from 45-degree line]]/MAX(Table1[[Flux in SC / glucose uptake ($mmol/mmol\ glc$)]:[Flux in RT / glucose uptake ($mmol/mmol\ glc$)]])</f>
        <v>0</v>
      </c>
      <c r="G881">
        <f>_xlfn.RANK.AVG(Table1[[#This Row],[Flux in SC / glucose uptake ($mmol/mmol\ glc$)]],Table1[Flux in SC / glucose uptake ($mmol/mmol\ glc$)])</f>
        <v>1310.5</v>
      </c>
      <c r="H881">
        <f>_xlfn.RANK.AVG(Table1[[#This Row],[Flux in RT / glucose uptake ($mmol/mmol\ glc$)]],Table1[Flux in RT / glucose uptake ($mmol/mmol\ glc$)])</f>
        <v>1290.5</v>
      </c>
      <c r="I881" t="e">
        <f>LOG(Table1[[#This Row],[Flux in SC / glucose uptake ($mmol/mmol\ glc$)]])</f>
        <v>#NUM!</v>
      </c>
      <c r="J881" t="e">
        <f>LOG(Table1[[#This Row],[Flux in RT / glucose uptake ($mmol/mmol\ glc$)]])</f>
        <v>#NUM!</v>
      </c>
    </row>
    <row r="882" spans="1:10" x14ac:dyDescent="0.2">
      <c r="A882" t="s">
        <v>885</v>
      </c>
      <c r="B882" t="s">
        <v>3184</v>
      </c>
      <c r="C882">
        <v>1.6105203231866522E-6</v>
      </c>
      <c r="D882">
        <v>8.2656570715413093E-6</v>
      </c>
      <c r="E882">
        <f>ABS(Table1[[#This Row],[Flux in SC / glucose uptake ($mmol/mmol\ glc$)]]-Table1[[#This Row],[Flux in RT / glucose uptake ($mmol/mmol\ glc$)]])/SQRT(2)</f>
        <v>4.7058923244853675E-6</v>
      </c>
      <c r="F882">
        <f>Table1[[#This Row],[distance from 45-degree line]]/MAX(Table1[[Flux in SC / glucose uptake ($mmol/mmol\ glc$)]:[Flux in RT / glucose uptake ($mmol/mmol\ glc$)]])</f>
        <v>2.5364222655631638E-7</v>
      </c>
      <c r="G882">
        <f>_xlfn.RANK.AVG(Table1[[#This Row],[Flux in SC / glucose uptake ($mmol/mmol\ glc$)]],Table1[Flux in SC / glucose uptake ($mmol/mmol\ glc$)])</f>
        <v>285.5</v>
      </c>
      <c r="H882">
        <f>_xlfn.RANK.AVG(Table1[[#This Row],[Flux in RT / glucose uptake ($mmol/mmol\ glc$)]],Table1[Flux in RT / glucose uptake ($mmol/mmol\ glc$)])</f>
        <v>281.5</v>
      </c>
      <c r="I882">
        <f>LOG(Table1[[#This Row],[Flux in SC / glucose uptake ($mmol/mmol\ glc$)]])</f>
        <v>-5.7930337904393667</v>
      </c>
      <c r="J882">
        <f>LOG(Table1[[#This Row],[Flux in RT / glucose uptake ($mmol/mmol\ glc$)]])</f>
        <v>-5.0827226168412363</v>
      </c>
    </row>
    <row r="883" spans="1:10" x14ac:dyDescent="0.2">
      <c r="A883" t="s">
        <v>886</v>
      </c>
      <c r="B883" t="s">
        <v>3184</v>
      </c>
      <c r="C883">
        <v>0</v>
      </c>
      <c r="D883">
        <v>0</v>
      </c>
      <c r="E883">
        <f>ABS(Table1[[#This Row],[Flux in SC / glucose uptake ($mmol/mmol\ glc$)]]-Table1[[#This Row],[Flux in RT / glucose uptake ($mmol/mmol\ glc$)]])/SQRT(2)</f>
        <v>0</v>
      </c>
      <c r="F883">
        <f>Table1[[#This Row],[distance from 45-degree line]]/MAX(Table1[[Flux in SC / glucose uptake ($mmol/mmol\ glc$)]:[Flux in RT / glucose uptake ($mmol/mmol\ glc$)]])</f>
        <v>0</v>
      </c>
      <c r="G883">
        <f>_xlfn.RANK.AVG(Table1[[#This Row],[Flux in SC / glucose uptake ($mmol/mmol\ glc$)]],Table1[Flux in SC / glucose uptake ($mmol/mmol\ glc$)])</f>
        <v>1310.5</v>
      </c>
      <c r="H883">
        <f>_xlfn.RANK.AVG(Table1[[#This Row],[Flux in RT / glucose uptake ($mmol/mmol\ glc$)]],Table1[Flux in RT / glucose uptake ($mmol/mmol\ glc$)])</f>
        <v>1290.5</v>
      </c>
      <c r="I883" t="e">
        <f>LOG(Table1[[#This Row],[Flux in SC / glucose uptake ($mmol/mmol\ glc$)]])</f>
        <v>#NUM!</v>
      </c>
      <c r="J883" t="e">
        <f>LOG(Table1[[#This Row],[Flux in RT / glucose uptake ($mmol/mmol\ glc$)]])</f>
        <v>#NUM!</v>
      </c>
    </row>
    <row r="884" spans="1:10" x14ac:dyDescent="0.2">
      <c r="A884" t="s">
        <v>887</v>
      </c>
      <c r="B884" t="s">
        <v>3184</v>
      </c>
      <c r="C884">
        <v>0</v>
      </c>
      <c r="D884">
        <v>0</v>
      </c>
      <c r="E884">
        <f>ABS(Table1[[#This Row],[Flux in SC / glucose uptake ($mmol/mmol\ glc$)]]-Table1[[#This Row],[Flux in RT / glucose uptake ($mmol/mmol\ glc$)]])/SQRT(2)</f>
        <v>0</v>
      </c>
      <c r="F884">
        <f>Table1[[#This Row],[distance from 45-degree line]]/MAX(Table1[[Flux in SC / glucose uptake ($mmol/mmol\ glc$)]:[Flux in RT / glucose uptake ($mmol/mmol\ glc$)]])</f>
        <v>0</v>
      </c>
      <c r="G884">
        <f>_xlfn.RANK.AVG(Table1[[#This Row],[Flux in SC / glucose uptake ($mmol/mmol\ glc$)]],Table1[Flux in SC / glucose uptake ($mmol/mmol\ glc$)])</f>
        <v>1310.5</v>
      </c>
      <c r="H884">
        <f>_xlfn.RANK.AVG(Table1[[#This Row],[Flux in RT / glucose uptake ($mmol/mmol\ glc$)]],Table1[Flux in RT / glucose uptake ($mmol/mmol\ glc$)])</f>
        <v>1290.5</v>
      </c>
      <c r="I884" t="e">
        <f>LOG(Table1[[#This Row],[Flux in SC / glucose uptake ($mmol/mmol\ glc$)]])</f>
        <v>#NUM!</v>
      </c>
      <c r="J884" t="e">
        <f>LOG(Table1[[#This Row],[Flux in RT / glucose uptake ($mmol/mmol\ glc$)]])</f>
        <v>#NUM!</v>
      </c>
    </row>
    <row r="885" spans="1:10" x14ac:dyDescent="0.2">
      <c r="A885" t="s">
        <v>888</v>
      </c>
      <c r="B885" t="s">
        <v>3184</v>
      </c>
      <c r="C885">
        <v>0</v>
      </c>
      <c r="D885">
        <v>0</v>
      </c>
      <c r="E885">
        <f>ABS(Table1[[#This Row],[Flux in SC / glucose uptake ($mmol/mmol\ glc$)]]-Table1[[#This Row],[Flux in RT / glucose uptake ($mmol/mmol\ glc$)]])/SQRT(2)</f>
        <v>0</v>
      </c>
      <c r="F885">
        <f>Table1[[#This Row],[distance from 45-degree line]]/MAX(Table1[[Flux in SC / glucose uptake ($mmol/mmol\ glc$)]:[Flux in RT / glucose uptake ($mmol/mmol\ glc$)]])</f>
        <v>0</v>
      </c>
      <c r="G885">
        <f>_xlfn.RANK.AVG(Table1[[#This Row],[Flux in SC / glucose uptake ($mmol/mmol\ glc$)]],Table1[Flux in SC / glucose uptake ($mmol/mmol\ glc$)])</f>
        <v>1310.5</v>
      </c>
      <c r="H885">
        <f>_xlfn.RANK.AVG(Table1[[#This Row],[Flux in RT / glucose uptake ($mmol/mmol\ glc$)]],Table1[Flux in RT / glucose uptake ($mmol/mmol\ glc$)])</f>
        <v>1290.5</v>
      </c>
      <c r="I885" t="e">
        <f>LOG(Table1[[#This Row],[Flux in SC / glucose uptake ($mmol/mmol\ glc$)]])</f>
        <v>#NUM!</v>
      </c>
      <c r="J885" t="e">
        <f>LOG(Table1[[#This Row],[Flux in RT / glucose uptake ($mmol/mmol\ glc$)]])</f>
        <v>#NUM!</v>
      </c>
    </row>
    <row r="886" spans="1:10" x14ac:dyDescent="0.2">
      <c r="A886" t="s">
        <v>889</v>
      </c>
      <c r="B886" t="s">
        <v>3184</v>
      </c>
      <c r="C886">
        <v>0</v>
      </c>
      <c r="D886">
        <v>0</v>
      </c>
      <c r="E886">
        <f>ABS(Table1[[#This Row],[Flux in SC / glucose uptake ($mmol/mmol\ glc$)]]-Table1[[#This Row],[Flux in RT / glucose uptake ($mmol/mmol\ glc$)]])/SQRT(2)</f>
        <v>0</v>
      </c>
      <c r="F886">
        <f>Table1[[#This Row],[distance from 45-degree line]]/MAX(Table1[[Flux in SC / glucose uptake ($mmol/mmol\ glc$)]:[Flux in RT / glucose uptake ($mmol/mmol\ glc$)]])</f>
        <v>0</v>
      </c>
      <c r="G886">
        <f>_xlfn.RANK.AVG(Table1[[#This Row],[Flux in SC / glucose uptake ($mmol/mmol\ glc$)]],Table1[Flux in SC / glucose uptake ($mmol/mmol\ glc$)])</f>
        <v>1310.5</v>
      </c>
      <c r="H886">
        <f>_xlfn.RANK.AVG(Table1[[#This Row],[Flux in RT / glucose uptake ($mmol/mmol\ glc$)]],Table1[Flux in RT / glucose uptake ($mmol/mmol\ glc$)])</f>
        <v>1290.5</v>
      </c>
      <c r="I886" t="e">
        <f>LOG(Table1[[#This Row],[Flux in SC / glucose uptake ($mmol/mmol\ glc$)]])</f>
        <v>#NUM!</v>
      </c>
      <c r="J886" t="e">
        <f>LOG(Table1[[#This Row],[Flux in RT / glucose uptake ($mmol/mmol\ glc$)]])</f>
        <v>#NUM!</v>
      </c>
    </row>
    <row r="887" spans="1:10" x14ac:dyDescent="0.2">
      <c r="A887" t="s">
        <v>890</v>
      </c>
      <c r="B887" t="s">
        <v>3184</v>
      </c>
      <c r="C887">
        <v>0</v>
      </c>
      <c r="D887">
        <v>0</v>
      </c>
      <c r="E887">
        <f>ABS(Table1[[#This Row],[Flux in SC / glucose uptake ($mmol/mmol\ glc$)]]-Table1[[#This Row],[Flux in RT / glucose uptake ($mmol/mmol\ glc$)]])/SQRT(2)</f>
        <v>0</v>
      </c>
      <c r="F887">
        <f>Table1[[#This Row],[distance from 45-degree line]]/MAX(Table1[[Flux in SC / glucose uptake ($mmol/mmol\ glc$)]:[Flux in RT / glucose uptake ($mmol/mmol\ glc$)]])</f>
        <v>0</v>
      </c>
      <c r="G887">
        <f>_xlfn.RANK.AVG(Table1[[#This Row],[Flux in SC / glucose uptake ($mmol/mmol\ glc$)]],Table1[Flux in SC / glucose uptake ($mmol/mmol\ glc$)])</f>
        <v>1310.5</v>
      </c>
      <c r="H887">
        <f>_xlfn.RANK.AVG(Table1[[#This Row],[Flux in RT / glucose uptake ($mmol/mmol\ glc$)]],Table1[Flux in RT / glucose uptake ($mmol/mmol\ glc$)])</f>
        <v>1290.5</v>
      </c>
      <c r="I887" t="e">
        <f>LOG(Table1[[#This Row],[Flux in SC / glucose uptake ($mmol/mmol\ glc$)]])</f>
        <v>#NUM!</v>
      </c>
      <c r="J887" t="e">
        <f>LOG(Table1[[#This Row],[Flux in RT / glucose uptake ($mmol/mmol\ glc$)]])</f>
        <v>#NUM!</v>
      </c>
    </row>
    <row r="888" spans="1:10" x14ac:dyDescent="0.2">
      <c r="A888" t="s">
        <v>891</v>
      </c>
      <c r="B888" t="s">
        <v>3184</v>
      </c>
      <c r="C888">
        <v>0</v>
      </c>
      <c r="D888">
        <v>0</v>
      </c>
      <c r="E888">
        <f>ABS(Table1[[#This Row],[Flux in SC / glucose uptake ($mmol/mmol\ glc$)]]-Table1[[#This Row],[Flux in RT / glucose uptake ($mmol/mmol\ glc$)]])/SQRT(2)</f>
        <v>0</v>
      </c>
      <c r="F888">
        <f>Table1[[#This Row],[distance from 45-degree line]]/MAX(Table1[[Flux in SC / glucose uptake ($mmol/mmol\ glc$)]:[Flux in RT / glucose uptake ($mmol/mmol\ glc$)]])</f>
        <v>0</v>
      </c>
      <c r="G888">
        <f>_xlfn.RANK.AVG(Table1[[#This Row],[Flux in SC / glucose uptake ($mmol/mmol\ glc$)]],Table1[Flux in SC / glucose uptake ($mmol/mmol\ glc$)])</f>
        <v>1310.5</v>
      </c>
      <c r="H888">
        <f>_xlfn.RANK.AVG(Table1[[#This Row],[Flux in RT / glucose uptake ($mmol/mmol\ glc$)]],Table1[Flux in RT / glucose uptake ($mmol/mmol\ glc$)])</f>
        <v>1290.5</v>
      </c>
      <c r="I888" t="e">
        <f>LOG(Table1[[#This Row],[Flux in SC / glucose uptake ($mmol/mmol\ glc$)]])</f>
        <v>#NUM!</v>
      </c>
      <c r="J888" t="e">
        <f>LOG(Table1[[#This Row],[Flux in RT / glucose uptake ($mmol/mmol\ glc$)]])</f>
        <v>#NUM!</v>
      </c>
    </row>
    <row r="889" spans="1:10" x14ac:dyDescent="0.2">
      <c r="A889" t="s">
        <v>892</v>
      </c>
      <c r="B889" t="s">
        <v>3184</v>
      </c>
      <c r="C889">
        <v>0</v>
      </c>
      <c r="D889">
        <v>0</v>
      </c>
      <c r="E889">
        <f>ABS(Table1[[#This Row],[Flux in SC / glucose uptake ($mmol/mmol\ glc$)]]-Table1[[#This Row],[Flux in RT / glucose uptake ($mmol/mmol\ glc$)]])/SQRT(2)</f>
        <v>0</v>
      </c>
      <c r="F889">
        <f>Table1[[#This Row],[distance from 45-degree line]]/MAX(Table1[[Flux in SC / glucose uptake ($mmol/mmol\ glc$)]:[Flux in RT / glucose uptake ($mmol/mmol\ glc$)]])</f>
        <v>0</v>
      </c>
      <c r="G889">
        <f>_xlfn.RANK.AVG(Table1[[#This Row],[Flux in SC / glucose uptake ($mmol/mmol\ glc$)]],Table1[Flux in SC / glucose uptake ($mmol/mmol\ glc$)])</f>
        <v>1310.5</v>
      </c>
      <c r="H889">
        <f>_xlfn.RANK.AVG(Table1[[#This Row],[Flux in RT / glucose uptake ($mmol/mmol\ glc$)]],Table1[Flux in RT / glucose uptake ($mmol/mmol\ glc$)])</f>
        <v>1290.5</v>
      </c>
      <c r="I889" t="e">
        <f>LOG(Table1[[#This Row],[Flux in SC / glucose uptake ($mmol/mmol\ glc$)]])</f>
        <v>#NUM!</v>
      </c>
      <c r="J889" t="e">
        <f>LOG(Table1[[#This Row],[Flux in RT / glucose uptake ($mmol/mmol\ glc$)]])</f>
        <v>#NUM!</v>
      </c>
    </row>
    <row r="890" spans="1:10" x14ac:dyDescent="0.2">
      <c r="A890" t="s">
        <v>893</v>
      </c>
      <c r="B890" t="s">
        <v>3184</v>
      </c>
      <c r="C890">
        <v>0</v>
      </c>
      <c r="D890">
        <v>0</v>
      </c>
      <c r="E890">
        <f>ABS(Table1[[#This Row],[Flux in SC / glucose uptake ($mmol/mmol\ glc$)]]-Table1[[#This Row],[Flux in RT / glucose uptake ($mmol/mmol\ glc$)]])/SQRT(2)</f>
        <v>0</v>
      </c>
      <c r="F890">
        <f>Table1[[#This Row],[distance from 45-degree line]]/MAX(Table1[[Flux in SC / glucose uptake ($mmol/mmol\ glc$)]:[Flux in RT / glucose uptake ($mmol/mmol\ glc$)]])</f>
        <v>0</v>
      </c>
      <c r="G890">
        <f>_xlfn.RANK.AVG(Table1[[#This Row],[Flux in SC / glucose uptake ($mmol/mmol\ glc$)]],Table1[Flux in SC / glucose uptake ($mmol/mmol\ glc$)])</f>
        <v>1310.5</v>
      </c>
      <c r="H890">
        <f>_xlfn.RANK.AVG(Table1[[#This Row],[Flux in RT / glucose uptake ($mmol/mmol\ glc$)]],Table1[Flux in RT / glucose uptake ($mmol/mmol\ glc$)])</f>
        <v>1290.5</v>
      </c>
      <c r="I890" t="e">
        <f>LOG(Table1[[#This Row],[Flux in SC / glucose uptake ($mmol/mmol\ glc$)]])</f>
        <v>#NUM!</v>
      </c>
      <c r="J890" t="e">
        <f>LOG(Table1[[#This Row],[Flux in RT / glucose uptake ($mmol/mmol\ glc$)]])</f>
        <v>#NUM!</v>
      </c>
    </row>
    <row r="891" spans="1:10" x14ac:dyDescent="0.2">
      <c r="A891" t="s">
        <v>894</v>
      </c>
      <c r="B891" t="s">
        <v>3184</v>
      </c>
      <c r="C891">
        <v>0</v>
      </c>
      <c r="D891">
        <v>0</v>
      </c>
      <c r="E891">
        <f>ABS(Table1[[#This Row],[Flux in SC / glucose uptake ($mmol/mmol\ glc$)]]-Table1[[#This Row],[Flux in RT / glucose uptake ($mmol/mmol\ glc$)]])/SQRT(2)</f>
        <v>0</v>
      </c>
      <c r="F891">
        <f>Table1[[#This Row],[distance from 45-degree line]]/MAX(Table1[[Flux in SC / glucose uptake ($mmol/mmol\ glc$)]:[Flux in RT / glucose uptake ($mmol/mmol\ glc$)]])</f>
        <v>0</v>
      </c>
      <c r="G891">
        <f>_xlfn.RANK.AVG(Table1[[#This Row],[Flux in SC / glucose uptake ($mmol/mmol\ glc$)]],Table1[Flux in SC / glucose uptake ($mmol/mmol\ glc$)])</f>
        <v>1310.5</v>
      </c>
      <c r="H891">
        <f>_xlfn.RANK.AVG(Table1[[#This Row],[Flux in RT / glucose uptake ($mmol/mmol\ glc$)]],Table1[Flux in RT / glucose uptake ($mmol/mmol\ glc$)])</f>
        <v>1290.5</v>
      </c>
      <c r="I891" t="e">
        <f>LOG(Table1[[#This Row],[Flux in SC / glucose uptake ($mmol/mmol\ glc$)]])</f>
        <v>#NUM!</v>
      </c>
      <c r="J891" t="e">
        <f>LOG(Table1[[#This Row],[Flux in RT / glucose uptake ($mmol/mmol\ glc$)]])</f>
        <v>#NUM!</v>
      </c>
    </row>
    <row r="892" spans="1:10" x14ac:dyDescent="0.2">
      <c r="A892" t="s">
        <v>895</v>
      </c>
      <c r="B892" t="s">
        <v>3184</v>
      </c>
      <c r="C892">
        <v>0</v>
      </c>
      <c r="D892">
        <v>0</v>
      </c>
      <c r="E892">
        <f>ABS(Table1[[#This Row],[Flux in SC / glucose uptake ($mmol/mmol\ glc$)]]-Table1[[#This Row],[Flux in RT / glucose uptake ($mmol/mmol\ glc$)]])/SQRT(2)</f>
        <v>0</v>
      </c>
      <c r="F892">
        <f>Table1[[#This Row],[distance from 45-degree line]]/MAX(Table1[[Flux in SC / glucose uptake ($mmol/mmol\ glc$)]:[Flux in RT / glucose uptake ($mmol/mmol\ glc$)]])</f>
        <v>0</v>
      </c>
      <c r="G892">
        <f>_xlfn.RANK.AVG(Table1[[#This Row],[Flux in SC / glucose uptake ($mmol/mmol\ glc$)]],Table1[Flux in SC / glucose uptake ($mmol/mmol\ glc$)])</f>
        <v>1310.5</v>
      </c>
      <c r="H892">
        <f>_xlfn.RANK.AVG(Table1[[#This Row],[Flux in RT / glucose uptake ($mmol/mmol\ glc$)]],Table1[Flux in RT / glucose uptake ($mmol/mmol\ glc$)])</f>
        <v>1290.5</v>
      </c>
      <c r="I892" t="e">
        <f>LOG(Table1[[#This Row],[Flux in SC / glucose uptake ($mmol/mmol\ glc$)]])</f>
        <v>#NUM!</v>
      </c>
      <c r="J892" t="e">
        <f>LOG(Table1[[#This Row],[Flux in RT / glucose uptake ($mmol/mmol\ glc$)]])</f>
        <v>#NUM!</v>
      </c>
    </row>
    <row r="893" spans="1:10" x14ac:dyDescent="0.2">
      <c r="A893" t="s">
        <v>896</v>
      </c>
      <c r="B893" t="s">
        <v>3184</v>
      </c>
      <c r="C893">
        <v>0</v>
      </c>
      <c r="D893">
        <v>0</v>
      </c>
      <c r="E893">
        <f>ABS(Table1[[#This Row],[Flux in SC / glucose uptake ($mmol/mmol\ glc$)]]-Table1[[#This Row],[Flux in RT / glucose uptake ($mmol/mmol\ glc$)]])/SQRT(2)</f>
        <v>0</v>
      </c>
      <c r="F893">
        <f>Table1[[#This Row],[distance from 45-degree line]]/MAX(Table1[[Flux in SC / glucose uptake ($mmol/mmol\ glc$)]:[Flux in RT / glucose uptake ($mmol/mmol\ glc$)]])</f>
        <v>0</v>
      </c>
      <c r="G893">
        <f>_xlfn.RANK.AVG(Table1[[#This Row],[Flux in SC / glucose uptake ($mmol/mmol\ glc$)]],Table1[Flux in SC / glucose uptake ($mmol/mmol\ glc$)])</f>
        <v>1310.5</v>
      </c>
      <c r="H893">
        <f>_xlfn.RANK.AVG(Table1[[#This Row],[Flux in RT / glucose uptake ($mmol/mmol\ glc$)]],Table1[Flux in RT / glucose uptake ($mmol/mmol\ glc$)])</f>
        <v>1290.5</v>
      </c>
      <c r="I893" t="e">
        <f>LOG(Table1[[#This Row],[Flux in SC / glucose uptake ($mmol/mmol\ glc$)]])</f>
        <v>#NUM!</v>
      </c>
      <c r="J893" t="e">
        <f>LOG(Table1[[#This Row],[Flux in RT / glucose uptake ($mmol/mmol\ glc$)]])</f>
        <v>#NUM!</v>
      </c>
    </row>
    <row r="894" spans="1:10" x14ac:dyDescent="0.2">
      <c r="A894" t="s">
        <v>897</v>
      </c>
      <c r="B894" t="s">
        <v>3184</v>
      </c>
      <c r="C894">
        <v>0</v>
      </c>
      <c r="D894">
        <v>0</v>
      </c>
      <c r="E894">
        <f>ABS(Table1[[#This Row],[Flux in SC / glucose uptake ($mmol/mmol\ glc$)]]-Table1[[#This Row],[Flux in RT / glucose uptake ($mmol/mmol\ glc$)]])/SQRT(2)</f>
        <v>0</v>
      </c>
      <c r="F894">
        <f>Table1[[#This Row],[distance from 45-degree line]]/MAX(Table1[[Flux in SC / glucose uptake ($mmol/mmol\ glc$)]:[Flux in RT / glucose uptake ($mmol/mmol\ glc$)]])</f>
        <v>0</v>
      </c>
      <c r="G894">
        <f>_xlfn.RANK.AVG(Table1[[#This Row],[Flux in SC / glucose uptake ($mmol/mmol\ glc$)]],Table1[Flux in SC / glucose uptake ($mmol/mmol\ glc$)])</f>
        <v>1310.5</v>
      </c>
      <c r="H894">
        <f>_xlfn.RANK.AVG(Table1[[#This Row],[Flux in RT / glucose uptake ($mmol/mmol\ glc$)]],Table1[Flux in RT / glucose uptake ($mmol/mmol\ glc$)])</f>
        <v>1290.5</v>
      </c>
      <c r="I894" t="e">
        <f>LOG(Table1[[#This Row],[Flux in SC / glucose uptake ($mmol/mmol\ glc$)]])</f>
        <v>#NUM!</v>
      </c>
      <c r="J894" t="e">
        <f>LOG(Table1[[#This Row],[Flux in RT / glucose uptake ($mmol/mmol\ glc$)]])</f>
        <v>#NUM!</v>
      </c>
    </row>
    <row r="895" spans="1:10" x14ac:dyDescent="0.2">
      <c r="A895" t="s">
        <v>898</v>
      </c>
      <c r="B895" t="s">
        <v>3184</v>
      </c>
      <c r="C895">
        <v>0</v>
      </c>
      <c r="D895">
        <v>0</v>
      </c>
      <c r="E895">
        <f>ABS(Table1[[#This Row],[Flux in SC / glucose uptake ($mmol/mmol\ glc$)]]-Table1[[#This Row],[Flux in RT / glucose uptake ($mmol/mmol\ glc$)]])/SQRT(2)</f>
        <v>0</v>
      </c>
      <c r="F895">
        <f>Table1[[#This Row],[distance from 45-degree line]]/MAX(Table1[[Flux in SC / glucose uptake ($mmol/mmol\ glc$)]:[Flux in RT / glucose uptake ($mmol/mmol\ glc$)]])</f>
        <v>0</v>
      </c>
      <c r="G895">
        <f>_xlfn.RANK.AVG(Table1[[#This Row],[Flux in SC / glucose uptake ($mmol/mmol\ glc$)]],Table1[Flux in SC / glucose uptake ($mmol/mmol\ glc$)])</f>
        <v>1310.5</v>
      </c>
      <c r="H895">
        <f>_xlfn.RANK.AVG(Table1[[#This Row],[Flux in RT / glucose uptake ($mmol/mmol\ glc$)]],Table1[Flux in RT / glucose uptake ($mmol/mmol\ glc$)])</f>
        <v>1290.5</v>
      </c>
      <c r="I895" t="e">
        <f>LOG(Table1[[#This Row],[Flux in SC / glucose uptake ($mmol/mmol\ glc$)]])</f>
        <v>#NUM!</v>
      </c>
      <c r="J895" t="e">
        <f>LOG(Table1[[#This Row],[Flux in RT / glucose uptake ($mmol/mmol\ glc$)]])</f>
        <v>#NUM!</v>
      </c>
    </row>
    <row r="896" spans="1:10" x14ac:dyDescent="0.2">
      <c r="A896" t="s">
        <v>899</v>
      </c>
      <c r="B896" t="s">
        <v>3184</v>
      </c>
      <c r="C896">
        <v>0</v>
      </c>
      <c r="D896">
        <v>0</v>
      </c>
      <c r="E896">
        <f>ABS(Table1[[#This Row],[Flux in SC / glucose uptake ($mmol/mmol\ glc$)]]-Table1[[#This Row],[Flux in RT / glucose uptake ($mmol/mmol\ glc$)]])/SQRT(2)</f>
        <v>0</v>
      </c>
      <c r="F896">
        <f>Table1[[#This Row],[distance from 45-degree line]]/MAX(Table1[[Flux in SC / glucose uptake ($mmol/mmol\ glc$)]:[Flux in RT / glucose uptake ($mmol/mmol\ glc$)]])</f>
        <v>0</v>
      </c>
      <c r="G896">
        <f>_xlfn.RANK.AVG(Table1[[#This Row],[Flux in SC / glucose uptake ($mmol/mmol\ glc$)]],Table1[Flux in SC / glucose uptake ($mmol/mmol\ glc$)])</f>
        <v>1310.5</v>
      </c>
      <c r="H896">
        <f>_xlfn.RANK.AVG(Table1[[#This Row],[Flux in RT / glucose uptake ($mmol/mmol\ glc$)]],Table1[Flux in RT / glucose uptake ($mmol/mmol\ glc$)])</f>
        <v>1290.5</v>
      </c>
      <c r="I896" t="e">
        <f>LOG(Table1[[#This Row],[Flux in SC / glucose uptake ($mmol/mmol\ glc$)]])</f>
        <v>#NUM!</v>
      </c>
      <c r="J896" t="e">
        <f>LOG(Table1[[#This Row],[Flux in RT / glucose uptake ($mmol/mmol\ glc$)]])</f>
        <v>#NUM!</v>
      </c>
    </row>
    <row r="897" spans="1:10" x14ac:dyDescent="0.2">
      <c r="A897" t="s">
        <v>900</v>
      </c>
      <c r="B897" t="s">
        <v>3184</v>
      </c>
      <c r="C897">
        <v>0</v>
      </c>
      <c r="D897">
        <v>0</v>
      </c>
      <c r="E897">
        <f>ABS(Table1[[#This Row],[Flux in SC / glucose uptake ($mmol/mmol\ glc$)]]-Table1[[#This Row],[Flux in RT / glucose uptake ($mmol/mmol\ glc$)]])/SQRT(2)</f>
        <v>0</v>
      </c>
      <c r="F897">
        <f>Table1[[#This Row],[distance from 45-degree line]]/MAX(Table1[[Flux in SC / glucose uptake ($mmol/mmol\ glc$)]:[Flux in RT / glucose uptake ($mmol/mmol\ glc$)]])</f>
        <v>0</v>
      </c>
      <c r="G897">
        <f>_xlfn.RANK.AVG(Table1[[#This Row],[Flux in SC / glucose uptake ($mmol/mmol\ glc$)]],Table1[Flux in SC / glucose uptake ($mmol/mmol\ glc$)])</f>
        <v>1310.5</v>
      </c>
      <c r="H897">
        <f>_xlfn.RANK.AVG(Table1[[#This Row],[Flux in RT / glucose uptake ($mmol/mmol\ glc$)]],Table1[Flux in RT / glucose uptake ($mmol/mmol\ glc$)])</f>
        <v>1290.5</v>
      </c>
      <c r="I897" t="e">
        <f>LOG(Table1[[#This Row],[Flux in SC / glucose uptake ($mmol/mmol\ glc$)]])</f>
        <v>#NUM!</v>
      </c>
      <c r="J897" t="e">
        <f>LOG(Table1[[#This Row],[Flux in RT / glucose uptake ($mmol/mmol\ glc$)]])</f>
        <v>#NUM!</v>
      </c>
    </row>
    <row r="898" spans="1:10" x14ac:dyDescent="0.2">
      <c r="A898" t="s">
        <v>901</v>
      </c>
      <c r="B898" t="s">
        <v>3184</v>
      </c>
      <c r="C898">
        <v>0</v>
      </c>
      <c r="D898">
        <v>0</v>
      </c>
      <c r="E898">
        <f>ABS(Table1[[#This Row],[Flux in SC / glucose uptake ($mmol/mmol\ glc$)]]-Table1[[#This Row],[Flux in RT / glucose uptake ($mmol/mmol\ glc$)]])/SQRT(2)</f>
        <v>0</v>
      </c>
      <c r="F898">
        <f>Table1[[#This Row],[distance from 45-degree line]]/MAX(Table1[[Flux in SC / glucose uptake ($mmol/mmol\ glc$)]:[Flux in RT / glucose uptake ($mmol/mmol\ glc$)]])</f>
        <v>0</v>
      </c>
      <c r="G898">
        <f>_xlfn.RANK.AVG(Table1[[#This Row],[Flux in SC / glucose uptake ($mmol/mmol\ glc$)]],Table1[Flux in SC / glucose uptake ($mmol/mmol\ glc$)])</f>
        <v>1310.5</v>
      </c>
      <c r="H898">
        <f>_xlfn.RANK.AVG(Table1[[#This Row],[Flux in RT / glucose uptake ($mmol/mmol\ glc$)]],Table1[Flux in RT / glucose uptake ($mmol/mmol\ glc$)])</f>
        <v>1290.5</v>
      </c>
      <c r="I898" t="e">
        <f>LOG(Table1[[#This Row],[Flux in SC / glucose uptake ($mmol/mmol\ glc$)]])</f>
        <v>#NUM!</v>
      </c>
      <c r="J898" t="e">
        <f>LOG(Table1[[#This Row],[Flux in RT / glucose uptake ($mmol/mmol\ glc$)]])</f>
        <v>#NUM!</v>
      </c>
    </row>
    <row r="899" spans="1:10" x14ac:dyDescent="0.2">
      <c r="A899" t="s">
        <v>902</v>
      </c>
      <c r="B899" t="s">
        <v>3184</v>
      </c>
      <c r="C899">
        <v>0</v>
      </c>
      <c r="D899">
        <v>0</v>
      </c>
      <c r="E899">
        <f>ABS(Table1[[#This Row],[Flux in SC / glucose uptake ($mmol/mmol\ glc$)]]-Table1[[#This Row],[Flux in RT / glucose uptake ($mmol/mmol\ glc$)]])/SQRT(2)</f>
        <v>0</v>
      </c>
      <c r="F899">
        <f>Table1[[#This Row],[distance from 45-degree line]]/MAX(Table1[[Flux in SC / glucose uptake ($mmol/mmol\ glc$)]:[Flux in RT / glucose uptake ($mmol/mmol\ glc$)]])</f>
        <v>0</v>
      </c>
      <c r="G899">
        <f>_xlfn.RANK.AVG(Table1[[#This Row],[Flux in SC / glucose uptake ($mmol/mmol\ glc$)]],Table1[Flux in SC / glucose uptake ($mmol/mmol\ glc$)])</f>
        <v>1310.5</v>
      </c>
      <c r="H899">
        <f>_xlfn.RANK.AVG(Table1[[#This Row],[Flux in RT / glucose uptake ($mmol/mmol\ glc$)]],Table1[Flux in RT / glucose uptake ($mmol/mmol\ glc$)])</f>
        <v>1290.5</v>
      </c>
      <c r="I899" t="e">
        <f>LOG(Table1[[#This Row],[Flux in SC / glucose uptake ($mmol/mmol\ glc$)]])</f>
        <v>#NUM!</v>
      </c>
      <c r="J899" t="e">
        <f>LOG(Table1[[#This Row],[Flux in RT / glucose uptake ($mmol/mmol\ glc$)]])</f>
        <v>#NUM!</v>
      </c>
    </row>
    <row r="900" spans="1:10" x14ac:dyDescent="0.2">
      <c r="A900" t="s">
        <v>903</v>
      </c>
      <c r="B900" t="s">
        <v>3184</v>
      </c>
      <c r="C900">
        <v>1.6572966618337215</v>
      </c>
      <c r="D900">
        <v>0</v>
      </c>
      <c r="E900">
        <f>ABS(Table1[[#This Row],[Flux in SC / glucose uptake ($mmol/mmol\ glc$)]]-Table1[[#This Row],[Flux in RT / glucose uptake ($mmol/mmol\ glc$)]])/SQRT(2)</f>
        <v>1.1718857080204528</v>
      </c>
      <c r="F900">
        <f>Table1[[#This Row],[distance from 45-degree line]]/MAX(Table1[[Flux in SC / glucose uptake ($mmol/mmol\ glc$)]:[Flux in RT / glucose uptake ($mmol/mmol\ glc$)]])</f>
        <v>6.3163302463436363E-2</v>
      </c>
      <c r="G900">
        <f>_xlfn.RANK.AVG(Table1[[#This Row],[Flux in SC / glucose uptake ($mmol/mmol\ glc$)]],Table1[Flux in SC / glucose uptake ($mmol/mmol\ glc$)])</f>
        <v>9.5</v>
      </c>
      <c r="H900">
        <f>_xlfn.RANK.AVG(Table1[[#This Row],[Flux in RT / glucose uptake ($mmol/mmol\ glc$)]],Table1[Flux in RT / glucose uptake ($mmol/mmol\ glc$)])</f>
        <v>1290.5</v>
      </c>
      <c r="I900">
        <f>LOG(Table1[[#This Row],[Flux in SC / glucose uptake ($mmol/mmol\ glc$)]])</f>
        <v>0.21940025559218598</v>
      </c>
      <c r="J900" t="e">
        <f>LOG(Table1[[#This Row],[Flux in RT / glucose uptake ($mmol/mmol\ glc$)]])</f>
        <v>#NUM!</v>
      </c>
    </row>
    <row r="901" spans="1:10" x14ac:dyDescent="0.2">
      <c r="A901" t="s">
        <v>904</v>
      </c>
      <c r="B901" t="s">
        <v>3184</v>
      </c>
      <c r="C901">
        <v>0</v>
      </c>
      <c r="D901">
        <v>0</v>
      </c>
      <c r="E901">
        <f>ABS(Table1[[#This Row],[Flux in SC / glucose uptake ($mmol/mmol\ glc$)]]-Table1[[#This Row],[Flux in RT / glucose uptake ($mmol/mmol\ glc$)]])/SQRT(2)</f>
        <v>0</v>
      </c>
      <c r="F901">
        <f>Table1[[#This Row],[distance from 45-degree line]]/MAX(Table1[[Flux in SC / glucose uptake ($mmol/mmol\ glc$)]:[Flux in RT / glucose uptake ($mmol/mmol\ glc$)]])</f>
        <v>0</v>
      </c>
      <c r="G901">
        <f>_xlfn.RANK.AVG(Table1[[#This Row],[Flux in SC / glucose uptake ($mmol/mmol\ glc$)]],Table1[Flux in SC / glucose uptake ($mmol/mmol\ glc$)])</f>
        <v>1310.5</v>
      </c>
      <c r="H901">
        <f>_xlfn.RANK.AVG(Table1[[#This Row],[Flux in RT / glucose uptake ($mmol/mmol\ glc$)]],Table1[Flux in RT / glucose uptake ($mmol/mmol\ glc$)])</f>
        <v>1290.5</v>
      </c>
      <c r="I901" t="e">
        <f>LOG(Table1[[#This Row],[Flux in SC / glucose uptake ($mmol/mmol\ glc$)]])</f>
        <v>#NUM!</v>
      </c>
      <c r="J901" t="e">
        <f>LOG(Table1[[#This Row],[Flux in RT / glucose uptake ($mmol/mmol\ glc$)]])</f>
        <v>#NUM!</v>
      </c>
    </row>
    <row r="902" spans="1:10" x14ac:dyDescent="0.2">
      <c r="A902" t="s">
        <v>905</v>
      </c>
      <c r="B902" t="s">
        <v>3184</v>
      </c>
      <c r="C902">
        <v>9.3755418464812314E-6</v>
      </c>
      <c r="D902">
        <v>4.8143827153538835E-5</v>
      </c>
      <c r="E902">
        <f>ABS(Table1[[#This Row],[Flux in SC / glucose uptake ($mmol/mmol\ glc$)]]-Table1[[#This Row],[Flux in RT / glucose uptake ($mmol/mmol\ glc$)]])/SQRT(2)</f>
        <v>2.7413317435595228E-5</v>
      </c>
      <c r="F902">
        <f>Table1[[#This Row],[distance from 45-degree line]]/MAX(Table1[[Flux in SC / glucose uptake ($mmol/mmol\ glc$)]:[Flux in RT / glucose uptake ($mmol/mmol\ glc$)]])</f>
        <v>1.477546529375777E-6</v>
      </c>
      <c r="G902">
        <f>_xlfn.RANK.AVG(Table1[[#This Row],[Flux in SC / glucose uptake ($mmol/mmol\ glc$)]],Table1[Flux in SC / glucose uptake ($mmol/mmol\ glc$)])</f>
        <v>283.5</v>
      </c>
      <c r="H902">
        <f>_xlfn.RANK.AVG(Table1[[#This Row],[Flux in RT / glucose uptake ($mmol/mmol\ glc$)]],Table1[Flux in RT / glucose uptake ($mmol/mmol\ glc$)])</f>
        <v>279.5</v>
      </c>
      <c r="I902">
        <f>LOG(Table1[[#This Row],[Flux in SC / glucose uptake ($mmol/mmol\ glc$)]])</f>
        <v>-5.028003623425664</v>
      </c>
      <c r="J902">
        <f>LOG(Table1[[#This Row],[Flux in RT / glucose uptake ($mmol/mmol\ glc$)]])</f>
        <v>-4.3174593888096915</v>
      </c>
    </row>
    <row r="903" spans="1:10" x14ac:dyDescent="0.2">
      <c r="A903" t="s">
        <v>906</v>
      </c>
      <c r="B903" t="s">
        <v>3184</v>
      </c>
      <c r="C903">
        <v>0</v>
      </c>
      <c r="D903">
        <v>0</v>
      </c>
      <c r="E903">
        <f>ABS(Table1[[#This Row],[Flux in SC / glucose uptake ($mmol/mmol\ glc$)]]-Table1[[#This Row],[Flux in RT / glucose uptake ($mmol/mmol\ glc$)]])/SQRT(2)</f>
        <v>0</v>
      </c>
      <c r="F903">
        <f>Table1[[#This Row],[distance from 45-degree line]]/MAX(Table1[[Flux in SC / glucose uptake ($mmol/mmol\ glc$)]:[Flux in RT / glucose uptake ($mmol/mmol\ glc$)]])</f>
        <v>0</v>
      </c>
      <c r="G903">
        <f>_xlfn.RANK.AVG(Table1[[#This Row],[Flux in SC / glucose uptake ($mmol/mmol\ glc$)]],Table1[Flux in SC / glucose uptake ($mmol/mmol\ glc$)])</f>
        <v>1310.5</v>
      </c>
      <c r="H903">
        <f>_xlfn.RANK.AVG(Table1[[#This Row],[Flux in RT / glucose uptake ($mmol/mmol\ glc$)]],Table1[Flux in RT / glucose uptake ($mmol/mmol\ glc$)])</f>
        <v>1290.5</v>
      </c>
      <c r="I903" t="e">
        <f>LOG(Table1[[#This Row],[Flux in SC / glucose uptake ($mmol/mmol\ glc$)]])</f>
        <v>#NUM!</v>
      </c>
      <c r="J903" t="e">
        <f>LOG(Table1[[#This Row],[Flux in RT / glucose uptake ($mmol/mmol\ glc$)]])</f>
        <v>#NUM!</v>
      </c>
    </row>
    <row r="904" spans="1:10" x14ac:dyDescent="0.2">
      <c r="A904" t="s">
        <v>907</v>
      </c>
      <c r="B904" t="s">
        <v>3184</v>
      </c>
      <c r="C904">
        <v>0</v>
      </c>
      <c r="D904">
        <v>0</v>
      </c>
      <c r="E904">
        <f>ABS(Table1[[#This Row],[Flux in SC / glucose uptake ($mmol/mmol\ glc$)]]-Table1[[#This Row],[Flux in RT / glucose uptake ($mmol/mmol\ glc$)]])/SQRT(2)</f>
        <v>0</v>
      </c>
      <c r="F904">
        <f>Table1[[#This Row],[distance from 45-degree line]]/MAX(Table1[[Flux in SC / glucose uptake ($mmol/mmol\ glc$)]:[Flux in RT / glucose uptake ($mmol/mmol\ glc$)]])</f>
        <v>0</v>
      </c>
      <c r="G904">
        <f>_xlfn.RANK.AVG(Table1[[#This Row],[Flux in SC / glucose uptake ($mmol/mmol\ glc$)]],Table1[Flux in SC / glucose uptake ($mmol/mmol\ glc$)])</f>
        <v>1310.5</v>
      </c>
      <c r="H904">
        <f>_xlfn.RANK.AVG(Table1[[#This Row],[Flux in RT / glucose uptake ($mmol/mmol\ glc$)]],Table1[Flux in RT / glucose uptake ($mmol/mmol\ glc$)])</f>
        <v>1290.5</v>
      </c>
      <c r="I904" t="e">
        <f>LOG(Table1[[#This Row],[Flux in SC / glucose uptake ($mmol/mmol\ glc$)]])</f>
        <v>#NUM!</v>
      </c>
      <c r="J904" t="e">
        <f>LOG(Table1[[#This Row],[Flux in RT / glucose uptake ($mmol/mmol\ glc$)]])</f>
        <v>#NUM!</v>
      </c>
    </row>
    <row r="905" spans="1:10" x14ac:dyDescent="0.2">
      <c r="A905" t="s">
        <v>908</v>
      </c>
      <c r="B905" t="s">
        <v>3184</v>
      </c>
      <c r="C905">
        <v>0</v>
      </c>
      <c r="D905">
        <v>0</v>
      </c>
      <c r="E905">
        <f>ABS(Table1[[#This Row],[Flux in SC / glucose uptake ($mmol/mmol\ glc$)]]-Table1[[#This Row],[Flux in RT / glucose uptake ($mmol/mmol\ glc$)]])/SQRT(2)</f>
        <v>0</v>
      </c>
      <c r="F905">
        <f>Table1[[#This Row],[distance from 45-degree line]]/MAX(Table1[[Flux in SC / glucose uptake ($mmol/mmol\ glc$)]:[Flux in RT / glucose uptake ($mmol/mmol\ glc$)]])</f>
        <v>0</v>
      </c>
      <c r="G905">
        <f>_xlfn.RANK.AVG(Table1[[#This Row],[Flux in SC / glucose uptake ($mmol/mmol\ glc$)]],Table1[Flux in SC / glucose uptake ($mmol/mmol\ glc$)])</f>
        <v>1310.5</v>
      </c>
      <c r="H905">
        <f>_xlfn.RANK.AVG(Table1[[#This Row],[Flux in RT / glucose uptake ($mmol/mmol\ glc$)]],Table1[Flux in RT / glucose uptake ($mmol/mmol\ glc$)])</f>
        <v>1290.5</v>
      </c>
      <c r="I905" t="e">
        <f>LOG(Table1[[#This Row],[Flux in SC / glucose uptake ($mmol/mmol\ glc$)]])</f>
        <v>#NUM!</v>
      </c>
      <c r="J905" t="e">
        <f>LOG(Table1[[#This Row],[Flux in RT / glucose uptake ($mmol/mmol\ glc$)]])</f>
        <v>#NUM!</v>
      </c>
    </row>
    <row r="906" spans="1:10" x14ac:dyDescent="0.2">
      <c r="A906" t="s">
        <v>909</v>
      </c>
      <c r="B906" t="s">
        <v>3184</v>
      </c>
      <c r="C906">
        <v>0</v>
      </c>
      <c r="D906">
        <v>0</v>
      </c>
      <c r="E906">
        <f>ABS(Table1[[#This Row],[Flux in SC / glucose uptake ($mmol/mmol\ glc$)]]-Table1[[#This Row],[Flux in RT / glucose uptake ($mmol/mmol\ glc$)]])/SQRT(2)</f>
        <v>0</v>
      </c>
      <c r="F906">
        <f>Table1[[#This Row],[distance from 45-degree line]]/MAX(Table1[[Flux in SC / glucose uptake ($mmol/mmol\ glc$)]:[Flux in RT / glucose uptake ($mmol/mmol\ glc$)]])</f>
        <v>0</v>
      </c>
      <c r="G906">
        <f>_xlfn.RANK.AVG(Table1[[#This Row],[Flux in SC / glucose uptake ($mmol/mmol\ glc$)]],Table1[Flux in SC / glucose uptake ($mmol/mmol\ glc$)])</f>
        <v>1310.5</v>
      </c>
      <c r="H906">
        <f>_xlfn.RANK.AVG(Table1[[#This Row],[Flux in RT / glucose uptake ($mmol/mmol\ glc$)]],Table1[Flux in RT / glucose uptake ($mmol/mmol\ glc$)])</f>
        <v>1290.5</v>
      </c>
      <c r="I906" t="e">
        <f>LOG(Table1[[#This Row],[Flux in SC / glucose uptake ($mmol/mmol\ glc$)]])</f>
        <v>#NUM!</v>
      </c>
      <c r="J906" t="e">
        <f>LOG(Table1[[#This Row],[Flux in RT / glucose uptake ($mmol/mmol\ glc$)]])</f>
        <v>#NUM!</v>
      </c>
    </row>
    <row r="907" spans="1:10" x14ac:dyDescent="0.2">
      <c r="A907" t="s">
        <v>910</v>
      </c>
      <c r="B907" t="s">
        <v>3184</v>
      </c>
      <c r="C907">
        <v>0</v>
      </c>
      <c r="D907">
        <v>0</v>
      </c>
      <c r="E907">
        <f>ABS(Table1[[#This Row],[Flux in SC / glucose uptake ($mmol/mmol\ glc$)]]-Table1[[#This Row],[Flux in RT / glucose uptake ($mmol/mmol\ glc$)]])/SQRT(2)</f>
        <v>0</v>
      </c>
      <c r="F907">
        <f>Table1[[#This Row],[distance from 45-degree line]]/MAX(Table1[[Flux in SC / glucose uptake ($mmol/mmol\ glc$)]:[Flux in RT / glucose uptake ($mmol/mmol\ glc$)]])</f>
        <v>0</v>
      </c>
      <c r="G907">
        <f>_xlfn.RANK.AVG(Table1[[#This Row],[Flux in SC / glucose uptake ($mmol/mmol\ glc$)]],Table1[Flux in SC / glucose uptake ($mmol/mmol\ glc$)])</f>
        <v>1310.5</v>
      </c>
      <c r="H907">
        <f>_xlfn.RANK.AVG(Table1[[#This Row],[Flux in RT / glucose uptake ($mmol/mmol\ glc$)]],Table1[Flux in RT / glucose uptake ($mmol/mmol\ glc$)])</f>
        <v>1290.5</v>
      </c>
      <c r="I907" t="e">
        <f>LOG(Table1[[#This Row],[Flux in SC / glucose uptake ($mmol/mmol\ glc$)]])</f>
        <v>#NUM!</v>
      </c>
      <c r="J907" t="e">
        <f>LOG(Table1[[#This Row],[Flux in RT / glucose uptake ($mmol/mmol\ glc$)]])</f>
        <v>#NUM!</v>
      </c>
    </row>
    <row r="908" spans="1:10" x14ac:dyDescent="0.2">
      <c r="A908" t="s">
        <v>911</v>
      </c>
      <c r="B908" t="s">
        <v>3184</v>
      </c>
      <c r="C908">
        <v>0</v>
      </c>
      <c r="D908">
        <v>0</v>
      </c>
      <c r="E908">
        <f>ABS(Table1[[#This Row],[Flux in SC / glucose uptake ($mmol/mmol\ glc$)]]-Table1[[#This Row],[Flux in RT / glucose uptake ($mmol/mmol\ glc$)]])/SQRT(2)</f>
        <v>0</v>
      </c>
      <c r="F908">
        <f>Table1[[#This Row],[distance from 45-degree line]]/MAX(Table1[[Flux in SC / glucose uptake ($mmol/mmol\ glc$)]:[Flux in RT / glucose uptake ($mmol/mmol\ glc$)]])</f>
        <v>0</v>
      </c>
      <c r="G908">
        <f>_xlfn.RANK.AVG(Table1[[#This Row],[Flux in SC / glucose uptake ($mmol/mmol\ glc$)]],Table1[Flux in SC / glucose uptake ($mmol/mmol\ glc$)])</f>
        <v>1310.5</v>
      </c>
      <c r="H908">
        <f>_xlfn.RANK.AVG(Table1[[#This Row],[Flux in RT / glucose uptake ($mmol/mmol\ glc$)]],Table1[Flux in RT / glucose uptake ($mmol/mmol\ glc$)])</f>
        <v>1290.5</v>
      </c>
      <c r="I908" t="e">
        <f>LOG(Table1[[#This Row],[Flux in SC / glucose uptake ($mmol/mmol\ glc$)]])</f>
        <v>#NUM!</v>
      </c>
      <c r="J908" t="e">
        <f>LOG(Table1[[#This Row],[Flux in RT / glucose uptake ($mmol/mmol\ glc$)]])</f>
        <v>#NUM!</v>
      </c>
    </row>
    <row r="909" spans="1:10" x14ac:dyDescent="0.2">
      <c r="A909" t="s">
        <v>912</v>
      </c>
      <c r="B909" t="s">
        <v>3184</v>
      </c>
      <c r="C909">
        <v>0</v>
      </c>
      <c r="D909">
        <v>0</v>
      </c>
      <c r="E909">
        <f>ABS(Table1[[#This Row],[Flux in SC / glucose uptake ($mmol/mmol\ glc$)]]-Table1[[#This Row],[Flux in RT / glucose uptake ($mmol/mmol\ glc$)]])/SQRT(2)</f>
        <v>0</v>
      </c>
      <c r="F909">
        <f>Table1[[#This Row],[distance from 45-degree line]]/MAX(Table1[[Flux in SC / glucose uptake ($mmol/mmol\ glc$)]:[Flux in RT / glucose uptake ($mmol/mmol\ glc$)]])</f>
        <v>0</v>
      </c>
      <c r="G909">
        <f>_xlfn.RANK.AVG(Table1[[#This Row],[Flux in SC / glucose uptake ($mmol/mmol\ glc$)]],Table1[Flux in SC / glucose uptake ($mmol/mmol\ glc$)])</f>
        <v>1310.5</v>
      </c>
      <c r="H909">
        <f>_xlfn.RANK.AVG(Table1[[#This Row],[Flux in RT / glucose uptake ($mmol/mmol\ glc$)]],Table1[Flux in RT / glucose uptake ($mmol/mmol\ glc$)])</f>
        <v>1290.5</v>
      </c>
      <c r="I909" t="e">
        <f>LOG(Table1[[#This Row],[Flux in SC / glucose uptake ($mmol/mmol\ glc$)]])</f>
        <v>#NUM!</v>
      </c>
      <c r="J909" t="e">
        <f>LOG(Table1[[#This Row],[Flux in RT / glucose uptake ($mmol/mmol\ glc$)]])</f>
        <v>#NUM!</v>
      </c>
    </row>
    <row r="910" spans="1:10" x14ac:dyDescent="0.2">
      <c r="A910" t="s">
        <v>913</v>
      </c>
      <c r="B910" t="s">
        <v>3184</v>
      </c>
      <c r="C910">
        <v>0</v>
      </c>
      <c r="D910">
        <v>0</v>
      </c>
      <c r="E910">
        <f>ABS(Table1[[#This Row],[Flux in SC / glucose uptake ($mmol/mmol\ glc$)]]-Table1[[#This Row],[Flux in RT / glucose uptake ($mmol/mmol\ glc$)]])/SQRT(2)</f>
        <v>0</v>
      </c>
      <c r="F910">
        <f>Table1[[#This Row],[distance from 45-degree line]]/MAX(Table1[[Flux in SC / glucose uptake ($mmol/mmol\ glc$)]:[Flux in RT / glucose uptake ($mmol/mmol\ glc$)]])</f>
        <v>0</v>
      </c>
      <c r="G910">
        <f>_xlfn.RANK.AVG(Table1[[#This Row],[Flux in SC / glucose uptake ($mmol/mmol\ glc$)]],Table1[Flux in SC / glucose uptake ($mmol/mmol\ glc$)])</f>
        <v>1310.5</v>
      </c>
      <c r="H910">
        <f>_xlfn.RANK.AVG(Table1[[#This Row],[Flux in RT / glucose uptake ($mmol/mmol\ glc$)]],Table1[Flux in RT / glucose uptake ($mmol/mmol\ glc$)])</f>
        <v>1290.5</v>
      </c>
      <c r="I910" t="e">
        <f>LOG(Table1[[#This Row],[Flux in SC / glucose uptake ($mmol/mmol\ glc$)]])</f>
        <v>#NUM!</v>
      </c>
      <c r="J910" t="e">
        <f>LOG(Table1[[#This Row],[Flux in RT / glucose uptake ($mmol/mmol\ glc$)]])</f>
        <v>#NUM!</v>
      </c>
    </row>
    <row r="911" spans="1:10" x14ac:dyDescent="0.2">
      <c r="A911" t="s">
        <v>914</v>
      </c>
      <c r="B911" t="s">
        <v>3184</v>
      </c>
      <c r="C911">
        <v>0</v>
      </c>
      <c r="D911">
        <v>0</v>
      </c>
      <c r="E911">
        <f>ABS(Table1[[#This Row],[Flux in SC / glucose uptake ($mmol/mmol\ glc$)]]-Table1[[#This Row],[Flux in RT / glucose uptake ($mmol/mmol\ glc$)]])/SQRT(2)</f>
        <v>0</v>
      </c>
      <c r="F911">
        <f>Table1[[#This Row],[distance from 45-degree line]]/MAX(Table1[[Flux in SC / glucose uptake ($mmol/mmol\ glc$)]:[Flux in RT / glucose uptake ($mmol/mmol\ glc$)]])</f>
        <v>0</v>
      </c>
      <c r="G911">
        <f>_xlfn.RANK.AVG(Table1[[#This Row],[Flux in SC / glucose uptake ($mmol/mmol\ glc$)]],Table1[Flux in SC / glucose uptake ($mmol/mmol\ glc$)])</f>
        <v>1310.5</v>
      </c>
      <c r="H911">
        <f>_xlfn.RANK.AVG(Table1[[#This Row],[Flux in RT / glucose uptake ($mmol/mmol\ glc$)]],Table1[Flux in RT / glucose uptake ($mmol/mmol\ glc$)])</f>
        <v>1290.5</v>
      </c>
      <c r="I911" t="e">
        <f>LOG(Table1[[#This Row],[Flux in SC / glucose uptake ($mmol/mmol\ glc$)]])</f>
        <v>#NUM!</v>
      </c>
      <c r="J911" t="e">
        <f>LOG(Table1[[#This Row],[Flux in RT / glucose uptake ($mmol/mmol\ glc$)]])</f>
        <v>#NUM!</v>
      </c>
    </row>
    <row r="912" spans="1:10" x14ac:dyDescent="0.2">
      <c r="A912" t="s">
        <v>915</v>
      </c>
      <c r="B912" t="s">
        <v>3184</v>
      </c>
      <c r="C912">
        <v>0</v>
      </c>
      <c r="D912">
        <v>0</v>
      </c>
      <c r="E912">
        <f>ABS(Table1[[#This Row],[Flux in SC / glucose uptake ($mmol/mmol\ glc$)]]-Table1[[#This Row],[Flux in RT / glucose uptake ($mmol/mmol\ glc$)]])/SQRT(2)</f>
        <v>0</v>
      </c>
      <c r="F912">
        <f>Table1[[#This Row],[distance from 45-degree line]]/MAX(Table1[[Flux in SC / glucose uptake ($mmol/mmol\ glc$)]:[Flux in RT / glucose uptake ($mmol/mmol\ glc$)]])</f>
        <v>0</v>
      </c>
      <c r="G912">
        <f>_xlfn.RANK.AVG(Table1[[#This Row],[Flux in SC / glucose uptake ($mmol/mmol\ glc$)]],Table1[Flux in SC / glucose uptake ($mmol/mmol\ glc$)])</f>
        <v>1310.5</v>
      </c>
      <c r="H912">
        <f>_xlfn.RANK.AVG(Table1[[#This Row],[Flux in RT / glucose uptake ($mmol/mmol\ glc$)]],Table1[Flux in RT / glucose uptake ($mmol/mmol\ glc$)])</f>
        <v>1290.5</v>
      </c>
      <c r="I912" t="e">
        <f>LOG(Table1[[#This Row],[Flux in SC / glucose uptake ($mmol/mmol\ glc$)]])</f>
        <v>#NUM!</v>
      </c>
      <c r="J912" t="e">
        <f>LOG(Table1[[#This Row],[Flux in RT / glucose uptake ($mmol/mmol\ glc$)]])</f>
        <v>#NUM!</v>
      </c>
    </row>
    <row r="913" spans="1:10" x14ac:dyDescent="0.2">
      <c r="A913" t="s">
        <v>916</v>
      </c>
      <c r="B913" t="s">
        <v>3184</v>
      </c>
      <c r="C913">
        <v>0</v>
      </c>
      <c r="D913">
        <v>0</v>
      </c>
      <c r="E913">
        <f>ABS(Table1[[#This Row],[Flux in SC / glucose uptake ($mmol/mmol\ glc$)]]-Table1[[#This Row],[Flux in RT / glucose uptake ($mmol/mmol\ glc$)]])/SQRT(2)</f>
        <v>0</v>
      </c>
      <c r="F913">
        <f>Table1[[#This Row],[distance from 45-degree line]]/MAX(Table1[[Flux in SC / glucose uptake ($mmol/mmol\ glc$)]:[Flux in RT / glucose uptake ($mmol/mmol\ glc$)]])</f>
        <v>0</v>
      </c>
      <c r="G913">
        <f>_xlfn.RANK.AVG(Table1[[#This Row],[Flux in SC / glucose uptake ($mmol/mmol\ glc$)]],Table1[Flux in SC / glucose uptake ($mmol/mmol\ glc$)])</f>
        <v>1310.5</v>
      </c>
      <c r="H913">
        <f>_xlfn.RANK.AVG(Table1[[#This Row],[Flux in RT / glucose uptake ($mmol/mmol\ glc$)]],Table1[Flux in RT / glucose uptake ($mmol/mmol\ glc$)])</f>
        <v>1290.5</v>
      </c>
      <c r="I913" t="e">
        <f>LOG(Table1[[#This Row],[Flux in SC / glucose uptake ($mmol/mmol\ glc$)]])</f>
        <v>#NUM!</v>
      </c>
      <c r="J913" t="e">
        <f>LOG(Table1[[#This Row],[Flux in RT / glucose uptake ($mmol/mmol\ glc$)]])</f>
        <v>#NUM!</v>
      </c>
    </row>
    <row r="914" spans="1:10" x14ac:dyDescent="0.2">
      <c r="A914" t="s">
        <v>917</v>
      </c>
      <c r="B914" t="s">
        <v>3184</v>
      </c>
      <c r="C914">
        <v>0</v>
      </c>
      <c r="D914">
        <v>0</v>
      </c>
      <c r="E914">
        <f>ABS(Table1[[#This Row],[Flux in SC / glucose uptake ($mmol/mmol\ glc$)]]-Table1[[#This Row],[Flux in RT / glucose uptake ($mmol/mmol\ glc$)]])/SQRT(2)</f>
        <v>0</v>
      </c>
      <c r="F914">
        <f>Table1[[#This Row],[distance from 45-degree line]]/MAX(Table1[[Flux in SC / glucose uptake ($mmol/mmol\ glc$)]:[Flux in RT / glucose uptake ($mmol/mmol\ glc$)]])</f>
        <v>0</v>
      </c>
      <c r="G914">
        <f>_xlfn.RANK.AVG(Table1[[#This Row],[Flux in SC / glucose uptake ($mmol/mmol\ glc$)]],Table1[Flux in SC / glucose uptake ($mmol/mmol\ glc$)])</f>
        <v>1310.5</v>
      </c>
      <c r="H914">
        <f>_xlfn.RANK.AVG(Table1[[#This Row],[Flux in RT / glucose uptake ($mmol/mmol\ glc$)]],Table1[Flux in RT / glucose uptake ($mmol/mmol\ glc$)])</f>
        <v>1290.5</v>
      </c>
      <c r="I914" t="e">
        <f>LOG(Table1[[#This Row],[Flux in SC / glucose uptake ($mmol/mmol\ glc$)]])</f>
        <v>#NUM!</v>
      </c>
      <c r="J914" t="e">
        <f>LOG(Table1[[#This Row],[Flux in RT / glucose uptake ($mmol/mmol\ glc$)]])</f>
        <v>#NUM!</v>
      </c>
    </row>
    <row r="915" spans="1:10" x14ac:dyDescent="0.2">
      <c r="A915" t="s">
        <v>918</v>
      </c>
      <c r="B915" t="s">
        <v>3184</v>
      </c>
      <c r="C915">
        <v>0</v>
      </c>
      <c r="D915">
        <v>0</v>
      </c>
      <c r="E915">
        <f>ABS(Table1[[#This Row],[Flux in SC / glucose uptake ($mmol/mmol\ glc$)]]-Table1[[#This Row],[Flux in RT / glucose uptake ($mmol/mmol\ glc$)]])/SQRT(2)</f>
        <v>0</v>
      </c>
      <c r="F915">
        <f>Table1[[#This Row],[distance from 45-degree line]]/MAX(Table1[[Flux in SC / glucose uptake ($mmol/mmol\ glc$)]:[Flux in RT / glucose uptake ($mmol/mmol\ glc$)]])</f>
        <v>0</v>
      </c>
      <c r="G915">
        <f>_xlfn.RANK.AVG(Table1[[#This Row],[Flux in SC / glucose uptake ($mmol/mmol\ glc$)]],Table1[Flux in SC / glucose uptake ($mmol/mmol\ glc$)])</f>
        <v>1310.5</v>
      </c>
      <c r="H915">
        <f>_xlfn.RANK.AVG(Table1[[#This Row],[Flux in RT / glucose uptake ($mmol/mmol\ glc$)]],Table1[Flux in RT / glucose uptake ($mmol/mmol\ glc$)])</f>
        <v>1290.5</v>
      </c>
      <c r="I915" t="e">
        <f>LOG(Table1[[#This Row],[Flux in SC / glucose uptake ($mmol/mmol\ glc$)]])</f>
        <v>#NUM!</v>
      </c>
      <c r="J915" t="e">
        <f>LOG(Table1[[#This Row],[Flux in RT / glucose uptake ($mmol/mmol\ glc$)]])</f>
        <v>#NUM!</v>
      </c>
    </row>
    <row r="916" spans="1:10" x14ac:dyDescent="0.2">
      <c r="A916" t="s">
        <v>919</v>
      </c>
      <c r="B916" t="s">
        <v>3184</v>
      </c>
      <c r="C916">
        <v>1</v>
      </c>
      <c r="D916">
        <v>1</v>
      </c>
      <c r="E916">
        <f>ABS(Table1[[#This Row],[Flux in SC / glucose uptake ($mmol/mmol\ glc$)]]-Table1[[#This Row],[Flux in RT / glucose uptake ($mmol/mmol\ glc$)]])/SQRT(2)</f>
        <v>0</v>
      </c>
      <c r="F916">
        <f>Table1[[#This Row],[distance from 45-degree line]]/MAX(Table1[[Flux in SC / glucose uptake ($mmol/mmol\ glc$)]:[Flux in RT / glucose uptake ($mmol/mmol\ glc$)]])</f>
        <v>0</v>
      </c>
      <c r="G916">
        <f>_xlfn.RANK.AVG(Table1[[#This Row],[Flux in SC / glucose uptake ($mmol/mmol\ glc$)]],Table1[Flux in SC / glucose uptake ($mmol/mmol\ glc$)])</f>
        <v>13</v>
      </c>
      <c r="H916">
        <f>_xlfn.RANK.AVG(Table1[[#This Row],[Flux in RT / glucose uptake ($mmol/mmol\ glc$)]],Table1[Flux in RT / glucose uptake ($mmol/mmol\ glc$)])</f>
        <v>19</v>
      </c>
      <c r="I916">
        <f>LOG(Table1[[#This Row],[Flux in SC / glucose uptake ($mmol/mmol\ glc$)]])</f>
        <v>0</v>
      </c>
      <c r="J916">
        <f>LOG(Table1[[#This Row],[Flux in RT / glucose uptake ($mmol/mmol\ glc$)]])</f>
        <v>0</v>
      </c>
    </row>
    <row r="917" spans="1:10" x14ac:dyDescent="0.2">
      <c r="A917" t="s">
        <v>920</v>
      </c>
      <c r="B917" t="s">
        <v>3184</v>
      </c>
      <c r="C917">
        <v>0</v>
      </c>
      <c r="D917">
        <v>0</v>
      </c>
      <c r="E917">
        <f>ABS(Table1[[#This Row],[Flux in SC / glucose uptake ($mmol/mmol\ glc$)]]-Table1[[#This Row],[Flux in RT / glucose uptake ($mmol/mmol\ glc$)]])/SQRT(2)</f>
        <v>0</v>
      </c>
      <c r="F917">
        <f>Table1[[#This Row],[distance from 45-degree line]]/MAX(Table1[[Flux in SC / glucose uptake ($mmol/mmol\ glc$)]:[Flux in RT / glucose uptake ($mmol/mmol\ glc$)]])</f>
        <v>0</v>
      </c>
      <c r="G917">
        <f>_xlfn.RANK.AVG(Table1[[#This Row],[Flux in SC / glucose uptake ($mmol/mmol\ glc$)]],Table1[Flux in SC / glucose uptake ($mmol/mmol\ glc$)])</f>
        <v>1310.5</v>
      </c>
      <c r="H917">
        <f>_xlfn.RANK.AVG(Table1[[#This Row],[Flux in RT / glucose uptake ($mmol/mmol\ glc$)]],Table1[Flux in RT / glucose uptake ($mmol/mmol\ glc$)])</f>
        <v>1290.5</v>
      </c>
      <c r="I917" t="e">
        <f>LOG(Table1[[#This Row],[Flux in SC / glucose uptake ($mmol/mmol\ glc$)]])</f>
        <v>#NUM!</v>
      </c>
      <c r="J917" t="e">
        <f>LOG(Table1[[#This Row],[Flux in RT / glucose uptake ($mmol/mmol\ glc$)]])</f>
        <v>#NUM!</v>
      </c>
    </row>
    <row r="918" spans="1:10" x14ac:dyDescent="0.2">
      <c r="A918" t="s">
        <v>921</v>
      </c>
      <c r="B918" t="s">
        <v>3184</v>
      </c>
      <c r="C918">
        <v>0</v>
      </c>
      <c r="D918">
        <v>0</v>
      </c>
      <c r="E918">
        <f>ABS(Table1[[#This Row],[Flux in SC / glucose uptake ($mmol/mmol\ glc$)]]-Table1[[#This Row],[Flux in RT / glucose uptake ($mmol/mmol\ glc$)]])/SQRT(2)</f>
        <v>0</v>
      </c>
      <c r="F918">
        <f>Table1[[#This Row],[distance from 45-degree line]]/MAX(Table1[[Flux in SC / glucose uptake ($mmol/mmol\ glc$)]:[Flux in RT / glucose uptake ($mmol/mmol\ glc$)]])</f>
        <v>0</v>
      </c>
      <c r="G918">
        <f>_xlfn.RANK.AVG(Table1[[#This Row],[Flux in SC / glucose uptake ($mmol/mmol\ glc$)]],Table1[Flux in SC / glucose uptake ($mmol/mmol\ glc$)])</f>
        <v>1310.5</v>
      </c>
      <c r="H918">
        <f>_xlfn.RANK.AVG(Table1[[#This Row],[Flux in RT / glucose uptake ($mmol/mmol\ glc$)]],Table1[Flux in RT / glucose uptake ($mmol/mmol\ glc$)])</f>
        <v>1290.5</v>
      </c>
      <c r="I918" t="e">
        <f>LOG(Table1[[#This Row],[Flux in SC / glucose uptake ($mmol/mmol\ glc$)]])</f>
        <v>#NUM!</v>
      </c>
      <c r="J918" t="e">
        <f>LOG(Table1[[#This Row],[Flux in RT / glucose uptake ($mmol/mmol\ glc$)]])</f>
        <v>#NUM!</v>
      </c>
    </row>
    <row r="919" spans="1:10" x14ac:dyDescent="0.2">
      <c r="A919" t="s">
        <v>922</v>
      </c>
      <c r="B919" t="s">
        <v>3184</v>
      </c>
      <c r="C919">
        <v>0</v>
      </c>
      <c r="D919">
        <v>0</v>
      </c>
      <c r="E919">
        <f>ABS(Table1[[#This Row],[Flux in SC / glucose uptake ($mmol/mmol\ glc$)]]-Table1[[#This Row],[Flux in RT / glucose uptake ($mmol/mmol\ glc$)]])/SQRT(2)</f>
        <v>0</v>
      </c>
      <c r="F919">
        <f>Table1[[#This Row],[distance from 45-degree line]]/MAX(Table1[[Flux in SC / glucose uptake ($mmol/mmol\ glc$)]:[Flux in RT / glucose uptake ($mmol/mmol\ glc$)]])</f>
        <v>0</v>
      </c>
      <c r="G919">
        <f>_xlfn.RANK.AVG(Table1[[#This Row],[Flux in SC / glucose uptake ($mmol/mmol\ glc$)]],Table1[Flux in SC / glucose uptake ($mmol/mmol\ glc$)])</f>
        <v>1310.5</v>
      </c>
      <c r="H919">
        <f>_xlfn.RANK.AVG(Table1[[#This Row],[Flux in RT / glucose uptake ($mmol/mmol\ glc$)]],Table1[Flux in RT / glucose uptake ($mmol/mmol\ glc$)])</f>
        <v>1290.5</v>
      </c>
      <c r="I919" t="e">
        <f>LOG(Table1[[#This Row],[Flux in SC / glucose uptake ($mmol/mmol\ glc$)]])</f>
        <v>#NUM!</v>
      </c>
      <c r="J919" t="e">
        <f>LOG(Table1[[#This Row],[Flux in RT / glucose uptake ($mmol/mmol\ glc$)]])</f>
        <v>#NUM!</v>
      </c>
    </row>
    <row r="920" spans="1:10" x14ac:dyDescent="0.2">
      <c r="A920" t="s">
        <v>923</v>
      </c>
      <c r="B920" t="s">
        <v>3184</v>
      </c>
      <c r="C920">
        <v>0</v>
      </c>
      <c r="D920">
        <v>0</v>
      </c>
      <c r="E920">
        <f>ABS(Table1[[#This Row],[Flux in SC / glucose uptake ($mmol/mmol\ glc$)]]-Table1[[#This Row],[Flux in RT / glucose uptake ($mmol/mmol\ glc$)]])/SQRT(2)</f>
        <v>0</v>
      </c>
      <c r="F920">
        <f>Table1[[#This Row],[distance from 45-degree line]]/MAX(Table1[[Flux in SC / glucose uptake ($mmol/mmol\ glc$)]:[Flux in RT / glucose uptake ($mmol/mmol\ glc$)]])</f>
        <v>0</v>
      </c>
      <c r="G920">
        <f>_xlfn.RANK.AVG(Table1[[#This Row],[Flux in SC / glucose uptake ($mmol/mmol\ glc$)]],Table1[Flux in SC / glucose uptake ($mmol/mmol\ glc$)])</f>
        <v>1310.5</v>
      </c>
      <c r="H920">
        <f>_xlfn.RANK.AVG(Table1[[#This Row],[Flux in RT / glucose uptake ($mmol/mmol\ glc$)]],Table1[Flux in RT / glucose uptake ($mmol/mmol\ glc$)])</f>
        <v>1290.5</v>
      </c>
      <c r="I920" t="e">
        <f>LOG(Table1[[#This Row],[Flux in SC / glucose uptake ($mmol/mmol\ glc$)]])</f>
        <v>#NUM!</v>
      </c>
      <c r="J920" t="e">
        <f>LOG(Table1[[#This Row],[Flux in RT / glucose uptake ($mmol/mmol\ glc$)]])</f>
        <v>#NUM!</v>
      </c>
    </row>
    <row r="921" spans="1:10" x14ac:dyDescent="0.2">
      <c r="A921" t="s">
        <v>924</v>
      </c>
      <c r="B921" t="s">
        <v>3184</v>
      </c>
      <c r="C921">
        <v>7.3780576397586589E-2</v>
      </c>
      <c r="D921">
        <v>0</v>
      </c>
      <c r="E921">
        <f>ABS(Table1[[#This Row],[Flux in SC / glucose uptake ($mmol/mmol\ glc$)]]-Table1[[#This Row],[Flux in RT / glucose uptake ($mmol/mmol\ glc$)]])/SQRT(2)</f>
        <v>5.217074589058561E-2</v>
      </c>
      <c r="F921">
        <f>Table1[[#This Row],[distance from 45-degree line]]/MAX(Table1[[Flux in SC / glucose uptake ($mmol/mmol\ glc$)]:[Flux in RT / glucose uptake ($mmol/mmol\ glc$)]])</f>
        <v>2.811943673241407E-3</v>
      </c>
      <c r="G921">
        <f>_xlfn.RANK.AVG(Table1[[#This Row],[Flux in SC / glucose uptake ($mmol/mmol\ glc$)]],Table1[Flux in SC / glucose uptake ($mmol/mmol\ glc$)])</f>
        <v>40.5</v>
      </c>
      <c r="H921">
        <f>_xlfn.RANK.AVG(Table1[[#This Row],[Flux in RT / glucose uptake ($mmol/mmol\ glc$)]],Table1[Flux in RT / glucose uptake ($mmol/mmol\ glc$)])</f>
        <v>1290.5</v>
      </c>
      <c r="I921">
        <f>LOG(Table1[[#This Row],[Flux in SC / glucose uptake ($mmol/mmol\ glc$)]])</f>
        <v>-1.1320579562478246</v>
      </c>
      <c r="J921" t="e">
        <f>LOG(Table1[[#This Row],[Flux in RT / glucose uptake ($mmol/mmol\ glc$)]])</f>
        <v>#NUM!</v>
      </c>
    </row>
    <row r="922" spans="1:10" x14ac:dyDescent="0.2">
      <c r="A922" t="s">
        <v>925</v>
      </c>
      <c r="B922" t="s">
        <v>3184</v>
      </c>
      <c r="C922">
        <v>0</v>
      </c>
      <c r="D922">
        <v>0</v>
      </c>
      <c r="E922">
        <f>ABS(Table1[[#This Row],[Flux in SC / glucose uptake ($mmol/mmol\ glc$)]]-Table1[[#This Row],[Flux in RT / glucose uptake ($mmol/mmol\ glc$)]])/SQRT(2)</f>
        <v>0</v>
      </c>
      <c r="F922">
        <f>Table1[[#This Row],[distance from 45-degree line]]/MAX(Table1[[Flux in SC / glucose uptake ($mmol/mmol\ glc$)]:[Flux in RT / glucose uptake ($mmol/mmol\ glc$)]])</f>
        <v>0</v>
      </c>
      <c r="G922">
        <f>_xlfn.RANK.AVG(Table1[[#This Row],[Flux in SC / glucose uptake ($mmol/mmol\ glc$)]],Table1[Flux in SC / glucose uptake ($mmol/mmol\ glc$)])</f>
        <v>1310.5</v>
      </c>
      <c r="H922">
        <f>_xlfn.RANK.AVG(Table1[[#This Row],[Flux in RT / glucose uptake ($mmol/mmol\ glc$)]],Table1[Flux in RT / glucose uptake ($mmol/mmol\ glc$)])</f>
        <v>1290.5</v>
      </c>
      <c r="I922" t="e">
        <f>LOG(Table1[[#This Row],[Flux in SC / glucose uptake ($mmol/mmol\ glc$)]])</f>
        <v>#NUM!</v>
      </c>
      <c r="J922" t="e">
        <f>LOG(Table1[[#This Row],[Flux in RT / glucose uptake ($mmol/mmol\ glc$)]])</f>
        <v>#NUM!</v>
      </c>
    </row>
    <row r="923" spans="1:10" x14ac:dyDescent="0.2">
      <c r="A923" t="s">
        <v>926</v>
      </c>
      <c r="B923" t="s">
        <v>3184</v>
      </c>
      <c r="C923">
        <v>0</v>
      </c>
      <c r="D923">
        <v>0</v>
      </c>
      <c r="E923">
        <f>ABS(Table1[[#This Row],[Flux in SC / glucose uptake ($mmol/mmol\ glc$)]]-Table1[[#This Row],[Flux in RT / glucose uptake ($mmol/mmol\ glc$)]])/SQRT(2)</f>
        <v>0</v>
      </c>
      <c r="F923">
        <f>Table1[[#This Row],[distance from 45-degree line]]/MAX(Table1[[Flux in SC / glucose uptake ($mmol/mmol\ glc$)]:[Flux in RT / glucose uptake ($mmol/mmol\ glc$)]])</f>
        <v>0</v>
      </c>
      <c r="G923">
        <f>_xlfn.RANK.AVG(Table1[[#This Row],[Flux in SC / glucose uptake ($mmol/mmol\ glc$)]],Table1[Flux in SC / glucose uptake ($mmol/mmol\ glc$)])</f>
        <v>1310.5</v>
      </c>
      <c r="H923">
        <f>_xlfn.RANK.AVG(Table1[[#This Row],[Flux in RT / glucose uptake ($mmol/mmol\ glc$)]],Table1[Flux in RT / glucose uptake ($mmol/mmol\ glc$)])</f>
        <v>1290.5</v>
      </c>
      <c r="I923" t="e">
        <f>LOG(Table1[[#This Row],[Flux in SC / glucose uptake ($mmol/mmol\ glc$)]])</f>
        <v>#NUM!</v>
      </c>
      <c r="J923" t="e">
        <f>LOG(Table1[[#This Row],[Flux in RT / glucose uptake ($mmol/mmol\ glc$)]])</f>
        <v>#NUM!</v>
      </c>
    </row>
    <row r="924" spans="1:10" x14ac:dyDescent="0.2">
      <c r="A924" t="s">
        <v>927</v>
      </c>
      <c r="B924" t="s">
        <v>3184</v>
      </c>
      <c r="C924">
        <v>0</v>
      </c>
      <c r="D924">
        <v>0</v>
      </c>
      <c r="E924">
        <f>ABS(Table1[[#This Row],[Flux in SC / glucose uptake ($mmol/mmol\ glc$)]]-Table1[[#This Row],[Flux in RT / glucose uptake ($mmol/mmol\ glc$)]])/SQRT(2)</f>
        <v>0</v>
      </c>
      <c r="F924">
        <f>Table1[[#This Row],[distance from 45-degree line]]/MAX(Table1[[Flux in SC / glucose uptake ($mmol/mmol\ glc$)]:[Flux in RT / glucose uptake ($mmol/mmol\ glc$)]])</f>
        <v>0</v>
      </c>
      <c r="G924">
        <f>_xlfn.RANK.AVG(Table1[[#This Row],[Flux in SC / glucose uptake ($mmol/mmol\ glc$)]],Table1[Flux in SC / glucose uptake ($mmol/mmol\ glc$)])</f>
        <v>1310.5</v>
      </c>
      <c r="H924">
        <f>_xlfn.RANK.AVG(Table1[[#This Row],[Flux in RT / glucose uptake ($mmol/mmol\ glc$)]],Table1[Flux in RT / glucose uptake ($mmol/mmol\ glc$)])</f>
        <v>1290.5</v>
      </c>
      <c r="I924" t="e">
        <f>LOG(Table1[[#This Row],[Flux in SC / glucose uptake ($mmol/mmol\ glc$)]])</f>
        <v>#NUM!</v>
      </c>
      <c r="J924" t="e">
        <f>LOG(Table1[[#This Row],[Flux in RT / glucose uptake ($mmol/mmol\ glc$)]])</f>
        <v>#NUM!</v>
      </c>
    </row>
    <row r="925" spans="1:10" x14ac:dyDescent="0.2">
      <c r="A925" t="s">
        <v>928</v>
      </c>
      <c r="B925" t="s">
        <v>3184</v>
      </c>
      <c r="C925">
        <v>0</v>
      </c>
      <c r="D925">
        <v>0</v>
      </c>
      <c r="E925">
        <f>ABS(Table1[[#This Row],[Flux in SC / glucose uptake ($mmol/mmol\ glc$)]]-Table1[[#This Row],[Flux in RT / glucose uptake ($mmol/mmol\ glc$)]])/SQRT(2)</f>
        <v>0</v>
      </c>
      <c r="F925">
        <f>Table1[[#This Row],[distance from 45-degree line]]/MAX(Table1[[Flux in SC / glucose uptake ($mmol/mmol\ glc$)]:[Flux in RT / glucose uptake ($mmol/mmol\ glc$)]])</f>
        <v>0</v>
      </c>
      <c r="G925">
        <f>_xlfn.RANK.AVG(Table1[[#This Row],[Flux in SC / glucose uptake ($mmol/mmol\ glc$)]],Table1[Flux in SC / glucose uptake ($mmol/mmol\ glc$)])</f>
        <v>1310.5</v>
      </c>
      <c r="H925">
        <f>_xlfn.RANK.AVG(Table1[[#This Row],[Flux in RT / glucose uptake ($mmol/mmol\ glc$)]],Table1[Flux in RT / glucose uptake ($mmol/mmol\ glc$)])</f>
        <v>1290.5</v>
      </c>
      <c r="I925" t="e">
        <f>LOG(Table1[[#This Row],[Flux in SC / glucose uptake ($mmol/mmol\ glc$)]])</f>
        <v>#NUM!</v>
      </c>
      <c r="J925" t="e">
        <f>LOG(Table1[[#This Row],[Flux in RT / glucose uptake ($mmol/mmol\ glc$)]])</f>
        <v>#NUM!</v>
      </c>
    </row>
    <row r="926" spans="1:10" x14ac:dyDescent="0.2">
      <c r="A926" t="s">
        <v>929</v>
      </c>
      <c r="B926" t="s">
        <v>3184</v>
      </c>
      <c r="C926">
        <v>3.7046893553475985E-2</v>
      </c>
      <c r="D926">
        <v>0.48109215930148402</v>
      </c>
      <c r="E926">
        <f>ABS(Table1[[#This Row],[Flux in SC / glucose uptake ($mmol/mmol\ glc$)]]-Table1[[#This Row],[Flux in RT / glucose uptake ($mmol/mmol\ glc$)]])/SQRT(2)</f>
        <v>0.31398741856419904</v>
      </c>
      <c r="F926">
        <f>Table1[[#This Row],[distance from 45-degree line]]/MAX(Table1[[Flux in SC / glucose uptake ($mmol/mmol\ glc$)]:[Flux in RT / glucose uptake ($mmol/mmol\ glc$)]])</f>
        <v>1.6923563580261671E-2</v>
      </c>
      <c r="G926">
        <f>_xlfn.RANK.AVG(Table1[[#This Row],[Flux in SC / glucose uptake ($mmol/mmol\ glc$)]],Table1[Flux in SC / glucose uptake ($mmol/mmol\ glc$)])</f>
        <v>52</v>
      </c>
      <c r="H926">
        <f>_xlfn.RANK.AVG(Table1[[#This Row],[Flux in RT / glucose uptake ($mmol/mmol\ glc$)]],Table1[Flux in RT / glucose uptake ($mmol/mmol\ glc$)])</f>
        <v>46</v>
      </c>
      <c r="I926">
        <f>LOG(Table1[[#This Row],[Flux in SC / glucose uptake ($mmol/mmol\ glc$)]])</f>
        <v>-1.4312482025063762</v>
      </c>
      <c r="J926">
        <f>LOG(Table1[[#This Row],[Flux in RT / glucose uptake ($mmol/mmol\ glc$)]])</f>
        <v>-0.31777172104349249</v>
      </c>
    </row>
    <row r="927" spans="1:10" x14ac:dyDescent="0.2">
      <c r="A927" t="s">
        <v>930</v>
      </c>
      <c r="B927" t="s">
        <v>3184</v>
      </c>
      <c r="C927">
        <v>0.54107611871392869</v>
      </c>
      <c r="D927">
        <v>4.5088390050312759</v>
      </c>
      <c r="E927">
        <f>ABS(Table1[[#This Row],[Flux in SC / glucose uptake ($mmol/mmol\ glc$)]]-Table1[[#This Row],[Flux in RT / glucose uptake ($mmol/mmol\ glc$)]])/SQRT(2)</f>
        <v>2.8056320430553043</v>
      </c>
      <c r="F927">
        <f>Table1[[#This Row],[distance from 45-degree line]]/MAX(Table1[[Flux in SC / glucose uptake ($mmol/mmol\ glc$)]:[Flux in RT / glucose uptake ($mmol/mmol\ glc$)]])</f>
        <v>0.15122036570951869</v>
      </c>
      <c r="G927">
        <f>_xlfn.RANK.AVG(Table1[[#This Row],[Flux in SC / glucose uptake ($mmol/mmol\ glc$)]],Table1[Flux in SC / glucose uptake ($mmol/mmol\ glc$)])</f>
        <v>21.5</v>
      </c>
      <c r="H927">
        <f>_xlfn.RANK.AVG(Table1[[#This Row],[Flux in RT / glucose uptake ($mmol/mmol\ glc$)]],Table1[Flux in RT / glucose uptake ($mmol/mmol\ glc$)])</f>
        <v>7.5</v>
      </c>
      <c r="I927">
        <f>LOG(Table1[[#This Row],[Flux in SC / glucose uptake ($mmol/mmol\ glc$)]])</f>
        <v>-0.2667416339469969</v>
      </c>
      <c r="J927">
        <f>LOG(Table1[[#This Row],[Flux in RT / glucose uptake ($mmol/mmol\ glc$)]])</f>
        <v>0.65406472843702024</v>
      </c>
    </row>
    <row r="928" spans="1:10" x14ac:dyDescent="0.2">
      <c r="A928" t="s">
        <v>931</v>
      </c>
      <c r="B928" t="s">
        <v>3184</v>
      </c>
      <c r="C928">
        <v>0</v>
      </c>
      <c r="D928">
        <v>0</v>
      </c>
      <c r="E928">
        <f>ABS(Table1[[#This Row],[Flux in SC / glucose uptake ($mmol/mmol\ glc$)]]-Table1[[#This Row],[Flux in RT / glucose uptake ($mmol/mmol\ glc$)]])/SQRT(2)</f>
        <v>0</v>
      </c>
      <c r="F928">
        <f>Table1[[#This Row],[distance from 45-degree line]]/MAX(Table1[[Flux in SC / glucose uptake ($mmol/mmol\ glc$)]:[Flux in RT / glucose uptake ($mmol/mmol\ glc$)]])</f>
        <v>0</v>
      </c>
      <c r="G928">
        <f>_xlfn.RANK.AVG(Table1[[#This Row],[Flux in SC / glucose uptake ($mmol/mmol\ glc$)]],Table1[Flux in SC / glucose uptake ($mmol/mmol\ glc$)])</f>
        <v>1310.5</v>
      </c>
      <c r="H928">
        <f>_xlfn.RANK.AVG(Table1[[#This Row],[Flux in RT / glucose uptake ($mmol/mmol\ glc$)]],Table1[Flux in RT / glucose uptake ($mmol/mmol\ glc$)])</f>
        <v>1290.5</v>
      </c>
      <c r="I928" t="e">
        <f>LOG(Table1[[#This Row],[Flux in SC / glucose uptake ($mmol/mmol\ glc$)]])</f>
        <v>#NUM!</v>
      </c>
      <c r="J928" t="e">
        <f>LOG(Table1[[#This Row],[Flux in RT / glucose uptake ($mmol/mmol\ glc$)]])</f>
        <v>#NUM!</v>
      </c>
    </row>
    <row r="929" spans="1:10" x14ac:dyDescent="0.2">
      <c r="A929" t="s">
        <v>932</v>
      </c>
      <c r="B929" t="s">
        <v>3184</v>
      </c>
      <c r="C929">
        <v>0</v>
      </c>
      <c r="D929">
        <v>0</v>
      </c>
      <c r="E929">
        <f>ABS(Table1[[#This Row],[Flux in SC / glucose uptake ($mmol/mmol\ glc$)]]-Table1[[#This Row],[Flux in RT / glucose uptake ($mmol/mmol\ glc$)]])/SQRT(2)</f>
        <v>0</v>
      </c>
      <c r="F929">
        <f>Table1[[#This Row],[distance from 45-degree line]]/MAX(Table1[[Flux in SC / glucose uptake ($mmol/mmol\ glc$)]:[Flux in RT / glucose uptake ($mmol/mmol\ glc$)]])</f>
        <v>0</v>
      </c>
      <c r="G929">
        <f>_xlfn.RANK.AVG(Table1[[#This Row],[Flux in SC / glucose uptake ($mmol/mmol\ glc$)]],Table1[Flux in SC / glucose uptake ($mmol/mmol\ glc$)])</f>
        <v>1310.5</v>
      </c>
      <c r="H929">
        <f>_xlfn.RANK.AVG(Table1[[#This Row],[Flux in RT / glucose uptake ($mmol/mmol\ glc$)]],Table1[Flux in RT / glucose uptake ($mmol/mmol\ glc$)])</f>
        <v>1290.5</v>
      </c>
      <c r="I929" t="e">
        <f>LOG(Table1[[#This Row],[Flux in SC / glucose uptake ($mmol/mmol\ glc$)]])</f>
        <v>#NUM!</v>
      </c>
      <c r="J929" t="e">
        <f>LOG(Table1[[#This Row],[Flux in RT / glucose uptake ($mmol/mmol\ glc$)]])</f>
        <v>#NUM!</v>
      </c>
    </row>
    <row r="930" spans="1:10" x14ac:dyDescent="0.2">
      <c r="A930" t="s">
        <v>933</v>
      </c>
      <c r="B930" t="s">
        <v>3184</v>
      </c>
      <c r="C930">
        <v>0</v>
      </c>
      <c r="D930">
        <v>0</v>
      </c>
      <c r="E930">
        <f>ABS(Table1[[#This Row],[Flux in SC / glucose uptake ($mmol/mmol\ glc$)]]-Table1[[#This Row],[Flux in RT / glucose uptake ($mmol/mmol\ glc$)]])/SQRT(2)</f>
        <v>0</v>
      </c>
      <c r="F930">
        <f>Table1[[#This Row],[distance from 45-degree line]]/MAX(Table1[[Flux in SC / glucose uptake ($mmol/mmol\ glc$)]:[Flux in RT / glucose uptake ($mmol/mmol\ glc$)]])</f>
        <v>0</v>
      </c>
      <c r="G930">
        <f>_xlfn.RANK.AVG(Table1[[#This Row],[Flux in SC / glucose uptake ($mmol/mmol\ glc$)]],Table1[Flux in SC / glucose uptake ($mmol/mmol\ glc$)])</f>
        <v>1310.5</v>
      </c>
      <c r="H930">
        <f>_xlfn.RANK.AVG(Table1[[#This Row],[Flux in RT / glucose uptake ($mmol/mmol\ glc$)]],Table1[Flux in RT / glucose uptake ($mmol/mmol\ glc$)])</f>
        <v>1290.5</v>
      </c>
      <c r="I930" t="e">
        <f>LOG(Table1[[#This Row],[Flux in SC / glucose uptake ($mmol/mmol\ glc$)]])</f>
        <v>#NUM!</v>
      </c>
      <c r="J930" t="e">
        <f>LOG(Table1[[#This Row],[Flux in RT / glucose uptake ($mmol/mmol\ glc$)]])</f>
        <v>#NUM!</v>
      </c>
    </row>
    <row r="931" spans="1:10" x14ac:dyDescent="0.2">
      <c r="A931" t="s">
        <v>934</v>
      </c>
      <c r="B931" t="s">
        <v>3184</v>
      </c>
      <c r="C931">
        <v>0</v>
      </c>
      <c r="D931">
        <v>0</v>
      </c>
      <c r="E931">
        <f>ABS(Table1[[#This Row],[Flux in SC / glucose uptake ($mmol/mmol\ glc$)]]-Table1[[#This Row],[Flux in RT / glucose uptake ($mmol/mmol\ glc$)]])/SQRT(2)</f>
        <v>0</v>
      </c>
      <c r="F931">
        <f>Table1[[#This Row],[distance from 45-degree line]]/MAX(Table1[[Flux in SC / glucose uptake ($mmol/mmol\ glc$)]:[Flux in RT / glucose uptake ($mmol/mmol\ glc$)]])</f>
        <v>0</v>
      </c>
      <c r="G931">
        <f>_xlfn.RANK.AVG(Table1[[#This Row],[Flux in SC / glucose uptake ($mmol/mmol\ glc$)]],Table1[Flux in SC / glucose uptake ($mmol/mmol\ glc$)])</f>
        <v>1310.5</v>
      </c>
      <c r="H931">
        <f>_xlfn.RANK.AVG(Table1[[#This Row],[Flux in RT / glucose uptake ($mmol/mmol\ glc$)]],Table1[Flux in RT / glucose uptake ($mmol/mmol\ glc$)])</f>
        <v>1290.5</v>
      </c>
      <c r="I931" t="e">
        <f>LOG(Table1[[#This Row],[Flux in SC / glucose uptake ($mmol/mmol\ glc$)]])</f>
        <v>#NUM!</v>
      </c>
      <c r="J931" t="e">
        <f>LOG(Table1[[#This Row],[Flux in RT / glucose uptake ($mmol/mmol\ glc$)]])</f>
        <v>#NUM!</v>
      </c>
    </row>
    <row r="932" spans="1:10" x14ac:dyDescent="0.2">
      <c r="A932" t="s">
        <v>935</v>
      </c>
      <c r="B932" t="s">
        <v>3184</v>
      </c>
      <c r="C932">
        <v>0</v>
      </c>
      <c r="D932">
        <v>0</v>
      </c>
      <c r="E932">
        <f>ABS(Table1[[#This Row],[Flux in SC / glucose uptake ($mmol/mmol\ glc$)]]-Table1[[#This Row],[Flux in RT / glucose uptake ($mmol/mmol\ glc$)]])/SQRT(2)</f>
        <v>0</v>
      </c>
      <c r="F932">
        <f>Table1[[#This Row],[distance from 45-degree line]]/MAX(Table1[[Flux in SC / glucose uptake ($mmol/mmol\ glc$)]:[Flux in RT / glucose uptake ($mmol/mmol\ glc$)]])</f>
        <v>0</v>
      </c>
      <c r="G932">
        <f>_xlfn.RANK.AVG(Table1[[#This Row],[Flux in SC / glucose uptake ($mmol/mmol\ glc$)]],Table1[Flux in SC / glucose uptake ($mmol/mmol\ glc$)])</f>
        <v>1310.5</v>
      </c>
      <c r="H932">
        <f>_xlfn.RANK.AVG(Table1[[#This Row],[Flux in RT / glucose uptake ($mmol/mmol\ glc$)]],Table1[Flux in RT / glucose uptake ($mmol/mmol\ glc$)])</f>
        <v>1290.5</v>
      </c>
      <c r="I932" t="e">
        <f>LOG(Table1[[#This Row],[Flux in SC / glucose uptake ($mmol/mmol\ glc$)]])</f>
        <v>#NUM!</v>
      </c>
      <c r="J932" t="e">
        <f>LOG(Table1[[#This Row],[Flux in RT / glucose uptake ($mmol/mmol\ glc$)]])</f>
        <v>#NUM!</v>
      </c>
    </row>
    <row r="933" spans="1:10" x14ac:dyDescent="0.2">
      <c r="A933" t="s">
        <v>936</v>
      </c>
      <c r="B933" t="s">
        <v>3184</v>
      </c>
      <c r="C933">
        <v>0</v>
      </c>
      <c r="D933">
        <v>0</v>
      </c>
      <c r="E933">
        <f>ABS(Table1[[#This Row],[Flux in SC / glucose uptake ($mmol/mmol\ glc$)]]-Table1[[#This Row],[Flux in RT / glucose uptake ($mmol/mmol\ glc$)]])/SQRT(2)</f>
        <v>0</v>
      </c>
      <c r="F933">
        <f>Table1[[#This Row],[distance from 45-degree line]]/MAX(Table1[[Flux in SC / glucose uptake ($mmol/mmol\ glc$)]:[Flux in RT / glucose uptake ($mmol/mmol\ glc$)]])</f>
        <v>0</v>
      </c>
      <c r="G933">
        <f>_xlfn.RANK.AVG(Table1[[#This Row],[Flux in SC / glucose uptake ($mmol/mmol\ glc$)]],Table1[Flux in SC / glucose uptake ($mmol/mmol\ glc$)])</f>
        <v>1310.5</v>
      </c>
      <c r="H933">
        <f>_xlfn.RANK.AVG(Table1[[#This Row],[Flux in RT / glucose uptake ($mmol/mmol\ glc$)]],Table1[Flux in RT / glucose uptake ($mmol/mmol\ glc$)])</f>
        <v>1290.5</v>
      </c>
      <c r="I933" t="e">
        <f>LOG(Table1[[#This Row],[Flux in SC / glucose uptake ($mmol/mmol\ glc$)]])</f>
        <v>#NUM!</v>
      </c>
      <c r="J933" t="e">
        <f>LOG(Table1[[#This Row],[Flux in RT / glucose uptake ($mmol/mmol\ glc$)]])</f>
        <v>#NUM!</v>
      </c>
    </row>
    <row r="934" spans="1:10" x14ac:dyDescent="0.2">
      <c r="A934" t="s">
        <v>937</v>
      </c>
      <c r="B934" t="s">
        <v>3184</v>
      </c>
      <c r="C934">
        <v>0</v>
      </c>
      <c r="D934">
        <v>0</v>
      </c>
      <c r="E934">
        <f>ABS(Table1[[#This Row],[Flux in SC / glucose uptake ($mmol/mmol\ glc$)]]-Table1[[#This Row],[Flux in RT / glucose uptake ($mmol/mmol\ glc$)]])/SQRT(2)</f>
        <v>0</v>
      </c>
      <c r="F934">
        <f>Table1[[#This Row],[distance from 45-degree line]]/MAX(Table1[[Flux in SC / glucose uptake ($mmol/mmol\ glc$)]:[Flux in RT / glucose uptake ($mmol/mmol\ glc$)]])</f>
        <v>0</v>
      </c>
      <c r="G934">
        <f>_xlfn.RANK.AVG(Table1[[#This Row],[Flux in SC / glucose uptake ($mmol/mmol\ glc$)]],Table1[Flux in SC / glucose uptake ($mmol/mmol\ glc$)])</f>
        <v>1310.5</v>
      </c>
      <c r="H934">
        <f>_xlfn.RANK.AVG(Table1[[#This Row],[Flux in RT / glucose uptake ($mmol/mmol\ glc$)]],Table1[Flux in RT / glucose uptake ($mmol/mmol\ glc$)])</f>
        <v>1290.5</v>
      </c>
      <c r="I934" t="e">
        <f>LOG(Table1[[#This Row],[Flux in SC / glucose uptake ($mmol/mmol\ glc$)]])</f>
        <v>#NUM!</v>
      </c>
      <c r="J934" t="e">
        <f>LOG(Table1[[#This Row],[Flux in RT / glucose uptake ($mmol/mmol\ glc$)]])</f>
        <v>#NUM!</v>
      </c>
    </row>
    <row r="935" spans="1:10" x14ac:dyDescent="0.2">
      <c r="A935" t="s">
        <v>938</v>
      </c>
      <c r="B935" t="s">
        <v>3184</v>
      </c>
      <c r="C935">
        <v>0</v>
      </c>
      <c r="D935">
        <v>0</v>
      </c>
      <c r="E935">
        <f>ABS(Table1[[#This Row],[Flux in SC / glucose uptake ($mmol/mmol\ glc$)]]-Table1[[#This Row],[Flux in RT / glucose uptake ($mmol/mmol\ glc$)]])/SQRT(2)</f>
        <v>0</v>
      </c>
      <c r="F935">
        <f>Table1[[#This Row],[distance from 45-degree line]]/MAX(Table1[[Flux in SC / glucose uptake ($mmol/mmol\ glc$)]:[Flux in RT / glucose uptake ($mmol/mmol\ glc$)]])</f>
        <v>0</v>
      </c>
      <c r="G935">
        <f>_xlfn.RANK.AVG(Table1[[#This Row],[Flux in SC / glucose uptake ($mmol/mmol\ glc$)]],Table1[Flux in SC / glucose uptake ($mmol/mmol\ glc$)])</f>
        <v>1310.5</v>
      </c>
      <c r="H935">
        <f>_xlfn.RANK.AVG(Table1[[#This Row],[Flux in RT / glucose uptake ($mmol/mmol\ glc$)]],Table1[Flux in RT / glucose uptake ($mmol/mmol\ glc$)])</f>
        <v>1290.5</v>
      </c>
      <c r="I935" t="e">
        <f>LOG(Table1[[#This Row],[Flux in SC / glucose uptake ($mmol/mmol\ glc$)]])</f>
        <v>#NUM!</v>
      </c>
      <c r="J935" t="e">
        <f>LOG(Table1[[#This Row],[Flux in RT / glucose uptake ($mmol/mmol\ glc$)]])</f>
        <v>#NUM!</v>
      </c>
    </row>
    <row r="936" spans="1:10" x14ac:dyDescent="0.2">
      <c r="A936" t="s">
        <v>939</v>
      </c>
      <c r="B936" t="s">
        <v>3184</v>
      </c>
      <c r="C936">
        <v>0</v>
      </c>
      <c r="D936">
        <v>0</v>
      </c>
      <c r="E936">
        <f>ABS(Table1[[#This Row],[Flux in SC / glucose uptake ($mmol/mmol\ glc$)]]-Table1[[#This Row],[Flux in RT / glucose uptake ($mmol/mmol\ glc$)]])/SQRT(2)</f>
        <v>0</v>
      </c>
      <c r="F936">
        <f>Table1[[#This Row],[distance from 45-degree line]]/MAX(Table1[[Flux in SC / glucose uptake ($mmol/mmol\ glc$)]:[Flux in RT / glucose uptake ($mmol/mmol\ glc$)]])</f>
        <v>0</v>
      </c>
      <c r="G936">
        <f>_xlfn.RANK.AVG(Table1[[#This Row],[Flux in SC / glucose uptake ($mmol/mmol\ glc$)]],Table1[Flux in SC / glucose uptake ($mmol/mmol\ glc$)])</f>
        <v>1310.5</v>
      </c>
      <c r="H936">
        <f>_xlfn.RANK.AVG(Table1[[#This Row],[Flux in RT / glucose uptake ($mmol/mmol\ glc$)]],Table1[Flux in RT / glucose uptake ($mmol/mmol\ glc$)])</f>
        <v>1290.5</v>
      </c>
      <c r="I936" t="e">
        <f>LOG(Table1[[#This Row],[Flux in SC / glucose uptake ($mmol/mmol\ glc$)]])</f>
        <v>#NUM!</v>
      </c>
      <c r="J936" t="e">
        <f>LOG(Table1[[#This Row],[Flux in RT / glucose uptake ($mmol/mmol\ glc$)]])</f>
        <v>#NUM!</v>
      </c>
    </row>
    <row r="937" spans="1:10" x14ac:dyDescent="0.2">
      <c r="A937" t="s">
        <v>940</v>
      </c>
      <c r="B937" t="s">
        <v>3184</v>
      </c>
      <c r="C937">
        <v>0</v>
      </c>
      <c r="D937">
        <v>0</v>
      </c>
      <c r="E937">
        <f>ABS(Table1[[#This Row],[Flux in SC / glucose uptake ($mmol/mmol\ glc$)]]-Table1[[#This Row],[Flux in RT / glucose uptake ($mmol/mmol\ glc$)]])/SQRT(2)</f>
        <v>0</v>
      </c>
      <c r="F937">
        <f>Table1[[#This Row],[distance from 45-degree line]]/MAX(Table1[[Flux in SC / glucose uptake ($mmol/mmol\ glc$)]:[Flux in RT / glucose uptake ($mmol/mmol\ glc$)]])</f>
        <v>0</v>
      </c>
      <c r="G937">
        <f>_xlfn.RANK.AVG(Table1[[#This Row],[Flux in SC / glucose uptake ($mmol/mmol\ glc$)]],Table1[Flux in SC / glucose uptake ($mmol/mmol\ glc$)])</f>
        <v>1310.5</v>
      </c>
      <c r="H937">
        <f>_xlfn.RANK.AVG(Table1[[#This Row],[Flux in RT / glucose uptake ($mmol/mmol\ glc$)]],Table1[Flux in RT / glucose uptake ($mmol/mmol\ glc$)])</f>
        <v>1290.5</v>
      </c>
      <c r="I937" t="e">
        <f>LOG(Table1[[#This Row],[Flux in SC / glucose uptake ($mmol/mmol\ glc$)]])</f>
        <v>#NUM!</v>
      </c>
      <c r="J937" t="e">
        <f>LOG(Table1[[#This Row],[Flux in RT / glucose uptake ($mmol/mmol\ glc$)]])</f>
        <v>#NUM!</v>
      </c>
    </row>
    <row r="938" spans="1:10" x14ac:dyDescent="0.2">
      <c r="A938" t="s">
        <v>941</v>
      </c>
      <c r="B938" t="s">
        <v>3184</v>
      </c>
      <c r="C938">
        <v>0</v>
      </c>
      <c r="D938">
        <v>0</v>
      </c>
      <c r="E938">
        <f>ABS(Table1[[#This Row],[Flux in SC / glucose uptake ($mmol/mmol\ glc$)]]-Table1[[#This Row],[Flux in RT / glucose uptake ($mmol/mmol\ glc$)]])/SQRT(2)</f>
        <v>0</v>
      </c>
      <c r="F938">
        <f>Table1[[#This Row],[distance from 45-degree line]]/MAX(Table1[[Flux in SC / glucose uptake ($mmol/mmol\ glc$)]:[Flux in RT / glucose uptake ($mmol/mmol\ glc$)]])</f>
        <v>0</v>
      </c>
      <c r="G938">
        <f>_xlfn.RANK.AVG(Table1[[#This Row],[Flux in SC / glucose uptake ($mmol/mmol\ glc$)]],Table1[Flux in SC / glucose uptake ($mmol/mmol\ glc$)])</f>
        <v>1310.5</v>
      </c>
      <c r="H938">
        <f>_xlfn.RANK.AVG(Table1[[#This Row],[Flux in RT / glucose uptake ($mmol/mmol\ glc$)]],Table1[Flux in RT / glucose uptake ($mmol/mmol\ glc$)])</f>
        <v>1290.5</v>
      </c>
      <c r="I938" t="e">
        <f>LOG(Table1[[#This Row],[Flux in SC / glucose uptake ($mmol/mmol\ glc$)]])</f>
        <v>#NUM!</v>
      </c>
      <c r="J938" t="e">
        <f>LOG(Table1[[#This Row],[Flux in RT / glucose uptake ($mmol/mmol\ glc$)]])</f>
        <v>#NUM!</v>
      </c>
    </row>
    <row r="939" spans="1:10" x14ac:dyDescent="0.2">
      <c r="A939" t="s">
        <v>942</v>
      </c>
      <c r="B939" t="s">
        <v>3184</v>
      </c>
      <c r="C939">
        <v>0</v>
      </c>
      <c r="D939">
        <v>0</v>
      </c>
      <c r="E939">
        <f>ABS(Table1[[#This Row],[Flux in SC / glucose uptake ($mmol/mmol\ glc$)]]-Table1[[#This Row],[Flux in RT / glucose uptake ($mmol/mmol\ glc$)]])/SQRT(2)</f>
        <v>0</v>
      </c>
      <c r="F939">
        <f>Table1[[#This Row],[distance from 45-degree line]]/MAX(Table1[[Flux in SC / glucose uptake ($mmol/mmol\ glc$)]:[Flux in RT / glucose uptake ($mmol/mmol\ glc$)]])</f>
        <v>0</v>
      </c>
      <c r="G939">
        <f>_xlfn.RANK.AVG(Table1[[#This Row],[Flux in SC / glucose uptake ($mmol/mmol\ glc$)]],Table1[Flux in SC / glucose uptake ($mmol/mmol\ glc$)])</f>
        <v>1310.5</v>
      </c>
      <c r="H939">
        <f>_xlfn.RANK.AVG(Table1[[#This Row],[Flux in RT / glucose uptake ($mmol/mmol\ glc$)]],Table1[Flux in RT / glucose uptake ($mmol/mmol\ glc$)])</f>
        <v>1290.5</v>
      </c>
      <c r="I939" t="e">
        <f>LOG(Table1[[#This Row],[Flux in SC / glucose uptake ($mmol/mmol\ glc$)]])</f>
        <v>#NUM!</v>
      </c>
      <c r="J939" t="e">
        <f>LOG(Table1[[#This Row],[Flux in RT / glucose uptake ($mmol/mmol\ glc$)]])</f>
        <v>#NUM!</v>
      </c>
    </row>
    <row r="940" spans="1:10" x14ac:dyDescent="0.2">
      <c r="A940" t="s">
        <v>943</v>
      </c>
      <c r="B940" t="s">
        <v>3184</v>
      </c>
      <c r="C940">
        <v>0</v>
      </c>
      <c r="D940">
        <v>0</v>
      </c>
      <c r="E940">
        <f>ABS(Table1[[#This Row],[Flux in SC / glucose uptake ($mmol/mmol\ glc$)]]-Table1[[#This Row],[Flux in RT / glucose uptake ($mmol/mmol\ glc$)]])/SQRT(2)</f>
        <v>0</v>
      </c>
      <c r="F940">
        <f>Table1[[#This Row],[distance from 45-degree line]]/MAX(Table1[[Flux in SC / glucose uptake ($mmol/mmol\ glc$)]:[Flux in RT / glucose uptake ($mmol/mmol\ glc$)]])</f>
        <v>0</v>
      </c>
      <c r="G940">
        <f>_xlfn.RANK.AVG(Table1[[#This Row],[Flux in SC / glucose uptake ($mmol/mmol\ glc$)]],Table1[Flux in SC / glucose uptake ($mmol/mmol\ glc$)])</f>
        <v>1310.5</v>
      </c>
      <c r="H940">
        <f>_xlfn.RANK.AVG(Table1[[#This Row],[Flux in RT / glucose uptake ($mmol/mmol\ glc$)]],Table1[Flux in RT / glucose uptake ($mmol/mmol\ glc$)])</f>
        <v>1290.5</v>
      </c>
      <c r="I940" t="e">
        <f>LOG(Table1[[#This Row],[Flux in SC / glucose uptake ($mmol/mmol\ glc$)]])</f>
        <v>#NUM!</v>
      </c>
      <c r="J940" t="e">
        <f>LOG(Table1[[#This Row],[Flux in RT / glucose uptake ($mmol/mmol\ glc$)]])</f>
        <v>#NUM!</v>
      </c>
    </row>
    <row r="941" spans="1:10" x14ac:dyDescent="0.2">
      <c r="A941" t="s">
        <v>944</v>
      </c>
      <c r="B941" t="s">
        <v>3184</v>
      </c>
      <c r="C941">
        <v>0</v>
      </c>
      <c r="D941">
        <v>0</v>
      </c>
      <c r="E941">
        <f>ABS(Table1[[#This Row],[Flux in SC / glucose uptake ($mmol/mmol\ glc$)]]-Table1[[#This Row],[Flux in RT / glucose uptake ($mmol/mmol\ glc$)]])/SQRT(2)</f>
        <v>0</v>
      </c>
      <c r="F941">
        <f>Table1[[#This Row],[distance from 45-degree line]]/MAX(Table1[[Flux in SC / glucose uptake ($mmol/mmol\ glc$)]:[Flux in RT / glucose uptake ($mmol/mmol\ glc$)]])</f>
        <v>0</v>
      </c>
      <c r="G941">
        <f>_xlfn.RANK.AVG(Table1[[#This Row],[Flux in SC / glucose uptake ($mmol/mmol\ glc$)]],Table1[Flux in SC / glucose uptake ($mmol/mmol\ glc$)])</f>
        <v>1310.5</v>
      </c>
      <c r="H941">
        <f>_xlfn.RANK.AVG(Table1[[#This Row],[Flux in RT / glucose uptake ($mmol/mmol\ glc$)]],Table1[Flux in RT / glucose uptake ($mmol/mmol\ glc$)])</f>
        <v>1290.5</v>
      </c>
      <c r="I941" t="e">
        <f>LOG(Table1[[#This Row],[Flux in SC / glucose uptake ($mmol/mmol\ glc$)]])</f>
        <v>#NUM!</v>
      </c>
      <c r="J941" t="e">
        <f>LOG(Table1[[#This Row],[Flux in RT / glucose uptake ($mmol/mmol\ glc$)]])</f>
        <v>#NUM!</v>
      </c>
    </row>
    <row r="942" spans="1:10" x14ac:dyDescent="0.2">
      <c r="A942" t="s">
        <v>945</v>
      </c>
      <c r="B942" t="s">
        <v>3184</v>
      </c>
      <c r="C942">
        <v>0</v>
      </c>
      <c r="D942">
        <v>0</v>
      </c>
      <c r="E942">
        <f>ABS(Table1[[#This Row],[Flux in SC / glucose uptake ($mmol/mmol\ glc$)]]-Table1[[#This Row],[Flux in RT / glucose uptake ($mmol/mmol\ glc$)]])/SQRT(2)</f>
        <v>0</v>
      </c>
      <c r="F942">
        <f>Table1[[#This Row],[distance from 45-degree line]]/MAX(Table1[[Flux in SC / glucose uptake ($mmol/mmol\ glc$)]:[Flux in RT / glucose uptake ($mmol/mmol\ glc$)]])</f>
        <v>0</v>
      </c>
      <c r="G942">
        <f>_xlfn.RANK.AVG(Table1[[#This Row],[Flux in SC / glucose uptake ($mmol/mmol\ glc$)]],Table1[Flux in SC / glucose uptake ($mmol/mmol\ glc$)])</f>
        <v>1310.5</v>
      </c>
      <c r="H942">
        <f>_xlfn.RANK.AVG(Table1[[#This Row],[Flux in RT / glucose uptake ($mmol/mmol\ glc$)]],Table1[Flux in RT / glucose uptake ($mmol/mmol\ glc$)])</f>
        <v>1290.5</v>
      </c>
      <c r="I942" t="e">
        <f>LOG(Table1[[#This Row],[Flux in SC / glucose uptake ($mmol/mmol\ glc$)]])</f>
        <v>#NUM!</v>
      </c>
      <c r="J942" t="e">
        <f>LOG(Table1[[#This Row],[Flux in RT / glucose uptake ($mmol/mmol\ glc$)]])</f>
        <v>#NUM!</v>
      </c>
    </row>
    <row r="943" spans="1:10" x14ac:dyDescent="0.2">
      <c r="A943" t="s">
        <v>946</v>
      </c>
      <c r="B943" t="s">
        <v>3184</v>
      </c>
      <c r="C943">
        <v>0</v>
      </c>
      <c r="D943">
        <v>0</v>
      </c>
      <c r="E943">
        <f>ABS(Table1[[#This Row],[Flux in SC / glucose uptake ($mmol/mmol\ glc$)]]-Table1[[#This Row],[Flux in RT / glucose uptake ($mmol/mmol\ glc$)]])/SQRT(2)</f>
        <v>0</v>
      </c>
      <c r="F943">
        <f>Table1[[#This Row],[distance from 45-degree line]]/MAX(Table1[[Flux in SC / glucose uptake ($mmol/mmol\ glc$)]:[Flux in RT / glucose uptake ($mmol/mmol\ glc$)]])</f>
        <v>0</v>
      </c>
      <c r="G943">
        <f>_xlfn.RANK.AVG(Table1[[#This Row],[Flux in SC / glucose uptake ($mmol/mmol\ glc$)]],Table1[Flux in SC / glucose uptake ($mmol/mmol\ glc$)])</f>
        <v>1310.5</v>
      </c>
      <c r="H943">
        <f>_xlfn.RANK.AVG(Table1[[#This Row],[Flux in RT / glucose uptake ($mmol/mmol\ glc$)]],Table1[Flux in RT / glucose uptake ($mmol/mmol\ glc$)])</f>
        <v>1290.5</v>
      </c>
      <c r="I943" t="e">
        <f>LOG(Table1[[#This Row],[Flux in SC / glucose uptake ($mmol/mmol\ glc$)]])</f>
        <v>#NUM!</v>
      </c>
      <c r="J943" t="e">
        <f>LOG(Table1[[#This Row],[Flux in RT / glucose uptake ($mmol/mmol\ glc$)]])</f>
        <v>#NUM!</v>
      </c>
    </row>
    <row r="944" spans="1:10" x14ac:dyDescent="0.2">
      <c r="A944" t="s">
        <v>947</v>
      </c>
      <c r="B944" t="s">
        <v>3184</v>
      </c>
      <c r="C944">
        <v>0</v>
      </c>
      <c r="D944">
        <v>0</v>
      </c>
      <c r="E944">
        <f>ABS(Table1[[#This Row],[Flux in SC / glucose uptake ($mmol/mmol\ glc$)]]-Table1[[#This Row],[Flux in RT / glucose uptake ($mmol/mmol\ glc$)]])/SQRT(2)</f>
        <v>0</v>
      </c>
      <c r="F944">
        <f>Table1[[#This Row],[distance from 45-degree line]]/MAX(Table1[[Flux in SC / glucose uptake ($mmol/mmol\ glc$)]:[Flux in RT / glucose uptake ($mmol/mmol\ glc$)]])</f>
        <v>0</v>
      </c>
      <c r="G944">
        <f>_xlfn.RANK.AVG(Table1[[#This Row],[Flux in SC / glucose uptake ($mmol/mmol\ glc$)]],Table1[Flux in SC / glucose uptake ($mmol/mmol\ glc$)])</f>
        <v>1310.5</v>
      </c>
      <c r="H944">
        <f>_xlfn.RANK.AVG(Table1[[#This Row],[Flux in RT / glucose uptake ($mmol/mmol\ glc$)]],Table1[Flux in RT / glucose uptake ($mmol/mmol\ glc$)])</f>
        <v>1290.5</v>
      </c>
      <c r="I944" t="e">
        <f>LOG(Table1[[#This Row],[Flux in SC / glucose uptake ($mmol/mmol\ glc$)]])</f>
        <v>#NUM!</v>
      </c>
      <c r="J944" t="e">
        <f>LOG(Table1[[#This Row],[Flux in RT / glucose uptake ($mmol/mmol\ glc$)]])</f>
        <v>#NUM!</v>
      </c>
    </row>
    <row r="945" spans="1:10" x14ac:dyDescent="0.2">
      <c r="A945" t="s">
        <v>948</v>
      </c>
      <c r="B945" t="s">
        <v>3184</v>
      </c>
      <c r="C945">
        <v>0</v>
      </c>
      <c r="D945">
        <v>0</v>
      </c>
      <c r="E945">
        <f>ABS(Table1[[#This Row],[Flux in SC / glucose uptake ($mmol/mmol\ glc$)]]-Table1[[#This Row],[Flux in RT / glucose uptake ($mmol/mmol\ glc$)]])/SQRT(2)</f>
        <v>0</v>
      </c>
      <c r="F945">
        <f>Table1[[#This Row],[distance from 45-degree line]]/MAX(Table1[[Flux in SC / glucose uptake ($mmol/mmol\ glc$)]:[Flux in RT / glucose uptake ($mmol/mmol\ glc$)]])</f>
        <v>0</v>
      </c>
      <c r="G945">
        <f>_xlfn.RANK.AVG(Table1[[#This Row],[Flux in SC / glucose uptake ($mmol/mmol\ glc$)]],Table1[Flux in SC / glucose uptake ($mmol/mmol\ glc$)])</f>
        <v>1310.5</v>
      </c>
      <c r="H945">
        <f>_xlfn.RANK.AVG(Table1[[#This Row],[Flux in RT / glucose uptake ($mmol/mmol\ glc$)]],Table1[Flux in RT / glucose uptake ($mmol/mmol\ glc$)])</f>
        <v>1290.5</v>
      </c>
      <c r="I945" t="e">
        <f>LOG(Table1[[#This Row],[Flux in SC / glucose uptake ($mmol/mmol\ glc$)]])</f>
        <v>#NUM!</v>
      </c>
      <c r="J945" t="e">
        <f>LOG(Table1[[#This Row],[Flux in RT / glucose uptake ($mmol/mmol\ glc$)]])</f>
        <v>#NUM!</v>
      </c>
    </row>
    <row r="946" spans="1:10" x14ac:dyDescent="0.2">
      <c r="A946" t="s">
        <v>949</v>
      </c>
      <c r="B946" t="s">
        <v>3184</v>
      </c>
      <c r="C946">
        <v>0</v>
      </c>
      <c r="D946">
        <v>0</v>
      </c>
      <c r="E946">
        <f>ABS(Table1[[#This Row],[Flux in SC / glucose uptake ($mmol/mmol\ glc$)]]-Table1[[#This Row],[Flux in RT / glucose uptake ($mmol/mmol\ glc$)]])/SQRT(2)</f>
        <v>0</v>
      </c>
      <c r="F946">
        <f>Table1[[#This Row],[distance from 45-degree line]]/MAX(Table1[[Flux in SC / glucose uptake ($mmol/mmol\ glc$)]:[Flux in RT / glucose uptake ($mmol/mmol\ glc$)]])</f>
        <v>0</v>
      </c>
      <c r="G946">
        <f>_xlfn.RANK.AVG(Table1[[#This Row],[Flux in SC / glucose uptake ($mmol/mmol\ glc$)]],Table1[Flux in SC / glucose uptake ($mmol/mmol\ glc$)])</f>
        <v>1310.5</v>
      </c>
      <c r="H946">
        <f>_xlfn.RANK.AVG(Table1[[#This Row],[Flux in RT / glucose uptake ($mmol/mmol\ glc$)]],Table1[Flux in RT / glucose uptake ($mmol/mmol\ glc$)])</f>
        <v>1290.5</v>
      </c>
      <c r="I946" t="e">
        <f>LOG(Table1[[#This Row],[Flux in SC / glucose uptake ($mmol/mmol\ glc$)]])</f>
        <v>#NUM!</v>
      </c>
      <c r="J946" t="e">
        <f>LOG(Table1[[#This Row],[Flux in RT / glucose uptake ($mmol/mmol\ glc$)]])</f>
        <v>#NUM!</v>
      </c>
    </row>
    <row r="947" spans="1:10" x14ac:dyDescent="0.2">
      <c r="A947" t="s">
        <v>950</v>
      </c>
      <c r="B947" t="s">
        <v>3184</v>
      </c>
      <c r="C947">
        <v>8.5234124030548111E-3</v>
      </c>
      <c r="D947">
        <v>4.3768104309086946E-2</v>
      </c>
      <c r="E947">
        <f>ABS(Table1[[#This Row],[Flux in SC / glucose uptake ($mmol/mmol\ glc$)]]-Table1[[#This Row],[Flux in RT / glucose uptake ($mmol/mmol\ glc$)]])/SQRT(2)</f>
        <v>2.4921760647585944E-2</v>
      </c>
      <c r="F947">
        <f>Table1[[#This Row],[distance from 45-degree line]]/MAX(Table1[[Flux in SC / glucose uptake ($mmol/mmol\ glc$)]:[Flux in RT / glucose uptake ($mmol/mmol\ glc$)]])</f>
        <v>1.3432544615326629E-3</v>
      </c>
      <c r="G947">
        <f>_xlfn.RANK.AVG(Table1[[#This Row],[Flux in SC / glucose uptake ($mmol/mmol\ glc$)]],Table1[Flux in SC / glucose uptake ($mmol/mmol\ glc$)])</f>
        <v>85.5</v>
      </c>
      <c r="H947">
        <f>_xlfn.RANK.AVG(Table1[[#This Row],[Flux in RT / glucose uptake ($mmol/mmol\ glc$)]],Table1[Flux in RT / glucose uptake ($mmol/mmol\ glc$)])</f>
        <v>106.5</v>
      </c>
      <c r="I947">
        <f>LOG(Table1[[#This Row],[Flux in SC / glucose uptake ($mmol/mmol\ glc$)]])</f>
        <v>-2.0693864978253829</v>
      </c>
      <c r="J947">
        <f>LOG(Table1[[#This Row],[Flux in RT / glucose uptake ($mmol/mmol\ glc$)]])</f>
        <v>-1.3588422632094097</v>
      </c>
    </row>
    <row r="948" spans="1:10" x14ac:dyDescent="0.2">
      <c r="A948" t="s">
        <v>951</v>
      </c>
      <c r="B948" t="s">
        <v>3184</v>
      </c>
      <c r="C948">
        <v>0</v>
      </c>
      <c r="D948">
        <v>0</v>
      </c>
      <c r="E948">
        <f>ABS(Table1[[#This Row],[Flux in SC / glucose uptake ($mmol/mmol\ glc$)]]-Table1[[#This Row],[Flux in RT / glucose uptake ($mmol/mmol\ glc$)]])/SQRT(2)</f>
        <v>0</v>
      </c>
      <c r="F948">
        <f>Table1[[#This Row],[distance from 45-degree line]]/MAX(Table1[[Flux in SC / glucose uptake ($mmol/mmol\ glc$)]:[Flux in RT / glucose uptake ($mmol/mmol\ glc$)]])</f>
        <v>0</v>
      </c>
      <c r="G948">
        <f>_xlfn.RANK.AVG(Table1[[#This Row],[Flux in SC / glucose uptake ($mmol/mmol\ glc$)]],Table1[Flux in SC / glucose uptake ($mmol/mmol\ glc$)])</f>
        <v>1310.5</v>
      </c>
      <c r="H948">
        <f>_xlfn.RANK.AVG(Table1[[#This Row],[Flux in RT / glucose uptake ($mmol/mmol\ glc$)]],Table1[Flux in RT / glucose uptake ($mmol/mmol\ glc$)])</f>
        <v>1290.5</v>
      </c>
      <c r="I948" t="e">
        <f>LOG(Table1[[#This Row],[Flux in SC / glucose uptake ($mmol/mmol\ glc$)]])</f>
        <v>#NUM!</v>
      </c>
      <c r="J948" t="e">
        <f>LOG(Table1[[#This Row],[Flux in RT / glucose uptake ($mmol/mmol\ glc$)]])</f>
        <v>#NUM!</v>
      </c>
    </row>
    <row r="949" spans="1:10" x14ac:dyDescent="0.2">
      <c r="A949" t="s">
        <v>952</v>
      </c>
      <c r="B949" t="s">
        <v>3184</v>
      </c>
      <c r="C949">
        <v>0</v>
      </c>
      <c r="D949">
        <v>0</v>
      </c>
      <c r="E949">
        <f>ABS(Table1[[#This Row],[Flux in SC / glucose uptake ($mmol/mmol\ glc$)]]-Table1[[#This Row],[Flux in RT / glucose uptake ($mmol/mmol\ glc$)]])/SQRT(2)</f>
        <v>0</v>
      </c>
      <c r="F949">
        <f>Table1[[#This Row],[distance from 45-degree line]]/MAX(Table1[[Flux in SC / glucose uptake ($mmol/mmol\ glc$)]:[Flux in RT / glucose uptake ($mmol/mmol\ glc$)]])</f>
        <v>0</v>
      </c>
      <c r="G949">
        <f>_xlfn.RANK.AVG(Table1[[#This Row],[Flux in SC / glucose uptake ($mmol/mmol\ glc$)]],Table1[Flux in SC / glucose uptake ($mmol/mmol\ glc$)])</f>
        <v>1310.5</v>
      </c>
      <c r="H949">
        <f>_xlfn.RANK.AVG(Table1[[#This Row],[Flux in RT / glucose uptake ($mmol/mmol\ glc$)]],Table1[Flux in RT / glucose uptake ($mmol/mmol\ glc$)])</f>
        <v>1290.5</v>
      </c>
      <c r="I949" t="e">
        <f>LOG(Table1[[#This Row],[Flux in SC / glucose uptake ($mmol/mmol\ glc$)]])</f>
        <v>#NUM!</v>
      </c>
      <c r="J949" t="e">
        <f>LOG(Table1[[#This Row],[Flux in RT / glucose uptake ($mmol/mmol\ glc$)]])</f>
        <v>#NUM!</v>
      </c>
    </row>
    <row r="950" spans="1:10" x14ac:dyDescent="0.2">
      <c r="A950" t="s">
        <v>953</v>
      </c>
      <c r="B950" t="s">
        <v>3184</v>
      </c>
      <c r="C950">
        <v>0</v>
      </c>
      <c r="D950">
        <v>0</v>
      </c>
      <c r="E950">
        <f>ABS(Table1[[#This Row],[Flux in SC / glucose uptake ($mmol/mmol\ glc$)]]-Table1[[#This Row],[Flux in RT / glucose uptake ($mmol/mmol\ glc$)]])/SQRT(2)</f>
        <v>0</v>
      </c>
      <c r="F950">
        <f>Table1[[#This Row],[distance from 45-degree line]]/MAX(Table1[[Flux in SC / glucose uptake ($mmol/mmol\ glc$)]:[Flux in RT / glucose uptake ($mmol/mmol\ glc$)]])</f>
        <v>0</v>
      </c>
      <c r="G950">
        <f>_xlfn.RANK.AVG(Table1[[#This Row],[Flux in SC / glucose uptake ($mmol/mmol\ glc$)]],Table1[Flux in SC / glucose uptake ($mmol/mmol\ glc$)])</f>
        <v>1310.5</v>
      </c>
      <c r="H950">
        <f>_xlfn.RANK.AVG(Table1[[#This Row],[Flux in RT / glucose uptake ($mmol/mmol\ glc$)]],Table1[Flux in RT / glucose uptake ($mmol/mmol\ glc$)])</f>
        <v>1290.5</v>
      </c>
      <c r="I950" t="e">
        <f>LOG(Table1[[#This Row],[Flux in SC / glucose uptake ($mmol/mmol\ glc$)]])</f>
        <v>#NUM!</v>
      </c>
      <c r="J950" t="e">
        <f>LOG(Table1[[#This Row],[Flux in RT / glucose uptake ($mmol/mmol\ glc$)]])</f>
        <v>#NUM!</v>
      </c>
    </row>
    <row r="951" spans="1:10" x14ac:dyDescent="0.2">
      <c r="A951" t="s">
        <v>954</v>
      </c>
      <c r="B951" t="s">
        <v>3184</v>
      </c>
      <c r="C951">
        <v>0</v>
      </c>
      <c r="D951">
        <v>0</v>
      </c>
      <c r="E951">
        <f>ABS(Table1[[#This Row],[Flux in SC / glucose uptake ($mmol/mmol\ glc$)]]-Table1[[#This Row],[Flux in RT / glucose uptake ($mmol/mmol\ glc$)]])/SQRT(2)</f>
        <v>0</v>
      </c>
      <c r="F951">
        <f>Table1[[#This Row],[distance from 45-degree line]]/MAX(Table1[[Flux in SC / glucose uptake ($mmol/mmol\ glc$)]:[Flux in RT / glucose uptake ($mmol/mmol\ glc$)]])</f>
        <v>0</v>
      </c>
      <c r="G951">
        <f>_xlfn.RANK.AVG(Table1[[#This Row],[Flux in SC / glucose uptake ($mmol/mmol\ glc$)]],Table1[Flux in SC / glucose uptake ($mmol/mmol\ glc$)])</f>
        <v>1310.5</v>
      </c>
      <c r="H951">
        <f>_xlfn.RANK.AVG(Table1[[#This Row],[Flux in RT / glucose uptake ($mmol/mmol\ glc$)]],Table1[Flux in RT / glucose uptake ($mmol/mmol\ glc$)])</f>
        <v>1290.5</v>
      </c>
      <c r="I951" t="e">
        <f>LOG(Table1[[#This Row],[Flux in SC / glucose uptake ($mmol/mmol\ glc$)]])</f>
        <v>#NUM!</v>
      </c>
      <c r="J951" t="e">
        <f>LOG(Table1[[#This Row],[Flux in RT / glucose uptake ($mmol/mmol\ glc$)]])</f>
        <v>#NUM!</v>
      </c>
    </row>
    <row r="952" spans="1:10" x14ac:dyDescent="0.2">
      <c r="A952" t="s">
        <v>955</v>
      </c>
      <c r="B952" t="s">
        <v>3184</v>
      </c>
      <c r="C952">
        <v>0</v>
      </c>
      <c r="D952">
        <v>0</v>
      </c>
      <c r="E952">
        <f>ABS(Table1[[#This Row],[Flux in SC / glucose uptake ($mmol/mmol\ glc$)]]-Table1[[#This Row],[Flux in RT / glucose uptake ($mmol/mmol\ glc$)]])/SQRT(2)</f>
        <v>0</v>
      </c>
      <c r="F952">
        <f>Table1[[#This Row],[distance from 45-degree line]]/MAX(Table1[[Flux in SC / glucose uptake ($mmol/mmol\ glc$)]:[Flux in RT / glucose uptake ($mmol/mmol\ glc$)]])</f>
        <v>0</v>
      </c>
      <c r="G952">
        <f>_xlfn.RANK.AVG(Table1[[#This Row],[Flux in SC / glucose uptake ($mmol/mmol\ glc$)]],Table1[Flux in SC / glucose uptake ($mmol/mmol\ glc$)])</f>
        <v>1310.5</v>
      </c>
      <c r="H952">
        <f>_xlfn.RANK.AVG(Table1[[#This Row],[Flux in RT / glucose uptake ($mmol/mmol\ glc$)]],Table1[Flux in RT / glucose uptake ($mmol/mmol\ glc$)])</f>
        <v>1290.5</v>
      </c>
      <c r="I952" t="e">
        <f>LOG(Table1[[#This Row],[Flux in SC / glucose uptake ($mmol/mmol\ glc$)]])</f>
        <v>#NUM!</v>
      </c>
      <c r="J952" t="e">
        <f>LOG(Table1[[#This Row],[Flux in RT / glucose uptake ($mmol/mmol\ glc$)]])</f>
        <v>#NUM!</v>
      </c>
    </row>
    <row r="953" spans="1:10" x14ac:dyDescent="0.2">
      <c r="A953" t="s">
        <v>956</v>
      </c>
      <c r="B953" t="s">
        <v>3184</v>
      </c>
      <c r="C953">
        <v>0</v>
      </c>
      <c r="D953">
        <v>0</v>
      </c>
      <c r="E953">
        <f>ABS(Table1[[#This Row],[Flux in SC / glucose uptake ($mmol/mmol\ glc$)]]-Table1[[#This Row],[Flux in RT / glucose uptake ($mmol/mmol\ glc$)]])/SQRT(2)</f>
        <v>0</v>
      </c>
      <c r="F953">
        <f>Table1[[#This Row],[distance from 45-degree line]]/MAX(Table1[[Flux in SC / glucose uptake ($mmol/mmol\ glc$)]:[Flux in RT / glucose uptake ($mmol/mmol\ glc$)]])</f>
        <v>0</v>
      </c>
      <c r="G953">
        <f>_xlfn.RANK.AVG(Table1[[#This Row],[Flux in SC / glucose uptake ($mmol/mmol\ glc$)]],Table1[Flux in SC / glucose uptake ($mmol/mmol\ glc$)])</f>
        <v>1310.5</v>
      </c>
      <c r="H953">
        <f>_xlfn.RANK.AVG(Table1[[#This Row],[Flux in RT / glucose uptake ($mmol/mmol\ glc$)]],Table1[Flux in RT / glucose uptake ($mmol/mmol\ glc$)])</f>
        <v>1290.5</v>
      </c>
      <c r="I953" t="e">
        <f>LOG(Table1[[#This Row],[Flux in SC / glucose uptake ($mmol/mmol\ glc$)]])</f>
        <v>#NUM!</v>
      </c>
      <c r="J953" t="e">
        <f>LOG(Table1[[#This Row],[Flux in RT / glucose uptake ($mmol/mmol\ glc$)]])</f>
        <v>#NUM!</v>
      </c>
    </row>
    <row r="954" spans="1:10" x14ac:dyDescent="0.2">
      <c r="A954" t="s">
        <v>957</v>
      </c>
      <c r="B954" t="s">
        <v>3184</v>
      </c>
      <c r="C954">
        <v>0</v>
      </c>
      <c r="D954">
        <v>0</v>
      </c>
      <c r="E954">
        <f>ABS(Table1[[#This Row],[Flux in SC / glucose uptake ($mmol/mmol\ glc$)]]-Table1[[#This Row],[Flux in RT / glucose uptake ($mmol/mmol\ glc$)]])/SQRT(2)</f>
        <v>0</v>
      </c>
      <c r="F954">
        <f>Table1[[#This Row],[distance from 45-degree line]]/MAX(Table1[[Flux in SC / glucose uptake ($mmol/mmol\ glc$)]:[Flux in RT / glucose uptake ($mmol/mmol\ glc$)]])</f>
        <v>0</v>
      </c>
      <c r="G954">
        <f>_xlfn.RANK.AVG(Table1[[#This Row],[Flux in SC / glucose uptake ($mmol/mmol\ glc$)]],Table1[Flux in SC / glucose uptake ($mmol/mmol\ glc$)])</f>
        <v>1310.5</v>
      </c>
      <c r="H954">
        <f>_xlfn.RANK.AVG(Table1[[#This Row],[Flux in RT / glucose uptake ($mmol/mmol\ glc$)]],Table1[Flux in RT / glucose uptake ($mmol/mmol\ glc$)])</f>
        <v>1290.5</v>
      </c>
      <c r="I954" t="e">
        <f>LOG(Table1[[#This Row],[Flux in SC / glucose uptake ($mmol/mmol\ glc$)]])</f>
        <v>#NUM!</v>
      </c>
      <c r="J954" t="e">
        <f>LOG(Table1[[#This Row],[Flux in RT / glucose uptake ($mmol/mmol\ glc$)]])</f>
        <v>#NUM!</v>
      </c>
    </row>
    <row r="955" spans="1:10" x14ac:dyDescent="0.2">
      <c r="A955" t="s">
        <v>958</v>
      </c>
      <c r="B955" t="s">
        <v>3184</v>
      </c>
      <c r="C955">
        <v>0</v>
      </c>
      <c r="D955">
        <v>0</v>
      </c>
      <c r="E955">
        <f>ABS(Table1[[#This Row],[Flux in SC / glucose uptake ($mmol/mmol\ glc$)]]-Table1[[#This Row],[Flux in RT / glucose uptake ($mmol/mmol\ glc$)]])/SQRT(2)</f>
        <v>0</v>
      </c>
      <c r="F955">
        <f>Table1[[#This Row],[distance from 45-degree line]]/MAX(Table1[[Flux in SC / glucose uptake ($mmol/mmol\ glc$)]:[Flux in RT / glucose uptake ($mmol/mmol\ glc$)]])</f>
        <v>0</v>
      </c>
      <c r="G955">
        <f>_xlfn.RANK.AVG(Table1[[#This Row],[Flux in SC / glucose uptake ($mmol/mmol\ glc$)]],Table1[Flux in SC / glucose uptake ($mmol/mmol\ glc$)])</f>
        <v>1310.5</v>
      </c>
      <c r="H955">
        <f>_xlfn.RANK.AVG(Table1[[#This Row],[Flux in RT / glucose uptake ($mmol/mmol\ glc$)]],Table1[Flux in RT / glucose uptake ($mmol/mmol\ glc$)])</f>
        <v>1290.5</v>
      </c>
      <c r="I955" t="e">
        <f>LOG(Table1[[#This Row],[Flux in SC / glucose uptake ($mmol/mmol\ glc$)]])</f>
        <v>#NUM!</v>
      </c>
      <c r="J955" t="e">
        <f>LOG(Table1[[#This Row],[Flux in RT / glucose uptake ($mmol/mmol\ glc$)]])</f>
        <v>#NUM!</v>
      </c>
    </row>
    <row r="956" spans="1:10" x14ac:dyDescent="0.2">
      <c r="A956" t="s">
        <v>959</v>
      </c>
      <c r="B956" t="s">
        <v>3184</v>
      </c>
      <c r="C956">
        <v>0</v>
      </c>
      <c r="D956">
        <v>0</v>
      </c>
      <c r="E956">
        <f>ABS(Table1[[#This Row],[Flux in SC / glucose uptake ($mmol/mmol\ glc$)]]-Table1[[#This Row],[Flux in RT / glucose uptake ($mmol/mmol\ glc$)]])/SQRT(2)</f>
        <v>0</v>
      </c>
      <c r="F956">
        <f>Table1[[#This Row],[distance from 45-degree line]]/MAX(Table1[[Flux in SC / glucose uptake ($mmol/mmol\ glc$)]:[Flux in RT / glucose uptake ($mmol/mmol\ glc$)]])</f>
        <v>0</v>
      </c>
      <c r="G956">
        <f>_xlfn.RANK.AVG(Table1[[#This Row],[Flux in SC / glucose uptake ($mmol/mmol\ glc$)]],Table1[Flux in SC / glucose uptake ($mmol/mmol\ glc$)])</f>
        <v>1310.5</v>
      </c>
      <c r="H956">
        <f>_xlfn.RANK.AVG(Table1[[#This Row],[Flux in RT / glucose uptake ($mmol/mmol\ glc$)]],Table1[Flux in RT / glucose uptake ($mmol/mmol\ glc$)])</f>
        <v>1290.5</v>
      </c>
      <c r="I956" t="e">
        <f>LOG(Table1[[#This Row],[Flux in SC / glucose uptake ($mmol/mmol\ glc$)]])</f>
        <v>#NUM!</v>
      </c>
      <c r="J956" t="e">
        <f>LOG(Table1[[#This Row],[Flux in RT / glucose uptake ($mmol/mmol\ glc$)]])</f>
        <v>#NUM!</v>
      </c>
    </row>
    <row r="957" spans="1:10" x14ac:dyDescent="0.2">
      <c r="A957" t="s">
        <v>960</v>
      </c>
      <c r="B957" t="s">
        <v>3184</v>
      </c>
      <c r="C957">
        <v>0</v>
      </c>
      <c r="D957">
        <v>0</v>
      </c>
      <c r="E957">
        <f>ABS(Table1[[#This Row],[Flux in SC / glucose uptake ($mmol/mmol\ glc$)]]-Table1[[#This Row],[Flux in RT / glucose uptake ($mmol/mmol\ glc$)]])/SQRT(2)</f>
        <v>0</v>
      </c>
      <c r="F957">
        <f>Table1[[#This Row],[distance from 45-degree line]]/MAX(Table1[[Flux in SC / glucose uptake ($mmol/mmol\ glc$)]:[Flux in RT / glucose uptake ($mmol/mmol\ glc$)]])</f>
        <v>0</v>
      </c>
      <c r="G957">
        <f>_xlfn.RANK.AVG(Table1[[#This Row],[Flux in SC / glucose uptake ($mmol/mmol\ glc$)]],Table1[Flux in SC / glucose uptake ($mmol/mmol\ glc$)])</f>
        <v>1310.5</v>
      </c>
      <c r="H957">
        <f>_xlfn.RANK.AVG(Table1[[#This Row],[Flux in RT / glucose uptake ($mmol/mmol\ glc$)]],Table1[Flux in RT / glucose uptake ($mmol/mmol\ glc$)])</f>
        <v>1290.5</v>
      </c>
      <c r="I957" t="e">
        <f>LOG(Table1[[#This Row],[Flux in SC / glucose uptake ($mmol/mmol\ glc$)]])</f>
        <v>#NUM!</v>
      </c>
      <c r="J957" t="e">
        <f>LOG(Table1[[#This Row],[Flux in RT / glucose uptake ($mmol/mmol\ glc$)]])</f>
        <v>#NUM!</v>
      </c>
    </row>
    <row r="958" spans="1:10" x14ac:dyDescent="0.2">
      <c r="A958" t="s">
        <v>961</v>
      </c>
      <c r="B958" t="s">
        <v>3184</v>
      </c>
      <c r="C958">
        <v>0</v>
      </c>
      <c r="D958">
        <v>0</v>
      </c>
      <c r="E958">
        <f>ABS(Table1[[#This Row],[Flux in SC / glucose uptake ($mmol/mmol\ glc$)]]-Table1[[#This Row],[Flux in RT / glucose uptake ($mmol/mmol\ glc$)]])/SQRT(2)</f>
        <v>0</v>
      </c>
      <c r="F958">
        <f>Table1[[#This Row],[distance from 45-degree line]]/MAX(Table1[[Flux in SC / glucose uptake ($mmol/mmol\ glc$)]:[Flux in RT / glucose uptake ($mmol/mmol\ glc$)]])</f>
        <v>0</v>
      </c>
      <c r="G958">
        <f>_xlfn.RANK.AVG(Table1[[#This Row],[Flux in SC / glucose uptake ($mmol/mmol\ glc$)]],Table1[Flux in SC / glucose uptake ($mmol/mmol\ glc$)])</f>
        <v>1310.5</v>
      </c>
      <c r="H958">
        <f>_xlfn.RANK.AVG(Table1[[#This Row],[Flux in RT / glucose uptake ($mmol/mmol\ glc$)]],Table1[Flux in RT / glucose uptake ($mmol/mmol\ glc$)])</f>
        <v>1290.5</v>
      </c>
      <c r="I958" t="e">
        <f>LOG(Table1[[#This Row],[Flux in SC / glucose uptake ($mmol/mmol\ glc$)]])</f>
        <v>#NUM!</v>
      </c>
      <c r="J958" t="e">
        <f>LOG(Table1[[#This Row],[Flux in RT / glucose uptake ($mmol/mmol\ glc$)]])</f>
        <v>#NUM!</v>
      </c>
    </row>
    <row r="959" spans="1:10" x14ac:dyDescent="0.2">
      <c r="A959" t="s">
        <v>962</v>
      </c>
      <c r="B959" t="s">
        <v>3184</v>
      </c>
      <c r="C959">
        <v>8.9811760576676448E-4</v>
      </c>
      <c r="D959">
        <v>4.6118741171011233E-3</v>
      </c>
      <c r="E959">
        <f>ABS(Table1[[#This Row],[Flux in SC / glucose uptake ($mmol/mmol\ glc$)]]-Table1[[#This Row],[Flux in RT / glucose uptake ($mmol/mmol\ glc$)]])/SQRT(2)</f>
        <v>2.6260224128402203E-3</v>
      </c>
      <c r="F959">
        <f>Table1[[#This Row],[distance from 45-degree line]]/MAX(Table1[[Flux in SC / glucose uptake ($mmol/mmol\ glc$)]:[Flux in RT / glucose uptake ($mmol/mmol\ glc$)]])</f>
        <v>1.4153961158735705E-4</v>
      </c>
      <c r="G959">
        <f>_xlfn.RANK.AVG(Table1[[#This Row],[Flux in SC / glucose uptake ($mmol/mmol\ glc$)]],Table1[Flux in SC / glucose uptake ($mmol/mmol\ glc$)])</f>
        <v>219.5</v>
      </c>
      <c r="H959">
        <f>_xlfn.RANK.AVG(Table1[[#This Row],[Flux in RT / glucose uptake ($mmol/mmol\ glc$)]],Table1[Flux in RT / glucose uptake ($mmol/mmol\ glc$)])</f>
        <v>223.5</v>
      </c>
      <c r="I959">
        <f>LOG(Table1[[#This Row],[Flux in SC / glucose uptake ($mmol/mmol\ glc$)]])</f>
        <v>-3.0466667900684339</v>
      </c>
      <c r="J959">
        <f>LOG(Table1[[#This Row],[Flux in RT / glucose uptake ($mmol/mmol\ glc$)]])</f>
        <v>-2.3361225554524609</v>
      </c>
    </row>
    <row r="960" spans="1:10" x14ac:dyDescent="0.2">
      <c r="A960" t="s">
        <v>963</v>
      </c>
      <c r="B960" t="s">
        <v>3184</v>
      </c>
      <c r="C960">
        <v>0</v>
      </c>
      <c r="D960">
        <v>0</v>
      </c>
      <c r="E960">
        <f>ABS(Table1[[#This Row],[Flux in SC / glucose uptake ($mmol/mmol\ glc$)]]-Table1[[#This Row],[Flux in RT / glucose uptake ($mmol/mmol\ glc$)]])/SQRT(2)</f>
        <v>0</v>
      </c>
      <c r="F960">
        <f>Table1[[#This Row],[distance from 45-degree line]]/MAX(Table1[[Flux in SC / glucose uptake ($mmol/mmol\ glc$)]:[Flux in RT / glucose uptake ($mmol/mmol\ glc$)]])</f>
        <v>0</v>
      </c>
      <c r="G960">
        <f>_xlfn.RANK.AVG(Table1[[#This Row],[Flux in SC / glucose uptake ($mmol/mmol\ glc$)]],Table1[Flux in SC / glucose uptake ($mmol/mmol\ glc$)])</f>
        <v>1310.5</v>
      </c>
      <c r="H960">
        <f>_xlfn.RANK.AVG(Table1[[#This Row],[Flux in RT / glucose uptake ($mmol/mmol\ glc$)]],Table1[Flux in RT / glucose uptake ($mmol/mmol\ glc$)])</f>
        <v>1290.5</v>
      </c>
      <c r="I960" t="e">
        <f>LOG(Table1[[#This Row],[Flux in SC / glucose uptake ($mmol/mmol\ glc$)]])</f>
        <v>#NUM!</v>
      </c>
      <c r="J960" t="e">
        <f>LOG(Table1[[#This Row],[Flux in RT / glucose uptake ($mmol/mmol\ glc$)]])</f>
        <v>#NUM!</v>
      </c>
    </row>
    <row r="961" spans="1:10" x14ac:dyDescent="0.2">
      <c r="A961" t="s">
        <v>964</v>
      </c>
      <c r="B961" t="s">
        <v>3184</v>
      </c>
      <c r="C961">
        <v>1.3272604421223432E-6</v>
      </c>
      <c r="D961">
        <v>6.8155417958323068E-6</v>
      </c>
      <c r="E961">
        <f>ABS(Table1[[#This Row],[Flux in SC / glucose uptake ($mmol/mmol\ glc$)]]-Table1[[#This Row],[Flux in RT / glucose uptake ($mmol/mmol\ glc$)]])/SQRT(2)</f>
        <v>3.8808009622679996E-6</v>
      </c>
      <c r="F961">
        <f>Table1[[#This Row],[distance from 45-degree line]]/MAX(Table1[[Flux in SC / glucose uptake ($mmol/mmol\ glc$)]:[Flux in RT / glucose uptake ($mmol/mmol\ glc$)]])</f>
        <v>2.0917074361645039E-7</v>
      </c>
      <c r="G961">
        <f>_xlfn.RANK.AVG(Table1[[#This Row],[Flux in SC / glucose uptake ($mmol/mmol\ glc$)]],Table1[Flux in SC / glucose uptake ($mmol/mmol\ glc$)])</f>
        <v>287.5</v>
      </c>
      <c r="H961">
        <f>_xlfn.RANK.AVG(Table1[[#This Row],[Flux in RT / glucose uptake ($mmol/mmol\ glc$)]],Table1[Flux in RT / glucose uptake ($mmol/mmol\ glc$)])</f>
        <v>283.5</v>
      </c>
      <c r="I961">
        <f>LOG(Table1[[#This Row],[Flux in SC / glucose uptake ($mmol/mmol\ glc$)]])</f>
        <v>-5.8770438491939831</v>
      </c>
      <c r="J961">
        <f>LOG(Table1[[#This Row],[Flux in RT / glucose uptake ($mmol/mmol\ glc$)]])</f>
        <v>-5.1664996145780098</v>
      </c>
    </row>
    <row r="962" spans="1:10" x14ac:dyDescent="0.2">
      <c r="A962" t="s">
        <v>965</v>
      </c>
      <c r="B962" t="s">
        <v>3184</v>
      </c>
      <c r="C962">
        <v>0</v>
      </c>
      <c r="D962">
        <v>0</v>
      </c>
      <c r="E962">
        <f>ABS(Table1[[#This Row],[Flux in SC / glucose uptake ($mmol/mmol\ glc$)]]-Table1[[#This Row],[Flux in RT / glucose uptake ($mmol/mmol\ glc$)]])/SQRT(2)</f>
        <v>0</v>
      </c>
      <c r="F962">
        <f>Table1[[#This Row],[distance from 45-degree line]]/MAX(Table1[[Flux in SC / glucose uptake ($mmol/mmol\ glc$)]:[Flux in RT / glucose uptake ($mmol/mmol\ glc$)]])</f>
        <v>0</v>
      </c>
      <c r="G962">
        <f>_xlfn.RANK.AVG(Table1[[#This Row],[Flux in SC / glucose uptake ($mmol/mmol\ glc$)]],Table1[Flux in SC / glucose uptake ($mmol/mmol\ glc$)])</f>
        <v>1310.5</v>
      </c>
      <c r="H962">
        <f>_xlfn.RANK.AVG(Table1[[#This Row],[Flux in RT / glucose uptake ($mmol/mmol\ glc$)]],Table1[Flux in RT / glucose uptake ($mmol/mmol\ glc$)])</f>
        <v>1290.5</v>
      </c>
      <c r="I962" t="e">
        <f>LOG(Table1[[#This Row],[Flux in SC / glucose uptake ($mmol/mmol\ glc$)]])</f>
        <v>#NUM!</v>
      </c>
      <c r="J962" t="e">
        <f>LOG(Table1[[#This Row],[Flux in RT / glucose uptake ($mmol/mmol\ glc$)]])</f>
        <v>#NUM!</v>
      </c>
    </row>
    <row r="963" spans="1:10" x14ac:dyDescent="0.2">
      <c r="A963" t="s">
        <v>966</v>
      </c>
      <c r="B963" t="s">
        <v>3184</v>
      </c>
      <c r="C963">
        <v>0</v>
      </c>
      <c r="D963">
        <v>0</v>
      </c>
      <c r="E963">
        <f>ABS(Table1[[#This Row],[Flux in SC / glucose uptake ($mmol/mmol\ glc$)]]-Table1[[#This Row],[Flux in RT / glucose uptake ($mmol/mmol\ glc$)]])/SQRT(2)</f>
        <v>0</v>
      </c>
      <c r="F963">
        <f>Table1[[#This Row],[distance from 45-degree line]]/MAX(Table1[[Flux in SC / glucose uptake ($mmol/mmol\ glc$)]:[Flux in RT / glucose uptake ($mmol/mmol\ glc$)]])</f>
        <v>0</v>
      </c>
      <c r="G963">
        <f>_xlfn.RANK.AVG(Table1[[#This Row],[Flux in SC / glucose uptake ($mmol/mmol\ glc$)]],Table1[Flux in SC / glucose uptake ($mmol/mmol\ glc$)])</f>
        <v>1310.5</v>
      </c>
      <c r="H963">
        <f>_xlfn.RANK.AVG(Table1[[#This Row],[Flux in RT / glucose uptake ($mmol/mmol\ glc$)]],Table1[Flux in RT / glucose uptake ($mmol/mmol\ glc$)])</f>
        <v>1290.5</v>
      </c>
      <c r="I963" t="e">
        <f>LOG(Table1[[#This Row],[Flux in SC / glucose uptake ($mmol/mmol\ glc$)]])</f>
        <v>#NUM!</v>
      </c>
      <c r="J963" t="e">
        <f>LOG(Table1[[#This Row],[Flux in RT / glucose uptake ($mmol/mmol\ glc$)]])</f>
        <v>#NUM!</v>
      </c>
    </row>
    <row r="964" spans="1:10" x14ac:dyDescent="0.2">
      <c r="A964" t="s">
        <v>967</v>
      </c>
      <c r="B964" t="s">
        <v>3184</v>
      </c>
      <c r="C964">
        <v>0</v>
      </c>
      <c r="D964">
        <v>0</v>
      </c>
      <c r="E964">
        <f>ABS(Table1[[#This Row],[Flux in SC / glucose uptake ($mmol/mmol\ glc$)]]-Table1[[#This Row],[Flux in RT / glucose uptake ($mmol/mmol\ glc$)]])/SQRT(2)</f>
        <v>0</v>
      </c>
      <c r="F964">
        <f>Table1[[#This Row],[distance from 45-degree line]]/MAX(Table1[[Flux in SC / glucose uptake ($mmol/mmol\ glc$)]:[Flux in RT / glucose uptake ($mmol/mmol\ glc$)]])</f>
        <v>0</v>
      </c>
      <c r="G964">
        <f>_xlfn.RANK.AVG(Table1[[#This Row],[Flux in SC / glucose uptake ($mmol/mmol\ glc$)]],Table1[Flux in SC / glucose uptake ($mmol/mmol\ glc$)])</f>
        <v>1310.5</v>
      </c>
      <c r="H964">
        <f>_xlfn.RANK.AVG(Table1[[#This Row],[Flux in RT / glucose uptake ($mmol/mmol\ glc$)]],Table1[Flux in RT / glucose uptake ($mmol/mmol\ glc$)])</f>
        <v>1290.5</v>
      </c>
      <c r="I964" t="e">
        <f>LOG(Table1[[#This Row],[Flux in SC / glucose uptake ($mmol/mmol\ glc$)]])</f>
        <v>#NUM!</v>
      </c>
      <c r="J964" t="e">
        <f>LOG(Table1[[#This Row],[Flux in RT / glucose uptake ($mmol/mmol\ glc$)]])</f>
        <v>#NUM!</v>
      </c>
    </row>
    <row r="965" spans="1:10" x14ac:dyDescent="0.2">
      <c r="A965" t="s">
        <v>968</v>
      </c>
      <c r="B965" t="s">
        <v>3184</v>
      </c>
      <c r="C965">
        <v>0</v>
      </c>
      <c r="D965">
        <v>0</v>
      </c>
      <c r="E965">
        <f>ABS(Table1[[#This Row],[Flux in SC / glucose uptake ($mmol/mmol\ glc$)]]-Table1[[#This Row],[Flux in RT / glucose uptake ($mmol/mmol\ glc$)]])/SQRT(2)</f>
        <v>0</v>
      </c>
      <c r="F965">
        <f>Table1[[#This Row],[distance from 45-degree line]]/MAX(Table1[[Flux in SC / glucose uptake ($mmol/mmol\ glc$)]:[Flux in RT / glucose uptake ($mmol/mmol\ glc$)]])</f>
        <v>0</v>
      </c>
      <c r="G965">
        <f>_xlfn.RANK.AVG(Table1[[#This Row],[Flux in SC / glucose uptake ($mmol/mmol\ glc$)]],Table1[Flux in SC / glucose uptake ($mmol/mmol\ glc$)])</f>
        <v>1310.5</v>
      </c>
      <c r="H965">
        <f>_xlfn.RANK.AVG(Table1[[#This Row],[Flux in RT / glucose uptake ($mmol/mmol\ glc$)]],Table1[Flux in RT / glucose uptake ($mmol/mmol\ glc$)])</f>
        <v>1290.5</v>
      </c>
      <c r="I965" t="e">
        <f>LOG(Table1[[#This Row],[Flux in SC / glucose uptake ($mmol/mmol\ glc$)]])</f>
        <v>#NUM!</v>
      </c>
      <c r="J965" t="e">
        <f>LOG(Table1[[#This Row],[Flux in RT / glucose uptake ($mmol/mmol\ glc$)]])</f>
        <v>#NUM!</v>
      </c>
    </row>
    <row r="966" spans="1:10" x14ac:dyDescent="0.2">
      <c r="A966" t="s">
        <v>969</v>
      </c>
      <c r="B966" t="s">
        <v>3184</v>
      </c>
      <c r="C966">
        <v>0</v>
      </c>
      <c r="D966">
        <v>0</v>
      </c>
      <c r="E966">
        <f>ABS(Table1[[#This Row],[Flux in SC / glucose uptake ($mmol/mmol\ glc$)]]-Table1[[#This Row],[Flux in RT / glucose uptake ($mmol/mmol\ glc$)]])/SQRT(2)</f>
        <v>0</v>
      </c>
      <c r="F966">
        <f>Table1[[#This Row],[distance from 45-degree line]]/MAX(Table1[[Flux in SC / glucose uptake ($mmol/mmol\ glc$)]:[Flux in RT / glucose uptake ($mmol/mmol\ glc$)]])</f>
        <v>0</v>
      </c>
      <c r="G966">
        <f>_xlfn.RANK.AVG(Table1[[#This Row],[Flux in SC / glucose uptake ($mmol/mmol\ glc$)]],Table1[Flux in SC / glucose uptake ($mmol/mmol\ glc$)])</f>
        <v>1310.5</v>
      </c>
      <c r="H966">
        <f>_xlfn.RANK.AVG(Table1[[#This Row],[Flux in RT / glucose uptake ($mmol/mmol\ glc$)]],Table1[Flux in RT / glucose uptake ($mmol/mmol\ glc$)])</f>
        <v>1290.5</v>
      </c>
      <c r="I966" t="e">
        <f>LOG(Table1[[#This Row],[Flux in SC / glucose uptake ($mmol/mmol\ glc$)]])</f>
        <v>#NUM!</v>
      </c>
      <c r="J966" t="e">
        <f>LOG(Table1[[#This Row],[Flux in RT / glucose uptake ($mmol/mmol\ glc$)]])</f>
        <v>#NUM!</v>
      </c>
    </row>
    <row r="967" spans="1:10" x14ac:dyDescent="0.2">
      <c r="A967" t="s">
        <v>970</v>
      </c>
      <c r="B967" t="s">
        <v>3184</v>
      </c>
      <c r="C967">
        <v>0</v>
      </c>
      <c r="D967">
        <v>0</v>
      </c>
      <c r="E967">
        <f>ABS(Table1[[#This Row],[Flux in SC / glucose uptake ($mmol/mmol\ glc$)]]-Table1[[#This Row],[Flux in RT / glucose uptake ($mmol/mmol\ glc$)]])/SQRT(2)</f>
        <v>0</v>
      </c>
      <c r="F967">
        <f>Table1[[#This Row],[distance from 45-degree line]]/MAX(Table1[[Flux in SC / glucose uptake ($mmol/mmol\ glc$)]:[Flux in RT / glucose uptake ($mmol/mmol\ glc$)]])</f>
        <v>0</v>
      </c>
      <c r="G967">
        <f>_xlfn.RANK.AVG(Table1[[#This Row],[Flux in SC / glucose uptake ($mmol/mmol\ glc$)]],Table1[Flux in SC / glucose uptake ($mmol/mmol\ glc$)])</f>
        <v>1310.5</v>
      </c>
      <c r="H967">
        <f>_xlfn.RANK.AVG(Table1[[#This Row],[Flux in RT / glucose uptake ($mmol/mmol\ glc$)]],Table1[Flux in RT / glucose uptake ($mmol/mmol\ glc$)])</f>
        <v>1290.5</v>
      </c>
      <c r="I967" t="e">
        <f>LOG(Table1[[#This Row],[Flux in SC / glucose uptake ($mmol/mmol\ glc$)]])</f>
        <v>#NUM!</v>
      </c>
      <c r="J967" t="e">
        <f>LOG(Table1[[#This Row],[Flux in RT / glucose uptake ($mmol/mmol\ glc$)]])</f>
        <v>#NUM!</v>
      </c>
    </row>
    <row r="968" spans="1:10" x14ac:dyDescent="0.2">
      <c r="A968" t="s">
        <v>971</v>
      </c>
      <c r="B968" t="s">
        <v>3184</v>
      </c>
      <c r="C968">
        <v>0.11235738303511557</v>
      </c>
      <c r="D968">
        <v>0.51697071736392608</v>
      </c>
      <c r="E968">
        <f>ABS(Table1[[#This Row],[Flux in SC / glucose uptake ($mmol/mmol\ glc$)]]-Table1[[#This Row],[Flux in RT / glucose uptake ($mmol/mmol\ glc$)]])/SQRT(2)</f>
        <v>0.28610483246240159</v>
      </c>
      <c r="F968">
        <f>Table1[[#This Row],[distance from 45-degree line]]/MAX(Table1[[Flux in SC / glucose uptake ($mmol/mmol\ glc$)]:[Flux in RT / glucose uptake ($mmol/mmol\ glc$)]])</f>
        <v>1.5420724005244087E-2</v>
      </c>
      <c r="G968">
        <f>_xlfn.RANK.AVG(Table1[[#This Row],[Flux in SC / glucose uptake ($mmol/mmol\ glc$)]],Table1[Flux in SC / glucose uptake ($mmol/mmol\ glc$)])</f>
        <v>33.5</v>
      </c>
      <c r="H968">
        <f>_xlfn.RANK.AVG(Table1[[#This Row],[Flux in RT / glucose uptake ($mmol/mmol\ glc$)]],Table1[Flux in RT / glucose uptake ($mmol/mmol\ glc$)])</f>
        <v>43.5</v>
      </c>
      <c r="I968">
        <f>LOG(Table1[[#This Row],[Flux in SC / glucose uptake ($mmol/mmol\ glc$)]])</f>
        <v>-0.94939838469513282</v>
      </c>
      <c r="J968">
        <f>LOG(Table1[[#This Row],[Flux in RT / glucose uptake ($mmol/mmol\ glc$)]])</f>
        <v>-0.28653405583725028</v>
      </c>
    </row>
    <row r="969" spans="1:10" x14ac:dyDescent="0.2">
      <c r="A969" t="s">
        <v>972</v>
      </c>
      <c r="B969" t="s">
        <v>3184</v>
      </c>
      <c r="C969">
        <v>0</v>
      </c>
      <c r="D969">
        <v>0</v>
      </c>
      <c r="E969">
        <f>ABS(Table1[[#This Row],[Flux in SC / glucose uptake ($mmol/mmol\ glc$)]]-Table1[[#This Row],[Flux in RT / glucose uptake ($mmol/mmol\ glc$)]])/SQRT(2)</f>
        <v>0</v>
      </c>
      <c r="F969">
        <f>Table1[[#This Row],[distance from 45-degree line]]/MAX(Table1[[Flux in SC / glucose uptake ($mmol/mmol\ glc$)]:[Flux in RT / glucose uptake ($mmol/mmol\ glc$)]])</f>
        <v>0</v>
      </c>
      <c r="G969">
        <f>_xlfn.RANK.AVG(Table1[[#This Row],[Flux in SC / glucose uptake ($mmol/mmol\ glc$)]],Table1[Flux in SC / glucose uptake ($mmol/mmol\ glc$)])</f>
        <v>1310.5</v>
      </c>
      <c r="H969">
        <f>_xlfn.RANK.AVG(Table1[[#This Row],[Flux in RT / glucose uptake ($mmol/mmol\ glc$)]],Table1[Flux in RT / glucose uptake ($mmol/mmol\ glc$)])</f>
        <v>1290.5</v>
      </c>
      <c r="I969" t="e">
        <f>LOG(Table1[[#This Row],[Flux in SC / glucose uptake ($mmol/mmol\ glc$)]])</f>
        <v>#NUM!</v>
      </c>
      <c r="J969" t="e">
        <f>LOG(Table1[[#This Row],[Flux in RT / glucose uptake ($mmol/mmol\ glc$)]])</f>
        <v>#NUM!</v>
      </c>
    </row>
    <row r="970" spans="1:10" x14ac:dyDescent="0.2">
      <c r="A970" t="s">
        <v>973</v>
      </c>
      <c r="B970" t="s">
        <v>3184</v>
      </c>
      <c r="C970">
        <v>0</v>
      </c>
      <c r="D970">
        <v>0</v>
      </c>
      <c r="E970">
        <f>ABS(Table1[[#This Row],[Flux in SC / glucose uptake ($mmol/mmol\ glc$)]]-Table1[[#This Row],[Flux in RT / glucose uptake ($mmol/mmol\ glc$)]])/SQRT(2)</f>
        <v>0</v>
      </c>
      <c r="F970">
        <f>Table1[[#This Row],[distance from 45-degree line]]/MAX(Table1[[Flux in SC / glucose uptake ($mmol/mmol\ glc$)]:[Flux in RT / glucose uptake ($mmol/mmol\ glc$)]])</f>
        <v>0</v>
      </c>
      <c r="G970">
        <f>_xlfn.RANK.AVG(Table1[[#This Row],[Flux in SC / glucose uptake ($mmol/mmol\ glc$)]],Table1[Flux in SC / glucose uptake ($mmol/mmol\ glc$)])</f>
        <v>1310.5</v>
      </c>
      <c r="H970">
        <f>_xlfn.RANK.AVG(Table1[[#This Row],[Flux in RT / glucose uptake ($mmol/mmol\ glc$)]],Table1[Flux in RT / glucose uptake ($mmol/mmol\ glc$)])</f>
        <v>1290.5</v>
      </c>
      <c r="I970" t="e">
        <f>LOG(Table1[[#This Row],[Flux in SC / glucose uptake ($mmol/mmol\ glc$)]])</f>
        <v>#NUM!</v>
      </c>
      <c r="J970" t="e">
        <f>LOG(Table1[[#This Row],[Flux in RT / glucose uptake ($mmol/mmol\ glc$)]])</f>
        <v>#NUM!</v>
      </c>
    </row>
    <row r="971" spans="1:10" x14ac:dyDescent="0.2">
      <c r="A971" t="s">
        <v>974</v>
      </c>
      <c r="B971" t="s">
        <v>3184</v>
      </c>
      <c r="C971">
        <v>0.202465493563904</v>
      </c>
      <c r="D971">
        <v>2.9949049653068922</v>
      </c>
      <c r="E971">
        <f>ABS(Table1[[#This Row],[Flux in SC / glucose uptake ($mmol/mmol\ glc$)]]-Table1[[#This Row],[Flux in RT / glucose uptake ($mmol/mmol\ glc$)]])/SQRT(2)</f>
        <v>1.9745528865224473</v>
      </c>
      <c r="F971">
        <f>Table1[[#This Row],[distance from 45-degree line]]/MAX(Table1[[Flux in SC / glucose uptake ($mmol/mmol\ glc$)]:[Flux in RT / glucose uptake ($mmol/mmol\ glc$)]])</f>
        <v>0.10642614748851598</v>
      </c>
      <c r="G971">
        <f>_xlfn.RANK.AVG(Table1[[#This Row],[Flux in SC / glucose uptake ($mmol/mmol\ glc$)]],Table1[Flux in SC / glucose uptake ($mmol/mmol\ glc$)])</f>
        <v>26.5</v>
      </c>
      <c r="H971">
        <f>_xlfn.RANK.AVG(Table1[[#This Row],[Flux in RT / glucose uptake ($mmol/mmol\ glc$)]],Table1[Flux in RT / glucose uptake ($mmol/mmol\ glc$)])</f>
        <v>11.5</v>
      </c>
      <c r="I971">
        <f>LOG(Table1[[#This Row],[Flux in SC / glucose uptake ($mmol/mmol\ glc$)]])</f>
        <v>-0.69364898347030612</v>
      </c>
      <c r="J971">
        <f>LOG(Table1[[#This Row],[Flux in RT / glucose uptake ($mmol/mmol\ glc$)]])</f>
        <v>0.47638304585800473</v>
      </c>
    </row>
    <row r="972" spans="1:10" x14ac:dyDescent="0.2">
      <c r="A972" t="s">
        <v>975</v>
      </c>
      <c r="B972" t="s">
        <v>3184</v>
      </c>
      <c r="C972">
        <v>0</v>
      </c>
      <c r="D972">
        <v>0</v>
      </c>
      <c r="E972">
        <f>ABS(Table1[[#This Row],[Flux in SC / glucose uptake ($mmol/mmol\ glc$)]]-Table1[[#This Row],[Flux in RT / glucose uptake ($mmol/mmol\ glc$)]])/SQRT(2)</f>
        <v>0</v>
      </c>
      <c r="F972">
        <f>Table1[[#This Row],[distance from 45-degree line]]/MAX(Table1[[Flux in SC / glucose uptake ($mmol/mmol\ glc$)]:[Flux in RT / glucose uptake ($mmol/mmol\ glc$)]])</f>
        <v>0</v>
      </c>
      <c r="G972">
        <f>_xlfn.RANK.AVG(Table1[[#This Row],[Flux in SC / glucose uptake ($mmol/mmol\ glc$)]],Table1[Flux in SC / glucose uptake ($mmol/mmol\ glc$)])</f>
        <v>1310.5</v>
      </c>
      <c r="H972">
        <f>_xlfn.RANK.AVG(Table1[[#This Row],[Flux in RT / glucose uptake ($mmol/mmol\ glc$)]],Table1[Flux in RT / glucose uptake ($mmol/mmol\ glc$)])</f>
        <v>1290.5</v>
      </c>
      <c r="I972" t="e">
        <f>LOG(Table1[[#This Row],[Flux in SC / glucose uptake ($mmol/mmol\ glc$)]])</f>
        <v>#NUM!</v>
      </c>
      <c r="J972" t="e">
        <f>LOG(Table1[[#This Row],[Flux in RT / glucose uptake ($mmol/mmol\ glc$)]])</f>
        <v>#NUM!</v>
      </c>
    </row>
    <row r="973" spans="1:10" x14ac:dyDescent="0.2">
      <c r="A973" t="s">
        <v>976</v>
      </c>
      <c r="B973" t="s">
        <v>3184</v>
      </c>
      <c r="C973">
        <v>0</v>
      </c>
      <c r="D973">
        <v>0</v>
      </c>
      <c r="E973">
        <f>ABS(Table1[[#This Row],[Flux in SC / glucose uptake ($mmol/mmol\ glc$)]]-Table1[[#This Row],[Flux in RT / glucose uptake ($mmol/mmol\ glc$)]])/SQRT(2)</f>
        <v>0</v>
      </c>
      <c r="F973">
        <f>Table1[[#This Row],[distance from 45-degree line]]/MAX(Table1[[Flux in SC / glucose uptake ($mmol/mmol\ glc$)]:[Flux in RT / glucose uptake ($mmol/mmol\ glc$)]])</f>
        <v>0</v>
      </c>
      <c r="G973">
        <f>_xlfn.RANK.AVG(Table1[[#This Row],[Flux in SC / glucose uptake ($mmol/mmol\ glc$)]],Table1[Flux in SC / glucose uptake ($mmol/mmol\ glc$)])</f>
        <v>1310.5</v>
      </c>
      <c r="H973">
        <f>_xlfn.RANK.AVG(Table1[[#This Row],[Flux in RT / glucose uptake ($mmol/mmol\ glc$)]],Table1[Flux in RT / glucose uptake ($mmol/mmol\ glc$)])</f>
        <v>1290.5</v>
      </c>
      <c r="I973" t="e">
        <f>LOG(Table1[[#This Row],[Flux in SC / glucose uptake ($mmol/mmol\ glc$)]])</f>
        <v>#NUM!</v>
      </c>
      <c r="J973" t="e">
        <f>LOG(Table1[[#This Row],[Flux in RT / glucose uptake ($mmol/mmol\ glc$)]])</f>
        <v>#NUM!</v>
      </c>
    </row>
    <row r="974" spans="1:10" x14ac:dyDescent="0.2">
      <c r="A974" t="s">
        <v>977</v>
      </c>
      <c r="B974" t="s">
        <v>3184</v>
      </c>
      <c r="C974">
        <v>0</v>
      </c>
      <c r="D974">
        <v>0</v>
      </c>
      <c r="E974">
        <f>ABS(Table1[[#This Row],[Flux in SC / glucose uptake ($mmol/mmol\ glc$)]]-Table1[[#This Row],[Flux in RT / glucose uptake ($mmol/mmol\ glc$)]])/SQRT(2)</f>
        <v>0</v>
      </c>
      <c r="F974">
        <f>Table1[[#This Row],[distance from 45-degree line]]/MAX(Table1[[Flux in SC / glucose uptake ($mmol/mmol\ glc$)]:[Flux in RT / glucose uptake ($mmol/mmol\ glc$)]])</f>
        <v>0</v>
      </c>
      <c r="G974">
        <f>_xlfn.RANK.AVG(Table1[[#This Row],[Flux in SC / glucose uptake ($mmol/mmol\ glc$)]],Table1[Flux in SC / glucose uptake ($mmol/mmol\ glc$)])</f>
        <v>1310.5</v>
      </c>
      <c r="H974">
        <f>_xlfn.RANK.AVG(Table1[[#This Row],[Flux in RT / glucose uptake ($mmol/mmol\ glc$)]],Table1[Flux in RT / glucose uptake ($mmol/mmol\ glc$)])</f>
        <v>1290.5</v>
      </c>
      <c r="I974" t="e">
        <f>LOG(Table1[[#This Row],[Flux in SC / glucose uptake ($mmol/mmol\ glc$)]])</f>
        <v>#NUM!</v>
      </c>
      <c r="J974" t="e">
        <f>LOG(Table1[[#This Row],[Flux in RT / glucose uptake ($mmol/mmol\ glc$)]])</f>
        <v>#NUM!</v>
      </c>
    </row>
    <row r="975" spans="1:10" x14ac:dyDescent="0.2">
      <c r="A975" t="s">
        <v>978</v>
      </c>
      <c r="B975" t="s">
        <v>3184</v>
      </c>
      <c r="C975">
        <v>0</v>
      </c>
      <c r="D975">
        <v>0</v>
      </c>
      <c r="E975">
        <f>ABS(Table1[[#This Row],[Flux in SC / glucose uptake ($mmol/mmol\ glc$)]]-Table1[[#This Row],[Flux in RT / glucose uptake ($mmol/mmol\ glc$)]])/SQRT(2)</f>
        <v>0</v>
      </c>
      <c r="F975">
        <f>Table1[[#This Row],[distance from 45-degree line]]/MAX(Table1[[Flux in SC / glucose uptake ($mmol/mmol\ glc$)]:[Flux in RT / glucose uptake ($mmol/mmol\ glc$)]])</f>
        <v>0</v>
      </c>
      <c r="G975">
        <f>_xlfn.RANK.AVG(Table1[[#This Row],[Flux in SC / glucose uptake ($mmol/mmol\ glc$)]],Table1[Flux in SC / glucose uptake ($mmol/mmol\ glc$)])</f>
        <v>1310.5</v>
      </c>
      <c r="H975">
        <f>_xlfn.RANK.AVG(Table1[[#This Row],[Flux in RT / glucose uptake ($mmol/mmol\ glc$)]],Table1[Flux in RT / glucose uptake ($mmol/mmol\ glc$)])</f>
        <v>1290.5</v>
      </c>
      <c r="I975" t="e">
        <f>LOG(Table1[[#This Row],[Flux in SC / glucose uptake ($mmol/mmol\ glc$)]])</f>
        <v>#NUM!</v>
      </c>
      <c r="J975" t="e">
        <f>LOG(Table1[[#This Row],[Flux in RT / glucose uptake ($mmol/mmol\ glc$)]])</f>
        <v>#NUM!</v>
      </c>
    </row>
    <row r="976" spans="1:10" x14ac:dyDescent="0.2">
      <c r="A976" t="s">
        <v>979</v>
      </c>
      <c r="B976" t="s">
        <v>3184</v>
      </c>
      <c r="C976">
        <v>0</v>
      </c>
      <c r="D976">
        <v>0</v>
      </c>
      <c r="E976">
        <f>ABS(Table1[[#This Row],[Flux in SC / glucose uptake ($mmol/mmol\ glc$)]]-Table1[[#This Row],[Flux in RT / glucose uptake ($mmol/mmol\ glc$)]])/SQRT(2)</f>
        <v>0</v>
      </c>
      <c r="F976">
        <f>Table1[[#This Row],[distance from 45-degree line]]/MAX(Table1[[Flux in SC / glucose uptake ($mmol/mmol\ glc$)]:[Flux in RT / glucose uptake ($mmol/mmol\ glc$)]])</f>
        <v>0</v>
      </c>
      <c r="G976">
        <f>_xlfn.RANK.AVG(Table1[[#This Row],[Flux in SC / glucose uptake ($mmol/mmol\ glc$)]],Table1[Flux in SC / glucose uptake ($mmol/mmol\ glc$)])</f>
        <v>1310.5</v>
      </c>
      <c r="H976">
        <f>_xlfn.RANK.AVG(Table1[[#This Row],[Flux in RT / glucose uptake ($mmol/mmol\ glc$)]],Table1[Flux in RT / glucose uptake ($mmol/mmol\ glc$)])</f>
        <v>1290.5</v>
      </c>
      <c r="I976" t="e">
        <f>LOG(Table1[[#This Row],[Flux in SC / glucose uptake ($mmol/mmol\ glc$)]])</f>
        <v>#NUM!</v>
      </c>
      <c r="J976" t="e">
        <f>LOG(Table1[[#This Row],[Flux in RT / glucose uptake ($mmol/mmol\ glc$)]])</f>
        <v>#NUM!</v>
      </c>
    </row>
    <row r="977" spans="1:10" x14ac:dyDescent="0.2">
      <c r="A977" t="s">
        <v>980</v>
      </c>
      <c r="B977" t="s">
        <v>3184</v>
      </c>
      <c r="C977">
        <v>0</v>
      </c>
      <c r="D977">
        <v>0</v>
      </c>
      <c r="E977">
        <f>ABS(Table1[[#This Row],[Flux in SC / glucose uptake ($mmol/mmol\ glc$)]]-Table1[[#This Row],[Flux in RT / glucose uptake ($mmol/mmol\ glc$)]])/SQRT(2)</f>
        <v>0</v>
      </c>
      <c r="F977">
        <f>Table1[[#This Row],[distance from 45-degree line]]/MAX(Table1[[Flux in SC / glucose uptake ($mmol/mmol\ glc$)]:[Flux in RT / glucose uptake ($mmol/mmol\ glc$)]])</f>
        <v>0</v>
      </c>
      <c r="G977">
        <f>_xlfn.RANK.AVG(Table1[[#This Row],[Flux in SC / glucose uptake ($mmol/mmol\ glc$)]],Table1[Flux in SC / glucose uptake ($mmol/mmol\ glc$)])</f>
        <v>1310.5</v>
      </c>
      <c r="H977">
        <f>_xlfn.RANK.AVG(Table1[[#This Row],[Flux in RT / glucose uptake ($mmol/mmol\ glc$)]],Table1[Flux in RT / glucose uptake ($mmol/mmol\ glc$)])</f>
        <v>1290.5</v>
      </c>
      <c r="I977" t="e">
        <f>LOG(Table1[[#This Row],[Flux in SC / glucose uptake ($mmol/mmol\ glc$)]])</f>
        <v>#NUM!</v>
      </c>
      <c r="J977" t="e">
        <f>LOG(Table1[[#This Row],[Flux in RT / glucose uptake ($mmol/mmol\ glc$)]])</f>
        <v>#NUM!</v>
      </c>
    </row>
    <row r="978" spans="1:10" x14ac:dyDescent="0.2">
      <c r="A978" t="s">
        <v>981</v>
      </c>
      <c r="B978" t="s">
        <v>3184</v>
      </c>
      <c r="C978">
        <v>0</v>
      </c>
      <c r="D978">
        <v>0</v>
      </c>
      <c r="E978">
        <f>ABS(Table1[[#This Row],[Flux in SC / glucose uptake ($mmol/mmol\ glc$)]]-Table1[[#This Row],[Flux in RT / glucose uptake ($mmol/mmol\ glc$)]])/SQRT(2)</f>
        <v>0</v>
      </c>
      <c r="F978">
        <f>Table1[[#This Row],[distance from 45-degree line]]/MAX(Table1[[Flux in SC / glucose uptake ($mmol/mmol\ glc$)]:[Flux in RT / glucose uptake ($mmol/mmol\ glc$)]])</f>
        <v>0</v>
      </c>
      <c r="G978">
        <f>_xlfn.RANK.AVG(Table1[[#This Row],[Flux in SC / glucose uptake ($mmol/mmol\ glc$)]],Table1[Flux in SC / glucose uptake ($mmol/mmol\ glc$)])</f>
        <v>1310.5</v>
      </c>
      <c r="H978">
        <f>_xlfn.RANK.AVG(Table1[[#This Row],[Flux in RT / glucose uptake ($mmol/mmol\ glc$)]],Table1[Flux in RT / glucose uptake ($mmol/mmol\ glc$)])</f>
        <v>1290.5</v>
      </c>
      <c r="I978" t="e">
        <f>LOG(Table1[[#This Row],[Flux in SC / glucose uptake ($mmol/mmol\ glc$)]])</f>
        <v>#NUM!</v>
      </c>
      <c r="J978" t="e">
        <f>LOG(Table1[[#This Row],[Flux in RT / glucose uptake ($mmol/mmol\ glc$)]])</f>
        <v>#NUM!</v>
      </c>
    </row>
    <row r="979" spans="1:10" x14ac:dyDescent="0.2">
      <c r="A979" t="s">
        <v>982</v>
      </c>
      <c r="B979" t="s">
        <v>3184</v>
      </c>
      <c r="C979">
        <v>0</v>
      </c>
      <c r="D979">
        <v>0</v>
      </c>
      <c r="E979">
        <f>ABS(Table1[[#This Row],[Flux in SC / glucose uptake ($mmol/mmol\ glc$)]]-Table1[[#This Row],[Flux in RT / glucose uptake ($mmol/mmol\ glc$)]])/SQRT(2)</f>
        <v>0</v>
      </c>
      <c r="F979">
        <f>Table1[[#This Row],[distance from 45-degree line]]/MAX(Table1[[Flux in SC / glucose uptake ($mmol/mmol\ glc$)]:[Flux in RT / glucose uptake ($mmol/mmol\ glc$)]])</f>
        <v>0</v>
      </c>
      <c r="G979">
        <f>_xlfn.RANK.AVG(Table1[[#This Row],[Flux in SC / glucose uptake ($mmol/mmol\ glc$)]],Table1[Flux in SC / glucose uptake ($mmol/mmol\ glc$)])</f>
        <v>1310.5</v>
      </c>
      <c r="H979">
        <f>_xlfn.RANK.AVG(Table1[[#This Row],[Flux in RT / glucose uptake ($mmol/mmol\ glc$)]],Table1[Flux in RT / glucose uptake ($mmol/mmol\ glc$)])</f>
        <v>1290.5</v>
      </c>
      <c r="I979" t="e">
        <f>LOG(Table1[[#This Row],[Flux in SC / glucose uptake ($mmol/mmol\ glc$)]])</f>
        <v>#NUM!</v>
      </c>
      <c r="J979" t="e">
        <f>LOG(Table1[[#This Row],[Flux in RT / glucose uptake ($mmol/mmol\ glc$)]])</f>
        <v>#NUM!</v>
      </c>
    </row>
    <row r="980" spans="1:10" x14ac:dyDescent="0.2">
      <c r="A980" t="s">
        <v>983</v>
      </c>
      <c r="B980" t="s">
        <v>3184</v>
      </c>
      <c r="C980">
        <v>0</v>
      </c>
      <c r="D980">
        <v>0</v>
      </c>
      <c r="E980">
        <f>ABS(Table1[[#This Row],[Flux in SC / glucose uptake ($mmol/mmol\ glc$)]]-Table1[[#This Row],[Flux in RT / glucose uptake ($mmol/mmol\ glc$)]])/SQRT(2)</f>
        <v>0</v>
      </c>
      <c r="F980">
        <f>Table1[[#This Row],[distance from 45-degree line]]/MAX(Table1[[Flux in SC / glucose uptake ($mmol/mmol\ glc$)]:[Flux in RT / glucose uptake ($mmol/mmol\ glc$)]])</f>
        <v>0</v>
      </c>
      <c r="G980">
        <f>_xlfn.RANK.AVG(Table1[[#This Row],[Flux in SC / glucose uptake ($mmol/mmol\ glc$)]],Table1[Flux in SC / glucose uptake ($mmol/mmol\ glc$)])</f>
        <v>1310.5</v>
      </c>
      <c r="H980">
        <f>_xlfn.RANK.AVG(Table1[[#This Row],[Flux in RT / glucose uptake ($mmol/mmol\ glc$)]],Table1[Flux in RT / glucose uptake ($mmol/mmol\ glc$)])</f>
        <v>1290.5</v>
      </c>
      <c r="I980" t="e">
        <f>LOG(Table1[[#This Row],[Flux in SC / glucose uptake ($mmol/mmol\ glc$)]])</f>
        <v>#NUM!</v>
      </c>
      <c r="J980" t="e">
        <f>LOG(Table1[[#This Row],[Flux in RT / glucose uptake ($mmol/mmol\ glc$)]])</f>
        <v>#NUM!</v>
      </c>
    </row>
    <row r="981" spans="1:10" x14ac:dyDescent="0.2">
      <c r="A981" t="s">
        <v>984</v>
      </c>
      <c r="B981" t="s">
        <v>3184</v>
      </c>
      <c r="C981">
        <v>0</v>
      </c>
      <c r="D981">
        <v>0</v>
      </c>
      <c r="E981">
        <f>ABS(Table1[[#This Row],[Flux in SC / glucose uptake ($mmol/mmol\ glc$)]]-Table1[[#This Row],[Flux in RT / glucose uptake ($mmol/mmol\ glc$)]])/SQRT(2)</f>
        <v>0</v>
      </c>
      <c r="F981">
        <f>Table1[[#This Row],[distance from 45-degree line]]/MAX(Table1[[Flux in SC / glucose uptake ($mmol/mmol\ glc$)]:[Flux in RT / glucose uptake ($mmol/mmol\ glc$)]])</f>
        <v>0</v>
      </c>
      <c r="G981">
        <f>_xlfn.RANK.AVG(Table1[[#This Row],[Flux in SC / glucose uptake ($mmol/mmol\ glc$)]],Table1[Flux in SC / glucose uptake ($mmol/mmol\ glc$)])</f>
        <v>1310.5</v>
      </c>
      <c r="H981">
        <f>_xlfn.RANK.AVG(Table1[[#This Row],[Flux in RT / glucose uptake ($mmol/mmol\ glc$)]],Table1[Flux in RT / glucose uptake ($mmol/mmol\ glc$)])</f>
        <v>1290.5</v>
      </c>
      <c r="I981" t="e">
        <f>LOG(Table1[[#This Row],[Flux in SC / glucose uptake ($mmol/mmol\ glc$)]])</f>
        <v>#NUM!</v>
      </c>
      <c r="J981" t="e">
        <f>LOG(Table1[[#This Row],[Flux in RT / glucose uptake ($mmol/mmol\ glc$)]])</f>
        <v>#NUM!</v>
      </c>
    </row>
    <row r="982" spans="1:10" x14ac:dyDescent="0.2">
      <c r="A982" t="s">
        <v>985</v>
      </c>
      <c r="B982" t="s">
        <v>3184</v>
      </c>
      <c r="C982">
        <v>8.195324917589725E-3</v>
      </c>
      <c r="D982">
        <v>3.9676130688605565E-2</v>
      </c>
      <c r="E982">
        <f>ABS(Table1[[#This Row],[Flux in SC / glucose uptake ($mmol/mmol\ glc$)]]-Table1[[#This Row],[Flux in RT / glucose uptake ($mmol/mmol\ glc$)]])/SQRT(2)</f>
        <v>2.2260291237901901E-2</v>
      </c>
      <c r="F982">
        <f>Table1[[#This Row],[distance from 45-degree line]]/MAX(Table1[[Flux in SC / glucose uptake ($mmol/mmol\ glc$)]:[Flux in RT / glucose uptake ($mmol/mmol\ glc$)]])</f>
        <v>1.1998042972627845E-3</v>
      </c>
      <c r="G982">
        <f>_xlfn.RANK.AVG(Table1[[#This Row],[Flux in SC / glucose uptake ($mmol/mmol\ glc$)]],Table1[Flux in SC / glucose uptake ($mmol/mmol\ glc$)])</f>
        <v>93.5</v>
      </c>
      <c r="H982">
        <f>_xlfn.RANK.AVG(Table1[[#This Row],[Flux in RT / glucose uptake ($mmol/mmol\ glc$)]],Table1[Flux in RT / glucose uptake ($mmol/mmol\ glc$)])</f>
        <v>108.5</v>
      </c>
      <c r="I982">
        <f>LOG(Table1[[#This Row],[Flux in SC / glucose uptake ($mmol/mmol\ glc$)]])</f>
        <v>-2.0864338234090427</v>
      </c>
      <c r="J982">
        <f>LOG(Table1[[#This Row],[Flux in RT / glucose uptake ($mmol/mmol\ glc$)]])</f>
        <v>-1.4014706878919523</v>
      </c>
    </row>
    <row r="983" spans="1:10" x14ac:dyDescent="0.2">
      <c r="A983" t="s">
        <v>986</v>
      </c>
      <c r="B983" t="s">
        <v>3184</v>
      </c>
      <c r="C983">
        <v>0</v>
      </c>
      <c r="D983">
        <v>0</v>
      </c>
      <c r="E983">
        <f>ABS(Table1[[#This Row],[Flux in SC / glucose uptake ($mmol/mmol\ glc$)]]-Table1[[#This Row],[Flux in RT / glucose uptake ($mmol/mmol\ glc$)]])/SQRT(2)</f>
        <v>0</v>
      </c>
      <c r="F983">
        <f>Table1[[#This Row],[distance from 45-degree line]]/MAX(Table1[[Flux in SC / glucose uptake ($mmol/mmol\ glc$)]:[Flux in RT / glucose uptake ($mmol/mmol\ glc$)]])</f>
        <v>0</v>
      </c>
      <c r="G983">
        <f>_xlfn.RANK.AVG(Table1[[#This Row],[Flux in SC / glucose uptake ($mmol/mmol\ glc$)]],Table1[Flux in SC / glucose uptake ($mmol/mmol\ glc$)])</f>
        <v>1310.5</v>
      </c>
      <c r="H983">
        <f>_xlfn.RANK.AVG(Table1[[#This Row],[Flux in RT / glucose uptake ($mmol/mmol\ glc$)]],Table1[Flux in RT / glucose uptake ($mmol/mmol\ glc$)])</f>
        <v>1290.5</v>
      </c>
      <c r="I983" t="e">
        <f>LOG(Table1[[#This Row],[Flux in SC / glucose uptake ($mmol/mmol\ glc$)]])</f>
        <v>#NUM!</v>
      </c>
      <c r="J983" t="e">
        <f>LOG(Table1[[#This Row],[Flux in RT / glucose uptake ($mmol/mmol\ glc$)]])</f>
        <v>#NUM!</v>
      </c>
    </row>
    <row r="984" spans="1:10" x14ac:dyDescent="0.2">
      <c r="A984" t="s">
        <v>987</v>
      </c>
      <c r="B984" t="s">
        <v>3184</v>
      </c>
      <c r="C984">
        <v>0</v>
      </c>
      <c r="D984">
        <v>0</v>
      </c>
      <c r="E984">
        <f>ABS(Table1[[#This Row],[Flux in SC / glucose uptake ($mmol/mmol\ glc$)]]-Table1[[#This Row],[Flux in RT / glucose uptake ($mmol/mmol\ glc$)]])/SQRT(2)</f>
        <v>0</v>
      </c>
      <c r="F984">
        <f>Table1[[#This Row],[distance from 45-degree line]]/MAX(Table1[[Flux in SC / glucose uptake ($mmol/mmol\ glc$)]:[Flux in RT / glucose uptake ($mmol/mmol\ glc$)]])</f>
        <v>0</v>
      </c>
      <c r="G984">
        <f>_xlfn.RANK.AVG(Table1[[#This Row],[Flux in SC / glucose uptake ($mmol/mmol\ glc$)]],Table1[Flux in SC / glucose uptake ($mmol/mmol\ glc$)])</f>
        <v>1310.5</v>
      </c>
      <c r="H984">
        <f>_xlfn.RANK.AVG(Table1[[#This Row],[Flux in RT / glucose uptake ($mmol/mmol\ glc$)]],Table1[Flux in RT / glucose uptake ($mmol/mmol\ glc$)])</f>
        <v>1290.5</v>
      </c>
      <c r="I984" t="e">
        <f>LOG(Table1[[#This Row],[Flux in SC / glucose uptake ($mmol/mmol\ glc$)]])</f>
        <v>#NUM!</v>
      </c>
      <c r="J984" t="e">
        <f>LOG(Table1[[#This Row],[Flux in RT / glucose uptake ($mmol/mmol\ glc$)]])</f>
        <v>#NUM!</v>
      </c>
    </row>
    <row r="985" spans="1:10" x14ac:dyDescent="0.2">
      <c r="A985" t="s">
        <v>988</v>
      </c>
      <c r="B985" t="s">
        <v>3184</v>
      </c>
      <c r="C985">
        <v>0</v>
      </c>
      <c r="D985">
        <v>0</v>
      </c>
      <c r="E985">
        <f>ABS(Table1[[#This Row],[Flux in SC / glucose uptake ($mmol/mmol\ glc$)]]-Table1[[#This Row],[Flux in RT / glucose uptake ($mmol/mmol\ glc$)]])/SQRT(2)</f>
        <v>0</v>
      </c>
      <c r="F985">
        <f>Table1[[#This Row],[distance from 45-degree line]]/MAX(Table1[[Flux in SC / glucose uptake ($mmol/mmol\ glc$)]:[Flux in RT / glucose uptake ($mmol/mmol\ glc$)]])</f>
        <v>0</v>
      </c>
      <c r="G985">
        <f>_xlfn.RANK.AVG(Table1[[#This Row],[Flux in SC / glucose uptake ($mmol/mmol\ glc$)]],Table1[Flux in SC / glucose uptake ($mmol/mmol\ glc$)])</f>
        <v>1310.5</v>
      </c>
      <c r="H985">
        <f>_xlfn.RANK.AVG(Table1[[#This Row],[Flux in RT / glucose uptake ($mmol/mmol\ glc$)]],Table1[Flux in RT / glucose uptake ($mmol/mmol\ glc$)])</f>
        <v>1290.5</v>
      </c>
      <c r="I985" t="e">
        <f>LOG(Table1[[#This Row],[Flux in SC / glucose uptake ($mmol/mmol\ glc$)]])</f>
        <v>#NUM!</v>
      </c>
      <c r="J985" t="e">
        <f>LOG(Table1[[#This Row],[Flux in RT / glucose uptake ($mmol/mmol\ glc$)]])</f>
        <v>#NUM!</v>
      </c>
    </row>
    <row r="986" spans="1:10" x14ac:dyDescent="0.2">
      <c r="A986" t="s">
        <v>989</v>
      </c>
      <c r="B986" t="s">
        <v>3184</v>
      </c>
      <c r="C986">
        <v>0</v>
      </c>
      <c r="D986">
        <v>0</v>
      </c>
      <c r="E986">
        <f>ABS(Table1[[#This Row],[Flux in SC / glucose uptake ($mmol/mmol\ glc$)]]-Table1[[#This Row],[Flux in RT / glucose uptake ($mmol/mmol\ glc$)]])/SQRT(2)</f>
        <v>0</v>
      </c>
      <c r="F986">
        <f>Table1[[#This Row],[distance from 45-degree line]]/MAX(Table1[[Flux in SC / glucose uptake ($mmol/mmol\ glc$)]:[Flux in RT / glucose uptake ($mmol/mmol\ glc$)]])</f>
        <v>0</v>
      </c>
      <c r="G986">
        <f>_xlfn.RANK.AVG(Table1[[#This Row],[Flux in SC / glucose uptake ($mmol/mmol\ glc$)]],Table1[Flux in SC / glucose uptake ($mmol/mmol\ glc$)])</f>
        <v>1310.5</v>
      </c>
      <c r="H986">
        <f>_xlfn.RANK.AVG(Table1[[#This Row],[Flux in RT / glucose uptake ($mmol/mmol\ glc$)]],Table1[Flux in RT / glucose uptake ($mmol/mmol\ glc$)])</f>
        <v>1290.5</v>
      </c>
      <c r="I986" t="e">
        <f>LOG(Table1[[#This Row],[Flux in SC / glucose uptake ($mmol/mmol\ glc$)]])</f>
        <v>#NUM!</v>
      </c>
      <c r="J986" t="e">
        <f>LOG(Table1[[#This Row],[Flux in RT / glucose uptake ($mmol/mmol\ glc$)]])</f>
        <v>#NUM!</v>
      </c>
    </row>
    <row r="987" spans="1:10" x14ac:dyDescent="0.2">
      <c r="A987" t="s">
        <v>990</v>
      </c>
      <c r="B987" t="s">
        <v>3184</v>
      </c>
      <c r="C987">
        <v>0</v>
      </c>
      <c r="D987">
        <v>0</v>
      </c>
      <c r="E987">
        <f>ABS(Table1[[#This Row],[Flux in SC / glucose uptake ($mmol/mmol\ glc$)]]-Table1[[#This Row],[Flux in RT / glucose uptake ($mmol/mmol\ glc$)]])/SQRT(2)</f>
        <v>0</v>
      </c>
      <c r="F987">
        <f>Table1[[#This Row],[distance from 45-degree line]]/MAX(Table1[[Flux in SC / glucose uptake ($mmol/mmol\ glc$)]:[Flux in RT / glucose uptake ($mmol/mmol\ glc$)]])</f>
        <v>0</v>
      </c>
      <c r="G987">
        <f>_xlfn.RANK.AVG(Table1[[#This Row],[Flux in SC / glucose uptake ($mmol/mmol\ glc$)]],Table1[Flux in SC / glucose uptake ($mmol/mmol\ glc$)])</f>
        <v>1310.5</v>
      </c>
      <c r="H987">
        <f>_xlfn.RANK.AVG(Table1[[#This Row],[Flux in RT / glucose uptake ($mmol/mmol\ glc$)]],Table1[Flux in RT / glucose uptake ($mmol/mmol\ glc$)])</f>
        <v>1290.5</v>
      </c>
      <c r="I987" t="e">
        <f>LOG(Table1[[#This Row],[Flux in SC / glucose uptake ($mmol/mmol\ glc$)]])</f>
        <v>#NUM!</v>
      </c>
      <c r="J987" t="e">
        <f>LOG(Table1[[#This Row],[Flux in RT / glucose uptake ($mmol/mmol\ glc$)]])</f>
        <v>#NUM!</v>
      </c>
    </row>
    <row r="988" spans="1:10" x14ac:dyDescent="0.2">
      <c r="A988" t="s">
        <v>991</v>
      </c>
      <c r="B988" t="s">
        <v>3184</v>
      </c>
      <c r="C988">
        <v>0</v>
      </c>
      <c r="D988">
        <v>0</v>
      </c>
      <c r="E988">
        <f>ABS(Table1[[#This Row],[Flux in SC / glucose uptake ($mmol/mmol\ glc$)]]-Table1[[#This Row],[Flux in RT / glucose uptake ($mmol/mmol\ glc$)]])/SQRT(2)</f>
        <v>0</v>
      </c>
      <c r="F988">
        <f>Table1[[#This Row],[distance from 45-degree line]]/MAX(Table1[[Flux in SC / glucose uptake ($mmol/mmol\ glc$)]:[Flux in RT / glucose uptake ($mmol/mmol\ glc$)]])</f>
        <v>0</v>
      </c>
      <c r="G988">
        <f>_xlfn.RANK.AVG(Table1[[#This Row],[Flux in SC / glucose uptake ($mmol/mmol\ glc$)]],Table1[Flux in SC / glucose uptake ($mmol/mmol\ glc$)])</f>
        <v>1310.5</v>
      </c>
      <c r="H988">
        <f>_xlfn.RANK.AVG(Table1[[#This Row],[Flux in RT / glucose uptake ($mmol/mmol\ glc$)]],Table1[Flux in RT / glucose uptake ($mmol/mmol\ glc$)])</f>
        <v>1290.5</v>
      </c>
      <c r="I988" t="e">
        <f>LOG(Table1[[#This Row],[Flux in SC / glucose uptake ($mmol/mmol\ glc$)]])</f>
        <v>#NUM!</v>
      </c>
      <c r="J988" t="e">
        <f>LOG(Table1[[#This Row],[Flux in RT / glucose uptake ($mmol/mmol\ glc$)]])</f>
        <v>#NUM!</v>
      </c>
    </row>
    <row r="989" spans="1:10" x14ac:dyDescent="0.2">
      <c r="A989" t="s">
        <v>992</v>
      </c>
      <c r="B989" t="s">
        <v>3184</v>
      </c>
      <c r="C989">
        <v>0</v>
      </c>
      <c r="D989">
        <v>0</v>
      </c>
      <c r="E989">
        <f>ABS(Table1[[#This Row],[Flux in SC / glucose uptake ($mmol/mmol\ glc$)]]-Table1[[#This Row],[Flux in RT / glucose uptake ($mmol/mmol\ glc$)]])/SQRT(2)</f>
        <v>0</v>
      </c>
      <c r="F989">
        <f>Table1[[#This Row],[distance from 45-degree line]]/MAX(Table1[[Flux in SC / glucose uptake ($mmol/mmol\ glc$)]:[Flux in RT / glucose uptake ($mmol/mmol\ glc$)]])</f>
        <v>0</v>
      </c>
      <c r="G989">
        <f>_xlfn.RANK.AVG(Table1[[#This Row],[Flux in SC / glucose uptake ($mmol/mmol\ glc$)]],Table1[Flux in SC / glucose uptake ($mmol/mmol\ glc$)])</f>
        <v>1310.5</v>
      </c>
      <c r="H989">
        <f>_xlfn.RANK.AVG(Table1[[#This Row],[Flux in RT / glucose uptake ($mmol/mmol\ glc$)]],Table1[Flux in RT / glucose uptake ($mmol/mmol\ glc$)])</f>
        <v>1290.5</v>
      </c>
      <c r="I989" t="e">
        <f>LOG(Table1[[#This Row],[Flux in SC / glucose uptake ($mmol/mmol\ glc$)]])</f>
        <v>#NUM!</v>
      </c>
      <c r="J989" t="e">
        <f>LOG(Table1[[#This Row],[Flux in RT / glucose uptake ($mmol/mmol\ glc$)]])</f>
        <v>#NUM!</v>
      </c>
    </row>
    <row r="990" spans="1:10" x14ac:dyDescent="0.2">
      <c r="A990" t="s">
        <v>993</v>
      </c>
      <c r="B990" t="s">
        <v>3184</v>
      </c>
      <c r="C990">
        <v>0</v>
      </c>
      <c r="D990">
        <v>0</v>
      </c>
      <c r="E990">
        <f>ABS(Table1[[#This Row],[Flux in SC / glucose uptake ($mmol/mmol\ glc$)]]-Table1[[#This Row],[Flux in RT / glucose uptake ($mmol/mmol\ glc$)]])/SQRT(2)</f>
        <v>0</v>
      </c>
      <c r="F990">
        <f>Table1[[#This Row],[distance from 45-degree line]]/MAX(Table1[[Flux in SC / glucose uptake ($mmol/mmol\ glc$)]:[Flux in RT / glucose uptake ($mmol/mmol\ glc$)]])</f>
        <v>0</v>
      </c>
      <c r="G990">
        <f>_xlfn.RANK.AVG(Table1[[#This Row],[Flux in SC / glucose uptake ($mmol/mmol\ glc$)]],Table1[Flux in SC / glucose uptake ($mmol/mmol\ glc$)])</f>
        <v>1310.5</v>
      </c>
      <c r="H990">
        <f>_xlfn.RANK.AVG(Table1[[#This Row],[Flux in RT / glucose uptake ($mmol/mmol\ glc$)]],Table1[Flux in RT / glucose uptake ($mmol/mmol\ glc$)])</f>
        <v>1290.5</v>
      </c>
      <c r="I990" t="e">
        <f>LOG(Table1[[#This Row],[Flux in SC / glucose uptake ($mmol/mmol\ glc$)]])</f>
        <v>#NUM!</v>
      </c>
      <c r="J990" t="e">
        <f>LOG(Table1[[#This Row],[Flux in RT / glucose uptake ($mmol/mmol\ glc$)]])</f>
        <v>#NUM!</v>
      </c>
    </row>
    <row r="991" spans="1:10" x14ac:dyDescent="0.2">
      <c r="A991" t="s">
        <v>994</v>
      </c>
      <c r="B991" t="s">
        <v>3184</v>
      </c>
      <c r="C991">
        <v>0</v>
      </c>
      <c r="D991">
        <v>0</v>
      </c>
      <c r="E991">
        <f>ABS(Table1[[#This Row],[Flux in SC / glucose uptake ($mmol/mmol\ glc$)]]-Table1[[#This Row],[Flux in RT / glucose uptake ($mmol/mmol\ glc$)]])/SQRT(2)</f>
        <v>0</v>
      </c>
      <c r="F991">
        <f>Table1[[#This Row],[distance from 45-degree line]]/MAX(Table1[[Flux in SC / glucose uptake ($mmol/mmol\ glc$)]:[Flux in RT / glucose uptake ($mmol/mmol\ glc$)]])</f>
        <v>0</v>
      </c>
      <c r="G991">
        <f>_xlfn.RANK.AVG(Table1[[#This Row],[Flux in SC / glucose uptake ($mmol/mmol\ glc$)]],Table1[Flux in SC / glucose uptake ($mmol/mmol\ glc$)])</f>
        <v>1310.5</v>
      </c>
      <c r="H991">
        <f>_xlfn.RANK.AVG(Table1[[#This Row],[Flux in RT / glucose uptake ($mmol/mmol\ glc$)]],Table1[Flux in RT / glucose uptake ($mmol/mmol\ glc$)])</f>
        <v>1290.5</v>
      </c>
      <c r="I991" t="e">
        <f>LOG(Table1[[#This Row],[Flux in SC / glucose uptake ($mmol/mmol\ glc$)]])</f>
        <v>#NUM!</v>
      </c>
      <c r="J991" t="e">
        <f>LOG(Table1[[#This Row],[Flux in RT / glucose uptake ($mmol/mmol\ glc$)]])</f>
        <v>#NUM!</v>
      </c>
    </row>
    <row r="992" spans="1:10" x14ac:dyDescent="0.2">
      <c r="A992" t="s">
        <v>995</v>
      </c>
      <c r="B992" t="s">
        <v>3184</v>
      </c>
      <c r="C992">
        <v>0</v>
      </c>
      <c r="D992">
        <v>0</v>
      </c>
      <c r="E992">
        <f>ABS(Table1[[#This Row],[Flux in SC / glucose uptake ($mmol/mmol\ glc$)]]-Table1[[#This Row],[Flux in RT / glucose uptake ($mmol/mmol\ glc$)]])/SQRT(2)</f>
        <v>0</v>
      </c>
      <c r="F992">
        <f>Table1[[#This Row],[distance from 45-degree line]]/MAX(Table1[[Flux in SC / glucose uptake ($mmol/mmol\ glc$)]:[Flux in RT / glucose uptake ($mmol/mmol\ glc$)]])</f>
        <v>0</v>
      </c>
      <c r="G992">
        <f>_xlfn.RANK.AVG(Table1[[#This Row],[Flux in SC / glucose uptake ($mmol/mmol\ glc$)]],Table1[Flux in SC / glucose uptake ($mmol/mmol\ glc$)])</f>
        <v>1310.5</v>
      </c>
      <c r="H992">
        <f>_xlfn.RANK.AVG(Table1[[#This Row],[Flux in RT / glucose uptake ($mmol/mmol\ glc$)]],Table1[Flux in RT / glucose uptake ($mmol/mmol\ glc$)])</f>
        <v>1290.5</v>
      </c>
      <c r="I992" t="e">
        <f>LOG(Table1[[#This Row],[Flux in SC / glucose uptake ($mmol/mmol\ glc$)]])</f>
        <v>#NUM!</v>
      </c>
      <c r="J992" t="e">
        <f>LOG(Table1[[#This Row],[Flux in RT / glucose uptake ($mmol/mmol\ glc$)]])</f>
        <v>#NUM!</v>
      </c>
    </row>
    <row r="993" spans="1:10" x14ac:dyDescent="0.2">
      <c r="A993" t="s">
        <v>996</v>
      </c>
      <c r="B993" t="s">
        <v>3184</v>
      </c>
      <c r="C993">
        <v>0</v>
      </c>
      <c r="D993">
        <v>0</v>
      </c>
      <c r="E993">
        <f>ABS(Table1[[#This Row],[Flux in SC / glucose uptake ($mmol/mmol\ glc$)]]-Table1[[#This Row],[Flux in RT / glucose uptake ($mmol/mmol\ glc$)]])/SQRT(2)</f>
        <v>0</v>
      </c>
      <c r="F993">
        <f>Table1[[#This Row],[distance from 45-degree line]]/MAX(Table1[[Flux in SC / glucose uptake ($mmol/mmol\ glc$)]:[Flux in RT / glucose uptake ($mmol/mmol\ glc$)]])</f>
        <v>0</v>
      </c>
      <c r="G993">
        <f>_xlfn.RANK.AVG(Table1[[#This Row],[Flux in SC / glucose uptake ($mmol/mmol\ glc$)]],Table1[Flux in SC / glucose uptake ($mmol/mmol\ glc$)])</f>
        <v>1310.5</v>
      </c>
      <c r="H993">
        <f>_xlfn.RANK.AVG(Table1[[#This Row],[Flux in RT / glucose uptake ($mmol/mmol\ glc$)]],Table1[Flux in RT / glucose uptake ($mmol/mmol\ glc$)])</f>
        <v>1290.5</v>
      </c>
      <c r="I993" t="e">
        <f>LOG(Table1[[#This Row],[Flux in SC / glucose uptake ($mmol/mmol\ glc$)]])</f>
        <v>#NUM!</v>
      </c>
      <c r="J993" t="e">
        <f>LOG(Table1[[#This Row],[Flux in RT / glucose uptake ($mmol/mmol\ glc$)]])</f>
        <v>#NUM!</v>
      </c>
    </row>
    <row r="994" spans="1:10" x14ac:dyDescent="0.2">
      <c r="A994" t="s">
        <v>997</v>
      </c>
      <c r="B994" t="s">
        <v>3184</v>
      </c>
      <c r="C994">
        <v>0</v>
      </c>
      <c r="D994">
        <v>0</v>
      </c>
      <c r="E994">
        <f>ABS(Table1[[#This Row],[Flux in SC / glucose uptake ($mmol/mmol\ glc$)]]-Table1[[#This Row],[Flux in RT / glucose uptake ($mmol/mmol\ glc$)]])/SQRT(2)</f>
        <v>0</v>
      </c>
      <c r="F994">
        <f>Table1[[#This Row],[distance from 45-degree line]]/MAX(Table1[[Flux in SC / glucose uptake ($mmol/mmol\ glc$)]:[Flux in RT / glucose uptake ($mmol/mmol\ glc$)]])</f>
        <v>0</v>
      </c>
      <c r="G994">
        <f>_xlfn.RANK.AVG(Table1[[#This Row],[Flux in SC / glucose uptake ($mmol/mmol\ glc$)]],Table1[Flux in SC / glucose uptake ($mmol/mmol\ glc$)])</f>
        <v>1310.5</v>
      </c>
      <c r="H994">
        <f>_xlfn.RANK.AVG(Table1[[#This Row],[Flux in RT / glucose uptake ($mmol/mmol\ glc$)]],Table1[Flux in RT / glucose uptake ($mmol/mmol\ glc$)])</f>
        <v>1290.5</v>
      </c>
      <c r="I994" t="e">
        <f>LOG(Table1[[#This Row],[Flux in SC / glucose uptake ($mmol/mmol\ glc$)]])</f>
        <v>#NUM!</v>
      </c>
      <c r="J994" t="e">
        <f>LOG(Table1[[#This Row],[Flux in RT / glucose uptake ($mmol/mmol\ glc$)]])</f>
        <v>#NUM!</v>
      </c>
    </row>
    <row r="995" spans="1:10" x14ac:dyDescent="0.2">
      <c r="A995" t="s">
        <v>998</v>
      </c>
      <c r="B995" t="s">
        <v>3184</v>
      </c>
      <c r="C995">
        <v>0</v>
      </c>
      <c r="D995">
        <v>0</v>
      </c>
      <c r="E995">
        <f>ABS(Table1[[#This Row],[Flux in SC / glucose uptake ($mmol/mmol\ glc$)]]-Table1[[#This Row],[Flux in RT / glucose uptake ($mmol/mmol\ glc$)]])/SQRT(2)</f>
        <v>0</v>
      </c>
      <c r="F995">
        <f>Table1[[#This Row],[distance from 45-degree line]]/MAX(Table1[[Flux in SC / glucose uptake ($mmol/mmol\ glc$)]:[Flux in RT / glucose uptake ($mmol/mmol\ glc$)]])</f>
        <v>0</v>
      </c>
      <c r="G995">
        <f>_xlfn.RANK.AVG(Table1[[#This Row],[Flux in SC / glucose uptake ($mmol/mmol\ glc$)]],Table1[Flux in SC / glucose uptake ($mmol/mmol\ glc$)])</f>
        <v>1310.5</v>
      </c>
      <c r="H995">
        <f>_xlfn.RANK.AVG(Table1[[#This Row],[Flux in RT / glucose uptake ($mmol/mmol\ glc$)]],Table1[Flux in RT / glucose uptake ($mmol/mmol\ glc$)])</f>
        <v>1290.5</v>
      </c>
      <c r="I995" t="e">
        <f>LOG(Table1[[#This Row],[Flux in SC / glucose uptake ($mmol/mmol\ glc$)]])</f>
        <v>#NUM!</v>
      </c>
      <c r="J995" t="e">
        <f>LOG(Table1[[#This Row],[Flux in RT / glucose uptake ($mmol/mmol\ glc$)]])</f>
        <v>#NUM!</v>
      </c>
    </row>
    <row r="996" spans="1:10" x14ac:dyDescent="0.2">
      <c r="A996" t="s">
        <v>999</v>
      </c>
      <c r="B996" t="s">
        <v>3184</v>
      </c>
      <c r="C996">
        <v>0</v>
      </c>
      <c r="D996">
        <v>0</v>
      </c>
      <c r="E996">
        <f>ABS(Table1[[#This Row],[Flux in SC / glucose uptake ($mmol/mmol\ glc$)]]-Table1[[#This Row],[Flux in RT / glucose uptake ($mmol/mmol\ glc$)]])/SQRT(2)</f>
        <v>0</v>
      </c>
      <c r="F996">
        <f>Table1[[#This Row],[distance from 45-degree line]]/MAX(Table1[[Flux in SC / glucose uptake ($mmol/mmol\ glc$)]:[Flux in RT / glucose uptake ($mmol/mmol\ glc$)]])</f>
        <v>0</v>
      </c>
      <c r="G996">
        <f>_xlfn.RANK.AVG(Table1[[#This Row],[Flux in SC / glucose uptake ($mmol/mmol\ glc$)]],Table1[Flux in SC / glucose uptake ($mmol/mmol\ glc$)])</f>
        <v>1310.5</v>
      </c>
      <c r="H996">
        <f>_xlfn.RANK.AVG(Table1[[#This Row],[Flux in RT / glucose uptake ($mmol/mmol\ glc$)]],Table1[Flux in RT / glucose uptake ($mmol/mmol\ glc$)])</f>
        <v>1290.5</v>
      </c>
      <c r="I996" t="e">
        <f>LOG(Table1[[#This Row],[Flux in SC / glucose uptake ($mmol/mmol\ glc$)]])</f>
        <v>#NUM!</v>
      </c>
      <c r="J996" t="e">
        <f>LOG(Table1[[#This Row],[Flux in RT / glucose uptake ($mmol/mmol\ glc$)]])</f>
        <v>#NUM!</v>
      </c>
    </row>
    <row r="997" spans="1:10" x14ac:dyDescent="0.2">
      <c r="A997" t="s">
        <v>1000</v>
      </c>
      <c r="B997" t="s">
        <v>3184</v>
      </c>
      <c r="C997">
        <v>0</v>
      </c>
      <c r="D997">
        <v>0</v>
      </c>
      <c r="E997">
        <f>ABS(Table1[[#This Row],[Flux in SC / glucose uptake ($mmol/mmol\ glc$)]]-Table1[[#This Row],[Flux in RT / glucose uptake ($mmol/mmol\ glc$)]])/SQRT(2)</f>
        <v>0</v>
      </c>
      <c r="F997">
        <f>Table1[[#This Row],[distance from 45-degree line]]/MAX(Table1[[Flux in SC / glucose uptake ($mmol/mmol\ glc$)]:[Flux in RT / glucose uptake ($mmol/mmol\ glc$)]])</f>
        <v>0</v>
      </c>
      <c r="G997">
        <f>_xlfn.RANK.AVG(Table1[[#This Row],[Flux in SC / glucose uptake ($mmol/mmol\ glc$)]],Table1[Flux in SC / glucose uptake ($mmol/mmol\ glc$)])</f>
        <v>1310.5</v>
      </c>
      <c r="H997">
        <f>_xlfn.RANK.AVG(Table1[[#This Row],[Flux in RT / glucose uptake ($mmol/mmol\ glc$)]],Table1[Flux in RT / glucose uptake ($mmol/mmol\ glc$)])</f>
        <v>1290.5</v>
      </c>
      <c r="I997" t="e">
        <f>LOG(Table1[[#This Row],[Flux in SC / glucose uptake ($mmol/mmol\ glc$)]])</f>
        <v>#NUM!</v>
      </c>
      <c r="J997" t="e">
        <f>LOG(Table1[[#This Row],[Flux in RT / glucose uptake ($mmol/mmol\ glc$)]])</f>
        <v>#NUM!</v>
      </c>
    </row>
    <row r="998" spans="1:10" x14ac:dyDescent="0.2">
      <c r="A998" t="s">
        <v>1001</v>
      </c>
      <c r="B998" t="s">
        <v>3184</v>
      </c>
      <c r="C998">
        <v>1.2927657904190993E-3</v>
      </c>
      <c r="D998">
        <v>6.1194864634919865E-3</v>
      </c>
      <c r="E998">
        <f>ABS(Table1[[#This Row],[Flux in SC / glucose uptake ($mmol/mmol\ glc$)]]-Table1[[#This Row],[Flux in RT / glucose uptake ($mmol/mmol\ glc$)]])/SQRT(2)</f>
        <v>3.4130069188231349E-3</v>
      </c>
      <c r="F998">
        <f>Table1[[#This Row],[distance from 45-degree line]]/MAX(Table1[[Flux in SC / glucose uptake ($mmol/mmol\ glc$)]:[Flux in RT / glucose uptake ($mmol/mmol\ glc$)]])</f>
        <v>1.8395717845862171E-4</v>
      </c>
      <c r="G998">
        <f>_xlfn.RANK.AVG(Table1[[#This Row],[Flux in SC / glucose uptake ($mmol/mmol\ glc$)]],Table1[Flux in SC / glucose uptake ($mmol/mmol\ glc$)])</f>
        <v>203.5</v>
      </c>
      <c r="H998">
        <f>_xlfn.RANK.AVG(Table1[[#This Row],[Flux in RT / glucose uptake ($mmol/mmol\ glc$)]],Table1[Flux in RT / glucose uptake ($mmol/mmol\ glc$)])</f>
        <v>209.5</v>
      </c>
      <c r="I998">
        <f>LOG(Table1[[#This Row],[Flux in SC / glucose uptake ($mmol/mmol\ glc$)]])</f>
        <v>-2.8884801488566079</v>
      </c>
      <c r="J998">
        <f>LOG(Table1[[#This Row],[Flux in RT / glucose uptake ($mmol/mmol\ glc$)]])</f>
        <v>-2.2132850215520534</v>
      </c>
    </row>
    <row r="999" spans="1:10" x14ac:dyDescent="0.2">
      <c r="A999" t="s">
        <v>1002</v>
      </c>
      <c r="B999" t="s">
        <v>3184</v>
      </c>
      <c r="C999">
        <v>0</v>
      </c>
      <c r="D999">
        <v>0</v>
      </c>
      <c r="E999">
        <f>ABS(Table1[[#This Row],[Flux in SC / glucose uptake ($mmol/mmol\ glc$)]]-Table1[[#This Row],[Flux in RT / glucose uptake ($mmol/mmol\ glc$)]])/SQRT(2)</f>
        <v>0</v>
      </c>
      <c r="F999">
        <f>Table1[[#This Row],[distance from 45-degree line]]/MAX(Table1[[Flux in SC / glucose uptake ($mmol/mmol\ glc$)]:[Flux in RT / glucose uptake ($mmol/mmol\ glc$)]])</f>
        <v>0</v>
      </c>
      <c r="G999">
        <f>_xlfn.RANK.AVG(Table1[[#This Row],[Flux in SC / glucose uptake ($mmol/mmol\ glc$)]],Table1[Flux in SC / glucose uptake ($mmol/mmol\ glc$)])</f>
        <v>1310.5</v>
      </c>
      <c r="H999">
        <f>_xlfn.RANK.AVG(Table1[[#This Row],[Flux in RT / glucose uptake ($mmol/mmol\ glc$)]],Table1[Flux in RT / glucose uptake ($mmol/mmol\ glc$)])</f>
        <v>1290.5</v>
      </c>
      <c r="I999" t="e">
        <f>LOG(Table1[[#This Row],[Flux in SC / glucose uptake ($mmol/mmol\ glc$)]])</f>
        <v>#NUM!</v>
      </c>
      <c r="J999" t="e">
        <f>LOG(Table1[[#This Row],[Flux in RT / glucose uptake ($mmol/mmol\ glc$)]])</f>
        <v>#NUM!</v>
      </c>
    </row>
    <row r="1000" spans="1:10" x14ac:dyDescent="0.2">
      <c r="A1000" t="s">
        <v>1003</v>
      </c>
      <c r="B1000" t="s">
        <v>3184</v>
      </c>
      <c r="C1000">
        <v>0</v>
      </c>
      <c r="D1000">
        <v>0</v>
      </c>
      <c r="E1000">
        <f>ABS(Table1[[#This Row],[Flux in SC / glucose uptake ($mmol/mmol\ glc$)]]-Table1[[#This Row],[Flux in RT / glucose uptake ($mmol/mmol\ glc$)]])/SQRT(2)</f>
        <v>0</v>
      </c>
      <c r="F1000">
        <f>Table1[[#This Row],[distance from 45-degree line]]/MAX(Table1[[Flux in SC / glucose uptake ($mmol/mmol\ glc$)]:[Flux in RT / glucose uptake ($mmol/mmol\ glc$)]])</f>
        <v>0</v>
      </c>
      <c r="G1000">
        <f>_xlfn.RANK.AVG(Table1[[#This Row],[Flux in SC / glucose uptake ($mmol/mmol\ glc$)]],Table1[Flux in SC / glucose uptake ($mmol/mmol\ glc$)])</f>
        <v>1310.5</v>
      </c>
      <c r="H1000">
        <f>_xlfn.RANK.AVG(Table1[[#This Row],[Flux in RT / glucose uptake ($mmol/mmol\ glc$)]],Table1[Flux in RT / glucose uptake ($mmol/mmol\ glc$)])</f>
        <v>1290.5</v>
      </c>
      <c r="I1000" t="e">
        <f>LOG(Table1[[#This Row],[Flux in SC / glucose uptake ($mmol/mmol\ glc$)]])</f>
        <v>#NUM!</v>
      </c>
      <c r="J1000" t="e">
        <f>LOG(Table1[[#This Row],[Flux in RT / glucose uptake ($mmol/mmol\ glc$)]])</f>
        <v>#NUM!</v>
      </c>
    </row>
    <row r="1001" spans="1:10" x14ac:dyDescent="0.2">
      <c r="A1001" t="s">
        <v>1004</v>
      </c>
      <c r="B1001" t="s">
        <v>3184</v>
      </c>
      <c r="C1001">
        <v>0</v>
      </c>
      <c r="D1001">
        <v>0</v>
      </c>
      <c r="E1001">
        <f>ABS(Table1[[#This Row],[Flux in SC / glucose uptake ($mmol/mmol\ glc$)]]-Table1[[#This Row],[Flux in RT / glucose uptake ($mmol/mmol\ glc$)]])/SQRT(2)</f>
        <v>0</v>
      </c>
      <c r="F1001">
        <f>Table1[[#This Row],[distance from 45-degree line]]/MAX(Table1[[Flux in SC / glucose uptake ($mmol/mmol\ glc$)]:[Flux in RT / glucose uptake ($mmol/mmol\ glc$)]])</f>
        <v>0</v>
      </c>
      <c r="G1001">
        <f>_xlfn.RANK.AVG(Table1[[#This Row],[Flux in SC / glucose uptake ($mmol/mmol\ glc$)]],Table1[Flux in SC / glucose uptake ($mmol/mmol\ glc$)])</f>
        <v>1310.5</v>
      </c>
      <c r="H1001">
        <f>_xlfn.RANK.AVG(Table1[[#This Row],[Flux in RT / glucose uptake ($mmol/mmol\ glc$)]],Table1[Flux in RT / glucose uptake ($mmol/mmol\ glc$)])</f>
        <v>1290.5</v>
      </c>
      <c r="I1001" t="e">
        <f>LOG(Table1[[#This Row],[Flux in SC / glucose uptake ($mmol/mmol\ glc$)]])</f>
        <v>#NUM!</v>
      </c>
      <c r="J1001" t="e">
        <f>LOG(Table1[[#This Row],[Flux in RT / glucose uptake ($mmol/mmol\ glc$)]])</f>
        <v>#NUM!</v>
      </c>
    </row>
    <row r="1002" spans="1:10" x14ac:dyDescent="0.2">
      <c r="A1002" t="s">
        <v>1005</v>
      </c>
      <c r="B1002" t="s">
        <v>3184</v>
      </c>
      <c r="C1002">
        <v>0</v>
      </c>
      <c r="D1002">
        <v>0</v>
      </c>
      <c r="E1002">
        <f>ABS(Table1[[#This Row],[Flux in SC / glucose uptake ($mmol/mmol\ glc$)]]-Table1[[#This Row],[Flux in RT / glucose uptake ($mmol/mmol\ glc$)]])/SQRT(2)</f>
        <v>0</v>
      </c>
      <c r="F1002">
        <f>Table1[[#This Row],[distance from 45-degree line]]/MAX(Table1[[Flux in SC / glucose uptake ($mmol/mmol\ glc$)]:[Flux in RT / glucose uptake ($mmol/mmol\ glc$)]])</f>
        <v>0</v>
      </c>
      <c r="G1002">
        <f>_xlfn.RANK.AVG(Table1[[#This Row],[Flux in SC / glucose uptake ($mmol/mmol\ glc$)]],Table1[Flux in SC / glucose uptake ($mmol/mmol\ glc$)])</f>
        <v>1310.5</v>
      </c>
      <c r="H1002">
        <f>_xlfn.RANK.AVG(Table1[[#This Row],[Flux in RT / glucose uptake ($mmol/mmol\ glc$)]],Table1[Flux in RT / glucose uptake ($mmol/mmol\ glc$)])</f>
        <v>1290.5</v>
      </c>
      <c r="I1002" t="e">
        <f>LOG(Table1[[#This Row],[Flux in SC / glucose uptake ($mmol/mmol\ glc$)]])</f>
        <v>#NUM!</v>
      </c>
      <c r="J1002" t="e">
        <f>LOG(Table1[[#This Row],[Flux in RT / glucose uptake ($mmol/mmol\ glc$)]])</f>
        <v>#NUM!</v>
      </c>
    </row>
    <row r="1003" spans="1:10" x14ac:dyDescent="0.2">
      <c r="A1003" t="s">
        <v>1006</v>
      </c>
      <c r="B1003" t="s">
        <v>3184</v>
      </c>
      <c r="C1003">
        <v>0</v>
      </c>
      <c r="D1003">
        <v>0</v>
      </c>
      <c r="E1003">
        <f>ABS(Table1[[#This Row],[Flux in SC / glucose uptake ($mmol/mmol\ glc$)]]-Table1[[#This Row],[Flux in RT / glucose uptake ($mmol/mmol\ glc$)]])/SQRT(2)</f>
        <v>0</v>
      </c>
      <c r="F1003">
        <f>Table1[[#This Row],[distance from 45-degree line]]/MAX(Table1[[Flux in SC / glucose uptake ($mmol/mmol\ glc$)]:[Flux in RT / glucose uptake ($mmol/mmol\ glc$)]])</f>
        <v>0</v>
      </c>
      <c r="G1003">
        <f>_xlfn.RANK.AVG(Table1[[#This Row],[Flux in SC / glucose uptake ($mmol/mmol\ glc$)]],Table1[Flux in SC / glucose uptake ($mmol/mmol\ glc$)])</f>
        <v>1310.5</v>
      </c>
      <c r="H1003">
        <f>_xlfn.RANK.AVG(Table1[[#This Row],[Flux in RT / glucose uptake ($mmol/mmol\ glc$)]],Table1[Flux in RT / glucose uptake ($mmol/mmol\ glc$)])</f>
        <v>1290.5</v>
      </c>
      <c r="I1003" t="e">
        <f>LOG(Table1[[#This Row],[Flux in SC / glucose uptake ($mmol/mmol\ glc$)]])</f>
        <v>#NUM!</v>
      </c>
      <c r="J1003" t="e">
        <f>LOG(Table1[[#This Row],[Flux in RT / glucose uptake ($mmol/mmol\ glc$)]])</f>
        <v>#NUM!</v>
      </c>
    </row>
    <row r="1004" spans="1:10" x14ac:dyDescent="0.2">
      <c r="A1004" t="s">
        <v>1007</v>
      </c>
      <c r="B1004" t="s">
        <v>3184</v>
      </c>
      <c r="C1004">
        <v>0</v>
      </c>
      <c r="D1004">
        <v>0</v>
      </c>
      <c r="E1004">
        <f>ABS(Table1[[#This Row],[Flux in SC / glucose uptake ($mmol/mmol\ glc$)]]-Table1[[#This Row],[Flux in RT / glucose uptake ($mmol/mmol\ glc$)]])/SQRT(2)</f>
        <v>0</v>
      </c>
      <c r="F1004">
        <f>Table1[[#This Row],[distance from 45-degree line]]/MAX(Table1[[Flux in SC / glucose uptake ($mmol/mmol\ glc$)]:[Flux in RT / glucose uptake ($mmol/mmol\ glc$)]])</f>
        <v>0</v>
      </c>
      <c r="G1004">
        <f>_xlfn.RANK.AVG(Table1[[#This Row],[Flux in SC / glucose uptake ($mmol/mmol\ glc$)]],Table1[Flux in SC / glucose uptake ($mmol/mmol\ glc$)])</f>
        <v>1310.5</v>
      </c>
      <c r="H1004">
        <f>_xlfn.RANK.AVG(Table1[[#This Row],[Flux in RT / glucose uptake ($mmol/mmol\ glc$)]],Table1[Flux in RT / glucose uptake ($mmol/mmol\ glc$)])</f>
        <v>1290.5</v>
      </c>
      <c r="I1004" t="e">
        <f>LOG(Table1[[#This Row],[Flux in SC / glucose uptake ($mmol/mmol\ glc$)]])</f>
        <v>#NUM!</v>
      </c>
      <c r="J1004" t="e">
        <f>LOG(Table1[[#This Row],[Flux in RT / glucose uptake ($mmol/mmol\ glc$)]])</f>
        <v>#NUM!</v>
      </c>
    </row>
    <row r="1005" spans="1:10" x14ac:dyDescent="0.2">
      <c r="A1005" t="s">
        <v>1008</v>
      </c>
      <c r="B1005" t="s">
        <v>3184</v>
      </c>
      <c r="C1005">
        <v>0</v>
      </c>
      <c r="D1005">
        <v>0</v>
      </c>
      <c r="E1005">
        <f>ABS(Table1[[#This Row],[Flux in SC / glucose uptake ($mmol/mmol\ glc$)]]-Table1[[#This Row],[Flux in RT / glucose uptake ($mmol/mmol\ glc$)]])/SQRT(2)</f>
        <v>0</v>
      </c>
      <c r="F1005">
        <f>Table1[[#This Row],[distance from 45-degree line]]/MAX(Table1[[Flux in SC / glucose uptake ($mmol/mmol\ glc$)]:[Flux in RT / glucose uptake ($mmol/mmol\ glc$)]])</f>
        <v>0</v>
      </c>
      <c r="G1005">
        <f>_xlfn.RANK.AVG(Table1[[#This Row],[Flux in SC / glucose uptake ($mmol/mmol\ glc$)]],Table1[Flux in SC / glucose uptake ($mmol/mmol\ glc$)])</f>
        <v>1310.5</v>
      </c>
      <c r="H1005">
        <f>_xlfn.RANK.AVG(Table1[[#This Row],[Flux in RT / glucose uptake ($mmol/mmol\ glc$)]],Table1[Flux in RT / glucose uptake ($mmol/mmol\ glc$)])</f>
        <v>1290.5</v>
      </c>
      <c r="I1005" t="e">
        <f>LOG(Table1[[#This Row],[Flux in SC / glucose uptake ($mmol/mmol\ glc$)]])</f>
        <v>#NUM!</v>
      </c>
      <c r="J1005" t="e">
        <f>LOG(Table1[[#This Row],[Flux in RT / glucose uptake ($mmol/mmol\ glc$)]])</f>
        <v>#NUM!</v>
      </c>
    </row>
    <row r="1006" spans="1:10" x14ac:dyDescent="0.2">
      <c r="A1006" t="s">
        <v>1009</v>
      </c>
      <c r="B1006" t="s">
        <v>3184</v>
      </c>
      <c r="C1006">
        <v>0</v>
      </c>
      <c r="D1006">
        <v>0</v>
      </c>
      <c r="E1006">
        <f>ABS(Table1[[#This Row],[Flux in SC / glucose uptake ($mmol/mmol\ glc$)]]-Table1[[#This Row],[Flux in RT / glucose uptake ($mmol/mmol\ glc$)]])/SQRT(2)</f>
        <v>0</v>
      </c>
      <c r="F1006">
        <f>Table1[[#This Row],[distance from 45-degree line]]/MAX(Table1[[Flux in SC / glucose uptake ($mmol/mmol\ glc$)]:[Flux in RT / glucose uptake ($mmol/mmol\ glc$)]])</f>
        <v>0</v>
      </c>
      <c r="G1006">
        <f>_xlfn.RANK.AVG(Table1[[#This Row],[Flux in SC / glucose uptake ($mmol/mmol\ glc$)]],Table1[Flux in SC / glucose uptake ($mmol/mmol\ glc$)])</f>
        <v>1310.5</v>
      </c>
      <c r="H1006">
        <f>_xlfn.RANK.AVG(Table1[[#This Row],[Flux in RT / glucose uptake ($mmol/mmol\ glc$)]],Table1[Flux in RT / glucose uptake ($mmol/mmol\ glc$)])</f>
        <v>1290.5</v>
      </c>
      <c r="I1006" t="e">
        <f>LOG(Table1[[#This Row],[Flux in SC / glucose uptake ($mmol/mmol\ glc$)]])</f>
        <v>#NUM!</v>
      </c>
      <c r="J1006" t="e">
        <f>LOG(Table1[[#This Row],[Flux in RT / glucose uptake ($mmol/mmol\ glc$)]])</f>
        <v>#NUM!</v>
      </c>
    </row>
    <row r="1007" spans="1:10" x14ac:dyDescent="0.2">
      <c r="A1007" t="s">
        <v>1010</v>
      </c>
      <c r="B1007" t="s">
        <v>3184</v>
      </c>
      <c r="C1007">
        <v>0</v>
      </c>
      <c r="D1007">
        <v>0</v>
      </c>
      <c r="E1007">
        <f>ABS(Table1[[#This Row],[Flux in SC / glucose uptake ($mmol/mmol\ glc$)]]-Table1[[#This Row],[Flux in RT / glucose uptake ($mmol/mmol\ glc$)]])/SQRT(2)</f>
        <v>0</v>
      </c>
      <c r="F1007">
        <f>Table1[[#This Row],[distance from 45-degree line]]/MAX(Table1[[Flux in SC / glucose uptake ($mmol/mmol\ glc$)]:[Flux in RT / glucose uptake ($mmol/mmol\ glc$)]])</f>
        <v>0</v>
      </c>
      <c r="G1007">
        <f>_xlfn.RANK.AVG(Table1[[#This Row],[Flux in SC / glucose uptake ($mmol/mmol\ glc$)]],Table1[Flux in SC / glucose uptake ($mmol/mmol\ glc$)])</f>
        <v>1310.5</v>
      </c>
      <c r="H1007">
        <f>_xlfn.RANK.AVG(Table1[[#This Row],[Flux in RT / glucose uptake ($mmol/mmol\ glc$)]],Table1[Flux in RT / glucose uptake ($mmol/mmol\ glc$)])</f>
        <v>1290.5</v>
      </c>
      <c r="I1007" t="e">
        <f>LOG(Table1[[#This Row],[Flux in SC / glucose uptake ($mmol/mmol\ glc$)]])</f>
        <v>#NUM!</v>
      </c>
      <c r="J1007" t="e">
        <f>LOG(Table1[[#This Row],[Flux in RT / glucose uptake ($mmol/mmol\ glc$)]])</f>
        <v>#NUM!</v>
      </c>
    </row>
    <row r="1008" spans="1:10" x14ac:dyDescent="0.2">
      <c r="A1008" t="s">
        <v>1011</v>
      </c>
      <c r="B1008" t="s">
        <v>3184</v>
      </c>
      <c r="C1008">
        <v>0</v>
      </c>
      <c r="D1008">
        <v>0</v>
      </c>
      <c r="E1008">
        <f>ABS(Table1[[#This Row],[Flux in SC / glucose uptake ($mmol/mmol\ glc$)]]-Table1[[#This Row],[Flux in RT / glucose uptake ($mmol/mmol\ glc$)]])/SQRT(2)</f>
        <v>0</v>
      </c>
      <c r="F1008">
        <f>Table1[[#This Row],[distance from 45-degree line]]/MAX(Table1[[Flux in SC / glucose uptake ($mmol/mmol\ glc$)]:[Flux in RT / glucose uptake ($mmol/mmol\ glc$)]])</f>
        <v>0</v>
      </c>
      <c r="G1008">
        <f>_xlfn.RANK.AVG(Table1[[#This Row],[Flux in SC / glucose uptake ($mmol/mmol\ glc$)]],Table1[Flux in SC / glucose uptake ($mmol/mmol\ glc$)])</f>
        <v>1310.5</v>
      </c>
      <c r="H1008">
        <f>_xlfn.RANK.AVG(Table1[[#This Row],[Flux in RT / glucose uptake ($mmol/mmol\ glc$)]],Table1[Flux in RT / glucose uptake ($mmol/mmol\ glc$)])</f>
        <v>1290.5</v>
      </c>
      <c r="I1008" t="e">
        <f>LOG(Table1[[#This Row],[Flux in SC / glucose uptake ($mmol/mmol\ glc$)]])</f>
        <v>#NUM!</v>
      </c>
      <c r="J1008" t="e">
        <f>LOG(Table1[[#This Row],[Flux in RT / glucose uptake ($mmol/mmol\ glc$)]])</f>
        <v>#NUM!</v>
      </c>
    </row>
    <row r="1009" spans="1:10" x14ac:dyDescent="0.2">
      <c r="A1009" t="s">
        <v>1012</v>
      </c>
      <c r="B1009" t="s">
        <v>3184</v>
      </c>
      <c r="C1009">
        <v>0</v>
      </c>
      <c r="D1009">
        <v>0</v>
      </c>
      <c r="E1009">
        <f>ABS(Table1[[#This Row],[Flux in SC / glucose uptake ($mmol/mmol\ glc$)]]-Table1[[#This Row],[Flux in RT / glucose uptake ($mmol/mmol\ glc$)]])/SQRT(2)</f>
        <v>0</v>
      </c>
      <c r="F1009">
        <f>Table1[[#This Row],[distance from 45-degree line]]/MAX(Table1[[Flux in SC / glucose uptake ($mmol/mmol\ glc$)]:[Flux in RT / glucose uptake ($mmol/mmol\ glc$)]])</f>
        <v>0</v>
      </c>
      <c r="G1009">
        <f>_xlfn.RANK.AVG(Table1[[#This Row],[Flux in SC / glucose uptake ($mmol/mmol\ glc$)]],Table1[Flux in SC / glucose uptake ($mmol/mmol\ glc$)])</f>
        <v>1310.5</v>
      </c>
      <c r="H1009">
        <f>_xlfn.RANK.AVG(Table1[[#This Row],[Flux in RT / glucose uptake ($mmol/mmol\ glc$)]],Table1[Flux in RT / glucose uptake ($mmol/mmol\ glc$)])</f>
        <v>1290.5</v>
      </c>
      <c r="I1009" t="e">
        <f>LOG(Table1[[#This Row],[Flux in SC / glucose uptake ($mmol/mmol\ glc$)]])</f>
        <v>#NUM!</v>
      </c>
      <c r="J1009" t="e">
        <f>LOG(Table1[[#This Row],[Flux in RT / glucose uptake ($mmol/mmol\ glc$)]])</f>
        <v>#NUM!</v>
      </c>
    </row>
    <row r="1010" spans="1:10" x14ac:dyDescent="0.2">
      <c r="A1010" t="s">
        <v>1013</v>
      </c>
      <c r="B1010" t="s">
        <v>3184</v>
      </c>
      <c r="C1010">
        <v>0</v>
      </c>
      <c r="D1010">
        <v>0</v>
      </c>
      <c r="E1010">
        <f>ABS(Table1[[#This Row],[Flux in SC / glucose uptake ($mmol/mmol\ glc$)]]-Table1[[#This Row],[Flux in RT / glucose uptake ($mmol/mmol\ glc$)]])/SQRT(2)</f>
        <v>0</v>
      </c>
      <c r="F1010">
        <f>Table1[[#This Row],[distance from 45-degree line]]/MAX(Table1[[Flux in SC / glucose uptake ($mmol/mmol\ glc$)]:[Flux in RT / glucose uptake ($mmol/mmol\ glc$)]])</f>
        <v>0</v>
      </c>
      <c r="G1010">
        <f>_xlfn.RANK.AVG(Table1[[#This Row],[Flux in SC / glucose uptake ($mmol/mmol\ glc$)]],Table1[Flux in SC / glucose uptake ($mmol/mmol\ glc$)])</f>
        <v>1310.5</v>
      </c>
      <c r="H1010">
        <f>_xlfn.RANK.AVG(Table1[[#This Row],[Flux in RT / glucose uptake ($mmol/mmol\ glc$)]],Table1[Flux in RT / glucose uptake ($mmol/mmol\ glc$)])</f>
        <v>1290.5</v>
      </c>
      <c r="I1010" t="e">
        <f>LOG(Table1[[#This Row],[Flux in SC / glucose uptake ($mmol/mmol\ glc$)]])</f>
        <v>#NUM!</v>
      </c>
      <c r="J1010" t="e">
        <f>LOG(Table1[[#This Row],[Flux in RT / glucose uptake ($mmol/mmol\ glc$)]])</f>
        <v>#NUM!</v>
      </c>
    </row>
    <row r="1011" spans="1:10" x14ac:dyDescent="0.2">
      <c r="A1011" t="s">
        <v>1014</v>
      </c>
      <c r="B1011" t="s">
        <v>3184</v>
      </c>
      <c r="C1011">
        <v>0</v>
      </c>
      <c r="D1011">
        <v>0</v>
      </c>
      <c r="E1011">
        <f>ABS(Table1[[#This Row],[Flux in SC / glucose uptake ($mmol/mmol\ glc$)]]-Table1[[#This Row],[Flux in RT / glucose uptake ($mmol/mmol\ glc$)]])/SQRT(2)</f>
        <v>0</v>
      </c>
      <c r="F1011">
        <f>Table1[[#This Row],[distance from 45-degree line]]/MAX(Table1[[Flux in SC / glucose uptake ($mmol/mmol\ glc$)]:[Flux in RT / glucose uptake ($mmol/mmol\ glc$)]])</f>
        <v>0</v>
      </c>
      <c r="G1011">
        <f>_xlfn.RANK.AVG(Table1[[#This Row],[Flux in SC / glucose uptake ($mmol/mmol\ glc$)]],Table1[Flux in SC / glucose uptake ($mmol/mmol\ glc$)])</f>
        <v>1310.5</v>
      </c>
      <c r="H1011">
        <f>_xlfn.RANK.AVG(Table1[[#This Row],[Flux in RT / glucose uptake ($mmol/mmol\ glc$)]],Table1[Flux in RT / glucose uptake ($mmol/mmol\ glc$)])</f>
        <v>1290.5</v>
      </c>
      <c r="I1011" t="e">
        <f>LOG(Table1[[#This Row],[Flux in SC / glucose uptake ($mmol/mmol\ glc$)]])</f>
        <v>#NUM!</v>
      </c>
      <c r="J1011" t="e">
        <f>LOG(Table1[[#This Row],[Flux in RT / glucose uptake ($mmol/mmol\ glc$)]])</f>
        <v>#NUM!</v>
      </c>
    </row>
    <row r="1012" spans="1:10" x14ac:dyDescent="0.2">
      <c r="A1012" t="s">
        <v>1015</v>
      </c>
      <c r="B1012" t="s">
        <v>3184</v>
      </c>
      <c r="C1012">
        <v>0</v>
      </c>
      <c r="D1012">
        <v>0</v>
      </c>
      <c r="E1012">
        <f>ABS(Table1[[#This Row],[Flux in SC / glucose uptake ($mmol/mmol\ glc$)]]-Table1[[#This Row],[Flux in RT / glucose uptake ($mmol/mmol\ glc$)]])/SQRT(2)</f>
        <v>0</v>
      </c>
      <c r="F1012">
        <f>Table1[[#This Row],[distance from 45-degree line]]/MAX(Table1[[Flux in SC / glucose uptake ($mmol/mmol\ glc$)]:[Flux in RT / glucose uptake ($mmol/mmol\ glc$)]])</f>
        <v>0</v>
      </c>
      <c r="G1012">
        <f>_xlfn.RANK.AVG(Table1[[#This Row],[Flux in SC / glucose uptake ($mmol/mmol\ glc$)]],Table1[Flux in SC / glucose uptake ($mmol/mmol\ glc$)])</f>
        <v>1310.5</v>
      </c>
      <c r="H1012">
        <f>_xlfn.RANK.AVG(Table1[[#This Row],[Flux in RT / glucose uptake ($mmol/mmol\ glc$)]],Table1[Flux in RT / glucose uptake ($mmol/mmol\ glc$)])</f>
        <v>1290.5</v>
      </c>
      <c r="I1012" t="e">
        <f>LOG(Table1[[#This Row],[Flux in SC / glucose uptake ($mmol/mmol\ glc$)]])</f>
        <v>#NUM!</v>
      </c>
      <c r="J1012" t="e">
        <f>LOG(Table1[[#This Row],[Flux in RT / glucose uptake ($mmol/mmol\ glc$)]])</f>
        <v>#NUM!</v>
      </c>
    </row>
    <row r="1013" spans="1:10" x14ac:dyDescent="0.2">
      <c r="A1013" t="s">
        <v>1016</v>
      </c>
      <c r="B1013" t="s">
        <v>3184</v>
      </c>
      <c r="C1013">
        <v>0</v>
      </c>
      <c r="D1013">
        <v>0</v>
      </c>
      <c r="E1013">
        <f>ABS(Table1[[#This Row],[Flux in SC / glucose uptake ($mmol/mmol\ glc$)]]-Table1[[#This Row],[Flux in RT / glucose uptake ($mmol/mmol\ glc$)]])/SQRT(2)</f>
        <v>0</v>
      </c>
      <c r="F1013">
        <f>Table1[[#This Row],[distance from 45-degree line]]/MAX(Table1[[Flux in SC / glucose uptake ($mmol/mmol\ glc$)]:[Flux in RT / glucose uptake ($mmol/mmol\ glc$)]])</f>
        <v>0</v>
      </c>
      <c r="G1013">
        <f>_xlfn.RANK.AVG(Table1[[#This Row],[Flux in SC / glucose uptake ($mmol/mmol\ glc$)]],Table1[Flux in SC / glucose uptake ($mmol/mmol\ glc$)])</f>
        <v>1310.5</v>
      </c>
      <c r="H1013">
        <f>_xlfn.RANK.AVG(Table1[[#This Row],[Flux in RT / glucose uptake ($mmol/mmol\ glc$)]],Table1[Flux in RT / glucose uptake ($mmol/mmol\ glc$)])</f>
        <v>1290.5</v>
      </c>
      <c r="I1013" t="e">
        <f>LOG(Table1[[#This Row],[Flux in SC / glucose uptake ($mmol/mmol\ glc$)]])</f>
        <v>#NUM!</v>
      </c>
      <c r="J1013" t="e">
        <f>LOG(Table1[[#This Row],[Flux in RT / glucose uptake ($mmol/mmol\ glc$)]])</f>
        <v>#NUM!</v>
      </c>
    </row>
    <row r="1014" spans="1:10" x14ac:dyDescent="0.2">
      <c r="A1014" t="s">
        <v>1017</v>
      </c>
      <c r="B1014" t="s">
        <v>3184</v>
      </c>
      <c r="C1014">
        <v>0</v>
      </c>
      <c r="D1014">
        <v>0</v>
      </c>
      <c r="E1014">
        <f>ABS(Table1[[#This Row],[Flux in SC / glucose uptake ($mmol/mmol\ glc$)]]-Table1[[#This Row],[Flux in RT / glucose uptake ($mmol/mmol\ glc$)]])/SQRT(2)</f>
        <v>0</v>
      </c>
      <c r="F1014">
        <f>Table1[[#This Row],[distance from 45-degree line]]/MAX(Table1[[Flux in SC / glucose uptake ($mmol/mmol\ glc$)]:[Flux in RT / glucose uptake ($mmol/mmol\ glc$)]])</f>
        <v>0</v>
      </c>
      <c r="G1014">
        <f>_xlfn.RANK.AVG(Table1[[#This Row],[Flux in SC / glucose uptake ($mmol/mmol\ glc$)]],Table1[Flux in SC / glucose uptake ($mmol/mmol\ glc$)])</f>
        <v>1310.5</v>
      </c>
      <c r="H1014">
        <f>_xlfn.RANK.AVG(Table1[[#This Row],[Flux in RT / glucose uptake ($mmol/mmol\ glc$)]],Table1[Flux in RT / glucose uptake ($mmol/mmol\ glc$)])</f>
        <v>1290.5</v>
      </c>
      <c r="I1014" t="e">
        <f>LOG(Table1[[#This Row],[Flux in SC / glucose uptake ($mmol/mmol\ glc$)]])</f>
        <v>#NUM!</v>
      </c>
      <c r="J1014" t="e">
        <f>LOG(Table1[[#This Row],[Flux in RT / glucose uptake ($mmol/mmol\ glc$)]])</f>
        <v>#NUM!</v>
      </c>
    </row>
    <row r="1015" spans="1:10" x14ac:dyDescent="0.2">
      <c r="A1015" t="s">
        <v>1018</v>
      </c>
      <c r="B1015" t="s">
        <v>3184</v>
      </c>
      <c r="C1015">
        <v>0</v>
      </c>
      <c r="D1015">
        <v>0</v>
      </c>
      <c r="E1015">
        <f>ABS(Table1[[#This Row],[Flux in SC / glucose uptake ($mmol/mmol\ glc$)]]-Table1[[#This Row],[Flux in RT / glucose uptake ($mmol/mmol\ glc$)]])/SQRT(2)</f>
        <v>0</v>
      </c>
      <c r="F1015">
        <f>Table1[[#This Row],[distance from 45-degree line]]/MAX(Table1[[Flux in SC / glucose uptake ($mmol/mmol\ glc$)]:[Flux in RT / glucose uptake ($mmol/mmol\ glc$)]])</f>
        <v>0</v>
      </c>
      <c r="G1015">
        <f>_xlfn.RANK.AVG(Table1[[#This Row],[Flux in SC / glucose uptake ($mmol/mmol\ glc$)]],Table1[Flux in SC / glucose uptake ($mmol/mmol\ glc$)])</f>
        <v>1310.5</v>
      </c>
      <c r="H1015">
        <f>_xlfn.RANK.AVG(Table1[[#This Row],[Flux in RT / glucose uptake ($mmol/mmol\ glc$)]],Table1[Flux in RT / glucose uptake ($mmol/mmol\ glc$)])</f>
        <v>1290.5</v>
      </c>
      <c r="I1015" t="e">
        <f>LOG(Table1[[#This Row],[Flux in SC / glucose uptake ($mmol/mmol\ glc$)]])</f>
        <v>#NUM!</v>
      </c>
      <c r="J1015" t="e">
        <f>LOG(Table1[[#This Row],[Flux in RT / glucose uptake ($mmol/mmol\ glc$)]])</f>
        <v>#NUM!</v>
      </c>
    </row>
    <row r="1016" spans="1:10" x14ac:dyDescent="0.2">
      <c r="A1016" t="s">
        <v>1019</v>
      </c>
      <c r="B1016" t="s">
        <v>3184</v>
      </c>
      <c r="C1016">
        <v>0</v>
      </c>
      <c r="D1016">
        <v>0</v>
      </c>
      <c r="E1016">
        <f>ABS(Table1[[#This Row],[Flux in SC / glucose uptake ($mmol/mmol\ glc$)]]-Table1[[#This Row],[Flux in RT / glucose uptake ($mmol/mmol\ glc$)]])/SQRT(2)</f>
        <v>0</v>
      </c>
      <c r="F1016">
        <f>Table1[[#This Row],[distance from 45-degree line]]/MAX(Table1[[Flux in SC / glucose uptake ($mmol/mmol\ glc$)]:[Flux in RT / glucose uptake ($mmol/mmol\ glc$)]])</f>
        <v>0</v>
      </c>
      <c r="G1016">
        <f>_xlfn.RANK.AVG(Table1[[#This Row],[Flux in SC / glucose uptake ($mmol/mmol\ glc$)]],Table1[Flux in SC / glucose uptake ($mmol/mmol\ glc$)])</f>
        <v>1310.5</v>
      </c>
      <c r="H1016">
        <f>_xlfn.RANK.AVG(Table1[[#This Row],[Flux in RT / glucose uptake ($mmol/mmol\ glc$)]],Table1[Flux in RT / glucose uptake ($mmol/mmol\ glc$)])</f>
        <v>1290.5</v>
      </c>
      <c r="I1016" t="e">
        <f>LOG(Table1[[#This Row],[Flux in SC / glucose uptake ($mmol/mmol\ glc$)]])</f>
        <v>#NUM!</v>
      </c>
      <c r="J1016" t="e">
        <f>LOG(Table1[[#This Row],[Flux in RT / glucose uptake ($mmol/mmol\ glc$)]])</f>
        <v>#NUM!</v>
      </c>
    </row>
    <row r="1017" spans="1:10" x14ac:dyDescent="0.2">
      <c r="A1017" t="s">
        <v>1020</v>
      </c>
      <c r="B1017" t="s">
        <v>3184</v>
      </c>
      <c r="C1017">
        <v>0</v>
      </c>
      <c r="D1017">
        <v>0</v>
      </c>
      <c r="E1017">
        <f>ABS(Table1[[#This Row],[Flux in SC / glucose uptake ($mmol/mmol\ glc$)]]-Table1[[#This Row],[Flux in RT / glucose uptake ($mmol/mmol\ glc$)]])/SQRT(2)</f>
        <v>0</v>
      </c>
      <c r="F1017">
        <f>Table1[[#This Row],[distance from 45-degree line]]/MAX(Table1[[Flux in SC / glucose uptake ($mmol/mmol\ glc$)]:[Flux in RT / glucose uptake ($mmol/mmol\ glc$)]])</f>
        <v>0</v>
      </c>
      <c r="G1017">
        <f>_xlfn.RANK.AVG(Table1[[#This Row],[Flux in SC / glucose uptake ($mmol/mmol\ glc$)]],Table1[Flux in SC / glucose uptake ($mmol/mmol\ glc$)])</f>
        <v>1310.5</v>
      </c>
      <c r="H1017">
        <f>_xlfn.RANK.AVG(Table1[[#This Row],[Flux in RT / glucose uptake ($mmol/mmol\ glc$)]],Table1[Flux in RT / glucose uptake ($mmol/mmol\ glc$)])</f>
        <v>1290.5</v>
      </c>
      <c r="I1017" t="e">
        <f>LOG(Table1[[#This Row],[Flux in SC / glucose uptake ($mmol/mmol\ glc$)]])</f>
        <v>#NUM!</v>
      </c>
      <c r="J1017" t="e">
        <f>LOG(Table1[[#This Row],[Flux in RT / glucose uptake ($mmol/mmol\ glc$)]])</f>
        <v>#NUM!</v>
      </c>
    </row>
    <row r="1018" spans="1:10" x14ac:dyDescent="0.2">
      <c r="A1018" t="s">
        <v>1021</v>
      </c>
      <c r="B1018" t="s">
        <v>3184</v>
      </c>
      <c r="C1018">
        <v>0</v>
      </c>
      <c r="D1018">
        <v>0</v>
      </c>
      <c r="E1018">
        <f>ABS(Table1[[#This Row],[Flux in SC / glucose uptake ($mmol/mmol\ glc$)]]-Table1[[#This Row],[Flux in RT / glucose uptake ($mmol/mmol\ glc$)]])/SQRT(2)</f>
        <v>0</v>
      </c>
      <c r="F1018">
        <f>Table1[[#This Row],[distance from 45-degree line]]/MAX(Table1[[Flux in SC / glucose uptake ($mmol/mmol\ glc$)]:[Flux in RT / glucose uptake ($mmol/mmol\ glc$)]])</f>
        <v>0</v>
      </c>
      <c r="G1018">
        <f>_xlfn.RANK.AVG(Table1[[#This Row],[Flux in SC / glucose uptake ($mmol/mmol\ glc$)]],Table1[Flux in SC / glucose uptake ($mmol/mmol\ glc$)])</f>
        <v>1310.5</v>
      </c>
      <c r="H1018">
        <f>_xlfn.RANK.AVG(Table1[[#This Row],[Flux in RT / glucose uptake ($mmol/mmol\ glc$)]],Table1[Flux in RT / glucose uptake ($mmol/mmol\ glc$)])</f>
        <v>1290.5</v>
      </c>
      <c r="I1018" t="e">
        <f>LOG(Table1[[#This Row],[Flux in SC / glucose uptake ($mmol/mmol\ glc$)]])</f>
        <v>#NUM!</v>
      </c>
      <c r="J1018" t="e">
        <f>LOG(Table1[[#This Row],[Flux in RT / glucose uptake ($mmol/mmol\ glc$)]])</f>
        <v>#NUM!</v>
      </c>
    </row>
    <row r="1019" spans="1:10" x14ac:dyDescent="0.2">
      <c r="A1019" t="s">
        <v>1022</v>
      </c>
      <c r="B1019" t="s">
        <v>3184</v>
      </c>
      <c r="C1019">
        <v>0</v>
      </c>
      <c r="D1019">
        <v>0</v>
      </c>
      <c r="E1019">
        <f>ABS(Table1[[#This Row],[Flux in SC / glucose uptake ($mmol/mmol\ glc$)]]-Table1[[#This Row],[Flux in RT / glucose uptake ($mmol/mmol\ glc$)]])/SQRT(2)</f>
        <v>0</v>
      </c>
      <c r="F1019">
        <f>Table1[[#This Row],[distance from 45-degree line]]/MAX(Table1[[Flux in SC / glucose uptake ($mmol/mmol\ glc$)]:[Flux in RT / glucose uptake ($mmol/mmol\ glc$)]])</f>
        <v>0</v>
      </c>
      <c r="G1019">
        <f>_xlfn.RANK.AVG(Table1[[#This Row],[Flux in SC / glucose uptake ($mmol/mmol\ glc$)]],Table1[Flux in SC / glucose uptake ($mmol/mmol\ glc$)])</f>
        <v>1310.5</v>
      </c>
      <c r="H1019">
        <f>_xlfn.RANK.AVG(Table1[[#This Row],[Flux in RT / glucose uptake ($mmol/mmol\ glc$)]],Table1[Flux in RT / glucose uptake ($mmol/mmol\ glc$)])</f>
        <v>1290.5</v>
      </c>
      <c r="I1019" t="e">
        <f>LOG(Table1[[#This Row],[Flux in SC / glucose uptake ($mmol/mmol\ glc$)]])</f>
        <v>#NUM!</v>
      </c>
      <c r="J1019" t="e">
        <f>LOG(Table1[[#This Row],[Flux in RT / glucose uptake ($mmol/mmol\ glc$)]])</f>
        <v>#NUM!</v>
      </c>
    </row>
    <row r="1020" spans="1:10" x14ac:dyDescent="0.2">
      <c r="A1020" t="s">
        <v>1023</v>
      </c>
      <c r="B1020" t="s">
        <v>3184</v>
      </c>
      <c r="C1020">
        <v>0</v>
      </c>
      <c r="D1020">
        <v>0</v>
      </c>
      <c r="E1020">
        <f>ABS(Table1[[#This Row],[Flux in SC / glucose uptake ($mmol/mmol\ glc$)]]-Table1[[#This Row],[Flux in RT / glucose uptake ($mmol/mmol\ glc$)]])/SQRT(2)</f>
        <v>0</v>
      </c>
      <c r="F1020">
        <f>Table1[[#This Row],[distance from 45-degree line]]/MAX(Table1[[Flux in SC / glucose uptake ($mmol/mmol\ glc$)]:[Flux in RT / glucose uptake ($mmol/mmol\ glc$)]])</f>
        <v>0</v>
      </c>
      <c r="G1020">
        <f>_xlfn.RANK.AVG(Table1[[#This Row],[Flux in SC / glucose uptake ($mmol/mmol\ glc$)]],Table1[Flux in SC / glucose uptake ($mmol/mmol\ glc$)])</f>
        <v>1310.5</v>
      </c>
      <c r="H1020">
        <f>_xlfn.RANK.AVG(Table1[[#This Row],[Flux in RT / glucose uptake ($mmol/mmol\ glc$)]],Table1[Flux in RT / glucose uptake ($mmol/mmol\ glc$)])</f>
        <v>1290.5</v>
      </c>
      <c r="I1020" t="e">
        <f>LOG(Table1[[#This Row],[Flux in SC / glucose uptake ($mmol/mmol\ glc$)]])</f>
        <v>#NUM!</v>
      </c>
      <c r="J1020" t="e">
        <f>LOG(Table1[[#This Row],[Flux in RT / glucose uptake ($mmol/mmol\ glc$)]])</f>
        <v>#NUM!</v>
      </c>
    </row>
    <row r="1021" spans="1:10" x14ac:dyDescent="0.2">
      <c r="A1021" t="s">
        <v>1024</v>
      </c>
      <c r="B1021" t="s">
        <v>3184</v>
      </c>
      <c r="C1021">
        <v>0</v>
      </c>
      <c r="D1021">
        <v>0</v>
      </c>
      <c r="E1021">
        <f>ABS(Table1[[#This Row],[Flux in SC / glucose uptake ($mmol/mmol\ glc$)]]-Table1[[#This Row],[Flux in RT / glucose uptake ($mmol/mmol\ glc$)]])/SQRT(2)</f>
        <v>0</v>
      </c>
      <c r="F1021">
        <f>Table1[[#This Row],[distance from 45-degree line]]/MAX(Table1[[Flux in SC / glucose uptake ($mmol/mmol\ glc$)]:[Flux in RT / glucose uptake ($mmol/mmol\ glc$)]])</f>
        <v>0</v>
      </c>
      <c r="G1021">
        <f>_xlfn.RANK.AVG(Table1[[#This Row],[Flux in SC / glucose uptake ($mmol/mmol\ glc$)]],Table1[Flux in SC / glucose uptake ($mmol/mmol\ glc$)])</f>
        <v>1310.5</v>
      </c>
      <c r="H1021">
        <f>_xlfn.RANK.AVG(Table1[[#This Row],[Flux in RT / glucose uptake ($mmol/mmol\ glc$)]],Table1[Flux in RT / glucose uptake ($mmol/mmol\ glc$)])</f>
        <v>1290.5</v>
      </c>
      <c r="I1021" t="e">
        <f>LOG(Table1[[#This Row],[Flux in SC / glucose uptake ($mmol/mmol\ glc$)]])</f>
        <v>#NUM!</v>
      </c>
      <c r="J1021" t="e">
        <f>LOG(Table1[[#This Row],[Flux in RT / glucose uptake ($mmol/mmol\ glc$)]])</f>
        <v>#NUM!</v>
      </c>
    </row>
    <row r="1022" spans="1:10" x14ac:dyDescent="0.2">
      <c r="A1022" t="s">
        <v>1025</v>
      </c>
      <c r="B1022" t="s">
        <v>3184</v>
      </c>
      <c r="C1022">
        <v>0</v>
      </c>
      <c r="D1022">
        <v>0</v>
      </c>
      <c r="E1022">
        <f>ABS(Table1[[#This Row],[Flux in SC / glucose uptake ($mmol/mmol\ glc$)]]-Table1[[#This Row],[Flux in RT / glucose uptake ($mmol/mmol\ glc$)]])/SQRT(2)</f>
        <v>0</v>
      </c>
      <c r="F1022">
        <f>Table1[[#This Row],[distance from 45-degree line]]/MAX(Table1[[Flux in SC / glucose uptake ($mmol/mmol\ glc$)]:[Flux in RT / glucose uptake ($mmol/mmol\ glc$)]])</f>
        <v>0</v>
      </c>
      <c r="G1022">
        <f>_xlfn.RANK.AVG(Table1[[#This Row],[Flux in SC / glucose uptake ($mmol/mmol\ glc$)]],Table1[Flux in SC / glucose uptake ($mmol/mmol\ glc$)])</f>
        <v>1310.5</v>
      </c>
      <c r="H1022">
        <f>_xlfn.RANK.AVG(Table1[[#This Row],[Flux in RT / glucose uptake ($mmol/mmol\ glc$)]],Table1[Flux in RT / glucose uptake ($mmol/mmol\ glc$)])</f>
        <v>1290.5</v>
      </c>
      <c r="I1022" t="e">
        <f>LOG(Table1[[#This Row],[Flux in SC / glucose uptake ($mmol/mmol\ glc$)]])</f>
        <v>#NUM!</v>
      </c>
      <c r="J1022" t="e">
        <f>LOG(Table1[[#This Row],[Flux in RT / glucose uptake ($mmol/mmol\ glc$)]])</f>
        <v>#NUM!</v>
      </c>
    </row>
    <row r="1023" spans="1:10" x14ac:dyDescent="0.2">
      <c r="A1023" t="s">
        <v>1026</v>
      </c>
      <c r="B1023" t="s">
        <v>3184</v>
      </c>
      <c r="C1023">
        <v>0</v>
      </c>
      <c r="D1023">
        <v>0</v>
      </c>
      <c r="E1023">
        <f>ABS(Table1[[#This Row],[Flux in SC / glucose uptake ($mmol/mmol\ glc$)]]-Table1[[#This Row],[Flux in RT / glucose uptake ($mmol/mmol\ glc$)]])/SQRT(2)</f>
        <v>0</v>
      </c>
      <c r="F1023">
        <f>Table1[[#This Row],[distance from 45-degree line]]/MAX(Table1[[Flux in SC / glucose uptake ($mmol/mmol\ glc$)]:[Flux in RT / glucose uptake ($mmol/mmol\ glc$)]])</f>
        <v>0</v>
      </c>
      <c r="G1023">
        <f>_xlfn.RANK.AVG(Table1[[#This Row],[Flux in SC / glucose uptake ($mmol/mmol\ glc$)]],Table1[Flux in SC / glucose uptake ($mmol/mmol\ glc$)])</f>
        <v>1310.5</v>
      </c>
      <c r="H1023">
        <f>_xlfn.RANK.AVG(Table1[[#This Row],[Flux in RT / glucose uptake ($mmol/mmol\ glc$)]],Table1[Flux in RT / glucose uptake ($mmol/mmol\ glc$)])</f>
        <v>1290.5</v>
      </c>
      <c r="I1023" t="e">
        <f>LOG(Table1[[#This Row],[Flux in SC / glucose uptake ($mmol/mmol\ glc$)]])</f>
        <v>#NUM!</v>
      </c>
      <c r="J1023" t="e">
        <f>LOG(Table1[[#This Row],[Flux in RT / glucose uptake ($mmol/mmol\ glc$)]])</f>
        <v>#NUM!</v>
      </c>
    </row>
    <row r="1024" spans="1:10" x14ac:dyDescent="0.2">
      <c r="A1024" t="s">
        <v>1027</v>
      </c>
      <c r="B1024" t="s">
        <v>3184</v>
      </c>
      <c r="C1024">
        <v>2.2252792093455449E-5</v>
      </c>
      <c r="D1024">
        <v>1.1426908372586931E-4</v>
      </c>
      <c r="E1024">
        <f>ABS(Table1[[#This Row],[Flux in SC / glucose uptake ($mmol/mmol\ glc$)]]-Table1[[#This Row],[Flux in RT / glucose uptake ($mmol/mmol\ glc$)]])/SQRT(2)</f>
        <v>6.5065343792918804E-5</v>
      </c>
      <c r="F1024">
        <f>Table1[[#This Row],[distance from 45-degree line]]/MAX(Table1[[Flux in SC / glucose uptake ($mmol/mmol\ glc$)]:[Flux in RT / glucose uptake ($mmol/mmol\ glc$)]])</f>
        <v>3.5069477865907002E-6</v>
      </c>
      <c r="G1024">
        <f>_xlfn.RANK.AVG(Table1[[#This Row],[Flux in SC / glucose uptake ($mmol/mmol\ glc$)]],Table1[Flux in SC / glucose uptake ($mmol/mmol\ glc$)])</f>
        <v>279.5</v>
      </c>
      <c r="H1024">
        <f>_xlfn.RANK.AVG(Table1[[#This Row],[Flux in RT / glucose uptake ($mmol/mmol\ glc$)]],Table1[Flux in RT / glucose uptake ($mmol/mmol\ glc$)])</f>
        <v>275.5</v>
      </c>
      <c r="I1024">
        <f>LOG(Table1[[#This Row],[Flux in SC / glucose uptake ($mmol/mmol\ glc$)]])</f>
        <v>-4.6526154896401453</v>
      </c>
      <c r="J1024">
        <f>LOG(Table1[[#This Row],[Flux in RT / glucose uptake ($mmol/mmol\ glc$)]])</f>
        <v>-3.9420712550241719</v>
      </c>
    </row>
    <row r="1025" spans="1:10" x14ac:dyDescent="0.2">
      <c r="A1025" t="s">
        <v>1028</v>
      </c>
      <c r="B1025" t="s">
        <v>3184</v>
      </c>
      <c r="C1025">
        <v>0</v>
      </c>
      <c r="D1025">
        <v>0</v>
      </c>
      <c r="E1025">
        <f>ABS(Table1[[#This Row],[Flux in SC / glucose uptake ($mmol/mmol\ glc$)]]-Table1[[#This Row],[Flux in RT / glucose uptake ($mmol/mmol\ glc$)]])/SQRT(2)</f>
        <v>0</v>
      </c>
      <c r="F1025">
        <f>Table1[[#This Row],[distance from 45-degree line]]/MAX(Table1[[Flux in SC / glucose uptake ($mmol/mmol\ glc$)]:[Flux in RT / glucose uptake ($mmol/mmol\ glc$)]])</f>
        <v>0</v>
      </c>
      <c r="G1025">
        <f>_xlfn.RANK.AVG(Table1[[#This Row],[Flux in SC / glucose uptake ($mmol/mmol\ glc$)]],Table1[Flux in SC / glucose uptake ($mmol/mmol\ glc$)])</f>
        <v>1310.5</v>
      </c>
      <c r="H1025">
        <f>_xlfn.RANK.AVG(Table1[[#This Row],[Flux in RT / glucose uptake ($mmol/mmol\ glc$)]],Table1[Flux in RT / glucose uptake ($mmol/mmol\ glc$)])</f>
        <v>1290.5</v>
      </c>
      <c r="I1025" t="e">
        <f>LOG(Table1[[#This Row],[Flux in SC / glucose uptake ($mmol/mmol\ glc$)]])</f>
        <v>#NUM!</v>
      </c>
      <c r="J1025" t="e">
        <f>LOG(Table1[[#This Row],[Flux in RT / glucose uptake ($mmol/mmol\ glc$)]])</f>
        <v>#NUM!</v>
      </c>
    </row>
    <row r="1026" spans="1:10" x14ac:dyDescent="0.2">
      <c r="A1026" t="s">
        <v>1029</v>
      </c>
      <c r="B1026" t="s">
        <v>3118</v>
      </c>
      <c r="C1026">
        <v>0</v>
      </c>
      <c r="D1026">
        <v>0</v>
      </c>
      <c r="E1026">
        <f>ABS(Table1[[#This Row],[Flux in SC / glucose uptake ($mmol/mmol\ glc$)]]-Table1[[#This Row],[Flux in RT / glucose uptake ($mmol/mmol\ glc$)]])/SQRT(2)</f>
        <v>0</v>
      </c>
      <c r="F1026">
        <f>Table1[[#This Row],[distance from 45-degree line]]/MAX(Table1[[Flux in SC / glucose uptake ($mmol/mmol\ glc$)]:[Flux in RT / glucose uptake ($mmol/mmol\ glc$)]])</f>
        <v>0</v>
      </c>
      <c r="G1026">
        <f>_xlfn.RANK.AVG(Table1[[#This Row],[Flux in SC / glucose uptake ($mmol/mmol\ glc$)]],Table1[Flux in SC / glucose uptake ($mmol/mmol\ glc$)])</f>
        <v>1310.5</v>
      </c>
      <c r="H1026">
        <f>_xlfn.RANK.AVG(Table1[[#This Row],[Flux in RT / glucose uptake ($mmol/mmol\ glc$)]],Table1[Flux in RT / glucose uptake ($mmol/mmol\ glc$)])</f>
        <v>1290.5</v>
      </c>
      <c r="I1026" t="e">
        <f>LOG(Table1[[#This Row],[Flux in SC / glucose uptake ($mmol/mmol\ glc$)]])</f>
        <v>#NUM!</v>
      </c>
      <c r="J1026" t="e">
        <f>LOG(Table1[[#This Row],[Flux in RT / glucose uptake ($mmol/mmol\ glc$)]])</f>
        <v>#NUM!</v>
      </c>
    </row>
    <row r="1027" spans="1:10" x14ac:dyDescent="0.2">
      <c r="A1027" t="s">
        <v>1030</v>
      </c>
      <c r="B1027" t="s">
        <v>3114</v>
      </c>
      <c r="C1027">
        <v>0</v>
      </c>
      <c r="D1027">
        <v>0</v>
      </c>
      <c r="E1027">
        <f>ABS(Table1[[#This Row],[Flux in SC / glucose uptake ($mmol/mmol\ glc$)]]-Table1[[#This Row],[Flux in RT / glucose uptake ($mmol/mmol\ glc$)]])/SQRT(2)</f>
        <v>0</v>
      </c>
      <c r="F1027">
        <f>Table1[[#This Row],[distance from 45-degree line]]/MAX(Table1[[Flux in SC / glucose uptake ($mmol/mmol\ glc$)]:[Flux in RT / glucose uptake ($mmol/mmol\ glc$)]])</f>
        <v>0</v>
      </c>
      <c r="G1027">
        <f>_xlfn.RANK.AVG(Table1[[#This Row],[Flux in SC / glucose uptake ($mmol/mmol\ glc$)]],Table1[Flux in SC / glucose uptake ($mmol/mmol\ glc$)])</f>
        <v>1310.5</v>
      </c>
      <c r="H1027">
        <f>_xlfn.RANK.AVG(Table1[[#This Row],[Flux in RT / glucose uptake ($mmol/mmol\ glc$)]],Table1[Flux in RT / glucose uptake ($mmol/mmol\ glc$)])</f>
        <v>1290.5</v>
      </c>
      <c r="I1027" t="e">
        <f>LOG(Table1[[#This Row],[Flux in SC / glucose uptake ($mmol/mmol\ glc$)]])</f>
        <v>#NUM!</v>
      </c>
      <c r="J1027" t="e">
        <f>LOG(Table1[[#This Row],[Flux in RT / glucose uptake ($mmol/mmol\ glc$)]])</f>
        <v>#NUM!</v>
      </c>
    </row>
    <row r="1028" spans="1:10" x14ac:dyDescent="0.2">
      <c r="A1028" t="s">
        <v>1031</v>
      </c>
      <c r="B1028" t="s">
        <v>3114</v>
      </c>
      <c r="C1028">
        <v>0</v>
      </c>
      <c r="D1028">
        <v>0</v>
      </c>
      <c r="E1028">
        <f>ABS(Table1[[#This Row],[Flux in SC / glucose uptake ($mmol/mmol\ glc$)]]-Table1[[#This Row],[Flux in RT / glucose uptake ($mmol/mmol\ glc$)]])/SQRT(2)</f>
        <v>0</v>
      </c>
      <c r="F1028">
        <f>Table1[[#This Row],[distance from 45-degree line]]/MAX(Table1[[Flux in SC / glucose uptake ($mmol/mmol\ glc$)]:[Flux in RT / glucose uptake ($mmol/mmol\ glc$)]])</f>
        <v>0</v>
      </c>
      <c r="G1028">
        <f>_xlfn.RANK.AVG(Table1[[#This Row],[Flux in SC / glucose uptake ($mmol/mmol\ glc$)]],Table1[Flux in SC / glucose uptake ($mmol/mmol\ glc$)])</f>
        <v>1310.5</v>
      </c>
      <c r="H1028">
        <f>_xlfn.RANK.AVG(Table1[[#This Row],[Flux in RT / glucose uptake ($mmol/mmol\ glc$)]],Table1[Flux in RT / glucose uptake ($mmol/mmol\ glc$)])</f>
        <v>1290.5</v>
      </c>
      <c r="I1028" t="e">
        <f>LOG(Table1[[#This Row],[Flux in SC / glucose uptake ($mmol/mmol\ glc$)]])</f>
        <v>#NUM!</v>
      </c>
      <c r="J1028" t="e">
        <f>LOG(Table1[[#This Row],[Flux in RT / glucose uptake ($mmol/mmol\ glc$)]])</f>
        <v>#NUM!</v>
      </c>
    </row>
    <row r="1029" spans="1:10" x14ac:dyDescent="0.2">
      <c r="A1029" t="s">
        <v>1032</v>
      </c>
      <c r="B1029" t="s">
        <v>3114</v>
      </c>
      <c r="C1029">
        <v>0</v>
      </c>
      <c r="D1029">
        <v>0</v>
      </c>
      <c r="E1029">
        <f>ABS(Table1[[#This Row],[Flux in SC / glucose uptake ($mmol/mmol\ glc$)]]-Table1[[#This Row],[Flux in RT / glucose uptake ($mmol/mmol\ glc$)]])/SQRT(2)</f>
        <v>0</v>
      </c>
      <c r="F1029">
        <f>Table1[[#This Row],[distance from 45-degree line]]/MAX(Table1[[Flux in SC / glucose uptake ($mmol/mmol\ glc$)]:[Flux in RT / glucose uptake ($mmol/mmol\ glc$)]])</f>
        <v>0</v>
      </c>
      <c r="G1029">
        <f>_xlfn.RANK.AVG(Table1[[#This Row],[Flux in SC / glucose uptake ($mmol/mmol\ glc$)]],Table1[Flux in SC / glucose uptake ($mmol/mmol\ glc$)])</f>
        <v>1310.5</v>
      </c>
      <c r="H1029">
        <f>_xlfn.RANK.AVG(Table1[[#This Row],[Flux in RT / glucose uptake ($mmol/mmol\ glc$)]],Table1[Flux in RT / glucose uptake ($mmol/mmol\ glc$)])</f>
        <v>1290.5</v>
      </c>
      <c r="I1029" t="e">
        <f>LOG(Table1[[#This Row],[Flux in SC / glucose uptake ($mmol/mmol\ glc$)]])</f>
        <v>#NUM!</v>
      </c>
      <c r="J1029" t="e">
        <f>LOG(Table1[[#This Row],[Flux in RT / glucose uptake ($mmol/mmol\ glc$)]])</f>
        <v>#NUM!</v>
      </c>
    </row>
    <row r="1030" spans="1:10" x14ac:dyDescent="0.2">
      <c r="A1030" t="s">
        <v>1033</v>
      </c>
      <c r="B1030" t="s">
        <v>3114</v>
      </c>
      <c r="C1030">
        <v>0</v>
      </c>
      <c r="D1030">
        <v>0</v>
      </c>
      <c r="E1030">
        <f>ABS(Table1[[#This Row],[Flux in SC / glucose uptake ($mmol/mmol\ glc$)]]-Table1[[#This Row],[Flux in RT / glucose uptake ($mmol/mmol\ glc$)]])/SQRT(2)</f>
        <v>0</v>
      </c>
      <c r="F1030">
        <f>Table1[[#This Row],[distance from 45-degree line]]/MAX(Table1[[Flux in SC / glucose uptake ($mmol/mmol\ glc$)]:[Flux in RT / glucose uptake ($mmol/mmol\ glc$)]])</f>
        <v>0</v>
      </c>
      <c r="G1030">
        <f>_xlfn.RANK.AVG(Table1[[#This Row],[Flux in SC / glucose uptake ($mmol/mmol\ glc$)]],Table1[Flux in SC / glucose uptake ($mmol/mmol\ glc$)])</f>
        <v>1310.5</v>
      </c>
      <c r="H1030">
        <f>_xlfn.RANK.AVG(Table1[[#This Row],[Flux in RT / glucose uptake ($mmol/mmol\ glc$)]],Table1[Flux in RT / glucose uptake ($mmol/mmol\ glc$)])</f>
        <v>1290.5</v>
      </c>
      <c r="I1030" t="e">
        <f>LOG(Table1[[#This Row],[Flux in SC / glucose uptake ($mmol/mmol\ glc$)]])</f>
        <v>#NUM!</v>
      </c>
      <c r="J1030" t="e">
        <f>LOG(Table1[[#This Row],[Flux in RT / glucose uptake ($mmol/mmol\ glc$)]])</f>
        <v>#NUM!</v>
      </c>
    </row>
    <row r="1031" spans="1:10" x14ac:dyDescent="0.2">
      <c r="A1031" t="s">
        <v>1034</v>
      </c>
      <c r="B1031" t="s">
        <v>3114</v>
      </c>
      <c r="C1031">
        <v>0</v>
      </c>
      <c r="D1031">
        <v>0</v>
      </c>
      <c r="E1031">
        <f>ABS(Table1[[#This Row],[Flux in SC / glucose uptake ($mmol/mmol\ glc$)]]-Table1[[#This Row],[Flux in RT / glucose uptake ($mmol/mmol\ glc$)]])/SQRT(2)</f>
        <v>0</v>
      </c>
      <c r="F1031">
        <f>Table1[[#This Row],[distance from 45-degree line]]/MAX(Table1[[Flux in SC / glucose uptake ($mmol/mmol\ glc$)]:[Flux in RT / glucose uptake ($mmol/mmol\ glc$)]])</f>
        <v>0</v>
      </c>
      <c r="G1031">
        <f>_xlfn.RANK.AVG(Table1[[#This Row],[Flux in SC / glucose uptake ($mmol/mmol\ glc$)]],Table1[Flux in SC / glucose uptake ($mmol/mmol\ glc$)])</f>
        <v>1310.5</v>
      </c>
      <c r="H1031">
        <f>_xlfn.RANK.AVG(Table1[[#This Row],[Flux in RT / glucose uptake ($mmol/mmol\ glc$)]],Table1[Flux in RT / glucose uptake ($mmol/mmol\ glc$)])</f>
        <v>1290.5</v>
      </c>
      <c r="I1031" t="e">
        <f>LOG(Table1[[#This Row],[Flux in SC / glucose uptake ($mmol/mmol\ glc$)]])</f>
        <v>#NUM!</v>
      </c>
      <c r="J1031" t="e">
        <f>LOG(Table1[[#This Row],[Flux in RT / glucose uptake ($mmol/mmol\ glc$)]])</f>
        <v>#NUM!</v>
      </c>
    </row>
    <row r="1032" spans="1:10" x14ac:dyDescent="0.2">
      <c r="A1032" t="s">
        <v>1035</v>
      </c>
      <c r="B1032" t="s">
        <v>3114</v>
      </c>
      <c r="C1032">
        <v>0</v>
      </c>
      <c r="D1032">
        <v>0</v>
      </c>
      <c r="E1032">
        <f>ABS(Table1[[#This Row],[Flux in SC / glucose uptake ($mmol/mmol\ glc$)]]-Table1[[#This Row],[Flux in RT / glucose uptake ($mmol/mmol\ glc$)]])/SQRT(2)</f>
        <v>0</v>
      </c>
      <c r="F1032">
        <f>Table1[[#This Row],[distance from 45-degree line]]/MAX(Table1[[Flux in SC / glucose uptake ($mmol/mmol\ glc$)]:[Flux in RT / glucose uptake ($mmol/mmol\ glc$)]])</f>
        <v>0</v>
      </c>
      <c r="G1032">
        <f>_xlfn.RANK.AVG(Table1[[#This Row],[Flux in SC / glucose uptake ($mmol/mmol\ glc$)]],Table1[Flux in SC / glucose uptake ($mmol/mmol\ glc$)])</f>
        <v>1310.5</v>
      </c>
      <c r="H1032">
        <f>_xlfn.RANK.AVG(Table1[[#This Row],[Flux in RT / glucose uptake ($mmol/mmol\ glc$)]],Table1[Flux in RT / glucose uptake ($mmol/mmol\ glc$)])</f>
        <v>1290.5</v>
      </c>
      <c r="I1032" t="e">
        <f>LOG(Table1[[#This Row],[Flux in SC / glucose uptake ($mmol/mmol\ glc$)]])</f>
        <v>#NUM!</v>
      </c>
      <c r="J1032" t="e">
        <f>LOG(Table1[[#This Row],[Flux in RT / glucose uptake ($mmol/mmol\ glc$)]])</f>
        <v>#NUM!</v>
      </c>
    </row>
    <row r="1033" spans="1:10" x14ac:dyDescent="0.2">
      <c r="A1033" t="s">
        <v>1036</v>
      </c>
      <c r="B1033" t="s">
        <v>3114</v>
      </c>
      <c r="C1033">
        <v>0</v>
      </c>
      <c r="D1033">
        <v>0</v>
      </c>
      <c r="E1033">
        <f>ABS(Table1[[#This Row],[Flux in SC / glucose uptake ($mmol/mmol\ glc$)]]-Table1[[#This Row],[Flux in RT / glucose uptake ($mmol/mmol\ glc$)]])/SQRT(2)</f>
        <v>0</v>
      </c>
      <c r="F1033">
        <f>Table1[[#This Row],[distance from 45-degree line]]/MAX(Table1[[Flux in SC / glucose uptake ($mmol/mmol\ glc$)]:[Flux in RT / glucose uptake ($mmol/mmol\ glc$)]])</f>
        <v>0</v>
      </c>
      <c r="G1033">
        <f>_xlfn.RANK.AVG(Table1[[#This Row],[Flux in SC / glucose uptake ($mmol/mmol\ glc$)]],Table1[Flux in SC / glucose uptake ($mmol/mmol\ glc$)])</f>
        <v>1310.5</v>
      </c>
      <c r="H1033">
        <f>_xlfn.RANK.AVG(Table1[[#This Row],[Flux in RT / glucose uptake ($mmol/mmol\ glc$)]],Table1[Flux in RT / glucose uptake ($mmol/mmol\ glc$)])</f>
        <v>1290.5</v>
      </c>
      <c r="I1033" t="e">
        <f>LOG(Table1[[#This Row],[Flux in SC / glucose uptake ($mmol/mmol\ glc$)]])</f>
        <v>#NUM!</v>
      </c>
      <c r="J1033" t="e">
        <f>LOG(Table1[[#This Row],[Flux in RT / glucose uptake ($mmol/mmol\ glc$)]])</f>
        <v>#NUM!</v>
      </c>
    </row>
    <row r="1034" spans="1:10" x14ac:dyDescent="0.2">
      <c r="A1034" t="s">
        <v>1037</v>
      </c>
      <c r="B1034" t="s">
        <v>3114</v>
      </c>
      <c r="C1034">
        <v>0</v>
      </c>
      <c r="D1034">
        <v>0</v>
      </c>
      <c r="E1034">
        <f>ABS(Table1[[#This Row],[Flux in SC / glucose uptake ($mmol/mmol\ glc$)]]-Table1[[#This Row],[Flux in RT / glucose uptake ($mmol/mmol\ glc$)]])/SQRT(2)</f>
        <v>0</v>
      </c>
      <c r="F1034">
        <f>Table1[[#This Row],[distance from 45-degree line]]/MAX(Table1[[Flux in SC / glucose uptake ($mmol/mmol\ glc$)]:[Flux in RT / glucose uptake ($mmol/mmol\ glc$)]])</f>
        <v>0</v>
      </c>
      <c r="G1034">
        <f>_xlfn.RANK.AVG(Table1[[#This Row],[Flux in SC / glucose uptake ($mmol/mmol\ glc$)]],Table1[Flux in SC / glucose uptake ($mmol/mmol\ glc$)])</f>
        <v>1310.5</v>
      </c>
      <c r="H1034">
        <f>_xlfn.RANK.AVG(Table1[[#This Row],[Flux in RT / glucose uptake ($mmol/mmol\ glc$)]],Table1[Flux in RT / glucose uptake ($mmol/mmol\ glc$)])</f>
        <v>1290.5</v>
      </c>
      <c r="I1034" t="e">
        <f>LOG(Table1[[#This Row],[Flux in SC / glucose uptake ($mmol/mmol\ glc$)]])</f>
        <v>#NUM!</v>
      </c>
      <c r="J1034" t="e">
        <f>LOG(Table1[[#This Row],[Flux in RT / glucose uptake ($mmol/mmol\ glc$)]])</f>
        <v>#NUM!</v>
      </c>
    </row>
    <row r="1035" spans="1:10" x14ac:dyDescent="0.2">
      <c r="A1035" t="s">
        <v>1038</v>
      </c>
      <c r="B1035" t="s">
        <v>3114</v>
      </c>
      <c r="C1035">
        <v>0</v>
      </c>
      <c r="D1035">
        <v>0</v>
      </c>
      <c r="E1035">
        <f>ABS(Table1[[#This Row],[Flux in SC / glucose uptake ($mmol/mmol\ glc$)]]-Table1[[#This Row],[Flux in RT / glucose uptake ($mmol/mmol\ glc$)]])/SQRT(2)</f>
        <v>0</v>
      </c>
      <c r="F1035">
        <f>Table1[[#This Row],[distance from 45-degree line]]/MAX(Table1[[Flux in SC / glucose uptake ($mmol/mmol\ glc$)]:[Flux in RT / glucose uptake ($mmol/mmol\ glc$)]])</f>
        <v>0</v>
      </c>
      <c r="G1035">
        <f>_xlfn.RANK.AVG(Table1[[#This Row],[Flux in SC / glucose uptake ($mmol/mmol\ glc$)]],Table1[Flux in SC / glucose uptake ($mmol/mmol\ glc$)])</f>
        <v>1310.5</v>
      </c>
      <c r="H1035">
        <f>_xlfn.RANK.AVG(Table1[[#This Row],[Flux in RT / glucose uptake ($mmol/mmol\ glc$)]],Table1[Flux in RT / glucose uptake ($mmol/mmol\ glc$)])</f>
        <v>1290.5</v>
      </c>
      <c r="I1035" t="e">
        <f>LOG(Table1[[#This Row],[Flux in SC / glucose uptake ($mmol/mmol\ glc$)]])</f>
        <v>#NUM!</v>
      </c>
      <c r="J1035" t="e">
        <f>LOG(Table1[[#This Row],[Flux in RT / glucose uptake ($mmol/mmol\ glc$)]])</f>
        <v>#NUM!</v>
      </c>
    </row>
    <row r="1036" spans="1:10" x14ac:dyDescent="0.2">
      <c r="A1036" t="s">
        <v>1039</v>
      </c>
      <c r="B1036" t="s">
        <v>3114</v>
      </c>
      <c r="C1036">
        <v>0</v>
      </c>
      <c r="D1036">
        <v>0</v>
      </c>
      <c r="E1036">
        <f>ABS(Table1[[#This Row],[Flux in SC / glucose uptake ($mmol/mmol\ glc$)]]-Table1[[#This Row],[Flux in RT / glucose uptake ($mmol/mmol\ glc$)]])/SQRT(2)</f>
        <v>0</v>
      </c>
      <c r="F1036">
        <f>Table1[[#This Row],[distance from 45-degree line]]/MAX(Table1[[Flux in SC / glucose uptake ($mmol/mmol\ glc$)]:[Flux in RT / glucose uptake ($mmol/mmol\ glc$)]])</f>
        <v>0</v>
      </c>
      <c r="G1036">
        <f>_xlfn.RANK.AVG(Table1[[#This Row],[Flux in SC / glucose uptake ($mmol/mmol\ glc$)]],Table1[Flux in SC / glucose uptake ($mmol/mmol\ glc$)])</f>
        <v>1310.5</v>
      </c>
      <c r="H1036">
        <f>_xlfn.RANK.AVG(Table1[[#This Row],[Flux in RT / glucose uptake ($mmol/mmol\ glc$)]],Table1[Flux in RT / glucose uptake ($mmol/mmol\ glc$)])</f>
        <v>1290.5</v>
      </c>
      <c r="I1036" t="e">
        <f>LOG(Table1[[#This Row],[Flux in SC / glucose uptake ($mmol/mmol\ glc$)]])</f>
        <v>#NUM!</v>
      </c>
      <c r="J1036" t="e">
        <f>LOG(Table1[[#This Row],[Flux in RT / glucose uptake ($mmol/mmol\ glc$)]])</f>
        <v>#NUM!</v>
      </c>
    </row>
    <row r="1037" spans="1:10" x14ac:dyDescent="0.2">
      <c r="A1037" t="s">
        <v>1040</v>
      </c>
      <c r="B1037" t="s">
        <v>3114</v>
      </c>
      <c r="C1037">
        <v>0</v>
      </c>
      <c r="D1037">
        <v>0</v>
      </c>
      <c r="E1037">
        <f>ABS(Table1[[#This Row],[Flux in SC / glucose uptake ($mmol/mmol\ glc$)]]-Table1[[#This Row],[Flux in RT / glucose uptake ($mmol/mmol\ glc$)]])/SQRT(2)</f>
        <v>0</v>
      </c>
      <c r="F1037">
        <f>Table1[[#This Row],[distance from 45-degree line]]/MAX(Table1[[Flux in SC / glucose uptake ($mmol/mmol\ glc$)]:[Flux in RT / glucose uptake ($mmol/mmol\ glc$)]])</f>
        <v>0</v>
      </c>
      <c r="G1037">
        <f>_xlfn.RANK.AVG(Table1[[#This Row],[Flux in SC / glucose uptake ($mmol/mmol\ glc$)]],Table1[Flux in SC / glucose uptake ($mmol/mmol\ glc$)])</f>
        <v>1310.5</v>
      </c>
      <c r="H1037">
        <f>_xlfn.RANK.AVG(Table1[[#This Row],[Flux in RT / glucose uptake ($mmol/mmol\ glc$)]],Table1[Flux in RT / glucose uptake ($mmol/mmol\ glc$)])</f>
        <v>1290.5</v>
      </c>
      <c r="I1037" t="e">
        <f>LOG(Table1[[#This Row],[Flux in SC / glucose uptake ($mmol/mmol\ glc$)]])</f>
        <v>#NUM!</v>
      </c>
      <c r="J1037" t="e">
        <f>LOG(Table1[[#This Row],[Flux in RT / glucose uptake ($mmol/mmol\ glc$)]])</f>
        <v>#NUM!</v>
      </c>
    </row>
    <row r="1038" spans="1:10" x14ac:dyDescent="0.2">
      <c r="A1038" t="s">
        <v>1041</v>
      </c>
      <c r="B1038" t="s">
        <v>3114</v>
      </c>
      <c r="C1038">
        <v>0</v>
      </c>
      <c r="D1038">
        <v>0</v>
      </c>
      <c r="E1038">
        <f>ABS(Table1[[#This Row],[Flux in SC / glucose uptake ($mmol/mmol\ glc$)]]-Table1[[#This Row],[Flux in RT / glucose uptake ($mmol/mmol\ glc$)]])/SQRT(2)</f>
        <v>0</v>
      </c>
      <c r="F1038">
        <f>Table1[[#This Row],[distance from 45-degree line]]/MAX(Table1[[Flux in SC / glucose uptake ($mmol/mmol\ glc$)]:[Flux in RT / glucose uptake ($mmol/mmol\ glc$)]])</f>
        <v>0</v>
      </c>
      <c r="G1038">
        <f>_xlfn.RANK.AVG(Table1[[#This Row],[Flux in SC / glucose uptake ($mmol/mmol\ glc$)]],Table1[Flux in SC / glucose uptake ($mmol/mmol\ glc$)])</f>
        <v>1310.5</v>
      </c>
      <c r="H1038">
        <f>_xlfn.RANK.AVG(Table1[[#This Row],[Flux in RT / glucose uptake ($mmol/mmol\ glc$)]],Table1[Flux in RT / glucose uptake ($mmol/mmol\ glc$)])</f>
        <v>1290.5</v>
      </c>
      <c r="I1038" t="e">
        <f>LOG(Table1[[#This Row],[Flux in SC / glucose uptake ($mmol/mmol\ glc$)]])</f>
        <v>#NUM!</v>
      </c>
      <c r="J1038" t="e">
        <f>LOG(Table1[[#This Row],[Flux in RT / glucose uptake ($mmol/mmol\ glc$)]])</f>
        <v>#NUM!</v>
      </c>
    </row>
    <row r="1039" spans="1:10" x14ac:dyDescent="0.2">
      <c r="A1039" t="s">
        <v>1042</v>
      </c>
      <c r="B1039" t="s">
        <v>3135</v>
      </c>
      <c r="C1039">
        <v>0</v>
      </c>
      <c r="D1039">
        <v>0</v>
      </c>
      <c r="E1039">
        <f>ABS(Table1[[#This Row],[Flux in SC / glucose uptake ($mmol/mmol\ glc$)]]-Table1[[#This Row],[Flux in RT / glucose uptake ($mmol/mmol\ glc$)]])/SQRT(2)</f>
        <v>0</v>
      </c>
      <c r="F1039">
        <f>Table1[[#This Row],[distance from 45-degree line]]/MAX(Table1[[Flux in SC / glucose uptake ($mmol/mmol\ glc$)]:[Flux in RT / glucose uptake ($mmol/mmol\ glc$)]])</f>
        <v>0</v>
      </c>
      <c r="G1039">
        <f>_xlfn.RANK.AVG(Table1[[#This Row],[Flux in SC / glucose uptake ($mmol/mmol\ glc$)]],Table1[Flux in SC / glucose uptake ($mmol/mmol\ glc$)])</f>
        <v>1310.5</v>
      </c>
      <c r="H1039">
        <f>_xlfn.RANK.AVG(Table1[[#This Row],[Flux in RT / glucose uptake ($mmol/mmol\ glc$)]],Table1[Flux in RT / glucose uptake ($mmol/mmol\ glc$)])</f>
        <v>1290.5</v>
      </c>
      <c r="I1039" t="e">
        <f>LOG(Table1[[#This Row],[Flux in SC / glucose uptake ($mmol/mmol\ glc$)]])</f>
        <v>#NUM!</v>
      </c>
      <c r="J1039" t="e">
        <f>LOG(Table1[[#This Row],[Flux in RT / glucose uptake ($mmol/mmol\ glc$)]])</f>
        <v>#NUM!</v>
      </c>
    </row>
    <row r="1040" spans="1:10" x14ac:dyDescent="0.2">
      <c r="A1040" t="s">
        <v>1043</v>
      </c>
      <c r="B1040" t="s">
        <v>3123</v>
      </c>
      <c r="C1040">
        <v>0</v>
      </c>
      <c r="D1040">
        <v>0</v>
      </c>
      <c r="E1040">
        <f>ABS(Table1[[#This Row],[Flux in SC / glucose uptake ($mmol/mmol\ glc$)]]-Table1[[#This Row],[Flux in RT / glucose uptake ($mmol/mmol\ glc$)]])/SQRT(2)</f>
        <v>0</v>
      </c>
      <c r="F1040">
        <f>Table1[[#This Row],[distance from 45-degree line]]/MAX(Table1[[Flux in SC / glucose uptake ($mmol/mmol\ glc$)]:[Flux in RT / glucose uptake ($mmol/mmol\ glc$)]])</f>
        <v>0</v>
      </c>
      <c r="G1040">
        <f>_xlfn.RANK.AVG(Table1[[#This Row],[Flux in SC / glucose uptake ($mmol/mmol\ glc$)]],Table1[Flux in SC / glucose uptake ($mmol/mmol\ glc$)])</f>
        <v>1310.5</v>
      </c>
      <c r="H1040">
        <f>_xlfn.RANK.AVG(Table1[[#This Row],[Flux in RT / glucose uptake ($mmol/mmol\ glc$)]],Table1[Flux in RT / glucose uptake ($mmol/mmol\ glc$)])</f>
        <v>1290.5</v>
      </c>
      <c r="I1040" t="e">
        <f>LOG(Table1[[#This Row],[Flux in SC / glucose uptake ($mmol/mmol\ glc$)]])</f>
        <v>#NUM!</v>
      </c>
      <c r="J1040" t="e">
        <f>LOG(Table1[[#This Row],[Flux in RT / glucose uptake ($mmol/mmol\ glc$)]])</f>
        <v>#NUM!</v>
      </c>
    </row>
    <row r="1041" spans="1:10" x14ac:dyDescent="0.2">
      <c r="A1041" t="s">
        <v>1044</v>
      </c>
      <c r="B1041" t="s">
        <v>3135</v>
      </c>
      <c r="C1041">
        <v>0</v>
      </c>
      <c r="D1041">
        <v>0</v>
      </c>
      <c r="E1041">
        <f>ABS(Table1[[#This Row],[Flux in SC / glucose uptake ($mmol/mmol\ glc$)]]-Table1[[#This Row],[Flux in RT / glucose uptake ($mmol/mmol\ glc$)]])/SQRT(2)</f>
        <v>0</v>
      </c>
      <c r="F1041">
        <f>Table1[[#This Row],[distance from 45-degree line]]/MAX(Table1[[Flux in SC / glucose uptake ($mmol/mmol\ glc$)]:[Flux in RT / glucose uptake ($mmol/mmol\ glc$)]])</f>
        <v>0</v>
      </c>
      <c r="G1041">
        <f>_xlfn.RANK.AVG(Table1[[#This Row],[Flux in SC / glucose uptake ($mmol/mmol\ glc$)]],Table1[Flux in SC / glucose uptake ($mmol/mmol\ glc$)])</f>
        <v>1310.5</v>
      </c>
      <c r="H1041">
        <f>_xlfn.RANK.AVG(Table1[[#This Row],[Flux in RT / glucose uptake ($mmol/mmol\ glc$)]],Table1[Flux in RT / glucose uptake ($mmol/mmol\ glc$)])</f>
        <v>1290.5</v>
      </c>
      <c r="I1041" t="e">
        <f>LOG(Table1[[#This Row],[Flux in SC / glucose uptake ($mmol/mmol\ glc$)]])</f>
        <v>#NUM!</v>
      </c>
      <c r="J1041" t="e">
        <f>LOG(Table1[[#This Row],[Flux in RT / glucose uptake ($mmol/mmol\ glc$)]])</f>
        <v>#NUM!</v>
      </c>
    </row>
    <row r="1042" spans="1:10" x14ac:dyDescent="0.2">
      <c r="A1042" t="s">
        <v>1045</v>
      </c>
      <c r="B1042" t="s">
        <v>3123</v>
      </c>
      <c r="C1042">
        <v>0</v>
      </c>
      <c r="D1042">
        <v>0</v>
      </c>
      <c r="E1042">
        <f>ABS(Table1[[#This Row],[Flux in SC / glucose uptake ($mmol/mmol\ glc$)]]-Table1[[#This Row],[Flux in RT / glucose uptake ($mmol/mmol\ glc$)]])/SQRT(2)</f>
        <v>0</v>
      </c>
      <c r="F1042">
        <f>Table1[[#This Row],[distance from 45-degree line]]/MAX(Table1[[Flux in SC / glucose uptake ($mmol/mmol\ glc$)]:[Flux in RT / glucose uptake ($mmol/mmol\ glc$)]])</f>
        <v>0</v>
      </c>
      <c r="G1042">
        <f>_xlfn.RANK.AVG(Table1[[#This Row],[Flux in SC / glucose uptake ($mmol/mmol\ glc$)]],Table1[Flux in SC / glucose uptake ($mmol/mmol\ glc$)])</f>
        <v>1310.5</v>
      </c>
      <c r="H1042">
        <f>_xlfn.RANK.AVG(Table1[[#This Row],[Flux in RT / glucose uptake ($mmol/mmol\ glc$)]],Table1[Flux in RT / glucose uptake ($mmol/mmol\ glc$)])</f>
        <v>1290.5</v>
      </c>
      <c r="I1042" t="e">
        <f>LOG(Table1[[#This Row],[Flux in SC / glucose uptake ($mmol/mmol\ glc$)]])</f>
        <v>#NUM!</v>
      </c>
      <c r="J1042" t="e">
        <f>LOG(Table1[[#This Row],[Flux in RT / glucose uptake ($mmol/mmol\ glc$)]])</f>
        <v>#NUM!</v>
      </c>
    </row>
    <row r="1043" spans="1:10" x14ac:dyDescent="0.2">
      <c r="A1043" t="s">
        <v>1046</v>
      </c>
      <c r="B1043" t="s">
        <v>3135</v>
      </c>
      <c r="C1043">
        <v>0</v>
      </c>
      <c r="D1043">
        <v>0</v>
      </c>
      <c r="E1043">
        <f>ABS(Table1[[#This Row],[Flux in SC / glucose uptake ($mmol/mmol\ glc$)]]-Table1[[#This Row],[Flux in RT / glucose uptake ($mmol/mmol\ glc$)]])/SQRT(2)</f>
        <v>0</v>
      </c>
      <c r="F1043">
        <f>Table1[[#This Row],[distance from 45-degree line]]/MAX(Table1[[Flux in SC / glucose uptake ($mmol/mmol\ glc$)]:[Flux in RT / glucose uptake ($mmol/mmol\ glc$)]])</f>
        <v>0</v>
      </c>
      <c r="G1043">
        <f>_xlfn.RANK.AVG(Table1[[#This Row],[Flux in SC / glucose uptake ($mmol/mmol\ glc$)]],Table1[Flux in SC / glucose uptake ($mmol/mmol\ glc$)])</f>
        <v>1310.5</v>
      </c>
      <c r="H1043">
        <f>_xlfn.RANK.AVG(Table1[[#This Row],[Flux in RT / glucose uptake ($mmol/mmol\ glc$)]],Table1[Flux in RT / glucose uptake ($mmol/mmol\ glc$)])</f>
        <v>1290.5</v>
      </c>
      <c r="I1043" t="e">
        <f>LOG(Table1[[#This Row],[Flux in SC / glucose uptake ($mmol/mmol\ glc$)]])</f>
        <v>#NUM!</v>
      </c>
      <c r="J1043" t="e">
        <f>LOG(Table1[[#This Row],[Flux in RT / glucose uptake ($mmol/mmol\ glc$)]])</f>
        <v>#NUM!</v>
      </c>
    </row>
    <row r="1044" spans="1:10" x14ac:dyDescent="0.2">
      <c r="A1044" t="s">
        <v>1047</v>
      </c>
      <c r="B1044" t="s">
        <v>3123</v>
      </c>
      <c r="C1044">
        <v>0</v>
      </c>
      <c r="D1044">
        <v>0</v>
      </c>
      <c r="E1044">
        <f>ABS(Table1[[#This Row],[Flux in SC / glucose uptake ($mmol/mmol\ glc$)]]-Table1[[#This Row],[Flux in RT / glucose uptake ($mmol/mmol\ glc$)]])/SQRT(2)</f>
        <v>0</v>
      </c>
      <c r="F1044">
        <f>Table1[[#This Row],[distance from 45-degree line]]/MAX(Table1[[Flux in SC / glucose uptake ($mmol/mmol\ glc$)]:[Flux in RT / glucose uptake ($mmol/mmol\ glc$)]])</f>
        <v>0</v>
      </c>
      <c r="G1044">
        <f>_xlfn.RANK.AVG(Table1[[#This Row],[Flux in SC / glucose uptake ($mmol/mmol\ glc$)]],Table1[Flux in SC / glucose uptake ($mmol/mmol\ glc$)])</f>
        <v>1310.5</v>
      </c>
      <c r="H1044">
        <f>_xlfn.RANK.AVG(Table1[[#This Row],[Flux in RT / glucose uptake ($mmol/mmol\ glc$)]],Table1[Flux in RT / glucose uptake ($mmol/mmol\ glc$)])</f>
        <v>1290.5</v>
      </c>
      <c r="I1044" t="e">
        <f>LOG(Table1[[#This Row],[Flux in SC / glucose uptake ($mmol/mmol\ glc$)]])</f>
        <v>#NUM!</v>
      </c>
      <c r="J1044" t="e">
        <f>LOG(Table1[[#This Row],[Flux in RT / glucose uptake ($mmol/mmol\ glc$)]])</f>
        <v>#NUM!</v>
      </c>
    </row>
    <row r="1045" spans="1:10" x14ac:dyDescent="0.2">
      <c r="A1045" t="s">
        <v>1048</v>
      </c>
      <c r="B1045" t="s">
        <v>3135</v>
      </c>
      <c r="C1045">
        <v>0</v>
      </c>
      <c r="D1045">
        <v>0</v>
      </c>
      <c r="E1045">
        <f>ABS(Table1[[#This Row],[Flux in SC / glucose uptake ($mmol/mmol\ glc$)]]-Table1[[#This Row],[Flux in RT / glucose uptake ($mmol/mmol\ glc$)]])/SQRT(2)</f>
        <v>0</v>
      </c>
      <c r="F1045">
        <f>Table1[[#This Row],[distance from 45-degree line]]/MAX(Table1[[Flux in SC / glucose uptake ($mmol/mmol\ glc$)]:[Flux in RT / glucose uptake ($mmol/mmol\ glc$)]])</f>
        <v>0</v>
      </c>
      <c r="G1045">
        <f>_xlfn.RANK.AVG(Table1[[#This Row],[Flux in SC / glucose uptake ($mmol/mmol\ glc$)]],Table1[Flux in SC / glucose uptake ($mmol/mmol\ glc$)])</f>
        <v>1310.5</v>
      </c>
      <c r="H1045">
        <f>_xlfn.RANK.AVG(Table1[[#This Row],[Flux in RT / glucose uptake ($mmol/mmol\ glc$)]],Table1[Flux in RT / glucose uptake ($mmol/mmol\ glc$)])</f>
        <v>1290.5</v>
      </c>
      <c r="I1045" t="e">
        <f>LOG(Table1[[#This Row],[Flux in SC / glucose uptake ($mmol/mmol\ glc$)]])</f>
        <v>#NUM!</v>
      </c>
      <c r="J1045" t="e">
        <f>LOG(Table1[[#This Row],[Flux in RT / glucose uptake ($mmol/mmol\ glc$)]])</f>
        <v>#NUM!</v>
      </c>
    </row>
    <row r="1046" spans="1:10" x14ac:dyDescent="0.2">
      <c r="A1046" t="s">
        <v>1049</v>
      </c>
      <c r="B1046" t="s">
        <v>3123</v>
      </c>
      <c r="C1046">
        <v>0</v>
      </c>
      <c r="D1046">
        <v>0</v>
      </c>
      <c r="E1046">
        <f>ABS(Table1[[#This Row],[Flux in SC / glucose uptake ($mmol/mmol\ glc$)]]-Table1[[#This Row],[Flux in RT / glucose uptake ($mmol/mmol\ glc$)]])/SQRT(2)</f>
        <v>0</v>
      </c>
      <c r="F1046">
        <f>Table1[[#This Row],[distance from 45-degree line]]/MAX(Table1[[Flux in SC / glucose uptake ($mmol/mmol\ glc$)]:[Flux in RT / glucose uptake ($mmol/mmol\ glc$)]])</f>
        <v>0</v>
      </c>
      <c r="G1046">
        <f>_xlfn.RANK.AVG(Table1[[#This Row],[Flux in SC / glucose uptake ($mmol/mmol\ glc$)]],Table1[Flux in SC / glucose uptake ($mmol/mmol\ glc$)])</f>
        <v>1310.5</v>
      </c>
      <c r="H1046">
        <f>_xlfn.RANK.AVG(Table1[[#This Row],[Flux in RT / glucose uptake ($mmol/mmol\ glc$)]],Table1[Flux in RT / glucose uptake ($mmol/mmol\ glc$)])</f>
        <v>1290.5</v>
      </c>
      <c r="I1046" t="e">
        <f>LOG(Table1[[#This Row],[Flux in SC / glucose uptake ($mmol/mmol\ glc$)]])</f>
        <v>#NUM!</v>
      </c>
      <c r="J1046" t="e">
        <f>LOG(Table1[[#This Row],[Flux in RT / glucose uptake ($mmol/mmol\ glc$)]])</f>
        <v>#NUM!</v>
      </c>
    </row>
    <row r="1047" spans="1:10" x14ac:dyDescent="0.2">
      <c r="A1047" t="s">
        <v>1050</v>
      </c>
      <c r="B1047" t="s">
        <v>3135</v>
      </c>
      <c r="C1047">
        <v>0</v>
      </c>
      <c r="D1047">
        <v>0</v>
      </c>
      <c r="E1047">
        <f>ABS(Table1[[#This Row],[Flux in SC / glucose uptake ($mmol/mmol\ glc$)]]-Table1[[#This Row],[Flux in RT / glucose uptake ($mmol/mmol\ glc$)]])/SQRT(2)</f>
        <v>0</v>
      </c>
      <c r="F1047">
        <f>Table1[[#This Row],[distance from 45-degree line]]/MAX(Table1[[Flux in SC / glucose uptake ($mmol/mmol\ glc$)]:[Flux in RT / glucose uptake ($mmol/mmol\ glc$)]])</f>
        <v>0</v>
      </c>
      <c r="G1047">
        <f>_xlfn.RANK.AVG(Table1[[#This Row],[Flux in SC / glucose uptake ($mmol/mmol\ glc$)]],Table1[Flux in SC / glucose uptake ($mmol/mmol\ glc$)])</f>
        <v>1310.5</v>
      </c>
      <c r="H1047">
        <f>_xlfn.RANK.AVG(Table1[[#This Row],[Flux in RT / glucose uptake ($mmol/mmol\ glc$)]],Table1[Flux in RT / glucose uptake ($mmol/mmol\ glc$)])</f>
        <v>1290.5</v>
      </c>
      <c r="I1047" t="e">
        <f>LOG(Table1[[#This Row],[Flux in SC / glucose uptake ($mmol/mmol\ glc$)]])</f>
        <v>#NUM!</v>
      </c>
      <c r="J1047" t="e">
        <f>LOG(Table1[[#This Row],[Flux in RT / glucose uptake ($mmol/mmol\ glc$)]])</f>
        <v>#NUM!</v>
      </c>
    </row>
    <row r="1048" spans="1:10" x14ac:dyDescent="0.2">
      <c r="A1048" t="s">
        <v>1051</v>
      </c>
      <c r="B1048" t="s">
        <v>3123</v>
      </c>
      <c r="C1048">
        <v>0</v>
      </c>
      <c r="D1048">
        <v>0</v>
      </c>
      <c r="E1048">
        <f>ABS(Table1[[#This Row],[Flux in SC / glucose uptake ($mmol/mmol\ glc$)]]-Table1[[#This Row],[Flux in RT / glucose uptake ($mmol/mmol\ glc$)]])/SQRT(2)</f>
        <v>0</v>
      </c>
      <c r="F1048">
        <f>Table1[[#This Row],[distance from 45-degree line]]/MAX(Table1[[Flux in SC / glucose uptake ($mmol/mmol\ glc$)]:[Flux in RT / glucose uptake ($mmol/mmol\ glc$)]])</f>
        <v>0</v>
      </c>
      <c r="G1048">
        <f>_xlfn.RANK.AVG(Table1[[#This Row],[Flux in SC / glucose uptake ($mmol/mmol\ glc$)]],Table1[Flux in SC / glucose uptake ($mmol/mmol\ glc$)])</f>
        <v>1310.5</v>
      </c>
      <c r="H1048">
        <f>_xlfn.RANK.AVG(Table1[[#This Row],[Flux in RT / glucose uptake ($mmol/mmol\ glc$)]],Table1[Flux in RT / glucose uptake ($mmol/mmol\ glc$)])</f>
        <v>1290.5</v>
      </c>
      <c r="I1048" t="e">
        <f>LOG(Table1[[#This Row],[Flux in SC / glucose uptake ($mmol/mmol\ glc$)]])</f>
        <v>#NUM!</v>
      </c>
      <c r="J1048" t="e">
        <f>LOG(Table1[[#This Row],[Flux in RT / glucose uptake ($mmol/mmol\ glc$)]])</f>
        <v>#NUM!</v>
      </c>
    </row>
    <row r="1049" spans="1:10" x14ac:dyDescent="0.2">
      <c r="A1049" t="s">
        <v>1052</v>
      </c>
      <c r="B1049" t="s">
        <v>3135</v>
      </c>
      <c r="C1049">
        <v>0</v>
      </c>
      <c r="D1049">
        <v>0</v>
      </c>
      <c r="E1049">
        <f>ABS(Table1[[#This Row],[Flux in SC / glucose uptake ($mmol/mmol\ glc$)]]-Table1[[#This Row],[Flux in RT / glucose uptake ($mmol/mmol\ glc$)]])/SQRT(2)</f>
        <v>0</v>
      </c>
      <c r="F1049">
        <f>Table1[[#This Row],[distance from 45-degree line]]/MAX(Table1[[Flux in SC / glucose uptake ($mmol/mmol\ glc$)]:[Flux in RT / glucose uptake ($mmol/mmol\ glc$)]])</f>
        <v>0</v>
      </c>
      <c r="G1049">
        <f>_xlfn.RANK.AVG(Table1[[#This Row],[Flux in SC / glucose uptake ($mmol/mmol\ glc$)]],Table1[Flux in SC / glucose uptake ($mmol/mmol\ glc$)])</f>
        <v>1310.5</v>
      </c>
      <c r="H1049">
        <f>_xlfn.RANK.AVG(Table1[[#This Row],[Flux in RT / glucose uptake ($mmol/mmol\ glc$)]],Table1[Flux in RT / glucose uptake ($mmol/mmol\ glc$)])</f>
        <v>1290.5</v>
      </c>
      <c r="I1049" t="e">
        <f>LOG(Table1[[#This Row],[Flux in SC / glucose uptake ($mmol/mmol\ glc$)]])</f>
        <v>#NUM!</v>
      </c>
      <c r="J1049" t="e">
        <f>LOG(Table1[[#This Row],[Flux in RT / glucose uptake ($mmol/mmol\ glc$)]])</f>
        <v>#NUM!</v>
      </c>
    </row>
    <row r="1050" spans="1:10" x14ac:dyDescent="0.2">
      <c r="A1050" t="s">
        <v>1053</v>
      </c>
      <c r="B1050" t="s">
        <v>3123</v>
      </c>
      <c r="C1050">
        <v>0</v>
      </c>
      <c r="D1050">
        <v>0</v>
      </c>
      <c r="E1050">
        <f>ABS(Table1[[#This Row],[Flux in SC / glucose uptake ($mmol/mmol\ glc$)]]-Table1[[#This Row],[Flux in RT / glucose uptake ($mmol/mmol\ glc$)]])/SQRT(2)</f>
        <v>0</v>
      </c>
      <c r="F1050">
        <f>Table1[[#This Row],[distance from 45-degree line]]/MAX(Table1[[Flux in SC / glucose uptake ($mmol/mmol\ glc$)]:[Flux in RT / glucose uptake ($mmol/mmol\ glc$)]])</f>
        <v>0</v>
      </c>
      <c r="G1050">
        <f>_xlfn.RANK.AVG(Table1[[#This Row],[Flux in SC / glucose uptake ($mmol/mmol\ glc$)]],Table1[Flux in SC / glucose uptake ($mmol/mmol\ glc$)])</f>
        <v>1310.5</v>
      </c>
      <c r="H1050">
        <f>_xlfn.RANK.AVG(Table1[[#This Row],[Flux in RT / glucose uptake ($mmol/mmol\ glc$)]],Table1[Flux in RT / glucose uptake ($mmol/mmol\ glc$)])</f>
        <v>1290.5</v>
      </c>
      <c r="I1050" t="e">
        <f>LOG(Table1[[#This Row],[Flux in SC / glucose uptake ($mmol/mmol\ glc$)]])</f>
        <v>#NUM!</v>
      </c>
      <c r="J1050" t="e">
        <f>LOG(Table1[[#This Row],[Flux in RT / glucose uptake ($mmol/mmol\ glc$)]])</f>
        <v>#NUM!</v>
      </c>
    </row>
    <row r="1051" spans="1:10" x14ac:dyDescent="0.2">
      <c r="A1051" t="s">
        <v>1054</v>
      </c>
      <c r="B1051" t="s">
        <v>3135</v>
      </c>
      <c r="C1051">
        <v>0</v>
      </c>
      <c r="D1051">
        <v>0</v>
      </c>
      <c r="E1051">
        <f>ABS(Table1[[#This Row],[Flux in SC / glucose uptake ($mmol/mmol\ glc$)]]-Table1[[#This Row],[Flux in RT / glucose uptake ($mmol/mmol\ glc$)]])/SQRT(2)</f>
        <v>0</v>
      </c>
      <c r="F1051">
        <f>Table1[[#This Row],[distance from 45-degree line]]/MAX(Table1[[Flux in SC / glucose uptake ($mmol/mmol\ glc$)]:[Flux in RT / glucose uptake ($mmol/mmol\ glc$)]])</f>
        <v>0</v>
      </c>
      <c r="G1051">
        <f>_xlfn.RANK.AVG(Table1[[#This Row],[Flux in SC / glucose uptake ($mmol/mmol\ glc$)]],Table1[Flux in SC / glucose uptake ($mmol/mmol\ glc$)])</f>
        <v>1310.5</v>
      </c>
      <c r="H1051">
        <f>_xlfn.RANK.AVG(Table1[[#This Row],[Flux in RT / glucose uptake ($mmol/mmol\ glc$)]],Table1[Flux in RT / glucose uptake ($mmol/mmol\ glc$)])</f>
        <v>1290.5</v>
      </c>
      <c r="I1051" t="e">
        <f>LOG(Table1[[#This Row],[Flux in SC / glucose uptake ($mmol/mmol\ glc$)]])</f>
        <v>#NUM!</v>
      </c>
      <c r="J1051" t="e">
        <f>LOG(Table1[[#This Row],[Flux in RT / glucose uptake ($mmol/mmol\ glc$)]])</f>
        <v>#NUM!</v>
      </c>
    </row>
    <row r="1052" spans="1:10" x14ac:dyDescent="0.2">
      <c r="A1052" t="s">
        <v>1055</v>
      </c>
      <c r="B1052" t="s">
        <v>3123</v>
      </c>
      <c r="C1052">
        <v>0</v>
      </c>
      <c r="D1052">
        <v>0</v>
      </c>
      <c r="E1052">
        <f>ABS(Table1[[#This Row],[Flux in SC / glucose uptake ($mmol/mmol\ glc$)]]-Table1[[#This Row],[Flux in RT / glucose uptake ($mmol/mmol\ glc$)]])/SQRT(2)</f>
        <v>0</v>
      </c>
      <c r="F1052">
        <f>Table1[[#This Row],[distance from 45-degree line]]/MAX(Table1[[Flux in SC / glucose uptake ($mmol/mmol\ glc$)]:[Flux in RT / glucose uptake ($mmol/mmol\ glc$)]])</f>
        <v>0</v>
      </c>
      <c r="G1052">
        <f>_xlfn.RANK.AVG(Table1[[#This Row],[Flux in SC / glucose uptake ($mmol/mmol\ glc$)]],Table1[Flux in SC / glucose uptake ($mmol/mmol\ glc$)])</f>
        <v>1310.5</v>
      </c>
      <c r="H1052">
        <f>_xlfn.RANK.AVG(Table1[[#This Row],[Flux in RT / glucose uptake ($mmol/mmol\ glc$)]],Table1[Flux in RT / glucose uptake ($mmol/mmol\ glc$)])</f>
        <v>1290.5</v>
      </c>
      <c r="I1052" t="e">
        <f>LOG(Table1[[#This Row],[Flux in SC / glucose uptake ($mmol/mmol\ glc$)]])</f>
        <v>#NUM!</v>
      </c>
      <c r="J1052" t="e">
        <f>LOG(Table1[[#This Row],[Flux in RT / glucose uptake ($mmol/mmol\ glc$)]])</f>
        <v>#NUM!</v>
      </c>
    </row>
    <row r="1053" spans="1:10" x14ac:dyDescent="0.2">
      <c r="A1053" t="s">
        <v>1056</v>
      </c>
      <c r="B1053" t="s">
        <v>3135</v>
      </c>
      <c r="C1053">
        <v>0</v>
      </c>
      <c r="D1053">
        <v>0</v>
      </c>
      <c r="E1053">
        <f>ABS(Table1[[#This Row],[Flux in SC / glucose uptake ($mmol/mmol\ glc$)]]-Table1[[#This Row],[Flux in RT / glucose uptake ($mmol/mmol\ glc$)]])/SQRT(2)</f>
        <v>0</v>
      </c>
      <c r="F1053">
        <f>Table1[[#This Row],[distance from 45-degree line]]/MAX(Table1[[Flux in SC / glucose uptake ($mmol/mmol\ glc$)]:[Flux in RT / glucose uptake ($mmol/mmol\ glc$)]])</f>
        <v>0</v>
      </c>
      <c r="G1053">
        <f>_xlfn.RANK.AVG(Table1[[#This Row],[Flux in SC / glucose uptake ($mmol/mmol\ glc$)]],Table1[Flux in SC / glucose uptake ($mmol/mmol\ glc$)])</f>
        <v>1310.5</v>
      </c>
      <c r="H1053">
        <f>_xlfn.RANK.AVG(Table1[[#This Row],[Flux in RT / glucose uptake ($mmol/mmol\ glc$)]],Table1[Flux in RT / glucose uptake ($mmol/mmol\ glc$)])</f>
        <v>1290.5</v>
      </c>
      <c r="I1053" t="e">
        <f>LOG(Table1[[#This Row],[Flux in SC / glucose uptake ($mmol/mmol\ glc$)]])</f>
        <v>#NUM!</v>
      </c>
      <c r="J1053" t="e">
        <f>LOG(Table1[[#This Row],[Flux in RT / glucose uptake ($mmol/mmol\ glc$)]])</f>
        <v>#NUM!</v>
      </c>
    </row>
    <row r="1054" spans="1:10" x14ac:dyDescent="0.2">
      <c r="A1054" t="s">
        <v>1057</v>
      </c>
      <c r="B1054" t="s">
        <v>3123</v>
      </c>
      <c r="C1054">
        <v>0</v>
      </c>
      <c r="D1054">
        <v>0</v>
      </c>
      <c r="E1054">
        <f>ABS(Table1[[#This Row],[Flux in SC / glucose uptake ($mmol/mmol\ glc$)]]-Table1[[#This Row],[Flux in RT / glucose uptake ($mmol/mmol\ glc$)]])/SQRT(2)</f>
        <v>0</v>
      </c>
      <c r="F1054">
        <f>Table1[[#This Row],[distance from 45-degree line]]/MAX(Table1[[Flux in SC / glucose uptake ($mmol/mmol\ glc$)]:[Flux in RT / glucose uptake ($mmol/mmol\ glc$)]])</f>
        <v>0</v>
      </c>
      <c r="G1054">
        <f>_xlfn.RANK.AVG(Table1[[#This Row],[Flux in SC / glucose uptake ($mmol/mmol\ glc$)]],Table1[Flux in SC / glucose uptake ($mmol/mmol\ glc$)])</f>
        <v>1310.5</v>
      </c>
      <c r="H1054">
        <f>_xlfn.RANK.AVG(Table1[[#This Row],[Flux in RT / glucose uptake ($mmol/mmol\ glc$)]],Table1[Flux in RT / glucose uptake ($mmol/mmol\ glc$)])</f>
        <v>1290.5</v>
      </c>
      <c r="I1054" t="e">
        <f>LOG(Table1[[#This Row],[Flux in SC / glucose uptake ($mmol/mmol\ glc$)]])</f>
        <v>#NUM!</v>
      </c>
      <c r="J1054" t="e">
        <f>LOG(Table1[[#This Row],[Flux in RT / glucose uptake ($mmol/mmol\ glc$)]])</f>
        <v>#NUM!</v>
      </c>
    </row>
    <row r="1055" spans="1:10" x14ac:dyDescent="0.2">
      <c r="A1055" t="s">
        <v>1058</v>
      </c>
      <c r="B1055" t="s">
        <v>3135</v>
      </c>
      <c r="C1055">
        <v>0</v>
      </c>
      <c r="D1055">
        <v>0</v>
      </c>
      <c r="E1055">
        <f>ABS(Table1[[#This Row],[Flux in SC / glucose uptake ($mmol/mmol\ glc$)]]-Table1[[#This Row],[Flux in RT / glucose uptake ($mmol/mmol\ glc$)]])/SQRT(2)</f>
        <v>0</v>
      </c>
      <c r="F1055">
        <f>Table1[[#This Row],[distance from 45-degree line]]/MAX(Table1[[Flux in SC / glucose uptake ($mmol/mmol\ glc$)]:[Flux in RT / glucose uptake ($mmol/mmol\ glc$)]])</f>
        <v>0</v>
      </c>
      <c r="G1055">
        <f>_xlfn.RANK.AVG(Table1[[#This Row],[Flux in SC / glucose uptake ($mmol/mmol\ glc$)]],Table1[Flux in SC / glucose uptake ($mmol/mmol\ glc$)])</f>
        <v>1310.5</v>
      </c>
      <c r="H1055">
        <f>_xlfn.RANK.AVG(Table1[[#This Row],[Flux in RT / glucose uptake ($mmol/mmol\ glc$)]],Table1[Flux in RT / glucose uptake ($mmol/mmol\ glc$)])</f>
        <v>1290.5</v>
      </c>
      <c r="I1055" t="e">
        <f>LOG(Table1[[#This Row],[Flux in SC / glucose uptake ($mmol/mmol\ glc$)]])</f>
        <v>#NUM!</v>
      </c>
      <c r="J1055" t="e">
        <f>LOG(Table1[[#This Row],[Flux in RT / glucose uptake ($mmol/mmol\ glc$)]])</f>
        <v>#NUM!</v>
      </c>
    </row>
    <row r="1056" spans="1:10" x14ac:dyDescent="0.2">
      <c r="A1056" t="s">
        <v>1059</v>
      </c>
      <c r="B1056" t="s">
        <v>3135</v>
      </c>
      <c r="C1056">
        <v>0</v>
      </c>
      <c r="D1056">
        <v>0</v>
      </c>
      <c r="E1056">
        <f>ABS(Table1[[#This Row],[Flux in SC / glucose uptake ($mmol/mmol\ glc$)]]-Table1[[#This Row],[Flux in RT / glucose uptake ($mmol/mmol\ glc$)]])/SQRT(2)</f>
        <v>0</v>
      </c>
      <c r="F1056">
        <f>Table1[[#This Row],[distance from 45-degree line]]/MAX(Table1[[Flux in SC / glucose uptake ($mmol/mmol\ glc$)]:[Flux in RT / glucose uptake ($mmol/mmol\ glc$)]])</f>
        <v>0</v>
      </c>
      <c r="G1056">
        <f>_xlfn.RANK.AVG(Table1[[#This Row],[Flux in SC / glucose uptake ($mmol/mmol\ glc$)]],Table1[Flux in SC / glucose uptake ($mmol/mmol\ glc$)])</f>
        <v>1310.5</v>
      </c>
      <c r="H1056">
        <f>_xlfn.RANK.AVG(Table1[[#This Row],[Flux in RT / glucose uptake ($mmol/mmol\ glc$)]],Table1[Flux in RT / glucose uptake ($mmol/mmol\ glc$)])</f>
        <v>1290.5</v>
      </c>
      <c r="I1056" t="e">
        <f>LOG(Table1[[#This Row],[Flux in SC / glucose uptake ($mmol/mmol\ glc$)]])</f>
        <v>#NUM!</v>
      </c>
      <c r="J1056" t="e">
        <f>LOG(Table1[[#This Row],[Flux in RT / glucose uptake ($mmol/mmol\ glc$)]])</f>
        <v>#NUM!</v>
      </c>
    </row>
    <row r="1057" spans="1:10" x14ac:dyDescent="0.2">
      <c r="A1057" t="s">
        <v>1060</v>
      </c>
      <c r="B1057" t="s">
        <v>3135</v>
      </c>
      <c r="C1057">
        <v>0</v>
      </c>
      <c r="D1057">
        <v>0</v>
      </c>
      <c r="E1057">
        <f>ABS(Table1[[#This Row],[Flux in SC / glucose uptake ($mmol/mmol\ glc$)]]-Table1[[#This Row],[Flux in RT / glucose uptake ($mmol/mmol\ glc$)]])/SQRT(2)</f>
        <v>0</v>
      </c>
      <c r="F1057">
        <f>Table1[[#This Row],[distance from 45-degree line]]/MAX(Table1[[Flux in SC / glucose uptake ($mmol/mmol\ glc$)]:[Flux in RT / glucose uptake ($mmol/mmol\ glc$)]])</f>
        <v>0</v>
      </c>
      <c r="G1057">
        <f>_xlfn.RANK.AVG(Table1[[#This Row],[Flux in SC / glucose uptake ($mmol/mmol\ glc$)]],Table1[Flux in SC / glucose uptake ($mmol/mmol\ glc$)])</f>
        <v>1310.5</v>
      </c>
      <c r="H1057">
        <f>_xlfn.RANK.AVG(Table1[[#This Row],[Flux in RT / glucose uptake ($mmol/mmol\ glc$)]],Table1[Flux in RT / glucose uptake ($mmol/mmol\ glc$)])</f>
        <v>1290.5</v>
      </c>
      <c r="I1057" t="e">
        <f>LOG(Table1[[#This Row],[Flux in SC / glucose uptake ($mmol/mmol\ glc$)]])</f>
        <v>#NUM!</v>
      </c>
      <c r="J1057" t="e">
        <f>LOG(Table1[[#This Row],[Flux in RT / glucose uptake ($mmol/mmol\ glc$)]])</f>
        <v>#NUM!</v>
      </c>
    </row>
    <row r="1058" spans="1:10" x14ac:dyDescent="0.2">
      <c r="A1058" t="s">
        <v>1061</v>
      </c>
      <c r="B1058" t="s">
        <v>3135</v>
      </c>
      <c r="C1058">
        <v>0</v>
      </c>
      <c r="D1058">
        <v>0</v>
      </c>
      <c r="E1058">
        <f>ABS(Table1[[#This Row],[Flux in SC / glucose uptake ($mmol/mmol\ glc$)]]-Table1[[#This Row],[Flux in RT / glucose uptake ($mmol/mmol\ glc$)]])/SQRT(2)</f>
        <v>0</v>
      </c>
      <c r="F1058">
        <f>Table1[[#This Row],[distance from 45-degree line]]/MAX(Table1[[Flux in SC / glucose uptake ($mmol/mmol\ glc$)]:[Flux in RT / glucose uptake ($mmol/mmol\ glc$)]])</f>
        <v>0</v>
      </c>
      <c r="G1058">
        <f>_xlfn.RANK.AVG(Table1[[#This Row],[Flux in SC / glucose uptake ($mmol/mmol\ glc$)]],Table1[Flux in SC / glucose uptake ($mmol/mmol\ glc$)])</f>
        <v>1310.5</v>
      </c>
      <c r="H1058">
        <f>_xlfn.RANK.AVG(Table1[[#This Row],[Flux in RT / glucose uptake ($mmol/mmol\ glc$)]],Table1[Flux in RT / glucose uptake ($mmol/mmol\ glc$)])</f>
        <v>1290.5</v>
      </c>
      <c r="I1058" t="e">
        <f>LOG(Table1[[#This Row],[Flux in SC / glucose uptake ($mmol/mmol\ glc$)]])</f>
        <v>#NUM!</v>
      </c>
      <c r="J1058" t="e">
        <f>LOG(Table1[[#This Row],[Flux in RT / glucose uptake ($mmol/mmol\ glc$)]])</f>
        <v>#NUM!</v>
      </c>
    </row>
    <row r="1059" spans="1:10" x14ac:dyDescent="0.2">
      <c r="A1059" t="s">
        <v>1062</v>
      </c>
      <c r="B1059" t="s">
        <v>3123</v>
      </c>
      <c r="C1059">
        <v>0</v>
      </c>
      <c r="D1059">
        <v>0</v>
      </c>
      <c r="E1059">
        <f>ABS(Table1[[#This Row],[Flux in SC / glucose uptake ($mmol/mmol\ glc$)]]-Table1[[#This Row],[Flux in RT / glucose uptake ($mmol/mmol\ glc$)]])/SQRT(2)</f>
        <v>0</v>
      </c>
      <c r="F1059">
        <f>Table1[[#This Row],[distance from 45-degree line]]/MAX(Table1[[Flux in SC / glucose uptake ($mmol/mmol\ glc$)]:[Flux in RT / glucose uptake ($mmol/mmol\ glc$)]])</f>
        <v>0</v>
      </c>
      <c r="G1059">
        <f>_xlfn.RANK.AVG(Table1[[#This Row],[Flux in SC / glucose uptake ($mmol/mmol\ glc$)]],Table1[Flux in SC / glucose uptake ($mmol/mmol\ glc$)])</f>
        <v>1310.5</v>
      </c>
      <c r="H1059">
        <f>_xlfn.RANK.AVG(Table1[[#This Row],[Flux in RT / glucose uptake ($mmol/mmol\ glc$)]],Table1[Flux in RT / glucose uptake ($mmol/mmol\ glc$)])</f>
        <v>1290.5</v>
      </c>
      <c r="I1059" t="e">
        <f>LOG(Table1[[#This Row],[Flux in SC / glucose uptake ($mmol/mmol\ glc$)]])</f>
        <v>#NUM!</v>
      </c>
      <c r="J1059" t="e">
        <f>LOG(Table1[[#This Row],[Flux in RT / glucose uptake ($mmol/mmol\ glc$)]])</f>
        <v>#NUM!</v>
      </c>
    </row>
    <row r="1060" spans="1:10" x14ac:dyDescent="0.2">
      <c r="A1060" t="s">
        <v>1063</v>
      </c>
      <c r="B1060" t="s">
        <v>3135</v>
      </c>
      <c r="C1060">
        <v>0</v>
      </c>
      <c r="D1060">
        <v>0</v>
      </c>
      <c r="E1060">
        <f>ABS(Table1[[#This Row],[Flux in SC / glucose uptake ($mmol/mmol\ glc$)]]-Table1[[#This Row],[Flux in RT / glucose uptake ($mmol/mmol\ glc$)]])/SQRT(2)</f>
        <v>0</v>
      </c>
      <c r="F1060">
        <f>Table1[[#This Row],[distance from 45-degree line]]/MAX(Table1[[Flux in SC / glucose uptake ($mmol/mmol\ glc$)]:[Flux in RT / glucose uptake ($mmol/mmol\ glc$)]])</f>
        <v>0</v>
      </c>
      <c r="G1060">
        <f>_xlfn.RANK.AVG(Table1[[#This Row],[Flux in SC / glucose uptake ($mmol/mmol\ glc$)]],Table1[Flux in SC / glucose uptake ($mmol/mmol\ glc$)])</f>
        <v>1310.5</v>
      </c>
      <c r="H1060">
        <f>_xlfn.RANK.AVG(Table1[[#This Row],[Flux in RT / glucose uptake ($mmol/mmol\ glc$)]],Table1[Flux in RT / glucose uptake ($mmol/mmol\ glc$)])</f>
        <v>1290.5</v>
      </c>
      <c r="I1060" t="e">
        <f>LOG(Table1[[#This Row],[Flux in SC / glucose uptake ($mmol/mmol\ glc$)]])</f>
        <v>#NUM!</v>
      </c>
      <c r="J1060" t="e">
        <f>LOG(Table1[[#This Row],[Flux in RT / glucose uptake ($mmol/mmol\ glc$)]])</f>
        <v>#NUM!</v>
      </c>
    </row>
    <row r="1061" spans="1:10" x14ac:dyDescent="0.2">
      <c r="A1061" t="s">
        <v>1064</v>
      </c>
      <c r="B1061" t="s">
        <v>3123</v>
      </c>
      <c r="C1061">
        <v>0</v>
      </c>
      <c r="D1061">
        <v>0</v>
      </c>
      <c r="E1061">
        <f>ABS(Table1[[#This Row],[Flux in SC / glucose uptake ($mmol/mmol\ glc$)]]-Table1[[#This Row],[Flux in RT / glucose uptake ($mmol/mmol\ glc$)]])/SQRT(2)</f>
        <v>0</v>
      </c>
      <c r="F1061">
        <f>Table1[[#This Row],[distance from 45-degree line]]/MAX(Table1[[Flux in SC / glucose uptake ($mmol/mmol\ glc$)]:[Flux in RT / glucose uptake ($mmol/mmol\ glc$)]])</f>
        <v>0</v>
      </c>
      <c r="G1061">
        <f>_xlfn.RANK.AVG(Table1[[#This Row],[Flux in SC / glucose uptake ($mmol/mmol\ glc$)]],Table1[Flux in SC / glucose uptake ($mmol/mmol\ glc$)])</f>
        <v>1310.5</v>
      </c>
      <c r="H1061">
        <f>_xlfn.RANK.AVG(Table1[[#This Row],[Flux in RT / glucose uptake ($mmol/mmol\ glc$)]],Table1[Flux in RT / glucose uptake ($mmol/mmol\ glc$)])</f>
        <v>1290.5</v>
      </c>
      <c r="I1061" t="e">
        <f>LOG(Table1[[#This Row],[Flux in SC / glucose uptake ($mmol/mmol\ glc$)]])</f>
        <v>#NUM!</v>
      </c>
      <c r="J1061" t="e">
        <f>LOG(Table1[[#This Row],[Flux in RT / glucose uptake ($mmol/mmol\ glc$)]])</f>
        <v>#NUM!</v>
      </c>
    </row>
    <row r="1062" spans="1:10" x14ac:dyDescent="0.2">
      <c r="A1062" t="s">
        <v>1065</v>
      </c>
      <c r="B1062" t="s">
        <v>3135</v>
      </c>
      <c r="C1062">
        <v>0</v>
      </c>
      <c r="D1062">
        <v>0</v>
      </c>
      <c r="E1062">
        <f>ABS(Table1[[#This Row],[Flux in SC / glucose uptake ($mmol/mmol\ glc$)]]-Table1[[#This Row],[Flux in RT / glucose uptake ($mmol/mmol\ glc$)]])/SQRT(2)</f>
        <v>0</v>
      </c>
      <c r="F1062">
        <f>Table1[[#This Row],[distance from 45-degree line]]/MAX(Table1[[Flux in SC / glucose uptake ($mmol/mmol\ glc$)]:[Flux in RT / glucose uptake ($mmol/mmol\ glc$)]])</f>
        <v>0</v>
      </c>
      <c r="G1062">
        <f>_xlfn.RANK.AVG(Table1[[#This Row],[Flux in SC / glucose uptake ($mmol/mmol\ glc$)]],Table1[Flux in SC / glucose uptake ($mmol/mmol\ glc$)])</f>
        <v>1310.5</v>
      </c>
      <c r="H1062">
        <f>_xlfn.RANK.AVG(Table1[[#This Row],[Flux in RT / glucose uptake ($mmol/mmol\ glc$)]],Table1[Flux in RT / glucose uptake ($mmol/mmol\ glc$)])</f>
        <v>1290.5</v>
      </c>
      <c r="I1062" t="e">
        <f>LOG(Table1[[#This Row],[Flux in SC / glucose uptake ($mmol/mmol\ glc$)]])</f>
        <v>#NUM!</v>
      </c>
      <c r="J1062" t="e">
        <f>LOG(Table1[[#This Row],[Flux in RT / glucose uptake ($mmol/mmol\ glc$)]])</f>
        <v>#NUM!</v>
      </c>
    </row>
    <row r="1063" spans="1:10" x14ac:dyDescent="0.2">
      <c r="A1063" t="s">
        <v>1066</v>
      </c>
      <c r="B1063" t="s">
        <v>3135</v>
      </c>
      <c r="C1063">
        <v>0</v>
      </c>
      <c r="D1063">
        <v>0</v>
      </c>
      <c r="E1063">
        <f>ABS(Table1[[#This Row],[Flux in SC / glucose uptake ($mmol/mmol\ glc$)]]-Table1[[#This Row],[Flux in RT / glucose uptake ($mmol/mmol\ glc$)]])/SQRT(2)</f>
        <v>0</v>
      </c>
      <c r="F1063">
        <f>Table1[[#This Row],[distance from 45-degree line]]/MAX(Table1[[Flux in SC / glucose uptake ($mmol/mmol\ glc$)]:[Flux in RT / glucose uptake ($mmol/mmol\ glc$)]])</f>
        <v>0</v>
      </c>
      <c r="G1063">
        <f>_xlfn.RANK.AVG(Table1[[#This Row],[Flux in SC / glucose uptake ($mmol/mmol\ glc$)]],Table1[Flux in SC / glucose uptake ($mmol/mmol\ glc$)])</f>
        <v>1310.5</v>
      </c>
      <c r="H1063">
        <f>_xlfn.RANK.AVG(Table1[[#This Row],[Flux in RT / glucose uptake ($mmol/mmol\ glc$)]],Table1[Flux in RT / glucose uptake ($mmol/mmol\ glc$)])</f>
        <v>1290.5</v>
      </c>
      <c r="I1063" t="e">
        <f>LOG(Table1[[#This Row],[Flux in SC / glucose uptake ($mmol/mmol\ glc$)]])</f>
        <v>#NUM!</v>
      </c>
      <c r="J1063" t="e">
        <f>LOG(Table1[[#This Row],[Flux in RT / glucose uptake ($mmol/mmol\ glc$)]])</f>
        <v>#NUM!</v>
      </c>
    </row>
    <row r="1064" spans="1:10" x14ac:dyDescent="0.2">
      <c r="A1064" t="s">
        <v>1067</v>
      </c>
      <c r="B1064" t="s">
        <v>3135</v>
      </c>
      <c r="C1064">
        <v>0</v>
      </c>
      <c r="D1064">
        <v>0</v>
      </c>
      <c r="E1064">
        <f>ABS(Table1[[#This Row],[Flux in SC / glucose uptake ($mmol/mmol\ glc$)]]-Table1[[#This Row],[Flux in RT / glucose uptake ($mmol/mmol\ glc$)]])/SQRT(2)</f>
        <v>0</v>
      </c>
      <c r="F1064">
        <f>Table1[[#This Row],[distance from 45-degree line]]/MAX(Table1[[Flux in SC / glucose uptake ($mmol/mmol\ glc$)]:[Flux in RT / glucose uptake ($mmol/mmol\ glc$)]])</f>
        <v>0</v>
      </c>
      <c r="G1064">
        <f>_xlfn.RANK.AVG(Table1[[#This Row],[Flux in SC / glucose uptake ($mmol/mmol\ glc$)]],Table1[Flux in SC / glucose uptake ($mmol/mmol\ glc$)])</f>
        <v>1310.5</v>
      </c>
      <c r="H1064">
        <f>_xlfn.RANK.AVG(Table1[[#This Row],[Flux in RT / glucose uptake ($mmol/mmol\ glc$)]],Table1[Flux in RT / glucose uptake ($mmol/mmol\ glc$)])</f>
        <v>1290.5</v>
      </c>
      <c r="I1064" t="e">
        <f>LOG(Table1[[#This Row],[Flux in SC / glucose uptake ($mmol/mmol\ glc$)]])</f>
        <v>#NUM!</v>
      </c>
      <c r="J1064" t="e">
        <f>LOG(Table1[[#This Row],[Flux in RT / glucose uptake ($mmol/mmol\ glc$)]])</f>
        <v>#NUM!</v>
      </c>
    </row>
    <row r="1065" spans="1:10" x14ac:dyDescent="0.2">
      <c r="A1065" t="s">
        <v>1068</v>
      </c>
      <c r="B1065" t="s">
        <v>3135</v>
      </c>
      <c r="C1065">
        <v>0</v>
      </c>
      <c r="D1065">
        <v>0</v>
      </c>
      <c r="E1065">
        <f>ABS(Table1[[#This Row],[Flux in SC / glucose uptake ($mmol/mmol\ glc$)]]-Table1[[#This Row],[Flux in RT / glucose uptake ($mmol/mmol\ glc$)]])/SQRT(2)</f>
        <v>0</v>
      </c>
      <c r="F1065">
        <f>Table1[[#This Row],[distance from 45-degree line]]/MAX(Table1[[Flux in SC / glucose uptake ($mmol/mmol\ glc$)]:[Flux in RT / glucose uptake ($mmol/mmol\ glc$)]])</f>
        <v>0</v>
      </c>
      <c r="G1065">
        <f>_xlfn.RANK.AVG(Table1[[#This Row],[Flux in SC / glucose uptake ($mmol/mmol\ glc$)]],Table1[Flux in SC / glucose uptake ($mmol/mmol\ glc$)])</f>
        <v>1310.5</v>
      </c>
      <c r="H1065">
        <f>_xlfn.RANK.AVG(Table1[[#This Row],[Flux in RT / glucose uptake ($mmol/mmol\ glc$)]],Table1[Flux in RT / glucose uptake ($mmol/mmol\ glc$)])</f>
        <v>1290.5</v>
      </c>
      <c r="I1065" t="e">
        <f>LOG(Table1[[#This Row],[Flux in SC / glucose uptake ($mmol/mmol\ glc$)]])</f>
        <v>#NUM!</v>
      </c>
      <c r="J1065" t="e">
        <f>LOG(Table1[[#This Row],[Flux in RT / glucose uptake ($mmol/mmol\ glc$)]])</f>
        <v>#NUM!</v>
      </c>
    </row>
    <row r="1066" spans="1:10" x14ac:dyDescent="0.2">
      <c r="A1066" t="s">
        <v>1069</v>
      </c>
      <c r="B1066" t="s">
        <v>3135</v>
      </c>
      <c r="C1066">
        <v>0</v>
      </c>
      <c r="D1066">
        <v>0</v>
      </c>
      <c r="E1066">
        <f>ABS(Table1[[#This Row],[Flux in SC / glucose uptake ($mmol/mmol\ glc$)]]-Table1[[#This Row],[Flux in RT / glucose uptake ($mmol/mmol\ glc$)]])/SQRT(2)</f>
        <v>0</v>
      </c>
      <c r="F1066">
        <f>Table1[[#This Row],[distance from 45-degree line]]/MAX(Table1[[Flux in SC / glucose uptake ($mmol/mmol\ glc$)]:[Flux in RT / glucose uptake ($mmol/mmol\ glc$)]])</f>
        <v>0</v>
      </c>
      <c r="G1066">
        <f>_xlfn.RANK.AVG(Table1[[#This Row],[Flux in SC / glucose uptake ($mmol/mmol\ glc$)]],Table1[Flux in SC / glucose uptake ($mmol/mmol\ glc$)])</f>
        <v>1310.5</v>
      </c>
      <c r="H1066">
        <f>_xlfn.RANK.AVG(Table1[[#This Row],[Flux in RT / glucose uptake ($mmol/mmol\ glc$)]],Table1[Flux in RT / glucose uptake ($mmol/mmol\ glc$)])</f>
        <v>1290.5</v>
      </c>
      <c r="I1066" t="e">
        <f>LOG(Table1[[#This Row],[Flux in SC / glucose uptake ($mmol/mmol\ glc$)]])</f>
        <v>#NUM!</v>
      </c>
      <c r="J1066" t="e">
        <f>LOG(Table1[[#This Row],[Flux in RT / glucose uptake ($mmol/mmol\ glc$)]])</f>
        <v>#NUM!</v>
      </c>
    </row>
    <row r="1067" spans="1:10" x14ac:dyDescent="0.2">
      <c r="A1067" t="s">
        <v>1070</v>
      </c>
      <c r="B1067" t="s">
        <v>3135</v>
      </c>
      <c r="C1067">
        <v>0</v>
      </c>
      <c r="D1067">
        <v>0</v>
      </c>
      <c r="E1067">
        <f>ABS(Table1[[#This Row],[Flux in SC / glucose uptake ($mmol/mmol\ glc$)]]-Table1[[#This Row],[Flux in RT / glucose uptake ($mmol/mmol\ glc$)]])/SQRT(2)</f>
        <v>0</v>
      </c>
      <c r="F1067">
        <f>Table1[[#This Row],[distance from 45-degree line]]/MAX(Table1[[Flux in SC / glucose uptake ($mmol/mmol\ glc$)]:[Flux in RT / glucose uptake ($mmol/mmol\ glc$)]])</f>
        <v>0</v>
      </c>
      <c r="G1067">
        <f>_xlfn.RANK.AVG(Table1[[#This Row],[Flux in SC / glucose uptake ($mmol/mmol\ glc$)]],Table1[Flux in SC / glucose uptake ($mmol/mmol\ glc$)])</f>
        <v>1310.5</v>
      </c>
      <c r="H1067">
        <f>_xlfn.RANK.AVG(Table1[[#This Row],[Flux in RT / glucose uptake ($mmol/mmol\ glc$)]],Table1[Flux in RT / glucose uptake ($mmol/mmol\ glc$)])</f>
        <v>1290.5</v>
      </c>
      <c r="I1067" t="e">
        <f>LOG(Table1[[#This Row],[Flux in SC / glucose uptake ($mmol/mmol\ glc$)]])</f>
        <v>#NUM!</v>
      </c>
      <c r="J1067" t="e">
        <f>LOG(Table1[[#This Row],[Flux in RT / glucose uptake ($mmol/mmol\ glc$)]])</f>
        <v>#NUM!</v>
      </c>
    </row>
    <row r="1068" spans="1:10" x14ac:dyDescent="0.2">
      <c r="A1068" t="s">
        <v>1071</v>
      </c>
      <c r="B1068" t="s">
        <v>3135</v>
      </c>
      <c r="C1068">
        <v>0</v>
      </c>
      <c r="D1068">
        <v>0</v>
      </c>
      <c r="E1068">
        <f>ABS(Table1[[#This Row],[Flux in SC / glucose uptake ($mmol/mmol\ glc$)]]-Table1[[#This Row],[Flux in RT / glucose uptake ($mmol/mmol\ glc$)]])/SQRT(2)</f>
        <v>0</v>
      </c>
      <c r="F1068">
        <f>Table1[[#This Row],[distance from 45-degree line]]/MAX(Table1[[Flux in SC / glucose uptake ($mmol/mmol\ glc$)]:[Flux in RT / glucose uptake ($mmol/mmol\ glc$)]])</f>
        <v>0</v>
      </c>
      <c r="G1068">
        <f>_xlfn.RANK.AVG(Table1[[#This Row],[Flux in SC / glucose uptake ($mmol/mmol\ glc$)]],Table1[Flux in SC / glucose uptake ($mmol/mmol\ glc$)])</f>
        <v>1310.5</v>
      </c>
      <c r="H1068">
        <f>_xlfn.RANK.AVG(Table1[[#This Row],[Flux in RT / glucose uptake ($mmol/mmol\ glc$)]],Table1[Flux in RT / glucose uptake ($mmol/mmol\ glc$)])</f>
        <v>1290.5</v>
      </c>
      <c r="I1068" t="e">
        <f>LOG(Table1[[#This Row],[Flux in SC / glucose uptake ($mmol/mmol\ glc$)]])</f>
        <v>#NUM!</v>
      </c>
      <c r="J1068" t="e">
        <f>LOG(Table1[[#This Row],[Flux in RT / glucose uptake ($mmol/mmol\ glc$)]])</f>
        <v>#NUM!</v>
      </c>
    </row>
    <row r="1069" spans="1:10" x14ac:dyDescent="0.2">
      <c r="A1069" t="s">
        <v>1072</v>
      </c>
      <c r="B1069" t="s">
        <v>3135</v>
      </c>
      <c r="C1069">
        <v>0</v>
      </c>
      <c r="D1069">
        <v>0</v>
      </c>
      <c r="E1069">
        <f>ABS(Table1[[#This Row],[Flux in SC / glucose uptake ($mmol/mmol\ glc$)]]-Table1[[#This Row],[Flux in RT / glucose uptake ($mmol/mmol\ glc$)]])/SQRT(2)</f>
        <v>0</v>
      </c>
      <c r="F1069">
        <f>Table1[[#This Row],[distance from 45-degree line]]/MAX(Table1[[Flux in SC / glucose uptake ($mmol/mmol\ glc$)]:[Flux in RT / glucose uptake ($mmol/mmol\ glc$)]])</f>
        <v>0</v>
      </c>
      <c r="G1069">
        <f>_xlfn.RANK.AVG(Table1[[#This Row],[Flux in SC / glucose uptake ($mmol/mmol\ glc$)]],Table1[Flux in SC / glucose uptake ($mmol/mmol\ glc$)])</f>
        <v>1310.5</v>
      </c>
      <c r="H1069">
        <f>_xlfn.RANK.AVG(Table1[[#This Row],[Flux in RT / glucose uptake ($mmol/mmol\ glc$)]],Table1[Flux in RT / glucose uptake ($mmol/mmol\ glc$)])</f>
        <v>1290.5</v>
      </c>
      <c r="I1069" t="e">
        <f>LOG(Table1[[#This Row],[Flux in SC / glucose uptake ($mmol/mmol\ glc$)]])</f>
        <v>#NUM!</v>
      </c>
      <c r="J1069" t="e">
        <f>LOG(Table1[[#This Row],[Flux in RT / glucose uptake ($mmol/mmol\ glc$)]])</f>
        <v>#NUM!</v>
      </c>
    </row>
    <row r="1070" spans="1:10" x14ac:dyDescent="0.2">
      <c r="A1070" t="s">
        <v>1073</v>
      </c>
      <c r="B1070" t="s">
        <v>3135</v>
      </c>
      <c r="C1070">
        <v>0</v>
      </c>
      <c r="D1070">
        <v>0</v>
      </c>
      <c r="E1070">
        <f>ABS(Table1[[#This Row],[Flux in SC / glucose uptake ($mmol/mmol\ glc$)]]-Table1[[#This Row],[Flux in RT / glucose uptake ($mmol/mmol\ glc$)]])/SQRT(2)</f>
        <v>0</v>
      </c>
      <c r="F1070">
        <f>Table1[[#This Row],[distance from 45-degree line]]/MAX(Table1[[Flux in SC / glucose uptake ($mmol/mmol\ glc$)]:[Flux in RT / glucose uptake ($mmol/mmol\ glc$)]])</f>
        <v>0</v>
      </c>
      <c r="G1070">
        <f>_xlfn.RANK.AVG(Table1[[#This Row],[Flux in SC / glucose uptake ($mmol/mmol\ glc$)]],Table1[Flux in SC / glucose uptake ($mmol/mmol\ glc$)])</f>
        <v>1310.5</v>
      </c>
      <c r="H1070">
        <f>_xlfn.RANK.AVG(Table1[[#This Row],[Flux in RT / glucose uptake ($mmol/mmol\ glc$)]],Table1[Flux in RT / glucose uptake ($mmol/mmol\ glc$)])</f>
        <v>1290.5</v>
      </c>
      <c r="I1070" t="e">
        <f>LOG(Table1[[#This Row],[Flux in SC / glucose uptake ($mmol/mmol\ glc$)]])</f>
        <v>#NUM!</v>
      </c>
      <c r="J1070" t="e">
        <f>LOG(Table1[[#This Row],[Flux in RT / glucose uptake ($mmol/mmol\ glc$)]])</f>
        <v>#NUM!</v>
      </c>
    </row>
    <row r="1071" spans="1:10" x14ac:dyDescent="0.2">
      <c r="A1071" t="s">
        <v>1074</v>
      </c>
      <c r="B1071" t="s">
        <v>3135</v>
      </c>
      <c r="C1071">
        <v>0</v>
      </c>
      <c r="D1071">
        <v>0</v>
      </c>
      <c r="E1071">
        <f>ABS(Table1[[#This Row],[Flux in SC / glucose uptake ($mmol/mmol\ glc$)]]-Table1[[#This Row],[Flux in RT / glucose uptake ($mmol/mmol\ glc$)]])/SQRT(2)</f>
        <v>0</v>
      </c>
      <c r="F1071">
        <f>Table1[[#This Row],[distance from 45-degree line]]/MAX(Table1[[Flux in SC / glucose uptake ($mmol/mmol\ glc$)]:[Flux in RT / glucose uptake ($mmol/mmol\ glc$)]])</f>
        <v>0</v>
      </c>
      <c r="G1071">
        <f>_xlfn.RANK.AVG(Table1[[#This Row],[Flux in SC / glucose uptake ($mmol/mmol\ glc$)]],Table1[Flux in SC / glucose uptake ($mmol/mmol\ glc$)])</f>
        <v>1310.5</v>
      </c>
      <c r="H1071">
        <f>_xlfn.RANK.AVG(Table1[[#This Row],[Flux in RT / glucose uptake ($mmol/mmol\ glc$)]],Table1[Flux in RT / glucose uptake ($mmol/mmol\ glc$)])</f>
        <v>1290.5</v>
      </c>
      <c r="I1071" t="e">
        <f>LOG(Table1[[#This Row],[Flux in SC / glucose uptake ($mmol/mmol\ glc$)]])</f>
        <v>#NUM!</v>
      </c>
      <c r="J1071" t="e">
        <f>LOG(Table1[[#This Row],[Flux in RT / glucose uptake ($mmol/mmol\ glc$)]])</f>
        <v>#NUM!</v>
      </c>
    </row>
    <row r="1072" spans="1:10" x14ac:dyDescent="0.2">
      <c r="A1072" t="s">
        <v>1075</v>
      </c>
      <c r="B1072" t="s">
        <v>3135</v>
      </c>
      <c r="C1072">
        <v>0</v>
      </c>
      <c r="D1072">
        <v>0</v>
      </c>
      <c r="E1072">
        <f>ABS(Table1[[#This Row],[Flux in SC / glucose uptake ($mmol/mmol\ glc$)]]-Table1[[#This Row],[Flux in RT / glucose uptake ($mmol/mmol\ glc$)]])/SQRT(2)</f>
        <v>0</v>
      </c>
      <c r="F1072">
        <f>Table1[[#This Row],[distance from 45-degree line]]/MAX(Table1[[Flux in SC / glucose uptake ($mmol/mmol\ glc$)]:[Flux in RT / glucose uptake ($mmol/mmol\ glc$)]])</f>
        <v>0</v>
      </c>
      <c r="G1072">
        <f>_xlfn.RANK.AVG(Table1[[#This Row],[Flux in SC / glucose uptake ($mmol/mmol\ glc$)]],Table1[Flux in SC / glucose uptake ($mmol/mmol\ glc$)])</f>
        <v>1310.5</v>
      </c>
      <c r="H1072">
        <f>_xlfn.RANK.AVG(Table1[[#This Row],[Flux in RT / glucose uptake ($mmol/mmol\ glc$)]],Table1[Flux in RT / glucose uptake ($mmol/mmol\ glc$)])</f>
        <v>1290.5</v>
      </c>
      <c r="I1072" t="e">
        <f>LOG(Table1[[#This Row],[Flux in SC / glucose uptake ($mmol/mmol\ glc$)]])</f>
        <v>#NUM!</v>
      </c>
      <c r="J1072" t="e">
        <f>LOG(Table1[[#This Row],[Flux in RT / glucose uptake ($mmol/mmol\ glc$)]])</f>
        <v>#NUM!</v>
      </c>
    </row>
    <row r="1073" spans="1:10" x14ac:dyDescent="0.2">
      <c r="A1073" t="s">
        <v>1076</v>
      </c>
      <c r="B1073" t="s">
        <v>3135</v>
      </c>
      <c r="C1073">
        <v>0</v>
      </c>
      <c r="D1073">
        <v>0</v>
      </c>
      <c r="E1073">
        <f>ABS(Table1[[#This Row],[Flux in SC / glucose uptake ($mmol/mmol\ glc$)]]-Table1[[#This Row],[Flux in RT / glucose uptake ($mmol/mmol\ glc$)]])/SQRT(2)</f>
        <v>0</v>
      </c>
      <c r="F1073">
        <f>Table1[[#This Row],[distance from 45-degree line]]/MAX(Table1[[Flux in SC / glucose uptake ($mmol/mmol\ glc$)]:[Flux in RT / glucose uptake ($mmol/mmol\ glc$)]])</f>
        <v>0</v>
      </c>
      <c r="G1073">
        <f>_xlfn.RANK.AVG(Table1[[#This Row],[Flux in SC / glucose uptake ($mmol/mmol\ glc$)]],Table1[Flux in SC / glucose uptake ($mmol/mmol\ glc$)])</f>
        <v>1310.5</v>
      </c>
      <c r="H1073">
        <f>_xlfn.RANK.AVG(Table1[[#This Row],[Flux in RT / glucose uptake ($mmol/mmol\ glc$)]],Table1[Flux in RT / glucose uptake ($mmol/mmol\ glc$)])</f>
        <v>1290.5</v>
      </c>
      <c r="I1073" t="e">
        <f>LOG(Table1[[#This Row],[Flux in SC / glucose uptake ($mmol/mmol\ glc$)]])</f>
        <v>#NUM!</v>
      </c>
      <c r="J1073" t="e">
        <f>LOG(Table1[[#This Row],[Flux in RT / glucose uptake ($mmol/mmol\ glc$)]])</f>
        <v>#NUM!</v>
      </c>
    </row>
    <row r="1074" spans="1:10" x14ac:dyDescent="0.2">
      <c r="A1074" t="s">
        <v>1077</v>
      </c>
      <c r="B1074" t="s">
        <v>3135</v>
      </c>
      <c r="C1074">
        <v>0</v>
      </c>
      <c r="D1074">
        <v>0</v>
      </c>
      <c r="E1074">
        <f>ABS(Table1[[#This Row],[Flux in SC / glucose uptake ($mmol/mmol\ glc$)]]-Table1[[#This Row],[Flux in RT / glucose uptake ($mmol/mmol\ glc$)]])/SQRT(2)</f>
        <v>0</v>
      </c>
      <c r="F1074">
        <f>Table1[[#This Row],[distance from 45-degree line]]/MAX(Table1[[Flux in SC / glucose uptake ($mmol/mmol\ glc$)]:[Flux in RT / glucose uptake ($mmol/mmol\ glc$)]])</f>
        <v>0</v>
      </c>
      <c r="G1074">
        <f>_xlfn.RANK.AVG(Table1[[#This Row],[Flux in SC / glucose uptake ($mmol/mmol\ glc$)]],Table1[Flux in SC / glucose uptake ($mmol/mmol\ glc$)])</f>
        <v>1310.5</v>
      </c>
      <c r="H1074">
        <f>_xlfn.RANK.AVG(Table1[[#This Row],[Flux in RT / glucose uptake ($mmol/mmol\ glc$)]],Table1[Flux in RT / glucose uptake ($mmol/mmol\ glc$)])</f>
        <v>1290.5</v>
      </c>
      <c r="I1074" t="e">
        <f>LOG(Table1[[#This Row],[Flux in SC / glucose uptake ($mmol/mmol\ glc$)]])</f>
        <v>#NUM!</v>
      </c>
      <c r="J1074" t="e">
        <f>LOG(Table1[[#This Row],[Flux in RT / glucose uptake ($mmol/mmol\ glc$)]])</f>
        <v>#NUM!</v>
      </c>
    </row>
    <row r="1075" spans="1:10" x14ac:dyDescent="0.2">
      <c r="A1075" t="s">
        <v>1078</v>
      </c>
      <c r="B1075" t="s">
        <v>3135</v>
      </c>
      <c r="C1075">
        <v>0</v>
      </c>
      <c r="D1075">
        <v>0</v>
      </c>
      <c r="E1075">
        <f>ABS(Table1[[#This Row],[Flux in SC / glucose uptake ($mmol/mmol\ glc$)]]-Table1[[#This Row],[Flux in RT / glucose uptake ($mmol/mmol\ glc$)]])/SQRT(2)</f>
        <v>0</v>
      </c>
      <c r="F1075">
        <f>Table1[[#This Row],[distance from 45-degree line]]/MAX(Table1[[Flux in SC / glucose uptake ($mmol/mmol\ glc$)]:[Flux in RT / glucose uptake ($mmol/mmol\ glc$)]])</f>
        <v>0</v>
      </c>
      <c r="G1075">
        <f>_xlfn.RANK.AVG(Table1[[#This Row],[Flux in SC / glucose uptake ($mmol/mmol\ glc$)]],Table1[Flux in SC / glucose uptake ($mmol/mmol\ glc$)])</f>
        <v>1310.5</v>
      </c>
      <c r="H1075">
        <f>_xlfn.RANK.AVG(Table1[[#This Row],[Flux in RT / glucose uptake ($mmol/mmol\ glc$)]],Table1[Flux in RT / glucose uptake ($mmol/mmol\ glc$)])</f>
        <v>1290.5</v>
      </c>
      <c r="I1075" t="e">
        <f>LOG(Table1[[#This Row],[Flux in SC / glucose uptake ($mmol/mmol\ glc$)]])</f>
        <v>#NUM!</v>
      </c>
      <c r="J1075" t="e">
        <f>LOG(Table1[[#This Row],[Flux in RT / glucose uptake ($mmol/mmol\ glc$)]])</f>
        <v>#NUM!</v>
      </c>
    </row>
    <row r="1076" spans="1:10" x14ac:dyDescent="0.2">
      <c r="A1076" t="s">
        <v>1079</v>
      </c>
      <c r="B1076" t="s">
        <v>3135</v>
      </c>
      <c r="C1076">
        <v>0</v>
      </c>
      <c r="D1076">
        <v>0</v>
      </c>
      <c r="E1076">
        <f>ABS(Table1[[#This Row],[Flux in SC / glucose uptake ($mmol/mmol\ glc$)]]-Table1[[#This Row],[Flux in RT / glucose uptake ($mmol/mmol\ glc$)]])/SQRT(2)</f>
        <v>0</v>
      </c>
      <c r="F1076">
        <f>Table1[[#This Row],[distance from 45-degree line]]/MAX(Table1[[Flux in SC / glucose uptake ($mmol/mmol\ glc$)]:[Flux in RT / glucose uptake ($mmol/mmol\ glc$)]])</f>
        <v>0</v>
      </c>
      <c r="G1076">
        <f>_xlfn.RANK.AVG(Table1[[#This Row],[Flux in SC / glucose uptake ($mmol/mmol\ glc$)]],Table1[Flux in SC / glucose uptake ($mmol/mmol\ glc$)])</f>
        <v>1310.5</v>
      </c>
      <c r="H1076">
        <f>_xlfn.RANK.AVG(Table1[[#This Row],[Flux in RT / glucose uptake ($mmol/mmol\ glc$)]],Table1[Flux in RT / glucose uptake ($mmol/mmol\ glc$)])</f>
        <v>1290.5</v>
      </c>
      <c r="I1076" t="e">
        <f>LOG(Table1[[#This Row],[Flux in SC / glucose uptake ($mmol/mmol\ glc$)]])</f>
        <v>#NUM!</v>
      </c>
      <c r="J1076" t="e">
        <f>LOG(Table1[[#This Row],[Flux in RT / glucose uptake ($mmol/mmol\ glc$)]])</f>
        <v>#NUM!</v>
      </c>
    </row>
    <row r="1077" spans="1:10" x14ac:dyDescent="0.2">
      <c r="A1077" t="s">
        <v>1080</v>
      </c>
      <c r="B1077" t="s">
        <v>3135</v>
      </c>
      <c r="C1077">
        <v>0</v>
      </c>
      <c r="D1077">
        <v>0</v>
      </c>
      <c r="E1077">
        <f>ABS(Table1[[#This Row],[Flux in SC / glucose uptake ($mmol/mmol\ glc$)]]-Table1[[#This Row],[Flux in RT / glucose uptake ($mmol/mmol\ glc$)]])/SQRT(2)</f>
        <v>0</v>
      </c>
      <c r="F1077">
        <f>Table1[[#This Row],[distance from 45-degree line]]/MAX(Table1[[Flux in SC / glucose uptake ($mmol/mmol\ glc$)]:[Flux in RT / glucose uptake ($mmol/mmol\ glc$)]])</f>
        <v>0</v>
      </c>
      <c r="G1077">
        <f>_xlfn.RANK.AVG(Table1[[#This Row],[Flux in SC / glucose uptake ($mmol/mmol\ glc$)]],Table1[Flux in SC / glucose uptake ($mmol/mmol\ glc$)])</f>
        <v>1310.5</v>
      </c>
      <c r="H1077">
        <f>_xlfn.RANK.AVG(Table1[[#This Row],[Flux in RT / glucose uptake ($mmol/mmol\ glc$)]],Table1[Flux in RT / glucose uptake ($mmol/mmol\ glc$)])</f>
        <v>1290.5</v>
      </c>
      <c r="I1077" t="e">
        <f>LOG(Table1[[#This Row],[Flux in SC / glucose uptake ($mmol/mmol\ glc$)]])</f>
        <v>#NUM!</v>
      </c>
      <c r="J1077" t="e">
        <f>LOG(Table1[[#This Row],[Flux in RT / glucose uptake ($mmol/mmol\ glc$)]])</f>
        <v>#NUM!</v>
      </c>
    </row>
    <row r="1078" spans="1:10" x14ac:dyDescent="0.2">
      <c r="A1078" t="s">
        <v>1081</v>
      </c>
      <c r="B1078" t="s">
        <v>3135</v>
      </c>
      <c r="C1078">
        <v>0</v>
      </c>
      <c r="D1078">
        <v>0</v>
      </c>
      <c r="E1078">
        <f>ABS(Table1[[#This Row],[Flux in SC / glucose uptake ($mmol/mmol\ glc$)]]-Table1[[#This Row],[Flux in RT / glucose uptake ($mmol/mmol\ glc$)]])/SQRT(2)</f>
        <v>0</v>
      </c>
      <c r="F1078">
        <f>Table1[[#This Row],[distance from 45-degree line]]/MAX(Table1[[Flux in SC / glucose uptake ($mmol/mmol\ glc$)]:[Flux in RT / glucose uptake ($mmol/mmol\ glc$)]])</f>
        <v>0</v>
      </c>
      <c r="G1078">
        <f>_xlfn.RANK.AVG(Table1[[#This Row],[Flux in SC / glucose uptake ($mmol/mmol\ glc$)]],Table1[Flux in SC / glucose uptake ($mmol/mmol\ glc$)])</f>
        <v>1310.5</v>
      </c>
      <c r="H1078">
        <f>_xlfn.RANK.AVG(Table1[[#This Row],[Flux in RT / glucose uptake ($mmol/mmol\ glc$)]],Table1[Flux in RT / glucose uptake ($mmol/mmol\ glc$)])</f>
        <v>1290.5</v>
      </c>
      <c r="I1078" t="e">
        <f>LOG(Table1[[#This Row],[Flux in SC / glucose uptake ($mmol/mmol\ glc$)]])</f>
        <v>#NUM!</v>
      </c>
      <c r="J1078" t="e">
        <f>LOG(Table1[[#This Row],[Flux in RT / glucose uptake ($mmol/mmol\ glc$)]])</f>
        <v>#NUM!</v>
      </c>
    </row>
    <row r="1079" spans="1:10" x14ac:dyDescent="0.2">
      <c r="A1079" t="s">
        <v>1082</v>
      </c>
      <c r="B1079" t="s">
        <v>3135</v>
      </c>
      <c r="C1079">
        <v>0</v>
      </c>
      <c r="D1079">
        <v>0</v>
      </c>
      <c r="E1079">
        <f>ABS(Table1[[#This Row],[Flux in SC / glucose uptake ($mmol/mmol\ glc$)]]-Table1[[#This Row],[Flux in RT / glucose uptake ($mmol/mmol\ glc$)]])/SQRT(2)</f>
        <v>0</v>
      </c>
      <c r="F1079">
        <f>Table1[[#This Row],[distance from 45-degree line]]/MAX(Table1[[Flux in SC / glucose uptake ($mmol/mmol\ glc$)]:[Flux in RT / glucose uptake ($mmol/mmol\ glc$)]])</f>
        <v>0</v>
      </c>
      <c r="G1079">
        <f>_xlfn.RANK.AVG(Table1[[#This Row],[Flux in SC / glucose uptake ($mmol/mmol\ glc$)]],Table1[Flux in SC / glucose uptake ($mmol/mmol\ glc$)])</f>
        <v>1310.5</v>
      </c>
      <c r="H1079">
        <f>_xlfn.RANK.AVG(Table1[[#This Row],[Flux in RT / glucose uptake ($mmol/mmol\ glc$)]],Table1[Flux in RT / glucose uptake ($mmol/mmol\ glc$)])</f>
        <v>1290.5</v>
      </c>
      <c r="I1079" t="e">
        <f>LOG(Table1[[#This Row],[Flux in SC / glucose uptake ($mmol/mmol\ glc$)]])</f>
        <v>#NUM!</v>
      </c>
      <c r="J1079" t="e">
        <f>LOG(Table1[[#This Row],[Flux in RT / glucose uptake ($mmol/mmol\ glc$)]])</f>
        <v>#NUM!</v>
      </c>
    </row>
    <row r="1080" spans="1:10" x14ac:dyDescent="0.2">
      <c r="A1080" t="s">
        <v>1083</v>
      </c>
      <c r="B1080" t="s">
        <v>3135</v>
      </c>
      <c r="C1080">
        <v>0</v>
      </c>
      <c r="D1080">
        <v>0</v>
      </c>
      <c r="E1080">
        <f>ABS(Table1[[#This Row],[Flux in SC / glucose uptake ($mmol/mmol\ glc$)]]-Table1[[#This Row],[Flux in RT / glucose uptake ($mmol/mmol\ glc$)]])/SQRT(2)</f>
        <v>0</v>
      </c>
      <c r="F1080">
        <f>Table1[[#This Row],[distance from 45-degree line]]/MAX(Table1[[Flux in SC / glucose uptake ($mmol/mmol\ glc$)]:[Flux in RT / glucose uptake ($mmol/mmol\ glc$)]])</f>
        <v>0</v>
      </c>
      <c r="G1080">
        <f>_xlfn.RANK.AVG(Table1[[#This Row],[Flux in SC / glucose uptake ($mmol/mmol\ glc$)]],Table1[Flux in SC / glucose uptake ($mmol/mmol\ glc$)])</f>
        <v>1310.5</v>
      </c>
      <c r="H1080">
        <f>_xlfn.RANK.AVG(Table1[[#This Row],[Flux in RT / glucose uptake ($mmol/mmol\ glc$)]],Table1[Flux in RT / glucose uptake ($mmol/mmol\ glc$)])</f>
        <v>1290.5</v>
      </c>
      <c r="I1080" t="e">
        <f>LOG(Table1[[#This Row],[Flux in SC / glucose uptake ($mmol/mmol\ glc$)]])</f>
        <v>#NUM!</v>
      </c>
      <c r="J1080" t="e">
        <f>LOG(Table1[[#This Row],[Flux in RT / glucose uptake ($mmol/mmol\ glc$)]])</f>
        <v>#NUM!</v>
      </c>
    </row>
    <row r="1081" spans="1:10" x14ac:dyDescent="0.2">
      <c r="A1081" t="s">
        <v>1084</v>
      </c>
      <c r="B1081" t="s">
        <v>3123</v>
      </c>
      <c r="C1081">
        <v>0</v>
      </c>
      <c r="D1081">
        <v>0</v>
      </c>
      <c r="E1081">
        <f>ABS(Table1[[#This Row],[Flux in SC / glucose uptake ($mmol/mmol\ glc$)]]-Table1[[#This Row],[Flux in RT / glucose uptake ($mmol/mmol\ glc$)]])/SQRT(2)</f>
        <v>0</v>
      </c>
      <c r="F1081">
        <f>Table1[[#This Row],[distance from 45-degree line]]/MAX(Table1[[Flux in SC / glucose uptake ($mmol/mmol\ glc$)]:[Flux in RT / glucose uptake ($mmol/mmol\ glc$)]])</f>
        <v>0</v>
      </c>
      <c r="G1081">
        <f>_xlfn.RANK.AVG(Table1[[#This Row],[Flux in SC / glucose uptake ($mmol/mmol\ glc$)]],Table1[Flux in SC / glucose uptake ($mmol/mmol\ glc$)])</f>
        <v>1310.5</v>
      </c>
      <c r="H1081">
        <f>_xlfn.RANK.AVG(Table1[[#This Row],[Flux in RT / glucose uptake ($mmol/mmol\ glc$)]],Table1[Flux in RT / glucose uptake ($mmol/mmol\ glc$)])</f>
        <v>1290.5</v>
      </c>
      <c r="I1081" t="e">
        <f>LOG(Table1[[#This Row],[Flux in SC / glucose uptake ($mmol/mmol\ glc$)]])</f>
        <v>#NUM!</v>
      </c>
      <c r="J1081" t="e">
        <f>LOG(Table1[[#This Row],[Flux in RT / glucose uptake ($mmol/mmol\ glc$)]])</f>
        <v>#NUM!</v>
      </c>
    </row>
    <row r="1082" spans="1:10" x14ac:dyDescent="0.2">
      <c r="A1082" t="s">
        <v>1085</v>
      </c>
      <c r="B1082" t="s">
        <v>3123</v>
      </c>
      <c r="C1082">
        <v>0</v>
      </c>
      <c r="D1082">
        <v>0</v>
      </c>
      <c r="E1082">
        <f>ABS(Table1[[#This Row],[Flux in SC / glucose uptake ($mmol/mmol\ glc$)]]-Table1[[#This Row],[Flux in RT / glucose uptake ($mmol/mmol\ glc$)]])/SQRT(2)</f>
        <v>0</v>
      </c>
      <c r="F1082">
        <f>Table1[[#This Row],[distance from 45-degree line]]/MAX(Table1[[Flux in SC / glucose uptake ($mmol/mmol\ glc$)]:[Flux in RT / glucose uptake ($mmol/mmol\ glc$)]])</f>
        <v>0</v>
      </c>
      <c r="G1082">
        <f>_xlfn.RANK.AVG(Table1[[#This Row],[Flux in SC / glucose uptake ($mmol/mmol\ glc$)]],Table1[Flux in SC / glucose uptake ($mmol/mmol\ glc$)])</f>
        <v>1310.5</v>
      </c>
      <c r="H1082">
        <f>_xlfn.RANK.AVG(Table1[[#This Row],[Flux in RT / glucose uptake ($mmol/mmol\ glc$)]],Table1[Flux in RT / glucose uptake ($mmol/mmol\ glc$)])</f>
        <v>1290.5</v>
      </c>
      <c r="I1082" t="e">
        <f>LOG(Table1[[#This Row],[Flux in SC / glucose uptake ($mmol/mmol\ glc$)]])</f>
        <v>#NUM!</v>
      </c>
      <c r="J1082" t="e">
        <f>LOG(Table1[[#This Row],[Flux in RT / glucose uptake ($mmol/mmol\ glc$)]])</f>
        <v>#NUM!</v>
      </c>
    </row>
    <row r="1083" spans="1:10" x14ac:dyDescent="0.2">
      <c r="A1083" t="s">
        <v>1086</v>
      </c>
      <c r="B1083" t="s">
        <v>3135</v>
      </c>
      <c r="C1083">
        <v>0</v>
      </c>
      <c r="D1083">
        <v>0</v>
      </c>
      <c r="E1083">
        <f>ABS(Table1[[#This Row],[Flux in SC / glucose uptake ($mmol/mmol\ glc$)]]-Table1[[#This Row],[Flux in RT / glucose uptake ($mmol/mmol\ glc$)]])/SQRT(2)</f>
        <v>0</v>
      </c>
      <c r="F1083">
        <f>Table1[[#This Row],[distance from 45-degree line]]/MAX(Table1[[Flux in SC / glucose uptake ($mmol/mmol\ glc$)]:[Flux in RT / glucose uptake ($mmol/mmol\ glc$)]])</f>
        <v>0</v>
      </c>
      <c r="G1083">
        <f>_xlfn.RANK.AVG(Table1[[#This Row],[Flux in SC / glucose uptake ($mmol/mmol\ glc$)]],Table1[Flux in SC / glucose uptake ($mmol/mmol\ glc$)])</f>
        <v>1310.5</v>
      </c>
      <c r="H1083">
        <f>_xlfn.RANK.AVG(Table1[[#This Row],[Flux in RT / glucose uptake ($mmol/mmol\ glc$)]],Table1[Flux in RT / glucose uptake ($mmol/mmol\ glc$)])</f>
        <v>1290.5</v>
      </c>
      <c r="I1083" t="e">
        <f>LOG(Table1[[#This Row],[Flux in SC / glucose uptake ($mmol/mmol\ glc$)]])</f>
        <v>#NUM!</v>
      </c>
      <c r="J1083" t="e">
        <f>LOG(Table1[[#This Row],[Flux in RT / glucose uptake ($mmol/mmol\ glc$)]])</f>
        <v>#NUM!</v>
      </c>
    </row>
    <row r="1084" spans="1:10" x14ac:dyDescent="0.2">
      <c r="A1084" t="s">
        <v>1087</v>
      </c>
      <c r="B1084" t="s">
        <v>3123</v>
      </c>
      <c r="C1084">
        <v>0</v>
      </c>
      <c r="D1084">
        <v>0</v>
      </c>
      <c r="E1084">
        <f>ABS(Table1[[#This Row],[Flux in SC / glucose uptake ($mmol/mmol\ glc$)]]-Table1[[#This Row],[Flux in RT / glucose uptake ($mmol/mmol\ glc$)]])/SQRT(2)</f>
        <v>0</v>
      </c>
      <c r="F1084">
        <f>Table1[[#This Row],[distance from 45-degree line]]/MAX(Table1[[Flux in SC / glucose uptake ($mmol/mmol\ glc$)]:[Flux in RT / glucose uptake ($mmol/mmol\ glc$)]])</f>
        <v>0</v>
      </c>
      <c r="G1084">
        <f>_xlfn.RANK.AVG(Table1[[#This Row],[Flux in SC / glucose uptake ($mmol/mmol\ glc$)]],Table1[Flux in SC / glucose uptake ($mmol/mmol\ glc$)])</f>
        <v>1310.5</v>
      </c>
      <c r="H1084">
        <f>_xlfn.RANK.AVG(Table1[[#This Row],[Flux in RT / glucose uptake ($mmol/mmol\ glc$)]],Table1[Flux in RT / glucose uptake ($mmol/mmol\ glc$)])</f>
        <v>1290.5</v>
      </c>
      <c r="I1084" t="e">
        <f>LOG(Table1[[#This Row],[Flux in SC / glucose uptake ($mmol/mmol\ glc$)]])</f>
        <v>#NUM!</v>
      </c>
      <c r="J1084" t="e">
        <f>LOG(Table1[[#This Row],[Flux in RT / glucose uptake ($mmol/mmol\ glc$)]])</f>
        <v>#NUM!</v>
      </c>
    </row>
    <row r="1085" spans="1:10" x14ac:dyDescent="0.2">
      <c r="A1085" t="s">
        <v>1088</v>
      </c>
      <c r="B1085" t="s">
        <v>3123</v>
      </c>
      <c r="C1085">
        <v>0</v>
      </c>
      <c r="D1085">
        <v>0</v>
      </c>
      <c r="E1085">
        <f>ABS(Table1[[#This Row],[Flux in SC / glucose uptake ($mmol/mmol\ glc$)]]-Table1[[#This Row],[Flux in RT / glucose uptake ($mmol/mmol\ glc$)]])/SQRT(2)</f>
        <v>0</v>
      </c>
      <c r="F1085">
        <f>Table1[[#This Row],[distance from 45-degree line]]/MAX(Table1[[Flux in SC / glucose uptake ($mmol/mmol\ glc$)]:[Flux in RT / glucose uptake ($mmol/mmol\ glc$)]])</f>
        <v>0</v>
      </c>
      <c r="G1085">
        <f>_xlfn.RANK.AVG(Table1[[#This Row],[Flux in SC / glucose uptake ($mmol/mmol\ glc$)]],Table1[Flux in SC / glucose uptake ($mmol/mmol\ glc$)])</f>
        <v>1310.5</v>
      </c>
      <c r="H1085">
        <f>_xlfn.RANK.AVG(Table1[[#This Row],[Flux in RT / glucose uptake ($mmol/mmol\ glc$)]],Table1[Flux in RT / glucose uptake ($mmol/mmol\ glc$)])</f>
        <v>1290.5</v>
      </c>
      <c r="I1085" t="e">
        <f>LOG(Table1[[#This Row],[Flux in SC / glucose uptake ($mmol/mmol\ glc$)]])</f>
        <v>#NUM!</v>
      </c>
      <c r="J1085" t="e">
        <f>LOG(Table1[[#This Row],[Flux in RT / glucose uptake ($mmol/mmol\ glc$)]])</f>
        <v>#NUM!</v>
      </c>
    </row>
    <row r="1086" spans="1:10" x14ac:dyDescent="0.2">
      <c r="A1086" t="s">
        <v>1089</v>
      </c>
      <c r="B1086" t="s">
        <v>3135</v>
      </c>
      <c r="C1086">
        <v>0</v>
      </c>
      <c r="D1086">
        <v>0</v>
      </c>
      <c r="E1086">
        <f>ABS(Table1[[#This Row],[Flux in SC / glucose uptake ($mmol/mmol\ glc$)]]-Table1[[#This Row],[Flux in RT / glucose uptake ($mmol/mmol\ glc$)]])/SQRT(2)</f>
        <v>0</v>
      </c>
      <c r="F1086">
        <f>Table1[[#This Row],[distance from 45-degree line]]/MAX(Table1[[Flux in SC / glucose uptake ($mmol/mmol\ glc$)]:[Flux in RT / glucose uptake ($mmol/mmol\ glc$)]])</f>
        <v>0</v>
      </c>
      <c r="G1086">
        <f>_xlfn.RANK.AVG(Table1[[#This Row],[Flux in SC / glucose uptake ($mmol/mmol\ glc$)]],Table1[Flux in SC / glucose uptake ($mmol/mmol\ glc$)])</f>
        <v>1310.5</v>
      </c>
      <c r="H1086">
        <f>_xlfn.RANK.AVG(Table1[[#This Row],[Flux in RT / glucose uptake ($mmol/mmol\ glc$)]],Table1[Flux in RT / glucose uptake ($mmol/mmol\ glc$)])</f>
        <v>1290.5</v>
      </c>
      <c r="I1086" t="e">
        <f>LOG(Table1[[#This Row],[Flux in SC / glucose uptake ($mmol/mmol\ glc$)]])</f>
        <v>#NUM!</v>
      </c>
      <c r="J1086" t="e">
        <f>LOG(Table1[[#This Row],[Flux in RT / glucose uptake ($mmol/mmol\ glc$)]])</f>
        <v>#NUM!</v>
      </c>
    </row>
    <row r="1087" spans="1:10" x14ac:dyDescent="0.2">
      <c r="A1087" t="s">
        <v>1090</v>
      </c>
      <c r="B1087" t="s">
        <v>3135</v>
      </c>
      <c r="C1087">
        <v>0</v>
      </c>
      <c r="D1087">
        <v>0</v>
      </c>
      <c r="E1087">
        <f>ABS(Table1[[#This Row],[Flux in SC / glucose uptake ($mmol/mmol\ glc$)]]-Table1[[#This Row],[Flux in RT / glucose uptake ($mmol/mmol\ glc$)]])/SQRT(2)</f>
        <v>0</v>
      </c>
      <c r="F1087">
        <f>Table1[[#This Row],[distance from 45-degree line]]/MAX(Table1[[Flux in SC / glucose uptake ($mmol/mmol\ glc$)]:[Flux in RT / glucose uptake ($mmol/mmol\ glc$)]])</f>
        <v>0</v>
      </c>
      <c r="G1087">
        <f>_xlfn.RANK.AVG(Table1[[#This Row],[Flux in SC / glucose uptake ($mmol/mmol\ glc$)]],Table1[Flux in SC / glucose uptake ($mmol/mmol\ glc$)])</f>
        <v>1310.5</v>
      </c>
      <c r="H1087">
        <f>_xlfn.RANK.AVG(Table1[[#This Row],[Flux in RT / glucose uptake ($mmol/mmol\ glc$)]],Table1[Flux in RT / glucose uptake ($mmol/mmol\ glc$)])</f>
        <v>1290.5</v>
      </c>
      <c r="I1087" t="e">
        <f>LOG(Table1[[#This Row],[Flux in SC / glucose uptake ($mmol/mmol\ glc$)]])</f>
        <v>#NUM!</v>
      </c>
      <c r="J1087" t="e">
        <f>LOG(Table1[[#This Row],[Flux in RT / glucose uptake ($mmol/mmol\ glc$)]])</f>
        <v>#NUM!</v>
      </c>
    </row>
    <row r="1088" spans="1:10" x14ac:dyDescent="0.2">
      <c r="A1088" t="s">
        <v>1091</v>
      </c>
      <c r="B1088" t="s">
        <v>3135</v>
      </c>
      <c r="C1088">
        <v>0</v>
      </c>
      <c r="D1088">
        <v>0</v>
      </c>
      <c r="E1088">
        <f>ABS(Table1[[#This Row],[Flux in SC / glucose uptake ($mmol/mmol\ glc$)]]-Table1[[#This Row],[Flux in RT / glucose uptake ($mmol/mmol\ glc$)]])/SQRT(2)</f>
        <v>0</v>
      </c>
      <c r="F1088">
        <f>Table1[[#This Row],[distance from 45-degree line]]/MAX(Table1[[Flux in SC / glucose uptake ($mmol/mmol\ glc$)]:[Flux in RT / glucose uptake ($mmol/mmol\ glc$)]])</f>
        <v>0</v>
      </c>
      <c r="G1088">
        <f>_xlfn.RANK.AVG(Table1[[#This Row],[Flux in SC / glucose uptake ($mmol/mmol\ glc$)]],Table1[Flux in SC / glucose uptake ($mmol/mmol\ glc$)])</f>
        <v>1310.5</v>
      </c>
      <c r="H1088">
        <f>_xlfn.RANK.AVG(Table1[[#This Row],[Flux in RT / glucose uptake ($mmol/mmol\ glc$)]],Table1[Flux in RT / glucose uptake ($mmol/mmol\ glc$)])</f>
        <v>1290.5</v>
      </c>
      <c r="I1088" t="e">
        <f>LOG(Table1[[#This Row],[Flux in SC / glucose uptake ($mmol/mmol\ glc$)]])</f>
        <v>#NUM!</v>
      </c>
      <c r="J1088" t="e">
        <f>LOG(Table1[[#This Row],[Flux in RT / glucose uptake ($mmol/mmol\ glc$)]])</f>
        <v>#NUM!</v>
      </c>
    </row>
    <row r="1089" spans="1:10" x14ac:dyDescent="0.2">
      <c r="A1089" t="s">
        <v>1092</v>
      </c>
      <c r="B1089" t="s">
        <v>3135</v>
      </c>
      <c r="C1089">
        <v>0</v>
      </c>
      <c r="D1089">
        <v>0</v>
      </c>
      <c r="E1089">
        <f>ABS(Table1[[#This Row],[Flux in SC / glucose uptake ($mmol/mmol\ glc$)]]-Table1[[#This Row],[Flux in RT / glucose uptake ($mmol/mmol\ glc$)]])/SQRT(2)</f>
        <v>0</v>
      </c>
      <c r="F1089">
        <f>Table1[[#This Row],[distance from 45-degree line]]/MAX(Table1[[Flux in SC / glucose uptake ($mmol/mmol\ glc$)]:[Flux in RT / glucose uptake ($mmol/mmol\ glc$)]])</f>
        <v>0</v>
      </c>
      <c r="G1089">
        <f>_xlfn.RANK.AVG(Table1[[#This Row],[Flux in SC / glucose uptake ($mmol/mmol\ glc$)]],Table1[Flux in SC / glucose uptake ($mmol/mmol\ glc$)])</f>
        <v>1310.5</v>
      </c>
      <c r="H1089">
        <f>_xlfn.RANK.AVG(Table1[[#This Row],[Flux in RT / glucose uptake ($mmol/mmol\ glc$)]],Table1[Flux in RT / glucose uptake ($mmol/mmol\ glc$)])</f>
        <v>1290.5</v>
      </c>
      <c r="I1089" t="e">
        <f>LOG(Table1[[#This Row],[Flux in SC / glucose uptake ($mmol/mmol\ glc$)]])</f>
        <v>#NUM!</v>
      </c>
      <c r="J1089" t="e">
        <f>LOG(Table1[[#This Row],[Flux in RT / glucose uptake ($mmol/mmol\ glc$)]])</f>
        <v>#NUM!</v>
      </c>
    </row>
    <row r="1090" spans="1:10" x14ac:dyDescent="0.2">
      <c r="A1090" t="s">
        <v>1093</v>
      </c>
      <c r="B1090" t="s">
        <v>3135</v>
      </c>
      <c r="C1090">
        <v>0</v>
      </c>
      <c r="D1090">
        <v>0</v>
      </c>
      <c r="E1090">
        <f>ABS(Table1[[#This Row],[Flux in SC / glucose uptake ($mmol/mmol\ glc$)]]-Table1[[#This Row],[Flux in RT / glucose uptake ($mmol/mmol\ glc$)]])/SQRT(2)</f>
        <v>0</v>
      </c>
      <c r="F1090">
        <f>Table1[[#This Row],[distance from 45-degree line]]/MAX(Table1[[Flux in SC / glucose uptake ($mmol/mmol\ glc$)]:[Flux in RT / glucose uptake ($mmol/mmol\ glc$)]])</f>
        <v>0</v>
      </c>
      <c r="G1090">
        <f>_xlfn.RANK.AVG(Table1[[#This Row],[Flux in SC / glucose uptake ($mmol/mmol\ glc$)]],Table1[Flux in SC / glucose uptake ($mmol/mmol\ glc$)])</f>
        <v>1310.5</v>
      </c>
      <c r="H1090">
        <f>_xlfn.RANK.AVG(Table1[[#This Row],[Flux in RT / glucose uptake ($mmol/mmol\ glc$)]],Table1[Flux in RT / glucose uptake ($mmol/mmol\ glc$)])</f>
        <v>1290.5</v>
      </c>
      <c r="I1090" t="e">
        <f>LOG(Table1[[#This Row],[Flux in SC / glucose uptake ($mmol/mmol\ glc$)]])</f>
        <v>#NUM!</v>
      </c>
      <c r="J1090" t="e">
        <f>LOG(Table1[[#This Row],[Flux in RT / glucose uptake ($mmol/mmol\ glc$)]])</f>
        <v>#NUM!</v>
      </c>
    </row>
    <row r="1091" spans="1:10" x14ac:dyDescent="0.2">
      <c r="A1091" t="s">
        <v>1094</v>
      </c>
      <c r="B1091" t="s">
        <v>3135</v>
      </c>
      <c r="C1091">
        <v>0</v>
      </c>
      <c r="D1091">
        <v>0</v>
      </c>
      <c r="E1091">
        <f>ABS(Table1[[#This Row],[Flux in SC / glucose uptake ($mmol/mmol\ glc$)]]-Table1[[#This Row],[Flux in RT / glucose uptake ($mmol/mmol\ glc$)]])/SQRT(2)</f>
        <v>0</v>
      </c>
      <c r="F1091">
        <f>Table1[[#This Row],[distance from 45-degree line]]/MAX(Table1[[Flux in SC / glucose uptake ($mmol/mmol\ glc$)]:[Flux in RT / glucose uptake ($mmol/mmol\ glc$)]])</f>
        <v>0</v>
      </c>
      <c r="G1091">
        <f>_xlfn.RANK.AVG(Table1[[#This Row],[Flux in SC / glucose uptake ($mmol/mmol\ glc$)]],Table1[Flux in SC / glucose uptake ($mmol/mmol\ glc$)])</f>
        <v>1310.5</v>
      </c>
      <c r="H1091">
        <f>_xlfn.RANK.AVG(Table1[[#This Row],[Flux in RT / glucose uptake ($mmol/mmol\ glc$)]],Table1[Flux in RT / glucose uptake ($mmol/mmol\ glc$)])</f>
        <v>1290.5</v>
      </c>
      <c r="I1091" t="e">
        <f>LOG(Table1[[#This Row],[Flux in SC / glucose uptake ($mmol/mmol\ glc$)]])</f>
        <v>#NUM!</v>
      </c>
      <c r="J1091" t="e">
        <f>LOG(Table1[[#This Row],[Flux in RT / glucose uptake ($mmol/mmol\ glc$)]])</f>
        <v>#NUM!</v>
      </c>
    </row>
    <row r="1092" spans="1:10" x14ac:dyDescent="0.2">
      <c r="A1092" t="s">
        <v>1095</v>
      </c>
      <c r="B1092" t="s">
        <v>3135</v>
      </c>
      <c r="C1092">
        <v>0</v>
      </c>
      <c r="D1092">
        <v>0</v>
      </c>
      <c r="E1092">
        <f>ABS(Table1[[#This Row],[Flux in SC / glucose uptake ($mmol/mmol\ glc$)]]-Table1[[#This Row],[Flux in RT / glucose uptake ($mmol/mmol\ glc$)]])/SQRT(2)</f>
        <v>0</v>
      </c>
      <c r="F1092">
        <f>Table1[[#This Row],[distance from 45-degree line]]/MAX(Table1[[Flux in SC / glucose uptake ($mmol/mmol\ glc$)]:[Flux in RT / glucose uptake ($mmol/mmol\ glc$)]])</f>
        <v>0</v>
      </c>
      <c r="G1092">
        <f>_xlfn.RANK.AVG(Table1[[#This Row],[Flux in SC / glucose uptake ($mmol/mmol\ glc$)]],Table1[Flux in SC / glucose uptake ($mmol/mmol\ glc$)])</f>
        <v>1310.5</v>
      </c>
      <c r="H1092">
        <f>_xlfn.RANK.AVG(Table1[[#This Row],[Flux in RT / glucose uptake ($mmol/mmol\ glc$)]],Table1[Flux in RT / glucose uptake ($mmol/mmol\ glc$)])</f>
        <v>1290.5</v>
      </c>
      <c r="I1092" t="e">
        <f>LOG(Table1[[#This Row],[Flux in SC / glucose uptake ($mmol/mmol\ glc$)]])</f>
        <v>#NUM!</v>
      </c>
      <c r="J1092" t="e">
        <f>LOG(Table1[[#This Row],[Flux in RT / glucose uptake ($mmol/mmol\ glc$)]])</f>
        <v>#NUM!</v>
      </c>
    </row>
    <row r="1093" spans="1:10" x14ac:dyDescent="0.2">
      <c r="A1093" t="s">
        <v>1096</v>
      </c>
      <c r="B1093" t="s">
        <v>3135</v>
      </c>
      <c r="C1093">
        <v>0</v>
      </c>
      <c r="D1093">
        <v>0</v>
      </c>
      <c r="E1093">
        <f>ABS(Table1[[#This Row],[Flux in SC / glucose uptake ($mmol/mmol\ glc$)]]-Table1[[#This Row],[Flux in RT / glucose uptake ($mmol/mmol\ glc$)]])/SQRT(2)</f>
        <v>0</v>
      </c>
      <c r="F1093">
        <f>Table1[[#This Row],[distance from 45-degree line]]/MAX(Table1[[Flux in SC / glucose uptake ($mmol/mmol\ glc$)]:[Flux in RT / glucose uptake ($mmol/mmol\ glc$)]])</f>
        <v>0</v>
      </c>
      <c r="G1093">
        <f>_xlfn.RANK.AVG(Table1[[#This Row],[Flux in SC / glucose uptake ($mmol/mmol\ glc$)]],Table1[Flux in SC / glucose uptake ($mmol/mmol\ glc$)])</f>
        <v>1310.5</v>
      </c>
      <c r="H1093">
        <f>_xlfn.RANK.AVG(Table1[[#This Row],[Flux in RT / glucose uptake ($mmol/mmol\ glc$)]],Table1[Flux in RT / glucose uptake ($mmol/mmol\ glc$)])</f>
        <v>1290.5</v>
      </c>
      <c r="I1093" t="e">
        <f>LOG(Table1[[#This Row],[Flux in SC / glucose uptake ($mmol/mmol\ glc$)]])</f>
        <v>#NUM!</v>
      </c>
      <c r="J1093" t="e">
        <f>LOG(Table1[[#This Row],[Flux in RT / glucose uptake ($mmol/mmol\ glc$)]])</f>
        <v>#NUM!</v>
      </c>
    </row>
    <row r="1094" spans="1:10" x14ac:dyDescent="0.2">
      <c r="A1094" t="s">
        <v>1097</v>
      </c>
      <c r="B1094" t="s">
        <v>3135</v>
      </c>
      <c r="C1094">
        <v>0</v>
      </c>
      <c r="D1094">
        <v>0</v>
      </c>
      <c r="E1094">
        <f>ABS(Table1[[#This Row],[Flux in SC / glucose uptake ($mmol/mmol\ glc$)]]-Table1[[#This Row],[Flux in RT / glucose uptake ($mmol/mmol\ glc$)]])/SQRT(2)</f>
        <v>0</v>
      </c>
      <c r="F1094">
        <f>Table1[[#This Row],[distance from 45-degree line]]/MAX(Table1[[Flux in SC / glucose uptake ($mmol/mmol\ glc$)]:[Flux in RT / glucose uptake ($mmol/mmol\ glc$)]])</f>
        <v>0</v>
      </c>
      <c r="G1094">
        <f>_xlfn.RANK.AVG(Table1[[#This Row],[Flux in SC / glucose uptake ($mmol/mmol\ glc$)]],Table1[Flux in SC / glucose uptake ($mmol/mmol\ glc$)])</f>
        <v>1310.5</v>
      </c>
      <c r="H1094">
        <f>_xlfn.RANK.AVG(Table1[[#This Row],[Flux in RT / glucose uptake ($mmol/mmol\ glc$)]],Table1[Flux in RT / glucose uptake ($mmol/mmol\ glc$)])</f>
        <v>1290.5</v>
      </c>
      <c r="I1094" t="e">
        <f>LOG(Table1[[#This Row],[Flux in SC / glucose uptake ($mmol/mmol\ glc$)]])</f>
        <v>#NUM!</v>
      </c>
      <c r="J1094" t="e">
        <f>LOG(Table1[[#This Row],[Flux in RT / glucose uptake ($mmol/mmol\ glc$)]])</f>
        <v>#NUM!</v>
      </c>
    </row>
    <row r="1095" spans="1:10" x14ac:dyDescent="0.2">
      <c r="A1095" t="s">
        <v>1098</v>
      </c>
      <c r="B1095" t="s">
        <v>3135</v>
      </c>
      <c r="C1095">
        <v>0</v>
      </c>
      <c r="D1095">
        <v>0</v>
      </c>
      <c r="E1095">
        <f>ABS(Table1[[#This Row],[Flux in SC / glucose uptake ($mmol/mmol\ glc$)]]-Table1[[#This Row],[Flux in RT / glucose uptake ($mmol/mmol\ glc$)]])/SQRT(2)</f>
        <v>0</v>
      </c>
      <c r="F1095">
        <f>Table1[[#This Row],[distance from 45-degree line]]/MAX(Table1[[Flux in SC / glucose uptake ($mmol/mmol\ glc$)]:[Flux in RT / glucose uptake ($mmol/mmol\ glc$)]])</f>
        <v>0</v>
      </c>
      <c r="G1095">
        <f>_xlfn.RANK.AVG(Table1[[#This Row],[Flux in SC / glucose uptake ($mmol/mmol\ glc$)]],Table1[Flux in SC / glucose uptake ($mmol/mmol\ glc$)])</f>
        <v>1310.5</v>
      </c>
      <c r="H1095">
        <f>_xlfn.RANK.AVG(Table1[[#This Row],[Flux in RT / glucose uptake ($mmol/mmol\ glc$)]],Table1[Flux in RT / glucose uptake ($mmol/mmol\ glc$)])</f>
        <v>1290.5</v>
      </c>
      <c r="I1095" t="e">
        <f>LOG(Table1[[#This Row],[Flux in SC / glucose uptake ($mmol/mmol\ glc$)]])</f>
        <v>#NUM!</v>
      </c>
      <c r="J1095" t="e">
        <f>LOG(Table1[[#This Row],[Flux in RT / glucose uptake ($mmol/mmol\ glc$)]])</f>
        <v>#NUM!</v>
      </c>
    </row>
    <row r="1096" spans="1:10" x14ac:dyDescent="0.2">
      <c r="A1096" t="s">
        <v>1099</v>
      </c>
      <c r="B1096" t="s">
        <v>3135</v>
      </c>
      <c r="C1096">
        <v>0</v>
      </c>
      <c r="D1096">
        <v>0</v>
      </c>
      <c r="E1096">
        <f>ABS(Table1[[#This Row],[Flux in SC / glucose uptake ($mmol/mmol\ glc$)]]-Table1[[#This Row],[Flux in RT / glucose uptake ($mmol/mmol\ glc$)]])/SQRT(2)</f>
        <v>0</v>
      </c>
      <c r="F1096">
        <f>Table1[[#This Row],[distance from 45-degree line]]/MAX(Table1[[Flux in SC / glucose uptake ($mmol/mmol\ glc$)]:[Flux in RT / glucose uptake ($mmol/mmol\ glc$)]])</f>
        <v>0</v>
      </c>
      <c r="G1096">
        <f>_xlfn.RANK.AVG(Table1[[#This Row],[Flux in SC / glucose uptake ($mmol/mmol\ glc$)]],Table1[Flux in SC / glucose uptake ($mmol/mmol\ glc$)])</f>
        <v>1310.5</v>
      </c>
      <c r="H1096">
        <f>_xlfn.RANK.AVG(Table1[[#This Row],[Flux in RT / glucose uptake ($mmol/mmol\ glc$)]],Table1[Flux in RT / glucose uptake ($mmol/mmol\ glc$)])</f>
        <v>1290.5</v>
      </c>
      <c r="I1096" t="e">
        <f>LOG(Table1[[#This Row],[Flux in SC / glucose uptake ($mmol/mmol\ glc$)]])</f>
        <v>#NUM!</v>
      </c>
      <c r="J1096" t="e">
        <f>LOG(Table1[[#This Row],[Flux in RT / glucose uptake ($mmol/mmol\ glc$)]])</f>
        <v>#NUM!</v>
      </c>
    </row>
    <row r="1097" spans="1:10" x14ac:dyDescent="0.2">
      <c r="A1097" t="s">
        <v>1100</v>
      </c>
      <c r="B1097" t="s">
        <v>3135</v>
      </c>
      <c r="C1097">
        <v>0</v>
      </c>
      <c r="D1097">
        <v>0</v>
      </c>
      <c r="E1097">
        <f>ABS(Table1[[#This Row],[Flux in SC / glucose uptake ($mmol/mmol\ glc$)]]-Table1[[#This Row],[Flux in RT / glucose uptake ($mmol/mmol\ glc$)]])/SQRT(2)</f>
        <v>0</v>
      </c>
      <c r="F1097">
        <f>Table1[[#This Row],[distance from 45-degree line]]/MAX(Table1[[Flux in SC / glucose uptake ($mmol/mmol\ glc$)]:[Flux in RT / glucose uptake ($mmol/mmol\ glc$)]])</f>
        <v>0</v>
      </c>
      <c r="G1097">
        <f>_xlfn.RANK.AVG(Table1[[#This Row],[Flux in SC / glucose uptake ($mmol/mmol\ glc$)]],Table1[Flux in SC / glucose uptake ($mmol/mmol\ glc$)])</f>
        <v>1310.5</v>
      </c>
      <c r="H1097">
        <f>_xlfn.RANK.AVG(Table1[[#This Row],[Flux in RT / glucose uptake ($mmol/mmol\ glc$)]],Table1[Flux in RT / glucose uptake ($mmol/mmol\ glc$)])</f>
        <v>1290.5</v>
      </c>
      <c r="I1097" t="e">
        <f>LOG(Table1[[#This Row],[Flux in SC / glucose uptake ($mmol/mmol\ glc$)]])</f>
        <v>#NUM!</v>
      </c>
      <c r="J1097" t="e">
        <f>LOG(Table1[[#This Row],[Flux in RT / glucose uptake ($mmol/mmol\ glc$)]])</f>
        <v>#NUM!</v>
      </c>
    </row>
    <row r="1098" spans="1:10" x14ac:dyDescent="0.2">
      <c r="A1098" t="s">
        <v>1101</v>
      </c>
      <c r="B1098" t="s">
        <v>3135</v>
      </c>
      <c r="C1098">
        <v>0</v>
      </c>
      <c r="D1098">
        <v>0</v>
      </c>
      <c r="E1098">
        <f>ABS(Table1[[#This Row],[Flux in SC / glucose uptake ($mmol/mmol\ glc$)]]-Table1[[#This Row],[Flux in RT / glucose uptake ($mmol/mmol\ glc$)]])/SQRT(2)</f>
        <v>0</v>
      </c>
      <c r="F1098">
        <f>Table1[[#This Row],[distance from 45-degree line]]/MAX(Table1[[Flux in SC / glucose uptake ($mmol/mmol\ glc$)]:[Flux in RT / glucose uptake ($mmol/mmol\ glc$)]])</f>
        <v>0</v>
      </c>
      <c r="G1098">
        <f>_xlfn.RANK.AVG(Table1[[#This Row],[Flux in SC / glucose uptake ($mmol/mmol\ glc$)]],Table1[Flux in SC / glucose uptake ($mmol/mmol\ glc$)])</f>
        <v>1310.5</v>
      </c>
      <c r="H1098">
        <f>_xlfn.RANK.AVG(Table1[[#This Row],[Flux in RT / glucose uptake ($mmol/mmol\ glc$)]],Table1[Flux in RT / glucose uptake ($mmol/mmol\ glc$)])</f>
        <v>1290.5</v>
      </c>
      <c r="I1098" t="e">
        <f>LOG(Table1[[#This Row],[Flux in SC / glucose uptake ($mmol/mmol\ glc$)]])</f>
        <v>#NUM!</v>
      </c>
      <c r="J1098" t="e">
        <f>LOG(Table1[[#This Row],[Flux in RT / glucose uptake ($mmol/mmol\ glc$)]])</f>
        <v>#NUM!</v>
      </c>
    </row>
    <row r="1099" spans="1:10" x14ac:dyDescent="0.2">
      <c r="A1099" t="s">
        <v>1102</v>
      </c>
      <c r="B1099" t="s">
        <v>3135</v>
      </c>
      <c r="C1099">
        <v>0</v>
      </c>
      <c r="D1099">
        <v>0</v>
      </c>
      <c r="E1099">
        <f>ABS(Table1[[#This Row],[Flux in SC / glucose uptake ($mmol/mmol\ glc$)]]-Table1[[#This Row],[Flux in RT / glucose uptake ($mmol/mmol\ glc$)]])/SQRT(2)</f>
        <v>0</v>
      </c>
      <c r="F1099">
        <f>Table1[[#This Row],[distance from 45-degree line]]/MAX(Table1[[Flux in SC / glucose uptake ($mmol/mmol\ glc$)]:[Flux in RT / glucose uptake ($mmol/mmol\ glc$)]])</f>
        <v>0</v>
      </c>
      <c r="G1099">
        <f>_xlfn.RANK.AVG(Table1[[#This Row],[Flux in SC / glucose uptake ($mmol/mmol\ glc$)]],Table1[Flux in SC / glucose uptake ($mmol/mmol\ glc$)])</f>
        <v>1310.5</v>
      </c>
      <c r="H1099">
        <f>_xlfn.RANK.AVG(Table1[[#This Row],[Flux in RT / glucose uptake ($mmol/mmol\ glc$)]],Table1[Flux in RT / glucose uptake ($mmol/mmol\ glc$)])</f>
        <v>1290.5</v>
      </c>
      <c r="I1099" t="e">
        <f>LOG(Table1[[#This Row],[Flux in SC / glucose uptake ($mmol/mmol\ glc$)]])</f>
        <v>#NUM!</v>
      </c>
      <c r="J1099" t="e">
        <f>LOG(Table1[[#This Row],[Flux in RT / glucose uptake ($mmol/mmol\ glc$)]])</f>
        <v>#NUM!</v>
      </c>
    </row>
    <row r="1100" spans="1:10" x14ac:dyDescent="0.2">
      <c r="A1100" t="s">
        <v>1103</v>
      </c>
      <c r="B1100" t="s">
        <v>3135</v>
      </c>
      <c r="C1100">
        <v>0</v>
      </c>
      <c r="D1100">
        <v>0</v>
      </c>
      <c r="E1100">
        <f>ABS(Table1[[#This Row],[Flux in SC / glucose uptake ($mmol/mmol\ glc$)]]-Table1[[#This Row],[Flux in RT / glucose uptake ($mmol/mmol\ glc$)]])/SQRT(2)</f>
        <v>0</v>
      </c>
      <c r="F1100">
        <f>Table1[[#This Row],[distance from 45-degree line]]/MAX(Table1[[Flux in SC / glucose uptake ($mmol/mmol\ glc$)]:[Flux in RT / glucose uptake ($mmol/mmol\ glc$)]])</f>
        <v>0</v>
      </c>
      <c r="G1100">
        <f>_xlfn.RANK.AVG(Table1[[#This Row],[Flux in SC / glucose uptake ($mmol/mmol\ glc$)]],Table1[Flux in SC / glucose uptake ($mmol/mmol\ glc$)])</f>
        <v>1310.5</v>
      </c>
      <c r="H1100">
        <f>_xlfn.RANK.AVG(Table1[[#This Row],[Flux in RT / glucose uptake ($mmol/mmol\ glc$)]],Table1[Flux in RT / glucose uptake ($mmol/mmol\ glc$)])</f>
        <v>1290.5</v>
      </c>
      <c r="I1100" t="e">
        <f>LOG(Table1[[#This Row],[Flux in SC / glucose uptake ($mmol/mmol\ glc$)]])</f>
        <v>#NUM!</v>
      </c>
      <c r="J1100" t="e">
        <f>LOG(Table1[[#This Row],[Flux in RT / glucose uptake ($mmol/mmol\ glc$)]])</f>
        <v>#NUM!</v>
      </c>
    </row>
    <row r="1101" spans="1:10" x14ac:dyDescent="0.2">
      <c r="A1101" t="s">
        <v>1104</v>
      </c>
      <c r="B1101" t="s">
        <v>3135</v>
      </c>
      <c r="C1101">
        <v>0</v>
      </c>
      <c r="D1101">
        <v>0</v>
      </c>
      <c r="E1101">
        <f>ABS(Table1[[#This Row],[Flux in SC / glucose uptake ($mmol/mmol\ glc$)]]-Table1[[#This Row],[Flux in RT / glucose uptake ($mmol/mmol\ glc$)]])/SQRT(2)</f>
        <v>0</v>
      </c>
      <c r="F1101">
        <f>Table1[[#This Row],[distance from 45-degree line]]/MAX(Table1[[Flux in SC / glucose uptake ($mmol/mmol\ glc$)]:[Flux in RT / glucose uptake ($mmol/mmol\ glc$)]])</f>
        <v>0</v>
      </c>
      <c r="G1101">
        <f>_xlfn.RANK.AVG(Table1[[#This Row],[Flux in SC / glucose uptake ($mmol/mmol\ glc$)]],Table1[Flux in SC / glucose uptake ($mmol/mmol\ glc$)])</f>
        <v>1310.5</v>
      </c>
      <c r="H1101">
        <f>_xlfn.RANK.AVG(Table1[[#This Row],[Flux in RT / glucose uptake ($mmol/mmol\ glc$)]],Table1[Flux in RT / glucose uptake ($mmol/mmol\ glc$)])</f>
        <v>1290.5</v>
      </c>
      <c r="I1101" t="e">
        <f>LOG(Table1[[#This Row],[Flux in SC / glucose uptake ($mmol/mmol\ glc$)]])</f>
        <v>#NUM!</v>
      </c>
      <c r="J1101" t="e">
        <f>LOG(Table1[[#This Row],[Flux in RT / glucose uptake ($mmol/mmol\ glc$)]])</f>
        <v>#NUM!</v>
      </c>
    </row>
    <row r="1102" spans="1:10" x14ac:dyDescent="0.2">
      <c r="A1102" t="s">
        <v>1105</v>
      </c>
      <c r="B1102" t="s">
        <v>3153</v>
      </c>
      <c r="C1102">
        <v>0</v>
      </c>
      <c r="D1102">
        <v>0</v>
      </c>
      <c r="E1102">
        <f>ABS(Table1[[#This Row],[Flux in SC / glucose uptake ($mmol/mmol\ glc$)]]-Table1[[#This Row],[Flux in RT / glucose uptake ($mmol/mmol\ glc$)]])/SQRT(2)</f>
        <v>0</v>
      </c>
      <c r="F1102">
        <f>Table1[[#This Row],[distance from 45-degree line]]/MAX(Table1[[Flux in SC / glucose uptake ($mmol/mmol\ glc$)]:[Flux in RT / glucose uptake ($mmol/mmol\ glc$)]])</f>
        <v>0</v>
      </c>
      <c r="G1102">
        <f>_xlfn.RANK.AVG(Table1[[#This Row],[Flux in SC / glucose uptake ($mmol/mmol\ glc$)]],Table1[Flux in SC / glucose uptake ($mmol/mmol\ glc$)])</f>
        <v>1310.5</v>
      </c>
      <c r="H1102">
        <f>_xlfn.RANK.AVG(Table1[[#This Row],[Flux in RT / glucose uptake ($mmol/mmol\ glc$)]],Table1[Flux in RT / glucose uptake ($mmol/mmol\ glc$)])</f>
        <v>1290.5</v>
      </c>
      <c r="I1102" t="e">
        <f>LOG(Table1[[#This Row],[Flux in SC / glucose uptake ($mmol/mmol\ glc$)]])</f>
        <v>#NUM!</v>
      </c>
      <c r="J1102" t="e">
        <f>LOG(Table1[[#This Row],[Flux in RT / glucose uptake ($mmol/mmol\ glc$)]])</f>
        <v>#NUM!</v>
      </c>
    </row>
    <row r="1103" spans="1:10" x14ac:dyDescent="0.2">
      <c r="A1103" t="s">
        <v>1106</v>
      </c>
      <c r="B1103" t="s">
        <v>3142</v>
      </c>
      <c r="C1103">
        <v>0</v>
      </c>
      <c r="D1103">
        <v>0</v>
      </c>
      <c r="E1103">
        <f>ABS(Table1[[#This Row],[Flux in SC / glucose uptake ($mmol/mmol\ glc$)]]-Table1[[#This Row],[Flux in RT / glucose uptake ($mmol/mmol\ glc$)]])/SQRT(2)</f>
        <v>0</v>
      </c>
      <c r="F1103">
        <f>Table1[[#This Row],[distance from 45-degree line]]/MAX(Table1[[Flux in SC / glucose uptake ($mmol/mmol\ glc$)]:[Flux in RT / glucose uptake ($mmol/mmol\ glc$)]])</f>
        <v>0</v>
      </c>
      <c r="G1103">
        <f>_xlfn.RANK.AVG(Table1[[#This Row],[Flux in SC / glucose uptake ($mmol/mmol\ glc$)]],Table1[Flux in SC / glucose uptake ($mmol/mmol\ glc$)])</f>
        <v>1310.5</v>
      </c>
      <c r="H1103">
        <f>_xlfn.RANK.AVG(Table1[[#This Row],[Flux in RT / glucose uptake ($mmol/mmol\ glc$)]],Table1[Flux in RT / glucose uptake ($mmol/mmol\ glc$)])</f>
        <v>1290.5</v>
      </c>
      <c r="I1103" t="e">
        <f>LOG(Table1[[#This Row],[Flux in SC / glucose uptake ($mmol/mmol\ glc$)]])</f>
        <v>#NUM!</v>
      </c>
      <c r="J1103" t="e">
        <f>LOG(Table1[[#This Row],[Flux in RT / glucose uptake ($mmol/mmol\ glc$)]])</f>
        <v>#NUM!</v>
      </c>
    </row>
    <row r="1104" spans="1:10" x14ac:dyDescent="0.2">
      <c r="A1104" t="s">
        <v>1107</v>
      </c>
      <c r="B1104" t="s">
        <v>3153</v>
      </c>
      <c r="C1104">
        <v>0</v>
      </c>
      <c r="D1104">
        <v>0</v>
      </c>
      <c r="E1104">
        <f>ABS(Table1[[#This Row],[Flux in SC / glucose uptake ($mmol/mmol\ glc$)]]-Table1[[#This Row],[Flux in RT / glucose uptake ($mmol/mmol\ glc$)]])/SQRT(2)</f>
        <v>0</v>
      </c>
      <c r="F1104">
        <f>Table1[[#This Row],[distance from 45-degree line]]/MAX(Table1[[Flux in SC / glucose uptake ($mmol/mmol\ glc$)]:[Flux in RT / glucose uptake ($mmol/mmol\ glc$)]])</f>
        <v>0</v>
      </c>
      <c r="G1104">
        <f>_xlfn.RANK.AVG(Table1[[#This Row],[Flux in SC / glucose uptake ($mmol/mmol\ glc$)]],Table1[Flux in SC / glucose uptake ($mmol/mmol\ glc$)])</f>
        <v>1310.5</v>
      </c>
      <c r="H1104">
        <f>_xlfn.RANK.AVG(Table1[[#This Row],[Flux in RT / glucose uptake ($mmol/mmol\ glc$)]],Table1[Flux in RT / glucose uptake ($mmol/mmol\ glc$)])</f>
        <v>1290.5</v>
      </c>
      <c r="I1104" t="e">
        <f>LOG(Table1[[#This Row],[Flux in SC / glucose uptake ($mmol/mmol\ glc$)]])</f>
        <v>#NUM!</v>
      </c>
      <c r="J1104" t="e">
        <f>LOG(Table1[[#This Row],[Flux in RT / glucose uptake ($mmol/mmol\ glc$)]])</f>
        <v>#NUM!</v>
      </c>
    </row>
    <row r="1105" spans="1:10" x14ac:dyDescent="0.2">
      <c r="A1105" t="s">
        <v>1108</v>
      </c>
      <c r="B1105" t="s">
        <v>3123</v>
      </c>
      <c r="C1105">
        <v>0</v>
      </c>
      <c r="D1105">
        <v>0</v>
      </c>
      <c r="E1105">
        <f>ABS(Table1[[#This Row],[Flux in SC / glucose uptake ($mmol/mmol\ glc$)]]-Table1[[#This Row],[Flux in RT / glucose uptake ($mmol/mmol\ glc$)]])/SQRT(2)</f>
        <v>0</v>
      </c>
      <c r="F1105">
        <f>Table1[[#This Row],[distance from 45-degree line]]/MAX(Table1[[Flux in SC / glucose uptake ($mmol/mmol\ glc$)]:[Flux in RT / glucose uptake ($mmol/mmol\ glc$)]])</f>
        <v>0</v>
      </c>
      <c r="G1105">
        <f>_xlfn.RANK.AVG(Table1[[#This Row],[Flux in SC / glucose uptake ($mmol/mmol\ glc$)]],Table1[Flux in SC / glucose uptake ($mmol/mmol\ glc$)])</f>
        <v>1310.5</v>
      </c>
      <c r="H1105">
        <f>_xlfn.RANK.AVG(Table1[[#This Row],[Flux in RT / glucose uptake ($mmol/mmol\ glc$)]],Table1[Flux in RT / glucose uptake ($mmol/mmol\ glc$)])</f>
        <v>1290.5</v>
      </c>
      <c r="I1105" t="e">
        <f>LOG(Table1[[#This Row],[Flux in SC / glucose uptake ($mmol/mmol\ glc$)]])</f>
        <v>#NUM!</v>
      </c>
      <c r="J1105" t="e">
        <f>LOG(Table1[[#This Row],[Flux in RT / glucose uptake ($mmol/mmol\ glc$)]])</f>
        <v>#NUM!</v>
      </c>
    </row>
    <row r="1106" spans="1:10" x14ac:dyDescent="0.2">
      <c r="A1106" t="s">
        <v>1109</v>
      </c>
      <c r="B1106" t="s">
        <v>3135</v>
      </c>
      <c r="C1106">
        <v>0</v>
      </c>
      <c r="D1106">
        <v>0</v>
      </c>
      <c r="E1106">
        <f>ABS(Table1[[#This Row],[Flux in SC / glucose uptake ($mmol/mmol\ glc$)]]-Table1[[#This Row],[Flux in RT / glucose uptake ($mmol/mmol\ glc$)]])/SQRT(2)</f>
        <v>0</v>
      </c>
      <c r="F1106">
        <f>Table1[[#This Row],[distance from 45-degree line]]/MAX(Table1[[Flux in SC / glucose uptake ($mmol/mmol\ glc$)]:[Flux in RT / glucose uptake ($mmol/mmol\ glc$)]])</f>
        <v>0</v>
      </c>
      <c r="G1106">
        <f>_xlfn.RANK.AVG(Table1[[#This Row],[Flux in SC / glucose uptake ($mmol/mmol\ glc$)]],Table1[Flux in SC / glucose uptake ($mmol/mmol\ glc$)])</f>
        <v>1310.5</v>
      </c>
      <c r="H1106">
        <f>_xlfn.RANK.AVG(Table1[[#This Row],[Flux in RT / glucose uptake ($mmol/mmol\ glc$)]],Table1[Flux in RT / glucose uptake ($mmol/mmol\ glc$)])</f>
        <v>1290.5</v>
      </c>
      <c r="I1106" t="e">
        <f>LOG(Table1[[#This Row],[Flux in SC / glucose uptake ($mmol/mmol\ glc$)]])</f>
        <v>#NUM!</v>
      </c>
      <c r="J1106" t="e">
        <f>LOG(Table1[[#This Row],[Flux in RT / glucose uptake ($mmol/mmol\ glc$)]])</f>
        <v>#NUM!</v>
      </c>
    </row>
    <row r="1107" spans="1:10" x14ac:dyDescent="0.2">
      <c r="A1107" t="s">
        <v>1110</v>
      </c>
      <c r="B1107" t="s">
        <v>3114</v>
      </c>
      <c r="C1107">
        <v>7.2220642295365566E-9</v>
      </c>
      <c r="D1107">
        <v>0</v>
      </c>
      <c r="E1107">
        <f>ABS(Table1[[#This Row],[Flux in SC / glucose uptake ($mmol/mmol\ glc$)]]-Table1[[#This Row],[Flux in RT / glucose uptake ($mmol/mmol\ glc$)]])/SQRT(2)</f>
        <v>5.1067705908700977E-9</v>
      </c>
      <c r="F1107">
        <f>Table1[[#This Row],[distance from 45-degree line]]/MAX(Table1[[Flux in SC / glucose uptake ($mmol/mmol\ glc$)]:[Flux in RT / glucose uptake ($mmol/mmol\ glc$)]])</f>
        <v>2.752491076859178E-10</v>
      </c>
      <c r="G1107">
        <f>_xlfn.RANK.AVG(Table1[[#This Row],[Flux in SC / glucose uptake ($mmol/mmol\ glc$)]],Table1[Flux in SC / glucose uptake ($mmol/mmol\ glc$)])</f>
        <v>291.5</v>
      </c>
      <c r="H1107">
        <f>_xlfn.RANK.AVG(Table1[[#This Row],[Flux in RT / glucose uptake ($mmol/mmol\ glc$)]],Table1[Flux in RT / glucose uptake ($mmol/mmol\ glc$)])</f>
        <v>1290.5</v>
      </c>
      <c r="I1107">
        <f>LOG(Table1[[#This Row],[Flux in SC / glucose uptake ($mmol/mmol\ glc$)]])</f>
        <v>-8.1413386534875283</v>
      </c>
      <c r="J1107" t="e">
        <f>LOG(Table1[[#This Row],[Flux in RT / glucose uptake ($mmol/mmol\ glc$)]])</f>
        <v>#NUM!</v>
      </c>
    </row>
    <row r="1108" spans="1:10" x14ac:dyDescent="0.2">
      <c r="A1108" t="s">
        <v>1111</v>
      </c>
      <c r="B1108" t="s">
        <v>3114</v>
      </c>
      <c r="C1108">
        <v>7.2220642295365566E-9</v>
      </c>
      <c r="D1108">
        <v>0</v>
      </c>
      <c r="E1108">
        <f>ABS(Table1[[#This Row],[Flux in SC / glucose uptake ($mmol/mmol\ glc$)]]-Table1[[#This Row],[Flux in RT / glucose uptake ($mmol/mmol\ glc$)]])/SQRT(2)</f>
        <v>5.1067705908700977E-9</v>
      </c>
      <c r="F1108">
        <f>Table1[[#This Row],[distance from 45-degree line]]/MAX(Table1[[Flux in SC / glucose uptake ($mmol/mmol\ glc$)]:[Flux in RT / glucose uptake ($mmol/mmol\ glc$)]])</f>
        <v>2.752491076859178E-10</v>
      </c>
      <c r="G1108">
        <f>_xlfn.RANK.AVG(Table1[[#This Row],[Flux in SC / glucose uptake ($mmol/mmol\ glc$)]],Table1[Flux in SC / glucose uptake ($mmol/mmol\ glc$)])</f>
        <v>291.5</v>
      </c>
      <c r="H1108">
        <f>_xlfn.RANK.AVG(Table1[[#This Row],[Flux in RT / glucose uptake ($mmol/mmol\ glc$)]],Table1[Flux in RT / glucose uptake ($mmol/mmol\ glc$)])</f>
        <v>1290.5</v>
      </c>
      <c r="I1108">
        <f>LOG(Table1[[#This Row],[Flux in SC / glucose uptake ($mmol/mmol\ glc$)]])</f>
        <v>-8.1413386534875283</v>
      </c>
      <c r="J1108" t="e">
        <f>LOG(Table1[[#This Row],[Flux in RT / glucose uptake ($mmol/mmol\ glc$)]])</f>
        <v>#NUM!</v>
      </c>
    </row>
    <row r="1109" spans="1:10" x14ac:dyDescent="0.2">
      <c r="A1109" t="s">
        <v>1112</v>
      </c>
      <c r="B1109" t="s">
        <v>3185</v>
      </c>
      <c r="C1109">
        <v>0</v>
      </c>
      <c r="D1109">
        <v>0</v>
      </c>
      <c r="E1109">
        <f>ABS(Table1[[#This Row],[Flux in SC / glucose uptake ($mmol/mmol\ glc$)]]-Table1[[#This Row],[Flux in RT / glucose uptake ($mmol/mmol\ glc$)]])/SQRT(2)</f>
        <v>0</v>
      </c>
      <c r="F1109">
        <f>Table1[[#This Row],[distance from 45-degree line]]/MAX(Table1[[Flux in SC / glucose uptake ($mmol/mmol\ glc$)]:[Flux in RT / glucose uptake ($mmol/mmol\ glc$)]])</f>
        <v>0</v>
      </c>
      <c r="G1109">
        <f>_xlfn.RANK.AVG(Table1[[#This Row],[Flux in SC / glucose uptake ($mmol/mmol\ glc$)]],Table1[Flux in SC / glucose uptake ($mmol/mmol\ glc$)])</f>
        <v>1310.5</v>
      </c>
      <c r="H1109">
        <f>_xlfn.RANK.AVG(Table1[[#This Row],[Flux in RT / glucose uptake ($mmol/mmol\ glc$)]],Table1[Flux in RT / glucose uptake ($mmol/mmol\ glc$)])</f>
        <v>1290.5</v>
      </c>
      <c r="I1109" t="e">
        <f>LOG(Table1[[#This Row],[Flux in SC / glucose uptake ($mmol/mmol\ glc$)]])</f>
        <v>#NUM!</v>
      </c>
      <c r="J1109" t="e">
        <f>LOG(Table1[[#This Row],[Flux in RT / glucose uptake ($mmol/mmol\ glc$)]])</f>
        <v>#NUM!</v>
      </c>
    </row>
    <row r="1110" spans="1:10" x14ac:dyDescent="0.2">
      <c r="A1110" t="s">
        <v>1113</v>
      </c>
      <c r="B1110" t="s">
        <v>3114</v>
      </c>
      <c r="C1110">
        <v>0</v>
      </c>
      <c r="D1110">
        <v>0</v>
      </c>
      <c r="E1110">
        <f>ABS(Table1[[#This Row],[Flux in SC / glucose uptake ($mmol/mmol\ glc$)]]-Table1[[#This Row],[Flux in RT / glucose uptake ($mmol/mmol\ glc$)]])/SQRT(2)</f>
        <v>0</v>
      </c>
      <c r="F1110">
        <f>Table1[[#This Row],[distance from 45-degree line]]/MAX(Table1[[Flux in SC / glucose uptake ($mmol/mmol\ glc$)]:[Flux in RT / glucose uptake ($mmol/mmol\ glc$)]])</f>
        <v>0</v>
      </c>
      <c r="G1110">
        <f>_xlfn.RANK.AVG(Table1[[#This Row],[Flux in SC / glucose uptake ($mmol/mmol\ glc$)]],Table1[Flux in SC / glucose uptake ($mmol/mmol\ glc$)])</f>
        <v>1310.5</v>
      </c>
      <c r="H1110">
        <f>_xlfn.RANK.AVG(Table1[[#This Row],[Flux in RT / glucose uptake ($mmol/mmol\ glc$)]],Table1[Flux in RT / glucose uptake ($mmol/mmol\ glc$)])</f>
        <v>1290.5</v>
      </c>
      <c r="I1110" t="e">
        <f>LOG(Table1[[#This Row],[Flux in SC / glucose uptake ($mmol/mmol\ glc$)]])</f>
        <v>#NUM!</v>
      </c>
      <c r="J1110" t="e">
        <f>LOG(Table1[[#This Row],[Flux in RT / glucose uptake ($mmol/mmol\ glc$)]])</f>
        <v>#NUM!</v>
      </c>
    </row>
    <row r="1111" spans="1:10" x14ac:dyDescent="0.2">
      <c r="A1111" t="s">
        <v>1114</v>
      </c>
      <c r="B1111" t="s">
        <v>3114</v>
      </c>
      <c r="C1111">
        <v>0</v>
      </c>
      <c r="D1111">
        <v>0</v>
      </c>
      <c r="E1111">
        <f>ABS(Table1[[#This Row],[Flux in SC / glucose uptake ($mmol/mmol\ glc$)]]-Table1[[#This Row],[Flux in RT / glucose uptake ($mmol/mmol\ glc$)]])/SQRT(2)</f>
        <v>0</v>
      </c>
      <c r="F1111">
        <f>Table1[[#This Row],[distance from 45-degree line]]/MAX(Table1[[Flux in SC / glucose uptake ($mmol/mmol\ glc$)]:[Flux in RT / glucose uptake ($mmol/mmol\ glc$)]])</f>
        <v>0</v>
      </c>
      <c r="G1111">
        <f>_xlfn.RANK.AVG(Table1[[#This Row],[Flux in SC / glucose uptake ($mmol/mmol\ glc$)]],Table1[Flux in SC / glucose uptake ($mmol/mmol\ glc$)])</f>
        <v>1310.5</v>
      </c>
      <c r="H1111">
        <f>_xlfn.RANK.AVG(Table1[[#This Row],[Flux in RT / glucose uptake ($mmol/mmol\ glc$)]],Table1[Flux in RT / glucose uptake ($mmol/mmol\ glc$)])</f>
        <v>1290.5</v>
      </c>
      <c r="I1111" t="e">
        <f>LOG(Table1[[#This Row],[Flux in SC / glucose uptake ($mmol/mmol\ glc$)]])</f>
        <v>#NUM!</v>
      </c>
      <c r="J1111" t="e">
        <f>LOG(Table1[[#This Row],[Flux in RT / glucose uptake ($mmol/mmol\ glc$)]])</f>
        <v>#NUM!</v>
      </c>
    </row>
    <row r="1112" spans="1:10" x14ac:dyDescent="0.2">
      <c r="A1112" t="s">
        <v>1115</v>
      </c>
      <c r="B1112" t="s">
        <v>3114</v>
      </c>
      <c r="C1112">
        <v>0</v>
      </c>
      <c r="D1112">
        <v>0</v>
      </c>
      <c r="E1112">
        <f>ABS(Table1[[#This Row],[Flux in SC / glucose uptake ($mmol/mmol\ glc$)]]-Table1[[#This Row],[Flux in RT / glucose uptake ($mmol/mmol\ glc$)]])/SQRT(2)</f>
        <v>0</v>
      </c>
      <c r="F1112">
        <f>Table1[[#This Row],[distance from 45-degree line]]/MAX(Table1[[Flux in SC / glucose uptake ($mmol/mmol\ glc$)]:[Flux in RT / glucose uptake ($mmol/mmol\ glc$)]])</f>
        <v>0</v>
      </c>
      <c r="G1112">
        <f>_xlfn.RANK.AVG(Table1[[#This Row],[Flux in SC / glucose uptake ($mmol/mmol\ glc$)]],Table1[Flux in SC / glucose uptake ($mmol/mmol\ glc$)])</f>
        <v>1310.5</v>
      </c>
      <c r="H1112">
        <f>_xlfn.RANK.AVG(Table1[[#This Row],[Flux in RT / glucose uptake ($mmol/mmol\ glc$)]],Table1[Flux in RT / glucose uptake ($mmol/mmol\ glc$)])</f>
        <v>1290.5</v>
      </c>
      <c r="I1112" t="e">
        <f>LOG(Table1[[#This Row],[Flux in SC / glucose uptake ($mmol/mmol\ glc$)]])</f>
        <v>#NUM!</v>
      </c>
      <c r="J1112" t="e">
        <f>LOG(Table1[[#This Row],[Flux in RT / glucose uptake ($mmol/mmol\ glc$)]])</f>
        <v>#NUM!</v>
      </c>
    </row>
    <row r="1113" spans="1:10" x14ac:dyDescent="0.2">
      <c r="A1113" t="s">
        <v>1116</v>
      </c>
      <c r="B1113" t="s">
        <v>3114</v>
      </c>
      <c r="C1113">
        <v>0</v>
      </c>
      <c r="D1113">
        <v>0</v>
      </c>
      <c r="E1113">
        <f>ABS(Table1[[#This Row],[Flux in SC / glucose uptake ($mmol/mmol\ glc$)]]-Table1[[#This Row],[Flux in RT / glucose uptake ($mmol/mmol\ glc$)]])/SQRT(2)</f>
        <v>0</v>
      </c>
      <c r="F1113">
        <f>Table1[[#This Row],[distance from 45-degree line]]/MAX(Table1[[Flux in SC / glucose uptake ($mmol/mmol\ glc$)]:[Flux in RT / glucose uptake ($mmol/mmol\ glc$)]])</f>
        <v>0</v>
      </c>
      <c r="G1113">
        <f>_xlfn.RANK.AVG(Table1[[#This Row],[Flux in SC / glucose uptake ($mmol/mmol\ glc$)]],Table1[Flux in SC / glucose uptake ($mmol/mmol\ glc$)])</f>
        <v>1310.5</v>
      </c>
      <c r="H1113">
        <f>_xlfn.RANK.AVG(Table1[[#This Row],[Flux in RT / glucose uptake ($mmol/mmol\ glc$)]],Table1[Flux in RT / glucose uptake ($mmol/mmol\ glc$)])</f>
        <v>1290.5</v>
      </c>
      <c r="I1113" t="e">
        <f>LOG(Table1[[#This Row],[Flux in SC / glucose uptake ($mmol/mmol\ glc$)]])</f>
        <v>#NUM!</v>
      </c>
      <c r="J1113" t="e">
        <f>LOG(Table1[[#This Row],[Flux in RT / glucose uptake ($mmol/mmol\ glc$)]])</f>
        <v>#NUM!</v>
      </c>
    </row>
    <row r="1114" spans="1:10" x14ac:dyDescent="0.2">
      <c r="A1114" t="s">
        <v>1117</v>
      </c>
      <c r="B1114" t="s">
        <v>3114</v>
      </c>
      <c r="C1114">
        <v>0</v>
      </c>
      <c r="D1114">
        <v>0</v>
      </c>
      <c r="E1114">
        <f>ABS(Table1[[#This Row],[Flux in SC / glucose uptake ($mmol/mmol\ glc$)]]-Table1[[#This Row],[Flux in RT / glucose uptake ($mmol/mmol\ glc$)]])/SQRT(2)</f>
        <v>0</v>
      </c>
      <c r="F1114">
        <f>Table1[[#This Row],[distance from 45-degree line]]/MAX(Table1[[Flux in SC / glucose uptake ($mmol/mmol\ glc$)]:[Flux in RT / glucose uptake ($mmol/mmol\ glc$)]])</f>
        <v>0</v>
      </c>
      <c r="G1114">
        <f>_xlfn.RANK.AVG(Table1[[#This Row],[Flux in SC / glucose uptake ($mmol/mmol\ glc$)]],Table1[Flux in SC / glucose uptake ($mmol/mmol\ glc$)])</f>
        <v>1310.5</v>
      </c>
      <c r="H1114">
        <f>_xlfn.RANK.AVG(Table1[[#This Row],[Flux in RT / glucose uptake ($mmol/mmol\ glc$)]],Table1[Flux in RT / glucose uptake ($mmol/mmol\ glc$)])</f>
        <v>1290.5</v>
      </c>
      <c r="I1114" t="e">
        <f>LOG(Table1[[#This Row],[Flux in SC / glucose uptake ($mmol/mmol\ glc$)]])</f>
        <v>#NUM!</v>
      </c>
      <c r="J1114" t="e">
        <f>LOG(Table1[[#This Row],[Flux in RT / glucose uptake ($mmol/mmol\ glc$)]])</f>
        <v>#NUM!</v>
      </c>
    </row>
    <row r="1115" spans="1:10" x14ac:dyDescent="0.2">
      <c r="A1115" t="s">
        <v>1118</v>
      </c>
      <c r="B1115" t="s">
        <v>3181</v>
      </c>
      <c r="C1115">
        <v>0.95740062468860498</v>
      </c>
      <c r="D1115">
        <v>0.54745869536705771</v>
      </c>
      <c r="E1115">
        <f>ABS(Table1[[#This Row],[Flux in SC / glucose uptake ($mmol/mmol\ glc$)]]-Table1[[#This Row],[Flux in RT / glucose uptake ($mmol/mmol\ glc$)]])/SQRT(2)</f>
        <v>0.28987271811596244</v>
      </c>
      <c r="F1115">
        <f>Table1[[#This Row],[distance from 45-degree line]]/MAX(Table1[[Flux in SC / glucose uptake ($mmol/mmol\ glc$)]:[Flux in RT / glucose uptake ($mmol/mmol\ glc$)]])</f>
        <v>1.5623808742565035E-2</v>
      </c>
      <c r="G1115">
        <f>_xlfn.RANK.AVG(Table1[[#This Row],[Flux in SC / glucose uptake ($mmol/mmol\ glc$)]],Table1[Flux in SC / glucose uptake ($mmol/mmol\ glc$)])</f>
        <v>16</v>
      </c>
      <c r="H1115">
        <f>_xlfn.RANK.AVG(Table1[[#This Row],[Flux in RT / glucose uptake ($mmol/mmol\ glc$)]],Table1[Flux in RT / glucose uptake ($mmol/mmol\ glc$)])</f>
        <v>39</v>
      </c>
      <c r="I1115">
        <f>LOG(Table1[[#This Row],[Flux in SC / glucose uptake ($mmol/mmol\ glc$)]])</f>
        <v>-1.8906293483769904E-2</v>
      </c>
      <c r="J1115">
        <f>LOG(Table1[[#This Row],[Flux in RT / glucose uptake ($mmol/mmol\ glc$)]])</f>
        <v>-0.26164864187753095</v>
      </c>
    </row>
    <row r="1116" spans="1:10" x14ac:dyDescent="0.2">
      <c r="A1116" t="s">
        <v>1119</v>
      </c>
      <c r="B1116" t="s">
        <v>3181</v>
      </c>
      <c r="C1116">
        <v>0</v>
      </c>
      <c r="D1116">
        <v>0</v>
      </c>
      <c r="E1116">
        <f>ABS(Table1[[#This Row],[Flux in SC / glucose uptake ($mmol/mmol\ glc$)]]-Table1[[#This Row],[Flux in RT / glucose uptake ($mmol/mmol\ glc$)]])/SQRT(2)</f>
        <v>0</v>
      </c>
      <c r="F1116">
        <f>Table1[[#This Row],[distance from 45-degree line]]/MAX(Table1[[Flux in SC / glucose uptake ($mmol/mmol\ glc$)]:[Flux in RT / glucose uptake ($mmol/mmol\ glc$)]])</f>
        <v>0</v>
      </c>
      <c r="G1116">
        <f>_xlfn.RANK.AVG(Table1[[#This Row],[Flux in SC / glucose uptake ($mmol/mmol\ glc$)]],Table1[Flux in SC / glucose uptake ($mmol/mmol\ glc$)])</f>
        <v>1310.5</v>
      </c>
      <c r="H1116">
        <f>_xlfn.RANK.AVG(Table1[[#This Row],[Flux in RT / glucose uptake ($mmol/mmol\ glc$)]],Table1[Flux in RT / glucose uptake ($mmol/mmol\ glc$)])</f>
        <v>1290.5</v>
      </c>
      <c r="I1116" t="e">
        <f>LOG(Table1[[#This Row],[Flux in SC / glucose uptake ($mmol/mmol\ glc$)]])</f>
        <v>#NUM!</v>
      </c>
      <c r="J1116" t="e">
        <f>LOG(Table1[[#This Row],[Flux in RT / glucose uptake ($mmol/mmol\ glc$)]])</f>
        <v>#NUM!</v>
      </c>
    </row>
    <row r="1117" spans="1:10" x14ac:dyDescent="0.2">
      <c r="A1117" t="s">
        <v>1120</v>
      </c>
      <c r="B1117" t="s">
        <v>3182</v>
      </c>
      <c r="C1117">
        <v>-3.6110321147682783E-9</v>
      </c>
      <c r="D1117">
        <v>0</v>
      </c>
      <c r="E1117">
        <f>ABS(Table1[[#This Row],[Flux in SC / glucose uptake ($mmol/mmol\ glc$)]]-Table1[[#This Row],[Flux in RT / glucose uptake ($mmol/mmol\ glc$)]])/SQRT(2)</f>
        <v>2.5533852954350489E-9</v>
      </c>
      <c r="F1117">
        <f>Table1[[#This Row],[distance from 45-degree line]]/MAX(Table1[[Flux in SC / glucose uptake ($mmol/mmol\ glc$)]:[Flux in RT / glucose uptake ($mmol/mmol\ glc$)]])</f>
        <v>1.376245538429589E-10</v>
      </c>
      <c r="G1117">
        <f>_xlfn.RANK.AVG(Table1[[#This Row],[Flux in SC / glucose uptake ($mmol/mmol\ glc$)]],Table1[Flux in SC / glucose uptake ($mmol/mmol\ glc$)])</f>
        <v>2296</v>
      </c>
      <c r="H1117">
        <f>_xlfn.RANK.AVG(Table1[[#This Row],[Flux in RT / glucose uptake ($mmol/mmol\ glc$)]],Table1[Flux in RT / glucose uptake ($mmol/mmol\ glc$)])</f>
        <v>1290.5</v>
      </c>
      <c r="I1117" t="e">
        <f>LOG(Table1[[#This Row],[Flux in SC / glucose uptake ($mmol/mmol\ glc$)]])</f>
        <v>#NUM!</v>
      </c>
      <c r="J1117" t="e">
        <f>LOG(Table1[[#This Row],[Flux in RT / glucose uptake ($mmol/mmol\ glc$)]])</f>
        <v>#NUM!</v>
      </c>
    </row>
    <row r="1118" spans="1:10" x14ac:dyDescent="0.2">
      <c r="A1118" t="s">
        <v>1121</v>
      </c>
      <c r="B1118" t="s">
        <v>3181</v>
      </c>
      <c r="C1118">
        <v>5.2653078793062202E-3</v>
      </c>
      <c r="D1118">
        <v>0.17790451218833983</v>
      </c>
      <c r="E1118">
        <f>ABS(Table1[[#This Row],[Flux in SC / glucose uptake ($mmol/mmol\ glc$)]]-Table1[[#This Row],[Flux in RT / glucose uptake ($mmol/mmol\ glc$)]])/SQRT(2)</f>
        <v>0.12207435206556751</v>
      </c>
      <c r="F1118">
        <f>Table1[[#This Row],[distance from 45-degree line]]/MAX(Table1[[Flux in SC / glucose uptake ($mmol/mmol\ glc$)]:[Flux in RT / glucose uptake ($mmol/mmol\ glc$)]])</f>
        <v>6.5796682814488984E-3</v>
      </c>
      <c r="G1118">
        <f>_xlfn.RANK.AVG(Table1[[#This Row],[Flux in SC / glucose uptake ($mmol/mmol\ glc$)]],Table1[Flux in SC / glucose uptake ($mmol/mmol\ glc$)])</f>
        <v>117</v>
      </c>
      <c r="H1118">
        <f>_xlfn.RANK.AVG(Table1[[#This Row],[Flux in RT / glucose uptake ($mmol/mmol\ glc$)]],Table1[Flux in RT / glucose uptake ($mmol/mmol\ glc$)])</f>
        <v>67</v>
      </c>
      <c r="I1118">
        <f>LOG(Table1[[#This Row],[Flux in SC / glucose uptake ($mmol/mmol\ glc$)]])</f>
        <v>-2.2785762291557075</v>
      </c>
      <c r="J1118">
        <f>LOG(Table1[[#This Row],[Flux in RT / glucose uptake ($mmol/mmol\ glc$)]])</f>
        <v>-0.74981303677472477</v>
      </c>
    </row>
    <row r="1119" spans="1:10" x14ac:dyDescent="0.2">
      <c r="A1119" t="s">
        <v>1122</v>
      </c>
      <c r="B1119" t="s">
        <v>3186</v>
      </c>
      <c r="C1119">
        <v>0</v>
      </c>
      <c r="D1119">
        <v>0</v>
      </c>
      <c r="E1119">
        <f>ABS(Table1[[#This Row],[Flux in SC / glucose uptake ($mmol/mmol\ glc$)]]-Table1[[#This Row],[Flux in RT / glucose uptake ($mmol/mmol\ glc$)]])/SQRT(2)</f>
        <v>0</v>
      </c>
      <c r="F1119">
        <f>Table1[[#This Row],[distance from 45-degree line]]/MAX(Table1[[Flux in SC / glucose uptake ($mmol/mmol\ glc$)]:[Flux in RT / glucose uptake ($mmol/mmol\ glc$)]])</f>
        <v>0</v>
      </c>
      <c r="G1119">
        <f>_xlfn.RANK.AVG(Table1[[#This Row],[Flux in SC / glucose uptake ($mmol/mmol\ glc$)]],Table1[Flux in SC / glucose uptake ($mmol/mmol\ glc$)])</f>
        <v>1310.5</v>
      </c>
      <c r="H1119">
        <f>_xlfn.RANK.AVG(Table1[[#This Row],[Flux in RT / glucose uptake ($mmol/mmol\ glc$)]],Table1[Flux in RT / glucose uptake ($mmol/mmol\ glc$)])</f>
        <v>1290.5</v>
      </c>
      <c r="I1119" t="e">
        <f>LOG(Table1[[#This Row],[Flux in SC / glucose uptake ($mmol/mmol\ glc$)]])</f>
        <v>#NUM!</v>
      </c>
      <c r="J1119" t="e">
        <f>LOG(Table1[[#This Row],[Flux in RT / glucose uptake ($mmol/mmol\ glc$)]])</f>
        <v>#NUM!</v>
      </c>
    </row>
    <row r="1120" spans="1:10" x14ac:dyDescent="0.2">
      <c r="A1120" t="s">
        <v>1123</v>
      </c>
      <c r="B1120" t="s">
        <v>3174</v>
      </c>
      <c r="C1120">
        <v>0</v>
      </c>
      <c r="D1120">
        <v>0</v>
      </c>
      <c r="E1120">
        <f>ABS(Table1[[#This Row],[Flux in SC / glucose uptake ($mmol/mmol\ glc$)]]-Table1[[#This Row],[Flux in RT / glucose uptake ($mmol/mmol\ glc$)]])/SQRT(2)</f>
        <v>0</v>
      </c>
      <c r="F1120">
        <f>Table1[[#This Row],[distance from 45-degree line]]/MAX(Table1[[Flux in SC / glucose uptake ($mmol/mmol\ glc$)]:[Flux in RT / glucose uptake ($mmol/mmol\ glc$)]])</f>
        <v>0</v>
      </c>
      <c r="G1120">
        <f>_xlfn.RANK.AVG(Table1[[#This Row],[Flux in SC / glucose uptake ($mmol/mmol\ glc$)]],Table1[Flux in SC / glucose uptake ($mmol/mmol\ glc$)])</f>
        <v>1310.5</v>
      </c>
      <c r="H1120">
        <f>_xlfn.RANK.AVG(Table1[[#This Row],[Flux in RT / glucose uptake ($mmol/mmol\ glc$)]],Table1[Flux in RT / glucose uptake ($mmol/mmol\ glc$)])</f>
        <v>1290.5</v>
      </c>
      <c r="I1120" t="e">
        <f>LOG(Table1[[#This Row],[Flux in SC / glucose uptake ($mmol/mmol\ glc$)]])</f>
        <v>#NUM!</v>
      </c>
      <c r="J1120" t="e">
        <f>LOG(Table1[[#This Row],[Flux in RT / glucose uptake ($mmol/mmol\ glc$)]])</f>
        <v>#NUM!</v>
      </c>
    </row>
    <row r="1121" spans="1:10" x14ac:dyDescent="0.2">
      <c r="A1121" t="s">
        <v>1124</v>
      </c>
      <c r="B1121" t="s">
        <v>3185</v>
      </c>
      <c r="C1121">
        <v>9.5434534181461264E-2</v>
      </c>
      <c r="D1121">
        <v>0.88146619124976877</v>
      </c>
      <c r="E1121">
        <f>ABS(Table1[[#This Row],[Flux in SC / glucose uptake ($mmol/mmol\ glc$)]]-Table1[[#This Row],[Flux in RT / glucose uptake ($mmol/mmol\ glc$)]])/SQRT(2)</f>
        <v>0.55580831494029903</v>
      </c>
      <c r="F1121">
        <f>Table1[[#This Row],[distance from 45-degree line]]/MAX(Table1[[Flux in SC / glucose uptake ($mmol/mmol\ glc$)]:[Flux in RT / glucose uptake ($mmol/mmol\ glc$)]])</f>
        <v>2.9957433961345224E-2</v>
      </c>
      <c r="G1121">
        <f>_xlfn.RANK.AVG(Table1[[#This Row],[Flux in SC / glucose uptake ($mmol/mmol\ glc$)]],Table1[Flux in SC / glucose uptake ($mmol/mmol\ glc$)])</f>
        <v>36</v>
      </c>
      <c r="H1121">
        <f>_xlfn.RANK.AVG(Table1[[#This Row],[Flux in RT / glucose uptake ($mmol/mmol\ glc$)]],Table1[Flux in RT / glucose uptake ($mmol/mmol\ glc$)])</f>
        <v>23</v>
      </c>
      <c r="I1121">
        <f>LOG(Table1[[#This Row],[Flux in SC / glucose uptake ($mmol/mmol\ glc$)]])</f>
        <v>-1.0202944419572213</v>
      </c>
      <c r="J1121">
        <f>LOG(Table1[[#This Row],[Flux in RT / glucose uptake ($mmol/mmol\ glc$)]])</f>
        <v>-5.4794340466468777E-2</v>
      </c>
    </row>
    <row r="1122" spans="1:10" x14ac:dyDescent="0.2">
      <c r="A1122" t="s">
        <v>1125</v>
      </c>
      <c r="B1122" t="s">
        <v>3114</v>
      </c>
      <c r="C1122">
        <v>9.3755418464812314E-6</v>
      </c>
      <c r="D1122">
        <v>4.8143827153538835E-5</v>
      </c>
      <c r="E1122">
        <f>ABS(Table1[[#This Row],[Flux in SC / glucose uptake ($mmol/mmol\ glc$)]]-Table1[[#This Row],[Flux in RT / glucose uptake ($mmol/mmol\ glc$)]])/SQRT(2)</f>
        <v>2.7413317435595228E-5</v>
      </c>
      <c r="F1122">
        <f>Table1[[#This Row],[distance from 45-degree line]]/MAX(Table1[[Flux in SC / glucose uptake ($mmol/mmol\ glc$)]:[Flux in RT / glucose uptake ($mmol/mmol\ glc$)]])</f>
        <v>1.477546529375777E-6</v>
      </c>
      <c r="G1122">
        <f>_xlfn.RANK.AVG(Table1[[#This Row],[Flux in SC / glucose uptake ($mmol/mmol\ glc$)]],Table1[Flux in SC / glucose uptake ($mmol/mmol\ glc$)])</f>
        <v>283.5</v>
      </c>
      <c r="H1122">
        <f>_xlfn.RANK.AVG(Table1[[#This Row],[Flux in RT / glucose uptake ($mmol/mmol\ glc$)]],Table1[Flux in RT / glucose uptake ($mmol/mmol\ glc$)])</f>
        <v>279.5</v>
      </c>
      <c r="I1122">
        <f>LOG(Table1[[#This Row],[Flux in SC / glucose uptake ($mmol/mmol\ glc$)]])</f>
        <v>-5.028003623425664</v>
      </c>
      <c r="J1122">
        <f>LOG(Table1[[#This Row],[Flux in RT / glucose uptake ($mmol/mmol\ glc$)]])</f>
        <v>-4.3174593888096915</v>
      </c>
    </row>
    <row r="1123" spans="1:10" x14ac:dyDescent="0.2">
      <c r="A1123" t="s">
        <v>1126</v>
      </c>
      <c r="B1123" t="s">
        <v>3114</v>
      </c>
      <c r="C1123">
        <v>0</v>
      </c>
      <c r="D1123">
        <v>0</v>
      </c>
      <c r="E1123">
        <f>ABS(Table1[[#This Row],[Flux in SC / glucose uptake ($mmol/mmol\ glc$)]]-Table1[[#This Row],[Flux in RT / glucose uptake ($mmol/mmol\ glc$)]])/SQRT(2)</f>
        <v>0</v>
      </c>
      <c r="F1123">
        <f>Table1[[#This Row],[distance from 45-degree line]]/MAX(Table1[[Flux in SC / glucose uptake ($mmol/mmol\ glc$)]:[Flux in RT / glucose uptake ($mmol/mmol\ glc$)]])</f>
        <v>0</v>
      </c>
      <c r="G1123">
        <f>_xlfn.RANK.AVG(Table1[[#This Row],[Flux in SC / glucose uptake ($mmol/mmol\ glc$)]],Table1[Flux in SC / glucose uptake ($mmol/mmol\ glc$)])</f>
        <v>1310.5</v>
      </c>
      <c r="H1123">
        <f>_xlfn.RANK.AVG(Table1[[#This Row],[Flux in RT / glucose uptake ($mmol/mmol\ glc$)]],Table1[Flux in RT / glucose uptake ($mmol/mmol\ glc$)])</f>
        <v>1290.5</v>
      </c>
      <c r="I1123" t="e">
        <f>LOG(Table1[[#This Row],[Flux in SC / glucose uptake ($mmol/mmol\ glc$)]])</f>
        <v>#NUM!</v>
      </c>
      <c r="J1123" t="e">
        <f>LOG(Table1[[#This Row],[Flux in RT / glucose uptake ($mmol/mmol\ glc$)]])</f>
        <v>#NUM!</v>
      </c>
    </row>
    <row r="1124" spans="1:10" x14ac:dyDescent="0.2">
      <c r="A1124" t="s">
        <v>1127</v>
      </c>
      <c r="B1124" t="s">
        <v>3114</v>
      </c>
      <c r="C1124">
        <v>0</v>
      </c>
      <c r="D1124">
        <v>0</v>
      </c>
      <c r="E1124">
        <f>ABS(Table1[[#This Row],[Flux in SC / glucose uptake ($mmol/mmol\ glc$)]]-Table1[[#This Row],[Flux in RT / glucose uptake ($mmol/mmol\ glc$)]])/SQRT(2)</f>
        <v>0</v>
      </c>
      <c r="F1124">
        <f>Table1[[#This Row],[distance from 45-degree line]]/MAX(Table1[[Flux in SC / glucose uptake ($mmol/mmol\ glc$)]:[Flux in RT / glucose uptake ($mmol/mmol\ glc$)]])</f>
        <v>0</v>
      </c>
      <c r="G1124">
        <f>_xlfn.RANK.AVG(Table1[[#This Row],[Flux in SC / glucose uptake ($mmol/mmol\ glc$)]],Table1[Flux in SC / glucose uptake ($mmol/mmol\ glc$)])</f>
        <v>1310.5</v>
      </c>
      <c r="H1124">
        <f>_xlfn.RANK.AVG(Table1[[#This Row],[Flux in RT / glucose uptake ($mmol/mmol\ glc$)]],Table1[Flux in RT / glucose uptake ($mmol/mmol\ glc$)])</f>
        <v>1290.5</v>
      </c>
      <c r="I1124" t="e">
        <f>LOG(Table1[[#This Row],[Flux in SC / glucose uptake ($mmol/mmol\ glc$)]])</f>
        <v>#NUM!</v>
      </c>
      <c r="J1124" t="e">
        <f>LOG(Table1[[#This Row],[Flux in RT / glucose uptake ($mmol/mmol\ glc$)]])</f>
        <v>#NUM!</v>
      </c>
    </row>
    <row r="1125" spans="1:10" x14ac:dyDescent="0.2">
      <c r="A1125" t="s">
        <v>1128</v>
      </c>
      <c r="B1125" t="s">
        <v>3114</v>
      </c>
      <c r="C1125">
        <v>0</v>
      </c>
      <c r="D1125">
        <v>0</v>
      </c>
      <c r="E1125">
        <f>ABS(Table1[[#This Row],[Flux in SC / glucose uptake ($mmol/mmol\ glc$)]]-Table1[[#This Row],[Flux in RT / glucose uptake ($mmol/mmol\ glc$)]])/SQRT(2)</f>
        <v>0</v>
      </c>
      <c r="F1125">
        <f>Table1[[#This Row],[distance from 45-degree line]]/MAX(Table1[[Flux in SC / glucose uptake ($mmol/mmol\ glc$)]:[Flux in RT / glucose uptake ($mmol/mmol\ glc$)]])</f>
        <v>0</v>
      </c>
      <c r="G1125">
        <f>_xlfn.RANK.AVG(Table1[[#This Row],[Flux in SC / glucose uptake ($mmol/mmol\ glc$)]],Table1[Flux in SC / glucose uptake ($mmol/mmol\ glc$)])</f>
        <v>1310.5</v>
      </c>
      <c r="H1125">
        <f>_xlfn.RANK.AVG(Table1[[#This Row],[Flux in RT / glucose uptake ($mmol/mmol\ glc$)]],Table1[Flux in RT / glucose uptake ($mmol/mmol\ glc$)])</f>
        <v>1290.5</v>
      </c>
      <c r="I1125" t="e">
        <f>LOG(Table1[[#This Row],[Flux in SC / glucose uptake ($mmol/mmol\ glc$)]])</f>
        <v>#NUM!</v>
      </c>
      <c r="J1125" t="e">
        <f>LOG(Table1[[#This Row],[Flux in RT / glucose uptake ($mmol/mmol\ glc$)]])</f>
        <v>#NUM!</v>
      </c>
    </row>
    <row r="1126" spans="1:10" x14ac:dyDescent="0.2">
      <c r="A1126" t="s">
        <v>1129</v>
      </c>
      <c r="B1126" t="s">
        <v>3163</v>
      </c>
      <c r="C1126">
        <v>0.37958694992115333</v>
      </c>
      <c r="D1126">
        <v>5.6513726681233596</v>
      </c>
      <c r="E1126">
        <f>ABS(Table1[[#This Row],[Flux in SC / glucose uptake ($mmol/mmol\ glc$)]]-Table1[[#This Row],[Flux in RT / glucose uptake ($mmol/mmol\ glc$)]])/SQRT(2)</f>
        <v>3.7277154303031739</v>
      </c>
      <c r="F1126">
        <f>Table1[[#This Row],[distance from 45-degree line]]/MAX(Table1[[Flux in SC / glucose uptake ($mmol/mmol\ glc$)]:[Flux in RT / glucose uptake ($mmol/mmol\ glc$)]])</f>
        <v>0.2009196081242326</v>
      </c>
      <c r="G1126">
        <f>_xlfn.RANK.AVG(Table1[[#This Row],[Flux in SC / glucose uptake ($mmol/mmol\ glc$)]],Table1[Flux in SC / glucose uptake ($mmol/mmol\ glc$)])</f>
        <v>24</v>
      </c>
      <c r="H1126">
        <f>_xlfn.RANK.AVG(Table1[[#This Row],[Flux in RT / glucose uptake ($mmol/mmol\ glc$)]],Table1[Flux in RT / glucose uptake ($mmol/mmol\ glc$)])</f>
        <v>4</v>
      </c>
      <c r="I1126">
        <f>LOG(Table1[[#This Row],[Flux in SC / glucose uptake ($mmol/mmol\ glc$)]])</f>
        <v>-0.42068872689452141</v>
      </c>
      <c r="J1126">
        <f>LOG(Table1[[#This Row],[Flux in RT / glucose uptake ($mmol/mmol\ glc$)]])</f>
        <v>0.75215394689674486</v>
      </c>
    </row>
    <row r="1127" spans="1:10" x14ac:dyDescent="0.2">
      <c r="A1127" t="s">
        <v>1130</v>
      </c>
      <c r="B1127" t="s">
        <v>3114</v>
      </c>
      <c r="C1127">
        <v>0</v>
      </c>
      <c r="D1127">
        <v>0</v>
      </c>
      <c r="E1127">
        <f>ABS(Table1[[#This Row],[Flux in SC / glucose uptake ($mmol/mmol\ glc$)]]-Table1[[#This Row],[Flux in RT / glucose uptake ($mmol/mmol\ glc$)]])/SQRT(2)</f>
        <v>0</v>
      </c>
      <c r="F1127">
        <f>Table1[[#This Row],[distance from 45-degree line]]/MAX(Table1[[Flux in SC / glucose uptake ($mmol/mmol\ glc$)]:[Flux in RT / glucose uptake ($mmol/mmol\ glc$)]])</f>
        <v>0</v>
      </c>
      <c r="G1127">
        <f>_xlfn.RANK.AVG(Table1[[#This Row],[Flux in SC / glucose uptake ($mmol/mmol\ glc$)]],Table1[Flux in SC / glucose uptake ($mmol/mmol\ glc$)])</f>
        <v>1310.5</v>
      </c>
      <c r="H1127">
        <f>_xlfn.RANK.AVG(Table1[[#This Row],[Flux in RT / glucose uptake ($mmol/mmol\ glc$)]],Table1[Flux in RT / glucose uptake ($mmol/mmol\ glc$)])</f>
        <v>1290.5</v>
      </c>
      <c r="I1127" t="e">
        <f>LOG(Table1[[#This Row],[Flux in SC / glucose uptake ($mmol/mmol\ glc$)]])</f>
        <v>#NUM!</v>
      </c>
      <c r="J1127" t="e">
        <f>LOG(Table1[[#This Row],[Flux in RT / glucose uptake ($mmol/mmol\ glc$)]])</f>
        <v>#NUM!</v>
      </c>
    </row>
    <row r="1128" spans="1:10" x14ac:dyDescent="0.2">
      <c r="A1128" t="s">
        <v>1131</v>
      </c>
      <c r="B1128" t="s">
        <v>3114</v>
      </c>
      <c r="C1128">
        <v>0</v>
      </c>
      <c r="D1128">
        <v>0</v>
      </c>
      <c r="E1128">
        <f>ABS(Table1[[#This Row],[Flux in SC / glucose uptake ($mmol/mmol\ glc$)]]-Table1[[#This Row],[Flux in RT / glucose uptake ($mmol/mmol\ glc$)]])/SQRT(2)</f>
        <v>0</v>
      </c>
      <c r="F1128">
        <f>Table1[[#This Row],[distance from 45-degree line]]/MAX(Table1[[Flux in SC / glucose uptake ($mmol/mmol\ glc$)]:[Flux in RT / glucose uptake ($mmol/mmol\ glc$)]])</f>
        <v>0</v>
      </c>
      <c r="G1128">
        <f>_xlfn.RANK.AVG(Table1[[#This Row],[Flux in SC / glucose uptake ($mmol/mmol\ glc$)]],Table1[Flux in SC / glucose uptake ($mmol/mmol\ glc$)])</f>
        <v>1310.5</v>
      </c>
      <c r="H1128">
        <f>_xlfn.RANK.AVG(Table1[[#This Row],[Flux in RT / glucose uptake ($mmol/mmol\ glc$)]],Table1[Flux in RT / glucose uptake ($mmol/mmol\ glc$)])</f>
        <v>1290.5</v>
      </c>
      <c r="I1128" t="e">
        <f>LOG(Table1[[#This Row],[Flux in SC / glucose uptake ($mmol/mmol\ glc$)]])</f>
        <v>#NUM!</v>
      </c>
      <c r="J1128" t="e">
        <f>LOG(Table1[[#This Row],[Flux in RT / glucose uptake ($mmol/mmol\ glc$)]])</f>
        <v>#NUM!</v>
      </c>
    </row>
    <row r="1129" spans="1:10" x14ac:dyDescent="0.2">
      <c r="A1129" t="s">
        <v>1132</v>
      </c>
      <c r="B1129" t="s">
        <v>3125</v>
      </c>
      <c r="C1129">
        <v>0</v>
      </c>
      <c r="D1129">
        <v>0</v>
      </c>
      <c r="E1129">
        <f>ABS(Table1[[#This Row],[Flux in SC / glucose uptake ($mmol/mmol\ glc$)]]-Table1[[#This Row],[Flux in RT / glucose uptake ($mmol/mmol\ glc$)]])/SQRT(2)</f>
        <v>0</v>
      </c>
      <c r="F1129">
        <f>Table1[[#This Row],[distance from 45-degree line]]/MAX(Table1[[Flux in SC / glucose uptake ($mmol/mmol\ glc$)]:[Flux in RT / glucose uptake ($mmol/mmol\ glc$)]])</f>
        <v>0</v>
      </c>
      <c r="G1129">
        <f>_xlfn.RANK.AVG(Table1[[#This Row],[Flux in SC / glucose uptake ($mmol/mmol\ glc$)]],Table1[Flux in SC / glucose uptake ($mmol/mmol\ glc$)])</f>
        <v>1310.5</v>
      </c>
      <c r="H1129">
        <f>_xlfn.RANK.AVG(Table1[[#This Row],[Flux in RT / glucose uptake ($mmol/mmol\ glc$)]],Table1[Flux in RT / glucose uptake ($mmol/mmol\ glc$)])</f>
        <v>1290.5</v>
      </c>
      <c r="I1129" t="e">
        <f>LOG(Table1[[#This Row],[Flux in SC / glucose uptake ($mmol/mmol\ glc$)]])</f>
        <v>#NUM!</v>
      </c>
      <c r="J1129" t="e">
        <f>LOG(Table1[[#This Row],[Flux in RT / glucose uptake ($mmol/mmol\ glc$)]])</f>
        <v>#NUM!</v>
      </c>
    </row>
    <row r="1130" spans="1:10" x14ac:dyDescent="0.2">
      <c r="A1130" t="s">
        <v>1133</v>
      </c>
      <c r="B1130" t="s">
        <v>3163</v>
      </c>
      <c r="C1130">
        <v>0</v>
      </c>
      <c r="D1130">
        <v>5.6287615291476154</v>
      </c>
      <c r="E1130">
        <f>ABS(Table1[[#This Row],[Flux in SC / glucose uptake ($mmol/mmol\ glc$)]]-Table1[[#This Row],[Flux in RT / glucose uptake ($mmol/mmol\ glc$)]])/SQRT(2)</f>
        <v>3.9801354469422394</v>
      </c>
      <c r="F1130">
        <f>Table1[[#This Row],[distance from 45-degree line]]/MAX(Table1[[Flux in SC / glucose uptake ($mmol/mmol\ glc$)]:[Flux in RT / glucose uptake ($mmol/mmol\ glc$)]])</f>
        <v>0.21452475899319487</v>
      </c>
      <c r="G1130">
        <f>_xlfn.RANK.AVG(Table1[[#This Row],[Flux in SC / glucose uptake ($mmol/mmol\ glc$)]],Table1[Flux in SC / glucose uptake ($mmol/mmol\ glc$)])</f>
        <v>1310.5</v>
      </c>
      <c r="H1130">
        <f>_xlfn.RANK.AVG(Table1[[#This Row],[Flux in RT / glucose uptake ($mmol/mmol\ glc$)]],Table1[Flux in RT / glucose uptake ($mmol/mmol\ glc$)])</f>
        <v>5</v>
      </c>
      <c r="I1130" t="e">
        <f>LOG(Table1[[#This Row],[Flux in SC / glucose uptake ($mmol/mmol\ glc$)]])</f>
        <v>#NUM!</v>
      </c>
      <c r="J1130">
        <f>LOG(Table1[[#This Row],[Flux in RT / glucose uptake ($mmol/mmol\ glc$)]])</f>
        <v>0.75041284951841314</v>
      </c>
    </row>
    <row r="1131" spans="1:10" x14ac:dyDescent="0.2">
      <c r="A1131" t="s">
        <v>1134</v>
      </c>
      <c r="B1131" t="s">
        <v>3125</v>
      </c>
      <c r="C1131">
        <v>0</v>
      </c>
      <c r="D1131">
        <v>0</v>
      </c>
      <c r="E1131">
        <f>ABS(Table1[[#This Row],[Flux in SC / glucose uptake ($mmol/mmol\ glc$)]]-Table1[[#This Row],[Flux in RT / glucose uptake ($mmol/mmol\ glc$)]])/SQRT(2)</f>
        <v>0</v>
      </c>
      <c r="F1131">
        <f>Table1[[#This Row],[distance from 45-degree line]]/MAX(Table1[[Flux in SC / glucose uptake ($mmol/mmol\ glc$)]:[Flux in RT / glucose uptake ($mmol/mmol\ glc$)]])</f>
        <v>0</v>
      </c>
      <c r="G1131">
        <f>_xlfn.RANK.AVG(Table1[[#This Row],[Flux in SC / glucose uptake ($mmol/mmol\ glc$)]],Table1[Flux in SC / glucose uptake ($mmol/mmol\ glc$)])</f>
        <v>1310.5</v>
      </c>
      <c r="H1131">
        <f>_xlfn.RANK.AVG(Table1[[#This Row],[Flux in RT / glucose uptake ($mmol/mmol\ glc$)]],Table1[Flux in RT / glucose uptake ($mmol/mmol\ glc$)])</f>
        <v>1290.5</v>
      </c>
      <c r="I1131" t="e">
        <f>LOG(Table1[[#This Row],[Flux in SC / glucose uptake ($mmol/mmol\ glc$)]])</f>
        <v>#NUM!</v>
      </c>
      <c r="J1131" t="e">
        <f>LOG(Table1[[#This Row],[Flux in RT / glucose uptake ($mmol/mmol\ glc$)]])</f>
        <v>#NUM!</v>
      </c>
    </row>
    <row r="1132" spans="1:10" x14ac:dyDescent="0.2">
      <c r="A1132" t="s">
        <v>1135</v>
      </c>
      <c r="B1132" t="s">
        <v>3124</v>
      </c>
      <c r="C1132">
        <v>5.7314188014328466E-3</v>
      </c>
      <c r="D1132">
        <v>0.10999300112835821</v>
      </c>
      <c r="E1132">
        <f>ABS(Table1[[#This Row],[Flux in SC / glucose uptake ($mmol/mmol\ glc$)]]-Table1[[#This Row],[Flux in RT / glucose uptake ($mmol/mmol\ glc$)]])/SQRT(2)</f>
        <v>7.3724071880608408E-2</v>
      </c>
      <c r="F1132">
        <f>Table1[[#This Row],[distance from 45-degree line]]/MAX(Table1[[Flux in SC / glucose uptake ($mmol/mmol\ glc$)]:[Flux in RT / glucose uptake ($mmol/mmol\ glc$)]])</f>
        <v>3.9736433503374724E-3</v>
      </c>
      <c r="G1132">
        <f>_xlfn.RANK.AVG(Table1[[#This Row],[Flux in SC / glucose uptake ($mmol/mmol\ glc$)]],Table1[Flux in SC / glucose uptake ($mmol/mmol\ glc$)])</f>
        <v>104</v>
      </c>
      <c r="H1132">
        <f>_xlfn.RANK.AVG(Table1[[#This Row],[Flux in RT / glucose uptake ($mmol/mmol\ glc$)]],Table1[Flux in RT / glucose uptake ($mmol/mmol\ glc$)])</f>
        <v>82</v>
      </c>
      <c r="I1132">
        <f>LOG(Table1[[#This Row],[Flux in SC / glucose uptake ($mmol/mmol\ glc$)]])</f>
        <v>-2.2417378559802317</v>
      </c>
      <c r="J1132">
        <f>LOG(Table1[[#This Row],[Flux in RT / glucose uptake ($mmol/mmol\ glc$)]])</f>
        <v>-0.95863494818755424</v>
      </c>
    </row>
    <row r="1133" spans="1:10" x14ac:dyDescent="0.2">
      <c r="A1133" t="s">
        <v>1136</v>
      </c>
      <c r="B1133" t="s">
        <v>3151</v>
      </c>
      <c r="C1133">
        <v>0</v>
      </c>
      <c r="D1133">
        <v>0</v>
      </c>
      <c r="E1133">
        <f>ABS(Table1[[#This Row],[Flux in SC / glucose uptake ($mmol/mmol\ glc$)]]-Table1[[#This Row],[Flux in RT / glucose uptake ($mmol/mmol\ glc$)]])/SQRT(2)</f>
        <v>0</v>
      </c>
      <c r="F1133">
        <f>Table1[[#This Row],[distance from 45-degree line]]/MAX(Table1[[Flux in SC / glucose uptake ($mmol/mmol\ glc$)]:[Flux in RT / glucose uptake ($mmol/mmol\ glc$)]])</f>
        <v>0</v>
      </c>
      <c r="G1133">
        <f>_xlfn.RANK.AVG(Table1[[#This Row],[Flux in SC / glucose uptake ($mmol/mmol\ glc$)]],Table1[Flux in SC / glucose uptake ($mmol/mmol\ glc$)])</f>
        <v>1310.5</v>
      </c>
      <c r="H1133">
        <f>_xlfn.RANK.AVG(Table1[[#This Row],[Flux in RT / glucose uptake ($mmol/mmol\ glc$)]],Table1[Flux in RT / glucose uptake ($mmol/mmol\ glc$)])</f>
        <v>1290.5</v>
      </c>
      <c r="I1133" t="e">
        <f>LOG(Table1[[#This Row],[Flux in SC / glucose uptake ($mmol/mmol\ glc$)]])</f>
        <v>#NUM!</v>
      </c>
      <c r="J1133" t="e">
        <f>LOG(Table1[[#This Row],[Flux in RT / glucose uptake ($mmol/mmol\ glc$)]])</f>
        <v>#NUM!</v>
      </c>
    </row>
    <row r="1134" spans="1:10" x14ac:dyDescent="0.2">
      <c r="A1134" t="s">
        <v>1137</v>
      </c>
      <c r="B1134" t="s">
        <v>3147</v>
      </c>
      <c r="C1134">
        <v>0</v>
      </c>
      <c r="D1134">
        <v>0</v>
      </c>
      <c r="E1134">
        <f>ABS(Table1[[#This Row],[Flux in SC / glucose uptake ($mmol/mmol\ glc$)]]-Table1[[#This Row],[Flux in RT / glucose uptake ($mmol/mmol\ glc$)]])/SQRT(2)</f>
        <v>0</v>
      </c>
      <c r="F1134">
        <f>Table1[[#This Row],[distance from 45-degree line]]/MAX(Table1[[Flux in SC / glucose uptake ($mmol/mmol\ glc$)]:[Flux in RT / glucose uptake ($mmol/mmol\ glc$)]])</f>
        <v>0</v>
      </c>
      <c r="G1134">
        <f>_xlfn.RANK.AVG(Table1[[#This Row],[Flux in SC / glucose uptake ($mmol/mmol\ glc$)]],Table1[Flux in SC / glucose uptake ($mmol/mmol\ glc$)])</f>
        <v>1310.5</v>
      </c>
      <c r="H1134">
        <f>_xlfn.RANK.AVG(Table1[[#This Row],[Flux in RT / glucose uptake ($mmol/mmol\ glc$)]],Table1[Flux in RT / glucose uptake ($mmol/mmol\ glc$)])</f>
        <v>1290.5</v>
      </c>
      <c r="I1134" t="e">
        <f>LOG(Table1[[#This Row],[Flux in SC / glucose uptake ($mmol/mmol\ glc$)]])</f>
        <v>#NUM!</v>
      </c>
      <c r="J1134" t="e">
        <f>LOG(Table1[[#This Row],[Flux in RT / glucose uptake ($mmol/mmol\ glc$)]])</f>
        <v>#NUM!</v>
      </c>
    </row>
    <row r="1135" spans="1:10" x14ac:dyDescent="0.2">
      <c r="A1135" t="s">
        <v>1138</v>
      </c>
      <c r="B1135" t="s">
        <v>3125</v>
      </c>
      <c r="C1135">
        <v>0</v>
      </c>
      <c r="D1135">
        <v>0</v>
      </c>
      <c r="E1135">
        <f>ABS(Table1[[#This Row],[Flux in SC / glucose uptake ($mmol/mmol\ glc$)]]-Table1[[#This Row],[Flux in RT / glucose uptake ($mmol/mmol\ glc$)]])/SQRT(2)</f>
        <v>0</v>
      </c>
      <c r="F1135">
        <f>Table1[[#This Row],[distance from 45-degree line]]/MAX(Table1[[Flux in SC / glucose uptake ($mmol/mmol\ glc$)]:[Flux in RT / glucose uptake ($mmol/mmol\ glc$)]])</f>
        <v>0</v>
      </c>
      <c r="G1135">
        <f>_xlfn.RANK.AVG(Table1[[#This Row],[Flux in SC / glucose uptake ($mmol/mmol\ glc$)]],Table1[Flux in SC / glucose uptake ($mmol/mmol\ glc$)])</f>
        <v>1310.5</v>
      </c>
      <c r="H1135">
        <f>_xlfn.RANK.AVG(Table1[[#This Row],[Flux in RT / glucose uptake ($mmol/mmol\ glc$)]],Table1[Flux in RT / glucose uptake ($mmol/mmol\ glc$)])</f>
        <v>1290.5</v>
      </c>
      <c r="I1135" t="e">
        <f>LOG(Table1[[#This Row],[Flux in SC / glucose uptake ($mmol/mmol\ glc$)]])</f>
        <v>#NUM!</v>
      </c>
      <c r="J1135" t="e">
        <f>LOG(Table1[[#This Row],[Flux in RT / glucose uptake ($mmol/mmol\ glc$)]])</f>
        <v>#NUM!</v>
      </c>
    </row>
    <row r="1136" spans="1:10" x14ac:dyDescent="0.2">
      <c r="A1136" t="s">
        <v>1139</v>
      </c>
      <c r="B1136" t="s">
        <v>3125</v>
      </c>
      <c r="C1136">
        <v>0</v>
      </c>
      <c r="D1136">
        <v>0</v>
      </c>
      <c r="E1136">
        <f>ABS(Table1[[#This Row],[Flux in SC / glucose uptake ($mmol/mmol\ glc$)]]-Table1[[#This Row],[Flux in RT / glucose uptake ($mmol/mmol\ glc$)]])/SQRT(2)</f>
        <v>0</v>
      </c>
      <c r="F1136">
        <f>Table1[[#This Row],[distance from 45-degree line]]/MAX(Table1[[Flux in SC / glucose uptake ($mmol/mmol\ glc$)]:[Flux in RT / glucose uptake ($mmol/mmol\ glc$)]])</f>
        <v>0</v>
      </c>
      <c r="G1136">
        <f>_xlfn.RANK.AVG(Table1[[#This Row],[Flux in SC / glucose uptake ($mmol/mmol\ glc$)]],Table1[Flux in SC / glucose uptake ($mmol/mmol\ glc$)])</f>
        <v>1310.5</v>
      </c>
      <c r="H1136">
        <f>_xlfn.RANK.AVG(Table1[[#This Row],[Flux in RT / glucose uptake ($mmol/mmol\ glc$)]],Table1[Flux in RT / glucose uptake ($mmol/mmol\ glc$)])</f>
        <v>1290.5</v>
      </c>
      <c r="I1136" t="e">
        <f>LOG(Table1[[#This Row],[Flux in SC / glucose uptake ($mmol/mmol\ glc$)]])</f>
        <v>#NUM!</v>
      </c>
      <c r="J1136" t="e">
        <f>LOG(Table1[[#This Row],[Flux in RT / glucose uptake ($mmol/mmol\ glc$)]])</f>
        <v>#NUM!</v>
      </c>
    </row>
    <row r="1137" spans="1:10" x14ac:dyDescent="0.2">
      <c r="A1137" t="s">
        <v>1140</v>
      </c>
      <c r="B1137" t="s">
        <v>3151</v>
      </c>
      <c r="C1137">
        <v>0</v>
      </c>
      <c r="D1137">
        <v>0</v>
      </c>
      <c r="E1137">
        <f>ABS(Table1[[#This Row],[Flux in SC / glucose uptake ($mmol/mmol\ glc$)]]-Table1[[#This Row],[Flux in RT / glucose uptake ($mmol/mmol\ glc$)]])/SQRT(2)</f>
        <v>0</v>
      </c>
      <c r="F1137">
        <f>Table1[[#This Row],[distance from 45-degree line]]/MAX(Table1[[Flux in SC / glucose uptake ($mmol/mmol\ glc$)]:[Flux in RT / glucose uptake ($mmol/mmol\ glc$)]])</f>
        <v>0</v>
      </c>
      <c r="G1137">
        <f>_xlfn.RANK.AVG(Table1[[#This Row],[Flux in SC / glucose uptake ($mmol/mmol\ glc$)]],Table1[Flux in SC / glucose uptake ($mmol/mmol\ glc$)])</f>
        <v>1310.5</v>
      </c>
      <c r="H1137">
        <f>_xlfn.RANK.AVG(Table1[[#This Row],[Flux in RT / glucose uptake ($mmol/mmol\ glc$)]],Table1[Flux in RT / glucose uptake ($mmol/mmol\ glc$)])</f>
        <v>1290.5</v>
      </c>
      <c r="I1137" t="e">
        <f>LOG(Table1[[#This Row],[Flux in SC / glucose uptake ($mmol/mmol\ glc$)]])</f>
        <v>#NUM!</v>
      </c>
      <c r="J1137" t="e">
        <f>LOG(Table1[[#This Row],[Flux in RT / glucose uptake ($mmol/mmol\ glc$)]])</f>
        <v>#NUM!</v>
      </c>
    </row>
    <row r="1138" spans="1:10" x14ac:dyDescent="0.2">
      <c r="A1138" t="s">
        <v>1141</v>
      </c>
      <c r="B1138" t="s">
        <v>3187</v>
      </c>
      <c r="C1138">
        <v>0</v>
      </c>
      <c r="D1138">
        <v>0</v>
      </c>
      <c r="E1138">
        <f>ABS(Table1[[#This Row],[Flux in SC / glucose uptake ($mmol/mmol\ glc$)]]-Table1[[#This Row],[Flux in RT / glucose uptake ($mmol/mmol\ glc$)]])/SQRT(2)</f>
        <v>0</v>
      </c>
      <c r="F1138">
        <f>Table1[[#This Row],[distance from 45-degree line]]/MAX(Table1[[Flux in SC / glucose uptake ($mmol/mmol\ glc$)]:[Flux in RT / glucose uptake ($mmol/mmol\ glc$)]])</f>
        <v>0</v>
      </c>
      <c r="G1138">
        <f>_xlfn.RANK.AVG(Table1[[#This Row],[Flux in SC / glucose uptake ($mmol/mmol\ glc$)]],Table1[Flux in SC / glucose uptake ($mmol/mmol\ glc$)])</f>
        <v>1310.5</v>
      </c>
      <c r="H1138">
        <f>_xlfn.RANK.AVG(Table1[[#This Row],[Flux in RT / glucose uptake ($mmol/mmol\ glc$)]],Table1[Flux in RT / glucose uptake ($mmol/mmol\ glc$)])</f>
        <v>1290.5</v>
      </c>
      <c r="I1138" t="e">
        <f>LOG(Table1[[#This Row],[Flux in SC / glucose uptake ($mmol/mmol\ glc$)]])</f>
        <v>#NUM!</v>
      </c>
      <c r="J1138" t="e">
        <f>LOG(Table1[[#This Row],[Flux in RT / glucose uptake ($mmol/mmol\ glc$)]])</f>
        <v>#NUM!</v>
      </c>
    </row>
    <row r="1139" spans="1:10" x14ac:dyDescent="0.2">
      <c r="A1139" t="s">
        <v>1142</v>
      </c>
      <c r="B1139" t="s">
        <v>3151</v>
      </c>
      <c r="C1139">
        <v>0</v>
      </c>
      <c r="D1139">
        <v>0</v>
      </c>
      <c r="E1139">
        <f>ABS(Table1[[#This Row],[Flux in SC / glucose uptake ($mmol/mmol\ glc$)]]-Table1[[#This Row],[Flux in RT / glucose uptake ($mmol/mmol\ glc$)]])/SQRT(2)</f>
        <v>0</v>
      </c>
      <c r="F1139">
        <f>Table1[[#This Row],[distance from 45-degree line]]/MAX(Table1[[Flux in SC / glucose uptake ($mmol/mmol\ glc$)]:[Flux in RT / glucose uptake ($mmol/mmol\ glc$)]])</f>
        <v>0</v>
      </c>
      <c r="G1139">
        <f>_xlfn.RANK.AVG(Table1[[#This Row],[Flux in SC / glucose uptake ($mmol/mmol\ glc$)]],Table1[Flux in SC / glucose uptake ($mmol/mmol\ glc$)])</f>
        <v>1310.5</v>
      </c>
      <c r="H1139">
        <f>_xlfn.RANK.AVG(Table1[[#This Row],[Flux in RT / glucose uptake ($mmol/mmol\ glc$)]],Table1[Flux in RT / glucose uptake ($mmol/mmol\ glc$)])</f>
        <v>1290.5</v>
      </c>
      <c r="I1139" t="e">
        <f>LOG(Table1[[#This Row],[Flux in SC / glucose uptake ($mmol/mmol\ glc$)]])</f>
        <v>#NUM!</v>
      </c>
      <c r="J1139" t="e">
        <f>LOG(Table1[[#This Row],[Flux in RT / glucose uptake ($mmol/mmol\ glc$)]])</f>
        <v>#NUM!</v>
      </c>
    </row>
    <row r="1140" spans="1:10" x14ac:dyDescent="0.2">
      <c r="A1140" t="s">
        <v>1143</v>
      </c>
      <c r="B1140" t="s">
        <v>3114</v>
      </c>
      <c r="C1140">
        <v>0</v>
      </c>
      <c r="D1140">
        <v>0</v>
      </c>
      <c r="E1140">
        <f>ABS(Table1[[#This Row],[Flux in SC / glucose uptake ($mmol/mmol\ glc$)]]-Table1[[#This Row],[Flux in RT / glucose uptake ($mmol/mmol\ glc$)]])/SQRT(2)</f>
        <v>0</v>
      </c>
      <c r="F1140">
        <f>Table1[[#This Row],[distance from 45-degree line]]/MAX(Table1[[Flux in SC / glucose uptake ($mmol/mmol\ glc$)]:[Flux in RT / glucose uptake ($mmol/mmol\ glc$)]])</f>
        <v>0</v>
      </c>
      <c r="G1140">
        <f>_xlfn.RANK.AVG(Table1[[#This Row],[Flux in SC / glucose uptake ($mmol/mmol\ glc$)]],Table1[Flux in SC / glucose uptake ($mmol/mmol\ glc$)])</f>
        <v>1310.5</v>
      </c>
      <c r="H1140">
        <f>_xlfn.RANK.AVG(Table1[[#This Row],[Flux in RT / glucose uptake ($mmol/mmol\ glc$)]],Table1[Flux in RT / glucose uptake ($mmol/mmol\ glc$)])</f>
        <v>1290.5</v>
      </c>
      <c r="I1140" t="e">
        <f>LOG(Table1[[#This Row],[Flux in SC / glucose uptake ($mmol/mmol\ glc$)]])</f>
        <v>#NUM!</v>
      </c>
      <c r="J1140" t="e">
        <f>LOG(Table1[[#This Row],[Flux in RT / glucose uptake ($mmol/mmol\ glc$)]])</f>
        <v>#NUM!</v>
      </c>
    </row>
    <row r="1141" spans="1:10" x14ac:dyDescent="0.2">
      <c r="A1141" t="s">
        <v>1144</v>
      </c>
      <c r="B1141" t="s">
        <v>3114</v>
      </c>
      <c r="C1141">
        <v>0</v>
      </c>
      <c r="D1141">
        <v>0</v>
      </c>
      <c r="E1141">
        <f>ABS(Table1[[#This Row],[Flux in SC / glucose uptake ($mmol/mmol\ glc$)]]-Table1[[#This Row],[Flux in RT / glucose uptake ($mmol/mmol\ glc$)]])/SQRT(2)</f>
        <v>0</v>
      </c>
      <c r="F1141">
        <f>Table1[[#This Row],[distance from 45-degree line]]/MAX(Table1[[Flux in SC / glucose uptake ($mmol/mmol\ glc$)]:[Flux in RT / glucose uptake ($mmol/mmol\ glc$)]])</f>
        <v>0</v>
      </c>
      <c r="G1141">
        <f>_xlfn.RANK.AVG(Table1[[#This Row],[Flux in SC / glucose uptake ($mmol/mmol\ glc$)]],Table1[Flux in SC / glucose uptake ($mmol/mmol\ glc$)])</f>
        <v>1310.5</v>
      </c>
      <c r="H1141">
        <f>_xlfn.RANK.AVG(Table1[[#This Row],[Flux in RT / glucose uptake ($mmol/mmol\ glc$)]],Table1[Flux in RT / glucose uptake ($mmol/mmol\ glc$)])</f>
        <v>1290.5</v>
      </c>
      <c r="I1141" t="e">
        <f>LOG(Table1[[#This Row],[Flux in SC / glucose uptake ($mmol/mmol\ glc$)]])</f>
        <v>#NUM!</v>
      </c>
      <c r="J1141" t="e">
        <f>LOG(Table1[[#This Row],[Flux in RT / glucose uptake ($mmol/mmol\ glc$)]])</f>
        <v>#NUM!</v>
      </c>
    </row>
    <row r="1142" spans="1:10" x14ac:dyDescent="0.2">
      <c r="A1142" t="s">
        <v>1145</v>
      </c>
      <c r="B1142" t="s">
        <v>3114</v>
      </c>
      <c r="C1142">
        <v>1.7725343863385555E-2</v>
      </c>
      <c r="D1142">
        <v>0.1708940826804124</v>
      </c>
      <c r="E1142">
        <f>ABS(Table1[[#This Row],[Flux in SC / glucose uptake ($mmol/mmol\ glc$)]]-Table1[[#This Row],[Flux in RT / glucose uptake ($mmol/mmol\ glc$)]])/SQRT(2)</f>
        <v>0.10830665388331083</v>
      </c>
      <c r="F1142">
        <f>Table1[[#This Row],[distance from 45-degree line]]/MAX(Table1[[Flux in SC / glucose uptake ($mmol/mmol\ glc$)]:[Flux in RT / glucose uptake ($mmol/mmol\ glc$)]])</f>
        <v>5.8376050592767207E-3</v>
      </c>
      <c r="G1142">
        <f>_xlfn.RANK.AVG(Table1[[#This Row],[Flux in SC / glucose uptake ($mmol/mmol\ glc$)]],Table1[Flux in SC / glucose uptake ($mmol/mmol\ glc$)])</f>
        <v>69</v>
      </c>
      <c r="H1142">
        <f>_xlfn.RANK.AVG(Table1[[#This Row],[Flux in RT / glucose uptake ($mmol/mmol\ glc$)]],Table1[Flux in RT / glucose uptake ($mmol/mmol\ glc$)])</f>
        <v>69</v>
      </c>
      <c r="I1142">
        <f>LOG(Table1[[#This Row],[Flux in SC / glucose uptake ($mmol/mmol\ glc$)]])</f>
        <v>-1.7514053309532274</v>
      </c>
      <c r="J1142">
        <f>LOG(Table1[[#This Row],[Flux in RT / glucose uptake ($mmol/mmol\ glc$)]])</f>
        <v>-0.76727297474992184</v>
      </c>
    </row>
    <row r="1143" spans="1:10" x14ac:dyDescent="0.2">
      <c r="A1143" t="s">
        <v>1146</v>
      </c>
      <c r="B1143" t="s">
        <v>3188</v>
      </c>
      <c r="C1143">
        <v>1.0833096344304834E-8</v>
      </c>
      <c r="D1143">
        <v>0</v>
      </c>
      <c r="E1143">
        <f>ABS(Table1[[#This Row],[Flux in SC / glucose uptake ($mmol/mmol\ glc$)]]-Table1[[#This Row],[Flux in RT / glucose uptake ($mmol/mmol\ glc$)]])/SQRT(2)</f>
        <v>7.6601558863051453E-9</v>
      </c>
      <c r="F1143">
        <f>Table1[[#This Row],[distance from 45-degree line]]/MAX(Table1[[Flux in SC / glucose uptake ($mmol/mmol\ glc$)]:[Flux in RT / glucose uptake ($mmol/mmol\ glc$)]])</f>
        <v>4.1287366152887664E-10</v>
      </c>
      <c r="G1143">
        <f>_xlfn.RANK.AVG(Table1[[#This Row],[Flux in SC / glucose uptake ($mmol/mmol\ glc$)]],Table1[Flux in SC / glucose uptake ($mmol/mmol\ glc$)])</f>
        <v>289</v>
      </c>
      <c r="H1143">
        <f>_xlfn.RANK.AVG(Table1[[#This Row],[Flux in RT / glucose uptake ($mmol/mmol\ glc$)]],Table1[Flux in RT / glucose uptake ($mmol/mmol\ glc$)])</f>
        <v>1290.5</v>
      </c>
      <c r="I1143">
        <f>LOG(Table1[[#This Row],[Flux in SC / glucose uptake ($mmol/mmol\ glc$)]])</f>
        <v>-7.965247394431846</v>
      </c>
      <c r="J1143" t="e">
        <f>LOG(Table1[[#This Row],[Flux in RT / glucose uptake ($mmol/mmol\ glc$)]])</f>
        <v>#NUM!</v>
      </c>
    </row>
    <row r="1144" spans="1:10" x14ac:dyDescent="0.2">
      <c r="A1144" t="s">
        <v>1147</v>
      </c>
      <c r="B1144" t="s">
        <v>3114</v>
      </c>
      <c r="C1144">
        <v>0</v>
      </c>
      <c r="D1144">
        <v>0</v>
      </c>
      <c r="E1144">
        <f>ABS(Table1[[#This Row],[Flux in SC / glucose uptake ($mmol/mmol\ glc$)]]-Table1[[#This Row],[Flux in RT / glucose uptake ($mmol/mmol\ glc$)]])/SQRT(2)</f>
        <v>0</v>
      </c>
      <c r="F1144">
        <f>Table1[[#This Row],[distance from 45-degree line]]/MAX(Table1[[Flux in SC / glucose uptake ($mmol/mmol\ glc$)]:[Flux in RT / glucose uptake ($mmol/mmol\ glc$)]])</f>
        <v>0</v>
      </c>
      <c r="G1144">
        <f>_xlfn.RANK.AVG(Table1[[#This Row],[Flux in SC / glucose uptake ($mmol/mmol\ glc$)]],Table1[Flux in SC / glucose uptake ($mmol/mmol\ glc$)])</f>
        <v>1310.5</v>
      </c>
      <c r="H1144">
        <f>_xlfn.RANK.AVG(Table1[[#This Row],[Flux in RT / glucose uptake ($mmol/mmol\ glc$)]],Table1[Flux in RT / glucose uptake ($mmol/mmol\ glc$)])</f>
        <v>1290.5</v>
      </c>
      <c r="I1144" t="e">
        <f>LOG(Table1[[#This Row],[Flux in SC / glucose uptake ($mmol/mmol\ glc$)]])</f>
        <v>#NUM!</v>
      </c>
      <c r="J1144" t="e">
        <f>LOG(Table1[[#This Row],[Flux in RT / glucose uptake ($mmol/mmol\ glc$)]])</f>
        <v>#NUM!</v>
      </c>
    </row>
    <row r="1145" spans="1:10" x14ac:dyDescent="0.2">
      <c r="A1145" t="s">
        <v>1148</v>
      </c>
      <c r="B1145" t="s">
        <v>3114</v>
      </c>
      <c r="C1145">
        <v>0</v>
      </c>
      <c r="D1145">
        <v>0</v>
      </c>
      <c r="E1145">
        <f>ABS(Table1[[#This Row],[Flux in SC / glucose uptake ($mmol/mmol\ glc$)]]-Table1[[#This Row],[Flux in RT / glucose uptake ($mmol/mmol\ glc$)]])/SQRT(2)</f>
        <v>0</v>
      </c>
      <c r="F1145">
        <f>Table1[[#This Row],[distance from 45-degree line]]/MAX(Table1[[Flux in SC / glucose uptake ($mmol/mmol\ glc$)]:[Flux in RT / glucose uptake ($mmol/mmol\ glc$)]])</f>
        <v>0</v>
      </c>
      <c r="G1145">
        <f>_xlfn.RANK.AVG(Table1[[#This Row],[Flux in SC / glucose uptake ($mmol/mmol\ glc$)]],Table1[Flux in SC / glucose uptake ($mmol/mmol\ glc$)])</f>
        <v>1310.5</v>
      </c>
      <c r="H1145">
        <f>_xlfn.RANK.AVG(Table1[[#This Row],[Flux in RT / glucose uptake ($mmol/mmol\ glc$)]],Table1[Flux in RT / glucose uptake ($mmol/mmol\ glc$)])</f>
        <v>1290.5</v>
      </c>
      <c r="I1145" t="e">
        <f>LOG(Table1[[#This Row],[Flux in SC / glucose uptake ($mmol/mmol\ glc$)]])</f>
        <v>#NUM!</v>
      </c>
      <c r="J1145" t="e">
        <f>LOG(Table1[[#This Row],[Flux in RT / glucose uptake ($mmol/mmol\ glc$)]])</f>
        <v>#NUM!</v>
      </c>
    </row>
    <row r="1146" spans="1:10" x14ac:dyDescent="0.2">
      <c r="A1146" t="s">
        <v>1149</v>
      </c>
      <c r="B1146" t="s">
        <v>3189</v>
      </c>
      <c r="C1146">
        <v>0</v>
      </c>
      <c r="D1146">
        <v>0</v>
      </c>
      <c r="E1146">
        <f>ABS(Table1[[#This Row],[Flux in SC / glucose uptake ($mmol/mmol\ glc$)]]-Table1[[#This Row],[Flux in RT / glucose uptake ($mmol/mmol\ glc$)]])/SQRT(2)</f>
        <v>0</v>
      </c>
      <c r="F1146">
        <f>Table1[[#This Row],[distance from 45-degree line]]/MAX(Table1[[Flux in SC / glucose uptake ($mmol/mmol\ glc$)]:[Flux in RT / glucose uptake ($mmol/mmol\ glc$)]])</f>
        <v>0</v>
      </c>
      <c r="G1146">
        <f>_xlfn.RANK.AVG(Table1[[#This Row],[Flux in SC / glucose uptake ($mmol/mmol\ glc$)]],Table1[Flux in SC / glucose uptake ($mmol/mmol\ glc$)])</f>
        <v>1310.5</v>
      </c>
      <c r="H1146">
        <f>_xlfn.RANK.AVG(Table1[[#This Row],[Flux in RT / glucose uptake ($mmol/mmol\ glc$)]],Table1[Flux in RT / glucose uptake ($mmol/mmol\ glc$)])</f>
        <v>1290.5</v>
      </c>
      <c r="I1146" t="e">
        <f>LOG(Table1[[#This Row],[Flux in SC / glucose uptake ($mmol/mmol\ glc$)]])</f>
        <v>#NUM!</v>
      </c>
      <c r="J1146" t="e">
        <f>LOG(Table1[[#This Row],[Flux in RT / glucose uptake ($mmol/mmol\ glc$)]])</f>
        <v>#NUM!</v>
      </c>
    </row>
    <row r="1147" spans="1:10" x14ac:dyDescent="0.2">
      <c r="A1147" t="s">
        <v>1150</v>
      </c>
      <c r="B1147" t="s">
        <v>3189</v>
      </c>
      <c r="C1147">
        <v>0</v>
      </c>
      <c r="D1147">
        <v>0</v>
      </c>
      <c r="E1147">
        <f>ABS(Table1[[#This Row],[Flux in SC / glucose uptake ($mmol/mmol\ glc$)]]-Table1[[#This Row],[Flux in RT / glucose uptake ($mmol/mmol\ glc$)]])/SQRT(2)</f>
        <v>0</v>
      </c>
      <c r="F1147">
        <f>Table1[[#This Row],[distance from 45-degree line]]/MAX(Table1[[Flux in SC / glucose uptake ($mmol/mmol\ glc$)]:[Flux in RT / glucose uptake ($mmol/mmol\ glc$)]])</f>
        <v>0</v>
      </c>
      <c r="G1147">
        <f>_xlfn.RANK.AVG(Table1[[#This Row],[Flux in SC / glucose uptake ($mmol/mmol\ glc$)]],Table1[Flux in SC / glucose uptake ($mmol/mmol\ glc$)])</f>
        <v>1310.5</v>
      </c>
      <c r="H1147">
        <f>_xlfn.RANK.AVG(Table1[[#This Row],[Flux in RT / glucose uptake ($mmol/mmol\ glc$)]],Table1[Flux in RT / glucose uptake ($mmol/mmol\ glc$)])</f>
        <v>1290.5</v>
      </c>
      <c r="I1147" t="e">
        <f>LOG(Table1[[#This Row],[Flux in SC / glucose uptake ($mmol/mmol\ glc$)]])</f>
        <v>#NUM!</v>
      </c>
      <c r="J1147" t="e">
        <f>LOG(Table1[[#This Row],[Flux in RT / glucose uptake ($mmol/mmol\ glc$)]])</f>
        <v>#NUM!</v>
      </c>
    </row>
    <row r="1148" spans="1:10" x14ac:dyDescent="0.2">
      <c r="A1148" t="s">
        <v>1151</v>
      </c>
      <c r="B1148" t="s">
        <v>3136</v>
      </c>
      <c r="C1148">
        <v>0</v>
      </c>
      <c r="D1148">
        <v>0</v>
      </c>
      <c r="E1148">
        <f>ABS(Table1[[#This Row],[Flux in SC / glucose uptake ($mmol/mmol\ glc$)]]-Table1[[#This Row],[Flux in RT / glucose uptake ($mmol/mmol\ glc$)]])/SQRT(2)</f>
        <v>0</v>
      </c>
      <c r="F1148">
        <f>Table1[[#This Row],[distance from 45-degree line]]/MAX(Table1[[Flux in SC / glucose uptake ($mmol/mmol\ glc$)]:[Flux in RT / glucose uptake ($mmol/mmol\ glc$)]])</f>
        <v>0</v>
      </c>
      <c r="G1148">
        <f>_xlfn.RANK.AVG(Table1[[#This Row],[Flux in SC / glucose uptake ($mmol/mmol\ glc$)]],Table1[Flux in SC / glucose uptake ($mmol/mmol\ glc$)])</f>
        <v>1310.5</v>
      </c>
      <c r="H1148">
        <f>_xlfn.RANK.AVG(Table1[[#This Row],[Flux in RT / glucose uptake ($mmol/mmol\ glc$)]],Table1[Flux in RT / glucose uptake ($mmol/mmol\ glc$)])</f>
        <v>1290.5</v>
      </c>
      <c r="I1148" t="e">
        <f>LOG(Table1[[#This Row],[Flux in SC / glucose uptake ($mmol/mmol\ glc$)]])</f>
        <v>#NUM!</v>
      </c>
      <c r="J1148" t="e">
        <f>LOG(Table1[[#This Row],[Flux in RT / glucose uptake ($mmol/mmol\ glc$)]])</f>
        <v>#NUM!</v>
      </c>
    </row>
    <row r="1149" spans="1:10" x14ac:dyDescent="0.2">
      <c r="A1149" t="s">
        <v>1152</v>
      </c>
      <c r="B1149" t="s">
        <v>3136</v>
      </c>
      <c r="C1149">
        <v>0</v>
      </c>
      <c r="D1149">
        <v>0</v>
      </c>
      <c r="E1149">
        <f>ABS(Table1[[#This Row],[Flux in SC / glucose uptake ($mmol/mmol\ glc$)]]-Table1[[#This Row],[Flux in RT / glucose uptake ($mmol/mmol\ glc$)]])/SQRT(2)</f>
        <v>0</v>
      </c>
      <c r="F1149">
        <f>Table1[[#This Row],[distance from 45-degree line]]/MAX(Table1[[Flux in SC / glucose uptake ($mmol/mmol\ glc$)]:[Flux in RT / glucose uptake ($mmol/mmol\ glc$)]])</f>
        <v>0</v>
      </c>
      <c r="G1149">
        <f>_xlfn.RANK.AVG(Table1[[#This Row],[Flux in SC / glucose uptake ($mmol/mmol\ glc$)]],Table1[Flux in SC / glucose uptake ($mmol/mmol\ glc$)])</f>
        <v>1310.5</v>
      </c>
      <c r="H1149">
        <f>_xlfn.RANK.AVG(Table1[[#This Row],[Flux in RT / glucose uptake ($mmol/mmol\ glc$)]],Table1[Flux in RT / glucose uptake ($mmol/mmol\ glc$)])</f>
        <v>1290.5</v>
      </c>
      <c r="I1149" t="e">
        <f>LOG(Table1[[#This Row],[Flux in SC / glucose uptake ($mmol/mmol\ glc$)]])</f>
        <v>#NUM!</v>
      </c>
      <c r="J1149" t="e">
        <f>LOG(Table1[[#This Row],[Flux in RT / glucose uptake ($mmol/mmol\ glc$)]])</f>
        <v>#NUM!</v>
      </c>
    </row>
    <row r="1150" spans="1:10" x14ac:dyDescent="0.2">
      <c r="A1150" t="s">
        <v>1153</v>
      </c>
      <c r="B1150" t="s">
        <v>3186</v>
      </c>
      <c r="C1150">
        <v>0</v>
      </c>
      <c r="D1150">
        <v>0</v>
      </c>
      <c r="E1150">
        <f>ABS(Table1[[#This Row],[Flux in SC / glucose uptake ($mmol/mmol\ glc$)]]-Table1[[#This Row],[Flux in RT / glucose uptake ($mmol/mmol\ glc$)]])/SQRT(2)</f>
        <v>0</v>
      </c>
      <c r="F1150">
        <f>Table1[[#This Row],[distance from 45-degree line]]/MAX(Table1[[Flux in SC / glucose uptake ($mmol/mmol\ glc$)]:[Flux in RT / glucose uptake ($mmol/mmol\ glc$)]])</f>
        <v>0</v>
      </c>
      <c r="G1150">
        <f>_xlfn.RANK.AVG(Table1[[#This Row],[Flux in SC / glucose uptake ($mmol/mmol\ glc$)]],Table1[Flux in SC / glucose uptake ($mmol/mmol\ glc$)])</f>
        <v>1310.5</v>
      </c>
      <c r="H1150">
        <f>_xlfn.RANK.AVG(Table1[[#This Row],[Flux in RT / glucose uptake ($mmol/mmol\ glc$)]],Table1[Flux in RT / glucose uptake ($mmol/mmol\ glc$)])</f>
        <v>1290.5</v>
      </c>
      <c r="I1150" t="e">
        <f>LOG(Table1[[#This Row],[Flux in SC / glucose uptake ($mmol/mmol\ glc$)]])</f>
        <v>#NUM!</v>
      </c>
      <c r="J1150" t="e">
        <f>LOG(Table1[[#This Row],[Flux in RT / glucose uptake ($mmol/mmol\ glc$)]])</f>
        <v>#NUM!</v>
      </c>
    </row>
    <row r="1151" spans="1:10" x14ac:dyDescent="0.2">
      <c r="A1151" t="s">
        <v>1154</v>
      </c>
      <c r="B1151" t="s">
        <v>3114</v>
      </c>
      <c r="C1151">
        <v>0</v>
      </c>
      <c r="D1151">
        <v>0</v>
      </c>
      <c r="E1151">
        <f>ABS(Table1[[#This Row],[Flux in SC / glucose uptake ($mmol/mmol\ glc$)]]-Table1[[#This Row],[Flux in RT / glucose uptake ($mmol/mmol\ glc$)]])/SQRT(2)</f>
        <v>0</v>
      </c>
      <c r="F1151">
        <f>Table1[[#This Row],[distance from 45-degree line]]/MAX(Table1[[Flux in SC / glucose uptake ($mmol/mmol\ glc$)]:[Flux in RT / glucose uptake ($mmol/mmol\ glc$)]])</f>
        <v>0</v>
      </c>
      <c r="G1151">
        <f>_xlfn.RANK.AVG(Table1[[#This Row],[Flux in SC / glucose uptake ($mmol/mmol\ glc$)]],Table1[Flux in SC / glucose uptake ($mmol/mmol\ glc$)])</f>
        <v>1310.5</v>
      </c>
      <c r="H1151">
        <f>_xlfn.RANK.AVG(Table1[[#This Row],[Flux in RT / glucose uptake ($mmol/mmol\ glc$)]],Table1[Flux in RT / glucose uptake ($mmol/mmol\ glc$)])</f>
        <v>1290.5</v>
      </c>
      <c r="I1151" t="e">
        <f>LOG(Table1[[#This Row],[Flux in SC / glucose uptake ($mmol/mmol\ glc$)]])</f>
        <v>#NUM!</v>
      </c>
      <c r="J1151" t="e">
        <f>LOG(Table1[[#This Row],[Flux in RT / glucose uptake ($mmol/mmol\ glc$)]])</f>
        <v>#NUM!</v>
      </c>
    </row>
    <row r="1152" spans="1:10" x14ac:dyDescent="0.2">
      <c r="A1152" t="s">
        <v>1155</v>
      </c>
      <c r="B1152" t="s">
        <v>3151</v>
      </c>
      <c r="C1152">
        <v>0</v>
      </c>
      <c r="D1152">
        <v>0</v>
      </c>
      <c r="E1152">
        <f>ABS(Table1[[#This Row],[Flux in SC / glucose uptake ($mmol/mmol\ glc$)]]-Table1[[#This Row],[Flux in RT / glucose uptake ($mmol/mmol\ glc$)]])/SQRT(2)</f>
        <v>0</v>
      </c>
      <c r="F1152">
        <f>Table1[[#This Row],[distance from 45-degree line]]/MAX(Table1[[Flux in SC / glucose uptake ($mmol/mmol\ glc$)]:[Flux in RT / glucose uptake ($mmol/mmol\ glc$)]])</f>
        <v>0</v>
      </c>
      <c r="G1152">
        <f>_xlfn.RANK.AVG(Table1[[#This Row],[Flux in SC / glucose uptake ($mmol/mmol\ glc$)]],Table1[Flux in SC / glucose uptake ($mmol/mmol\ glc$)])</f>
        <v>1310.5</v>
      </c>
      <c r="H1152">
        <f>_xlfn.RANK.AVG(Table1[[#This Row],[Flux in RT / glucose uptake ($mmol/mmol\ glc$)]],Table1[Flux in RT / glucose uptake ($mmol/mmol\ glc$)])</f>
        <v>1290.5</v>
      </c>
      <c r="I1152" t="e">
        <f>LOG(Table1[[#This Row],[Flux in SC / glucose uptake ($mmol/mmol\ glc$)]])</f>
        <v>#NUM!</v>
      </c>
      <c r="J1152" t="e">
        <f>LOG(Table1[[#This Row],[Flux in RT / glucose uptake ($mmol/mmol\ glc$)]])</f>
        <v>#NUM!</v>
      </c>
    </row>
    <row r="1153" spans="1:10" x14ac:dyDescent="0.2">
      <c r="A1153" t="s">
        <v>1156</v>
      </c>
      <c r="B1153" t="s">
        <v>3151</v>
      </c>
      <c r="C1153">
        <v>-7.1508246075346144E-2</v>
      </c>
      <c r="D1153">
        <v>-0.59669997198102243</v>
      </c>
      <c r="E1153">
        <f>ABS(Table1[[#This Row],[Flux in SC / glucose uptake ($mmol/mmol\ glc$)]]-Table1[[#This Row],[Flux in RT / glucose uptake ($mmol/mmol\ glc$)]])/SQRT(2)</f>
        <v>0.37136663081097027</v>
      </c>
      <c r="F1153">
        <f>Table1[[#This Row],[distance from 45-degree line]]/MAX(Table1[[Flux in SC / glucose uptake ($mmol/mmol\ glc$)]:[Flux in RT / glucose uptake ($mmol/mmol\ glc$)]])</f>
        <v>2.001623764689793E-2</v>
      </c>
      <c r="G1153">
        <f>_xlfn.RANK.AVG(Table1[[#This Row],[Flux in SC / glucose uptake ($mmol/mmol\ glc$)]],Table1[Flux in SC / glucose uptake ($mmol/mmol\ glc$)])</f>
        <v>2307</v>
      </c>
      <c r="H1153">
        <f>_xlfn.RANK.AVG(Table1[[#This Row],[Flux in RT / glucose uptake ($mmol/mmol\ glc$)]],Table1[Flux in RT / glucose uptake ($mmol/mmol\ glc$)])</f>
        <v>2306</v>
      </c>
      <c r="I1153" t="e">
        <f>LOG(Table1[[#This Row],[Flux in SC / glucose uptake ($mmol/mmol\ glc$)]])</f>
        <v>#NUM!</v>
      </c>
      <c r="J1153" t="e">
        <f>LOG(Table1[[#This Row],[Flux in RT / glucose uptake ($mmol/mmol\ glc$)]])</f>
        <v>#NUM!</v>
      </c>
    </row>
    <row r="1154" spans="1:10" x14ac:dyDescent="0.2">
      <c r="A1154" t="s">
        <v>1157</v>
      </c>
      <c r="B1154" t="s">
        <v>3151</v>
      </c>
      <c r="C1154">
        <v>-1.7725343863385555E-2</v>
      </c>
      <c r="D1154">
        <v>-0.1708940826804124</v>
      </c>
      <c r="E1154">
        <f>ABS(Table1[[#This Row],[Flux in SC / glucose uptake ($mmol/mmol\ glc$)]]-Table1[[#This Row],[Flux in RT / glucose uptake ($mmol/mmol\ glc$)]])/SQRT(2)</f>
        <v>0.10830665388331083</v>
      </c>
      <c r="F1154">
        <f>Table1[[#This Row],[distance from 45-degree line]]/MAX(Table1[[Flux in SC / glucose uptake ($mmol/mmol\ glc$)]:[Flux in RT / glucose uptake ($mmol/mmol\ glc$)]])</f>
        <v>5.8376050592767207E-3</v>
      </c>
      <c r="G1154">
        <f>_xlfn.RANK.AVG(Table1[[#This Row],[Flux in SC / glucose uptake ($mmol/mmol\ glc$)]],Table1[Flux in SC / glucose uptake ($mmol/mmol\ glc$)])</f>
        <v>2302</v>
      </c>
      <c r="H1154">
        <f>_xlfn.RANK.AVG(Table1[[#This Row],[Flux in RT / glucose uptake ($mmol/mmol\ glc$)]],Table1[Flux in RT / glucose uptake ($mmol/mmol\ glc$)])</f>
        <v>2302</v>
      </c>
      <c r="I1154" t="e">
        <f>LOG(Table1[[#This Row],[Flux in SC / glucose uptake ($mmol/mmol\ glc$)]])</f>
        <v>#NUM!</v>
      </c>
      <c r="J1154" t="e">
        <f>LOG(Table1[[#This Row],[Flux in RT / glucose uptake ($mmol/mmol\ glc$)]])</f>
        <v>#NUM!</v>
      </c>
    </row>
    <row r="1155" spans="1:10" x14ac:dyDescent="0.2">
      <c r="A1155" t="s">
        <v>1158</v>
      </c>
      <c r="B1155" t="s">
        <v>3188</v>
      </c>
      <c r="C1155">
        <v>7.7418478480902417E-3</v>
      </c>
      <c r="D1155">
        <v>3.6482732284798508E-2</v>
      </c>
      <c r="E1155">
        <f>ABS(Table1[[#This Row],[Flux in SC / glucose uptake ($mmol/mmol\ glc$)]]-Table1[[#This Row],[Flux in RT / glucose uptake ($mmol/mmol\ glc$)]])/SQRT(2)</f>
        <v>2.032287428249532E-2</v>
      </c>
      <c r="F1155">
        <f>Table1[[#This Row],[distance from 45-degree line]]/MAX(Table1[[Flux in SC / glucose uptake ($mmol/mmol\ glc$)]:[Flux in RT / glucose uptake ($mmol/mmol\ glc$)]])</f>
        <v>1.0953797340868677E-3</v>
      </c>
      <c r="G1155">
        <f>_xlfn.RANK.AVG(Table1[[#This Row],[Flux in SC / glucose uptake ($mmol/mmol\ glc$)]],Table1[Flux in SC / glucose uptake ($mmol/mmol\ glc$)])</f>
        <v>95</v>
      </c>
      <c r="H1155">
        <f>_xlfn.RANK.AVG(Table1[[#This Row],[Flux in RT / glucose uptake ($mmol/mmol\ glc$)]],Table1[Flux in RT / glucose uptake ($mmol/mmol\ glc$)])</f>
        <v>113</v>
      </c>
      <c r="I1155">
        <f>LOG(Table1[[#This Row],[Flux in SC / glucose uptake ($mmol/mmol\ glc$)]])</f>
        <v>-2.1111553681997224</v>
      </c>
      <c r="J1155">
        <f>LOG(Table1[[#This Row],[Flux in RT / glucose uptake ($mmol/mmol\ glc$)]])</f>
        <v>-1.4379126437050382</v>
      </c>
    </row>
    <row r="1156" spans="1:10" x14ac:dyDescent="0.2">
      <c r="A1156" t="s">
        <v>1159</v>
      </c>
      <c r="B1156" t="s">
        <v>3146</v>
      </c>
      <c r="C1156">
        <v>5.0789130583894686E-3</v>
      </c>
      <c r="D1156">
        <v>0.24757094101245591</v>
      </c>
      <c r="E1156">
        <f>ABS(Table1[[#This Row],[Flux in SC / glucose uptake ($mmol/mmol\ glc$)]]-Table1[[#This Row],[Flux in RT / glucose uptake ($mmol/mmol\ glc$)]])/SQRT(2)</f>
        <v>0.1714677573499982</v>
      </c>
      <c r="F1156">
        <f>Table1[[#This Row],[distance from 45-degree line]]/MAX(Table1[[Flux in SC / glucose uptake ($mmol/mmol\ glc$)]:[Flux in RT / glucose uptake ($mmol/mmol\ glc$)]])</f>
        <v>9.2419164651473228E-3</v>
      </c>
      <c r="G1156">
        <f>_xlfn.RANK.AVG(Table1[[#This Row],[Flux in SC / glucose uptake ($mmol/mmol\ glc$)]],Table1[Flux in SC / glucose uptake ($mmol/mmol\ glc$)])</f>
        <v>118</v>
      </c>
      <c r="H1156">
        <f>_xlfn.RANK.AVG(Table1[[#This Row],[Flux in RT / glucose uptake ($mmol/mmol\ glc$)]],Table1[Flux in RT / glucose uptake ($mmol/mmol\ glc$)])</f>
        <v>62</v>
      </c>
      <c r="I1156">
        <f>LOG(Table1[[#This Row],[Flux in SC / glucose uptake ($mmol/mmol\ glc$)]])</f>
        <v>-2.2942292214271367</v>
      </c>
      <c r="J1156">
        <f>LOG(Table1[[#This Row],[Flux in RT / glucose uptake ($mmol/mmol\ glc$)]])</f>
        <v>-0.60630033258635219</v>
      </c>
    </row>
    <row r="1157" spans="1:10" x14ac:dyDescent="0.2">
      <c r="A1157" t="s">
        <v>1160</v>
      </c>
      <c r="B1157" t="s">
        <v>3125</v>
      </c>
      <c r="C1157">
        <v>0</v>
      </c>
      <c r="D1157">
        <v>0</v>
      </c>
      <c r="E1157">
        <f>ABS(Table1[[#This Row],[Flux in SC / glucose uptake ($mmol/mmol\ glc$)]]-Table1[[#This Row],[Flux in RT / glucose uptake ($mmol/mmol\ glc$)]])/SQRT(2)</f>
        <v>0</v>
      </c>
      <c r="F1157">
        <f>Table1[[#This Row],[distance from 45-degree line]]/MAX(Table1[[Flux in SC / glucose uptake ($mmol/mmol\ glc$)]:[Flux in RT / glucose uptake ($mmol/mmol\ glc$)]])</f>
        <v>0</v>
      </c>
      <c r="G1157">
        <f>_xlfn.RANK.AVG(Table1[[#This Row],[Flux in SC / glucose uptake ($mmol/mmol\ glc$)]],Table1[Flux in SC / glucose uptake ($mmol/mmol\ glc$)])</f>
        <v>1310.5</v>
      </c>
      <c r="H1157">
        <f>_xlfn.RANK.AVG(Table1[[#This Row],[Flux in RT / glucose uptake ($mmol/mmol\ glc$)]],Table1[Flux in RT / glucose uptake ($mmol/mmol\ glc$)])</f>
        <v>1290.5</v>
      </c>
      <c r="I1157" t="e">
        <f>LOG(Table1[[#This Row],[Flux in SC / glucose uptake ($mmol/mmol\ glc$)]])</f>
        <v>#NUM!</v>
      </c>
      <c r="J1157" t="e">
        <f>LOG(Table1[[#This Row],[Flux in RT / glucose uptake ($mmol/mmol\ glc$)]])</f>
        <v>#NUM!</v>
      </c>
    </row>
    <row r="1158" spans="1:10" x14ac:dyDescent="0.2">
      <c r="A1158" t="s">
        <v>1161</v>
      </c>
      <c r="B1158" t="s">
        <v>3125</v>
      </c>
      <c r="C1158">
        <v>0</v>
      </c>
      <c r="D1158">
        <v>0</v>
      </c>
      <c r="E1158">
        <f>ABS(Table1[[#This Row],[Flux in SC / glucose uptake ($mmol/mmol\ glc$)]]-Table1[[#This Row],[Flux in RT / glucose uptake ($mmol/mmol\ glc$)]])/SQRT(2)</f>
        <v>0</v>
      </c>
      <c r="F1158">
        <f>Table1[[#This Row],[distance from 45-degree line]]/MAX(Table1[[Flux in SC / glucose uptake ($mmol/mmol\ glc$)]:[Flux in RT / glucose uptake ($mmol/mmol\ glc$)]])</f>
        <v>0</v>
      </c>
      <c r="G1158">
        <f>_xlfn.RANK.AVG(Table1[[#This Row],[Flux in SC / glucose uptake ($mmol/mmol\ glc$)]],Table1[Flux in SC / glucose uptake ($mmol/mmol\ glc$)])</f>
        <v>1310.5</v>
      </c>
      <c r="H1158">
        <f>_xlfn.RANK.AVG(Table1[[#This Row],[Flux in RT / glucose uptake ($mmol/mmol\ glc$)]],Table1[Flux in RT / glucose uptake ($mmol/mmol\ glc$)])</f>
        <v>1290.5</v>
      </c>
      <c r="I1158" t="e">
        <f>LOG(Table1[[#This Row],[Flux in SC / glucose uptake ($mmol/mmol\ glc$)]])</f>
        <v>#NUM!</v>
      </c>
      <c r="J1158" t="e">
        <f>LOG(Table1[[#This Row],[Flux in RT / glucose uptake ($mmol/mmol\ glc$)]])</f>
        <v>#NUM!</v>
      </c>
    </row>
    <row r="1159" spans="1:10" x14ac:dyDescent="0.2">
      <c r="A1159" t="s">
        <v>1162</v>
      </c>
      <c r="B1159" t="s">
        <v>3114</v>
      </c>
      <c r="C1159">
        <v>0</v>
      </c>
      <c r="D1159">
        <v>0</v>
      </c>
      <c r="E1159">
        <f>ABS(Table1[[#This Row],[Flux in SC / glucose uptake ($mmol/mmol\ glc$)]]-Table1[[#This Row],[Flux in RT / glucose uptake ($mmol/mmol\ glc$)]])/SQRT(2)</f>
        <v>0</v>
      </c>
      <c r="F1159">
        <f>Table1[[#This Row],[distance from 45-degree line]]/MAX(Table1[[Flux in SC / glucose uptake ($mmol/mmol\ glc$)]:[Flux in RT / glucose uptake ($mmol/mmol\ glc$)]])</f>
        <v>0</v>
      </c>
      <c r="G1159">
        <f>_xlfn.RANK.AVG(Table1[[#This Row],[Flux in SC / glucose uptake ($mmol/mmol\ glc$)]],Table1[Flux in SC / glucose uptake ($mmol/mmol\ glc$)])</f>
        <v>1310.5</v>
      </c>
      <c r="H1159">
        <f>_xlfn.RANK.AVG(Table1[[#This Row],[Flux in RT / glucose uptake ($mmol/mmol\ glc$)]],Table1[Flux in RT / glucose uptake ($mmol/mmol\ glc$)])</f>
        <v>1290.5</v>
      </c>
      <c r="I1159" t="e">
        <f>LOG(Table1[[#This Row],[Flux in SC / glucose uptake ($mmol/mmol\ glc$)]])</f>
        <v>#NUM!</v>
      </c>
      <c r="J1159" t="e">
        <f>LOG(Table1[[#This Row],[Flux in RT / glucose uptake ($mmol/mmol\ glc$)]])</f>
        <v>#NUM!</v>
      </c>
    </row>
    <row r="1160" spans="1:10" x14ac:dyDescent="0.2">
      <c r="A1160" t="s">
        <v>1163</v>
      </c>
      <c r="B1160" t="s">
        <v>3114</v>
      </c>
      <c r="C1160">
        <v>0</v>
      </c>
      <c r="D1160">
        <v>0</v>
      </c>
      <c r="E1160">
        <f>ABS(Table1[[#This Row],[Flux in SC / glucose uptake ($mmol/mmol\ glc$)]]-Table1[[#This Row],[Flux in RT / glucose uptake ($mmol/mmol\ glc$)]])/SQRT(2)</f>
        <v>0</v>
      </c>
      <c r="F1160">
        <f>Table1[[#This Row],[distance from 45-degree line]]/MAX(Table1[[Flux in SC / glucose uptake ($mmol/mmol\ glc$)]:[Flux in RT / glucose uptake ($mmol/mmol\ glc$)]])</f>
        <v>0</v>
      </c>
      <c r="G1160">
        <f>_xlfn.RANK.AVG(Table1[[#This Row],[Flux in SC / glucose uptake ($mmol/mmol\ glc$)]],Table1[Flux in SC / glucose uptake ($mmol/mmol\ glc$)])</f>
        <v>1310.5</v>
      </c>
      <c r="H1160">
        <f>_xlfn.RANK.AVG(Table1[[#This Row],[Flux in RT / glucose uptake ($mmol/mmol\ glc$)]],Table1[Flux in RT / glucose uptake ($mmol/mmol\ glc$)])</f>
        <v>1290.5</v>
      </c>
      <c r="I1160" t="e">
        <f>LOG(Table1[[#This Row],[Flux in SC / glucose uptake ($mmol/mmol\ glc$)]])</f>
        <v>#NUM!</v>
      </c>
      <c r="J1160" t="e">
        <f>LOG(Table1[[#This Row],[Flux in RT / glucose uptake ($mmol/mmol\ glc$)]])</f>
        <v>#NUM!</v>
      </c>
    </row>
    <row r="1161" spans="1:10" x14ac:dyDescent="0.2">
      <c r="A1161" t="s">
        <v>1164</v>
      </c>
      <c r="B1161" t="s">
        <v>3114</v>
      </c>
      <c r="C1161">
        <v>0</v>
      </c>
      <c r="D1161">
        <v>0</v>
      </c>
      <c r="E1161">
        <f>ABS(Table1[[#This Row],[Flux in SC / glucose uptake ($mmol/mmol\ glc$)]]-Table1[[#This Row],[Flux in RT / glucose uptake ($mmol/mmol\ glc$)]])/SQRT(2)</f>
        <v>0</v>
      </c>
      <c r="F1161">
        <f>Table1[[#This Row],[distance from 45-degree line]]/MAX(Table1[[Flux in SC / glucose uptake ($mmol/mmol\ glc$)]:[Flux in RT / glucose uptake ($mmol/mmol\ glc$)]])</f>
        <v>0</v>
      </c>
      <c r="G1161">
        <f>_xlfn.RANK.AVG(Table1[[#This Row],[Flux in SC / glucose uptake ($mmol/mmol\ glc$)]],Table1[Flux in SC / glucose uptake ($mmol/mmol\ glc$)])</f>
        <v>1310.5</v>
      </c>
      <c r="H1161">
        <f>_xlfn.RANK.AVG(Table1[[#This Row],[Flux in RT / glucose uptake ($mmol/mmol\ glc$)]],Table1[Flux in RT / glucose uptake ($mmol/mmol\ glc$)])</f>
        <v>1290.5</v>
      </c>
      <c r="I1161" t="e">
        <f>LOG(Table1[[#This Row],[Flux in SC / glucose uptake ($mmol/mmol\ glc$)]])</f>
        <v>#NUM!</v>
      </c>
      <c r="J1161" t="e">
        <f>LOG(Table1[[#This Row],[Flux in RT / glucose uptake ($mmol/mmol\ glc$)]])</f>
        <v>#NUM!</v>
      </c>
    </row>
    <row r="1162" spans="1:10" x14ac:dyDescent="0.2">
      <c r="A1162" t="s">
        <v>1165</v>
      </c>
      <c r="B1162" t="s">
        <v>3114</v>
      </c>
      <c r="C1162">
        <v>0</v>
      </c>
      <c r="D1162">
        <v>0</v>
      </c>
      <c r="E1162">
        <f>ABS(Table1[[#This Row],[Flux in SC / glucose uptake ($mmol/mmol\ glc$)]]-Table1[[#This Row],[Flux in RT / glucose uptake ($mmol/mmol\ glc$)]])/SQRT(2)</f>
        <v>0</v>
      </c>
      <c r="F1162">
        <f>Table1[[#This Row],[distance from 45-degree line]]/MAX(Table1[[Flux in SC / glucose uptake ($mmol/mmol\ glc$)]:[Flux in RT / glucose uptake ($mmol/mmol\ glc$)]])</f>
        <v>0</v>
      </c>
      <c r="G1162">
        <f>_xlfn.RANK.AVG(Table1[[#This Row],[Flux in SC / glucose uptake ($mmol/mmol\ glc$)]],Table1[Flux in SC / glucose uptake ($mmol/mmol\ glc$)])</f>
        <v>1310.5</v>
      </c>
      <c r="H1162">
        <f>_xlfn.RANK.AVG(Table1[[#This Row],[Flux in RT / glucose uptake ($mmol/mmol\ glc$)]],Table1[Flux in RT / glucose uptake ($mmol/mmol\ glc$)])</f>
        <v>1290.5</v>
      </c>
      <c r="I1162" t="e">
        <f>LOG(Table1[[#This Row],[Flux in SC / glucose uptake ($mmol/mmol\ glc$)]])</f>
        <v>#NUM!</v>
      </c>
      <c r="J1162" t="e">
        <f>LOG(Table1[[#This Row],[Flux in RT / glucose uptake ($mmol/mmol\ glc$)]])</f>
        <v>#NUM!</v>
      </c>
    </row>
    <row r="1163" spans="1:10" x14ac:dyDescent="0.2">
      <c r="A1163" t="s">
        <v>1166</v>
      </c>
      <c r="B1163" t="s">
        <v>3117</v>
      </c>
      <c r="C1163">
        <v>0</v>
      </c>
      <c r="D1163">
        <v>0</v>
      </c>
      <c r="E1163">
        <f>ABS(Table1[[#This Row],[Flux in SC / glucose uptake ($mmol/mmol\ glc$)]]-Table1[[#This Row],[Flux in RT / glucose uptake ($mmol/mmol\ glc$)]])/SQRT(2)</f>
        <v>0</v>
      </c>
      <c r="F1163">
        <f>Table1[[#This Row],[distance from 45-degree line]]/MAX(Table1[[Flux in SC / glucose uptake ($mmol/mmol\ glc$)]:[Flux in RT / glucose uptake ($mmol/mmol\ glc$)]])</f>
        <v>0</v>
      </c>
      <c r="G1163">
        <f>_xlfn.RANK.AVG(Table1[[#This Row],[Flux in SC / glucose uptake ($mmol/mmol\ glc$)]],Table1[Flux in SC / glucose uptake ($mmol/mmol\ glc$)])</f>
        <v>1310.5</v>
      </c>
      <c r="H1163">
        <f>_xlfn.RANK.AVG(Table1[[#This Row],[Flux in RT / glucose uptake ($mmol/mmol\ glc$)]],Table1[Flux in RT / glucose uptake ($mmol/mmol\ glc$)])</f>
        <v>1290.5</v>
      </c>
      <c r="I1163" t="e">
        <f>LOG(Table1[[#This Row],[Flux in SC / glucose uptake ($mmol/mmol\ glc$)]])</f>
        <v>#NUM!</v>
      </c>
      <c r="J1163" t="e">
        <f>LOG(Table1[[#This Row],[Flux in RT / glucose uptake ($mmol/mmol\ glc$)]])</f>
        <v>#NUM!</v>
      </c>
    </row>
    <row r="1164" spans="1:10" x14ac:dyDescent="0.2">
      <c r="A1164" t="s">
        <v>1167</v>
      </c>
      <c r="B1164" t="s">
        <v>3117</v>
      </c>
      <c r="C1164">
        <v>0</v>
      </c>
      <c r="D1164">
        <v>0</v>
      </c>
      <c r="E1164">
        <f>ABS(Table1[[#This Row],[Flux in SC / glucose uptake ($mmol/mmol\ glc$)]]-Table1[[#This Row],[Flux in RT / glucose uptake ($mmol/mmol\ glc$)]])/SQRT(2)</f>
        <v>0</v>
      </c>
      <c r="F1164">
        <f>Table1[[#This Row],[distance from 45-degree line]]/MAX(Table1[[Flux in SC / glucose uptake ($mmol/mmol\ glc$)]:[Flux in RT / glucose uptake ($mmol/mmol\ glc$)]])</f>
        <v>0</v>
      </c>
      <c r="G1164">
        <f>_xlfn.RANK.AVG(Table1[[#This Row],[Flux in SC / glucose uptake ($mmol/mmol\ glc$)]],Table1[Flux in SC / glucose uptake ($mmol/mmol\ glc$)])</f>
        <v>1310.5</v>
      </c>
      <c r="H1164">
        <f>_xlfn.RANK.AVG(Table1[[#This Row],[Flux in RT / glucose uptake ($mmol/mmol\ glc$)]],Table1[Flux in RT / glucose uptake ($mmol/mmol\ glc$)])</f>
        <v>1290.5</v>
      </c>
      <c r="I1164" t="e">
        <f>LOG(Table1[[#This Row],[Flux in SC / glucose uptake ($mmol/mmol\ glc$)]])</f>
        <v>#NUM!</v>
      </c>
      <c r="J1164" t="e">
        <f>LOG(Table1[[#This Row],[Flux in RT / glucose uptake ($mmol/mmol\ glc$)]])</f>
        <v>#NUM!</v>
      </c>
    </row>
    <row r="1165" spans="1:10" x14ac:dyDescent="0.2">
      <c r="A1165" t="s">
        <v>1168</v>
      </c>
      <c r="B1165" t="s">
        <v>3114</v>
      </c>
      <c r="C1165">
        <v>0</v>
      </c>
      <c r="D1165">
        <v>0</v>
      </c>
      <c r="E1165">
        <f>ABS(Table1[[#This Row],[Flux in SC / glucose uptake ($mmol/mmol\ glc$)]]-Table1[[#This Row],[Flux in RT / glucose uptake ($mmol/mmol\ glc$)]])/SQRT(2)</f>
        <v>0</v>
      </c>
      <c r="F1165">
        <f>Table1[[#This Row],[distance from 45-degree line]]/MAX(Table1[[Flux in SC / glucose uptake ($mmol/mmol\ glc$)]:[Flux in RT / glucose uptake ($mmol/mmol\ glc$)]])</f>
        <v>0</v>
      </c>
      <c r="G1165">
        <f>_xlfn.RANK.AVG(Table1[[#This Row],[Flux in SC / glucose uptake ($mmol/mmol\ glc$)]],Table1[Flux in SC / glucose uptake ($mmol/mmol\ glc$)])</f>
        <v>1310.5</v>
      </c>
      <c r="H1165">
        <f>_xlfn.RANK.AVG(Table1[[#This Row],[Flux in RT / glucose uptake ($mmol/mmol\ glc$)]],Table1[Flux in RT / glucose uptake ($mmol/mmol\ glc$)])</f>
        <v>1290.5</v>
      </c>
      <c r="I1165" t="e">
        <f>LOG(Table1[[#This Row],[Flux in SC / glucose uptake ($mmol/mmol\ glc$)]])</f>
        <v>#NUM!</v>
      </c>
      <c r="J1165" t="e">
        <f>LOG(Table1[[#This Row],[Flux in RT / glucose uptake ($mmol/mmol\ glc$)]])</f>
        <v>#NUM!</v>
      </c>
    </row>
    <row r="1166" spans="1:10" x14ac:dyDescent="0.2">
      <c r="A1166" t="s">
        <v>1169</v>
      </c>
      <c r="B1166" t="s">
        <v>3114</v>
      </c>
      <c r="C1166">
        <v>0</v>
      </c>
      <c r="D1166">
        <v>0</v>
      </c>
      <c r="E1166">
        <f>ABS(Table1[[#This Row],[Flux in SC / glucose uptake ($mmol/mmol\ glc$)]]-Table1[[#This Row],[Flux in RT / glucose uptake ($mmol/mmol\ glc$)]])/SQRT(2)</f>
        <v>0</v>
      </c>
      <c r="F1166">
        <f>Table1[[#This Row],[distance from 45-degree line]]/MAX(Table1[[Flux in SC / glucose uptake ($mmol/mmol\ glc$)]:[Flux in RT / glucose uptake ($mmol/mmol\ glc$)]])</f>
        <v>0</v>
      </c>
      <c r="G1166">
        <f>_xlfn.RANK.AVG(Table1[[#This Row],[Flux in SC / glucose uptake ($mmol/mmol\ glc$)]],Table1[Flux in SC / glucose uptake ($mmol/mmol\ glc$)])</f>
        <v>1310.5</v>
      </c>
      <c r="H1166">
        <f>_xlfn.RANK.AVG(Table1[[#This Row],[Flux in RT / glucose uptake ($mmol/mmol\ glc$)]],Table1[Flux in RT / glucose uptake ($mmol/mmol\ glc$)])</f>
        <v>1290.5</v>
      </c>
      <c r="I1166" t="e">
        <f>LOG(Table1[[#This Row],[Flux in SC / glucose uptake ($mmol/mmol\ glc$)]])</f>
        <v>#NUM!</v>
      </c>
      <c r="J1166" t="e">
        <f>LOG(Table1[[#This Row],[Flux in RT / glucose uptake ($mmol/mmol\ glc$)]])</f>
        <v>#NUM!</v>
      </c>
    </row>
    <row r="1167" spans="1:10" x14ac:dyDescent="0.2">
      <c r="A1167" t="s">
        <v>1170</v>
      </c>
      <c r="B1167" t="s">
        <v>3114</v>
      </c>
      <c r="C1167">
        <v>0</v>
      </c>
      <c r="D1167">
        <v>0</v>
      </c>
      <c r="E1167">
        <f>ABS(Table1[[#This Row],[Flux in SC / glucose uptake ($mmol/mmol\ glc$)]]-Table1[[#This Row],[Flux in RT / glucose uptake ($mmol/mmol\ glc$)]])/SQRT(2)</f>
        <v>0</v>
      </c>
      <c r="F1167">
        <f>Table1[[#This Row],[distance from 45-degree line]]/MAX(Table1[[Flux in SC / glucose uptake ($mmol/mmol\ glc$)]:[Flux in RT / glucose uptake ($mmol/mmol\ glc$)]])</f>
        <v>0</v>
      </c>
      <c r="G1167">
        <f>_xlfn.RANK.AVG(Table1[[#This Row],[Flux in SC / glucose uptake ($mmol/mmol\ glc$)]],Table1[Flux in SC / glucose uptake ($mmol/mmol\ glc$)])</f>
        <v>1310.5</v>
      </c>
      <c r="H1167">
        <f>_xlfn.RANK.AVG(Table1[[#This Row],[Flux in RT / glucose uptake ($mmol/mmol\ glc$)]],Table1[Flux in RT / glucose uptake ($mmol/mmol\ glc$)])</f>
        <v>1290.5</v>
      </c>
      <c r="I1167" t="e">
        <f>LOG(Table1[[#This Row],[Flux in SC / glucose uptake ($mmol/mmol\ glc$)]])</f>
        <v>#NUM!</v>
      </c>
      <c r="J1167" t="e">
        <f>LOG(Table1[[#This Row],[Flux in RT / glucose uptake ($mmol/mmol\ glc$)]])</f>
        <v>#NUM!</v>
      </c>
    </row>
    <row r="1168" spans="1:10" x14ac:dyDescent="0.2">
      <c r="A1168" t="s">
        <v>1171</v>
      </c>
      <c r="B1168" t="s">
        <v>3141</v>
      </c>
      <c r="C1168">
        <v>3.6110321147682783E-9</v>
      </c>
      <c r="D1168">
        <v>0</v>
      </c>
      <c r="E1168">
        <f>ABS(Table1[[#This Row],[Flux in SC / glucose uptake ($mmol/mmol\ glc$)]]-Table1[[#This Row],[Flux in RT / glucose uptake ($mmol/mmol\ glc$)]])/SQRT(2)</f>
        <v>2.5533852954350489E-9</v>
      </c>
      <c r="F1168">
        <f>Table1[[#This Row],[distance from 45-degree line]]/MAX(Table1[[Flux in SC / glucose uptake ($mmol/mmol\ glc$)]:[Flux in RT / glucose uptake ($mmol/mmol\ glc$)]])</f>
        <v>1.376245538429589E-10</v>
      </c>
      <c r="G1168">
        <f>_xlfn.RANK.AVG(Table1[[#This Row],[Flux in SC / glucose uptake ($mmol/mmol\ glc$)]],Table1[Flux in SC / glucose uptake ($mmol/mmol\ glc$)])</f>
        <v>310</v>
      </c>
      <c r="H1168">
        <f>_xlfn.RANK.AVG(Table1[[#This Row],[Flux in RT / glucose uptake ($mmol/mmol\ glc$)]],Table1[Flux in RT / glucose uptake ($mmol/mmol\ glc$)])</f>
        <v>1290.5</v>
      </c>
      <c r="I1168">
        <f>LOG(Table1[[#This Row],[Flux in SC / glucose uptake ($mmol/mmol\ glc$)]])</f>
        <v>-8.4423686491515095</v>
      </c>
      <c r="J1168" t="e">
        <f>LOG(Table1[[#This Row],[Flux in RT / glucose uptake ($mmol/mmol\ glc$)]])</f>
        <v>#NUM!</v>
      </c>
    </row>
    <row r="1169" spans="1:10" x14ac:dyDescent="0.2">
      <c r="A1169" t="s">
        <v>1172</v>
      </c>
      <c r="B1169" t="s">
        <v>3141</v>
      </c>
      <c r="C1169">
        <v>0</v>
      </c>
      <c r="D1169">
        <v>0</v>
      </c>
      <c r="E1169">
        <f>ABS(Table1[[#This Row],[Flux in SC / glucose uptake ($mmol/mmol\ glc$)]]-Table1[[#This Row],[Flux in RT / glucose uptake ($mmol/mmol\ glc$)]])/SQRT(2)</f>
        <v>0</v>
      </c>
      <c r="F1169">
        <f>Table1[[#This Row],[distance from 45-degree line]]/MAX(Table1[[Flux in SC / glucose uptake ($mmol/mmol\ glc$)]:[Flux in RT / glucose uptake ($mmol/mmol\ glc$)]])</f>
        <v>0</v>
      </c>
      <c r="G1169">
        <f>_xlfn.RANK.AVG(Table1[[#This Row],[Flux in SC / glucose uptake ($mmol/mmol\ glc$)]],Table1[Flux in SC / glucose uptake ($mmol/mmol\ glc$)])</f>
        <v>1310.5</v>
      </c>
      <c r="H1169">
        <f>_xlfn.RANK.AVG(Table1[[#This Row],[Flux in RT / glucose uptake ($mmol/mmol\ glc$)]],Table1[Flux in RT / glucose uptake ($mmol/mmol\ glc$)])</f>
        <v>1290.5</v>
      </c>
      <c r="I1169" t="e">
        <f>LOG(Table1[[#This Row],[Flux in SC / glucose uptake ($mmol/mmol\ glc$)]])</f>
        <v>#NUM!</v>
      </c>
      <c r="J1169" t="e">
        <f>LOG(Table1[[#This Row],[Flux in RT / glucose uptake ($mmol/mmol\ glc$)]])</f>
        <v>#NUM!</v>
      </c>
    </row>
    <row r="1170" spans="1:10" x14ac:dyDescent="0.2">
      <c r="A1170" t="s">
        <v>1173</v>
      </c>
      <c r="B1170" t="s">
        <v>3190</v>
      </c>
      <c r="C1170">
        <v>0</v>
      </c>
      <c r="D1170">
        <v>0</v>
      </c>
      <c r="E1170">
        <f>ABS(Table1[[#This Row],[Flux in SC / glucose uptake ($mmol/mmol\ glc$)]]-Table1[[#This Row],[Flux in RT / glucose uptake ($mmol/mmol\ glc$)]])/SQRT(2)</f>
        <v>0</v>
      </c>
      <c r="F1170">
        <f>Table1[[#This Row],[distance from 45-degree line]]/MAX(Table1[[Flux in SC / glucose uptake ($mmol/mmol\ glc$)]:[Flux in RT / glucose uptake ($mmol/mmol\ glc$)]])</f>
        <v>0</v>
      </c>
      <c r="G1170">
        <f>_xlfn.RANK.AVG(Table1[[#This Row],[Flux in SC / glucose uptake ($mmol/mmol\ glc$)]],Table1[Flux in SC / glucose uptake ($mmol/mmol\ glc$)])</f>
        <v>1310.5</v>
      </c>
      <c r="H1170">
        <f>_xlfn.RANK.AVG(Table1[[#This Row],[Flux in RT / glucose uptake ($mmol/mmol\ glc$)]],Table1[Flux in RT / glucose uptake ($mmol/mmol\ glc$)])</f>
        <v>1290.5</v>
      </c>
      <c r="I1170" t="e">
        <f>LOG(Table1[[#This Row],[Flux in SC / glucose uptake ($mmol/mmol\ glc$)]])</f>
        <v>#NUM!</v>
      </c>
      <c r="J1170" t="e">
        <f>LOG(Table1[[#This Row],[Flux in RT / glucose uptake ($mmol/mmol\ glc$)]])</f>
        <v>#NUM!</v>
      </c>
    </row>
    <row r="1171" spans="1:10" x14ac:dyDescent="0.2">
      <c r="A1171" t="s">
        <v>1174</v>
      </c>
      <c r="B1171" t="s">
        <v>3141</v>
      </c>
      <c r="C1171">
        <v>0</v>
      </c>
      <c r="D1171">
        <v>0</v>
      </c>
      <c r="E1171">
        <f>ABS(Table1[[#This Row],[Flux in SC / glucose uptake ($mmol/mmol\ glc$)]]-Table1[[#This Row],[Flux in RT / glucose uptake ($mmol/mmol\ glc$)]])/SQRT(2)</f>
        <v>0</v>
      </c>
      <c r="F1171">
        <f>Table1[[#This Row],[distance from 45-degree line]]/MAX(Table1[[Flux in SC / glucose uptake ($mmol/mmol\ glc$)]:[Flux in RT / glucose uptake ($mmol/mmol\ glc$)]])</f>
        <v>0</v>
      </c>
      <c r="G1171">
        <f>_xlfn.RANK.AVG(Table1[[#This Row],[Flux in SC / glucose uptake ($mmol/mmol\ glc$)]],Table1[Flux in SC / glucose uptake ($mmol/mmol\ glc$)])</f>
        <v>1310.5</v>
      </c>
      <c r="H1171">
        <f>_xlfn.RANK.AVG(Table1[[#This Row],[Flux in RT / glucose uptake ($mmol/mmol\ glc$)]],Table1[Flux in RT / glucose uptake ($mmol/mmol\ glc$)])</f>
        <v>1290.5</v>
      </c>
      <c r="I1171" t="e">
        <f>LOG(Table1[[#This Row],[Flux in SC / glucose uptake ($mmol/mmol\ glc$)]])</f>
        <v>#NUM!</v>
      </c>
      <c r="J1171" t="e">
        <f>LOG(Table1[[#This Row],[Flux in RT / glucose uptake ($mmol/mmol\ glc$)]])</f>
        <v>#NUM!</v>
      </c>
    </row>
    <row r="1172" spans="1:10" x14ac:dyDescent="0.2">
      <c r="A1172" t="s">
        <v>1175</v>
      </c>
      <c r="B1172" t="s">
        <v>3114</v>
      </c>
      <c r="C1172">
        <v>0</v>
      </c>
      <c r="D1172">
        <v>0</v>
      </c>
      <c r="E1172">
        <f>ABS(Table1[[#This Row],[Flux in SC / glucose uptake ($mmol/mmol\ glc$)]]-Table1[[#This Row],[Flux in RT / glucose uptake ($mmol/mmol\ glc$)]])/SQRT(2)</f>
        <v>0</v>
      </c>
      <c r="F1172">
        <f>Table1[[#This Row],[distance from 45-degree line]]/MAX(Table1[[Flux in SC / glucose uptake ($mmol/mmol\ glc$)]:[Flux in RT / glucose uptake ($mmol/mmol\ glc$)]])</f>
        <v>0</v>
      </c>
      <c r="G1172">
        <f>_xlfn.RANK.AVG(Table1[[#This Row],[Flux in SC / glucose uptake ($mmol/mmol\ glc$)]],Table1[Flux in SC / glucose uptake ($mmol/mmol\ glc$)])</f>
        <v>1310.5</v>
      </c>
      <c r="H1172">
        <f>_xlfn.RANK.AVG(Table1[[#This Row],[Flux in RT / glucose uptake ($mmol/mmol\ glc$)]],Table1[Flux in RT / glucose uptake ($mmol/mmol\ glc$)])</f>
        <v>1290.5</v>
      </c>
      <c r="I1172" t="e">
        <f>LOG(Table1[[#This Row],[Flux in SC / glucose uptake ($mmol/mmol\ glc$)]])</f>
        <v>#NUM!</v>
      </c>
      <c r="J1172" t="e">
        <f>LOG(Table1[[#This Row],[Flux in RT / glucose uptake ($mmol/mmol\ glc$)]])</f>
        <v>#NUM!</v>
      </c>
    </row>
    <row r="1173" spans="1:10" x14ac:dyDescent="0.2">
      <c r="A1173" t="s">
        <v>1176</v>
      </c>
      <c r="B1173" t="s">
        <v>3114</v>
      </c>
      <c r="C1173">
        <v>0</v>
      </c>
      <c r="D1173">
        <v>0</v>
      </c>
      <c r="E1173">
        <f>ABS(Table1[[#This Row],[Flux in SC / glucose uptake ($mmol/mmol\ glc$)]]-Table1[[#This Row],[Flux in RT / glucose uptake ($mmol/mmol\ glc$)]])/SQRT(2)</f>
        <v>0</v>
      </c>
      <c r="F1173">
        <f>Table1[[#This Row],[distance from 45-degree line]]/MAX(Table1[[Flux in SC / glucose uptake ($mmol/mmol\ glc$)]:[Flux in RT / glucose uptake ($mmol/mmol\ glc$)]])</f>
        <v>0</v>
      </c>
      <c r="G1173">
        <f>_xlfn.RANK.AVG(Table1[[#This Row],[Flux in SC / glucose uptake ($mmol/mmol\ glc$)]],Table1[Flux in SC / glucose uptake ($mmol/mmol\ glc$)])</f>
        <v>1310.5</v>
      </c>
      <c r="H1173">
        <f>_xlfn.RANK.AVG(Table1[[#This Row],[Flux in RT / glucose uptake ($mmol/mmol\ glc$)]],Table1[Flux in RT / glucose uptake ($mmol/mmol\ glc$)])</f>
        <v>1290.5</v>
      </c>
      <c r="I1173" t="e">
        <f>LOG(Table1[[#This Row],[Flux in SC / glucose uptake ($mmol/mmol\ glc$)]])</f>
        <v>#NUM!</v>
      </c>
      <c r="J1173" t="e">
        <f>LOG(Table1[[#This Row],[Flux in RT / glucose uptake ($mmol/mmol\ glc$)]])</f>
        <v>#NUM!</v>
      </c>
    </row>
    <row r="1174" spans="1:10" x14ac:dyDescent="0.2">
      <c r="A1174" t="s">
        <v>1177</v>
      </c>
      <c r="B1174" t="s">
        <v>3118</v>
      </c>
      <c r="C1174">
        <v>7.3780576397586589E-2</v>
      </c>
      <c r="D1174">
        <v>0</v>
      </c>
      <c r="E1174">
        <f>ABS(Table1[[#This Row],[Flux in SC / glucose uptake ($mmol/mmol\ glc$)]]-Table1[[#This Row],[Flux in RT / glucose uptake ($mmol/mmol\ glc$)]])/SQRT(2)</f>
        <v>5.217074589058561E-2</v>
      </c>
      <c r="F1174">
        <f>Table1[[#This Row],[distance from 45-degree line]]/MAX(Table1[[Flux in SC / glucose uptake ($mmol/mmol\ glc$)]:[Flux in RT / glucose uptake ($mmol/mmol\ glc$)]])</f>
        <v>2.811943673241407E-3</v>
      </c>
      <c r="G1174">
        <f>_xlfn.RANK.AVG(Table1[[#This Row],[Flux in SC / glucose uptake ($mmol/mmol\ glc$)]],Table1[Flux in SC / glucose uptake ($mmol/mmol\ glc$)])</f>
        <v>40.5</v>
      </c>
      <c r="H1174">
        <f>_xlfn.RANK.AVG(Table1[[#This Row],[Flux in RT / glucose uptake ($mmol/mmol\ glc$)]],Table1[Flux in RT / glucose uptake ($mmol/mmol\ glc$)])</f>
        <v>1290.5</v>
      </c>
      <c r="I1174">
        <f>LOG(Table1[[#This Row],[Flux in SC / glucose uptake ($mmol/mmol\ glc$)]])</f>
        <v>-1.1320579562478246</v>
      </c>
      <c r="J1174" t="e">
        <f>LOG(Table1[[#This Row],[Flux in RT / glucose uptake ($mmol/mmol\ glc$)]])</f>
        <v>#NUM!</v>
      </c>
    </row>
    <row r="1175" spans="1:10" x14ac:dyDescent="0.2">
      <c r="A1175" t="s">
        <v>1178</v>
      </c>
      <c r="B1175" t="s">
        <v>3134</v>
      </c>
      <c r="C1175">
        <v>3.5272488968825797E-3</v>
      </c>
      <c r="D1175">
        <v>1.2711638001101323E-2</v>
      </c>
      <c r="E1175">
        <f>ABS(Table1[[#This Row],[Flux in SC / glucose uptake ($mmol/mmol\ glc$)]]-Table1[[#This Row],[Flux in RT / glucose uptake ($mmol/mmol\ glc$)]])/SQRT(2)</f>
        <v>6.4943438166489131E-3</v>
      </c>
      <c r="F1175">
        <f>Table1[[#This Row],[distance from 45-degree line]]/MAX(Table1[[Flux in SC / glucose uptake ($mmol/mmol\ glc$)]:[Flux in RT / glucose uptake ($mmol/mmol\ glc$)]])</f>
        <v>3.5003772124284988E-4</v>
      </c>
      <c r="G1175">
        <f>_xlfn.RANK.AVG(Table1[[#This Row],[Flux in SC / glucose uptake ($mmol/mmol\ glc$)]],Table1[Flux in SC / glucose uptake ($mmol/mmol\ glc$)])</f>
        <v>157.5</v>
      </c>
      <c r="H1175">
        <f>_xlfn.RANK.AVG(Table1[[#This Row],[Flux in RT / glucose uptake ($mmol/mmol\ glc$)]],Table1[Flux in RT / glucose uptake ($mmol/mmol\ glc$)])</f>
        <v>185.5</v>
      </c>
      <c r="I1175">
        <f>LOG(Table1[[#This Row],[Flux in SC / glucose uptake ($mmol/mmol\ glc$)]])</f>
        <v>-2.452563893684145</v>
      </c>
      <c r="J1175">
        <f>LOG(Table1[[#This Row],[Flux in RT / glucose uptake ($mmol/mmol\ glc$)]])</f>
        <v>-1.8957984833559538</v>
      </c>
    </row>
    <row r="1176" spans="1:10" x14ac:dyDescent="0.2">
      <c r="A1176" t="s">
        <v>1179</v>
      </c>
      <c r="B1176" t="s">
        <v>3134</v>
      </c>
      <c r="C1176">
        <v>3.6110321147682783E-9</v>
      </c>
      <c r="D1176">
        <v>8.260576411240525E-2</v>
      </c>
      <c r="E1176">
        <f>ABS(Table1[[#This Row],[Flux in SC / glucose uptake ($mmol/mmol\ glc$)]]-Table1[[#This Row],[Flux in RT / glucose uptake ($mmol/mmol\ glc$)]])/SQRT(2)</f>
        <v>5.84110934155928E-2</v>
      </c>
      <c r="F1176">
        <f>Table1[[#This Row],[distance from 45-degree line]]/MAX(Table1[[Flux in SC / glucose uptake ($mmol/mmol\ glc$)]:[Flux in RT / glucose uptake ($mmol/mmol\ glc$)]])</f>
        <v>3.1482912841912848E-3</v>
      </c>
      <c r="G1176">
        <f>_xlfn.RANK.AVG(Table1[[#This Row],[Flux in SC / glucose uptake ($mmol/mmol\ glc$)]],Table1[Flux in SC / glucose uptake ($mmol/mmol\ glc$)])</f>
        <v>310</v>
      </c>
      <c r="H1176">
        <f>_xlfn.RANK.AVG(Table1[[#This Row],[Flux in RT / glucose uptake ($mmol/mmol\ glc$)]],Table1[Flux in RT / glucose uptake ($mmol/mmol\ glc$)])</f>
        <v>95</v>
      </c>
      <c r="I1176">
        <f>LOG(Table1[[#This Row],[Flux in SC / glucose uptake ($mmol/mmol\ glc$)]])</f>
        <v>-8.4423686491515095</v>
      </c>
      <c r="J1176">
        <f>LOG(Table1[[#This Row],[Flux in RT / glucose uptake ($mmol/mmol\ glc$)]])</f>
        <v>-1.0829896471727229</v>
      </c>
    </row>
    <row r="1177" spans="1:10" x14ac:dyDescent="0.2">
      <c r="A1177" t="s">
        <v>1180</v>
      </c>
      <c r="B1177" t="s">
        <v>3134</v>
      </c>
      <c r="C1177">
        <v>2.5004543383725614E-3</v>
      </c>
      <c r="D1177">
        <v>4.2737249590154814E-7</v>
      </c>
      <c r="E1177">
        <f>ABS(Table1[[#This Row],[Flux in SC / glucose uptake ($mmol/mmol\ glc$)]]-Table1[[#This Row],[Flux in RT / glucose uptake ($mmol/mmol\ glc$)]])/SQRT(2)</f>
        <v>1.7677860207206155E-3</v>
      </c>
      <c r="F1177">
        <f>Table1[[#This Row],[distance from 45-degree line]]/MAX(Table1[[Flux in SC / glucose uptake ($mmol/mmol\ glc$)]:[Flux in RT / glucose uptake ($mmol/mmol\ glc$)]])</f>
        <v>9.5281649356425169E-5</v>
      </c>
      <c r="G1177">
        <f>_xlfn.RANK.AVG(Table1[[#This Row],[Flux in SC / glucose uptake ($mmol/mmol\ glc$)]],Table1[Flux in SC / glucose uptake ($mmol/mmol\ glc$)])</f>
        <v>188.5</v>
      </c>
      <c r="H1177">
        <f>_xlfn.RANK.AVG(Table1[[#This Row],[Flux in RT / glucose uptake ($mmol/mmol\ glc$)]],Table1[Flux in RT / glucose uptake ($mmol/mmol\ glc$)])</f>
        <v>285.5</v>
      </c>
      <c r="I1177">
        <f>LOG(Table1[[#This Row],[Flux in SC / glucose uptake ($mmol/mmol\ glc$)]])</f>
        <v>-2.6019810718397274</v>
      </c>
      <c r="J1177">
        <f>LOG(Table1[[#This Row],[Flux in RT / glucose uptake ($mmol/mmol\ glc$)]])</f>
        <v>-6.3691934308442537</v>
      </c>
    </row>
    <row r="1178" spans="1:10" x14ac:dyDescent="0.2">
      <c r="A1178" t="s">
        <v>1181</v>
      </c>
      <c r="B1178" t="s">
        <v>3139</v>
      </c>
      <c r="C1178">
        <v>0</v>
      </c>
      <c r="D1178">
        <v>0</v>
      </c>
      <c r="E1178">
        <f>ABS(Table1[[#This Row],[Flux in SC / glucose uptake ($mmol/mmol\ glc$)]]-Table1[[#This Row],[Flux in RT / glucose uptake ($mmol/mmol\ glc$)]])/SQRT(2)</f>
        <v>0</v>
      </c>
      <c r="F1178">
        <f>Table1[[#This Row],[distance from 45-degree line]]/MAX(Table1[[Flux in SC / glucose uptake ($mmol/mmol\ glc$)]:[Flux in RT / glucose uptake ($mmol/mmol\ glc$)]])</f>
        <v>0</v>
      </c>
      <c r="G1178">
        <f>_xlfn.RANK.AVG(Table1[[#This Row],[Flux in SC / glucose uptake ($mmol/mmol\ glc$)]],Table1[Flux in SC / glucose uptake ($mmol/mmol\ glc$)])</f>
        <v>1310.5</v>
      </c>
      <c r="H1178">
        <f>_xlfn.RANK.AVG(Table1[[#This Row],[Flux in RT / glucose uptake ($mmol/mmol\ glc$)]],Table1[Flux in RT / glucose uptake ($mmol/mmol\ glc$)])</f>
        <v>1290.5</v>
      </c>
      <c r="I1178" t="e">
        <f>LOG(Table1[[#This Row],[Flux in SC / glucose uptake ($mmol/mmol\ glc$)]])</f>
        <v>#NUM!</v>
      </c>
      <c r="J1178" t="e">
        <f>LOG(Table1[[#This Row],[Flux in RT / glucose uptake ($mmol/mmol\ glc$)]])</f>
        <v>#NUM!</v>
      </c>
    </row>
    <row r="1179" spans="1:10" x14ac:dyDescent="0.2">
      <c r="A1179" t="s">
        <v>1182</v>
      </c>
      <c r="B1179" t="s">
        <v>3182</v>
      </c>
      <c r="C1179">
        <v>3.4017731116890541E-2</v>
      </c>
      <c r="D1179">
        <v>0.63499171113962449</v>
      </c>
      <c r="E1179">
        <f>ABS(Table1[[#This Row],[Flux in SC / glucose uptake ($mmol/mmol\ glc$)]]-Table1[[#This Row],[Flux in RT / glucose uptake ($mmol/mmol\ glc$)]])/SQRT(2)</f>
        <v>0.42495277659074387</v>
      </c>
      <c r="F1179">
        <f>Table1[[#This Row],[distance from 45-degree line]]/MAX(Table1[[Flux in SC / glucose uptake ($mmol/mmol\ glc$)]:[Flux in RT / glucose uptake ($mmol/mmol\ glc$)]])</f>
        <v>2.2904469759101966E-2</v>
      </c>
      <c r="G1179">
        <f>_xlfn.RANK.AVG(Table1[[#This Row],[Flux in SC / glucose uptake ($mmol/mmol\ glc$)]],Table1[Flux in SC / glucose uptake ($mmol/mmol\ glc$)])</f>
        <v>54</v>
      </c>
      <c r="H1179">
        <f>_xlfn.RANK.AVG(Table1[[#This Row],[Flux in RT / glucose uptake ($mmol/mmol\ glc$)]],Table1[Flux in RT / glucose uptake ($mmol/mmol\ glc$)])</f>
        <v>30</v>
      </c>
      <c r="I1179">
        <f>LOG(Table1[[#This Row],[Flux in SC / glucose uptake ($mmol/mmol\ glc$)]])</f>
        <v>-1.4682946559284533</v>
      </c>
      <c r="J1179">
        <f>LOG(Table1[[#This Row],[Flux in RT / glucose uptake ($mmol/mmol\ glc$)]])</f>
        <v>-0.19723194373135861</v>
      </c>
    </row>
    <row r="1180" spans="1:10" x14ac:dyDescent="0.2">
      <c r="A1180" t="s">
        <v>1183</v>
      </c>
      <c r="B1180" t="s">
        <v>3118</v>
      </c>
      <c r="C1180">
        <v>0</v>
      </c>
      <c r="D1180">
        <v>0</v>
      </c>
      <c r="E1180">
        <f>ABS(Table1[[#This Row],[Flux in SC / glucose uptake ($mmol/mmol\ glc$)]]-Table1[[#This Row],[Flux in RT / glucose uptake ($mmol/mmol\ glc$)]])/SQRT(2)</f>
        <v>0</v>
      </c>
      <c r="F1180">
        <f>Table1[[#This Row],[distance from 45-degree line]]/MAX(Table1[[Flux in SC / glucose uptake ($mmol/mmol\ glc$)]:[Flux in RT / glucose uptake ($mmol/mmol\ glc$)]])</f>
        <v>0</v>
      </c>
      <c r="G1180">
        <f>_xlfn.RANK.AVG(Table1[[#This Row],[Flux in SC / glucose uptake ($mmol/mmol\ glc$)]],Table1[Flux in SC / glucose uptake ($mmol/mmol\ glc$)])</f>
        <v>1310.5</v>
      </c>
      <c r="H1180">
        <f>_xlfn.RANK.AVG(Table1[[#This Row],[Flux in RT / glucose uptake ($mmol/mmol\ glc$)]],Table1[Flux in RT / glucose uptake ($mmol/mmol\ glc$)])</f>
        <v>1290.5</v>
      </c>
      <c r="I1180" t="e">
        <f>LOG(Table1[[#This Row],[Flux in SC / glucose uptake ($mmol/mmol\ glc$)]])</f>
        <v>#NUM!</v>
      </c>
      <c r="J1180" t="e">
        <f>LOG(Table1[[#This Row],[Flux in RT / glucose uptake ($mmol/mmol\ glc$)]])</f>
        <v>#NUM!</v>
      </c>
    </row>
    <row r="1181" spans="1:10" x14ac:dyDescent="0.2">
      <c r="A1181" t="s">
        <v>1184</v>
      </c>
      <c r="B1181" t="s">
        <v>3191</v>
      </c>
      <c r="C1181">
        <v>0</v>
      </c>
      <c r="D1181">
        <v>0</v>
      </c>
      <c r="E1181">
        <f>ABS(Table1[[#This Row],[Flux in SC / glucose uptake ($mmol/mmol\ glc$)]]-Table1[[#This Row],[Flux in RT / glucose uptake ($mmol/mmol\ glc$)]])/SQRT(2)</f>
        <v>0</v>
      </c>
      <c r="F1181">
        <f>Table1[[#This Row],[distance from 45-degree line]]/MAX(Table1[[Flux in SC / glucose uptake ($mmol/mmol\ glc$)]:[Flux in RT / glucose uptake ($mmol/mmol\ glc$)]])</f>
        <v>0</v>
      </c>
      <c r="G1181">
        <f>_xlfn.RANK.AVG(Table1[[#This Row],[Flux in SC / glucose uptake ($mmol/mmol\ glc$)]],Table1[Flux in SC / glucose uptake ($mmol/mmol\ glc$)])</f>
        <v>1310.5</v>
      </c>
      <c r="H1181">
        <f>_xlfn.RANK.AVG(Table1[[#This Row],[Flux in RT / glucose uptake ($mmol/mmol\ glc$)]],Table1[Flux in RT / glucose uptake ($mmol/mmol\ glc$)])</f>
        <v>1290.5</v>
      </c>
      <c r="I1181" t="e">
        <f>LOG(Table1[[#This Row],[Flux in SC / glucose uptake ($mmol/mmol\ glc$)]])</f>
        <v>#NUM!</v>
      </c>
      <c r="J1181" t="e">
        <f>LOG(Table1[[#This Row],[Flux in RT / glucose uptake ($mmol/mmol\ glc$)]])</f>
        <v>#NUM!</v>
      </c>
    </row>
    <row r="1182" spans="1:10" x14ac:dyDescent="0.2">
      <c r="A1182" t="s">
        <v>1185</v>
      </c>
      <c r="B1182" t="s">
        <v>3118</v>
      </c>
      <c r="C1182">
        <v>0</v>
      </c>
      <c r="D1182">
        <v>0</v>
      </c>
      <c r="E1182">
        <f>ABS(Table1[[#This Row],[Flux in SC / glucose uptake ($mmol/mmol\ glc$)]]-Table1[[#This Row],[Flux in RT / glucose uptake ($mmol/mmol\ glc$)]])/SQRT(2)</f>
        <v>0</v>
      </c>
      <c r="F1182">
        <f>Table1[[#This Row],[distance from 45-degree line]]/MAX(Table1[[Flux in SC / glucose uptake ($mmol/mmol\ glc$)]:[Flux in RT / glucose uptake ($mmol/mmol\ glc$)]])</f>
        <v>0</v>
      </c>
      <c r="G1182">
        <f>_xlfn.RANK.AVG(Table1[[#This Row],[Flux in SC / glucose uptake ($mmol/mmol\ glc$)]],Table1[Flux in SC / glucose uptake ($mmol/mmol\ glc$)])</f>
        <v>1310.5</v>
      </c>
      <c r="H1182">
        <f>_xlfn.RANK.AVG(Table1[[#This Row],[Flux in RT / glucose uptake ($mmol/mmol\ glc$)]],Table1[Flux in RT / glucose uptake ($mmol/mmol\ glc$)])</f>
        <v>1290.5</v>
      </c>
      <c r="I1182" t="e">
        <f>LOG(Table1[[#This Row],[Flux in SC / glucose uptake ($mmol/mmol\ glc$)]])</f>
        <v>#NUM!</v>
      </c>
      <c r="J1182" t="e">
        <f>LOG(Table1[[#This Row],[Flux in RT / glucose uptake ($mmol/mmol\ glc$)]])</f>
        <v>#NUM!</v>
      </c>
    </row>
    <row r="1183" spans="1:10" x14ac:dyDescent="0.2">
      <c r="A1183" t="s">
        <v>1186</v>
      </c>
      <c r="B1183" t="s">
        <v>3191</v>
      </c>
      <c r="C1183">
        <v>0</v>
      </c>
      <c r="D1183">
        <v>0</v>
      </c>
      <c r="E1183">
        <f>ABS(Table1[[#This Row],[Flux in SC / glucose uptake ($mmol/mmol\ glc$)]]-Table1[[#This Row],[Flux in RT / glucose uptake ($mmol/mmol\ glc$)]])/SQRT(2)</f>
        <v>0</v>
      </c>
      <c r="F1183">
        <f>Table1[[#This Row],[distance from 45-degree line]]/MAX(Table1[[Flux in SC / glucose uptake ($mmol/mmol\ glc$)]:[Flux in RT / glucose uptake ($mmol/mmol\ glc$)]])</f>
        <v>0</v>
      </c>
      <c r="G1183">
        <f>_xlfn.RANK.AVG(Table1[[#This Row],[Flux in SC / glucose uptake ($mmol/mmol\ glc$)]],Table1[Flux in SC / glucose uptake ($mmol/mmol\ glc$)])</f>
        <v>1310.5</v>
      </c>
      <c r="H1183">
        <f>_xlfn.RANK.AVG(Table1[[#This Row],[Flux in RT / glucose uptake ($mmol/mmol\ glc$)]],Table1[Flux in RT / glucose uptake ($mmol/mmol\ glc$)])</f>
        <v>1290.5</v>
      </c>
      <c r="I1183" t="e">
        <f>LOG(Table1[[#This Row],[Flux in SC / glucose uptake ($mmol/mmol\ glc$)]])</f>
        <v>#NUM!</v>
      </c>
      <c r="J1183" t="e">
        <f>LOG(Table1[[#This Row],[Flux in RT / glucose uptake ($mmol/mmol\ glc$)]])</f>
        <v>#NUM!</v>
      </c>
    </row>
    <row r="1184" spans="1:10" x14ac:dyDescent="0.2">
      <c r="A1184" t="s">
        <v>1187</v>
      </c>
      <c r="B1184" t="s">
        <v>3114</v>
      </c>
      <c r="C1184">
        <v>0</v>
      </c>
      <c r="D1184">
        <v>0</v>
      </c>
      <c r="E1184">
        <f>ABS(Table1[[#This Row],[Flux in SC / glucose uptake ($mmol/mmol\ glc$)]]-Table1[[#This Row],[Flux in RT / glucose uptake ($mmol/mmol\ glc$)]])/SQRT(2)</f>
        <v>0</v>
      </c>
      <c r="F1184">
        <f>Table1[[#This Row],[distance from 45-degree line]]/MAX(Table1[[Flux in SC / glucose uptake ($mmol/mmol\ glc$)]:[Flux in RT / glucose uptake ($mmol/mmol\ glc$)]])</f>
        <v>0</v>
      </c>
      <c r="G1184">
        <f>_xlfn.RANK.AVG(Table1[[#This Row],[Flux in SC / glucose uptake ($mmol/mmol\ glc$)]],Table1[Flux in SC / glucose uptake ($mmol/mmol\ glc$)])</f>
        <v>1310.5</v>
      </c>
      <c r="H1184">
        <f>_xlfn.RANK.AVG(Table1[[#This Row],[Flux in RT / glucose uptake ($mmol/mmol\ glc$)]],Table1[Flux in RT / glucose uptake ($mmol/mmol\ glc$)])</f>
        <v>1290.5</v>
      </c>
      <c r="I1184" t="e">
        <f>LOG(Table1[[#This Row],[Flux in SC / glucose uptake ($mmol/mmol\ glc$)]])</f>
        <v>#NUM!</v>
      </c>
      <c r="J1184" t="e">
        <f>LOG(Table1[[#This Row],[Flux in RT / glucose uptake ($mmol/mmol\ glc$)]])</f>
        <v>#NUM!</v>
      </c>
    </row>
    <row r="1185" spans="1:10" x14ac:dyDescent="0.2">
      <c r="A1185" t="s">
        <v>1188</v>
      </c>
      <c r="B1185" t="s">
        <v>3155</v>
      </c>
      <c r="C1185">
        <v>1.4896578171119803E-2</v>
      </c>
      <c r="D1185">
        <v>8.97048560129967E-2</v>
      </c>
      <c r="E1185">
        <f>ABS(Table1[[#This Row],[Flux in SC / glucose uptake ($mmol/mmol\ glc$)]]-Table1[[#This Row],[Flux in RT / glucose uptake ($mmol/mmol\ glc$)]])/SQRT(2)</f>
        <v>5.2897440550878493E-2</v>
      </c>
      <c r="F1185">
        <f>Table1[[#This Row],[distance from 45-degree line]]/MAX(Table1[[Flux in SC / glucose uptake ($mmol/mmol\ glc$)]:[Flux in RT / glucose uptake ($mmol/mmol\ glc$)]])</f>
        <v>2.8511116862246682E-3</v>
      </c>
      <c r="G1185">
        <f>_xlfn.RANK.AVG(Table1[[#This Row],[Flux in SC / glucose uptake ($mmol/mmol\ glc$)]],Table1[Flux in SC / glucose uptake ($mmol/mmol\ glc$)])</f>
        <v>72.5</v>
      </c>
      <c r="H1185">
        <f>_xlfn.RANK.AVG(Table1[[#This Row],[Flux in RT / glucose uptake ($mmol/mmol\ glc$)]],Table1[Flux in RT / glucose uptake ($mmol/mmol\ glc$)])</f>
        <v>91.5</v>
      </c>
      <c r="I1185">
        <f>LOG(Table1[[#This Row],[Flux in SC / glucose uptake ($mmol/mmol\ glc$)]])</f>
        <v>-1.8269134800486859</v>
      </c>
      <c r="J1185">
        <f>LOG(Table1[[#This Row],[Flux in RT / glucose uptake ($mmol/mmol\ glc$)]])</f>
        <v>-1.0471840465594124</v>
      </c>
    </row>
    <row r="1186" spans="1:10" x14ac:dyDescent="0.2">
      <c r="A1186" t="s">
        <v>1189</v>
      </c>
      <c r="B1186" t="s">
        <v>3114</v>
      </c>
      <c r="C1186">
        <v>0</v>
      </c>
      <c r="D1186">
        <v>0</v>
      </c>
      <c r="E1186">
        <f>ABS(Table1[[#This Row],[Flux in SC / glucose uptake ($mmol/mmol\ glc$)]]-Table1[[#This Row],[Flux in RT / glucose uptake ($mmol/mmol\ glc$)]])/SQRT(2)</f>
        <v>0</v>
      </c>
      <c r="F1186">
        <f>Table1[[#This Row],[distance from 45-degree line]]/MAX(Table1[[Flux in SC / glucose uptake ($mmol/mmol\ glc$)]:[Flux in RT / glucose uptake ($mmol/mmol\ glc$)]])</f>
        <v>0</v>
      </c>
      <c r="G1186">
        <f>_xlfn.RANK.AVG(Table1[[#This Row],[Flux in SC / glucose uptake ($mmol/mmol\ glc$)]],Table1[Flux in SC / glucose uptake ($mmol/mmol\ glc$)])</f>
        <v>1310.5</v>
      </c>
      <c r="H1186">
        <f>_xlfn.RANK.AVG(Table1[[#This Row],[Flux in RT / glucose uptake ($mmol/mmol\ glc$)]],Table1[Flux in RT / glucose uptake ($mmol/mmol\ glc$)])</f>
        <v>1290.5</v>
      </c>
      <c r="I1186" t="e">
        <f>LOG(Table1[[#This Row],[Flux in SC / glucose uptake ($mmol/mmol\ glc$)]])</f>
        <v>#NUM!</v>
      </c>
      <c r="J1186" t="e">
        <f>LOG(Table1[[#This Row],[Flux in RT / glucose uptake ($mmol/mmol\ glc$)]])</f>
        <v>#NUM!</v>
      </c>
    </row>
    <row r="1187" spans="1:10" x14ac:dyDescent="0.2">
      <c r="A1187" t="s">
        <v>1190</v>
      </c>
      <c r="B1187" t="s">
        <v>3181</v>
      </c>
      <c r="C1187">
        <v>1.8504745919645058</v>
      </c>
      <c r="D1187">
        <v>1.330107066028984</v>
      </c>
      <c r="E1187">
        <f>ABS(Table1[[#This Row],[Flux in SC / glucose uptake ($mmol/mmol\ glc$)]]-Table1[[#This Row],[Flux in RT / glucose uptake ($mmol/mmol\ glc$)]])/SQRT(2)</f>
        <v>0.36795540629827411</v>
      </c>
      <c r="F1187">
        <f>Table1[[#This Row],[distance from 45-degree line]]/MAX(Table1[[Flux in SC / glucose uptake ($mmol/mmol\ glc$)]:[Flux in RT / glucose uptake ($mmol/mmol\ glc$)]])</f>
        <v>1.9832376538095709E-2</v>
      </c>
      <c r="G1187">
        <f>_xlfn.RANK.AVG(Table1[[#This Row],[Flux in SC / glucose uptake ($mmol/mmol\ glc$)]],Table1[Flux in SC / glucose uptake ($mmol/mmol\ glc$)])</f>
        <v>3.5</v>
      </c>
      <c r="H1187">
        <f>_xlfn.RANK.AVG(Table1[[#This Row],[Flux in RT / glucose uptake ($mmol/mmol\ glc$)]],Table1[Flux in RT / glucose uptake ($mmol/mmol\ glc$)])</f>
        <v>16.5</v>
      </c>
      <c r="I1187">
        <f>LOG(Table1[[#This Row],[Flux in SC / glucose uptake ($mmol/mmol\ glc$)]])</f>
        <v>0.26728312636959795</v>
      </c>
      <c r="J1187">
        <f>LOG(Table1[[#This Row],[Flux in RT / glucose uptake ($mmol/mmol\ glc$)]])</f>
        <v>0.12388660060176061</v>
      </c>
    </row>
    <row r="1188" spans="1:10" x14ac:dyDescent="0.2">
      <c r="A1188" t="s">
        <v>1191</v>
      </c>
      <c r="B1188" t="s">
        <v>3150</v>
      </c>
      <c r="C1188">
        <v>2.8177315592484149E-3</v>
      </c>
      <c r="D1188">
        <v>1.3650598384232542E-2</v>
      </c>
      <c r="E1188">
        <f>ABS(Table1[[#This Row],[Flux in SC / glucose uptake ($mmol/mmol\ glc$)]]-Table1[[#This Row],[Flux in RT / glucose uptake ($mmol/mmol\ glc$)]])/SQRT(2)</f>
        <v>7.65999359163706E-3</v>
      </c>
      <c r="F1188">
        <f>Table1[[#This Row],[distance from 45-degree line]]/MAX(Table1[[Flux in SC / glucose uptake ($mmol/mmol\ glc$)]:[Flux in RT / glucose uptake ($mmol/mmol\ glc$)]])</f>
        <v>4.1286491403145576E-4</v>
      </c>
      <c r="G1188">
        <f>_xlfn.RANK.AVG(Table1[[#This Row],[Flux in SC / glucose uptake ($mmol/mmol\ glc$)]],Table1[Flux in SC / glucose uptake ($mmol/mmol\ glc$)])</f>
        <v>170.5</v>
      </c>
      <c r="H1188">
        <f>_xlfn.RANK.AVG(Table1[[#This Row],[Flux in RT / glucose uptake ($mmol/mmol\ glc$)]],Table1[Flux in RT / glucose uptake ($mmol/mmol\ glc$)])</f>
        <v>177.5</v>
      </c>
      <c r="I1188">
        <f>LOG(Table1[[#This Row],[Flux in SC / glucose uptake ($mmol/mmol\ glc$)]])</f>
        <v>-2.5501003837924046</v>
      </c>
      <c r="J1188">
        <f>LOG(Table1[[#This Row],[Flux in RT / glucose uptake ($mmol/mmol\ glc$)]])</f>
        <v>-1.8648483105811549</v>
      </c>
    </row>
    <row r="1189" spans="1:10" x14ac:dyDescent="0.2">
      <c r="A1189" t="s">
        <v>1192</v>
      </c>
      <c r="B1189" t="s">
        <v>3133</v>
      </c>
      <c r="C1189">
        <v>0</v>
      </c>
      <c r="D1189">
        <v>0</v>
      </c>
      <c r="E1189">
        <f>ABS(Table1[[#This Row],[Flux in SC / glucose uptake ($mmol/mmol\ glc$)]]-Table1[[#This Row],[Flux in RT / glucose uptake ($mmol/mmol\ glc$)]])/SQRT(2)</f>
        <v>0</v>
      </c>
      <c r="F1189">
        <f>Table1[[#This Row],[distance from 45-degree line]]/MAX(Table1[[Flux in SC / glucose uptake ($mmol/mmol\ glc$)]:[Flux in RT / glucose uptake ($mmol/mmol\ glc$)]])</f>
        <v>0</v>
      </c>
      <c r="G1189">
        <f>_xlfn.RANK.AVG(Table1[[#This Row],[Flux in SC / glucose uptake ($mmol/mmol\ glc$)]],Table1[Flux in SC / glucose uptake ($mmol/mmol\ glc$)])</f>
        <v>1310.5</v>
      </c>
      <c r="H1189">
        <f>_xlfn.RANK.AVG(Table1[[#This Row],[Flux in RT / glucose uptake ($mmol/mmol\ glc$)]],Table1[Flux in RT / glucose uptake ($mmol/mmol\ glc$)])</f>
        <v>1290.5</v>
      </c>
      <c r="I1189" t="e">
        <f>LOG(Table1[[#This Row],[Flux in SC / glucose uptake ($mmol/mmol\ glc$)]])</f>
        <v>#NUM!</v>
      </c>
      <c r="J1189" t="e">
        <f>LOG(Table1[[#This Row],[Flux in RT / glucose uptake ($mmol/mmol\ glc$)]])</f>
        <v>#NUM!</v>
      </c>
    </row>
    <row r="1190" spans="1:10" x14ac:dyDescent="0.2">
      <c r="A1190" t="s">
        <v>1193</v>
      </c>
      <c r="B1190" t="s">
        <v>3114</v>
      </c>
      <c r="C1190">
        <v>0</v>
      </c>
      <c r="D1190">
        <v>0</v>
      </c>
      <c r="E1190">
        <f>ABS(Table1[[#This Row],[Flux in SC / glucose uptake ($mmol/mmol\ glc$)]]-Table1[[#This Row],[Flux in RT / glucose uptake ($mmol/mmol\ glc$)]])/SQRT(2)</f>
        <v>0</v>
      </c>
      <c r="F1190">
        <f>Table1[[#This Row],[distance from 45-degree line]]/MAX(Table1[[Flux in SC / glucose uptake ($mmol/mmol\ glc$)]:[Flux in RT / glucose uptake ($mmol/mmol\ glc$)]])</f>
        <v>0</v>
      </c>
      <c r="G1190">
        <f>_xlfn.RANK.AVG(Table1[[#This Row],[Flux in SC / glucose uptake ($mmol/mmol\ glc$)]],Table1[Flux in SC / glucose uptake ($mmol/mmol\ glc$)])</f>
        <v>1310.5</v>
      </c>
      <c r="H1190">
        <f>_xlfn.RANK.AVG(Table1[[#This Row],[Flux in RT / glucose uptake ($mmol/mmol\ glc$)]],Table1[Flux in RT / glucose uptake ($mmol/mmol\ glc$)])</f>
        <v>1290.5</v>
      </c>
      <c r="I1190" t="e">
        <f>LOG(Table1[[#This Row],[Flux in SC / glucose uptake ($mmol/mmol\ glc$)]])</f>
        <v>#NUM!</v>
      </c>
      <c r="J1190" t="e">
        <f>LOG(Table1[[#This Row],[Flux in RT / glucose uptake ($mmol/mmol\ glc$)]])</f>
        <v>#NUM!</v>
      </c>
    </row>
    <row r="1191" spans="1:10" x14ac:dyDescent="0.2">
      <c r="A1191" t="s">
        <v>1194</v>
      </c>
      <c r="B1191" t="s">
        <v>3114</v>
      </c>
      <c r="C1191">
        <v>0</v>
      </c>
      <c r="D1191">
        <v>0</v>
      </c>
      <c r="E1191">
        <f>ABS(Table1[[#This Row],[Flux in SC / glucose uptake ($mmol/mmol\ glc$)]]-Table1[[#This Row],[Flux in RT / glucose uptake ($mmol/mmol\ glc$)]])/SQRT(2)</f>
        <v>0</v>
      </c>
      <c r="F1191">
        <f>Table1[[#This Row],[distance from 45-degree line]]/MAX(Table1[[Flux in SC / glucose uptake ($mmol/mmol\ glc$)]:[Flux in RT / glucose uptake ($mmol/mmol\ glc$)]])</f>
        <v>0</v>
      </c>
      <c r="G1191">
        <f>_xlfn.RANK.AVG(Table1[[#This Row],[Flux in SC / glucose uptake ($mmol/mmol\ glc$)]],Table1[Flux in SC / glucose uptake ($mmol/mmol\ glc$)])</f>
        <v>1310.5</v>
      </c>
      <c r="H1191">
        <f>_xlfn.RANK.AVG(Table1[[#This Row],[Flux in RT / glucose uptake ($mmol/mmol\ glc$)]],Table1[Flux in RT / glucose uptake ($mmol/mmol\ glc$)])</f>
        <v>1290.5</v>
      </c>
      <c r="I1191" t="e">
        <f>LOG(Table1[[#This Row],[Flux in SC / glucose uptake ($mmol/mmol\ glc$)]])</f>
        <v>#NUM!</v>
      </c>
      <c r="J1191" t="e">
        <f>LOG(Table1[[#This Row],[Flux in RT / glucose uptake ($mmol/mmol\ glc$)]])</f>
        <v>#NUM!</v>
      </c>
    </row>
    <row r="1192" spans="1:10" x14ac:dyDescent="0.2">
      <c r="A1192" t="s">
        <v>1195</v>
      </c>
      <c r="B1192" t="s">
        <v>3114</v>
      </c>
      <c r="C1192">
        <v>0</v>
      </c>
      <c r="D1192">
        <v>0</v>
      </c>
      <c r="E1192">
        <f>ABS(Table1[[#This Row],[Flux in SC / glucose uptake ($mmol/mmol\ glc$)]]-Table1[[#This Row],[Flux in RT / glucose uptake ($mmol/mmol\ glc$)]])/SQRT(2)</f>
        <v>0</v>
      </c>
      <c r="F1192">
        <f>Table1[[#This Row],[distance from 45-degree line]]/MAX(Table1[[Flux in SC / glucose uptake ($mmol/mmol\ glc$)]:[Flux in RT / glucose uptake ($mmol/mmol\ glc$)]])</f>
        <v>0</v>
      </c>
      <c r="G1192">
        <f>_xlfn.RANK.AVG(Table1[[#This Row],[Flux in SC / glucose uptake ($mmol/mmol\ glc$)]],Table1[Flux in SC / glucose uptake ($mmol/mmol\ glc$)])</f>
        <v>1310.5</v>
      </c>
      <c r="H1192">
        <f>_xlfn.RANK.AVG(Table1[[#This Row],[Flux in RT / glucose uptake ($mmol/mmol\ glc$)]],Table1[Flux in RT / glucose uptake ($mmol/mmol\ glc$)])</f>
        <v>1290.5</v>
      </c>
      <c r="I1192" t="e">
        <f>LOG(Table1[[#This Row],[Flux in SC / glucose uptake ($mmol/mmol\ glc$)]])</f>
        <v>#NUM!</v>
      </c>
      <c r="J1192" t="e">
        <f>LOG(Table1[[#This Row],[Flux in RT / glucose uptake ($mmol/mmol\ glc$)]])</f>
        <v>#NUM!</v>
      </c>
    </row>
    <row r="1193" spans="1:10" x14ac:dyDescent="0.2">
      <c r="A1193" t="s">
        <v>1196</v>
      </c>
      <c r="B1193" t="s">
        <v>3114</v>
      </c>
      <c r="C1193">
        <v>0</v>
      </c>
      <c r="D1193">
        <v>0</v>
      </c>
      <c r="E1193">
        <f>ABS(Table1[[#This Row],[Flux in SC / glucose uptake ($mmol/mmol\ glc$)]]-Table1[[#This Row],[Flux in RT / glucose uptake ($mmol/mmol\ glc$)]])/SQRT(2)</f>
        <v>0</v>
      </c>
      <c r="F1193">
        <f>Table1[[#This Row],[distance from 45-degree line]]/MAX(Table1[[Flux in SC / glucose uptake ($mmol/mmol\ glc$)]:[Flux in RT / glucose uptake ($mmol/mmol\ glc$)]])</f>
        <v>0</v>
      </c>
      <c r="G1193">
        <f>_xlfn.RANK.AVG(Table1[[#This Row],[Flux in SC / glucose uptake ($mmol/mmol\ glc$)]],Table1[Flux in SC / glucose uptake ($mmol/mmol\ glc$)])</f>
        <v>1310.5</v>
      </c>
      <c r="H1193">
        <f>_xlfn.RANK.AVG(Table1[[#This Row],[Flux in RT / glucose uptake ($mmol/mmol\ glc$)]],Table1[Flux in RT / glucose uptake ($mmol/mmol\ glc$)])</f>
        <v>1290.5</v>
      </c>
      <c r="I1193" t="e">
        <f>LOG(Table1[[#This Row],[Flux in SC / glucose uptake ($mmol/mmol\ glc$)]])</f>
        <v>#NUM!</v>
      </c>
      <c r="J1193" t="e">
        <f>LOG(Table1[[#This Row],[Flux in RT / glucose uptake ($mmol/mmol\ glc$)]])</f>
        <v>#NUM!</v>
      </c>
    </row>
    <row r="1194" spans="1:10" x14ac:dyDescent="0.2">
      <c r="A1194" t="s">
        <v>1197</v>
      </c>
      <c r="B1194" t="s">
        <v>3114</v>
      </c>
      <c r="C1194">
        <v>0</v>
      </c>
      <c r="D1194">
        <v>0</v>
      </c>
      <c r="E1194">
        <f>ABS(Table1[[#This Row],[Flux in SC / glucose uptake ($mmol/mmol\ glc$)]]-Table1[[#This Row],[Flux in RT / glucose uptake ($mmol/mmol\ glc$)]])/SQRT(2)</f>
        <v>0</v>
      </c>
      <c r="F1194">
        <f>Table1[[#This Row],[distance from 45-degree line]]/MAX(Table1[[Flux in SC / glucose uptake ($mmol/mmol\ glc$)]:[Flux in RT / glucose uptake ($mmol/mmol\ glc$)]])</f>
        <v>0</v>
      </c>
      <c r="G1194">
        <f>_xlfn.RANK.AVG(Table1[[#This Row],[Flux in SC / glucose uptake ($mmol/mmol\ glc$)]],Table1[Flux in SC / glucose uptake ($mmol/mmol\ glc$)])</f>
        <v>1310.5</v>
      </c>
      <c r="H1194">
        <f>_xlfn.RANK.AVG(Table1[[#This Row],[Flux in RT / glucose uptake ($mmol/mmol\ glc$)]],Table1[Flux in RT / glucose uptake ($mmol/mmol\ glc$)])</f>
        <v>1290.5</v>
      </c>
      <c r="I1194" t="e">
        <f>LOG(Table1[[#This Row],[Flux in SC / glucose uptake ($mmol/mmol\ glc$)]])</f>
        <v>#NUM!</v>
      </c>
      <c r="J1194" t="e">
        <f>LOG(Table1[[#This Row],[Flux in RT / glucose uptake ($mmol/mmol\ glc$)]])</f>
        <v>#NUM!</v>
      </c>
    </row>
    <row r="1195" spans="1:10" x14ac:dyDescent="0.2">
      <c r="A1195" t="s">
        <v>1198</v>
      </c>
      <c r="B1195" t="s">
        <v>3114</v>
      </c>
      <c r="C1195">
        <v>0</v>
      </c>
      <c r="D1195">
        <v>0</v>
      </c>
      <c r="E1195">
        <f>ABS(Table1[[#This Row],[Flux in SC / glucose uptake ($mmol/mmol\ glc$)]]-Table1[[#This Row],[Flux in RT / glucose uptake ($mmol/mmol\ glc$)]])/SQRT(2)</f>
        <v>0</v>
      </c>
      <c r="F1195">
        <f>Table1[[#This Row],[distance from 45-degree line]]/MAX(Table1[[Flux in SC / glucose uptake ($mmol/mmol\ glc$)]:[Flux in RT / glucose uptake ($mmol/mmol\ glc$)]])</f>
        <v>0</v>
      </c>
      <c r="G1195">
        <f>_xlfn.RANK.AVG(Table1[[#This Row],[Flux in SC / glucose uptake ($mmol/mmol\ glc$)]],Table1[Flux in SC / glucose uptake ($mmol/mmol\ glc$)])</f>
        <v>1310.5</v>
      </c>
      <c r="H1195">
        <f>_xlfn.RANK.AVG(Table1[[#This Row],[Flux in RT / glucose uptake ($mmol/mmol\ glc$)]],Table1[Flux in RT / glucose uptake ($mmol/mmol\ glc$)])</f>
        <v>1290.5</v>
      </c>
      <c r="I1195" t="e">
        <f>LOG(Table1[[#This Row],[Flux in SC / glucose uptake ($mmol/mmol\ glc$)]])</f>
        <v>#NUM!</v>
      </c>
      <c r="J1195" t="e">
        <f>LOG(Table1[[#This Row],[Flux in RT / glucose uptake ($mmol/mmol\ glc$)]])</f>
        <v>#NUM!</v>
      </c>
    </row>
    <row r="1196" spans="1:10" x14ac:dyDescent="0.2">
      <c r="A1196" t="s">
        <v>1199</v>
      </c>
      <c r="B1196">
        <v>0</v>
      </c>
      <c r="C1196">
        <v>0</v>
      </c>
      <c r="D1196">
        <v>0</v>
      </c>
      <c r="E1196">
        <f>ABS(Table1[[#This Row],[Flux in SC / glucose uptake ($mmol/mmol\ glc$)]]-Table1[[#This Row],[Flux in RT / glucose uptake ($mmol/mmol\ glc$)]])/SQRT(2)</f>
        <v>0</v>
      </c>
      <c r="F1196">
        <f>Table1[[#This Row],[distance from 45-degree line]]/MAX(Table1[[Flux in SC / glucose uptake ($mmol/mmol\ glc$)]:[Flux in RT / glucose uptake ($mmol/mmol\ glc$)]])</f>
        <v>0</v>
      </c>
      <c r="G1196">
        <f>_xlfn.RANK.AVG(Table1[[#This Row],[Flux in SC / glucose uptake ($mmol/mmol\ glc$)]],Table1[Flux in SC / glucose uptake ($mmol/mmol\ glc$)])</f>
        <v>1310.5</v>
      </c>
      <c r="H1196">
        <f>_xlfn.RANK.AVG(Table1[[#This Row],[Flux in RT / glucose uptake ($mmol/mmol\ glc$)]],Table1[Flux in RT / glucose uptake ($mmol/mmol\ glc$)])</f>
        <v>1290.5</v>
      </c>
      <c r="I1196" t="e">
        <f>LOG(Table1[[#This Row],[Flux in SC / glucose uptake ($mmol/mmol\ glc$)]])</f>
        <v>#NUM!</v>
      </c>
      <c r="J1196" t="e">
        <f>LOG(Table1[[#This Row],[Flux in RT / glucose uptake ($mmol/mmol\ glc$)]])</f>
        <v>#NUM!</v>
      </c>
    </row>
    <row r="1197" spans="1:10" x14ac:dyDescent="0.2">
      <c r="A1197" t="s">
        <v>1200</v>
      </c>
      <c r="B1197">
        <v>0</v>
      </c>
      <c r="C1197">
        <v>0</v>
      </c>
      <c r="D1197">
        <v>0</v>
      </c>
      <c r="E1197">
        <f>ABS(Table1[[#This Row],[Flux in SC / glucose uptake ($mmol/mmol\ glc$)]]-Table1[[#This Row],[Flux in RT / glucose uptake ($mmol/mmol\ glc$)]])/SQRT(2)</f>
        <v>0</v>
      </c>
      <c r="F1197">
        <f>Table1[[#This Row],[distance from 45-degree line]]/MAX(Table1[[Flux in SC / glucose uptake ($mmol/mmol\ glc$)]:[Flux in RT / glucose uptake ($mmol/mmol\ glc$)]])</f>
        <v>0</v>
      </c>
      <c r="G1197">
        <f>_xlfn.RANK.AVG(Table1[[#This Row],[Flux in SC / glucose uptake ($mmol/mmol\ glc$)]],Table1[Flux in SC / glucose uptake ($mmol/mmol\ glc$)])</f>
        <v>1310.5</v>
      </c>
      <c r="H1197">
        <f>_xlfn.RANK.AVG(Table1[[#This Row],[Flux in RT / glucose uptake ($mmol/mmol\ glc$)]],Table1[Flux in RT / glucose uptake ($mmol/mmol\ glc$)])</f>
        <v>1290.5</v>
      </c>
      <c r="I1197" t="e">
        <f>LOG(Table1[[#This Row],[Flux in SC / glucose uptake ($mmol/mmol\ glc$)]])</f>
        <v>#NUM!</v>
      </c>
      <c r="J1197" t="e">
        <f>LOG(Table1[[#This Row],[Flux in RT / glucose uptake ($mmol/mmol\ glc$)]])</f>
        <v>#NUM!</v>
      </c>
    </row>
    <row r="1198" spans="1:10" x14ac:dyDescent="0.2">
      <c r="A1198" t="s">
        <v>1201</v>
      </c>
      <c r="B1198">
        <v>0</v>
      </c>
      <c r="C1198">
        <v>0</v>
      </c>
      <c r="D1198">
        <v>0</v>
      </c>
      <c r="E1198">
        <f>ABS(Table1[[#This Row],[Flux in SC / glucose uptake ($mmol/mmol\ glc$)]]-Table1[[#This Row],[Flux in RT / glucose uptake ($mmol/mmol\ glc$)]])/SQRT(2)</f>
        <v>0</v>
      </c>
      <c r="F1198">
        <f>Table1[[#This Row],[distance from 45-degree line]]/MAX(Table1[[Flux in SC / glucose uptake ($mmol/mmol\ glc$)]:[Flux in RT / glucose uptake ($mmol/mmol\ glc$)]])</f>
        <v>0</v>
      </c>
      <c r="G1198">
        <f>_xlfn.RANK.AVG(Table1[[#This Row],[Flux in SC / glucose uptake ($mmol/mmol\ glc$)]],Table1[Flux in SC / glucose uptake ($mmol/mmol\ glc$)])</f>
        <v>1310.5</v>
      </c>
      <c r="H1198">
        <f>_xlfn.RANK.AVG(Table1[[#This Row],[Flux in RT / glucose uptake ($mmol/mmol\ glc$)]],Table1[Flux in RT / glucose uptake ($mmol/mmol\ glc$)])</f>
        <v>1290.5</v>
      </c>
      <c r="I1198" t="e">
        <f>LOG(Table1[[#This Row],[Flux in SC / glucose uptake ($mmol/mmol\ glc$)]])</f>
        <v>#NUM!</v>
      </c>
      <c r="J1198" t="e">
        <f>LOG(Table1[[#This Row],[Flux in RT / glucose uptake ($mmol/mmol\ glc$)]])</f>
        <v>#NUM!</v>
      </c>
    </row>
    <row r="1199" spans="1:10" x14ac:dyDescent="0.2">
      <c r="A1199" t="s">
        <v>1202</v>
      </c>
      <c r="B1199">
        <v>0</v>
      </c>
      <c r="C1199">
        <v>0</v>
      </c>
      <c r="D1199">
        <v>0</v>
      </c>
      <c r="E1199">
        <f>ABS(Table1[[#This Row],[Flux in SC / glucose uptake ($mmol/mmol\ glc$)]]-Table1[[#This Row],[Flux in RT / glucose uptake ($mmol/mmol\ glc$)]])/SQRT(2)</f>
        <v>0</v>
      </c>
      <c r="F1199">
        <f>Table1[[#This Row],[distance from 45-degree line]]/MAX(Table1[[Flux in SC / glucose uptake ($mmol/mmol\ glc$)]:[Flux in RT / glucose uptake ($mmol/mmol\ glc$)]])</f>
        <v>0</v>
      </c>
      <c r="G1199">
        <f>_xlfn.RANK.AVG(Table1[[#This Row],[Flux in SC / glucose uptake ($mmol/mmol\ glc$)]],Table1[Flux in SC / glucose uptake ($mmol/mmol\ glc$)])</f>
        <v>1310.5</v>
      </c>
      <c r="H1199">
        <f>_xlfn.RANK.AVG(Table1[[#This Row],[Flux in RT / glucose uptake ($mmol/mmol\ glc$)]],Table1[Flux in RT / glucose uptake ($mmol/mmol\ glc$)])</f>
        <v>1290.5</v>
      </c>
      <c r="I1199" t="e">
        <f>LOG(Table1[[#This Row],[Flux in SC / glucose uptake ($mmol/mmol\ glc$)]])</f>
        <v>#NUM!</v>
      </c>
      <c r="J1199" t="e">
        <f>LOG(Table1[[#This Row],[Flux in RT / glucose uptake ($mmol/mmol\ glc$)]])</f>
        <v>#NUM!</v>
      </c>
    </row>
    <row r="1200" spans="1:10" x14ac:dyDescent="0.2">
      <c r="A1200" t="s">
        <v>1203</v>
      </c>
      <c r="B1200">
        <v>0</v>
      </c>
      <c r="C1200">
        <v>0</v>
      </c>
      <c r="D1200">
        <v>0</v>
      </c>
      <c r="E1200">
        <f>ABS(Table1[[#This Row],[Flux in SC / glucose uptake ($mmol/mmol\ glc$)]]-Table1[[#This Row],[Flux in RT / glucose uptake ($mmol/mmol\ glc$)]])/SQRT(2)</f>
        <v>0</v>
      </c>
      <c r="F1200">
        <f>Table1[[#This Row],[distance from 45-degree line]]/MAX(Table1[[Flux in SC / glucose uptake ($mmol/mmol\ glc$)]:[Flux in RT / glucose uptake ($mmol/mmol\ glc$)]])</f>
        <v>0</v>
      </c>
      <c r="G1200">
        <f>_xlfn.RANK.AVG(Table1[[#This Row],[Flux in SC / glucose uptake ($mmol/mmol\ glc$)]],Table1[Flux in SC / glucose uptake ($mmol/mmol\ glc$)])</f>
        <v>1310.5</v>
      </c>
      <c r="H1200">
        <f>_xlfn.RANK.AVG(Table1[[#This Row],[Flux in RT / glucose uptake ($mmol/mmol\ glc$)]],Table1[Flux in RT / glucose uptake ($mmol/mmol\ glc$)])</f>
        <v>1290.5</v>
      </c>
      <c r="I1200" t="e">
        <f>LOG(Table1[[#This Row],[Flux in SC / glucose uptake ($mmol/mmol\ glc$)]])</f>
        <v>#NUM!</v>
      </c>
      <c r="J1200" t="e">
        <f>LOG(Table1[[#This Row],[Flux in RT / glucose uptake ($mmol/mmol\ glc$)]])</f>
        <v>#NUM!</v>
      </c>
    </row>
    <row r="1201" spans="1:10" x14ac:dyDescent="0.2">
      <c r="A1201" t="s">
        <v>1204</v>
      </c>
      <c r="B1201">
        <v>0</v>
      </c>
      <c r="C1201">
        <v>0</v>
      </c>
      <c r="D1201">
        <v>0</v>
      </c>
      <c r="E1201">
        <f>ABS(Table1[[#This Row],[Flux in SC / glucose uptake ($mmol/mmol\ glc$)]]-Table1[[#This Row],[Flux in RT / glucose uptake ($mmol/mmol\ glc$)]])/SQRT(2)</f>
        <v>0</v>
      </c>
      <c r="F1201">
        <f>Table1[[#This Row],[distance from 45-degree line]]/MAX(Table1[[Flux in SC / glucose uptake ($mmol/mmol\ glc$)]:[Flux in RT / glucose uptake ($mmol/mmol\ glc$)]])</f>
        <v>0</v>
      </c>
      <c r="G1201">
        <f>_xlfn.RANK.AVG(Table1[[#This Row],[Flux in SC / glucose uptake ($mmol/mmol\ glc$)]],Table1[Flux in SC / glucose uptake ($mmol/mmol\ glc$)])</f>
        <v>1310.5</v>
      </c>
      <c r="H1201">
        <f>_xlfn.RANK.AVG(Table1[[#This Row],[Flux in RT / glucose uptake ($mmol/mmol\ glc$)]],Table1[Flux in RT / glucose uptake ($mmol/mmol\ glc$)])</f>
        <v>1290.5</v>
      </c>
      <c r="I1201" t="e">
        <f>LOG(Table1[[#This Row],[Flux in SC / glucose uptake ($mmol/mmol\ glc$)]])</f>
        <v>#NUM!</v>
      </c>
      <c r="J1201" t="e">
        <f>LOG(Table1[[#This Row],[Flux in RT / glucose uptake ($mmol/mmol\ glc$)]])</f>
        <v>#NUM!</v>
      </c>
    </row>
    <row r="1202" spans="1:10" x14ac:dyDescent="0.2">
      <c r="A1202" t="s">
        <v>1205</v>
      </c>
      <c r="B1202">
        <v>0</v>
      </c>
      <c r="C1202">
        <v>0</v>
      </c>
      <c r="D1202">
        <v>0</v>
      </c>
      <c r="E1202">
        <f>ABS(Table1[[#This Row],[Flux in SC / glucose uptake ($mmol/mmol\ glc$)]]-Table1[[#This Row],[Flux in RT / glucose uptake ($mmol/mmol\ glc$)]])/SQRT(2)</f>
        <v>0</v>
      </c>
      <c r="F1202">
        <f>Table1[[#This Row],[distance from 45-degree line]]/MAX(Table1[[Flux in SC / glucose uptake ($mmol/mmol\ glc$)]:[Flux in RT / glucose uptake ($mmol/mmol\ glc$)]])</f>
        <v>0</v>
      </c>
      <c r="G1202">
        <f>_xlfn.RANK.AVG(Table1[[#This Row],[Flux in SC / glucose uptake ($mmol/mmol\ glc$)]],Table1[Flux in SC / glucose uptake ($mmol/mmol\ glc$)])</f>
        <v>1310.5</v>
      </c>
      <c r="H1202">
        <f>_xlfn.RANK.AVG(Table1[[#This Row],[Flux in RT / glucose uptake ($mmol/mmol\ glc$)]],Table1[Flux in RT / glucose uptake ($mmol/mmol\ glc$)])</f>
        <v>1290.5</v>
      </c>
      <c r="I1202" t="e">
        <f>LOG(Table1[[#This Row],[Flux in SC / glucose uptake ($mmol/mmol\ glc$)]])</f>
        <v>#NUM!</v>
      </c>
      <c r="J1202" t="e">
        <f>LOG(Table1[[#This Row],[Flux in RT / glucose uptake ($mmol/mmol\ glc$)]])</f>
        <v>#NUM!</v>
      </c>
    </row>
    <row r="1203" spans="1:10" x14ac:dyDescent="0.2">
      <c r="A1203" t="s">
        <v>1206</v>
      </c>
      <c r="B1203">
        <v>0</v>
      </c>
      <c r="C1203">
        <v>0</v>
      </c>
      <c r="D1203">
        <v>0</v>
      </c>
      <c r="E1203">
        <f>ABS(Table1[[#This Row],[Flux in SC / glucose uptake ($mmol/mmol\ glc$)]]-Table1[[#This Row],[Flux in RT / glucose uptake ($mmol/mmol\ glc$)]])/SQRT(2)</f>
        <v>0</v>
      </c>
      <c r="F1203">
        <f>Table1[[#This Row],[distance from 45-degree line]]/MAX(Table1[[Flux in SC / glucose uptake ($mmol/mmol\ glc$)]:[Flux in RT / glucose uptake ($mmol/mmol\ glc$)]])</f>
        <v>0</v>
      </c>
      <c r="G1203">
        <f>_xlfn.RANK.AVG(Table1[[#This Row],[Flux in SC / glucose uptake ($mmol/mmol\ glc$)]],Table1[Flux in SC / glucose uptake ($mmol/mmol\ glc$)])</f>
        <v>1310.5</v>
      </c>
      <c r="H1203">
        <f>_xlfn.RANK.AVG(Table1[[#This Row],[Flux in RT / glucose uptake ($mmol/mmol\ glc$)]],Table1[Flux in RT / glucose uptake ($mmol/mmol\ glc$)])</f>
        <v>1290.5</v>
      </c>
      <c r="I1203" t="e">
        <f>LOG(Table1[[#This Row],[Flux in SC / glucose uptake ($mmol/mmol\ glc$)]])</f>
        <v>#NUM!</v>
      </c>
      <c r="J1203" t="e">
        <f>LOG(Table1[[#This Row],[Flux in RT / glucose uptake ($mmol/mmol\ glc$)]])</f>
        <v>#NUM!</v>
      </c>
    </row>
    <row r="1204" spans="1:10" x14ac:dyDescent="0.2">
      <c r="A1204" t="s">
        <v>1207</v>
      </c>
      <c r="B1204">
        <v>0</v>
      </c>
      <c r="C1204">
        <v>0</v>
      </c>
      <c r="D1204">
        <v>0</v>
      </c>
      <c r="E1204">
        <f>ABS(Table1[[#This Row],[Flux in SC / glucose uptake ($mmol/mmol\ glc$)]]-Table1[[#This Row],[Flux in RT / glucose uptake ($mmol/mmol\ glc$)]])/SQRT(2)</f>
        <v>0</v>
      </c>
      <c r="F1204">
        <f>Table1[[#This Row],[distance from 45-degree line]]/MAX(Table1[[Flux in SC / glucose uptake ($mmol/mmol\ glc$)]:[Flux in RT / glucose uptake ($mmol/mmol\ glc$)]])</f>
        <v>0</v>
      </c>
      <c r="G1204">
        <f>_xlfn.RANK.AVG(Table1[[#This Row],[Flux in SC / glucose uptake ($mmol/mmol\ glc$)]],Table1[Flux in SC / glucose uptake ($mmol/mmol\ glc$)])</f>
        <v>1310.5</v>
      </c>
      <c r="H1204">
        <f>_xlfn.RANK.AVG(Table1[[#This Row],[Flux in RT / glucose uptake ($mmol/mmol\ glc$)]],Table1[Flux in RT / glucose uptake ($mmol/mmol\ glc$)])</f>
        <v>1290.5</v>
      </c>
      <c r="I1204" t="e">
        <f>LOG(Table1[[#This Row],[Flux in SC / glucose uptake ($mmol/mmol\ glc$)]])</f>
        <v>#NUM!</v>
      </c>
      <c r="J1204" t="e">
        <f>LOG(Table1[[#This Row],[Flux in RT / glucose uptake ($mmol/mmol\ glc$)]])</f>
        <v>#NUM!</v>
      </c>
    </row>
    <row r="1205" spans="1:10" x14ac:dyDescent="0.2">
      <c r="A1205" t="s">
        <v>1208</v>
      </c>
      <c r="B1205">
        <v>0</v>
      </c>
      <c r="C1205">
        <v>0</v>
      </c>
      <c r="D1205">
        <v>0</v>
      </c>
      <c r="E1205">
        <f>ABS(Table1[[#This Row],[Flux in SC / glucose uptake ($mmol/mmol\ glc$)]]-Table1[[#This Row],[Flux in RT / glucose uptake ($mmol/mmol\ glc$)]])/SQRT(2)</f>
        <v>0</v>
      </c>
      <c r="F1205">
        <f>Table1[[#This Row],[distance from 45-degree line]]/MAX(Table1[[Flux in SC / glucose uptake ($mmol/mmol\ glc$)]:[Flux in RT / glucose uptake ($mmol/mmol\ glc$)]])</f>
        <v>0</v>
      </c>
      <c r="G1205">
        <f>_xlfn.RANK.AVG(Table1[[#This Row],[Flux in SC / glucose uptake ($mmol/mmol\ glc$)]],Table1[Flux in SC / glucose uptake ($mmol/mmol\ glc$)])</f>
        <v>1310.5</v>
      </c>
      <c r="H1205">
        <f>_xlfn.RANK.AVG(Table1[[#This Row],[Flux in RT / glucose uptake ($mmol/mmol\ glc$)]],Table1[Flux in RT / glucose uptake ($mmol/mmol\ glc$)])</f>
        <v>1290.5</v>
      </c>
      <c r="I1205" t="e">
        <f>LOG(Table1[[#This Row],[Flux in SC / glucose uptake ($mmol/mmol\ glc$)]])</f>
        <v>#NUM!</v>
      </c>
      <c r="J1205" t="e">
        <f>LOG(Table1[[#This Row],[Flux in RT / glucose uptake ($mmol/mmol\ glc$)]])</f>
        <v>#NUM!</v>
      </c>
    </row>
    <row r="1206" spans="1:10" x14ac:dyDescent="0.2">
      <c r="A1206" t="s">
        <v>1209</v>
      </c>
      <c r="B1206">
        <v>0</v>
      </c>
      <c r="C1206">
        <v>0</v>
      </c>
      <c r="D1206">
        <v>0</v>
      </c>
      <c r="E1206">
        <f>ABS(Table1[[#This Row],[Flux in SC / glucose uptake ($mmol/mmol\ glc$)]]-Table1[[#This Row],[Flux in RT / glucose uptake ($mmol/mmol\ glc$)]])/SQRT(2)</f>
        <v>0</v>
      </c>
      <c r="F1206">
        <f>Table1[[#This Row],[distance from 45-degree line]]/MAX(Table1[[Flux in SC / glucose uptake ($mmol/mmol\ glc$)]:[Flux in RT / glucose uptake ($mmol/mmol\ glc$)]])</f>
        <v>0</v>
      </c>
      <c r="G1206">
        <f>_xlfn.RANK.AVG(Table1[[#This Row],[Flux in SC / glucose uptake ($mmol/mmol\ glc$)]],Table1[Flux in SC / glucose uptake ($mmol/mmol\ glc$)])</f>
        <v>1310.5</v>
      </c>
      <c r="H1206">
        <f>_xlfn.RANK.AVG(Table1[[#This Row],[Flux in RT / glucose uptake ($mmol/mmol\ glc$)]],Table1[Flux in RT / glucose uptake ($mmol/mmol\ glc$)])</f>
        <v>1290.5</v>
      </c>
      <c r="I1206" t="e">
        <f>LOG(Table1[[#This Row],[Flux in SC / glucose uptake ($mmol/mmol\ glc$)]])</f>
        <v>#NUM!</v>
      </c>
      <c r="J1206" t="e">
        <f>LOG(Table1[[#This Row],[Flux in RT / glucose uptake ($mmol/mmol\ glc$)]])</f>
        <v>#NUM!</v>
      </c>
    </row>
    <row r="1207" spans="1:10" x14ac:dyDescent="0.2">
      <c r="A1207" t="s">
        <v>1210</v>
      </c>
      <c r="B1207">
        <v>0</v>
      </c>
      <c r="C1207">
        <v>0</v>
      </c>
      <c r="D1207">
        <v>0</v>
      </c>
      <c r="E1207">
        <f>ABS(Table1[[#This Row],[Flux in SC / glucose uptake ($mmol/mmol\ glc$)]]-Table1[[#This Row],[Flux in RT / glucose uptake ($mmol/mmol\ glc$)]])/SQRT(2)</f>
        <v>0</v>
      </c>
      <c r="F1207">
        <f>Table1[[#This Row],[distance from 45-degree line]]/MAX(Table1[[Flux in SC / glucose uptake ($mmol/mmol\ glc$)]:[Flux in RT / glucose uptake ($mmol/mmol\ glc$)]])</f>
        <v>0</v>
      </c>
      <c r="G1207">
        <f>_xlfn.RANK.AVG(Table1[[#This Row],[Flux in SC / glucose uptake ($mmol/mmol\ glc$)]],Table1[Flux in SC / glucose uptake ($mmol/mmol\ glc$)])</f>
        <v>1310.5</v>
      </c>
      <c r="H1207">
        <f>_xlfn.RANK.AVG(Table1[[#This Row],[Flux in RT / glucose uptake ($mmol/mmol\ glc$)]],Table1[Flux in RT / glucose uptake ($mmol/mmol\ glc$)])</f>
        <v>1290.5</v>
      </c>
      <c r="I1207" t="e">
        <f>LOG(Table1[[#This Row],[Flux in SC / glucose uptake ($mmol/mmol\ glc$)]])</f>
        <v>#NUM!</v>
      </c>
      <c r="J1207" t="e">
        <f>LOG(Table1[[#This Row],[Flux in RT / glucose uptake ($mmol/mmol\ glc$)]])</f>
        <v>#NUM!</v>
      </c>
    </row>
    <row r="1208" spans="1:10" x14ac:dyDescent="0.2">
      <c r="A1208" t="s">
        <v>1211</v>
      </c>
      <c r="B1208">
        <v>0</v>
      </c>
      <c r="C1208">
        <v>0</v>
      </c>
      <c r="D1208">
        <v>0</v>
      </c>
      <c r="E1208">
        <f>ABS(Table1[[#This Row],[Flux in SC / glucose uptake ($mmol/mmol\ glc$)]]-Table1[[#This Row],[Flux in RT / glucose uptake ($mmol/mmol\ glc$)]])/SQRT(2)</f>
        <v>0</v>
      </c>
      <c r="F1208">
        <f>Table1[[#This Row],[distance from 45-degree line]]/MAX(Table1[[Flux in SC / glucose uptake ($mmol/mmol\ glc$)]:[Flux in RT / glucose uptake ($mmol/mmol\ glc$)]])</f>
        <v>0</v>
      </c>
      <c r="G1208">
        <f>_xlfn.RANK.AVG(Table1[[#This Row],[Flux in SC / glucose uptake ($mmol/mmol\ glc$)]],Table1[Flux in SC / glucose uptake ($mmol/mmol\ glc$)])</f>
        <v>1310.5</v>
      </c>
      <c r="H1208">
        <f>_xlfn.RANK.AVG(Table1[[#This Row],[Flux in RT / glucose uptake ($mmol/mmol\ glc$)]],Table1[Flux in RT / glucose uptake ($mmol/mmol\ glc$)])</f>
        <v>1290.5</v>
      </c>
      <c r="I1208" t="e">
        <f>LOG(Table1[[#This Row],[Flux in SC / glucose uptake ($mmol/mmol\ glc$)]])</f>
        <v>#NUM!</v>
      </c>
      <c r="J1208" t="e">
        <f>LOG(Table1[[#This Row],[Flux in RT / glucose uptake ($mmol/mmol\ glc$)]])</f>
        <v>#NUM!</v>
      </c>
    </row>
    <row r="1209" spans="1:10" x14ac:dyDescent="0.2">
      <c r="A1209" t="s">
        <v>1212</v>
      </c>
      <c r="B1209">
        <v>0</v>
      </c>
      <c r="C1209">
        <v>0</v>
      </c>
      <c r="D1209">
        <v>0</v>
      </c>
      <c r="E1209">
        <f>ABS(Table1[[#This Row],[Flux in SC / glucose uptake ($mmol/mmol\ glc$)]]-Table1[[#This Row],[Flux in RT / glucose uptake ($mmol/mmol\ glc$)]])/SQRT(2)</f>
        <v>0</v>
      </c>
      <c r="F1209">
        <f>Table1[[#This Row],[distance from 45-degree line]]/MAX(Table1[[Flux in SC / glucose uptake ($mmol/mmol\ glc$)]:[Flux in RT / glucose uptake ($mmol/mmol\ glc$)]])</f>
        <v>0</v>
      </c>
      <c r="G1209">
        <f>_xlfn.RANK.AVG(Table1[[#This Row],[Flux in SC / glucose uptake ($mmol/mmol\ glc$)]],Table1[Flux in SC / glucose uptake ($mmol/mmol\ glc$)])</f>
        <v>1310.5</v>
      </c>
      <c r="H1209">
        <f>_xlfn.RANK.AVG(Table1[[#This Row],[Flux in RT / glucose uptake ($mmol/mmol\ glc$)]],Table1[Flux in RT / glucose uptake ($mmol/mmol\ glc$)])</f>
        <v>1290.5</v>
      </c>
      <c r="I1209" t="e">
        <f>LOG(Table1[[#This Row],[Flux in SC / glucose uptake ($mmol/mmol\ glc$)]])</f>
        <v>#NUM!</v>
      </c>
      <c r="J1209" t="e">
        <f>LOG(Table1[[#This Row],[Flux in RT / glucose uptake ($mmol/mmol\ glc$)]])</f>
        <v>#NUM!</v>
      </c>
    </row>
    <row r="1210" spans="1:10" x14ac:dyDescent="0.2">
      <c r="A1210" t="s">
        <v>1213</v>
      </c>
      <c r="B1210">
        <v>0</v>
      </c>
      <c r="C1210">
        <v>0</v>
      </c>
      <c r="D1210">
        <v>0</v>
      </c>
      <c r="E1210">
        <f>ABS(Table1[[#This Row],[Flux in SC / glucose uptake ($mmol/mmol\ glc$)]]-Table1[[#This Row],[Flux in RT / glucose uptake ($mmol/mmol\ glc$)]])/SQRT(2)</f>
        <v>0</v>
      </c>
      <c r="F1210">
        <f>Table1[[#This Row],[distance from 45-degree line]]/MAX(Table1[[Flux in SC / glucose uptake ($mmol/mmol\ glc$)]:[Flux in RT / glucose uptake ($mmol/mmol\ glc$)]])</f>
        <v>0</v>
      </c>
      <c r="G1210">
        <f>_xlfn.RANK.AVG(Table1[[#This Row],[Flux in SC / glucose uptake ($mmol/mmol\ glc$)]],Table1[Flux in SC / glucose uptake ($mmol/mmol\ glc$)])</f>
        <v>1310.5</v>
      </c>
      <c r="H1210">
        <f>_xlfn.RANK.AVG(Table1[[#This Row],[Flux in RT / glucose uptake ($mmol/mmol\ glc$)]],Table1[Flux in RT / glucose uptake ($mmol/mmol\ glc$)])</f>
        <v>1290.5</v>
      </c>
      <c r="I1210" t="e">
        <f>LOG(Table1[[#This Row],[Flux in SC / glucose uptake ($mmol/mmol\ glc$)]])</f>
        <v>#NUM!</v>
      </c>
      <c r="J1210" t="e">
        <f>LOG(Table1[[#This Row],[Flux in RT / glucose uptake ($mmol/mmol\ glc$)]])</f>
        <v>#NUM!</v>
      </c>
    </row>
    <row r="1211" spans="1:10" x14ac:dyDescent="0.2">
      <c r="A1211" t="s">
        <v>1214</v>
      </c>
      <c r="B1211">
        <v>0</v>
      </c>
      <c r="C1211">
        <v>0</v>
      </c>
      <c r="D1211">
        <v>0</v>
      </c>
      <c r="E1211">
        <f>ABS(Table1[[#This Row],[Flux in SC / glucose uptake ($mmol/mmol\ glc$)]]-Table1[[#This Row],[Flux in RT / glucose uptake ($mmol/mmol\ glc$)]])/SQRT(2)</f>
        <v>0</v>
      </c>
      <c r="F1211">
        <f>Table1[[#This Row],[distance from 45-degree line]]/MAX(Table1[[Flux in SC / glucose uptake ($mmol/mmol\ glc$)]:[Flux in RT / glucose uptake ($mmol/mmol\ glc$)]])</f>
        <v>0</v>
      </c>
      <c r="G1211">
        <f>_xlfn.RANK.AVG(Table1[[#This Row],[Flux in SC / glucose uptake ($mmol/mmol\ glc$)]],Table1[Flux in SC / glucose uptake ($mmol/mmol\ glc$)])</f>
        <v>1310.5</v>
      </c>
      <c r="H1211">
        <f>_xlfn.RANK.AVG(Table1[[#This Row],[Flux in RT / glucose uptake ($mmol/mmol\ glc$)]],Table1[Flux in RT / glucose uptake ($mmol/mmol\ glc$)])</f>
        <v>1290.5</v>
      </c>
      <c r="I1211" t="e">
        <f>LOG(Table1[[#This Row],[Flux in SC / glucose uptake ($mmol/mmol\ glc$)]])</f>
        <v>#NUM!</v>
      </c>
      <c r="J1211" t="e">
        <f>LOG(Table1[[#This Row],[Flux in RT / glucose uptake ($mmol/mmol\ glc$)]])</f>
        <v>#NUM!</v>
      </c>
    </row>
    <row r="1212" spans="1:10" x14ac:dyDescent="0.2">
      <c r="A1212" t="s">
        <v>1215</v>
      </c>
      <c r="B1212">
        <v>0</v>
      </c>
      <c r="C1212">
        <v>0</v>
      </c>
      <c r="D1212">
        <v>0</v>
      </c>
      <c r="E1212">
        <f>ABS(Table1[[#This Row],[Flux in SC / glucose uptake ($mmol/mmol\ glc$)]]-Table1[[#This Row],[Flux in RT / glucose uptake ($mmol/mmol\ glc$)]])/SQRT(2)</f>
        <v>0</v>
      </c>
      <c r="F1212">
        <f>Table1[[#This Row],[distance from 45-degree line]]/MAX(Table1[[Flux in SC / glucose uptake ($mmol/mmol\ glc$)]:[Flux in RT / glucose uptake ($mmol/mmol\ glc$)]])</f>
        <v>0</v>
      </c>
      <c r="G1212">
        <f>_xlfn.RANK.AVG(Table1[[#This Row],[Flux in SC / glucose uptake ($mmol/mmol\ glc$)]],Table1[Flux in SC / glucose uptake ($mmol/mmol\ glc$)])</f>
        <v>1310.5</v>
      </c>
      <c r="H1212">
        <f>_xlfn.RANK.AVG(Table1[[#This Row],[Flux in RT / glucose uptake ($mmol/mmol\ glc$)]],Table1[Flux in RT / glucose uptake ($mmol/mmol\ glc$)])</f>
        <v>1290.5</v>
      </c>
      <c r="I1212" t="e">
        <f>LOG(Table1[[#This Row],[Flux in SC / glucose uptake ($mmol/mmol\ glc$)]])</f>
        <v>#NUM!</v>
      </c>
      <c r="J1212" t="e">
        <f>LOG(Table1[[#This Row],[Flux in RT / glucose uptake ($mmol/mmol\ glc$)]])</f>
        <v>#NUM!</v>
      </c>
    </row>
    <row r="1213" spans="1:10" x14ac:dyDescent="0.2">
      <c r="A1213" t="s">
        <v>1216</v>
      </c>
      <c r="B1213">
        <v>0</v>
      </c>
      <c r="C1213">
        <v>0</v>
      </c>
      <c r="D1213">
        <v>0</v>
      </c>
      <c r="E1213">
        <f>ABS(Table1[[#This Row],[Flux in SC / glucose uptake ($mmol/mmol\ glc$)]]-Table1[[#This Row],[Flux in RT / glucose uptake ($mmol/mmol\ glc$)]])/SQRT(2)</f>
        <v>0</v>
      </c>
      <c r="F1213">
        <f>Table1[[#This Row],[distance from 45-degree line]]/MAX(Table1[[Flux in SC / glucose uptake ($mmol/mmol\ glc$)]:[Flux in RT / glucose uptake ($mmol/mmol\ glc$)]])</f>
        <v>0</v>
      </c>
      <c r="G1213">
        <f>_xlfn.RANK.AVG(Table1[[#This Row],[Flux in SC / glucose uptake ($mmol/mmol\ glc$)]],Table1[Flux in SC / glucose uptake ($mmol/mmol\ glc$)])</f>
        <v>1310.5</v>
      </c>
      <c r="H1213">
        <f>_xlfn.RANK.AVG(Table1[[#This Row],[Flux in RT / glucose uptake ($mmol/mmol\ glc$)]],Table1[Flux in RT / glucose uptake ($mmol/mmol\ glc$)])</f>
        <v>1290.5</v>
      </c>
      <c r="I1213" t="e">
        <f>LOG(Table1[[#This Row],[Flux in SC / glucose uptake ($mmol/mmol\ glc$)]])</f>
        <v>#NUM!</v>
      </c>
      <c r="J1213" t="e">
        <f>LOG(Table1[[#This Row],[Flux in RT / glucose uptake ($mmol/mmol\ glc$)]])</f>
        <v>#NUM!</v>
      </c>
    </row>
    <row r="1214" spans="1:10" x14ac:dyDescent="0.2">
      <c r="A1214" t="s">
        <v>1217</v>
      </c>
      <c r="B1214">
        <v>0</v>
      </c>
      <c r="C1214">
        <v>0</v>
      </c>
      <c r="D1214">
        <v>0</v>
      </c>
      <c r="E1214">
        <f>ABS(Table1[[#This Row],[Flux in SC / glucose uptake ($mmol/mmol\ glc$)]]-Table1[[#This Row],[Flux in RT / glucose uptake ($mmol/mmol\ glc$)]])/SQRT(2)</f>
        <v>0</v>
      </c>
      <c r="F1214">
        <f>Table1[[#This Row],[distance from 45-degree line]]/MAX(Table1[[Flux in SC / glucose uptake ($mmol/mmol\ glc$)]:[Flux in RT / glucose uptake ($mmol/mmol\ glc$)]])</f>
        <v>0</v>
      </c>
      <c r="G1214">
        <f>_xlfn.RANK.AVG(Table1[[#This Row],[Flux in SC / glucose uptake ($mmol/mmol\ glc$)]],Table1[Flux in SC / glucose uptake ($mmol/mmol\ glc$)])</f>
        <v>1310.5</v>
      </c>
      <c r="H1214">
        <f>_xlfn.RANK.AVG(Table1[[#This Row],[Flux in RT / glucose uptake ($mmol/mmol\ glc$)]],Table1[Flux in RT / glucose uptake ($mmol/mmol\ glc$)])</f>
        <v>1290.5</v>
      </c>
      <c r="I1214" t="e">
        <f>LOG(Table1[[#This Row],[Flux in SC / glucose uptake ($mmol/mmol\ glc$)]])</f>
        <v>#NUM!</v>
      </c>
      <c r="J1214" t="e">
        <f>LOG(Table1[[#This Row],[Flux in RT / glucose uptake ($mmol/mmol\ glc$)]])</f>
        <v>#NUM!</v>
      </c>
    </row>
    <row r="1215" spans="1:10" x14ac:dyDescent="0.2">
      <c r="A1215" t="s">
        <v>1218</v>
      </c>
      <c r="B1215">
        <v>0</v>
      </c>
      <c r="C1215">
        <v>0</v>
      </c>
      <c r="D1215">
        <v>0</v>
      </c>
      <c r="E1215">
        <f>ABS(Table1[[#This Row],[Flux in SC / glucose uptake ($mmol/mmol\ glc$)]]-Table1[[#This Row],[Flux in RT / glucose uptake ($mmol/mmol\ glc$)]])/SQRT(2)</f>
        <v>0</v>
      </c>
      <c r="F1215">
        <f>Table1[[#This Row],[distance from 45-degree line]]/MAX(Table1[[Flux in SC / glucose uptake ($mmol/mmol\ glc$)]:[Flux in RT / glucose uptake ($mmol/mmol\ glc$)]])</f>
        <v>0</v>
      </c>
      <c r="G1215">
        <f>_xlfn.RANK.AVG(Table1[[#This Row],[Flux in SC / glucose uptake ($mmol/mmol\ glc$)]],Table1[Flux in SC / glucose uptake ($mmol/mmol\ glc$)])</f>
        <v>1310.5</v>
      </c>
      <c r="H1215">
        <f>_xlfn.RANK.AVG(Table1[[#This Row],[Flux in RT / glucose uptake ($mmol/mmol\ glc$)]],Table1[Flux in RT / glucose uptake ($mmol/mmol\ glc$)])</f>
        <v>1290.5</v>
      </c>
      <c r="I1215" t="e">
        <f>LOG(Table1[[#This Row],[Flux in SC / glucose uptake ($mmol/mmol\ glc$)]])</f>
        <v>#NUM!</v>
      </c>
      <c r="J1215" t="e">
        <f>LOG(Table1[[#This Row],[Flux in RT / glucose uptake ($mmol/mmol\ glc$)]])</f>
        <v>#NUM!</v>
      </c>
    </row>
    <row r="1216" spans="1:10" x14ac:dyDescent="0.2">
      <c r="A1216" t="s">
        <v>1219</v>
      </c>
      <c r="B1216">
        <v>0</v>
      </c>
      <c r="C1216">
        <v>0</v>
      </c>
      <c r="D1216">
        <v>0</v>
      </c>
      <c r="E1216">
        <f>ABS(Table1[[#This Row],[Flux in SC / glucose uptake ($mmol/mmol\ glc$)]]-Table1[[#This Row],[Flux in RT / glucose uptake ($mmol/mmol\ glc$)]])/SQRT(2)</f>
        <v>0</v>
      </c>
      <c r="F1216">
        <f>Table1[[#This Row],[distance from 45-degree line]]/MAX(Table1[[Flux in SC / glucose uptake ($mmol/mmol\ glc$)]:[Flux in RT / glucose uptake ($mmol/mmol\ glc$)]])</f>
        <v>0</v>
      </c>
      <c r="G1216">
        <f>_xlfn.RANK.AVG(Table1[[#This Row],[Flux in SC / glucose uptake ($mmol/mmol\ glc$)]],Table1[Flux in SC / glucose uptake ($mmol/mmol\ glc$)])</f>
        <v>1310.5</v>
      </c>
      <c r="H1216">
        <f>_xlfn.RANK.AVG(Table1[[#This Row],[Flux in RT / glucose uptake ($mmol/mmol\ glc$)]],Table1[Flux in RT / glucose uptake ($mmol/mmol\ glc$)])</f>
        <v>1290.5</v>
      </c>
      <c r="I1216" t="e">
        <f>LOG(Table1[[#This Row],[Flux in SC / glucose uptake ($mmol/mmol\ glc$)]])</f>
        <v>#NUM!</v>
      </c>
      <c r="J1216" t="e">
        <f>LOG(Table1[[#This Row],[Flux in RT / glucose uptake ($mmol/mmol\ glc$)]])</f>
        <v>#NUM!</v>
      </c>
    </row>
    <row r="1217" spans="1:10" x14ac:dyDescent="0.2">
      <c r="A1217" t="s">
        <v>1220</v>
      </c>
      <c r="B1217">
        <v>0</v>
      </c>
      <c r="C1217">
        <v>0</v>
      </c>
      <c r="D1217">
        <v>0</v>
      </c>
      <c r="E1217">
        <f>ABS(Table1[[#This Row],[Flux in SC / glucose uptake ($mmol/mmol\ glc$)]]-Table1[[#This Row],[Flux in RT / glucose uptake ($mmol/mmol\ glc$)]])/SQRT(2)</f>
        <v>0</v>
      </c>
      <c r="F1217">
        <f>Table1[[#This Row],[distance from 45-degree line]]/MAX(Table1[[Flux in SC / glucose uptake ($mmol/mmol\ glc$)]:[Flux in RT / glucose uptake ($mmol/mmol\ glc$)]])</f>
        <v>0</v>
      </c>
      <c r="G1217">
        <f>_xlfn.RANK.AVG(Table1[[#This Row],[Flux in SC / glucose uptake ($mmol/mmol\ glc$)]],Table1[Flux in SC / glucose uptake ($mmol/mmol\ glc$)])</f>
        <v>1310.5</v>
      </c>
      <c r="H1217">
        <f>_xlfn.RANK.AVG(Table1[[#This Row],[Flux in RT / glucose uptake ($mmol/mmol\ glc$)]],Table1[Flux in RT / glucose uptake ($mmol/mmol\ glc$)])</f>
        <v>1290.5</v>
      </c>
      <c r="I1217" t="e">
        <f>LOG(Table1[[#This Row],[Flux in SC / glucose uptake ($mmol/mmol\ glc$)]])</f>
        <v>#NUM!</v>
      </c>
      <c r="J1217" t="e">
        <f>LOG(Table1[[#This Row],[Flux in RT / glucose uptake ($mmol/mmol\ glc$)]])</f>
        <v>#NUM!</v>
      </c>
    </row>
    <row r="1218" spans="1:10" x14ac:dyDescent="0.2">
      <c r="A1218" t="s">
        <v>1221</v>
      </c>
      <c r="B1218">
        <v>0</v>
      </c>
      <c r="C1218">
        <v>0</v>
      </c>
      <c r="D1218">
        <v>0</v>
      </c>
      <c r="E1218">
        <f>ABS(Table1[[#This Row],[Flux in SC / glucose uptake ($mmol/mmol\ glc$)]]-Table1[[#This Row],[Flux in RT / glucose uptake ($mmol/mmol\ glc$)]])/SQRT(2)</f>
        <v>0</v>
      </c>
      <c r="F1218">
        <f>Table1[[#This Row],[distance from 45-degree line]]/MAX(Table1[[Flux in SC / glucose uptake ($mmol/mmol\ glc$)]:[Flux in RT / glucose uptake ($mmol/mmol\ glc$)]])</f>
        <v>0</v>
      </c>
      <c r="G1218">
        <f>_xlfn.RANK.AVG(Table1[[#This Row],[Flux in SC / glucose uptake ($mmol/mmol\ glc$)]],Table1[Flux in SC / glucose uptake ($mmol/mmol\ glc$)])</f>
        <v>1310.5</v>
      </c>
      <c r="H1218">
        <f>_xlfn.RANK.AVG(Table1[[#This Row],[Flux in RT / glucose uptake ($mmol/mmol\ glc$)]],Table1[Flux in RT / glucose uptake ($mmol/mmol\ glc$)])</f>
        <v>1290.5</v>
      </c>
      <c r="I1218" t="e">
        <f>LOG(Table1[[#This Row],[Flux in SC / glucose uptake ($mmol/mmol\ glc$)]])</f>
        <v>#NUM!</v>
      </c>
      <c r="J1218" t="e">
        <f>LOG(Table1[[#This Row],[Flux in RT / glucose uptake ($mmol/mmol\ glc$)]])</f>
        <v>#NUM!</v>
      </c>
    </row>
    <row r="1219" spans="1:10" x14ac:dyDescent="0.2">
      <c r="A1219" t="s">
        <v>1222</v>
      </c>
      <c r="B1219">
        <v>0</v>
      </c>
      <c r="C1219">
        <v>0</v>
      </c>
      <c r="D1219">
        <v>0</v>
      </c>
      <c r="E1219">
        <f>ABS(Table1[[#This Row],[Flux in SC / glucose uptake ($mmol/mmol\ glc$)]]-Table1[[#This Row],[Flux in RT / glucose uptake ($mmol/mmol\ glc$)]])/SQRT(2)</f>
        <v>0</v>
      </c>
      <c r="F1219">
        <f>Table1[[#This Row],[distance from 45-degree line]]/MAX(Table1[[Flux in SC / glucose uptake ($mmol/mmol\ glc$)]:[Flux in RT / glucose uptake ($mmol/mmol\ glc$)]])</f>
        <v>0</v>
      </c>
      <c r="G1219">
        <f>_xlfn.RANK.AVG(Table1[[#This Row],[Flux in SC / glucose uptake ($mmol/mmol\ glc$)]],Table1[Flux in SC / glucose uptake ($mmol/mmol\ glc$)])</f>
        <v>1310.5</v>
      </c>
      <c r="H1219">
        <f>_xlfn.RANK.AVG(Table1[[#This Row],[Flux in RT / glucose uptake ($mmol/mmol\ glc$)]],Table1[Flux in RT / glucose uptake ($mmol/mmol\ glc$)])</f>
        <v>1290.5</v>
      </c>
      <c r="I1219" t="e">
        <f>LOG(Table1[[#This Row],[Flux in SC / glucose uptake ($mmol/mmol\ glc$)]])</f>
        <v>#NUM!</v>
      </c>
      <c r="J1219" t="e">
        <f>LOG(Table1[[#This Row],[Flux in RT / glucose uptake ($mmol/mmol\ glc$)]])</f>
        <v>#NUM!</v>
      </c>
    </row>
    <row r="1220" spans="1:10" x14ac:dyDescent="0.2">
      <c r="A1220" t="s">
        <v>1223</v>
      </c>
      <c r="B1220">
        <v>0</v>
      </c>
      <c r="C1220">
        <v>0</v>
      </c>
      <c r="D1220">
        <v>0</v>
      </c>
      <c r="E1220">
        <f>ABS(Table1[[#This Row],[Flux in SC / glucose uptake ($mmol/mmol\ glc$)]]-Table1[[#This Row],[Flux in RT / glucose uptake ($mmol/mmol\ glc$)]])/SQRT(2)</f>
        <v>0</v>
      </c>
      <c r="F1220">
        <f>Table1[[#This Row],[distance from 45-degree line]]/MAX(Table1[[Flux in SC / glucose uptake ($mmol/mmol\ glc$)]:[Flux in RT / glucose uptake ($mmol/mmol\ glc$)]])</f>
        <v>0</v>
      </c>
      <c r="G1220">
        <f>_xlfn.RANK.AVG(Table1[[#This Row],[Flux in SC / glucose uptake ($mmol/mmol\ glc$)]],Table1[Flux in SC / glucose uptake ($mmol/mmol\ glc$)])</f>
        <v>1310.5</v>
      </c>
      <c r="H1220">
        <f>_xlfn.RANK.AVG(Table1[[#This Row],[Flux in RT / glucose uptake ($mmol/mmol\ glc$)]],Table1[Flux in RT / glucose uptake ($mmol/mmol\ glc$)])</f>
        <v>1290.5</v>
      </c>
      <c r="I1220" t="e">
        <f>LOG(Table1[[#This Row],[Flux in SC / glucose uptake ($mmol/mmol\ glc$)]])</f>
        <v>#NUM!</v>
      </c>
      <c r="J1220" t="e">
        <f>LOG(Table1[[#This Row],[Flux in RT / glucose uptake ($mmol/mmol\ glc$)]])</f>
        <v>#NUM!</v>
      </c>
    </row>
    <row r="1221" spans="1:10" x14ac:dyDescent="0.2">
      <c r="A1221" t="s">
        <v>1224</v>
      </c>
      <c r="B1221">
        <v>0</v>
      </c>
      <c r="C1221">
        <v>0</v>
      </c>
      <c r="D1221">
        <v>0</v>
      </c>
      <c r="E1221">
        <f>ABS(Table1[[#This Row],[Flux in SC / glucose uptake ($mmol/mmol\ glc$)]]-Table1[[#This Row],[Flux in RT / glucose uptake ($mmol/mmol\ glc$)]])/SQRT(2)</f>
        <v>0</v>
      </c>
      <c r="F1221">
        <f>Table1[[#This Row],[distance from 45-degree line]]/MAX(Table1[[Flux in SC / glucose uptake ($mmol/mmol\ glc$)]:[Flux in RT / glucose uptake ($mmol/mmol\ glc$)]])</f>
        <v>0</v>
      </c>
      <c r="G1221">
        <f>_xlfn.RANK.AVG(Table1[[#This Row],[Flux in SC / glucose uptake ($mmol/mmol\ glc$)]],Table1[Flux in SC / glucose uptake ($mmol/mmol\ glc$)])</f>
        <v>1310.5</v>
      </c>
      <c r="H1221">
        <f>_xlfn.RANK.AVG(Table1[[#This Row],[Flux in RT / glucose uptake ($mmol/mmol\ glc$)]],Table1[Flux in RT / glucose uptake ($mmol/mmol\ glc$)])</f>
        <v>1290.5</v>
      </c>
      <c r="I1221" t="e">
        <f>LOG(Table1[[#This Row],[Flux in SC / glucose uptake ($mmol/mmol\ glc$)]])</f>
        <v>#NUM!</v>
      </c>
      <c r="J1221" t="e">
        <f>LOG(Table1[[#This Row],[Flux in RT / glucose uptake ($mmol/mmol\ glc$)]])</f>
        <v>#NUM!</v>
      </c>
    </row>
    <row r="1222" spans="1:10" x14ac:dyDescent="0.2">
      <c r="A1222" t="s">
        <v>1225</v>
      </c>
      <c r="B1222">
        <v>0</v>
      </c>
      <c r="C1222">
        <v>0</v>
      </c>
      <c r="D1222">
        <v>0</v>
      </c>
      <c r="E1222">
        <f>ABS(Table1[[#This Row],[Flux in SC / glucose uptake ($mmol/mmol\ glc$)]]-Table1[[#This Row],[Flux in RT / glucose uptake ($mmol/mmol\ glc$)]])/SQRT(2)</f>
        <v>0</v>
      </c>
      <c r="F1222">
        <f>Table1[[#This Row],[distance from 45-degree line]]/MAX(Table1[[Flux in SC / glucose uptake ($mmol/mmol\ glc$)]:[Flux in RT / glucose uptake ($mmol/mmol\ glc$)]])</f>
        <v>0</v>
      </c>
      <c r="G1222">
        <f>_xlfn.RANK.AVG(Table1[[#This Row],[Flux in SC / glucose uptake ($mmol/mmol\ glc$)]],Table1[Flux in SC / glucose uptake ($mmol/mmol\ glc$)])</f>
        <v>1310.5</v>
      </c>
      <c r="H1222">
        <f>_xlfn.RANK.AVG(Table1[[#This Row],[Flux in RT / glucose uptake ($mmol/mmol\ glc$)]],Table1[Flux in RT / glucose uptake ($mmol/mmol\ glc$)])</f>
        <v>1290.5</v>
      </c>
      <c r="I1222" t="e">
        <f>LOG(Table1[[#This Row],[Flux in SC / glucose uptake ($mmol/mmol\ glc$)]])</f>
        <v>#NUM!</v>
      </c>
      <c r="J1222" t="e">
        <f>LOG(Table1[[#This Row],[Flux in RT / glucose uptake ($mmol/mmol\ glc$)]])</f>
        <v>#NUM!</v>
      </c>
    </row>
    <row r="1223" spans="1:10" x14ac:dyDescent="0.2">
      <c r="A1223" t="s">
        <v>1226</v>
      </c>
      <c r="B1223">
        <v>0</v>
      </c>
      <c r="C1223">
        <v>0</v>
      </c>
      <c r="D1223">
        <v>0</v>
      </c>
      <c r="E1223">
        <f>ABS(Table1[[#This Row],[Flux in SC / glucose uptake ($mmol/mmol\ glc$)]]-Table1[[#This Row],[Flux in RT / glucose uptake ($mmol/mmol\ glc$)]])/SQRT(2)</f>
        <v>0</v>
      </c>
      <c r="F1223">
        <f>Table1[[#This Row],[distance from 45-degree line]]/MAX(Table1[[Flux in SC / glucose uptake ($mmol/mmol\ glc$)]:[Flux in RT / glucose uptake ($mmol/mmol\ glc$)]])</f>
        <v>0</v>
      </c>
      <c r="G1223">
        <f>_xlfn.RANK.AVG(Table1[[#This Row],[Flux in SC / glucose uptake ($mmol/mmol\ glc$)]],Table1[Flux in SC / glucose uptake ($mmol/mmol\ glc$)])</f>
        <v>1310.5</v>
      </c>
      <c r="H1223">
        <f>_xlfn.RANK.AVG(Table1[[#This Row],[Flux in RT / glucose uptake ($mmol/mmol\ glc$)]],Table1[Flux in RT / glucose uptake ($mmol/mmol\ glc$)])</f>
        <v>1290.5</v>
      </c>
      <c r="I1223" t="e">
        <f>LOG(Table1[[#This Row],[Flux in SC / glucose uptake ($mmol/mmol\ glc$)]])</f>
        <v>#NUM!</v>
      </c>
      <c r="J1223" t="e">
        <f>LOG(Table1[[#This Row],[Flux in RT / glucose uptake ($mmol/mmol\ glc$)]])</f>
        <v>#NUM!</v>
      </c>
    </row>
    <row r="1224" spans="1:10" x14ac:dyDescent="0.2">
      <c r="A1224" t="s">
        <v>1227</v>
      </c>
      <c r="B1224">
        <v>0</v>
      </c>
      <c r="C1224">
        <v>0</v>
      </c>
      <c r="D1224">
        <v>0</v>
      </c>
      <c r="E1224">
        <f>ABS(Table1[[#This Row],[Flux in SC / glucose uptake ($mmol/mmol\ glc$)]]-Table1[[#This Row],[Flux in RT / glucose uptake ($mmol/mmol\ glc$)]])/SQRT(2)</f>
        <v>0</v>
      </c>
      <c r="F1224">
        <f>Table1[[#This Row],[distance from 45-degree line]]/MAX(Table1[[Flux in SC / glucose uptake ($mmol/mmol\ glc$)]:[Flux in RT / glucose uptake ($mmol/mmol\ glc$)]])</f>
        <v>0</v>
      </c>
      <c r="G1224">
        <f>_xlfn.RANK.AVG(Table1[[#This Row],[Flux in SC / glucose uptake ($mmol/mmol\ glc$)]],Table1[Flux in SC / glucose uptake ($mmol/mmol\ glc$)])</f>
        <v>1310.5</v>
      </c>
      <c r="H1224">
        <f>_xlfn.RANK.AVG(Table1[[#This Row],[Flux in RT / glucose uptake ($mmol/mmol\ glc$)]],Table1[Flux in RT / glucose uptake ($mmol/mmol\ glc$)])</f>
        <v>1290.5</v>
      </c>
      <c r="I1224" t="e">
        <f>LOG(Table1[[#This Row],[Flux in SC / glucose uptake ($mmol/mmol\ glc$)]])</f>
        <v>#NUM!</v>
      </c>
      <c r="J1224" t="e">
        <f>LOG(Table1[[#This Row],[Flux in RT / glucose uptake ($mmol/mmol\ glc$)]])</f>
        <v>#NUM!</v>
      </c>
    </row>
    <row r="1225" spans="1:10" x14ac:dyDescent="0.2">
      <c r="A1225" t="s">
        <v>1228</v>
      </c>
      <c r="B1225">
        <v>0</v>
      </c>
      <c r="C1225">
        <v>0</v>
      </c>
      <c r="D1225">
        <v>0</v>
      </c>
      <c r="E1225">
        <f>ABS(Table1[[#This Row],[Flux in SC / glucose uptake ($mmol/mmol\ glc$)]]-Table1[[#This Row],[Flux in RT / glucose uptake ($mmol/mmol\ glc$)]])/SQRT(2)</f>
        <v>0</v>
      </c>
      <c r="F1225">
        <f>Table1[[#This Row],[distance from 45-degree line]]/MAX(Table1[[Flux in SC / glucose uptake ($mmol/mmol\ glc$)]:[Flux in RT / glucose uptake ($mmol/mmol\ glc$)]])</f>
        <v>0</v>
      </c>
      <c r="G1225">
        <f>_xlfn.RANK.AVG(Table1[[#This Row],[Flux in SC / glucose uptake ($mmol/mmol\ glc$)]],Table1[Flux in SC / glucose uptake ($mmol/mmol\ glc$)])</f>
        <v>1310.5</v>
      </c>
      <c r="H1225">
        <f>_xlfn.RANK.AVG(Table1[[#This Row],[Flux in RT / glucose uptake ($mmol/mmol\ glc$)]],Table1[Flux in RT / glucose uptake ($mmol/mmol\ glc$)])</f>
        <v>1290.5</v>
      </c>
      <c r="I1225" t="e">
        <f>LOG(Table1[[#This Row],[Flux in SC / glucose uptake ($mmol/mmol\ glc$)]])</f>
        <v>#NUM!</v>
      </c>
      <c r="J1225" t="e">
        <f>LOG(Table1[[#This Row],[Flux in RT / glucose uptake ($mmol/mmol\ glc$)]])</f>
        <v>#NUM!</v>
      </c>
    </row>
    <row r="1226" spans="1:10" x14ac:dyDescent="0.2">
      <c r="A1226" t="s">
        <v>1229</v>
      </c>
      <c r="B1226">
        <v>0</v>
      </c>
      <c r="C1226">
        <v>0</v>
      </c>
      <c r="D1226">
        <v>0</v>
      </c>
      <c r="E1226">
        <f>ABS(Table1[[#This Row],[Flux in SC / glucose uptake ($mmol/mmol\ glc$)]]-Table1[[#This Row],[Flux in RT / glucose uptake ($mmol/mmol\ glc$)]])/SQRT(2)</f>
        <v>0</v>
      </c>
      <c r="F1226">
        <f>Table1[[#This Row],[distance from 45-degree line]]/MAX(Table1[[Flux in SC / glucose uptake ($mmol/mmol\ glc$)]:[Flux in RT / glucose uptake ($mmol/mmol\ glc$)]])</f>
        <v>0</v>
      </c>
      <c r="G1226">
        <f>_xlfn.RANK.AVG(Table1[[#This Row],[Flux in SC / glucose uptake ($mmol/mmol\ glc$)]],Table1[Flux in SC / glucose uptake ($mmol/mmol\ glc$)])</f>
        <v>1310.5</v>
      </c>
      <c r="H1226">
        <f>_xlfn.RANK.AVG(Table1[[#This Row],[Flux in RT / glucose uptake ($mmol/mmol\ glc$)]],Table1[Flux in RT / glucose uptake ($mmol/mmol\ glc$)])</f>
        <v>1290.5</v>
      </c>
      <c r="I1226" t="e">
        <f>LOG(Table1[[#This Row],[Flux in SC / glucose uptake ($mmol/mmol\ glc$)]])</f>
        <v>#NUM!</v>
      </c>
      <c r="J1226" t="e">
        <f>LOG(Table1[[#This Row],[Flux in RT / glucose uptake ($mmol/mmol\ glc$)]])</f>
        <v>#NUM!</v>
      </c>
    </row>
    <row r="1227" spans="1:10" x14ac:dyDescent="0.2">
      <c r="A1227" t="s">
        <v>1230</v>
      </c>
      <c r="B1227">
        <v>0</v>
      </c>
      <c r="C1227">
        <v>0</v>
      </c>
      <c r="D1227">
        <v>0</v>
      </c>
      <c r="E1227">
        <f>ABS(Table1[[#This Row],[Flux in SC / glucose uptake ($mmol/mmol\ glc$)]]-Table1[[#This Row],[Flux in RT / glucose uptake ($mmol/mmol\ glc$)]])/SQRT(2)</f>
        <v>0</v>
      </c>
      <c r="F1227">
        <f>Table1[[#This Row],[distance from 45-degree line]]/MAX(Table1[[Flux in SC / glucose uptake ($mmol/mmol\ glc$)]:[Flux in RT / glucose uptake ($mmol/mmol\ glc$)]])</f>
        <v>0</v>
      </c>
      <c r="G1227">
        <f>_xlfn.RANK.AVG(Table1[[#This Row],[Flux in SC / glucose uptake ($mmol/mmol\ glc$)]],Table1[Flux in SC / glucose uptake ($mmol/mmol\ glc$)])</f>
        <v>1310.5</v>
      </c>
      <c r="H1227">
        <f>_xlfn.RANK.AVG(Table1[[#This Row],[Flux in RT / glucose uptake ($mmol/mmol\ glc$)]],Table1[Flux in RT / glucose uptake ($mmol/mmol\ glc$)])</f>
        <v>1290.5</v>
      </c>
      <c r="I1227" t="e">
        <f>LOG(Table1[[#This Row],[Flux in SC / glucose uptake ($mmol/mmol\ glc$)]])</f>
        <v>#NUM!</v>
      </c>
      <c r="J1227" t="e">
        <f>LOG(Table1[[#This Row],[Flux in RT / glucose uptake ($mmol/mmol\ glc$)]])</f>
        <v>#NUM!</v>
      </c>
    </row>
    <row r="1228" spans="1:10" x14ac:dyDescent="0.2">
      <c r="A1228" t="s">
        <v>1231</v>
      </c>
      <c r="B1228">
        <v>0</v>
      </c>
      <c r="C1228">
        <v>0</v>
      </c>
      <c r="D1228">
        <v>0</v>
      </c>
      <c r="E1228">
        <f>ABS(Table1[[#This Row],[Flux in SC / glucose uptake ($mmol/mmol\ glc$)]]-Table1[[#This Row],[Flux in RT / glucose uptake ($mmol/mmol\ glc$)]])/SQRT(2)</f>
        <v>0</v>
      </c>
      <c r="F1228">
        <f>Table1[[#This Row],[distance from 45-degree line]]/MAX(Table1[[Flux in SC / glucose uptake ($mmol/mmol\ glc$)]:[Flux in RT / glucose uptake ($mmol/mmol\ glc$)]])</f>
        <v>0</v>
      </c>
      <c r="G1228">
        <f>_xlfn.RANK.AVG(Table1[[#This Row],[Flux in SC / glucose uptake ($mmol/mmol\ glc$)]],Table1[Flux in SC / glucose uptake ($mmol/mmol\ glc$)])</f>
        <v>1310.5</v>
      </c>
      <c r="H1228">
        <f>_xlfn.RANK.AVG(Table1[[#This Row],[Flux in RT / glucose uptake ($mmol/mmol\ glc$)]],Table1[Flux in RT / glucose uptake ($mmol/mmol\ glc$)])</f>
        <v>1290.5</v>
      </c>
      <c r="I1228" t="e">
        <f>LOG(Table1[[#This Row],[Flux in SC / glucose uptake ($mmol/mmol\ glc$)]])</f>
        <v>#NUM!</v>
      </c>
      <c r="J1228" t="e">
        <f>LOG(Table1[[#This Row],[Flux in RT / glucose uptake ($mmol/mmol\ glc$)]])</f>
        <v>#NUM!</v>
      </c>
    </row>
    <row r="1229" spans="1:10" x14ac:dyDescent="0.2">
      <c r="A1229" t="s">
        <v>1232</v>
      </c>
      <c r="B1229">
        <v>0</v>
      </c>
      <c r="C1229">
        <v>0</v>
      </c>
      <c r="D1229">
        <v>0</v>
      </c>
      <c r="E1229">
        <f>ABS(Table1[[#This Row],[Flux in SC / glucose uptake ($mmol/mmol\ glc$)]]-Table1[[#This Row],[Flux in RT / glucose uptake ($mmol/mmol\ glc$)]])/SQRT(2)</f>
        <v>0</v>
      </c>
      <c r="F1229">
        <f>Table1[[#This Row],[distance from 45-degree line]]/MAX(Table1[[Flux in SC / glucose uptake ($mmol/mmol\ glc$)]:[Flux in RT / glucose uptake ($mmol/mmol\ glc$)]])</f>
        <v>0</v>
      </c>
      <c r="G1229">
        <f>_xlfn.RANK.AVG(Table1[[#This Row],[Flux in SC / glucose uptake ($mmol/mmol\ glc$)]],Table1[Flux in SC / glucose uptake ($mmol/mmol\ glc$)])</f>
        <v>1310.5</v>
      </c>
      <c r="H1229">
        <f>_xlfn.RANK.AVG(Table1[[#This Row],[Flux in RT / glucose uptake ($mmol/mmol\ glc$)]],Table1[Flux in RT / glucose uptake ($mmol/mmol\ glc$)])</f>
        <v>1290.5</v>
      </c>
      <c r="I1229" t="e">
        <f>LOG(Table1[[#This Row],[Flux in SC / glucose uptake ($mmol/mmol\ glc$)]])</f>
        <v>#NUM!</v>
      </c>
      <c r="J1229" t="e">
        <f>LOG(Table1[[#This Row],[Flux in RT / glucose uptake ($mmol/mmol\ glc$)]])</f>
        <v>#NUM!</v>
      </c>
    </row>
    <row r="1230" spans="1:10" x14ac:dyDescent="0.2">
      <c r="A1230" t="s">
        <v>1233</v>
      </c>
      <c r="B1230">
        <v>0</v>
      </c>
      <c r="C1230">
        <v>0</v>
      </c>
      <c r="D1230">
        <v>0</v>
      </c>
      <c r="E1230">
        <f>ABS(Table1[[#This Row],[Flux in SC / glucose uptake ($mmol/mmol\ glc$)]]-Table1[[#This Row],[Flux in RT / glucose uptake ($mmol/mmol\ glc$)]])/SQRT(2)</f>
        <v>0</v>
      </c>
      <c r="F1230">
        <f>Table1[[#This Row],[distance from 45-degree line]]/MAX(Table1[[Flux in SC / glucose uptake ($mmol/mmol\ glc$)]:[Flux in RT / glucose uptake ($mmol/mmol\ glc$)]])</f>
        <v>0</v>
      </c>
      <c r="G1230">
        <f>_xlfn.RANK.AVG(Table1[[#This Row],[Flux in SC / glucose uptake ($mmol/mmol\ glc$)]],Table1[Flux in SC / glucose uptake ($mmol/mmol\ glc$)])</f>
        <v>1310.5</v>
      </c>
      <c r="H1230">
        <f>_xlfn.RANK.AVG(Table1[[#This Row],[Flux in RT / glucose uptake ($mmol/mmol\ glc$)]],Table1[Flux in RT / glucose uptake ($mmol/mmol\ glc$)])</f>
        <v>1290.5</v>
      </c>
      <c r="I1230" t="e">
        <f>LOG(Table1[[#This Row],[Flux in SC / glucose uptake ($mmol/mmol\ glc$)]])</f>
        <v>#NUM!</v>
      </c>
      <c r="J1230" t="e">
        <f>LOG(Table1[[#This Row],[Flux in RT / glucose uptake ($mmol/mmol\ glc$)]])</f>
        <v>#NUM!</v>
      </c>
    </row>
    <row r="1231" spans="1:10" x14ac:dyDescent="0.2">
      <c r="A1231" t="s">
        <v>1234</v>
      </c>
      <c r="B1231">
        <v>0</v>
      </c>
      <c r="C1231">
        <v>0</v>
      </c>
      <c r="D1231">
        <v>0</v>
      </c>
      <c r="E1231">
        <f>ABS(Table1[[#This Row],[Flux in SC / glucose uptake ($mmol/mmol\ glc$)]]-Table1[[#This Row],[Flux in RT / glucose uptake ($mmol/mmol\ glc$)]])/SQRT(2)</f>
        <v>0</v>
      </c>
      <c r="F1231">
        <f>Table1[[#This Row],[distance from 45-degree line]]/MAX(Table1[[Flux in SC / glucose uptake ($mmol/mmol\ glc$)]:[Flux in RT / glucose uptake ($mmol/mmol\ glc$)]])</f>
        <v>0</v>
      </c>
      <c r="G1231">
        <f>_xlfn.RANK.AVG(Table1[[#This Row],[Flux in SC / glucose uptake ($mmol/mmol\ glc$)]],Table1[Flux in SC / glucose uptake ($mmol/mmol\ glc$)])</f>
        <v>1310.5</v>
      </c>
      <c r="H1231">
        <f>_xlfn.RANK.AVG(Table1[[#This Row],[Flux in RT / glucose uptake ($mmol/mmol\ glc$)]],Table1[Flux in RT / glucose uptake ($mmol/mmol\ glc$)])</f>
        <v>1290.5</v>
      </c>
      <c r="I1231" t="e">
        <f>LOG(Table1[[#This Row],[Flux in SC / glucose uptake ($mmol/mmol\ glc$)]])</f>
        <v>#NUM!</v>
      </c>
      <c r="J1231" t="e">
        <f>LOG(Table1[[#This Row],[Flux in RT / glucose uptake ($mmol/mmol\ glc$)]])</f>
        <v>#NUM!</v>
      </c>
    </row>
    <row r="1232" spans="1:10" x14ac:dyDescent="0.2">
      <c r="A1232" t="s">
        <v>1235</v>
      </c>
      <c r="B1232">
        <v>0</v>
      </c>
      <c r="C1232">
        <v>0</v>
      </c>
      <c r="D1232">
        <v>0</v>
      </c>
      <c r="E1232">
        <f>ABS(Table1[[#This Row],[Flux in SC / glucose uptake ($mmol/mmol\ glc$)]]-Table1[[#This Row],[Flux in RT / glucose uptake ($mmol/mmol\ glc$)]])/SQRT(2)</f>
        <v>0</v>
      </c>
      <c r="F1232">
        <f>Table1[[#This Row],[distance from 45-degree line]]/MAX(Table1[[Flux in SC / glucose uptake ($mmol/mmol\ glc$)]:[Flux in RT / glucose uptake ($mmol/mmol\ glc$)]])</f>
        <v>0</v>
      </c>
      <c r="G1232">
        <f>_xlfn.RANK.AVG(Table1[[#This Row],[Flux in SC / glucose uptake ($mmol/mmol\ glc$)]],Table1[Flux in SC / glucose uptake ($mmol/mmol\ glc$)])</f>
        <v>1310.5</v>
      </c>
      <c r="H1232">
        <f>_xlfn.RANK.AVG(Table1[[#This Row],[Flux in RT / glucose uptake ($mmol/mmol\ glc$)]],Table1[Flux in RT / glucose uptake ($mmol/mmol\ glc$)])</f>
        <v>1290.5</v>
      </c>
      <c r="I1232" t="e">
        <f>LOG(Table1[[#This Row],[Flux in SC / glucose uptake ($mmol/mmol\ glc$)]])</f>
        <v>#NUM!</v>
      </c>
      <c r="J1232" t="e">
        <f>LOG(Table1[[#This Row],[Flux in RT / glucose uptake ($mmol/mmol\ glc$)]])</f>
        <v>#NUM!</v>
      </c>
    </row>
    <row r="1233" spans="1:10" x14ac:dyDescent="0.2">
      <c r="A1233" t="s">
        <v>1236</v>
      </c>
      <c r="B1233">
        <v>0</v>
      </c>
      <c r="C1233">
        <v>0</v>
      </c>
      <c r="D1233">
        <v>0</v>
      </c>
      <c r="E1233">
        <f>ABS(Table1[[#This Row],[Flux in SC / glucose uptake ($mmol/mmol\ glc$)]]-Table1[[#This Row],[Flux in RT / glucose uptake ($mmol/mmol\ glc$)]])/SQRT(2)</f>
        <v>0</v>
      </c>
      <c r="F1233">
        <f>Table1[[#This Row],[distance from 45-degree line]]/MAX(Table1[[Flux in SC / glucose uptake ($mmol/mmol\ glc$)]:[Flux in RT / glucose uptake ($mmol/mmol\ glc$)]])</f>
        <v>0</v>
      </c>
      <c r="G1233">
        <f>_xlfn.RANK.AVG(Table1[[#This Row],[Flux in SC / glucose uptake ($mmol/mmol\ glc$)]],Table1[Flux in SC / glucose uptake ($mmol/mmol\ glc$)])</f>
        <v>1310.5</v>
      </c>
      <c r="H1233">
        <f>_xlfn.RANK.AVG(Table1[[#This Row],[Flux in RT / glucose uptake ($mmol/mmol\ glc$)]],Table1[Flux in RT / glucose uptake ($mmol/mmol\ glc$)])</f>
        <v>1290.5</v>
      </c>
      <c r="I1233" t="e">
        <f>LOG(Table1[[#This Row],[Flux in SC / glucose uptake ($mmol/mmol\ glc$)]])</f>
        <v>#NUM!</v>
      </c>
      <c r="J1233" t="e">
        <f>LOG(Table1[[#This Row],[Flux in RT / glucose uptake ($mmol/mmol\ glc$)]])</f>
        <v>#NUM!</v>
      </c>
    </row>
    <row r="1234" spans="1:10" x14ac:dyDescent="0.2">
      <c r="A1234" t="s">
        <v>1237</v>
      </c>
      <c r="B1234">
        <v>0</v>
      </c>
      <c r="C1234">
        <v>0</v>
      </c>
      <c r="D1234">
        <v>0</v>
      </c>
      <c r="E1234">
        <f>ABS(Table1[[#This Row],[Flux in SC / glucose uptake ($mmol/mmol\ glc$)]]-Table1[[#This Row],[Flux in RT / glucose uptake ($mmol/mmol\ glc$)]])/SQRT(2)</f>
        <v>0</v>
      </c>
      <c r="F1234">
        <f>Table1[[#This Row],[distance from 45-degree line]]/MAX(Table1[[Flux in SC / glucose uptake ($mmol/mmol\ glc$)]:[Flux in RT / glucose uptake ($mmol/mmol\ glc$)]])</f>
        <v>0</v>
      </c>
      <c r="G1234">
        <f>_xlfn.RANK.AVG(Table1[[#This Row],[Flux in SC / glucose uptake ($mmol/mmol\ glc$)]],Table1[Flux in SC / glucose uptake ($mmol/mmol\ glc$)])</f>
        <v>1310.5</v>
      </c>
      <c r="H1234">
        <f>_xlfn.RANK.AVG(Table1[[#This Row],[Flux in RT / glucose uptake ($mmol/mmol\ glc$)]],Table1[Flux in RT / glucose uptake ($mmol/mmol\ glc$)])</f>
        <v>1290.5</v>
      </c>
      <c r="I1234" t="e">
        <f>LOG(Table1[[#This Row],[Flux in SC / glucose uptake ($mmol/mmol\ glc$)]])</f>
        <v>#NUM!</v>
      </c>
      <c r="J1234" t="e">
        <f>LOG(Table1[[#This Row],[Flux in RT / glucose uptake ($mmol/mmol\ glc$)]])</f>
        <v>#NUM!</v>
      </c>
    </row>
    <row r="1235" spans="1:10" x14ac:dyDescent="0.2">
      <c r="A1235" t="s">
        <v>1238</v>
      </c>
      <c r="B1235">
        <v>0</v>
      </c>
      <c r="C1235">
        <v>0</v>
      </c>
      <c r="D1235">
        <v>0</v>
      </c>
      <c r="E1235">
        <f>ABS(Table1[[#This Row],[Flux in SC / glucose uptake ($mmol/mmol\ glc$)]]-Table1[[#This Row],[Flux in RT / glucose uptake ($mmol/mmol\ glc$)]])/SQRT(2)</f>
        <v>0</v>
      </c>
      <c r="F1235">
        <f>Table1[[#This Row],[distance from 45-degree line]]/MAX(Table1[[Flux in SC / glucose uptake ($mmol/mmol\ glc$)]:[Flux in RT / glucose uptake ($mmol/mmol\ glc$)]])</f>
        <v>0</v>
      </c>
      <c r="G1235">
        <f>_xlfn.RANK.AVG(Table1[[#This Row],[Flux in SC / glucose uptake ($mmol/mmol\ glc$)]],Table1[Flux in SC / glucose uptake ($mmol/mmol\ glc$)])</f>
        <v>1310.5</v>
      </c>
      <c r="H1235">
        <f>_xlfn.RANK.AVG(Table1[[#This Row],[Flux in RT / glucose uptake ($mmol/mmol\ glc$)]],Table1[Flux in RT / glucose uptake ($mmol/mmol\ glc$)])</f>
        <v>1290.5</v>
      </c>
      <c r="I1235" t="e">
        <f>LOG(Table1[[#This Row],[Flux in SC / glucose uptake ($mmol/mmol\ glc$)]])</f>
        <v>#NUM!</v>
      </c>
      <c r="J1235" t="e">
        <f>LOG(Table1[[#This Row],[Flux in RT / glucose uptake ($mmol/mmol\ glc$)]])</f>
        <v>#NUM!</v>
      </c>
    </row>
    <row r="1236" spans="1:10" x14ac:dyDescent="0.2">
      <c r="A1236" t="s">
        <v>1239</v>
      </c>
      <c r="B1236">
        <v>0</v>
      </c>
      <c r="C1236">
        <v>0</v>
      </c>
      <c r="D1236">
        <v>0</v>
      </c>
      <c r="E1236">
        <f>ABS(Table1[[#This Row],[Flux in SC / glucose uptake ($mmol/mmol\ glc$)]]-Table1[[#This Row],[Flux in RT / glucose uptake ($mmol/mmol\ glc$)]])/SQRT(2)</f>
        <v>0</v>
      </c>
      <c r="F1236">
        <f>Table1[[#This Row],[distance from 45-degree line]]/MAX(Table1[[Flux in SC / glucose uptake ($mmol/mmol\ glc$)]:[Flux in RT / glucose uptake ($mmol/mmol\ glc$)]])</f>
        <v>0</v>
      </c>
      <c r="G1236">
        <f>_xlfn.RANK.AVG(Table1[[#This Row],[Flux in SC / glucose uptake ($mmol/mmol\ glc$)]],Table1[Flux in SC / glucose uptake ($mmol/mmol\ glc$)])</f>
        <v>1310.5</v>
      </c>
      <c r="H1236">
        <f>_xlfn.RANK.AVG(Table1[[#This Row],[Flux in RT / glucose uptake ($mmol/mmol\ glc$)]],Table1[Flux in RT / glucose uptake ($mmol/mmol\ glc$)])</f>
        <v>1290.5</v>
      </c>
      <c r="I1236" t="e">
        <f>LOG(Table1[[#This Row],[Flux in SC / glucose uptake ($mmol/mmol\ glc$)]])</f>
        <v>#NUM!</v>
      </c>
      <c r="J1236" t="e">
        <f>LOG(Table1[[#This Row],[Flux in RT / glucose uptake ($mmol/mmol\ glc$)]])</f>
        <v>#NUM!</v>
      </c>
    </row>
    <row r="1237" spans="1:10" x14ac:dyDescent="0.2">
      <c r="A1237" t="s">
        <v>1240</v>
      </c>
      <c r="B1237">
        <v>0</v>
      </c>
      <c r="C1237">
        <v>0</v>
      </c>
      <c r="D1237">
        <v>0</v>
      </c>
      <c r="E1237">
        <f>ABS(Table1[[#This Row],[Flux in SC / glucose uptake ($mmol/mmol\ glc$)]]-Table1[[#This Row],[Flux in RT / glucose uptake ($mmol/mmol\ glc$)]])/SQRT(2)</f>
        <v>0</v>
      </c>
      <c r="F1237">
        <f>Table1[[#This Row],[distance from 45-degree line]]/MAX(Table1[[Flux in SC / glucose uptake ($mmol/mmol\ glc$)]:[Flux in RT / glucose uptake ($mmol/mmol\ glc$)]])</f>
        <v>0</v>
      </c>
      <c r="G1237">
        <f>_xlfn.RANK.AVG(Table1[[#This Row],[Flux in SC / glucose uptake ($mmol/mmol\ glc$)]],Table1[Flux in SC / glucose uptake ($mmol/mmol\ glc$)])</f>
        <v>1310.5</v>
      </c>
      <c r="H1237">
        <f>_xlfn.RANK.AVG(Table1[[#This Row],[Flux in RT / glucose uptake ($mmol/mmol\ glc$)]],Table1[Flux in RT / glucose uptake ($mmol/mmol\ glc$)])</f>
        <v>1290.5</v>
      </c>
      <c r="I1237" t="e">
        <f>LOG(Table1[[#This Row],[Flux in SC / glucose uptake ($mmol/mmol\ glc$)]])</f>
        <v>#NUM!</v>
      </c>
      <c r="J1237" t="e">
        <f>LOG(Table1[[#This Row],[Flux in RT / glucose uptake ($mmol/mmol\ glc$)]])</f>
        <v>#NUM!</v>
      </c>
    </row>
    <row r="1238" spans="1:10" x14ac:dyDescent="0.2">
      <c r="A1238" t="s">
        <v>1241</v>
      </c>
      <c r="B1238">
        <v>0</v>
      </c>
      <c r="C1238">
        <v>0</v>
      </c>
      <c r="D1238">
        <v>0</v>
      </c>
      <c r="E1238">
        <f>ABS(Table1[[#This Row],[Flux in SC / glucose uptake ($mmol/mmol\ glc$)]]-Table1[[#This Row],[Flux in RT / glucose uptake ($mmol/mmol\ glc$)]])/SQRT(2)</f>
        <v>0</v>
      </c>
      <c r="F1238">
        <f>Table1[[#This Row],[distance from 45-degree line]]/MAX(Table1[[Flux in SC / glucose uptake ($mmol/mmol\ glc$)]:[Flux in RT / glucose uptake ($mmol/mmol\ glc$)]])</f>
        <v>0</v>
      </c>
      <c r="G1238">
        <f>_xlfn.RANK.AVG(Table1[[#This Row],[Flux in SC / glucose uptake ($mmol/mmol\ glc$)]],Table1[Flux in SC / glucose uptake ($mmol/mmol\ glc$)])</f>
        <v>1310.5</v>
      </c>
      <c r="H1238">
        <f>_xlfn.RANK.AVG(Table1[[#This Row],[Flux in RT / glucose uptake ($mmol/mmol\ glc$)]],Table1[Flux in RT / glucose uptake ($mmol/mmol\ glc$)])</f>
        <v>1290.5</v>
      </c>
      <c r="I1238" t="e">
        <f>LOG(Table1[[#This Row],[Flux in SC / glucose uptake ($mmol/mmol\ glc$)]])</f>
        <v>#NUM!</v>
      </c>
      <c r="J1238" t="e">
        <f>LOG(Table1[[#This Row],[Flux in RT / glucose uptake ($mmol/mmol\ glc$)]])</f>
        <v>#NUM!</v>
      </c>
    </row>
    <row r="1239" spans="1:10" x14ac:dyDescent="0.2">
      <c r="A1239" t="s">
        <v>1242</v>
      </c>
      <c r="B1239">
        <v>0</v>
      </c>
      <c r="C1239">
        <v>0</v>
      </c>
      <c r="D1239">
        <v>0</v>
      </c>
      <c r="E1239">
        <f>ABS(Table1[[#This Row],[Flux in SC / glucose uptake ($mmol/mmol\ glc$)]]-Table1[[#This Row],[Flux in RT / glucose uptake ($mmol/mmol\ glc$)]])/SQRT(2)</f>
        <v>0</v>
      </c>
      <c r="F1239">
        <f>Table1[[#This Row],[distance from 45-degree line]]/MAX(Table1[[Flux in SC / glucose uptake ($mmol/mmol\ glc$)]:[Flux in RT / glucose uptake ($mmol/mmol\ glc$)]])</f>
        <v>0</v>
      </c>
      <c r="G1239">
        <f>_xlfn.RANK.AVG(Table1[[#This Row],[Flux in SC / glucose uptake ($mmol/mmol\ glc$)]],Table1[Flux in SC / glucose uptake ($mmol/mmol\ glc$)])</f>
        <v>1310.5</v>
      </c>
      <c r="H1239">
        <f>_xlfn.RANK.AVG(Table1[[#This Row],[Flux in RT / glucose uptake ($mmol/mmol\ glc$)]],Table1[Flux in RT / glucose uptake ($mmol/mmol\ glc$)])</f>
        <v>1290.5</v>
      </c>
      <c r="I1239" t="e">
        <f>LOG(Table1[[#This Row],[Flux in SC / glucose uptake ($mmol/mmol\ glc$)]])</f>
        <v>#NUM!</v>
      </c>
      <c r="J1239" t="e">
        <f>LOG(Table1[[#This Row],[Flux in RT / glucose uptake ($mmol/mmol\ glc$)]])</f>
        <v>#NUM!</v>
      </c>
    </row>
    <row r="1240" spans="1:10" x14ac:dyDescent="0.2">
      <c r="A1240" t="s">
        <v>1243</v>
      </c>
      <c r="B1240">
        <v>0</v>
      </c>
      <c r="C1240">
        <v>0</v>
      </c>
      <c r="D1240">
        <v>0</v>
      </c>
      <c r="E1240">
        <f>ABS(Table1[[#This Row],[Flux in SC / glucose uptake ($mmol/mmol\ glc$)]]-Table1[[#This Row],[Flux in RT / glucose uptake ($mmol/mmol\ glc$)]])/SQRT(2)</f>
        <v>0</v>
      </c>
      <c r="F1240">
        <f>Table1[[#This Row],[distance from 45-degree line]]/MAX(Table1[[Flux in SC / glucose uptake ($mmol/mmol\ glc$)]:[Flux in RT / glucose uptake ($mmol/mmol\ glc$)]])</f>
        <v>0</v>
      </c>
      <c r="G1240">
        <f>_xlfn.RANK.AVG(Table1[[#This Row],[Flux in SC / glucose uptake ($mmol/mmol\ glc$)]],Table1[Flux in SC / glucose uptake ($mmol/mmol\ glc$)])</f>
        <v>1310.5</v>
      </c>
      <c r="H1240">
        <f>_xlfn.RANK.AVG(Table1[[#This Row],[Flux in RT / glucose uptake ($mmol/mmol\ glc$)]],Table1[Flux in RT / glucose uptake ($mmol/mmol\ glc$)])</f>
        <v>1290.5</v>
      </c>
      <c r="I1240" t="e">
        <f>LOG(Table1[[#This Row],[Flux in SC / glucose uptake ($mmol/mmol\ glc$)]])</f>
        <v>#NUM!</v>
      </c>
      <c r="J1240" t="e">
        <f>LOG(Table1[[#This Row],[Flux in RT / glucose uptake ($mmol/mmol\ glc$)]])</f>
        <v>#NUM!</v>
      </c>
    </row>
    <row r="1241" spans="1:10" x14ac:dyDescent="0.2">
      <c r="A1241" t="s">
        <v>1244</v>
      </c>
      <c r="B1241">
        <v>0</v>
      </c>
      <c r="C1241">
        <v>0</v>
      </c>
      <c r="D1241">
        <v>0</v>
      </c>
      <c r="E1241">
        <f>ABS(Table1[[#This Row],[Flux in SC / glucose uptake ($mmol/mmol\ glc$)]]-Table1[[#This Row],[Flux in RT / glucose uptake ($mmol/mmol\ glc$)]])/SQRT(2)</f>
        <v>0</v>
      </c>
      <c r="F1241">
        <f>Table1[[#This Row],[distance from 45-degree line]]/MAX(Table1[[Flux in SC / glucose uptake ($mmol/mmol\ glc$)]:[Flux in RT / glucose uptake ($mmol/mmol\ glc$)]])</f>
        <v>0</v>
      </c>
      <c r="G1241">
        <f>_xlfn.RANK.AVG(Table1[[#This Row],[Flux in SC / glucose uptake ($mmol/mmol\ glc$)]],Table1[Flux in SC / glucose uptake ($mmol/mmol\ glc$)])</f>
        <v>1310.5</v>
      </c>
      <c r="H1241">
        <f>_xlfn.RANK.AVG(Table1[[#This Row],[Flux in RT / glucose uptake ($mmol/mmol\ glc$)]],Table1[Flux in RT / glucose uptake ($mmol/mmol\ glc$)])</f>
        <v>1290.5</v>
      </c>
      <c r="I1241" t="e">
        <f>LOG(Table1[[#This Row],[Flux in SC / glucose uptake ($mmol/mmol\ glc$)]])</f>
        <v>#NUM!</v>
      </c>
      <c r="J1241" t="e">
        <f>LOG(Table1[[#This Row],[Flux in RT / glucose uptake ($mmol/mmol\ glc$)]])</f>
        <v>#NUM!</v>
      </c>
    </row>
    <row r="1242" spans="1:10" x14ac:dyDescent="0.2">
      <c r="A1242" t="s">
        <v>1245</v>
      </c>
      <c r="B1242">
        <v>0</v>
      </c>
      <c r="C1242">
        <v>0</v>
      </c>
      <c r="D1242">
        <v>0</v>
      </c>
      <c r="E1242">
        <f>ABS(Table1[[#This Row],[Flux in SC / glucose uptake ($mmol/mmol\ glc$)]]-Table1[[#This Row],[Flux in RT / glucose uptake ($mmol/mmol\ glc$)]])/SQRT(2)</f>
        <v>0</v>
      </c>
      <c r="F1242">
        <f>Table1[[#This Row],[distance from 45-degree line]]/MAX(Table1[[Flux in SC / glucose uptake ($mmol/mmol\ glc$)]:[Flux in RT / glucose uptake ($mmol/mmol\ glc$)]])</f>
        <v>0</v>
      </c>
      <c r="G1242">
        <f>_xlfn.RANK.AVG(Table1[[#This Row],[Flux in SC / glucose uptake ($mmol/mmol\ glc$)]],Table1[Flux in SC / glucose uptake ($mmol/mmol\ glc$)])</f>
        <v>1310.5</v>
      </c>
      <c r="H1242">
        <f>_xlfn.RANK.AVG(Table1[[#This Row],[Flux in RT / glucose uptake ($mmol/mmol\ glc$)]],Table1[Flux in RT / glucose uptake ($mmol/mmol\ glc$)])</f>
        <v>1290.5</v>
      </c>
      <c r="I1242" t="e">
        <f>LOG(Table1[[#This Row],[Flux in SC / glucose uptake ($mmol/mmol\ glc$)]])</f>
        <v>#NUM!</v>
      </c>
      <c r="J1242" t="e">
        <f>LOG(Table1[[#This Row],[Flux in RT / glucose uptake ($mmol/mmol\ glc$)]])</f>
        <v>#NUM!</v>
      </c>
    </row>
    <row r="1243" spans="1:10" x14ac:dyDescent="0.2">
      <c r="A1243" t="s">
        <v>1246</v>
      </c>
      <c r="B1243">
        <v>0</v>
      </c>
      <c r="C1243">
        <v>0</v>
      </c>
      <c r="D1243">
        <v>0</v>
      </c>
      <c r="E1243">
        <f>ABS(Table1[[#This Row],[Flux in SC / glucose uptake ($mmol/mmol\ glc$)]]-Table1[[#This Row],[Flux in RT / glucose uptake ($mmol/mmol\ glc$)]])/SQRT(2)</f>
        <v>0</v>
      </c>
      <c r="F1243">
        <f>Table1[[#This Row],[distance from 45-degree line]]/MAX(Table1[[Flux in SC / glucose uptake ($mmol/mmol\ glc$)]:[Flux in RT / glucose uptake ($mmol/mmol\ glc$)]])</f>
        <v>0</v>
      </c>
      <c r="G1243">
        <f>_xlfn.RANK.AVG(Table1[[#This Row],[Flux in SC / glucose uptake ($mmol/mmol\ glc$)]],Table1[Flux in SC / glucose uptake ($mmol/mmol\ glc$)])</f>
        <v>1310.5</v>
      </c>
      <c r="H1243">
        <f>_xlfn.RANK.AVG(Table1[[#This Row],[Flux in RT / glucose uptake ($mmol/mmol\ glc$)]],Table1[Flux in RT / glucose uptake ($mmol/mmol\ glc$)])</f>
        <v>1290.5</v>
      </c>
      <c r="I1243" t="e">
        <f>LOG(Table1[[#This Row],[Flux in SC / glucose uptake ($mmol/mmol\ glc$)]])</f>
        <v>#NUM!</v>
      </c>
      <c r="J1243" t="e">
        <f>LOG(Table1[[#This Row],[Flux in RT / glucose uptake ($mmol/mmol\ glc$)]])</f>
        <v>#NUM!</v>
      </c>
    </row>
    <row r="1244" spans="1:10" x14ac:dyDescent="0.2">
      <c r="A1244" t="s">
        <v>1247</v>
      </c>
      <c r="B1244">
        <v>0</v>
      </c>
      <c r="C1244">
        <v>0</v>
      </c>
      <c r="D1244">
        <v>0</v>
      </c>
      <c r="E1244">
        <f>ABS(Table1[[#This Row],[Flux in SC / glucose uptake ($mmol/mmol\ glc$)]]-Table1[[#This Row],[Flux in RT / glucose uptake ($mmol/mmol\ glc$)]])/SQRT(2)</f>
        <v>0</v>
      </c>
      <c r="F1244">
        <f>Table1[[#This Row],[distance from 45-degree line]]/MAX(Table1[[Flux in SC / glucose uptake ($mmol/mmol\ glc$)]:[Flux in RT / glucose uptake ($mmol/mmol\ glc$)]])</f>
        <v>0</v>
      </c>
      <c r="G1244">
        <f>_xlfn.RANK.AVG(Table1[[#This Row],[Flux in SC / glucose uptake ($mmol/mmol\ glc$)]],Table1[Flux in SC / glucose uptake ($mmol/mmol\ glc$)])</f>
        <v>1310.5</v>
      </c>
      <c r="H1244">
        <f>_xlfn.RANK.AVG(Table1[[#This Row],[Flux in RT / glucose uptake ($mmol/mmol\ glc$)]],Table1[Flux in RT / glucose uptake ($mmol/mmol\ glc$)])</f>
        <v>1290.5</v>
      </c>
      <c r="I1244" t="e">
        <f>LOG(Table1[[#This Row],[Flux in SC / glucose uptake ($mmol/mmol\ glc$)]])</f>
        <v>#NUM!</v>
      </c>
      <c r="J1244" t="e">
        <f>LOG(Table1[[#This Row],[Flux in RT / glucose uptake ($mmol/mmol\ glc$)]])</f>
        <v>#NUM!</v>
      </c>
    </row>
    <row r="1245" spans="1:10" x14ac:dyDescent="0.2">
      <c r="A1245" t="s">
        <v>1248</v>
      </c>
      <c r="B1245">
        <v>0</v>
      </c>
      <c r="C1245">
        <v>0</v>
      </c>
      <c r="D1245">
        <v>0</v>
      </c>
      <c r="E1245">
        <f>ABS(Table1[[#This Row],[Flux in SC / glucose uptake ($mmol/mmol\ glc$)]]-Table1[[#This Row],[Flux in RT / glucose uptake ($mmol/mmol\ glc$)]])/SQRT(2)</f>
        <v>0</v>
      </c>
      <c r="F1245">
        <f>Table1[[#This Row],[distance from 45-degree line]]/MAX(Table1[[Flux in SC / glucose uptake ($mmol/mmol\ glc$)]:[Flux in RT / glucose uptake ($mmol/mmol\ glc$)]])</f>
        <v>0</v>
      </c>
      <c r="G1245">
        <f>_xlfn.RANK.AVG(Table1[[#This Row],[Flux in SC / glucose uptake ($mmol/mmol\ glc$)]],Table1[Flux in SC / glucose uptake ($mmol/mmol\ glc$)])</f>
        <v>1310.5</v>
      </c>
      <c r="H1245">
        <f>_xlfn.RANK.AVG(Table1[[#This Row],[Flux in RT / glucose uptake ($mmol/mmol\ glc$)]],Table1[Flux in RT / glucose uptake ($mmol/mmol\ glc$)])</f>
        <v>1290.5</v>
      </c>
      <c r="I1245" t="e">
        <f>LOG(Table1[[#This Row],[Flux in SC / glucose uptake ($mmol/mmol\ glc$)]])</f>
        <v>#NUM!</v>
      </c>
      <c r="J1245" t="e">
        <f>LOG(Table1[[#This Row],[Flux in RT / glucose uptake ($mmol/mmol\ glc$)]])</f>
        <v>#NUM!</v>
      </c>
    </row>
    <row r="1246" spans="1:10" x14ac:dyDescent="0.2">
      <c r="A1246" t="s">
        <v>1249</v>
      </c>
      <c r="B1246" t="s">
        <v>3119</v>
      </c>
      <c r="C1246">
        <v>1.9904670694253902E-4</v>
      </c>
      <c r="D1246">
        <v>1.1734332811037241E-3</v>
      </c>
      <c r="E1246">
        <f>ABS(Table1[[#This Row],[Flux in SC / glucose uptake ($mmol/mmol\ glc$)]]-Table1[[#This Row],[Flux in RT / glucose uptake ($mmol/mmol\ glc$)]])/SQRT(2)</f>
        <v>6.8899535408650271E-4</v>
      </c>
      <c r="F1246">
        <f>Table1[[#This Row],[distance from 45-degree line]]/MAX(Table1[[Flux in SC / glucose uptake ($mmol/mmol\ glc$)]:[Flux in RT / glucose uptake ($mmol/mmol\ glc$)]])</f>
        <v>3.7136063396131692E-5</v>
      </c>
      <c r="G1246">
        <f>_xlfn.RANK.AVG(Table1[[#This Row],[Flux in SC / glucose uptake ($mmol/mmol\ glc$)]],Table1[Flux in SC / glucose uptake ($mmol/mmol\ glc$)])</f>
        <v>258</v>
      </c>
      <c r="H1246">
        <f>_xlfn.RANK.AVG(Table1[[#This Row],[Flux in RT / glucose uptake ($mmol/mmol\ glc$)]],Table1[Flux in RT / glucose uptake ($mmol/mmol\ glc$)])</f>
        <v>254</v>
      </c>
      <c r="I1246">
        <f>LOG(Table1[[#This Row],[Flux in SC / glucose uptake ($mmol/mmol\ glc$)]])</f>
        <v>-3.7010450030510671</v>
      </c>
      <c r="J1246">
        <f>LOG(Table1[[#This Row],[Flux in RT / glucose uptake ($mmol/mmol\ glc$)]])</f>
        <v>-2.9305415984149601</v>
      </c>
    </row>
    <row r="1247" spans="1:10" x14ac:dyDescent="0.2">
      <c r="A1247" t="s">
        <v>1250</v>
      </c>
      <c r="B1247" t="s">
        <v>3136</v>
      </c>
      <c r="C1247">
        <v>0</v>
      </c>
      <c r="D1247">
        <v>0</v>
      </c>
      <c r="E1247">
        <f>ABS(Table1[[#This Row],[Flux in SC / glucose uptake ($mmol/mmol\ glc$)]]-Table1[[#This Row],[Flux in RT / glucose uptake ($mmol/mmol\ glc$)]])/SQRT(2)</f>
        <v>0</v>
      </c>
      <c r="F1247">
        <f>Table1[[#This Row],[distance from 45-degree line]]/MAX(Table1[[Flux in SC / glucose uptake ($mmol/mmol\ glc$)]:[Flux in RT / glucose uptake ($mmol/mmol\ glc$)]])</f>
        <v>0</v>
      </c>
      <c r="G1247">
        <f>_xlfn.RANK.AVG(Table1[[#This Row],[Flux in SC / glucose uptake ($mmol/mmol\ glc$)]],Table1[Flux in SC / glucose uptake ($mmol/mmol\ glc$)])</f>
        <v>1310.5</v>
      </c>
      <c r="H1247">
        <f>_xlfn.RANK.AVG(Table1[[#This Row],[Flux in RT / glucose uptake ($mmol/mmol\ glc$)]],Table1[Flux in RT / glucose uptake ($mmol/mmol\ glc$)])</f>
        <v>1290.5</v>
      </c>
      <c r="I1247" t="e">
        <f>LOG(Table1[[#This Row],[Flux in SC / glucose uptake ($mmol/mmol\ glc$)]])</f>
        <v>#NUM!</v>
      </c>
      <c r="J1247" t="e">
        <f>LOG(Table1[[#This Row],[Flux in RT / glucose uptake ($mmol/mmol\ glc$)]])</f>
        <v>#NUM!</v>
      </c>
    </row>
    <row r="1248" spans="1:10" x14ac:dyDescent="0.2">
      <c r="A1248" t="s">
        <v>1251</v>
      </c>
      <c r="B1248" t="s">
        <v>3136</v>
      </c>
      <c r="C1248">
        <v>0</v>
      </c>
      <c r="D1248">
        <v>0</v>
      </c>
      <c r="E1248">
        <f>ABS(Table1[[#This Row],[Flux in SC / glucose uptake ($mmol/mmol\ glc$)]]-Table1[[#This Row],[Flux in RT / glucose uptake ($mmol/mmol\ glc$)]])/SQRT(2)</f>
        <v>0</v>
      </c>
      <c r="F1248">
        <f>Table1[[#This Row],[distance from 45-degree line]]/MAX(Table1[[Flux in SC / glucose uptake ($mmol/mmol\ glc$)]:[Flux in RT / glucose uptake ($mmol/mmol\ glc$)]])</f>
        <v>0</v>
      </c>
      <c r="G1248">
        <f>_xlfn.RANK.AVG(Table1[[#This Row],[Flux in SC / glucose uptake ($mmol/mmol\ glc$)]],Table1[Flux in SC / glucose uptake ($mmol/mmol\ glc$)])</f>
        <v>1310.5</v>
      </c>
      <c r="H1248">
        <f>_xlfn.RANK.AVG(Table1[[#This Row],[Flux in RT / glucose uptake ($mmol/mmol\ glc$)]],Table1[Flux in RT / glucose uptake ($mmol/mmol\ glc$)])</f>
        <v>1290.5</v>
      </c>
      <c r="I1248" t="e">
        <f>LOG(Table1[[#This Row],[Flux in SC / glucose uptake ($mmol/mmol\ glc$)]])</f>
        <v>#NUM!</v>
      </c>
      <c r="J1248" t="e">
        <f>LOG(Table1[[#This Row],[Flux in RT / glucose uptake ($mmol/mmol\ glc$)]])</f>
        <v>#NUM!</v>
      </c>
    </row>
    <row r="1249" spans="1:10" x14ac:dyDescent="0.2">
      <c r="A1249" t="s">
        <v>1252</v>
      </c>
      <c r="B1249" t="s">
        <v>3131</v>
      </c>
      <c r="C1249">
        <v>8.0799986956675424E-2</v>
      </c>
      <c r="D1249">
        <v>0.6438243941716475</v>
      </c>
      <c r="E1249">
        <f>ABS(Table1[[#This Row],[Flux in SC / glucose uptake ($mmol/mmol\ glc$)]]-Table1[[#This Row],[Flux in RT / glucose uptake ($mmol/mmol\ glc$)]])/SQRT(2)</f>
        <v>0.39811837631524283</v>
      </c>
      <c r="F1249">
        <f>Table1[[#This Row],[distance from 45-degree line]]/MAX(Table1[[Flux in SC / glucose uptake ($mmol/mmol\ glc$)]:[Flux in RT / glucose uptake ($mmol/mmol\ glc$)]])</f>
        <v>2.145812620407261E-2</v>
      </c>
      <c r="G1249">
        <f>_xlfn.RANK.AVG(Table1[[#This Row],[Flux in SC / glucose uptake ($mmol/mmol\ glc$)]],Table1[Flux in SC / glucose uptake ($mmol/mmol\ glc$)])</f>
        <v>38</v>
      </c>
      <c r="H1249">
        <f>_xlfn.RANK.AVG(Table1[[#This Row],[Flux in RT / glucose uptake ($mmol/mmol\ glc$)]],Table1[Flux in RT / glucose uptake ($mmol/mmol\ glc$)])</f>
        <v>28</v>
      </c>
      <c r="I1249">
        <f>LOG(Table1[[#This Row],[Flux in SC / glucose uptake ($mmol/mmol\ glc$)]])</f>
        <v>-1.0925887093323983</v>
      </c>
      <c r="J1249">
        <f>LOG(Table1[[#This Row],[Flux in RT / glucose uptake ($mmol/mmol\ glc$)]])</f>
        <v>-0.19123257214647676</v>
      </c>
    </row>
    <row r="1250" spans="1:10" x14ac:dyDescent="0.2">
      <c r="A1250" t="s">
        <v>1253</v>
      </c>
      <c r="B1250" t="s">
        <v>3131</v>
      </c>
      <c r="C1250">
        <v>-2.7170108810897643E-2</v>
      </c>
      <c r="D1250">
        <v>-0.21625042591489821</v>
      </c>
      <c r="E1250">
        <f>ABS(Table1[[#This Row],[Flux in SC / glucose uptake ($mmol/mmol\ glc$)]]-Table1[[#This Row],[Flux in RT / glucose uptake ($mmol/mmol\ glc$)]])/SQRT(2)</f>
        <v>0.13369997441314152</v>
      </c>
      <c r="F1250">
        <f>Table1[[#This Row],[distance from 45-degree line]]/MAX(Table1[[Flux in SC / glucose uptake ($mmol/mmol\ glc$)]:[Flux in RT / glucose uptake ($mmol/mmol\ glc$)]])</f>
        <v>7.2062760603814552E-3</v>
      </c>
      <c r="G1250">
        <f>_xlfn.RANK.AVG(Table1[[#This Row],[Flux in SC / glucose uptake ($mmol/mmol\ glc$)]],Table1[Flux in SC / glucose uptake ($mmol/mmol\ glc$)])</f>
        <v>2304.5</v>
      </c>
      <c r="H1250">
        <f>_xlfn.RANK.AVG(Table1[[#This Row],[Flux in RT / glucose uptake ($mmol/mmol\ glc$)]],Table1[Flux in RT / glucose uptake ($mmol/mmol\ glc$)])</f>
        <v>2303.5</v>
      </c>
      <c r="I1250" t="e">
        <f>LOG(Table1[[#This Row],[Flux in SC / glucose uptake ($mmol/mmol\ glc$)]])</f>
        <v>#NUM!</v>
      </c>
      <c r="J1250" t="e">
        <f>LOG(Table1[[#This Row],[Flux in RT / glucose uptake ($mmol/mmol\ glc$)]])</f>
        <v>#NUM!</v>
      </c>
    </row>
    <row r="1251" spans="1:10" x14ac:dyDescent="0.2">
      <c r="A1251" t="s">
        <v>1254</v>
      </c>
      <c r="B1251" t="s">
        <v>3164</v>
      </c>
      <c r="C1251">
        <v>0</v>
      </c>
      <c r="D1251">
        <v>0</v>
      </c>
      <c r="E1251">
        <f>ABS(Table1[[#This Row],[Flux in SC / glucose uptake ($mmol/mmol\ glc$)]]-Table1[[#This Row],[Flux in RT / glucose uptake ($mmol/mmol\ glc$)]])/SQRT(2)</f>
        <v>0</v>
      </c>
      <c r="F1251">
        <f>Table1[[#This Row],[distance from 45-degree line]]/MAX(Table1[[Flux in SC / glucose uptake ($mmol/mmol\ glc$)]:[Flux in RT / glucose uptake ($mmol/mmol\ glc$)]])</f>
        <v>0</v>
      </c>
      <c r="G1251">
        <f>_xlfn.RANK.AVG(Table1[[#This Row],[Flux in SC / glucose uptake ($mmol/mmol\ glc$)]],Table1[Flux in SC / glucose uptake ($mmol/mmol\ glc$)])</f>
        <v>1310.5</v>
      </c>
      <c r="H1251">
        <f>_xlfn.RANK.AVG(Table1[[#This Row],[Flux in RT / glucose uptake ($mmol/mmol\ glc$)]],Table1[Flux in RT / glucose uptake ($mmol/mmol\ glc$)])</f>
        <v>1290.5</v>
      </c>
      <c r="I1251" t="e">
        <f>LOG(Table1[[#This Row],[Flux in SC / glucose uptake ($mmol/mmol\ glc$)]])</f>
        <v>#NUM!</v>
      </c>
      <c r="J1251" t="e">
        <f>LOG(Table1[[#This Row],[Flux in RT / glucose uptake ($mmol/mmol\ glc$)]])</f>
        <v>#NUM!</v>
      </c>
    </row>
    <row r="1252" spans="1:10" x14ac:dyDescent="0.2">
      <c r="A1252" t="s">
        <v>1255</v>
      </c>
      <c r="B1252" t="s">
        <v>3150</v>
      </c>
      <c r="C1252">
        <v>1.3997938133051351E-3</v>
      </c>
      <c r="D1252">
        <v>8.2593377476983584E-3</v>
      </c>
      <c r="E1252">
        <f>ABS(Table1[[#This Row],[Flux in SC / glucose uptake ($mmol/mmol\ glc$)]]-Table1[[#This Row],[Flux in RT / glucose uptake ($mmol/mmol\ glc$)]])/SQRT(2)</f>
        <v>4.8504300318564977E-3</v>
      </c>
      <c r="F1252">
        <f>Table1[[#This Row],[distance from 45-degree line]]/MAX(Table1[[Flux in SC / glucose uptake ($mmol/mmol\ glc$)]:[Flux in RT / glucose uptake ($mmol/mmol\ glc$)]])</f>
        <v>2.6143264405656549E-4</v>
      </c>
      <c r="G1252">
        <f>_xlfn.RANK.AVG(Table1[[#This Row],[Flux in SC / glucose uptake ($mmol/mmol\ glc$)]],Table1[Flux in SC / glucose uptake ($mmol/mmol\ glc$)])</f>
        <v>198</v>
      </c>
      <c r="H1252">
        <f>_xlfn.RANK.AVG(Table1[[#This Row],[Flux in RT / glucose uptake ($mmol/mmol\ glc$)]],Table1[Flux in RT / glucose uptake ($mmol/mmol\ glc$)])</f>
        <v>204</v>
      </c>
      <c r="I1252">
        <f>LOG(Table1[[#This Row],[Flux in SC / glucose uptake ($mmol/mmol\ glc$)]])</f>
        <v>-2.8539359302777965</v>
      </c>
      <c r="J1252">
        <f>LOG(Table1[[#This Row],[Flux in RT / glucose uptake ($mmol/mmol\ glc$)]])</f>
        <v>-2.0830547739932537</v>
      </c>
    </row>
    <row r="1253" spans="1:10" x14ac:dyDescent="0.2">
      <c r="A1253" t="s">
        <v>1256</v>
      </c>
      <c r="B1253" t="s">
        <v>3150</v>
      </c>
      <c r="C1253">
        <v>0</v>
      </c>
      <c r="D1253">
        <v>-1.1322393615907585E-8</v>
      </c>
      <c r="E1253">
        <f>ABS(Table1[[#This Row],[Flux in SC / glucose uptake ($mmol/mmol\ glc$)]]-Table1[[#This Row],[Flux in RT / glucose uptake ($mmol/mmol\ glc$)]])/SQRT(2)</f>
        <v>8.0061413050715265E-9</v>
      </c>
      <c r="F1253">
        <f>Table1[[#This Row],[distance from 45-degree line]]/MAX(Table1[[Flux in SC / glucose uptake ($mmol/mmol\ glc$)]:[Flux in RT / glucose uptake ($mmol/mmol\ glc$)]])</f>
        <v>4.3152188080820775E-10</v>
      </c>
      <c r="G1253">
        <f>_xlfn.RANK.AVG(Table1[[#This Row],[Flux in SC / glucose uptake ($mmol/mmol\ glc$)]],Table1[Flux in SC / glucose uptake ($mmol/mmol\ glc$)])</f>
        <v>1310.5</v>
      </c>
      <c r="H1253">
        <f>_xlfn.RANK.AVG(Table1[[#This Row],[Flux in RT / glucose uptake ($mmol/mmol\ glc$)]],Table1[Flux in RT / glucose uptake ($mmol/mmol\ glc$)])</f>
        <v>2294</v>
      </c>
      <c r="I1253" t="e">
        <f>LOG(Table1[[#This Row],[Flux in SC / glucose uptake ($mmol/mmol\ glc$)]])</f>
        <v>#NUM!</v>
      </c>
      <c r="J1253" t="e">
        <f>LOG(Table1[[#This Row],[Flux in RT / glucose uptake ($mmol/mmol\ glc$)]])</f>
        <v>#NUM!</v>
      </c>
    </row>
    <row r="1254" spans="1:10" x14ac:dyDescent="0.2">
      <c r="A1254" t="s">
        <v>1257</v>
      </c>
      <c r="B1254" t="s">
        <v>3182</v>
      </c>
      <c r="C1254">
        <v>0</v>
      </c>
      <c r="D1254">
        <v>0</v>
      </c>
      <c r="E1254">
        <f>ABS(Table1[[#This Row],[Flux in SC / glucose uptake ($mmol/mmol\ glc$)]]-Table1[[#This Row],[Flux in RT / glucose uptake ($mmol/mmol\ glc$)]])/SQRT(2)</f>
        <v>0</v>
      </c>
      <c r="F1254">
        <f>Table1[[#This Row],[distance from 45-degree line]]/MAX(Table1[[Flux in SC / glucose uptake ($mmol/mmol\ glc$)]:[Flux in RT / glucose uptake ($mmol/mmol\ glc$)]])</f>
        <v>0</v>
      </c>
      <c r="G1254">
        <f>_xlfn.RANK.AVG(Table1[[#This Row],[Flux in SC / glucose uptake ($mmol/mmol\ glc$)]],Table1[Flux in SC / glucose uptake ($mmol/mmol\ glc$)])</f>
        <v>1310.5</v>
      </c>
      <c r="H1254">
        <f>_xlfn.RANK.AVG(Table1[[#This Row],[Flux in RT / glucose uptake ($mmol/mmol\ glc$)]],Table1[Flux in RT / glucose uptake ($mmol/mmol\ glc$)])</f>
        <v>1290.5</v>
      </c>
      <c r="I1254" t="e">
        <f>LOG(Table1[[#This Row],[Flux in SC / glucose uptake ($mmol/mmol\ glc$)]])</f>
        <v>#NUM!</v>
      </c>
      <c r="J1254" t="e">
        <f>LOG(Table1[[#This Row],[Flux in RT / glucose uptake ($mmol/mmol\ glc$)]])</f>
        <v>#NUM!</v>
      </c>
    </row>
    <row r="1255" spans="1:10" x14ac:dyDescent="0.2">
      <c r="A1255" t="s">
        <v>1258</v>
      </c>
      <c r="B1255" t="s">
        <v>3115</v>
      </c>
      <c r="C1255">
        <v>0</v>
      </c>
      <c r="D1255">
        <v>0</v>
      </c>
      <c r="E1255">
        <f>ABS(Table1[[#This Row],[Flux in SC / glucose uptake ($mmol/mmol\ glc$)]]-Table1[[#This Row],[Flux in RT / glucose uptake ($mmol/mmol\ glc$)]])/SQRT(2)</f>
        <v>0</v>
      </c>
      <c r="F1255">
        <f>Table1[[#This Row],[distance from 45-degree line]]/MAX(Table1[[Flux in SC / glucose uptake ($mmol/mmol\ glc$)]:[Flux in RT / glucose uptake ($mmol/mmol\ glc$)]])</f>
        <v>0</v>
      </c>
      <c r="G1255">
        <f>_xlfn.RANK.AVG(Table1[[#This Row],[Flux in SC / glucose uptake ($mmol/mmol\ glc$)]],Table1[Flux in SC / glucose uptake ($mmol/mmol\ glc$)])</f>
        <v>1310.5</v>
      </c>
      <c r="H1255">
        <f>_xlfn.RANK.AVG(Table1[[#This Row],[Flux in RT / glucose uptake ($mmol/mmol\ glc$)]],Table1[Flux in RT / glucose uptake ($mmol/mmol\ glc$)])</f>
        <v>1290.5</v>
      </c>
      <c r="I1255" t="e">
        <f>LOG(Table1[[#This Row],[Flux in SC / glucose uptake ($mmol/mmol\ glc$)]])</f>
        <v>#NUM!</v>
      </c>
      <c r="J1255" t="e">
        <f>LOG(Table1[[#This Row],[Flux in RT / glucose uptake ($mmol/mmol\ glc$)]])</f>
        <v>#NUM!</v>
      </c>
    </row>
    <row r="1256" spans="1:10" x14ac:dyDescent="0.2">
      <c r="A1256" t="s">
        <v>1259</v>
      </c>
      <c r="B1256" t="s">
        <v>3115</v>
      </c>
      <c r="C1256">
        <v>0</v>
      </c>
      <c r="D1256">
        <v>0</v>
      </c>
      <c r="E1256">
        <f>ABS(Table1[[#This Row],[Flux in SC / glucose uptake ($mmol/mmol\ glc$)]]-Table1[[#This Row],[Flux in RT / glucose uptake ($mmol/mmol\ glc$)]])/SQRT(2)</f>
        <v>0</v>
      </c>
      <c r="F1256">
        <f>Table1[[#This Row],[distance from 45-degree line]]/MAX(Table1[[Flux in SC / glucose uptake ($mmol/mmol\ glc$)]:[Flux in RT / glucose uptake ($mmol/mmol\ glc$)]])</f>
        <v>0</v>
      </c>
      <c r="G1256">
        <f>_xlfn.RANK.AVG(Table1[[#This Row],[Flux in SC / glucose uptake ($mmol/mmol\ glc$)]],Table1[Flux in SC / glucose uptake ($mmol/mmol\ glc$)])</f>
        <v>1310.5</v>
      </c>
      <c r="H1256">
        <f>_xlfn.RANK.AVG(Table1[[#This Row],[Flux in RT / glucose uptake ($mmol/mmol\ glc$)]],Table1[Flux in RT / glucose uptake ($mmol/mmol\ glc$)])</f>
        <v>1290.5</v>
      </c>
      <c r="I1256" t="e">
        <f>LOG(Table1[[#This Row],[Flux in SC / glucose uptake ($mmol/mmol\ glc$)]])</f>
        <v>#NUM!</v>
      </c>
      <c r="J1256" t="e">
        <f>LOG(Table1[[#This Row],[Flux in RT / glucose uptake ($mmol/mmol\ glc$)]])</f>
        <v>#NUM!</v>
      </c>
    </row>
    <row r="1257" spans="1:10" x14ac:dyDescent="0.2">
      <c r="A1257" t="s">
        <v>1260</v>
      </c>
      <c r="B1257" t="s">
        <v>3114</v>
      </c>
      <c r="C1257">
        <v>0</v>
      </c>
      <c r="D1257">
        <v>0</v>
      </c>
      <c r="E1257">
        <f>ABS(Table1[[#This Row],[Flux in SC / glucose uptake ($mmol/mmol\ glc$)]]-Table1[[#This Row],[Flux in RT / glucose uptake ($mmol/mmol\ glc$)]])/SQRT(2)</f>
        <v>0</v>
      </c>
      <c r="F1257">
        <f>Table1[[#This Row],[distance from 45-degree line]]/MAX(Table1[[Flux in SC / glucose uptake ($mmol/mmol\ glc$)]:[Flux in RT / glucose uptake ($mmol/mmol\ glc$)]])</f>
        <v>0</v>
      </c>
      <c r="G1257">
        <f>_xlfn.RANK.AVG(Table1[[#This Row],[Flux in SC / glucose uptake ($mmol/mmol\ glc$)]],Table1[Flux in SC / glucose uptake ($mmol/mmol\ glc$)])</f>
        <v>1310.5</v>
      </c>
      <c r="H1257">
        <f>_xlfn.RANK.AVG(Table1[[#This Row],[Flux in RT / glucose uptake ($mmol/mmol\ glc$)]],Table1[Flux in RT / glucose uptake ($mmol/mmol\ glc$)])</f>
        <v>1290.5</v>
      </c>
      <c r="I1257" t="e">
        <f>LOG(Table1[[#This Row],[Flux in SC / glucose uptake ($mmol/mmol\ glc$)]])</f>
        <v>#NUM!</v>
      </c>
      <c r="J1257" t="e">
        <f>LOG(Table1[[#This Row],[Flux in RT / glucose uptake ($mmol/mmol\ glc$)]])</f>
        <v>#NUM!</v>
      </c>
    </row>
    <row r="1258" spans="1:10" x14ac:dyDescent="0.2">
      <c r="A1258" t="s">
        <v>1261</v>
      </c>
      <c r="B1258" t="s">
        <v>3115</v>
      </c>
      <c r="C1258">
        <v>0</v>
      </c>
      <c r="D1258">
        <v>0</v>
      </c>
      <c r="E1258">
        <f>ABS(Table1[[#This Row],[Flux in SC / glucose uptake ($mmol/mmol\ glc$)]]-Table1[[#This Row],[Flux in RT / glucose uptake ($mmol/mmol\ glc$)]])/SQRT(2)</f>
        <v>0</v>
      </c>
      <c r="F1258">
        <f>Table1[[#This Row],[distance from 45-degree line]]/MAX(Table1[[Flux in SC / glucose uptake ($mmol/mmol\ glc$)]:[Flux in RT / glucose uptake ($mmol/mmol\ glc$)]])</f>
        <v>0</v>
      </c>
      <c r="G1258">
        <f>_xlfn.RANK.AVG(Table1[[#This Row],[Flux in SC / glucose uptake ($mmol/mmol\ glc$)]],Table1[Flux in SC / glucose uptake ($mmol/mmol\ glc$)])</f>
        <v>1310.5</v>
      </c>
      <c r="H1258">
        <f>_xlfn.RANK.AVG(Table1[[#This Row],[Flux in RT / glucose uptake ($mmol/mmol\ glc$)]],Table1[Flux in RT / glucose uptake ($mmol/mmol\ glc$)])</f>
        <v>1290.5</v>
      </c>
      <c r="I1258" t="e">
        <f>LOG(Table1[[#This Row],[Flux in SC / glucose uptake ($mmol/mmol\ glc$)]])</f>
        <v>#NUM!</v>
      </c>
      <c r="J1258" t="e">
        <f>LOG(Table1[[#This Row],[Flux in RT / glucose uptake ($mmol/mmol\ glc$)]])</f>
        <v>#NUM!</v>
      </c>
    </row>
    <row r="1259" spans="1:10" x14ac:dyDescent="0.2">
      <c r="A1259" t="s">
        <v>1262</v>
      </c>
      <c r="B1259" t="s">
        <v>3114</v>
      </c>
      <c r="C1259">
        <v>1</v>
      </c>
      <c r="D1259">
        <v>1</v>
      </c>
      <c r="E1259">
        <f>ABS(Table1[[#This Row],[Flux in SC / glucose uptake ($mmol/mmol\ glc$)]]-Table1[[#This Row],[Flux in RT / glucose uptake ($mmol/mmol\ glc$)]])/SQRT(2)</f>
        <v>0</v>
      </c>
      <c r="F1259">
        <f>Table1[[#This Row],[distance from 45-degree line]]/MAX(Table1[[Flux in SC / glucose uptake ($mmol/mmol\ glc$)]:[Flux in RT / glucose uptake ($mmol/mmol\ glc$)]])</f>
        <v>0</v>
      </c>
      <c r="G1259">
        <f>_xlfn.RANK.AVG(Table1[[#This Row],[Flux in SC / glucose uptake ($mmol/mmol\ glc$)]],Table1[Flux in SC / glucose uptake ($mmol/mmol\ glc$)])</f>
        <v>13</v>
      </c>
      <c r="H1259">
        <f>_xlfn.RANK.AVG(Table1[[#This Row],[Flux in RT / glucose uptake ($mmol/mmol\ glc$)]],Table1[Flux in RT / glucose uptake ($mmol/mmol\ glc$)])</f>
        <v>19</v>
      </c>
      <c r="I1259">
        <f>LOG(Table1[[#This Row],[Flux in SC / glucose uptake ($mmol/mmol\ glc$)]])</f>
        <v>0</v>
      </c>
      <c r="J1259">
        <f>LOG(Table1[[#This Row],[Flux in RT / glucose uptake ($mmol/mmol\ glc$)]])</f>
        <v>0</v>
      </c>
    </row>
    <row r="1260" spans="1:10" x14ac:dyDescent="0.2">
      <c r="A1260" t="s">
        <v>1263</v>
      </c>
      <c r="B1260" t="s">
        <v>3114</v>
      </c>
      <c r="C1260">
        <v>0</v>
      </c>
      <c r="D1260">
        <v>0</v>
      </c>
      <c r="E1260">
        <f>ABS(Table1[[#This Row],[Flux in SC / glucose uptake ($mmol/mmol\ glc$)]]-Table1[[#This Row],[Flux in RT / glucose uptake ($mmol/mmol\ glc$)]])/SQRT(2)</f>
        <v>0</v>
      </c>
      <c r="F1260">
        <f>Table1[[#This Row],[distance from 45-degree line]]/MAX(Table1[[Flux in SC / glucose uptake ($mmol/mmol\ glc$)]:[Flux in RT / glucose uptake ($mmol/mmol\ glc$)]])</f>
        <v>0</v>
      </c>
      <c r="G1260">
        <f>_xlfn.RANK.AVG(Table1[[#This Row],[Flux in SC / glucose uptake ($mmol/mmol\ glc$)]],Table1[Flux in SC / glucose uptake ($mmol/mmol\ glc$)])</f>
        <v>1310.5</v>
      </c>
      <c r="H1260">
        <f>_xlfn.RANK.AVG(Table1[[#This Row],[Flux in RT / glucose uptake ($mmol/mmol\ glc$)]],Table1[Flux in RT / glucose uptake ($mmol/mmol\ glc$)])</f>
        <v>1290.5</v>
      </c>
      <c r="I1260" t="e">
        <f>LOG(Table1[[#This Row],[Flux in SC / glucose uptake ($mmol/mmol\ glc$)]])</f>
        <v>#NUM!</v>
      </c>
      <c r="J1260" t="e">
        <f>LOG(Table1[[#This Row],[Flux in RT / glucose uptake ($mmol/mmol\ glc$)]])</f>
        <v>#NUM!</v>
      </c>
    </row>
    <row r="1261" spans="1:10" x14ac:dyDescent="0.2">
      <c r="A1261" t="s">
        <v>1264</v>
      </c>
      <c r="B1261" t="s">
        <v>3114</v>
      </c>
      <c r="C1261">
        <v>0</v>
      </c>
      <c r="D1261">
        <v>0</v>
      </c>
      <c r="E1261">
        <f>ABS(Table1[[#This Row],[Flux in SC / glucose uptake ($mmol/mmol\ glc$)]]-Table1[[#This Row],[Flux in RT / glucose uptake ($mmol/mmol\ glc$)]])/SQRT(2)</f>
        <v>0</v>
      </c>
      <c r="F1261">
        <f>Table1[[#This Row],[distance from 45-degree line]]/MAX(Table1[[Flux in SC / glucose uptake ($mmol/mmol\ glc$)]:[Flux in RT / glucose uptake ($mmol/mmol\ glc$)]])</f>
        <v>0</v>
      </c>
      <c r="G1261">
        <f>_xlfn.RANK.AVG(Table1[[#This Row],[Flux in SC / glucose uptake ($mmol/mmol\ glc$)]],Table1[Flux in SC / glucose uptake ($mmol/mmol\ glc$)])</f>
        <v>1310.5</v>
      </c>
      <c r="H1261">
        <f>_xlfn.RANK.AVG(Table1[[#This Row],[Flux in RT / glucose uptake ($mmol/mmol\ glc$)]],Table1[Flux in RT / glucose uptake ($mmol/mmol\ glc$)])</f>
        <v>1290.5</v>
      </c>
      <c r="I1261" t="e">
        <f>LOG(Table1[[#This Row],[Flux in SC / glucose uptake ($mmol/mmol\ glc$)]])</f>
        <v>#NUM!</v>
      </c>
      <c r="J1261" t="e">
        <f>LOG(Table1[[#This Row],[Flux in RT / glucose uptake ($mmol/mmol\ glc$)]])</f>
        <v>#NUM!</v>
      </c>
    </row>
    <row r="1262" spans="1:10" x14ac:dyDescent="0.2">
      <c r="A1262" t="s">
        <v>1265</v>
      </c>
      <c r="B1262" t="s">
        <v>3114</v>
      </c>
      <c r="C1262">
        <v>0</v>
      </c>
      <c r="D1262">
        <v>0</v>
      </c>
      <c r="E1262">
        <f>ABS(Table1[[#This Row],[Flux in SC / glucose uptake ($mmol/mmol\ glc$)]]-Table1[[#This Row],[Flux in RT / glucose uptake ($mmol/mmol\ glc$)]])/SQRT(2)</f>
        <v>0</v>
      </c>
      <c r="F1262">
        <f>Table1[[#This Row],[distance from 45-degree line]]/MAX(Table1[[Flux in SC / glucose uptake ($mmol/mmol\ glc$)]:[Flux in RT / glucose uptake ($mmol/mmol\ glc$)]])</f>
        <v>0</v>
      </c>
      <c r="G1262">
        <f>_xlfn.RANK.AVG(Table1[[#This Row],[Flux in SC / glucose uptake ($mmol/mmol\ glc$)]],Table1[Flux in SC / glucose uptake ($mmol/mmol\ glc$)])</f>
        <v>1310.5</v>
      </c>
      <c r="H1262">
        <f>_xlfn.RANK.AVG(Table1[[#This Row],[Flux in RT / glucose uptake ($mmol/mmol\ glc$)]],Table1[Flux in RT / glucose uptake ($mmol/mmol\ glc$)])</f>
        <v>1290.5</v>
      </c>
      <c r="I1262" t="e">
        <f>LOG(Table1[[#This Row],[Flux in SC / glucose uptake ($mmol/mmol\ glc$)]])</f>
        <v>#NUM!</v>
      </c>
      <c r="J1262" t="e">
        <f>LOG(Table1[[#This Row],[Flux in RT / glucose uptake ($mmol/mmol\ glc$)]])</f>
        <v>#NUM!</v>
      </c>
    </row>
    <row r="1263" spans="1:10" x14ac:dyDescent="0.2">
      <c r="A1263" t="s">
        <v>1266</v>
      </c>
      <c r="B1263" t="s">
        <v>3119</v>
      </c>
      <c r="C1263">
        <v>3.7735298434386007E-2</v>
      </c>
      <c r="D1263">
        <v>0.11705454477408857</v>
      </c>
      <c r="E1263">
        <f>ABS(Table1[[#This Row],[Flux in SC / glucose uptake ($mmol/mmol\ glc$)]]-Table1[[#This Row],[Flux in RT / glucose uptake ($mmol/mmol\ glc$)]])/SQRT(2)</f>
        <v>5.6087176965409907E-2</v>
      </c>
      <c r="F1263">
        <f>Table1[[#This Row],[distance from 45-degree line]]/MAX(Table1[[Flux in SC / glucose uptake ($mmol/mmol\ glc$)]:[Flux in RT / glucose uptake ($mmol/mmol\ glc$)]])</f>
        <v>3.0230348392683336E-3</v>
      </c>
      <c r="G1263">
        <f>_xlfn.RANK.AVG(Table1[[#This Row],[Flux in SC / glucose uptake ($mmol/mmol\ glc$)]],Table1[Flux in SC / glucose uptake ($mmol/mmol\ glc$)])</f>
        <v>51</v>
      </c>
      <c r="H1263">
        <f>_xlfn.RANK.AVG(Table1[[#This Row],[Flux in RT / glucose uptake ($mmol/mmol\ glc$)]],Table1[Flux in RT / glucose uptake ($mmol/mmol\ glc$)])</f>
        <v>75</v>
      </c>
      <c r="I1263">
        <f>LOG(Table1[[#This Row],[Flux in SC / glucose uptake ($mmol/mmol\ glc$)]])</f>
        <v>-1.4232522109860974</v>
      </c>
      <c r="J1263">
        <f>LOG(Table1[[#This Row],[Flux in RT / glucose uptake ($mmol/mmol\ glc$)]])</f>
        <v>-0.93161171966927281</v>
      </c>
    </row>
    <row r="1264" spans="1:10" x14ac:dyDescent="0.2">
      <c r="A1264" t="s">
        <v>1267</v>
      </c>
      <c r="B1264" t="s">
        <v>3114</v>
      </c>
      <c r="C1264">
        <v>0</v>
      </c>
      <c r="D1264">
        <v>0</v>
      </c>
      <c r="E1264">
        <f>ABS(Table1[[#This Row],[Flux in SC / glucose uptake ($mmol/mmol\ glc$)]]-Table1[[#This Row],[Flux in RT / glucose uptake ($mmol/mmol\ glc$)]])/SQRT(2)</f>
        <v>0</v>
      </c>
      <c r="F1264">
        <f>Table1[[#This Row],[distance from 45-degree line]]/MAX(Table1[[Flux in SC / glucose uptake ($mmol/mmol\ glc$)]:[Flux in RT / glucose uptake ($mmol/mmol\ glc$)]])</f>
        <v>0</v>
      </c>
      <c r="G1264">
        <f>_xlfn.RANK.AVG(Table1[[#This Row],[Flux in SC / glucose uptake ($mmol/mmol\ glc$)]],Table1[Flux in SC / glucose uptake ($mmol/mmol\ glc$)])</f>
        <v>1310.5</v>
      </c>
      <c r="H1264">
        <f>_xlfn.RANK.AVG(Table1[[#This Row],[Flux in RT / glucose uptake ($mmol/mmol\ glc$)]],Table1[Flux in RT / glucose uptake ($mmol/mmol\ glc$)])</f>
        <v>1290.5</v>
      </c>
      <c r="I1264" t="e">
        <f>LOG(Table1[[#This Row],[Flux in SC / glucose uptake ($mmol/mmol\ glc$)]])</f>
        <v>#NUM!</v>
      </c>
      <c r="J1264" t="e">
        <f>LOG(Table1[[#This Row],[Flux in RT / glucose uptake ($mmol/mmol\ glc$)]])</f>
        <v>#NUM!</v>
      </c>
    </row>
    <row r="1265" spans="1:10" x14ac:dyDescent="0.2">
      <c r="A1265" t="s">
        <v>1268</v>
      </c>
      <c r="B1265" t="s">
        <v>3114</v>
      </c>
      <c r="C1265">
        <v>0</v>
      </c>
      <c r="D1265">
        <v>0</v>
      </c>
      <c r="E1265">
        <f>ABS(Table1[[#This Row],[Flux in SC / glucose uptake ($mmol/mmol\ glc$)]]-Table1[[#This Row],[Flux in RT / glucose uptake ($mmol/mmol\ glc$)]])/SQRT(2)</f>
        <v>0</v>
      </c>
      <c r="F1265">
        <f>Table1[[#This Row],[distance from 45-degree line]]/MAX(Table1[[Flux in SC / glucose uptake ($mmol/mmol\ glc$)]:[Flux in RT / glucose uptake ($mmol/mmol\ glc$)]])</f>
        <v>0</v>
      </c>
      <c r="G1265">
        <f>_xlfn.RANK.AVG(Table1[[#This Row],[Flux in SC / glucose uptake ($mmol/mmol\ glc$)]],Table1[Flux in SC / glucose uptake ($mmol/mmol\ glc$)])</f>
        <v>1310.5</v>
      </c>
      <c r="H1265">
        <f>_xlfn.RANK.AVG(Table1[[#This Row],[Flux in RT / glucose uptake ($mmol/mmol\ glc$)]],Table1[Flux in RT / glucose uptake ($mmol/mmol\ glc$)])</f>
        <v>1290.5</v>
      </c>
      <c r="I1265" t="e">
        <f>LOG(Table1[[#This Row],[Flux in SC / glucose uptake ($mmol/mmol\ glc$)]])</f>
        <v>#NUM!</v>
      </c>
      <c r="J1265" t="e">
        <f>LOG(Table1[[#This Row],[Flux in RT / glucose uptake ($mmol/mmol\ glc$)]])</f>
        <v>#NUM!</v>
      </c>
    </row>
    <row r="1266" spans="1:10" x14ac:dyDescent="0.2">
      <c r="A1266" t="s">
        <v>1269</v>
      </c>
      <c r="B1266" t="s">
        <v>3114</v>
      </c>
      <c r="C1266">
        <v>0</v>
      </c>
      <c r="D1266">
        <v>0</v>
      </c>
      <c r="E1266">
        <f>ABS(Table1[[#This Row],[Flux in SC / glucose uptake ($mmol/mmol\ glc$)]]-Table1[[#This Row],[Flux in RT / glucose uptake ($mmol/mmol\ glc$)]])/SQRT(2)</f>
        <v>0</v>
      </c>
      <c r="F1266">
        <f>Table1[[#This Row],[distance from 45-degree line]]/MAX(Table1[[Flux in SC / glucose uptake ($mmol/mmol\ glc$)]:[Flux in RT / glucose uptake ($mmol/mmol\ glc$)]])</f>
        <v>0</v>
      </c>
      <c r="G1266">
        <f>_xlfn.RANK.AVG(Table1[[#This Row],[Flux in SC / glucose uptake ($mmol/mmol\ glc$)]],Table1[Flux in SC / glucose uptake ($mmol/mmol\ glc$)])</f>
        <v>1310.5</v>
      </c>
      <c r="H1266">
        <f>_xlfn.RANK.AVG(Table1[[#This Row],[Flux in RT / glucose uptake ($mmol/mmol\ glc$)]],Table1[Flux in RT / glucose uptake ($mmol/mmol\ glc$)])</f>
        <v>1290.5</v>
      </c>
      <c r="I1266" t="e">
        <f>LOG(Table1[[#This Row],[Flux in SC / glucose uptake ($mmol/mmol\ glc$)]])</f>
        <v>#NUM!</v>
      </c>
      <c r="J1266" t="e">
        <f>LOG(Table1[[#This Row],[Flux in RT / glucose uptake ($mmol/mmol\ glc$)]])</f>
        <v>#NUM!</v>
      </c>
    </row>
    <row r="1267" spans="1:10" x14ac:dyDescent="0.2">
      <c r="A1267" t="s">
        <v>1270</v>
      </c>
      <c r="B1267" t="s">
        <v>3154</v>
      </c>
      <c r="C1267">
        <v>0</v>
      </c>
      <c r="D1267">
        <v>0</v>
      </c>
      <c r="E1267">
        <f>ABS(Table1[[#This Row],[Flux in SC / glucose uptake ($mmol/mmol\ glc$)]]-Table1[[#This Row],[Flux in RT / glucose uptake ($mmol/mmol\ glc$)]])/SQRT(2)</f>
        <v>0</v>
      </c>
      <c r="F1267">
        <f>Table1[[#This Row],[distance from 45-degree line]]/MAX(Table1[[Flux in SC / glucose uptake ($mmol/mmol\ glc$)]:[Flux in RT / glucose uptake ($mmol/mmol\ glc$)]])</f>
        <v>0</v>
      </c>
      <c r="G1267">
        <f>_xlfn.RANK.AVG(Table1[[#This Row],[Flux in SC / glucose uptake ($mmol/mmol\ glc$)]],Table1[Flux in SC / glucose uptake ($mmol/mmol\ glc$)])</f>
        <v>1310.5</v>
      </c>
      <c r="H1267">
        <f>_xlfn.RANK.AVG(Table1[[#This Row],[Flux in RT / glucose uptake ($mmol/mmol\ glc$)]],Table1[Flux in RT / glucose uptake ($mmol/mmol\ glc$)])</f>
        <v>1290.5</v>
      </c>
      <c r="I1267" t="e">
        <f>LOG(Table1[[#This Row],[Flux in SC / glucose uptake ($mmol/mmol\ glc$)]])</f>
        <v>#NUM!</v>
      </c>
      <c r="J1267" t="e">
        <f>LOG(Table1[[#This Row],[Flux in RT / glucose uptake ($mmol/mmol\ glc$)]])</f>
        <v>#NUM!</v>
      </c>
    </row>
    <row r="1268" spans="1:10" x14ac:dyDescent="0.2">
      <c r="A1268" t="s">
        <v>1271</v>
      </c>
      <c r="B1268" t="s">
        <v>3134</v>
      </c>
      <c r="C1268">
        <v>2.5004543383725614E-3</v>
      </c>
      <c r="D1268">
        <v>4.2737249590154814E-7</v>
      </c>
      <c r="E1268">
        <f>ABS(Table1[[#This Row],[Flux in SC / glucose uptake ($mmol/mmol\ glc$)]]-Table1[[#This Row],[Flux in RT / glucose uptake ($mmol/mmol\ glc$)]])/SQRT(2)</f>
        <v>1.7677860207206155E-3</v>
      </c>
      <c r="F1268">
        <f>Table1[[#This Row],[distance from 45-degree line]]/MAX(Table1[[Flux in SC / glucose uptake ($mmol/mmol\ glc$)]:[Flux in RT / glucose uptake ($mmol/mmol\ glc$)]])</f>
        <v>9.5281649356425169E-5</v>
      </c>
      <c r="G1268">
        <f>_xlfn.RANK.AVG(Table1[[#This Row],[Flux in SC / glucose uptake ($mmol/mmol\ glc$)]],Table1[Flux in SC / glucose uptake ($mmol/mmol\ glc$)])</f>
        <v>188.5</v>
      </c>
      <c r="H1268">
        <f>_xlfn.RANK.AVG(Table1[[#This Row],[Flux in RT / glucose uptake ($mmol/mmol\ glc$)]],Table1[Flux in RT / glucose uptake ($mmol/mmol\ glc$)])</f>
        <v>285.5</v>
      </c>
      <c r="I1268">
        <f>LOG(Table1[[#This Row],[Flux in SC / glucose uptake ($mmol/mmol\ glc$)]])</f>
        <v>-2.6019810718397274</v>
      </c>
      <c r="J1268">
        <f>LOG(Table1[[#This Row],[Flux in RT / glucose uptake ($mmol/mmol\ glc$)]])</f>
        <v>-6.3691934308442537</v>
      </c>
    </row>
    <row r="1269" spans="1:10" x14ac:dyDescent="0.2">
      <c r="A1269" t="s">
        <v>1272</v>
      </c>
      <c r="B1269" t="s">
        <v>3148</v>
      </c>
      <c r="C1269">
        <v>0</v>
      </c>
      <c r="D1269">
        <v>0</v>
      </c>
      <c r="E1269">
        <f>ABS(Table1[[#This Row],[Flux in SC / glucose uptake ($mmol/mmol\ glc$)]]-Table1[[#This Row],[Flux in RT / glucose uptake ($mmol/mmol\ glc$)]])/SQRT(2)</f>
        <v>0</v>
      </c>
      <c r="F1269">
        <f>Table1[[#This Row],[distance from 45-degree line]]/MAX(Table1[[Flux in SC / glucose uptake ($mmol/mmol\ glc$)]:[Flux in RT / glucose uptake ($mmol/mmol\ glc$)]])</f>
        <v>0</v>
      </c>
      <c r="G1269">
        <f>_xlfn.RANK.AVG(Table1[[#This Row],[Flux in SC / glucose uptake ($mmol/mmol\ glc$)]],Table1[Flux in SC / glucose uptake ($mmol/mmol\ glc$)])</f>
        <v>1310.5</v>
      </c>
      <c r="H1269">
        <f>_xlfn.RANK.AVG(Table1[[#This Row],[Flux in RT / glucose uptake ($mmol/mmol\ glc$)]],Table1[Flux in RT / glucose uptake ($mmol/mmol\ glc$)])</f>
        <v>1290.5</v>
      </c>
      <c r="I1269" t="e">
        <f>LOG(Table1[[#This Row],[Flux in SC / glucose uptake ($mmol/mmol\ glc$)]])</f>
        <v>#NUM!</v>
      </c>
      <c r="J1269" t="e">
        <f>LOG(Table1[[#This Row],[Flux in RT / glucose uptake ($mmol/mmol\ glc$)]])</f>
        <v>#NUM!</v>
      </c>
    </row>
    <row r="1270" spans="1:10" x14ac:dyDescent="0.2">
      <c r="A1270" t="s">
        <v>1273</v>
      </c>
      <c r="B1270" t="s">
        <v>3119</v>
      </c>
      <c r="C1270">
        <v>3.9635209639998512E-3</v>
      </c>
      <c r="D1270">
        <v>0</v>
      </c>
      <c r="E1270">
        <f>ABS(Table1[[#This Row],[Flux in SC / glucose uptake ($mmol/mmol\ glc$)]]-Table1[[#This Row],[Flux in RT / glucose uptake ($mmol/mmol\ glc$)]])/SQRT(2)</f>
        <v>2.8026325510193363E-3</v>
      </c>
      <c r="F1270">
        <f>Table1[[#This Row],[distance from 45-degree line]]/MAX(Table1[[Flux in SC / glucose uptake ($mmol/mmol\ glc$)]:[Flux in RT / glucose uptake ($mmol/mmol\ glc$)]])</f>
        <v>1.510586965113982E-4</v>
      </c>
      <c r="G1270">
        <f>_xlfn.RANK.AVG(Table1[[#This Row],[Flux in SC / glucose uptake ($mmol/mmol\ glc$)]],Table1[Flux in SC / glucose uptake ($mmol/mmol\ glc$)])</f>
        <v>142</v>
      </c>
      <c r="H1270">
        <f>_xlfn.RANK.AVG(Table1[[#This Row],[Flux in RT / glucose uptake ($mmol/mmol\ glc$)]],Table1[Flux in RT / glucose uptake ($mmol/mmol\ glc$)])</f>
        <v>1290.5</v>
      </c>
      <c r="I1270">
        <f>LOG(Table1[[#This Row],[Flux in SC / glucose uptake ($mmol/mmol\ glc$)]])</f>
        <v>-2.4019188403782703</v>
      </c>
      <c r="J1270" t="e">
        <f>LOG(Table1[[#This Row],[Flux in RT / glucose uptake ($mmol/mmol\ glc$)]])</f>
        <v>#NUM!</v>
      </c>
    </row>
    <row r="1271" spans="1:10" x14ac:dyDescent="0.2">
      <c r="A1271" t="s">
        <v>1274</v>
      </c>
      <c r="B1271" t="s">
        <v>3134</v>
      </c>
      <c r="C1271">
        <v>3.6110321147682783E-9</v>
      </c>
      <c r="D1271">
        <v>0</v>
      </c>
      <c r="E1271">
        <f>ABS(Table1[[#This Row],[Flux in SC / glucose uptake ($mmol/mmol\ glc$)]]-Table1[[#This Row],[Flux in RT / glucose uptake ($mmol/mmol\ glc$)]])/SQRT(2)</f>
        <v>2.5533852954350489E-9</v>
      </c>
      <c r="F1271">
        <f>Table1[[#This Row],[distance from 45-degree line]]/MAX(Table1[[Flux in SC / glucose uptake ($mmol/mmol\ glc$)]:[Flux in RT / glucose uptake ($mmol/mmol\ glc$)]])</f>
        <v>1.376245538429589E-10</v>
      </c>
      <c r="G1271">
        <f>_xlfn.RANK.AVG(Table1[[#This Row],[Flux in SC / glucose uptake ($mmol/mmol\ glc$)]],Table1[Flux in SC / glucose uptake ($mmol/mmol\ glc$)])</f>
        <v>310</v>
      </c>
      <c r="H1271">
        <f>_xlfn.RANK.AVG(Table1[[#This Row],[Flux in RT / glucose uptake ($mmol/mmol\ glc$)]],Table1[Flux in RT / glucose uptake ($mmol/mmol\ glc$)])</f>
        <v>1290.5</v>
      </c>
      <c r="I1271">
        <f>LOG(Table1[[#This Row],[Flux in SC / glucose uptake ($mmol/mmol\ glc$)]])</f>
        <v>-8.4423686491515095</v>
      </c>
      <c r="J1271" t="e">
        <f>LOG(Table1[[#This Row],[Flux in RT / glucose uptake ($mmol/mmol\ glc$)]])</f>
        <v>#NUM!</v>
      </c>
    </row>
    <row r="1272" spans="1:10" x14ac:dyDescent="0.2">
      <c r="A1272" t="s">
        <v>1275</v>
      </c>
      <c r="B1272" t="s">
        <v>3134</v>
      </c>
      <c r="C1272">
        <v>0.12343120585294586</v>
      </c>
      <c r="D1272">
        <v>0.8874085044633977</v>
      </c>
      <c r="E1272">
        <f>ABS(Table1[[#This Row],[Flux in SC / glucose uptake ($mmol/mmol\ glc$)]]-Table1[[#This Row],[Flux in RT / glucose uptake ($mmol/mmol\ glc$)]])/SQRT(2)</f>
        <v>0.54021352852003035</v>
      </c>
      <c r="F1272">
        <f>Table1[[#This Row],[distance from 45-degree line]]/MAX(Table1[[Flux in SC / glucose uptake ($mmol/mmol\ glc$)]:[Flux in RT / glucose uptake ($mmol/mmol\ glc$)]])</f>
        <v>2.9116892767972354E-2</v>
      </c>
      <c r="G1272">
        <f>_xlfn.RANK.AVG(Table1[[#This Row],[Flux in SC / glucose uptake ($mmol/mmol\ glc$)]],Table1[Flux in SC / glucose uptake ($mmol/mmol\ glc$)])</f>
        <v>32</v>
      </c>
      <c r="H1272">
        <f>_xlfn.RANK.AVG(Table1[[#This Row],[Flux in RT / glucose uptake ($mmol/mmol\ glc$)]],Table1[Flux in RT / glucose uptake ($mmol/mmol\ glc$)])</f>
        <v>22</v>
      </c>
      <c r="I1272">
        <f>LOG(Table1[[#This Row],[Flux in SC / glucose uptake ($mmol/mmol\ glc$)]])</f>
        <v>-0.90857502817620384</v>
      </c>
      <c r="J1272">
        <f>LOG(Table1[[#This Row],[Flux in RT / glucose uptake ($mmol/mmol\ glc$)]])</f>
        <v>-5.187641354618569E-2</v>
      </c>
    </row>
    <row r="1273" spans="1:10" x14ac:dyDescent="0.2">
      <c r="A1273" t="s">
        <v>1276</v>
      </c>
      <c r="B1273" t="s">
        <v>3134</v>
      </c>
      <c r="C1273">
        <v>0</v>
      </c>
      <c r="D1273">
        <v>0</v>
      </c>
      <c r="E1273">
        <f>ABS(Table1[[#This Row],[Flux in SC / glucose uptake ($mmol/mmol\ glc$)]]-Table1[[#This Row],[Flux in RT / glucose uptake ($mmol/mmol\ glc$)]])/SQRT(2)</f>
        <v>0</v>
      </c>
      <c r="F1273">
        <f>Table1[[#This Row],[distance from 45-degree line]]/MAX(Table1[[Flux in SC / glucose uptake ($mmol/mmol\ glc$)]:[Flux in RT / glucose uptake ($mmol/mmol\ glc$)]])</f>
        <v>0</v>
      </c>
      <c r="G1273">
        <f>_xlfn.RANK.AVG(Table1[[#This Row],[Flux in SC / glucose uptake ($mmol/mmol\ glc$)]],Table1[Flux in SC / glucose uptake ($mmol/mmol\ glc$)])</f>
        <v>1310.5</v>
      </c>
      <c r="H1273">
        <f>_xlfn.RANK.AVG(Table1[[#This Row],[Flux in RT / glucose uptake ($mmol/mmol\ glc$)]],Table1[Flux in RT / glucose uptake ($mmol/mmol\ glc$)])</f>
        <v>1290.5</v>
      </c>
      <c r="I1273" t="e">
        <f>LOG(Table1[[#This Row],[Flux in SC / glucose uptake ($mmol/mmol\ glc$)]])</f>
        <v>#NUM!</v>
      </c>
      <c r="J1273" t="e">
        <f>LOG(Table1[[#This Row],[Flux in RT / glucose uptake ($mmol/mmol\ glc$)]])</f>
        <v>#NUM!</v>
      </c>
    </row>
    <row r="1274" spans="1:10" x14ac:dyDescent="0.2">
      <c r="A1274" t="s">
        <v>1277</v>
      </c>
      <c r="B1274" t="s">
        <v>3134</v>
      </c>
      <c r="C1274">
        <v>0</v>
      </c>
      <c r="D1274">
        <v>0</v>
      </c>
      <c r="E1274">
        <f>ABS(Table1[[#This Row],[Flux in SC / glucose uptake ($mmol/mmol\ glc$)]]-Table1[[#This Row],[Flux in RT / glucose uptake ($mmol/mmol\ glc$)]])/SQRT(2)</f>
        <v>0</v>
      </c>
      <c r="F1274">
        <f>Table1[[#This Row],[distance from 45-degree line]]/MAX(Table1[[Flux in SC / glucose uptake ($mmol/mmol\ glc$)]:[Flux in RT / glucose uptake ($mmol/mmol\ glc$)]])</f>
        <v>0</v>
      </c>
      <c r="G1274">
        <f>_xlfn.RANK.AVG(Table1[[#This Row],[Flux in SC / glucose uptake ($mmol/mmol\ glc$)]],Table1[Flux in SC / glucose uptake ($mmol/mmol\ glc$)])</f>
        <v>1310.5</v>
      </c>
      <c r="H1274">
        <f>_xlfn.RANK.AVG(Table1[[#This Row],[Flux in RT / glucose uptake ($mmol/mmol\ glc$)]],Table1[Flux in RT / glucose uptake ($mmol/mmol\ glc$)])</f>
        <v>1290.5</v>
      </c>
      <c r="I1274" t="e">
        <f>LOG(Table1[[#This Row],[Flux in SC / glucose uptake ($mmol/mmol\ glc$)]])</f>
        <v>#NUM!</v>
      </c>
      <c r="J1274" t="e">
        <f>LOG(Table1[[#This Row],[Flux in RT / glucose uptake ($mmol/mmol\ glc$)]])</f>
        <v>#NUM!</v>
      </c>
    </row>
    <row r="1275" spans="1:10" x14ac:dyDescent="0.2">
      <c r="A1275" t="s">
        <v>1278</v>
      </c>
      <c r="B1275" t="s">
        <v>3150</v>
      </c>
      <c r="C1275">
        <v>2.8177315592484149E-3</v>
      </c>
      <c r="D1275">
        <v>1.3650598384232542E-2</v>
      </c>
      <c r="E1275">
        <f>ABS(Table1[[#This Row],[Flux in SC / glucose uptake ($mmol/mmol\ glc$)]]-Table1[[#This Row],[Flux in RT / glucose uptake ($mmol/mmol\ glc$)]])/SQRT(2)</f>
        <v>7.65999359163706E-3</v>
      </c>
      <c r="F1275">
        <f>Table1[[#This Row],[distance from 45-degree line]]/MAX(Table1[[Flux in SC / glucose uptake ($mmol/mmol\ glc$)]:[Flux in RT / glucose uptake ($mmol/mmol\ glc$)]])</f>
        <v>4.1286491403145576E-4</v>
      </c>
      <c r="G1275">
        <f>_xlfn.RANK.AVG(Table1[[#This Row],[Flux in SC / glucose uptake ($mmol/mmol\ glc$)]],Table1[Flux in SC / glucose uptake ($mmol/mmol\ glc$)])</f>
        <v>170.5</v>
      </c>
      <c r="H1275">
        <f>_xlfn.RANK.AVG(Table1[[#This Row],[Flux in RT / glucose uptake ($mmol/mmol\ glc$)]],Table1[Flux in RT / glucose uptake ($mmol/mmol\ glc$)])</f>
        <v>177.5</v>
      </c>
      <c r="I1275">
        <f>LOG(Table1[[#This Row],[Flux in SC / glucose uptake ($mmol/mmol\ glc$)]])</f>
        <v>-2.5501003837924046</v>
      </c>
      <c r="J1275">
        <f>LOG(Table1[[#This Row],[Flux in RT / glucose uptake ($mmol/mmol\ glc$)]])</f>
        <v>-1.8648483105811549</v>
      </c>
    </row>
    <row r="1276" spans="1:10" x14ac:dyDescent="0.2">
      <c r="A1276" t="s">
        <v>1279</v>
      </c>
      <c r="B1276" t="s">
        <v>3192</v>
      </c>
      <c r="C1276">
        <v>0</v>
      </c>
      <c r="D1276">
        <v>0</v>
      </c>
      <c r="E1276">
        <f>ABS(Table1[[#This Row],[Flux in SC / glucose uptake ($mmol/mmol\ glc$)]]-Table1[[#This Row],[Flux in RT / glucose uptake ($mmol/mmol\ glc$)]])/SQRT(2)</f>
        <v>0</v>
      </c>
      <c r="F1276">
        <f>Table1[[#This Row],[distance from 45-degree line]]/MAX(Table1[[Flux in SC / glucose uptake ($mmol/mmol\ glc$)]:[Flux in RT / glucose uptake ($mmol/mmol\ glc$)]])</f>
        <v>0</v>
      </c>
      <c r="G1276">
        <f>_xlfn.RANK.AVG(Table1[[#This Row],[Flux in SC / glucose uptake ($mmol/mmol\ glc$)]],Table1[Flux in SC / glucose uptake ($mmol/mmol\ glc$)])</f>
        <v>1310.5</v>
      </c>
      <c r="H1276">
        <f>_xlfn.RANK.AVG(Table1[[#This Row],[Flux in RT / glucose uptake ($mmol/mmol\ glc$)]],Table1[Flux in RT / glucose uptake ($mmol/mmol\ glc$)])</f>
        <v>1290.5</v>
      </c>
      <c r="I1276" t="e">
        <f>LOG(Table1[[#This Row],[Flux in SC / glucose uptake ($mmol/mmol\ glc$)]])</f>
        <v>#NUM!</v>
      </c>
      <c r="J1276" t="e">
        <f>LOG(Table1[[#This Row],[Flux in RT / glucose uptake ($mmol/mmol\ glc$)]])</f>
        <v>#NUM!</v>
      </c>
    </row>
    <row r="1277" spans="1:10" x14ac:dyDescent="0.2">
      <c r="A1277" t="s">
        <v>1280</v>
      </c>
      <c r="B1277" t="s">
        <v>3119</v>
      </c>
      <c r="C1277">
        <v>1.3426424056103739E-2</v>
      </c>
      <c r="D1277">
        <v>0</v>
      </c>
      <c r="E1277">
        <f>ABS(Table1[[#This Row],[Flux in SC / glucose uptake ($mmol/mmol\ glc$)]]-Table1[[#This Row],[Flux in RT / glucose uptake ($mmol/mmol\ glc$)]])/SQRT(2)</f>
        <v>9.4939154971571439E-3</v>
      </c>
      <c r="F1277">
        <f>Table1[[#This Row],[distance from 45-degree line]]/MAX(Table1[[Flux in SC / glucose uptake ($mmol/mmol\ glc$)]:[Flux in RT / glucose uptake ($mmol/mmol\ glc$)]])</f>
        <v>5.1171121211316675E-4</v>
      </c>
      <c r="G1277">
        <f>_xlfn.RANK.AVG(Table1[[#This Row],[Flux in SC / glucose uptake ($mmol/mmol\ glc$)]],Table1[Flux in SC / glucose uptake ($mmol/mmol\ glc$)])</f>
        <v>75</v>
      </c>
      <c r="H1277">
        <f>_xlfn.RANK.AVG(Table1[[#This Row],[Flux in RT / glucose uptake ($mmol/mmol\ glc$)]],Table1[Flux in RT / glucose uptake ($mmol/mmol\ glc$)])</f>
        <v>1290.5</v>
      </c>
      <c r="I1277">
        <f>LOG(Table1[[#This Row],[Flux in SC / glucose uptake ($mmol/mmol\ glc$)]])</f>
        <v>-1.8720396403093338</v>
      </c>
      <c r="J1277" t="e">
        <f>LOG(Table1[[#This Row],[Flux in RT / glucose uptake ($mmol/mmol\ glc$)]])</f>
        <v>#NUM!</v>
      </c>
    </row>
    <row r="1278" spans="1:10" x14ac:dyDescent="0.2">
      <c r="A1278" t="s">
        <v>1281</v>
      </c>
      <c r="B1278" t="s">
        <v>3114</v>
      </c>
      <c r="C1278">
        <v>2.1373496869515014E-2</v>
      </c>
      <c r="D1278">
        <v>0.11466911595875345</v>
      </c>
      <c r="E1278">
        <f>ABS(Table1[[#This Row],[Flux in SC / glucose uptake ($mmol/mmol\ glc$)]]-Table1[[#This Row],[Flux in RT / glucose uptake ($mmol/mmol\ glc$)]])/SQRT(2)</f>
        <v>6.5969964912997614E-2</v>
      </c>
      <c r="F1278">
        <f>Table1[[#This Row],[distance from 45-degree line]]/MAX(Table1[[Flux in SC / glucose uptake ($mmol/mmol\ glc$)]:[Flux in RT / glucose uptake ($mmol/mmol\ glc$)]])</f>
        <v>3.5557058327305999E-3</v>
      </c>
      <c r="G1278">
        <f>_xlfn.RANK.AVG(Table1[[#This Row],[Flux in SC / glucose uptake ($mmol/mmol\ glc$)]],Table1[Flux in SC / glucose uptake ($mmol/mmol\ glc$)])</f>
        <v>65</v>
      </c>
      <c r="H1278">
        <f>_xlfn.RANK.AVG(Table1[[#This Row],[Flux in RT / glucose uptake ($mmol/mmol\ glc$)]],Table1[Flux in RT / glucose uptake ($mmol/mmol\ glc$)])</f>
        <v>76</v>
      </c>
      <c r="I1278">
        <f>LOG(Table1[[#This Row],[Flux in SC / glucose uptake ($mmol/mmol\ glc$)]])</f>
        <v>-1.6701244180842061</v>
      </c>
      <c r="J1278">
        <f>LOG(Table1[[#This Row],[Flux in RT / glucose uptake ($mmol/mmol\ glc$)]])</f>
        <v>-0.94055353567129363</v>
      </c>
    </row>
    <row r="1279" spans="1:10" x14ac:dyDescent="0.2">
      <c r="A1279" t="s">
        <v>1282</v>
      </c>
      <c r="B1279" t="s">
        <v>3114</v>
      </c>
      <c r="C1279">
        <v>0</v>
      </c>
      <c r="D1279">
        <v>0</v>
      </c>
      <c r="E1279">
        <f>ABS(Table1[[#This Row],[Flux in SC / glucose uptake ($mmol/mmol\ glc$)]]-Table1[[#This Row],[Flux in RT / glucose uptake ($mmol/mmol\ glc$)]])/SQRT(2)</f>
        <v>0</v>
      </c>
      <c r="F1279">
        <f>Table1[[#This Row],[distance from 45-degree line]]/MAX(Table1[[Flux in SC / glucose uptake ($mmol/mmol\ glc$)]:[Flux in RT / glucose uptake ($mmol/mmol\ glc$)]])</f>
        <v>0</v>
      </c>
      <c r="G1279">
        <f>_xlfn.RANK.AVG(Table1[[#This Row],[Flux in SC / glucose uptake ($mmol/mmol\ glc$)]],Table1[Flux in SC / glucose uptake ($mmol/mmol\ glc$)])</f>
        <v>1310.5</v>
      </c>
      <c r="H1279">
        <f>_xlfn.RANK.AVG(Table1[[#This Row],[Flux in RT / glucose uptake ($mmol/mmol\ glc$)]],Table1[Flux in RT / glucose uptake ($mmol/mmol\ glc$)])</f>
        <v>1290.5</v>
      </c>
      <c r="I1279" t="e">
        <f>LOG(Table1[[#This Row],[Flux in SC / glucose uptake ($mmol/mmol\ glc$)]])</f>
        <v>#NUM!</v>
      </c>
      <c r="J1279" t="e">
        <f>LOG(Table1[[#This Row],[Flux in RT / glucose uptake ($mmol/mmol\ glc$)]])</f>
        <v>#NUM!</v>
      </c>
    </row>
    <row r="1280" spans="1:10" x14ac:dyDescent="0.2">
      <c r="A1280" t="s">
        <v>1283</v>
      </c>
      <c r="B1280" t="s">
        <v>3125</v>
      </c>
      <c r="C1280">
        <v>0</v>
      </c>
      <c r="D1280">
        <v>0</v>
      </c>
      <c r="E1280">
        <f>ABS(Table1[[#This Row],[Flux in SC / glucose uptake ($mmol/mmol\ glc$)]]-Table1[[#This Row],[Flux in RT / glucose uptake ($mmol/mmol\ glc$)]])/SQRT(2)</f>
        <v>0</v>
      </c>
      <c r="F1280">
        <f>Table1[[#This Row],[distance from 45-degree line]]/MAX(Table1[[Flux in SC / glucose uptake ($mmol/mmol\ glc$)]:[Flux in RT / glucose uptake ($mmol/mmol\ glc$)]])</f>
        <v>0</v>
      </c>
      <c r="G1280">
        <f>_xlfn.RANK.AVG(Table1[[#This Row],[Flux in SC / glucose uptake ($mmol/mmol\ glc$)]],Table1[Flux in SC / glucose uptake ($mmol/mmol\ glc$)])</f>
        <v>1310.5</v>
      </c>
      <c r="H1280">
        <f>_xlfn.RANK.AVG(Table1[[#This Row],[Flux in RT / glucose uptake ($mmol/mmol\ glc$)]],Table1[Flux in RT / glucose uptake ($mmol/mmol\ glc$)])</f>
        <v>1290.5</v>
      </c>
      <c r="I1280" t="e">
        <f>LOG(Table1[[#This Row],[Flux in SC / glucose uptake ($mmol/mmol\ glc$)]])</f>
        <v>#NUM!</v>
      </c>
      <c r="J1280" t="e">
        <f>LOG(Table1[[#This Row],[Flux in RT / glucose uptake ($mmol/mmol\ glc$)]])</f>
        <v>#NUM!</v>
      </c>
    </row>
    <row r="1281" spans="1:10" x14ac:dyDescent="0.2">
      <c r="A1281" t="s">
        <v>1284</v>
      </c>
      <c r="B1281" t="s">
        <v>3114</v>
      </c>
      <c r="C1281">
        <v>0</v>
      </c>
      <c r="D1281">
        <v>0</v>
      </c>
      <c r="E1281">
        <f>ABS(Table1[[#This Row],[Flux in SC / glucose uptake ($mmol/mmol\ glc$)]]-Table1[[#This Row],[Flux in RT / glucose uptake ($mmol/mmol\ glc$)]])/SQRT(2)</f>
        <v>0</v>
      </c>
      <c r="F1281">
        <f>Table1[[#This Row],[distance from 45-degree line]]/MAX(Table1[[Flux in SC / glucose uptake ($mmol/mmol\ glc$)]:[Flux in RT / glucose uptake ($mmol/mmol\ glc$)]])</f>
        <v>0</v>
      </c>
      <c r="G1281">
        <f>_xlfn.RANK.AVG(Table1[[#This Row],[Flux in SC / glucose uptake ($mmol/mmol\ glc$)]],Table1[Flux in SC / glucose uptake ($mmol/mmol\ glc$)])</f>
        <v>1310.5</v>
      </c>
      <c r="H1281">
        <f>_xlfn.RANK.AVG(Table1[[#This Row],[Flux in RT / glucose uptake ($mmol/mmol\ glc$)]],Table1[Flux in RT / glucose uptake ($mmol/mmol\ glc$)])</f>
        <v>1290.5</v>
      </c>
      <c r="I1281" t="e">
        <f>LOG(Table1[[#This Row],[Flux in SC / glucose uptake ($mmol/mmol\ glc$)]])</f>
        <v>#NUM!</v>
      </c>
      <c r="J1281" t="e">
        <f>LOG(Table1[[#This Row],[Flux in RT / glucose uptake ($mmol/mmol\ glc$)]])</f>
        <v>#NUM!</v>
      </c>
    </row>
    <row r="1282" spans="1:10" x14ac:dyDescent="0.2">
      <c r="A1282" t="s">
        <v>1285</v>
      </c>
      <c r="B1282" t="s">
        <v>3114</v>
      </c>
      <c r="C1282">
        <v>0</v>
      </c>
      <c r="D1282">
        <v>0</v>
      </c>
      <c r="E1282">
        <f>ABS(Table1[[#This Row],[Flux in SC / glucose uptake ($mmol/mmol\ glc$)]]-Table1[[#This Row],[Flux in RT / glucose uptake ($mmol/mmol\ glc$)]])/SQRT(2)</f>
        <v>0</v>
      </c>
      <c r="F1282">
        <f>Table1[[#This Row],[distance from 45-degree line]]/MAX(Table1[[Flux in SC / glucose uptake ($mmol/mmol\ glc$)]:[Flux in RT / glucose uptake ($mmol/mmol\ glc$)]])</f>
        <v>0</v>
      </c>
      <c r="G1282">
        <f>_xlfn.RANK.AVG(Table1[[#This Row],[Flux in SC / glucose uptake ($mmol/mmol\ glc$)]],Table1[Flux in SC / glucose uptake ($mmol/mmol\ glc$)])</f>
        <v>1310.5</v>
      </c>
      <c r="H1282">
        <f>_xlfn.RANK.AVG(Table1[[#This Row],[Flux in RT / glucose uptake ($mmol/mmol\ glc$)]],Table1[Flux in RT / glucose uptake ($mmol/mmol\ glc$)])</f>
        <v>1290.5</v>
      </c>
      <c r="I1282" t="e">
        <f>LOG(Table1[[#This Row],[Flux in SC / glucose uptake ($mmol/mmol\ glc$)]])</f>
        <v>#NUM!</v>
      </c>
      <c r="J1282" t="e">
        <f>LOG(Table1[[#This Row],[Flux in RT / glucose uptake ($mmol/mmol\ glc$)]])</f>
        <v>#NUM!</v>
      </c>
    </row>
    <row r="1283" spans="1:10" x14ac:dyDescent="0.2">
      <c r="A1283" t="s">
        <v>1286</v>
      </c>
      <c r="B1283" t="s">
        <v>3154</v>
      </c>
      <c r="C1283">
        <v>0</v>
      </c>
      <c r="D1283">
        <v>0</v>
      </c>
      <c r="E1283">
        <f>ABS(Table1[[#This Row],[Flux in SC / glucose uptake ($mmol/mmol\ glc$)]]-Table1[[#This Row],[Flux in RT / glucose uptake ($mmol/mmol\ glc$)]])/SQRT(2)</f>
        <v>0</v>
      </c>
      <c r="F1283">
        <f>Table1[[#This Row],[distance from 45-degree line]]/MAX(Table1[[Flux in SC / glucose uptake ($mmol/mmol\ glc$)]:[Flux in RT / glucose uptake ($mmol/mmol\ glc$)]])</f>
        <v>0</v>
      </c>
      <c r="G1283">
        <f>_xlfn.RANK.AVG(Table1[[#This Row],[Flux in SC / glucose uptake ($mmol/mmol\ glc$)]],Table1[Flux in SC / glucose uptake ($mmol/mmol\ glc$)])</f>
        <v>1310.5</v>
      </c>
      <c r="H1283">
        <f>_xlfn.RANK.AVG(Table1[[#This Row],[Flux in RT / glucose uptake ($mmol/mmol\ glc$)]],Table1[Flux in RT / glucose uptake ($mmol/mmol\ glc$)])</f>
        <v>1290.5</v>
      </c>
      <c r="I1283" t="e">
        <f>LOG(Table1[[#This Row],[Flux in SC / glucose uptake ($mmol/mmol\ glc$)]])</f>
        <v>#NUM!</v>
      </c>
      <c r="J1283" t="e">
        <f>LOG(Table1[[#This Row],[Flux in RT / glucose uptake ($mmol/mmol\ glc$)]])</f>
        <v>#NUM!</v>
      </c>
    </row>
    <row r="1284" spans="1:10" x14ac:dyDescent="0.2">
      <c r="A1284" t="s">
        <v>1287</v>
      </c>
      <c r="B1284" t="s">
        <v>3154</v>
      </c>
      <c r="C1284">
        <v>0</v>
      </c>
      <c r="D1284">
        <v>0</v>
      </c>
      <c r="E1284">
        <f>ABS(Table1[[#This Row],[Flux in SC / glucose uptake ($mmol/mmol\ glc$)]]-Table1[[#This Row],[Flux in RT / glucose uptake ($mmol/mmol\ glc$)]])/SQRT(2)</f>
        <v>0</v>
      </c>
      <c r="F1284">
        <f>Table1[[#This Row],[distance from 45-degree line]]/MAX(Table1[[Flux in SC / glucose uptake ($mmol/mmol\ glc$)]:[Flux in RT / glucose uptake ($mmol/mmol\ glc$)]])</f>
        <v>0</v>
      </c>
      <c r="G1284">
        <f>_xlfn.RANK.AVG(Table1[[#This Row],[Flux in SC / glucose uptake ($mmol/mmol\ glc$)]],Table1[Flux in SC / glucose uptake ($mmol/mmol\ glc$)])</f>
        <v>1310.5</v>
      </c>
      <c r="H1284">
        <f>_xlfn.RANK.AVG(Table1[[#This Row],[Flux in RT / glucose uptake ($mmol/mmol\ glc$)]],Table1[Flux in RT / glucose uptake ($mmol/mmol\ glc$)])</f>
        <v>1290.5</v>
      </c>
      <c r="I1284" t="e">
        <f>LOG(Table1[[#This Row],[Flux in SC / glucose uptake ($mmol/mmol\ glc$)]])</f>
        <v>#NUM!</v>
      </c>
      <c r="J1284" t="e">
        <f>LOG(Table1[[#This Row],[Flux in RT / glucose uptake ($mmol/mmol\ glc$)]])</f>
        <v>#NUM!</v>
      </c>
    </row>
    <row r="1285" spans="1:10" x14ac:dyDescent="0.2">
      <c r="A1285" t="s">
        <v>1288</v>
      </c>
      <c r="B1285" t="s">
        <v>3114</v>
      </c>
      <c r="C1285">
        <v>0</v>
      </c>
      <c r="D1285">
        <v>0</v>
      </c>
      <c r="E1285">
        <f>ABS(Table1[[#This Row],[Flux in SC / glucose uptake ($mmol/mmol\ glc$)]]-Table1[[#This Row],[Flux in RT / glucose uptake ($mmol/mmol\ glc$)]])/SQRT(2)</f>
        <v>0</v>
      </c>
      <c r="F1285">
        <f>Table1[[#This Row],[distance from 45-degree line]]/MAX(Table1[[Flux in SC / glucose uptake ($mmol/mmol\ glc$)]:[Flux in RT / glucose uptake ($mmol/mmol\ glc$)]])</f>
        <v>0</v>
      </c>
      <c r="G1285">
        <f>_xlfn.RANK.AVG(Table1[[#This Row],[Flux in SC / glucose uptake ($mmol/mmol\ glc$)]],Table1[Flux in SC / glucose uptake ($mmol/mmol\ glc$)])</f>
        <v>1310.5</v>
      </c>
      <c r="H1285">
        <f>_xlfn.RANK.AVG(Table1[[#This Row],[Flux in RT / glucose uptake ($mmol/mmol\ glc$)]],Table1[Flux in RT / glucose uptake ($mmol/mmol\ glc$)])</f>
        <v>1290.5</v>
      </c>
      <c r="I1285" t="e">
        <f>LOG(Table1[[#This Row],[Flux in SC / glucose uptake ($mmol/mmol\ glc$)]])</f>
        <v>#NUM!</v>
      </c>
      <c r="J1285" t="e">
        <f>LOG(Table1[[#This Row],[Flux in RT / glucose uptake ($mmol/mmol\ glc$)]])</f>
        <v>#NUM!</v>
      </c>
    </row>
    <row r="1286" spans="1:10" x14ac:dyDescent="0.2">
      <c r="A1286" t="s">
        <v>1289</v>
      </c>
      <c r="B1286" t="s">
        <v>3114</v>
      </c>
      <c r="C1286">
        <v>0</v>
      </c>
      <c r="D1286">
        <v>0</v>
      </c>
      <c r="E1286">
        <f>ABS(Table1[[#This Row],[Flux in SC / glucose uptake ($mmol/mmol\ glc$)]]-Table1[[#This Row],[Flux in RT / glucose uptake ($mmol/mmol\ glc$)]])/SQRT(2)</f>
        <v>0</v>
      </c>
      <c r="F1286">
        <f>Table1[[#This Row],[distance from 45-degree line]]/MAX(Table1[[Flux in SC / glucose uptake ($mmol/mmol\ glc$)]:[Flux in RT / glucose uptake ($mmol/mmol\ glc$)]])</f>
        <v>0</v>
      </c>
      <c r="G1286">
        <f>_xlfn.RANK.AVG(Table1[[#This Row],[Flux in SC / glucose uptake ($mmol/mmol\ glc$)]],Table1[Flux in SC / glucose uptake ($mmol/mmol\ glc$)])</f>
        <v>1310.5</v>
      </c>
      <c r="H1286">
        <f>_xlfn.RANK.AVG(Table1[[#This Row],[Flux in RT / glucose uptake ($mmol/mmol\ glc$)]],Table1[Flux in RT / glucose uptake ($mmol/mmol\ glc$)])</f>
        <v>1290.5</v>
      </c>
      <c r="I1286" t="e">
        <f>LOG(Table1[[#This Row],[Flux in SC / glucose uptake ($mmol/mmol\ glc$)]])</f>
        <v>#NUM!</v>
      </c>
      <c r="J1286" t="e">
        <f>LOG(Table1[[#This Row],[Flux in RT / glucose uptake ($mmol/mmol\ glc$)]])</f>
        <v>#NUM!</v>
      </c>
    </row>
    <row r="1287" spans="1:10" x14ac:dyDescent="0.2">
      <c r="A1287" t="s">
        <v>1290</v>
      </c>
      <c r="B1287" t="s">
        <v>3131</v>
      </c>
      <c r="C1287">
        <v>0</v>
      </c>
      <c r="D1287">
        <v>0</v>
      </c>
      <c r="E1287">
        <f>ABS(Table1[[#This Row],[Flux in SC / glucose uptake ($mmol/mmol\ glc$)]]-Table1[[#This Row],[Flux in RT / glucose uptake ($mmol/mmol\ glc$)]])/SQRT(2)</f>
        <v>0</v>
      </c>
      <c r="F1287">
        <f>Table1[[#This Row],[distance from 45-degree line]]/MAX(Table1[[Flux in SC / glucose uptake ($mmol/mmol\ glc$)]:[Flux in RT / glucose uptake ($mmol/mmol\ glc$)]])</f>
        <v>0</v>
      </c>
      <c r="G1287">
        <f>_xlfn.RANK.AVG(Table1[[#This Row],[Flux in SC / glucose uptake ($mmol/mmol\ glc$)]],Table1[Flux in SC / glucose uptake ($mmol/mmol\ glc$)])</f>
        <v>1310.5</v>
      </c>
      <c r="H1287">
        <f>_xlfn.RANK.AVG(Table1[[#This Row],[Flux in RT / glucose uptake ($mmol/mmol\ glc$)]],Table1[Flux in RT / glucose uptake ($mmol/mmol\ glc$)])</f>
        <v>1290.5</v>
      </c>
      <c r="I1287" t="e">
        <f>LOG(Table1[[#This Row],[Flux in SC / glucose uptake ($mmol/mmol\ glc$)]])</f>
        <v>#NUM!</v>
      </c>
      <c r="J1287" t="e">
        <f>LOG(Table1[[#This Row],[Flux in RT / glucose uptake ($mmol/mmol\ glc$)]])</f>
        <v>#NUM!</v>
      </c>
    </row>
    <row r="1288" spans="1:10" x14ac:dyDescent="0.2">
      <c r="A1288" t="s">
        <v>1291</v>
      </c>
      <c r="B1288" t="s">
        <v>3114</v>
      </c>
      <c r="C1288">
        <v>0</v>
      </c>
      <c r="D1288">
        <v>0</v>
      </c>
      <c r="E1288">
        <f>ABS(Table1[[#This Row],[Flux in SC / glucose uptake ($mmol/mmol\ glc$)]]-Table1[[#This Row],[Flux in RT / glucose uptake ($mmol/mmol\ glc$)]])/SQRT(2)</f>
        <v>0</v>
      </c>
      <c r="F1288">
        <f>Table1[[#This Row],[distance from 45-degree line]]/MAX(Table1[[Flux in SC / glucose uptake ($mmol/mmol\ glc$)]:[Flux in RT / glucose uptake ($mmol/mmol\ glc$)]])</f>
        <v>0</v>
      </c>
      <c r="G1288">
        <f>_xlfn.RANK.AVG(Table1[[#This Row],[Flux in SC / glucose uptake ($mmol/mmol\ glc$)]],Table1[Flux in SC / glucose uptake ($mmol/mmol\ glc$)])</f>
        <v>1310.5</v>
      </c>
      <c r="H1288">
        <f>_xlfn.RANK.AVG(Table1[[#This Row],[Flux in RT / glucose uptake ($mmol/mmol\ glc$)]],Table1[Flux in RT / glucose uptake ($mmol/mmol\ glc$)])</f>
        <v>1290.5</v>
      </c>
      <c r="I1288" t="e">
        <f>LOG(Table1[[#This Row],[Flux in SC / glucose uptake ($mmol/mmol\ glc$)]])</f>
        <v>#NUM!</v>
      </c>
      <c r="J1288" t="e">
        <f>LOG(Table1[[#This Row],[Flux in RT / glucose uptake ($mmol/mmol\ glc$)]])</f>
        <v>#NUM!</v>
      </c>
    </row>
    <row r="1289" spans="1:10" x14ac:dyDescent="0.2">
      <c r="A1289" t="s">
        <v>1292</v>
      </c>
      <c r="B1289" t="s">
        <v>3114</v>
      </c>
      <c r="C1289">
        <v>3.6110321147682783E-9</v>
      </c>
      <c r="D1289">
        <v>0</v>
      </c>
      <c r="E1289">
        <f>ABS(Table1[[#This Row],[Flux in SC / glucose uptake ($mmol/mmol\ glc$)]]-Table1[[#This Row],[Flux in RT / glucose uptake ($mmol/mmol\ glc$)]])/SQRT(2)</f>
        <v>2.5533852954350489E-9</v>
      </c>
      <c r="F1289">
        <f>Table1[[#This Row],[distance from 45-degree line]]/MAX(Table1[[Flux in SC / glucose uptake ($mmol/mmol\ glc$)]:[Flux in RT / glucose uptake ($mmol/mmol\ glc$)]])</f>
        <v>1.376245538429589E-10</v>
      </c>
      <c r="G1289">
        <f>_xlfn.RANK.AVG(Table1[[#This Row],[Flux in SC / glucose uptake ($mmol/mmol\ glc$)]],Table1[Flux in SC / glucose uptake ($mmol/mmol\ glc$)])</f>
        <v>310</v>
      </c>
      <c r="H1289">
        <f>_xlfn.RANK.AVG(Table1[[#This Row],[Flux in RT / glucose uptake ($mmol/mmol\ glc$)]],Table1[Flux in RT / glucose uptake ($mmol/mmol\ glc$)])</f>
        <v>1290.5</v>
      </c>
      <c r="I1289">
        <f>LOG(Table1[[#This Row],[Flux in SC / glucose uptake ($mmol/mmol\ glc$)]])</f>
        <v>-8.4423686491515095</v>
      </c>
      <c r="J1289" t="e">
        <f>LOG(Table1[[#This Row],[Flux in RT / glucose uptake ($mmol/mmol\ glc$)]])</f>
        <v>#NUM!</v>
      </c>
    </row>
    <row r="1290" spans="1:10" x14ac:dyDescent="0.2">
      <c r="A1290" t="s">
        <v>1293</v>
      </c>
      <c r="B1290" t="s">
        <v>3114</v>
      </c>
      <c r="C1290">
        <v>0</v>
      </c>
      <c r="D1290">
        <v>0</v>
      </c>
      <c r="E1290">
        <f>ABS(Table1[[#This Row],[Flux in SC / glucose uptake ($mmol/mmol\ glc$)]]-Table1[[#This Row],[Flux in RT / glucose uptake ($mmol/mmol\ glc$)]])/SQRT(2)</f>
        <v>0</v>
      </c>
      <c r="F1290">
        <f>Table1[[#This Row],[distance from 45-degree line]]/MAX(Table1[[Flux in SC / glucose uptake ($mmol/mmol\ glc$)]:[Flux in RT / glucose uptake ($mmol/mmol\ glc$)]])</f>
        <v>0</v>
      </c>
      <c r="G1290">
        <f>_xlfn.RANK.AVG(Table1[[#This Row],[Flux in SC / glucose uptake ($mmol/mmol\ glc$)]],Table1[Flux in SC / glucose uptake ($mmol/mmol\ glc$)])</f>
        <v>1310.5</v>
      </c>
      <c r="H1290">
        <f>_xlfn.RANK.AVG(Table1[[#This Row],[Flux in RT / glucose uptake ($mmol/mmol\ glc$)]],Table1[Flux in RT / glucose uptake ($mmol/mmol\ glc$)])</f>
        <v>1290.5</v>
      </c>
      <c r="I1290" t="e">
        <f>LOG(Table1[[#This Row],[Flux in SC / glucose uptake ($mmol/mmol\ glc$)]])</f>
        <v>#NUM!</v>
      </c>
      <c r="J1290" t="e">
        <f>LOG(Table1[[#This Row],[Flux in RT / glucose uptake ($mmol/mmol\ glc$)]])</f>
        <v>#NUM!</v>
      </c>
    </row>
    <row r="1291" spans="1:10" x14ac:dyDescent="0.2">
      <c r="A1291" t="s">
        <v>1294</v>
      </c>
      <c r="B1291" t="s">
        <v>3114</v>
      </c>
      <c r="C1291">
        <v>0</v>
      </c>
      <c r="D1291">
        <v>0</v>
      </c>
      <c r="E1291">
        <f>ABS(Table1[[#This Row],[Flux in SC / glucose uptake ($mmol/mmol\ glc$)]]-Table1[[#This Row],[Flux in RT / glucose uptake ($mmol/mmol\ glc$)]])/SQRT(2)</f>
        <v>0</v>
      </c>
      <c r="F1291">
        <f>Table1[[#This Row],[distance from 45-degree line]]/MAX(Table1[[Flux in SC / glucose uptake ($mmol/mmol\ glc$)]:[Flux in RT / glucose uptake ($mmol/mmol\ glc$)]])</f>
        <v>0</v>
      </c>
      <c r="G1291">
        <f>_xlfn.RANK.AVG(Table1[[#This Row],[Flux in SC / glucose uptake ($mmol/mmol\ glc$)]],Table1[Flux in SC / glucose uptake ($mmol/mmol\ glc$)])</f>
        <v>1310.5</v>
      </c>
      <c r="H1291">
        <f>_xlfn.RANK.AVG(Table1[[#This Row],[Flux in RT / glucose uptake ($mmol/mmol\ glc$)]],Table1[Flux in RT / glucose uptake ($mmol/mmol\ glc$)])</f>
        <v>1290.5</v>
      </c>
      <c r="I1291" t="e">
        <f>LOG(Table1[[#This Row],[Flux in SC / glucose uptake ($mmol/mmol\ glc$)]])</f>
        <v>#NUM!</v>
      </c>
      <c r="J1291" t="e">
        <f>LOG(Table1[[#This Row],[Flux in RT / glucose uptake ($mmol/mmol\ glc$)]])</f>
        <v>#NUM!</v>
      </c>
    </row>
    <row r="1292" spans="1:10" x14ac:dyDescent="0.2">
      <c r="A1292" t="s">
        <v>1295</v>
      </c>
      <c r="B1292" t="s">
        <v>3114</v>
      </c>
      <c r="C1292">
        <v>0</v>
      </c>
      <c r="D1292">
        <v>0</v>
      </c>
      <c r="E1292">
        <f>ABS(Table1[[#This Row],[Flux in SC / glucose uptake ($mmol/mmol\ glc$)]]-Table1[[#This Row],[Flux in RT / glucose uptake ($mmol/mmol\ glc$)]])/SQRT(2)</f>
        <v>0</v>
      </c>
      <c r="F1292">
        <f>Table1[[#This Row],[distance from 45-degree line]]/MAX(Table1[[Flux in SC / glucose uptake ($mmol/mmol\ glc$)]:[Flux in RT / glucose uptake ($mmol/mmol\ glc$)]])</f>
        <v>0</v>
      </c>
      <c r="G1292">
        <f>_xlfn.RANK.AVG(Table1[[#This Row],[Flux in SC / glucose uptake ($mmol/mmol\ glc$)]],Table1[Flux in SC / glucose uptake ($mmol/mmol\ glc$)])</f>
        <v>1310.5</v>
      </c>
      <c r="H1292">
        <f>_xlfn.RANK.AVG(Table1[[#This Row],[Flux in RT / glucose uptake ($mmol/mmol\ glc$)]],Table1[Flux in RT / glucose uptake ($mmol/mmol\ glc$)])</f>
        <v>1290.5</v>
      </c>
      <c r="I1292" t="e">
        <f>LOG(Table1[[#This Row],[Flux in SC / glucose uptake ($mmol/mmol\ glc$)]])</f>
        <v>#NUM!</v>
      </c>
      <c r="J1292" t="e">
        <f>LOG(Table1[[#This Row],[Flux in RT / glucose uptake ($mmol/mmol\ glc$)]])</f>
        <v>#NUM!</v>
      </c>
    </row>
    <row r="1293" spans="1:10" x14ac:dyDescent="0.2">
      <c r="A1293" t="s">
        <v>1296</v>
      </c>
      <c r="B1293" t="s">
        <v>3178</v>
      </c>
      <c r="C1293">
        <v>0</v>
      </c>
      <c r="D1293">
        <v>0</v>
      </c>
      <c r="E1293">
        <f>ABS(Table1[[#This Row],[Flux in SC / glucose uptake ($mmol/mmol\ glc$)]]-Table1[[#This Row],[Flux in RT / glucose uptake ($mmol/mmol\ glc$)]])/SQRT(2)</f>
        <v>0</v>
      </c>
      <c r="F1293">
        <f>Table1[[#This Row],[distance from 45-degree line]]/MAX(Table1[[Flux in SC / glucose uptake ($mmol/mmol\ glc$)]:[Flux in RT / glucose uptake ($mmol/mmol\ glc$)]])</f>
        <v>0</v>
      </c>
      <c r="G1293">
        <f>_xlfn.RANK.AVG(Table1[[#This Row],[Flux in SC / glucose uptake ($mmol/mmol\ glc$)]],Table1[Flux in SC / glucose uptake ($mmol/mmol\ glc$)])</f>
        <v>1310.5</v>
      </c>
      <c r="H1293">
        <f>_xlfn.RANK.AVG(Table1[[#This Row],[Flux in RT / glucose uptake ($mmol/mmol\ glc$)]],Table1[Flux in RT / glucose uptake ($mmol/mmol\ glc$)])</f>
        <v>1290.5</v>
      </c>
      <c r="I1293" t="e">
        <f>LOG(Table1[[#This Row],[Flux in SC / glucose uptake ($mmol/mmol\ glc$)]])</f>
        <v>#NUM!</v>
      </c>
      <c r="J1293" t="e">
        <f>LOG(Table1[[#This Row],[Flux in RT / glucose uptake ($mmol/mmol\ glc$)]])</f>
        <v>#NUM!</v>
      </c>
    </row>
    <row r="1294" spans="1:10" x14ac:dyDescent="0.2">
      <c r="A1294" t="s">
        <v>1297</v>
      </c>
      <c r="B1294" t="s">
        <v>3188</v>
      </c>
      <c r="C1294">
        <v>0</v>
      </c>
      <c r="D1294">
        <v>0</v>
      </c>
      <c r="E1294">
        <f>ABS(Table1[[#This Row],[Flux in SC / glucose uptake ($mmol/mmol\ glc$)]]-Table1[[#This Row],[Flux in RT / glucose uptake ($mmol/mmol\ glc$)]])/SQRT(2)</f>
        <v>0</v>
      </c>
      <c r="F1294">
        <f>Table1[[#This Row],[distance from 45-degree line]]/MAX(Table1[[Flux in SC / glucose uptake ($mmol/mmol\ glc$)]:[Flux in RT / glucose uptake ($mmol/mmol\ glc$)]])</f>
        <v>0</v>
      </c>
      <c r="G1294">
        <f>_xlfn.RANK.AVG(Table1[[#This Row],[Flux in SC / glucose uptake ($mmol/mmol\ glc$)]],Table1[Flux in SC / glucose uptake ($mmol/mmol\ glc$)])</f>
        <v>1310.5</v>
      </c>
      <c r="H1294">
        <f>_xlfn.RANK.AVG(Table1[[#This Row],[Flux in RT / glucose uptake ($mmol/mmol\ glc$)]],Table1[Flux in RT / glucose uptake ($mmol/mmol\ glc$)])</f>
        <v>1290.5</v>
      </c>
      <c r="I1294" t="e">
        <f>LOG(Table1[[#This Row],[Flux in SC / glucose uptake ($mmol/mmol\ glc$)]])</f>
        <v>#NUM!</v>
      </c>
      <c r="J1294" t="e">
        <f>LOG(Table1[[#This Row],[Flux in RT / glucose uptake ($mmol/mmol\ glc$)]])</f>
        <v>#NUM!</v>
      </c>
    </row>
    <row r="1295" spans="1:10" x14ac:dyDescent="0.2">
      <c r="A1295" t="s">
        <v>1298</v>
      </c>
      <c r="B1295" t="s">
        <v>3131</v>
      </c>
      <c r="C1295">
        <v>4.4895452674283194E-2</v>
      </c>
      <c r="D1295">
        <v>0.38714450859531063</v>
      </c>
      <c r="E1295">
        <f>ABS(Table1[[#This Row],[Flux in SC / glucose uptake ($mmol/mmol\ glc$)]]-Table1[[#This Row],[Flux in RT / glucose uptake ($mmol/mmol\ glc$)]])/SQRT(2)</f>
        <v>0.24200662829645239</v>
      </c>
      <c r="F1295">
        <f>Table1[[#This Row],[distance from 45-degree line]]/MAX(Table1[[Flux in SC / glucose uptake ($mmol/mmol\ glc$)]:[Flux in RT / glucose uptake ($mmol/mmol\ glc$)]])</f>
        <v>1.3043881119658178E-2</v>
      </c>
      <c r="G1295">
        <f>_xlfn.RANK.AVG(Table1[[#This Row],[Flux in SC / glucose uptake ($mmol/mmol\ glc$)]],Table1[Flux in SC / glucose uptake ($mmol/mmol\ glc$)])</f>
        <v>49</v>
      </c>
      <c r="H1295">
        <f>_xlfn.RANK.AVG(Table1[[#This Row],[Flux in RT / glucose uptake ($mmol/mmol\ glc$)]],Table1[Flux in RT / glucose uptake ($mmol/mmol\ glc$)])</f>
        <v>48</v>
      </c>
      <c r="I1295">
        <f>LOG(Table1[[#This Row],[Flux in SC / glucose uptake ($mmol/mmol\ glc$)]])</f>
        <v>-1.3477976451543072</v>
      </c>
      <c r="J1295">
        <f>LOG(Table1[[#This Row],[Flux in RT / glucose uptake ($mmol/mmol\ glc$)]])</f>
        <v>-0.41212689655457224</v>
      </c>
    </row>
    <row r="1296" spans="1:10" x14ac:dyDescent="0.2">
      <c r="A1296" t="s">
        <v>1299</v>
      </c>
      <c r="B1296" t="s">
        <v>3114</v>
      </c>
      <c r="C1296">
        <v>0</v>
      </c>
      <c r="D1296">
        <v>0</v>
      </c>
      <c r="E1296">
        <f>ABS(Table1[[#This Row],[Flux in SC / glucose uptake ($mmol/mmol\ glc$)]]-Table1[[#This Row],[Flux in RT / glucose uptake ($mmol/mmol\ glc$)]])/SQRT(2)</f>
        <v>0</v>
      </c>
      <c r="F1296">
        <f>Table1[[#This Row],[distance from 45-degree line]]/MAX(Table1[[Flux in SC / glucose uptake ($mmol/mmol\ glc$)]:[Flux in RT / glucose uptake ($mmol/mmol\ glc$)]])</f>
        <v>0</v>
      </c>
      <c r="G1296">
        <f>_xlfn.RANK.AVG(Table1[[#This Row],[Flux in SC / glucose uptake ($mmol/mmol\ glc$)]],Table1[Flux in SC / glucose uptake ($mmol/mmol\ glc$)])</f>
        <v>1310.5</v>
      </c>
      <c r="H1296">
        <f>_xlfn.RANK.AVG(Table1[[#This Row],[Flux in RT / glucose uptake ($mmol/mmol\ glc$)]],Table1[Flux in RT / glucose uptake ($mmol/mmol\ glc$)])</f>
        <v>1290.5</v>
      </c>
      <c r="I1296" t="e">
        <f>LOG(Table1[[#This Row],[Flux in SC / glucose uptake ($mmol/mmol\ glc$)]])</f>
        <v>#NUM!</v>
      </c>
      <c r="J1296" t="e">
        <f>LOG(Table1[[#This Row],[Flux in RT / glucose uptake ($mmol/mmol\ glc$)]])</f>
        <v>#NUM!</v>
      </c>
    </row>
    <row r="1297" spans="1:10" x14ac:dyDescent="0.2">
      <c r="A1297" t="s">
        <v>1300</v>
      </c>
      <c r="B1297" t="s">
        <v>3114</v>
      </c>
      <c r="C1297">
        <v>0</v>
      </c>
      <c r="D1297">
        <v>0</v>
      </c>
      <c r="E1297">
        <f>ABS(Table1[[#This Row],[Flux in SC / glucose uptake ($mmol/mmol\ glc$)]]-Table1[[#This Row],[Flux in RT / glucose uptake ($mmol/mmol\ glc$)]])/SQRT(2)</f>
        <v>0</v>
      </c>
      <c r="F1297">
        <f>Table1[[#This Row],[distance from 45-degree line]]/MAX(Table1[[Flux in SC / glucose uptake ($mmol/mmol\ glc$)]:[Flux in RT / glucose uptake ($mmol/mmol\ glc$)]])</f>
        <v>0</v>
      </c>
      <c r="G1297">
        <f>_xlfn.RANK.AVG(Table1[[#This Row],[Flux in SC / glucose uptake ($mmol/mmol\ glc$)]],Table1[Flux in SC / glucose uptake ($mmol/mmol\ glc$)])</f>
        <v>1310.5</v>
      </c>
      <c r="H1297">
        <f>_xlfn.RANK.AVG(Table1[[#This Row],[Flux in RT / glucose uptake ($mmol/mmol\ glc$)]],Table1[Flux in RT / glucose uptake ($mmol/mmol\ glc$)])</f>
        <v>1290.5</v>
      </c>
      <c r="I1297" t="e">
        <f>LOG(Table1[[#This Row],[Flux in SC / glucose uptake ($mmol/mmol\ glc$)]])</f>
        <v>#NUM!</v>
      </c>
      <c r="J1297" t="e">
        <f>LOG(Table1[[#This Row],[Flux in RT / glucose uptake ($mmol/mmol\ glc$)]])</f>
        <v>#NUM!</v>
      </c>
    </row>
    <row r="1298" spans="1:10" x14ac:dyDescent="0.2">
      <c r="A1298" t="s">
        <v>1301</v>
      </c>
      <c r="B1298" t="s">
        <v>3114</v>
      </c>
      <c r="C1298">
        <v>0</v>
      </c>
      <c r="D1298">
        <v>0</v>
      </c>
      <c r="E1298">
        <f>ABS(Table1[[#This Row],[Flux in SC / glucose uptake ($mmol/mmol\ glc$)]]-Table1[[#This Row],[Flux in RT / glucose uptake ($mmol/mmol\ glc$)]])/SQRT(2)</f>
        <v>0</v>
      </c>
      <c r="F1298">
        <f>Table1[[#This Row],[distance from 45-degree line]]/MAX(Table1[[Flux in SC / glucose uptake ($mmol/mmol\ glc$)]:[Flux in RT / glucose uptake ($mmol/mmol\ glc$)]])</f>
        <v>0</v>
      </c>
      <c r="G1298">
        <f>_xlfn.RANK.AVG(Table1[[#This Row],[Flux in SC / glucose uptake ($mmol/mmol\ glc$)]],Table1[Flux in SC / glucose uptake ($mmol/mmol\ glc$)])</f>
        <v>1310.5</v>
      </c>
      <c r="H1298">
        <f>_xlfn.RANK.AVG(Table1[[#This Row],[Flux in RT / glucose uptake ($mmol/mmol\ glc$)]],Table1[Flux in RT / glucose uptake ($mmol/mmol\ glc$)])</f>
        <v>1290.5</v>
      </c>
      <c r="I1298" t="e">
        <f>LOG(Table1[[#This Row],[Flux in SC / glucose uptake ($mmol/mmol\ glc$)]])</f>
        <v>#NUM!</v>
      </c>
      <c r="J1298" t="e">
        <f>LOG(Table1[[#This Row],[Flux in RT / glucose uptake ($mmol/mmol\ glc$)]])</f>
        <v>#NUM!</v>
      </c>
    </row>
    <row r="1299" spans="1:10" x14ac:dyDescent="0.2">
      <c r="A1299" t="s">
        <v>1302</v>
      </c>
      <c r="B1299" t="s">
        <v>3114</v>
      </c>
      <c r="C1299">
        <v>0</v>
      </c>
      <c r="D1299">
        <v>0</v>
      </c>
      <c r="E1299">
        <f>ABS(Table1[[#This Row],[Flux in SC / glucose uptake ($mmol/mmol\ glc$)]]-Table1[[#This Row],[Flux in RT / glucose uptake ($mmol/mmol\ glc$)]])/SQRT(2)</f>
        <v>0</v>
      </c>
      <c r="F1299">
        <f>Table1[[#This Row],[distance from 45-degree line]]/MAX(Table1[[Flux in SC / glucose uptake ($mmol/mmol\ glc$)]:[Flux in RT / glucose uptake ($mmol/mmol\ glc$)]])</f>
        <v>0</v>
      </c>
      <c r="G1299">
        <f>_xlfn.RANK.AVG(Table1[[#This Row],[Flux in SC / glucose uptake ($mmol/mmol\ glc$)]],Table1[Flux in SC / glucose uptake ($mmol/mmol\ glc$)])</f>
        <v>1310.5</v>
      </c>
      <c r="H1299">
        <f>_xlfn.RANK.AVG(Table1[[#This Row],[Flux in RT / glucose uptake ($mmol/mmol\ glc$)]],Table1[Flux in RT / glucose uptake ($mmol/mmol\ glc$)])</f>
        <v>1290.5</v>
      </c>
      <c r="I1299" t="e">
        <f>LOG(Table1[[#This Row],[Flux in SC / glucose uptake ($mmol/mmol\ glc$)]])</f>
        <v>#NUM!</v>
      </c>
      <c r="J1299" t="e">
        <f>LOG(Table1[[#This Row],[Flux in RT / glucose uptake ($mmol/mmol\ glc$)]])</f>
        <v>#NUM!</v>
      </c>
    </row>
    <row r="1300" spans="1:10" x14ac:dyDescent="0.2">
      <c r="A1300" t="s">
        <v>1303</v>
      </c>
      <c r="B1300" t="s">
        <v>3115</v>
      </c>
      <c r="C1300">
        <v>4.0588330309698113E-3</v>
      </c>
      <c r="D1300">
        <v>1.7025150900225317E-2</v>
      </c>
      <c r="E1300">
        <f>ABS(Table1[[#This Row],[Flux in SC / glucose uptake ($mmol/mmol\ glc$)]]-Table1[[#This Row],[Flux in RT / glucose uptake ($mmol/mmol\ glc$)]])/SQRT(2)</f>
        <v>9.1685712923708727E-3</v>
      </c>
      <c r="F1300">
        <f>Table1[[#This Row],[distance from 45-degree line]]/MAX(Table1[[Flux in SC / glucose uptake ($mmol/mmol\ glc$)]:[Flux in RT / glucose uptake ($mmol/mmol\ glc$)]])</f>
        <v>4.941755307143773E-4</v>
      </c>
      <c r="G1300">
        <f>_xlfn.RANK.AVG(Table1[[#This Row],[Flux in SC / glucose uptake ($mmol/mmol\ glc$)]],Table1[Flux in SC / glucose uptake ($mmol/mmol\ glc$)])</f>
        <v>139</v>
      </c>
      <c r="H1300">
        <f>_xlfn.RANK.AVG(Table1[[#This Row],[Flux in RT / glucose uptake ($mmol/mmol\ glc$)]],Table1[Flux in RT / glucose uptake ($mmol/mmol\ glc$)])</f>
        <v>165</v>
      </c>
      <c r="I1300">
        <f>LOG(Table1[[#This Row],[Flux in SC / glucose uptake ($mmol/mmol\ glc$)]])</f>
        <v>-2.3915988139746447</v>
      </c>
      <c r="J1300">
        <f>LOG(Table1[[#This Row],[Flux in RT / glucose uptake ($mmol/mmol\ glc$)]])</f>
        <v>-1.7689090300850896</v>
      </c>
    </row>
    <row r="1301" spans="1:10" x14ac:dyDescent="0.2">
      <c r="A1301" t="s">
        <v>1304</v>
      </c>
      <c r="B1301" t="s">
        <v>3178</v>
      </c>
      <c r="C1301">
        <v>0</v>
      </c>
      <c r="D1301">
        <v>0</v>
      </c>
      <c r="E1301">
        <f>ABS(Table1[[#This Row],[Flux in SC / glucose uptake ($mmol/mmol\ glc$)]]-Table1[[#This Row],[Flux in RT / glucose uptake ($mmol/mmol\ glc$)]])/SQRT(2)</f>
        <v>0</v>
      </c>
      <c r="F1301">
        <f>Table1[[#This Row],[distance from 45-degree line]]/MAX(Table1[[Flux in SC / glucose uptake ($mmol/mmol\ glc$)]:[Flux in RT / glucose uptake ($mmol/mmol\ glc$)]])</f>
        <v>0</v>
      </c>
      <c r="G1301">
        <f>_xlfn.RANK.AVG(Table1[[#This Row],[Flux in SC / glucose uptake ($mmol/mmol\ glc$)]],Table1[Flux in SC / glucose uptake ($mmol/mmol\ glc$)])</f>
        <v>1310.5</v>
      </c>
      <c r="H1301">
        <f>_xlfn.RANK.AVG(Table1[[#This Row],[Flux in RT / glucose uptake ($mmol/mmol\ glc$)]],Table1[Flux in RT / glucose uptake ($mmol/mmol\ glc$)])</f>
        <v>1290.5</v>
      </c>
      <c r="I1301" t="e">
        <f>LOG(Table1[[#This Row],[Flux in SC / glucose uptake ($mmol/mmol\ glc$)]])</f>
        <v>#NUM!</v>
      </c>
      <c r="J1301" t="e">
        <f>LOG(Table1[[#This Row],[Flux in RT / glucose uptake ($mmol/mmol\ glc$)]])</f>
        <v>#NUM!</v>
      </c>
    </row>
    <row r="1302" spans="1:10" x14ac:dyDescent="0.2">
      <c r="A1302" t="s">
        <v>1305</v>
      </c>
      <c r="B1302" t="s">
        <v>3132</v>
      </c>
      <c r="C1302">
        <v>3.6110321147682783E-9</v>
      </c>
      <c r="D1302">
        <v>0</v>
      </c>
      <c r="E1302">
        <f>ABS(Table1[[#This Row],[Flux in SC / glucose uptake ($mmol/mmol\ glc$)]]-Table1[[#This Row],[Flux in RT / glucose uptake ($mmol/mmol\ glc$)]])/SQRT(2)</f>
        <v>2.5533852954350489E-9</v>
      </c>
      <c r="F1302">
        <f>Table1[[#This Row],[distance from 45-degree line]]/MAX(Table1[[Flux in SC / glucose uptake ($mmol/mmol\ glc$)]:[Flux in RT / glucose uptake ($mmol/mmol\ glc$)]])</f>
        <v>1.376245538429589E-10</v>
      </c>
      <c r="G1302">
        <f>_xlfn.RANK.AVG(Table1[[#This Row],[Flux in SC / glucose uptake ($mmol/mmol\ glc$)]],Table1[Flux in SC / glucose uptake ($mmol/mmol\ glc$)])</f>
        <v>310</v>
      </c>
      <c r="H1302">
        <f>_xlfn.RANK.AVG(Table1[[#This Row],[Flux in RT / glucose uptake ($mmol/mmol\ glc$)]],Table1[Flux in RT / glucose uptake ($mmol/mmol\ glc$)])</f>
        <v>1290.5</v>
      </c>
      <c r="I1302">
        <f>LOG(Table1[[#This Row],[Flux in SC / glucose uptake ($mmol/mmol\ glc$)]])</f>
        <v>-8.4423686491515095</v>
      </c>
      <c r="J1302" t="e">
        <f>LOG(Table1[[#This Row],[Flux in RT / glucose uptake ($mmol/mmol\ glc$)]])</f>
        <v>#NUM!</v>
      </c>
    </row>
    <row r="1303" spans="1:10" x14ac:dyDescent="0.2">
      <c r="A1303" t="s">
        <v>1306</v>
      </c>
      <c r="B1303" t="s">
        <v>3143</v>
      </c>
      <c r="C1303">
        <v>0</v>
      </c>
      <c r="D1303">
        <v>0</v>
      </c>
      <c r="E1303">
        <f>ABS(Table1[[#This Row],[Flux in SC / glucose uptake ($mmol/mmol\ glc$)]]-Table1[[#This Row],[Flux in RT / glucose uptake ($mmol/mmol\ glc$)]])/SQRT(2)</f>
        <v>0</v>
      </c>
      <c r="F1303">
        <f>Table1[[#This Row],[distance from 45-degree line]]/MAX(Table1[[Flux in SC / glucose uptake ($mmol/mmol\ glc$)]:[Flux in RT / glucose uptake ($mmol/mmol\ glc$)]])</f>
        <v>0</v>
      </c>
      <c r="G1303">
        <f>_xlfn.RANK.AVG(Table1[[#This Row],[Flux in SC / glucose uptake ($mmol/mmol\ glc$)]],Table1[Flux in SC / glucose uptake ($mmol/mmol\ glc$)])</f>
        <v>1310.5</v>
      </c>
      <c r="H1303">
        <f>_xlfn.RANK.AVG(Table1[[#This Row],[Flux in RT / glucose uptake ($mmol/mmol\ glc$)]],Table1[Flux in RT / glucose uptake ($mmol/mmol\ glc$)])</f>
        <v>1290.5</v>
      </c>
      <c r="I1303" t="e">
        <f>LOG(Table1[[#This Row],[Flux in SC / glucose uptake ($mmol/mmol\ glc$)]])</f>
        <v>#NUM!</v>
      </c>
      <c r="J1303" t="e">
        <f>LOG(Table1[[#This Row],[Flux in RT / glucose uptake ($mmol/mmol\ glc$)]])</f>
        <v>#NUM!</v>
      </c>
    </row>
    <row r="1304" spans="1:10" x14ac:dyDescent="0.2">
      <c r="A1304" t="s">
        <v>1307</v>
      </c>
      <c r="B1304" t="s">
        <v>3114</v>
      </c>
      <c r="C1304">
        <v>7.2065561485180854E-2</v>
      </c>
      <c r="D1304">
        <v>0.60339493451020865</v>
      </c>
      <c r="E1304">
        <f>ABS(Table1[[#This Row],[Flux in SC / glucose uptake ($mmol/mmol\ glc$)]]-Table1[[#This Row],[Flux in RT / glucose uptake ($mmol/mmol\ glc$)]])/SQRT(2)</f>
        <v>0.37570660270959377</v>
      </c>
      <c r="F1304">
        <f>Table1[[#This Row],[distance from 45-degree line]]/MAX(Table1[[Flux in SC / glucose uptake ($mmol/mmol\ glc$)]:[Flux in RT / glucose uptake ($mmol/mmol\ glc$)]])</f>
        <v>2.0250157180039627E-2</v>
      </c>
      <c r="G1304">
        <f>_xlfn.RANK.AVG(Table1[[#This Row],[Flux in SC / glucose uptake ($mmol/mmol\ glc$)]],Table1[Flux in SC / glucose uptake ($mmol/mmol\ glc$)])</f>
        <v>42</v>
      </c>
      <c r="H1304">
        <f>_xlfn.RANK.AVG(Table1[[#This Row],[Flux in RT / glucose uptake ($mmol/mmol\ glc$)]],Table1[Flux in RT / glucose uptake ($mmol/mmol\ glc$)])</f>
        <v>33</v>
      </c>
      <c r="I1304">
        <f>LOG(Table1[[#This Row],[Flux in SC / glucose uptake ($mmol/mmol\ glc$)]])</f>
        <v>-1.142272225295264</v>
      </c>
      <c r="J1304">
        <f>LOG(Table1[[#This Row],[Flux in RT / glucose uptake ($mmol/mmol\ glc$)]])</f>
        <v>-0.21939834004021269</v>
      </c>
    </row>
    <row r="1305" spans="1:10" x14ac:dyDescent="0.2">
      <c r="A1305" t="s">
        <v>1308</v>
      </c>
      <c r="B1305" t="s">
        <v>3114</v>
      </c>
      <c r="C1305">
        <v>0</v>
      </c>
      <c r="D1305">
        <v>0</v>
      </c>
      <c r="E1305">
        <f>ABS(Table1[[#This Row],[Flux in SC / glucose uptake ($mmol/mmol\ glc$)]]-Table1[[#This Row],[Flux in RT / glucose uptake ($mmol/mmol\ glc$)]])/SQRT(2)</f>
        <v>0</v>
      </c>
      <c r="F1305">
        <f>Table1[[#This Row],[distance from 45-degree line]]/MAX(Table1[[Flux in SC / glucose uptake ($mmol/mmol\ glc$)]:[Flux in RT / glucose uptake ($mmol/mmol\ glc$)]])</f>
        <v>0</v>
      </c>
      <c r="G1305">
        <f>_xlfn.RANK.AVG(Table1[[#This Row],[Flux in SC / glucose uptake ($mmol/mmol\ glc$)]],Table1[Flux in SC / glucose uptake ($mmol/mmol\ glc$)])</f>
        <v>1310.5</v>
      </c>
      <c r="H1305">
        <f>_xlfn.RANK.AVG(Table1[[#This Row],[Flux in RT / glucose uptake ($mmol/mmol\ glc$)]],Table1[Flux in RT / glucose uptake ($mmol/mmol\ glc$)])</f>
        <v>1290.5</v>
      </c>
      <c r="I1305" t="e">
        <f>LOG(Table1[[#This Row],[Flux in SC / glucose uptake ($mmol/mmol\ glc$)]])</f>
        <v>#NUM!</v>
      </c>
      <c r="J1305" t="e">
        <f>LOG(Table1[[#This Row],[Flux in RT / glucose uptake ($mmol/mmol\ glc$)]])</f>
        <v>#NUM!</v>
      </c>
    </row>
    <row r="1306" spans="1:10" x14ac:dyDescent="0.2">
      <c r="A1306" t="s">
        <v>1309</v>
      </c>
      <c r="B1306" t="s">
        <v>3154</v>
      </c>
      <c r="C1306">
        <v>0</v>
      </c>
      <c r="D1306">
        <v>0</v>
      </c>
      <c r="E1306">
        <f>ABS(Table1[[#This Row],[Flux in SC / glucose uptake ($mmol/mmol\ glc$)]]-Table1[[#This Row],[Flux in RT / glucose uptake ($mmol/mmol\ glc$)]])/SQRT(2)</f>
        <v>0</v>
      </c>
      <c r="F1306">
        <f>Table1[[#This Row],[distance from 45-degree line]]/MAX(Table1[[Flux in SC / glucose uptake ($mmol/mmol\ glc$)]:[Flux in RT / glucose uptake ($mmol/mmol\ glc$)]])</f>
        <v>0</v>
      </c>
      <c r="G1306">
        <f>_xlfn.RANK.AVG(Table1[[#This Row],[Flux in SC / glucose uptake ($mmol/mmol\ glc$)]],Table1[Flux in SC / glucose uptake ($mmol/mmol\ glc$)])</f>
        <v>1310.5</v>
      </c>
      <c r="H1306">
        <f>_xlfn.RANK.AVG(Table1[[#This Row],[Flux in RT / glucose uptake ($mmol/mmol\ glc$)]],Table1[Flux in RT / glucose uptake ($mmol/mmol\ glc$)])</f>
        <v>1290.5</v>
      </c>
      <c r="I1306" t="e">
        <f>LOG(Table1[[#This Row],[Flux in SC / glucose uptake ($mmol/mmol\ glc$)]])</f>
        <v>#NUM!</v>
      </c>
      <c r="J1306" t="e">
        <f>LOG(Table1[[#This Row],[Flux in RT / glucose uptake ($mmol/mmol\ glc$)]])</f>
        <v>#NUM!</v>
      </c>
    </row>
    <row r="1307" spans="1:10" x14ac:dyDescent="0.2">
      <c r="A1307" t="s">
        <v>1310</v>
      </c>
      <c r="B1307" t="s">
        <v>3118</v>
      </c>
      <c r="C1307">
        <v>0</v>
      </c>
      <c r="D1307">
        <v>0</v>
      </c>
      <c r="E1307">
        <f>ABS(Table1[[#This Row],[Flux in SC / glucose uptake ($mmol/mmol\ glc$)]]-Table1[[#This Row],[Flux in RT / glucose uptake ($mmol/mmol\ glc$)]])/SQRT(2)</f>
        <v>0</v>
      </c>
      <c r="F1307">
        <f>Table1[[#This Row],[distance from 45-degree line]]/MAX(Table1[[Flux in SC / glucose uptake ($mmol/mmol\ glc$)]:[Flux in RT / glucose uptake ($mmol/mmol\ glc$)]])</f>
        <v>0</v>
      </c>
      <c r="G1307">
        <f>_xlfn.RANK.AVG(Table1[[#This Row],[Flux in SC / glucose uptake ($mmol/mmol\ glc$)]],Table1[Flux in SC / glucose uptake ($mmol/mmol\ glc$)])</f>
        <v>1310.5</v>
      </c>
      <c r="H1307">
        <f>_xlfn.RANK.AVG(Table1[[#This Row],[Flux in RT / glucose uptake ($mmol/mmol\ glc$)]],Table1[Flux in RT / glucose uptake ($mmol/mmol\ glc$)])</f>
        <v>1290.5</v>
      </c>
      <c r="I1307" t="e">
        <f>LOG(Table1[[#This Row],[Flux in SC / glucose uptake ($mmol/mmol\ glc$)]])</f>
        <v>#NUM!</v>
      </c>
      <c r="J1307" t="e">
        <f>LOG(Table1[[#This Row],[Flux in RT / glucose uptake ($mmol/mmol\ glc$)]])</f>
        <v>#NUM!</v>
      </c>
    </row>
    <row r="1308" spans="1:10" x14ac:dyDescent="0.2">
      <c r="A1308" t="s">
        <v>1311</v>
      </c>
      <c r="B1308" t="s">
        <v>3150</v>
      </c>
      <c r="C1308">
        <v>1.3997938133051351E-3</v>
      </c>
      <c r="D1308">
        <v>8.2593490700919748E-3</v>
      </c>
      <c r="E1308">
        <f>ABS(Table1[[#This Row],[Flux in SC / glucose uptake ($mmol/mmol\ glc$)]]-Table1[[#This Row],[Flux in RT / glucose uptake ($mmol/mmol\ glc$)]])/SQRT(2)</f>
        <v>4.8504380379978031E-3</v>
      </c>
      <c r="F1308">
        <f>Table1[[#This Row],[distance from 45-degree line]]/MAX(Table1[[Flux in SC / glucose uptake ($mmol/mmol\ glc$)]:[Flux in RT / glucose uptake ($mmol/mmol\ glc$)]])</f>
        <v>2.6143307557844632E-4</v>
      </c>
      <c r="G1308">
        <f>_xlfn.RANK.AVG(Table1[[#This Row],[Flux in SC / glucose uptake ($mmol/mmol\ glc$)]],Table1[Flux in SC / glucose uptake ($mmol/mmol\ glc$)])</f>
        <v>198</v>
      </c>
      <c r="H1308">
        <f>_xlfn.RANK.AVG(Table1[[#This Row],[Flux in RT / glucose uptake ($mmol/mmol\ glc$)]],Table1[Flux in RT / glucose uptake ($mmol/mmol\ glc$)])</f>
        <v>202.5</v>
      </c>
      <c r="I1308">
        <f>LOG(Table1[[#This Row],[Flux in SC / glucose uptake ($mmol/mmol\ glc$)]])</f>
        <v>-2.8539359302777965</v>
      </c>
      <c r="J1308">
        <f>LOG(Table1[[#This Row],[Flux in RT / glucose uptake ($mmol/mmol\ glc$)]])</f>
        <v>-2.0830541786368402</v>
      </c>
    </row>
    <row r="1309" spans="1:10" x14ac:dyDescent="0.2">
      <c r="A1309" t="s">
        <v>1312</v>
      </c>
      <c r="B1309" t="s">
        <v>3182</v>
      </c>
      <c r="C1309">
        <v>3.4017731116890541E-2</v>
      </c>
      <c r="D1309">
        <v>0.63499171113962449</v>
      </c>
      <c r="E1309">
        <f>ABS(Table1[[#This Row],[Flux in SC / glucose uptake ($mmol/mmol\ glc$)]]-Table1[[#This Row],[Flux in RT / glucose uptake ($mmol/mmol\ glc$)]])/SQRT(2)</f>
        <v>0.42495277659074387</v>
      </c>
      <c r="F1309">
        <f>Table1[[#This Row],[distance from 45-degree line]]/MAX(Table1[[Flux in SC / glucose uptake ($mmol/mmol\ glc$)]:[Flux in RT / glucose uptake ($mmol/mmol\ glc$)]])</f>
        <v>2.2904469759101966E-2</v>
      </c>
      <c r="G1309">
        <f>_xlfn.RANK.AVG(Table1[[#This Row],[Flux in SC / glucose uptake ($mmol/mmol\ glc$)]],Table1[Flux in SC / glucose uptake ($mmol/mmol\ glc$)])</f>
        <v>54</v>
      </c>
      <c r="H1309">
        <f>_xlfn.RANK.AVG(Table1[[#This Row],[Flux in RT / glucose uptake ($mmol/mmol\ glc$)]],Table1[Flux in RT / glucose uptake ($mmol/mmol\ glc$)])</f>
        <v>30</v>
      </c>
      <c r="I1309">
        <f>LOG(Table1[[#This Row],[Flux in SC / glucose uptake ($mmol/mmol\ glc$)]])</f>
        <v>-1.4682946559284533</v>
      </c>
      <c r="J1309">
        <f>LOG(Table1[[#This Row],[Flux in RT / glucose uptake ($mmol/mmol\ glc$)]])</f>
        <v>-0.19723194373135861</v>
      </c>
    </row>
    <row r="1310" spans="1:10" x14ac:dyDescent="0.2">
      <c r="A1310" t="s">
        <v>1313</v>
      </c>
      <c r="B1310" t="s">
        <v>3182</v>
      </c>
      <c r="C1310">
        <v>0</v>
      </c>
      <c r="D1310">
        <v>0</v>
      </c>
      <c r="E1310">
        <f>ABS(Table1[[#This Row],[Flux in SC / glucose uptake ($mmol/mmol\ glc$)]]-Table1[[#This Row],[Flux in RT / glucose uptake ($mmol/mmol\ glc$)]])/SQRT(2)</f>
        <v>0</v>
      </c>
      <c r="F1310">
        <f>Table1[[#This Row],[distance from 45-degree line]]/MAX(Table1[[Flux in SC / glucose uptake ($mmol/mmol\ glc$)]:[Flux in RT / glucose uptake ($mmol/mmol\ glc$)]])</f>
        <v>0</v>
      </c>
      <c r="G1310">
        <f>_xlfn.RANK.AVG(Table1[[#This Row],[Flux in SC / glucose uptake ($mmol/mmol\ glc$)]],Table1[Flux in SC / glucose uptake ($mmol/mmol\ glc$)])</f>
        <v>1310.5</v>
      </c>
      <c r="H1310">
        <f>_xlfn.RANK.AVG(Table1[[#This Row],[Flux in RT / glucose uptake ($mmol/mmol\ glc$)]],Table1[Flux in RT / glucose uptake ($mmol/mmol\ glc$)])</f>
        <v>1290.5</v>
      </c>
      <c r="I1310" t="e">
        <f>LOG(Table1[[#This Row],[Flux in SC / glucose uptake ($mmol/mmol\ glc$)]])</f>
        <v>#NUM!</v>
      </c>
      <c r="J1310" t="e">
        <f>LOG(Table1[[#This Row],[Flux in RT / glucose uptake ($mmol/mmol\ glc$)]])</f>
        <v>#NUM!</v>
      </c>
    </row>
    <row r="1311" spans="1:10" x14ac:dyDescent="0.2">
      <c r="A1311" t="s">
        <v>1314</v>
      </c>
      <c r="B1311" t="s">
        <v>3193</v>
      </c>
      <c r="C1311">
        <v>0</v>
      </c>
      <c r="D1311">
        <v>0</v>
      </c>
      <c r="E1311">
        <f>ABS(Table1[[#This Row],[Flux in SC / glucose uptake ($mmol/mmol\ glc$)]]-Table1[[#This Row],[Flux in RT / glucose uptake ($mmol/mmol\ glc$)]])/SQRT(2)</f>
        <v>0</v>
      </c>
      <c r="F1311">
        <f>Table1[[#This Row],[distance from 45-degree line]]/MAX(Table1[[Flux in SC / glucose uptake ($mmol/mmol\ glc$)]:[Flux in RT / glucose uptake ($mmol/mmol\ glc$)]])</f>
        <v>0</v>
      </c>
      <c r="G1311">
        <f>_xlfn.RANK.AVG(Table1[[#This Row],[Flux in SC / glucose uptake ($mmol/mmol\ glc$)]],Table1[Flux in SC / glucose uptake ($mmol/mmol\ glc$)])</f>
        <v>1310.5</v>
      </c>
      <c r="H1311">
        <f>_xlfn.RANK.AVG(Table1[[#This Row],[Flux in RT / glucose uptake ($mmol/mmol\ glc$)]],Table1[Flux in RT / glucose uptake ($mmol/mmol\ glc$)])</f>
        <v>1290.5</v>
      </c>
      <c r="I1311" t="e">
        <f>LOG(Table1[[#This Row],[Flux in SC / glucose uptake ($mmol/mmol\ glc$)]])</f>
        <v>#NUM!</v>
      </c>
      <c r="J1311" t="e">
        <f>LOG(Table1[[#This Row],[Flux in RT / glucose uptake ($mmol/mmol\ glc$)]])</f>
        <v>#NUM!</v>
      </c>
    </row>
    <row r="1312" spans="1:10" x14ac:dyDescent="0.2">
      <c r="A1312" t="s">
        <v>1315</v>
      </c>
      <c r="B1312" t="s">
        <v>3193</v>
      </c>
      <c r="C1312">
        <v>0</v>
      </c>
      <c r="D1312">
        <v>0</v>
      </c>
      <c r="E1312">
        <f>ABS(Table1[[#This Row],[Flux in SC / glucose uptake ($mmol/mmol\ glc$)]]-Table1[[#This Row],[Flux in RT / glucose uptake ($mmol/mmol\ glc$)]])/SQRT(2)</f>
        <v>0</v>
      </c>
      <c r="F1312">
        <f>Table1[[#This Row],[distance from 45-degree line]]/MAX(Table1[[Flux in SC / glucose uptake ($mmol/mmol\ glc$)]:[Flux in RT / glucose uptake ($mmol/mmol\ glc$)]])</f>
        <v>0</v>
      </c>
      <c r="G1312">
        <f>_xlfn.RANK.AVG(Table1[[#This Row],[Flux in SC / glucose uptake ($mmol/mmol\ glc$)]],Table1[Flux in SC / glucose uptake ($mmol/mmol\ glc$)])</f>
        <v>1310.5</v>
      </c>
      <c r="H1312">
        <f>_xlfn.RANK.AVG(Table1[[#This Row],[Flux in RT / glucose uptake ($mmol/mmol\ glc$)]],Table1[Flux in RT / glucose uptake ($mmol/mmol\ glc$)])</f>
        <v>1290.5</v>
      </c>
      <c r="I1312" t="e">
        <f>LOG(Table1[[#This Row],[Flux in SC / glucose uptake ($mmol/mmol\ glc$)]])</f>
        <v>#NUM!</v>
      </c>
      <c r="J1312" t="e">
        <f>LOG(Table1[[#This Row],[Flux in RT / glucose uptake ($mmol/mmol\ glc$)]])</f>
        <v>#NUM!</v>
      </c>
    </row>
    <row r="1313" spans="1:10" x14ac:dyDescent="0.2">
      <c r="A1313" t="s">
        <v>1316</v>
      </c>
      <c r="B1313" t="s">
        <v>3193</v>
      </c>
      <c r="C1313">
        <v>0</v>
      </c>
      <c r="D1313">
        <v>0</v>
      </c>
      <c r="E1313">
        <f>ABS(Table1[[#This Row],[Flux in SC / glucose uptake ($mmol/mmol\ glc$)]]-Table1[[#This Row],[Flux in RT / glucose uptake ($mmol/mmol\ glc$)]])/SQRT(2)</f>
        <v>0</v>
      </c>
      <c r="F1313">
        <f>Table1[[#This Row],[distance from 45-degree line]]/MAX(Table1[[Flux in SC / glucose uptake ($mmol/mmol\ glc$)]:[Flux in RT / glucose uptake ($mmol/mmol\ glc$)]])</f>
        <v>0</v>
      </c>
      <c r="G1313">
        <f>_xlfn.RANK.AVG(Table1[[#This Row],[Flux in SC / glucose uptake ($mmol/mmol\ glc$)]],Table1[Flux in SC / glucose uptake ($mmol/mmol\ glc$)])</f>
        <v>1310.5</v>
      </c>
      <c r="H1313">
        <f>_xlfn.RANK.AVG(Table1[[#This Row],[Flux in RT / glucose uptake ($mmol/mmol\ glc$)]],Table1[Flux in RT / glucose uptake ($mmol/mmol\ glc$)])</f>
        <v>1290.5</v>
      </c>
      <c r="I1313" t="e">
        <f>LOG(Table1[[#This Row],[Flux in SC / glucose uptake ($mmol/mmol\ glc$)]])</f>
        <v>#NUM!</v>
      </c>
      <c r="J1313" t="e">
        <f>LOG(Table1[[#This Row],[Flux in RT / glucose uptake ($mmol/mmol\ glc$)]])</f>
        <v>#NUM!</v>
      </c>
    </row>
    <row r="1314" spans="1:10" x14ac:dyDescent="0.2">
      <c r="A1314" t="s">
        <v>1317</v>
      </c>
      <c r="B1314" t="s">
        <v>3193</v>
      </c>
      <c r="C1314">
        <v>0</v>
      </c>
      <c r="D1314">
        <v>0</v>
      </c>
      <c r="E1314">
        <f>ABS(Table1[[#This Row],[Flux in SC / glucose uptake ($mmol/mmol\ glc$)]]-Table1[[#This Row],[Flux in RT / glucose uptake ($mmol/mmol\ glc$)]])/SQRT(2)</f>
        <v>0</v>
      </c>
      <c r="F1314">
        <f>Table1[[#This Row],[distance from 45-degree line]]/MAX(Table1[[Flux in SC / glucose uptake ($mmol/mmol\ glc$)]:[Flux in RT / glucose uptake ($mmol/mmol\ glc$)]])</f>
        <v>0</v>
      </c>
      <c r="G1314">
        <f>_xlfn.RANK.AVG(Table1[[#This Row],[Flux in SC / glucose uptake ($mmol/mmol\ glc$)]],Table1[Flux in SC / glucose uptake ($mmol/mmol\ glc$)])</f>
        <v>1310.5</v>
      </c>
      <c r="H1314">
        <f>_xlfn.RANK.AVG(Table1[[#This Row],[Flux in RT / glucose uptake ($mmol/mmol\ glc$)]],Table1[Flux in RT / glucose uptake ($mmol/mmol\ glc$)])</f>
        <v>1290.5</v>
      </c>
      <c r="I1314" t="e">
        <f>LOG(Table1[[#This Row],[Flux in SC / glucose uptake ($mmol/mmol\ glc$)]])</f>
        <v>#NUM!</v>
      </c>
      <c r="J1314" t="e">
        <f>LOG(Table1[[#This Row],[Flux in RT / glucose uptake ($mmol/mmol\ glc$)]])</f>
        <v>#NUM!</v>
      </c>
    </row>
    <row r="1315" spans="1:10" x14ac:dyDescent="0.2">
      <c r="A1315" t="s">
        <v>1318</v>
      </c>
      <c r="B1315" t="s">
        <v>3193</v>
      </c>
      <c r="C1315">
        <v>0</v>
      </c>
      <c r="D1315">
        <v>0</v>
      </c>
      <c r="E1315">
        <f>ABS(Table1[[#This Row],[Flux in SC / glucose uptake ($mmol/mmol\ glc$)]]-Table1[[#This Row],[Flux in RT / glucose uptake ($mmol/mmol\ glc$)]])/SQRT(2)</f>
        <v>0</v>
      </c>
      <c r="F1315">
        <f>Table1[[#This Row],[distance from 45-degree line]]/MAX(Table1[[Flux in SC / glucose uptake ($mmol/mmol\ glc$)]:[Flux in RT / glucose uptake ($mmol/mmol\ glc$)]])</f>
        <v>0</v>
      </c>
      <c r="G1315">
        <f>_xlfn.RANK.AVG(Table1[[#This Row],[Flux in SC / glucose uptake ($mmol/mmol\ glc$)]],Table1[Flux in SC / glucose uptake ($mmol/mmol\ glc$)])</f>
        <v>1310.5</v>
      </c>
      <c r="H1315">
        <f>_xlfn.RANK.AVG(Table1[[#This Row],[Flux in RT / glucose uptake ($mmol/mmol\ glc$)]],Table1[Flux in RT / glucose uptake ($mmol/mmol\ glc$)])</f>
        <v>1290.5</v>
      </c>
      <c r="I1315" t="e">
        <f>LOG(Table1[[#This Row],[Flux in SC / glucose uptake ($mmol/mmol\ glc$)]])</f>
        <v>#NUM!</v>
      </c>
      <c r="J1315" t="e">
        <f>LOG(Table1[[#This Row],[Flux in RT / glucose uptake ($mmol/mmol\ glc$)]])</f>
        <v>#NUM!</v>
      </c>
    </row>
    <row r="1316" spans="1:10" x14ac:dyDescent="0.2">
      <c r="A1316" t="s">
        <v>1319</v>
      </c>
      <c r="B1316" t="s">
        <v>3193</v>
      </c>
      <c r="C1316">
        <v>0</v>
      </c>
      <c r="D1316">
        <v>0</v>
      </c>
      <c r="E1316">
        <f>ABS(Table1[[#This Row],[Flux in SC / glucose uptake ($mmol/mmol\ glc$)]]-Table1[[#This Row],[Flux in RT / glucose uptake ($mmol/mmol\ glc$)]])/SQRT(2)</f>
        <v>0</v>
      </c>
      <c r="F1316">
        <f>Table1[[#This Row],[distance from 45-degree line]]/MAX(Table1[[Flux in SC / glucose uptake ($mmol/mmol\ glc$)]:[Flux in RT / glucose uptake ($mmol/mmol\ glc$)]])</f>
        <v>0</v>
      </c>
      <c r="G1316">
        <f>_xlfn.RANK.AVG(Table1[[#This Row],[Flux in SC / glucose uptake ($mmol/mmol\ glc$)]],Table1[Flux in SC / glucose uptake ($mmol/mmol\ glc$)])</f>
        <v>1310.5</v>
      </c>
      <c r="H1316">
        <f>_xlfn.RANK.AVG(Table1[[#This Row],[Flux in RT / glucose uptake ($mmol/mmol\ glc$)]],Table1[Flux in RT / glucose uptake ($mmol/mmol\ glc$)])</f>
        <v>1290.5</v>
      </c>
      <c r="I1316" t="e">
        <f>LOG(Table1[[#This Row],[Flux in SC / glucose uptake ($mmol/mmol\ glc$)]])</f>
        <v>#NUM!</v>
      </c>
      <c r="J1316" t="e">
        <f>LOG(Table1[[#This Row],[Flux in RT / glucose uptake ($mmol/mmol\ glc$)]])</f>
        <v>#NUM!</v>
      </c>
    </row>
    <row r="1317" spans="1:10" x14ac:dyDescent="0.2">
      <c r="A1317" t="s">
        <v>1320</v>
      </c>
      <c r="B1317" t="s">
        <v>3193</v>
      </c>
      <c r="C1317">
        <v>0</v>
      </c>
      <c r="D1317">
        <v>0</v>
      </c>
      <c r="E1317">
        <f>ABS(Table1[[#This Row],[Flux in SC / glucose uptake ($mmol/mmol\ glc$)]]-Table1[[#This Row],[Flux in RT / glucose uptake ($mmol/mmol\ glc$)]])/SQRT(2)</f>
        <v>0</v>
      </c>
      <c r="F1317">
        <f>Table1[[#This Row],[distance from 45-degree line]]/MAX(Table1[[Flux in SC / glucose uptake ($mmol/mmol\ glc$)]:[Flux in RT / glucose uptake ($mmol/mmol\ glc$)]])</f>
        <v>0</v>
      </c>
      <c r="G1317">
        <f>_xlfn.RANK.AVG(Table1[[#This Row],[Flux in SC / glucose uptake ($mmol/mmol\ glc$)]],Table1[Flux in SC / glucose uptake ($mmol/mmol\ glc$)])</f>
        <v>1310.5</v>
      </c>
      <c r="H1317">
        <f>_xlfn.RANK.AVG(Table1[[#This Row],[Flux in RT / glucose uptake ($mmol/mmol\ glc$)]],Table1[Flux in RT / glucose uptake ($mmol/mmol\ glc$)])</f>
        <v>1290.5</v>
      </c>
      <c r="I1317" t="e">
        <f>LOG(Table1[[#This Row],[Flux in SC / glucose uptake ($mmol/mmol\ glc$)]])</f>
        <v>#NUM!</v>
      </c>
      <c r="J1317" t="e">
        <f>LOG(Table1[[#This Row],[Flux in RT / glucose uptake ($mmol/mmol\ glc$)]])</f>
        <v>#NUM!</v>
      </c>
    </row>
    <row r="1318" spans="1:10" x14ac:dyDescent="0.2">
      <c r="A1318" t="s">
        <v>1321</v>
      </c>
      <c r="B1318" t="s">
        <v>3193</v>
      </c>
      <c r="C1318">
        <v>0</v>
      </c>
      <c r="D1318">
        <v>0</v>
      </c>
      <c r="E1318">
        <f>ABS(Table1[[#This Row],[Flux in SC / glucose uptake ($mmol/mmol\ glc$)]]-Table1[[#This Row],[Flux in RT / glucose uptake ($mmol/mmol\ glc$)]])/SQRT(2)</f>
        <v>0</v>
      </c>
      <c r="F1318">
        <f>Table1[[#This Row],[distance from 45-degree line]]/MAX(Table1[[Flux in SC / glucose uptake ($mmol/mmol\ glc$)]:[Flux in RT / glucose uptake ($mmol/mmol\ glc$)]])</f>
        <v>0</v>
      </c>
      <c r="G1318">
        <f>_xlfn.RANK.AVG(Table1[[#This Row],[Flux in SC / glucose uptake ($mmol/mmol\ glc$)]],Table1[Flux in SC / glucose uptake ($mmol/mmol\ glc$)])</f>
        <v>1310.5</v>
      </c>
      <c r="H1318">
        <f>_xlfn.RANK.AVG(Table1[[#This Row],[Flux in RT / glucose uptake ($mmol/mmol\ glc$)]],Table1[Flux in RT / glucose uptake ($mmol/mmol\ glc$)])</f>
        <v>1290.5</v>
      </c>
      <c r="I1318" t="e">
        <f>LOG(Table1[[#This Row],[Flux in SC / glucose uptake ($mmol/mmol\ glc$)]])</f>
        <v>#NUM!</v>
      </c>
      <c r="J1318" t="e">
        <f>LOG(Table1[[#This Row],[Flux in RT / glucose uptake ($mmol/mmol\ glc$)]])</f>
        <v>#NUM!</v>
      </c>
    </row>
    <row r="1319" spans="1:10" x14ac:dyDescent="0.2">
      <c r="A1319" t="s">
        <v>1322</v>
      </c>
      <c r="B1319" t="s">
        <v>3193</v>
      </c>
      <c r="C1319">
        <v>0</v>
      </c>
      <c r="D1319">
        <v>0</v>
      </c>
      <c r="E1319">
        <f>ABS(Table1[[#This Row],[Flux in SC / glucose uptake ($mmol/mmol\ glc$)]]-Table1[[#This Row],[Flux in RT / glucose uptake ($mmol/mmol\ glc$)]])/SQRT(2)</f>
        <v>0</v>
      </c>
      <c r="F1319">
        <f>Table1[[#This Row],[distance from 45-degree line]]/MAX(Table1[[Flux in SC / glucose uptake ($mmol/mmol\ glc$)]:[Flux in RT / glucose uptake ($mmol/mmol\ glc$)]])</f>
        <v>0</v>
      </c>
      <c r="G1319">
        <f>_xlfn.RANK.AVG(Table1[[#This Row],[Flux in SC / glucose uptake ($mmol/mmol\ glc$)]],Table1[Flux in SC / glucose uptake ($mmol/mmol\ glc$)])</f>
        <v>1310.5</v>
      </c>
      <c r="H1319">
        <f>_xlfn.RANK.AVG(Table1[[#This Row],[Flux in RT / glucose uptake ($mmol/mmol\ glc$)]],Table1[Flux in RT / glucose uptake ($mmol/mmol\ glc$)])</f>
        <v>1290.5</v>
      </c>
      <c r="I1319" t="e">
        <f>LOG(Table1[[#This Row],[Flux in SC / glucose uptake ($mmol/mmol\ glc$)]])</f>
        <v>#NUM!</v>
      </c>
      <c r="J1319" t="e">
        <f>LOG(Table1[[#This Row],[Flux in RT / glucose uptake ($mmol/mmol\ glc$)]])</f>
        <v>#NUM!</v>
      </c>
    </row>
    <row r="1320" spans="1:10" x14ac:dyDescent="0.2">
      <c r="A1320" t="s">
        <v>1323</v>
      </c>
      <c r="B1320" t="s">
        <v>3193</v>
      </c>
      <c r="C1320">
        <v>0</v>
      </c>
      <c r="D1320">
        <v>0</v>
      </c>
      <c r="E1320">
        <f>ABS(Table1[[#This Row],[Flux in SC / glucose uptake ($mmol/mmol\ glc$)]]-Table1[[#This Row],[Flux in RT / glucose uptake ($mmol/mmol\ glc$)]])/SQRT(2)</f>
        <v>0</v>
      </c>
      <c r="F1320">
        <f>Table1[[#This Row],[distance from 45-degree line]]/MAX(Table1[[Flux in SC / glucose uptake ($mmol/mmol\ glc$)]:[Flux in RT / glucose uptake ($mmol/mmol\ glc$)]])</f>
        <v>0</v>
      </c>
      <c r="G1320">
        <f>_xlfn.RANK.AVG(Table1[[#This Row],[Flux in SC / glucose uptake ($mmol/mmol\ glc$)]],Table1[Flux in SC / glucose uptake ($mmol/mmol\ glc$)])</f>
        <v>1310.5</v>
      </c>
      <c r="H1320">
        <f>_xlfn.RANK.AVG(Table1[[#This Row],[Flux in RT / glucose uptake ($mmol/mmol\ glc$)]],Table1[Flux in RT / glucose uptake ($mmol/mmol\ glc$)])</f>
        <v>1290.5</v>
      </c>
      <c r="I1320" t="e">
        <f>LOG(Table1[[#This Row],[Flux in SC / glucose uptake ($mmol/mmol\ glc$)]])</f>
        <v>#NUM!</v>
      </c>
      <c r="J1320" t="e">
        <f>LOG(Table1[[#This Row],[Flux in RT / glucose uptake ($mmol/mmol\ glc$)]])</f>
        <v>#NUM!</v>
      </c>
    </row>
    <row r="1321" spans="1:10" x14ac:dyDescent="0.2">
      <c r="A1321" t="s">
        <v>1324</v>
      </c>
      <c r="B1321" t="s">
        <v>3193</v>
      </c>
      <c r="C1321">
        <v>0</v>
      </c>
      <c r="D1321">
        <v>0</v>
      </c>
      <c r="E1321">
        <f>ABS(Table1[[#This Row],[Flux in SC / glucose uptake ($mmol/mmol\ glc$)]]-Table1[[#This Row],[Flux in RT / glucose uptake ($mmol/mmol\ glc$)]])/SQRT(2)</f>
        <v>0</v>
      </c>
      <c r="F1321">
        <f>Table1[[#This Row],[distance from 45-degree line]]/MAX(Table1[[Flux in SC / glucose uptake ($mmol/mmol\ glc$)]:[Flux in RT / glucose uptake ($mmol/mmol\ glc$)]])</f>
        <v>0</v>
      </c>
      <c r="G1321">
        <f>_xlfn.RANK.AVG(Table1[[#This Row],[Flux in SC / glucose uptake ($mmol/mmol\ glc$)]],Table1[Flux in SC / glucose uptake ($mmol/mmol\ glc$)])</f>
        <v>1310.5</v>
      </c>
      <c r="H1321">
        <f>_xlfn.RANK.AVG(Table1[[#This Row],[Flux in RT / glucose uptake ($mmol/mmol\ glc$)]],Table1[Flux in RT / glucose uptake ($mmol/mmol\ glc$)])</f>
        <v>1290.5</v>
      </c>
      <c r="I1321" t="e">
        <f>LOG(Table1[[#This Row],[Flux in SC / glucose uptake ($mmol/mmol\ glc$)]])</f>
        <v>#NUM!</v>
      </c>
      <c r="J1321" t="e">
        <f>LOG(Table1[[#This Row],[Flux in RT / glucose uptake ($mmol/mmol\ glc$)]])</f>
        <v>#NUM!</v>
      </c>
    </row>
    <row r="1322" spans="1:10" x14ac:dyDescent="0.2">
      <c r="A1322" t="s">
        <v>1325</v>
      </c>
      <c r="B1322" t="s">
        <v>3136</v>
      </c>
      <c r="C1322">
        <v>9.390508825934949E-4</v>
      </c>
      <c r="D1322">
        <v>7.7582709199513766E-3</v>
      </c>
      <c r="E1322">
        <f>ABS(Table1[[#This Row],[Flux in SC / glucose uptake ($mmol/mmol\ glc$)]]-Table1[[#This Row],[Flux in RT / glucose uptake ($mmol/mmol\ glc$)]])/SQRT(2)</f>
        <v>4.82191673081894E-3</v>
      </c>
      <c r="F1322">
        <f>Table1[[#This Row],[distance from 45-degree line]]/MAX(Table1[[Flux in SC / glucose uptake ($mmol/mmol\ glc$)]:[Flux in RT / glucose uptake ($mmol/mmol\ glc$)]])</f>
        <v>2.5989580966619775E-4</v>
      </c>
      <c r="G1322">
        <f>_xlfn.RANK.AVG(Table1[[#This Row],[Flux in SC / glucose uptake ($mmol/mmol\ glc$)]],Table1[Flux in SC / glucose uptake ($mmol/mmol\ glc$)])</f>
        <v>217</v>
      </c>
      <c r="H1322">
        <f>_xlfn.RANK.AVG(Table1[[#This Row],[Flux in RT / glucose uptake ($mmol/mmol\ glc$)]],Table1[Flux in RT / glucose uptake ($mmol/mmol\ glc$)])</f>
        <v>207</v>
      </c>
      <c r="I1322">
        <f>LOG(Table1[[#This Row],[Flux in SC / glucose uptake ($mmol/mmol\ glc$)]])</f>
        <v>-3.0273108747936583</v>
      </c>
      <c r="J1322">
        <f>LOG(Table1[[#This Row],[Flux in RT / glucose uptake ($mmol/mmol\ glc$)]])</f>
        <v>-2.1102350588445522</v>
      </c>
    </row>
    <row r="1323" spans="1:10" x14ac:dyDescent="0.2">
      <c r="A1323" t="s">
        <v>1326</v>
      </c>
      <c r="B1323" t="s">
        <v>3150</v>
      </c>
      <c r="C1323">
        <v>0</v>
      </c>
      <c r="D1323">
        <v>0</v>
      </c>
      <c r="E1323">
        <f>ABS(Table1[[#This Row],[Flux in SC / glucose uptake ($mmol/mmol\ glc$)]]-Table1[[#This Row],[Flux in RT / glucose uptake ($mmol/mmol\ glc$)]])/SQRT(2)</f>
        <v>0</v>
      </c>
      <c r="F1323">
        <f>Table1[[#This Row],[distance from 45-degree line]]/MAX(Table1[[Flux in SC / glucose uptake ($mmol/mmol\ glc$)]:[Flux in RT / glucose uptake ($mmol/mmol\ glc$)]])</f>
        <v>0</v>
      </c>
      <c r="G1323">
        <f>_xlfn.RANK.AVG(Table1[[#This Row],[Flux in SC / glucose uptake ($mmol/mmol\ glc$)]],Table1[Flux in SC / glucose uptake ($mmol/mmol\ glc$)])</f>
        <v>1310.5</v>
      </c>
      <c r="H1323">
        <f>_xlfn.RANK.AVG(Table1[[#This Row],[Flux in RT / glucose uptake ($mmol/mmol\ glc$)]],Table1[Flux in RT / glucose uptake ($mmol/mmol\ glc$)])</f>
        <v>1290.5</v>
      </c>
      <c r="I1323" t="e">
        <f>LOG(Table1[[#This Row],[Flux in SC / glucose uptake ($mmol/mmol\ glc$)]])</f>
        <v>#NUM!</v>
      </c>
      <c r="J1323" t="e">
        <f>LOG(Table1[[#This Row],[Flux in RT / glucose uptake ($mmol/mmol\ glc$)]])</f>
        <v>#NUM!</v>
      </c>
    </row>
    <row r="1324" spans="1:10" x14ac:dyDescent="0.2">
      <c r="A1324" t="s">
        <v>1327</v>
      </c>
      <c r="B1324" t="s">
        <v>3114</v>
      </c>
      <c r="C1324">
        <v>0</v>
      </c>
      <c r="D1324">
        <v>0</v>
      </c>
      <c r="E1324">
        <f>ABS(Table1[[#This Row],[Flux in SC / glucose uptake ($mmol/mmol\ glc$)]]-Table1[[#This Row],[Flux in RT / glucose uptake ($mmol/mmol\ glc$)]])/SQRT(2)</f>
        <v>0</v>
      </c>
      <c r="F1324">
        <f>Table1[[#This Row],[distance from 45-degree line]]/MAX(Table1[[Flux in SC / glucose uptake ($mmol/mmol\ glc$)]:[Flux in RT / glucose uptake ($mmol/mmol\ glc$)]])</f>
        <v>0</v>
      </c>
      <c r="G1324">
        <f>_xlfn.RANK.AVG(Table1[[#This Row],[Flux in SC / glucose uptake ($mmol/mmol\ glc$)]],Table1[Flux in SC / glucose uptake ($mmol/mmol\ glc$)])</f>
        <v>1310.5</v>
      </c>
      <c r="H1324">
        <f>_xlfn.RANK.AVG(Table1[[#This Row],[Flux in RT / glucose uptake ($mmol/mmol\ glc$)]],Table1[Flux in RT / glucose uptake ($mmol/mmol\ glc$)])</f>
        <v>1290.5</v>
      </c>
      <c r="I1324" t="e">
        <f>LOG(Table1[[#This Row],[Flux in SC / glucose uptake ($mmol/mmol\ glc$)]])</f>
        <v>#NUM!</v>
      </c>
      <c r="J1324" t="e">
        <f>LOG(Table1[[#This Row],[Flux in RT / glucose uptake ($mmol/mmol\ glc$)]])</f>
        <v>#NUM!</v>
      </c>
    </row>
    <row r="1325" spans="1:10" x14ac:dyDescent="0.2">
      <c r="A1325" t="s">
        <v>1328</v>
      </c>
      <c r="B1325" t="s">
        <v>3114</v>
      </c>
      <c r="C1325">
        <v>0</v>
      </c>
      <c r="D1325">
        <v>0</v>
      </c>
      <c r="E1325">
        <f>ABS(Table1[[#This Row],[Flux in SC / glucose uptake ($mmol/mmol\ glc$)]]-Table1[[#This Row],[Flux in RT / glucose uptake ($mmol/mmol\ glc$)]])/SQRT(2)</f>
        <v>0</v>
      </c>
      <c r="F1325">
        <f>Table1[[#This Row],[distance from 45-degree line]]/MAX(Table1[[Flux in SC / glucose uptake ($mmol/mmol\ glc$)]:[Flux in RT / glucose uptake ($mmol/mmol\ glc$)]])</f>
        <v>0</v>
      </c>
      <c r="G1325">
        <f>_xlfn.RANK.AVG(Table1[[#This Row],[Flux in SC / glucose uptake ($mmol/mmol\ glc$)]],Table1[Flux in SC / glucose uptake ($mmol/mmol\ glc$)])</f>
        <v>1310.5</v>
      </c>
      <c r="H1325">
        <f>_xlfn.RANK.AVG(Table1[[#This Row],[Flux in RT / glucose uptake ($mmol/mmol\ glc$)]],Table1[Flux in RT / glucose uptake ($mmol/mmol\ glc$)])</f>
        <v>1290.5</v>
      </c>
      <c r="I1325" t="e">
        <f>LOG(Table1[[#This Row],[Flux in SC / glucose uptake ($mmol/mmol\ glc$)]])</f>
        <v>#NUM!</v>
      </c>
      <c r="J1325" t="e">
        <f>LOG(Table1[[#This Row],[Flux in RT / glucose uptake ($mmol/mmol\ glc$)]])</f>
        <v>#NUM!</v>
      </c>
    </row>
    <row r="1326" spans="1:10" x14ac:dyDescent="0.2">
      <c r="A1326" t="s">
        <v>1329</v>
      </c>
      <c r="B1326" t="s">
        <v>3194</v>
      </c>
      <c r="C1326">
        <v>0</v>
      </c>
      <c r="D1326">
        <v>0</v>
      </c>
      <c r="E1326">
        <f>ABS(Table1[[#This Row],[Flux in SC / glucose uptake ($mmol/mmol\ glc$)]]-Table1[[#This Row],[Flux in RT / glucose uptake ($mmol/mmol\ glc$)]])/SQRT(2)</f>
        <v>0</v>
      </c>
      <c r="F1326">
        <f>Table1[[#This Row],[distance from 45-degree line]]/MAX(Table1[[Flux in SC / glucose uptake ($mmol/mmol\ glc$)]:[Flux in RT / glucose uptake ($mmol/mmol\ glc$)]])</f>
        <v>0</v>
      </c>
      <c r="G1326">
        <f>_xlfn.RANK.AVG(Table1[[#This Row],[Flux in SC / glucose uptake ($mmol/mmol\ glc$)]],Table1[Flux in SC / glucose uptake ($mmol/mmol\ glc$)])</f>
        <v>1310.5</v>
      </c>
      <c r="H1326">
        <f>_xlfn.RANK.AVG(Table1[[#This Row],[Flux in RT / glucose uptake ($mmol/mmol\ glc$)]],Table1[Flux in RT / glucose uptake ($mmol/mmol\ glc$)])</f>
        <v>1290.5</v>
      </c>
      <c r="I1326" t="e">
        <f>LOG(Table1[[#This Row],[Flux in SC / glucose uptake ($mmol/mmol\ glc$)]])</f>
        <v>#NUM!</v>
      </c>
      <c r="J1326" t="e">
        <f>LOG(Table1[[#This Row],[Flux in RT / glucose uptake ($mmol/mmol\ glc$)]])</f>
        <v>#NUM!</v>
      </c>
    </row>
    <row r="1327" spans="1:10" x14ac:dyDescent="0.2">
      <c r="A1327" t="s">
        <v>1330</v>
      </c>
      <c r="B1327" t="s">
        <v>3194</v>
      </c>
      <c r="C1327">
        <v>0</v>
      </c>
      <c r="D1327">
        <v>0</v>
      </c>
      <c r="E1327">
        <f>ABS(Table1[[#This Row],[Flux in SC / glucose uptake ($mmol/mmol\ glc$)]]-Table1[[#This Row],[Flux in RT / glucose uptake ($mmol/mmol\ glc$)]])/SQRT(2)</f>
        <v>0</v>
      </c>
      <c r="F1327">
        <f>Table1[[#This Row],[distance from 45-degree line]]/MAX(Table1[[Flux in SC / glucose uptake ($mmol/mmol\ glc$)]:[Flux in RT / glucose uptake ($mmol/mmol\ glc$)]])</f>
        <v>0</v>
      </c>
      <c r="G1327">
        <f>_xlfn.RANK.AVG(Table1[[#This Row],[Flux in SC / glucose uptake ($mmol/mmol\ glc$)]],Table1[Flux in SC / glucose uptake ($mmol/mmol\ glc$)])</f>
        <v>1310.5</v>
      </c>
      <c r="H1327">
        <f>_xlfn.RANK.AVG(Table1[[#This Row],[Flux in RT / glucose uptake ($mmol/mmol\ glc$)]],Table1[Flux in RT / glucose uptake ($mmol/mmol\ glc$)])</f>
        <v>1290.5</v>
      </c>
      <c r="I1327" t="e">
        <f>LOG(Table1[[#This Row],[Flux in SC / glucose uptake ($mmol/mmol\ glc$)]])</f>
        <v>#NUM!</v>
      </c>
      <c r="J1327" t="e">
        <f>LOG(Table1[[#This Row],[Flux in RT / glucose uptake ($mmol/mmol\ glc$)]])</f>
        <v>#NUM!</v>
      </c>
    </row>
    <row r="1328" spans="1:10" x14ac:dyDescent="0.2">
      <c r="A1328" t="s">
        <v>1331</v>
      </c>
      <c r="B1328" t="s">
        <v>3114</v>
      </c>
      <c r="C1328">
        <v>0</v>
      </c>
      <c r="D1328">
        <v>0</v>
      </c>
      <c r="E1328">
        <f>ABS(Table1[[#This Row],[Flux in SC / glucose uptake ($mmol/mmol\ glc$)]]-Table1[[#This Row],[Flux in RT / glucose uptake ($mmol/mmol\ glc$)]])/SQRT(2)</f>
        <v>0</v>
      </c>
      <c r="F1328">
        <f>Table1[[#This Row],[distance from 45-degree line]]/MAX(Table1[[Flux in SC / glucose uptake ($mmol/mmol\ glc$)]:[Flux in RT / glucose uptake ($mmol/mmol\ glc$)]])</f>
        <v>0</v>
      </c>
      <c r="G1328">
        <f>_xlfn.RANK.AVG(Table1[[#This Row],[Flux in SC / glucose uptake ($mmol/mmol\ glc$)]],Table1[Flux in SC / glucose uptake ($mmol/mmol\ glc$)])</f>
        <v>1310.5</v>
      </c>
      <c r="H1328">
        <f>_xlfn.RANK.AVG(Table1[[#This Row],[Flux in RT / glucose uptake ($mmol/mmol\ glc$)]],Table1[Flux in RT / glucose uptake ($mmol/mmol\ glc$)])</f>
        <v>1290.5</v>
      </c>
      <c r="I1328" t="e">
        <f>LOG(Table1[[#This Row],[Flux in SC / glucose uptake ($mmol/mmol\ glc$)]])</f>
        <v>#NUM!</v>
      </c>
      <c r="J1328" t="e">
        <f>LOG(Table1[[#This Row],[Flux in RT / glucose uptake ($mmol/mmol\ glc$)]])</f>
        <v>#NUM!</v>
      </c>
    </row>
    <row r="1329" spans="1:10" x14ac:dyDescent="0.2">
      <c r="A1329" t="s">
        <v>1332</v>
      </c>
      <c r="B1329" t="s">
        <v>3194</v>
      </c>
      <c r="C1329">
        <v>0</v>
      </c>
      <c r="D1329">
        <v>0</v>
      </c>
      <c r="E1329">
        <f>ABS(Table1[[#This Row],[Flux in SC / glucose uptake ($mmol/mmol\ glc$)]]-Table1[[#This Row],[Flux in RT / glucose uptake ($mmol/mmol\ glc$)]])/SQRT(2)</f>
        <v>0</v>
      </c>
      <c r="F1329">
        <f>Table1[[#This Row],[distance from 45-degree line]]/MAX(Table1[[Flux in SC / glucose uptake ($mmol/mmol\ glc$)]:[Flux in RT / glucose uptake ($mmol/mmol\ glc$)]])</f>
        <v>0</v>
      </c>
      <c r="G1329">
        <f>_xlfn.RANK.AVG(Table1[[#This Row],[Flux in SC / glucose uptake ($mmol/mmol\ glc$)]],Table1[Flux in SC / glucose uptake ($mmol/mmol\ glc$)])</f>
        <v>1310.5</v>
      </c>
      <c r="H1329">
        <f>_xlfn.RANK.AVG(Table1[[#This Row],[Flux in RT / glucose uptake ($mmol/mmol\ glc$)]],Table1[Flux in RT / glucose uptake ($mmol/mmol\ glc$)])</f>
        <v>1290.5</v>
      </c>
      <c r="I1329" t="e">
        <f>LOG(Table1[[#This Row],[Flux in SC / glucose uptake ($mmol/mmol\ glc$)]])</f>
        <v>#NUM!</v>
      </c>
      <c r="J1329" t="e">
        <f>LOG(Table1[[#This Row],[Flux in RT / glucose uptake ($mmol/mmol\ glc$)]])</f>
        <v>#NUM!</v>
      </c>
    </row>
    <row r="1330" spans="1:10" x14ac:dyDescent="0.2">
      <c r="A1330" t="s">
        <v>1333</v>
      </c>
      <c r="B1330" t="s">
        <v>3194</v>
      </c>
      <c r="C1330">
        <v>0</v>
      </c>
      <c r="D1330">
        <v>0</v>
      </c>
      <c r="E1330">
        <f>ABS(Table1[[#This Row],[Flux in SC / glucose uptake ($mmol/mmol\ glc$)]]-Table1[[#This Row],[Flux in RT / glucose uptake ($mmol/mmol\ glc$)]])/SQRT(2)</f>
        <v>0</v>
      </c>
      <c r="F1330">
        <f>Table1[[#This Row],[distance from 45-degree line]]/MAX(Table1[[Flux in SC / glucose uptake ($mmol/mmol\ glc$)]:[Flux in RT / glucose uptake ($mmol/mmol\ glc$)]])</f>
        <v>0</v>
      </c>
      <c r="G1330">
        <f>_xlfn.RANK.AVG(Table1[[#This Row],[Flux in SC / glucose uptake ($mmol/mmol\ glc$)]],Table1[Flux in SC / glucose uptake ($mmol/mmol\ glc$)])</f>
        <v>1310.5</v>
      </c>
      <c r="H1330">
        <f>_xlfn.RANK.AVG(Table1[[#This Row],[Flux in RT / glucose uptake ($mmol/mmol\ glc$)]],Table1[Flux in RT / glucose uptake ($mmol/mmol\ glc$)])</f>
        <v>1290.5</v>
      </c>
      <c r="I1330" t="e">
        <f>LOG(Table1[[#This Row],[Flux in SC / glucose uptake ($mmol/mmol\ glc$)]])</f>
        <v>#NUM!</v>
      </c>
      <c r="J1330" t="e">
        <f>LOG(Table1[[#This Row],[Flux in RT / glucose uptake ($mmol/mmol\ glc$)]])</f>
        <v>#NUM!</v>
      </c>
    </row>
    <row r="1331" spans="1:10" x14ac:dyDescent="0.2">
      <c r="A1331" t="s">
        <v>1334</v>
      </c>
      <c r="B1331" t="s">
        <v>3114</v>
      </c>
      <c r="C1331">
        <v>0</v>
      </c>
      <c r="D1331">
        <v>0</v>
      </c>
      <c r="E1331">
        <f>ABS(Table1[[#This Row],[Flux in SC / glucose uptake ($mmol/mmol\ glc$)]]-Table1[[#This Row],[Flux in RT / glucose uptake ($mmol/mmol\ glc$)]])/SQRT(2)</f>
        <v>0</v>
      </c>
      <c r="F1331">
        <f>Table1[[#This Row],[distance from 45-degree line]]/MAX(Table1[[Flux in SC / glucose uptake ($mmol/mmol\ glc$)]:[Flux in RT / glucose uptake ($mmol/mmol\ glc$)]])</f>
        <v>0</v>
      </c>
      <c r="G1331">
        <f>_xlfn.RANK.AVG(Table1[[#This Row],[Flux in SC / glucose uptake ($mmol/mmol\ glc$)]],Table1[Flux in SC / glucose uptake ($mmol/mmol\ glc$)])</f>
        <v>1310.5</v>
      </c>
      <c r="H1331">
        <f>_xlfn.RANK.AVG(Table1[[#This Row],[Flux in RT / glucose uptake ($mmol/mmol\ glc$)]],Table1[Flux in RT / glucose uptake ($mmol/mmol\ glc$)])</f>
        <v>1290.5</v>
      </c>
      <c r="I1331" t="e">
        <f>LOG(Table1[[#This Row],[Flux in SC / glucose uptake ($mmol/mmol\ glc$)]])</f>
        <v>#NUM!</v>
      </c>
      <c r="J1331" t="e">
        <f>LOG(Table1[[#This Row],[Flux in RT / glucose uptake ($mmol/mmol\ glc$)]])</f>
        <v>#NUM!</v>
      </c>
    </row>
    <row r="1332" spans="1:10" x14ac:dyDescent="0.2">
      <c r="A1332" t="s">
        <v>1335</v>
      </c>
      <c r="B1332" t="s">
        <v>3114</v>
      </c>
      <c r="C1332">
        <v>0</v>
      </c>
      <c r="D1332">
        <v>0</v>
      </c>
      <c r="E1332">
        <f>ABS(Table1[[#This Row],[Flux in SC / glucose uptake ($mmol/mmol\ glc$)]]-Table1[[#This Row],[Flux in RT / glucose uptake ($mmol/mmol\ glc$)]])/SQRT(2)</f>
        <v>0</v>
      </c>
      <c r="F1332">
        <f>Table1[[#This Row],[distance from 45-degree line]]/MAX(Table1[[Flux in SC / glucose uptake ($mmol/mmol\ glc$)]:[Flux in RT / glucose uptake ($mmol/mmol\ glc$)]])</f>
        <v>0</v>
      </c>
      <c r="G1332">
        <f>_xlfn.RANK.AVG(Table1[[#This Row],[Flux in SC / glucose uptake ($mmol/mmol\ glc$)]],Table1[Flux in SC / glucose uptake ($mmol/mmol\ glc$)])</f>
        <v>1310.5</v>
      </c>
      <c r="H1332">
        <f>_xlfn.RANK.AVG(Table1[[#This Row],[Flux in RT / glucose uptake ($mmol/mmol\ glc$)]],Table1[Flux in RT / glucose uptake ($mmol/mmol\ glc$)])</f>
        <v>1290.5</v>
      </c>
      <c r="I1332" t="e">
        <f>LOG(Table1[[#This Row],[Flux in SC / glucose uptake ($mmol/mmol\ glc$)]])</f>
        <v>#NUM!</v>
      </c>
      <c r="J1332" t="e">
        <f>LOG(Table1[[#This Row],[Flux in RT / glucose uptake ($mmol/mmol\ glc$)]])</f>
        <v>#NUM!</v>
      </c>
    </row>
    <row r="1333" spans="1:10" x14ac:dyDescent="0.2">
      <c r="A1333" t="s">
        <v>1336</v>
      </c>
      <c r="B1333" t="s">
        <v>3114</v>
      </c>
      <c r="C1333">
        <v>0</v>
      </c>
      <c r="D1333">
        <v>0</v>
      </c>
      <c r="E1333">
        <f>ABS(Table1[[#This Row],[Flux in SC / glucose uptake ($mmol/mmol\ glc$)]]-Table1[[#This Row],[Flux in RT / glucose uptake ($mmol/mmol\ glc$)]])/SQRT(2)</f>
        <v>0</v>
      </c>
      <c r="F1333">
        <f>Table1[[#This Row],[distance from 45-degree line]]/MAX(Table1[[Flux in SC / glucose uptake ($mmol/mmol\ glc$)]:[Flux in RT / glucose uptake ($mmol/mmol\ glc$)]])</f>
        <v>0</v>
      </c>
      <c r="G1333">
        <f>_xlfn.RANK.AVG(Table1[[#This Row],[Flux in SC / glucose uptake ($mmol/mmol\ glc$)]],Table1[Flux in SC / glucose uptake ($mmol/mmol\ glc$)])</f>
        <v>1310.5</v>
      </c>
      <c r="H1333">
        <f>_xlfn.RANK.AVG(Table1[[#This Row],[Flux in RT / glucose uptake ($mmol/mmol\ glc$)]],Table1[Flux in RT / glucose uptake ($mmol/mmol\ glc$)])</f>
        <v>1290.5</v>
      </c>
      <c r="I1333" t="e">
        <f>LOG(Table1[[#This Row],[Flux in SC / glucose uptake ($mmol/mmol\ glc$)]])</f>
        <v>#NUM!</v>
      </c>
      <c r="J1333" t="e">
        <f>LOG(Table1[[#This Row],[Flux in RT / glucose uptake ($mmol/mmol\ glc$)]])</f>
        <v>#NUM!</v>
      </c>
    </row>
    <row r="1334" spans="1:10" x14ac:dyDescent="0.2">
      <c r="A1334" t="s">
        <v>1337</v>
      </c>
      <c r="B1334" t="s">
        <v>3148</v>
      </c>
      <c r="C1334">
        <v>0</v>
      </c>
      <c r="D1334">
        <v>0</v>
      </c>
      <c r="E1334">
        <f>ABS(Table1[[#This Row],[Flux in SC / glucose uptake ($mmol/mmol\ glc$)]]-Table1[[#This Row],[Flux in RT / glucose uptake ($mmol/mmol\ glc$)]])/SQRT(2)</f>
        <v>0</v>
      </c>
      <c r="F1334">
        <f>Table1[[#This Row],[distance from 45-degree line]]/MAX(Table1[[Flux in SC / glucose uptake ($mmol/mmol\ glc$)]:[Flux in RT / glucose uptake ($mmol/mmol\ glc$)]])</f>
        <v>0</v>
      </c>
      <c r="G1334">
        <f>_xlfn.RANK.AVG(Table1[[#This Row],[Flux in SC / glucose uptake ($mmol/mmol\ glc$)]],Table1[Flux in SC / glucose uptake ($mmol/mmol\ glc$)])</f>
        <v>1310.5</v>
      </c>
      <c r="H1334">
        <f>_xlfn.RANK.AVG(Table1[[#This Row],[Flux in RT / glucose uptake ($mmol/mmol\ glc$)]],Table1[Flux in RT / glucose uptake ($mmol/mmol\ glc$)])</f>
        <v>1290.5</v>
      </c>
      <c r="I1334" t="e">
        <f>LOG(Table1[[#This Row],[Flux in SC / glucose uptake ($mmol/mmol\ glc$)]])</f>
        <v>#NUM!</v>
      </c>
      <c r="J1334" t="e">
        <f>LOG(Table1[[#This Row],[Flux in RT / glucose uptake ($mmol/mmol\ glc$)]])</f>
        <v>#NUM!</v>
      </c>
    </row>
    <row r="1335" spans="1:10" x14ac:dyDescent="0.2">
      <c r="A1335" t="s">
        <v>1338</v>
      </c>
      <c r="B1335" t="s">
        <v>3195</v>
      </c>
      <c r="C1335">
        <v>0</v>
      </c>
      <c r="D1335">
        <v>0</v>
      </c>
      <c r="E1335">
        <f>ABS(Table1[[#This Row],[Flux in SC / glucose uptake ($mmol/mmol\ glc$)]]-Table1[[#This Row],[Flux in RT / glucose uptake ($mmol/mmol\ glc$)]])/SQRT(2)</f>
        <v>0</v>
      </c>
      <c r="F1335">
        <f>Table1[[#This Row],[distance from 45-degree line]]/MAX(Table1[[Flux in SC / glucose uptake ($mmol/mmol\ glc$)]:[Flux in RT / glucose uptake ($mmol/mmol\ glc$)]])</f>
        <v>0</v>
      </c>
      <c r="G1335">
        <f>_xlfn.RANK.AVG(Table1[[#This Row],[Flux in SC / glucose uptake ($mmol/mmol\ glc$)]],Table1[Flux in SC / glucose uptake ($mmol/mmol\ glc$)])</f>
        <v>1310.5</v>
      </c>
      <c r="H1335">
        <f>_xlfn.RANK.AVG(Table1[[#This Row],[Flux in RT / glucose uptake ($mmol/mmol\ glc$)]],Table1[Flux in RT / glucose uptake ($mmol/mmol\ glc$)])</f>
        <v>1290.5</v>
      </c>
      <c r="I1335" t="e">
        <f>LOG(Table1[[#This Row],[Flux in SC / glucose uptake ($mmol/mmol\ glc$)]])</f>
        <v>#NUM!</v>
      </c>
      <c r="J1335" t="e">
        <f>LOG(Table1[[#This Row],[Flux in RT / glucose uptake ($mmol/mmol\ glc$)]])</f>
        <v>#NUM!</v>
      </c>
    </row>
    <row r="1336" spans="1:10" x14ac:dyDescent="0.2">
      <c r="A1336" t="s">
        <v>1339</v>
      </c>
      <c r="B1336" t="s">
        <v>3151</v>
      </c>
      <c r="C1336">
        <v>0</v>
      </c>
      <c r="D1336">
        <v>0</v>
      </c>
      <c r="E1336">
        <f>ABS(Table1[[#This Row],[Flux in SC / glucose uptake ($mmol/mmol\ glc$)]]-Table1[[#This Row],[Flux in RT / glucose uptake ($mmol/mmol\ glc$)]])/SQRT(2)</f>
        <v>0</v>
      </c>
      <c r="F1336">
        <f>Table1[[#This Row],[distance from 45-degree line]]/MAX(Table1[[Flux in SC / glucose uptake ($mmol/mmol\ glc$)]:[Flux in RT / glucose uptake ($mmol/mmol\ glc$)]])</f>
        <v>0</v>
      </c>
      <c r="G1336">
        <f>_xlfn.RANK.AVG(Table1[[#This Row],[Flux in SC / glucose uptake ($mmol/mmol\ glc$)]],Table1[Flux in SC / glucose uptake ($mmol/mmol\ glc$)])</f>
        <v>1310.5</v>
      </c>
      <c r="H1336">
        <f>_xlfn.RANK.AVG(Table1[[#This Row],[Flux in RT / glucose uptake ($mmol/mmol\ glc$)]],Table1[Flux in RT / glucose uptake ($mmol/mmol\ glc$)])</f>
        <v>1290.5</v>
      </c>
      <c r="I1336" t="e">
        <f>LOG(Table1[[#This Row],[Flux in SC / glucose uptake ($mmol/mmol\ glc$)]])</f>
        <v>#NUM!</v>
      </c>
      <c r="J1336" t="e">
        <f>LOG(Table1[[#This Row],[Flux in RT / glucose uptake ($mmol/mmol\ glc$)]])</f>
        <v>#NUM!</v>
      </c>
    </row>
    <row r="1337" spans="1:10" x14ac:dyDescent="0.2">
      <c r="A1337" t="s">
        <v>1340</v>
      </c>
      <c r="B1337" t="s">
        <v>3147</v>
      </c>
      <c r="C1337">
        <v>0</v>
      </c>
      <c r="D1337">
        <v>0</v>
      </c>
      <c r="E1337">
        <f>ABS(Table1[[#This Row],[Flux in SC / glucose uptake ($mmol/mmol\ glc$)]]-Table1[[#This Row],[Flux in RT / glucose uptake ($mmol/mmol\ glc$)]])/SQRT(2)</f>
        <v>0</v>
      </c>
      <c r="F1337">
        <f>Table1[[#This Row],[distance from 45-degree line]]/MAX(Table1[[Flux in SC / glucose uptake ($mmol/mmol\ glc$)]:[Flux in RT / glucose uptake ($mmol/mmol\ glc$)]])</f>
        <v>0</v>
      </c>
      <c r="G1337">
        <f>_xlfn.RANK.AVG(Table1[[#This Row],[Flux in SC / glucose uptake ($mmol/mmol\ glc$)]],Table1[Flux in SC / glucose uptake ($mmol/mmol\ glc$)])</f>
        <v>1310.5</v>
      </c>
      <c r="H1337">
        <f>_xlfn.RANK.AVG(Table1[[#This Row],[Flux in RT / glucose uptake ($mmol/mmol\ glc$)]],Table1[Flux in RT / glucose uptake ($mmol/mmol\ glc$)])</f>
        <v>1290.5</v>
      </c>
      <c r="I1337" t="e">
        <f>LOG(Table1[[#This Row],[Flux in SC / glucose uptake ($mmol/mmol\ glc$)]])</f>
        <v>#NUM!</v>
      </c>
      <c r="J1337" t="e">
        <f>LOG(Table1[[#This Row],[Flux in RT / glucose uptake ($mmol/mmol\ glc$)]])</f>
        <v>#NUM!</v>
      </c>
    </row>
    <row r="1338" spans="1:10" x14ac:dyDescent="0.2">
      <c r="A1338" t="s">
        <v>1341</v>
      </c>
      <c r="B1338" t="s">
        <v>3150</v>
      </c>
      <c r="C1338">
        <v>0</v>
      </c>
      <c r="D1338">
        <v>0</v>
      </c>
      <c r="E1338">
        <f>ABS(Table1[[#This Row],[Flux in SC / glucose uptake ($mmol/mmol\ glc$)]]-Table1[[#This Row],[Flux in RT / glucose uptake ($mmol/mmol\ glc$)]])/SQRT(2)</f>
        <v>0</v>
      </c>
      <c r="F1338">
        <f>Table1[[#This Row],[distance from 45-degree line]]/MAX(Table1[[Flux in SC / glucose uptake ($mmol/mmol\ glc$)]:[Flux in RT / glucose uptake ($mmol/mmol\ glc$)]])</f>
        <v>0</v>
      </c>
      <c r="G1338">
        <f>_xlfn.RANK.AVG(Table1[[#This Row],[Flux in SC / glucose uptake ($mmol/mmol\ glc$)]],Table1[Flux in SC / glucose uptake ($mmol/mmol\ glc$)])</f>
        <v>1310.5</v>
      </c>
      <c r="H1338">
        <f>_xlfn.RANK.AVG(Table1[[#This Row],[Flux in RT / glucose uptake ($mmol/mmol\ glc$)]],Table1[Flux in RT / glucose uptake ($mmol/mmol\ glc$)])</f>
        <v>1290.5</v>
      </c>
      <c r="I1338" t="e">
        <f>LOG(Table1[[#This Row],[Flux in SC / glucose uptake ($mmol/mmol\ glc$)]])</f>
        <v>#NUM!</v>
      </c>
      <c r="J1338" t="e">
        <f>LOG(Table1[[#This Row],[Flux in RT / glucose uptake ($mmol/mmol\ glc$)]])</f>
        <v>#NUM!</v>
      </c>
    </row>
    <row r="1339" spans="1:10" x14ac:dyDescent="0.2">
      <c r="A1339" t="s">
        <v>1342</v>
      </c>
      <c r="B1339" t="s">
        <v>3114</v>
      </c>
      <c r="C1339">
        <v>0</v>
      </c>
      <c r="D1339">
        <v>0</v>
      </c>
      <c r="E1339">
        <f>ABS(Table1[[#This Row],[Flux in SC / glucose uptake ($mmol/mmol\ glc$)]]-Table1[[#This Row],[Flux in RT / glucose uptake ($mmol/mmol\ glc$)]])/SQRT(2)</f>
        <v>0</v>
      </c>
      <c r="F1339">
        <f>Table1[[#This Row],[distance from 45-degree line]]/MAX(Table1[[Flux in SC / glucose uptake ($mmol/mmol\ glc$)]:[Flux in RT / glucose uptake ($mmol/mmol\ glc$)]])</f>
        <v>0</v>
      </c>
      <c r="G1339">
        <f>_xlfn.RANK.AVG(Table1[[#This Row],[Flux in SC / glucose uptake ($mmol/mmol\ glc$)]],Table1[Flux in SC / glucose uptake ($mmol/mmol\ glc$)])</f>
        <v>1310.5</v>
      </c>
      <c r="H1339">
        <f>_xlfn.RANK.AVG(Table1[[#This Row],[Flux in RT / glucose uptake ($mmol/mmol\ glc$)]],Table1[Flux in RT / glucose uptake ($mmol/mmol\ glc$)])</f>
        <v>1290.5</v>
      </c>
      <c r="I1339" t="e">
        <f>LOG(Table1[[#This Row],[Flux in SC / glucose uptake ($mmol/mmol\ glc$)]])</f>
        <v>#NUM!</v>
      </c>
      <c r="J1339" t="e">
        <f>LOG(Table1[[#This Row],[Flux in RT / glucose uptake ($mmol/mmol\ glc$)]])</f>
        <v>#NUM!</v>
      </c>
    </row>
    <row r="1340" spans="1:10" x14ac:dyDescent="0.2">
      <c r="A1340" t="s">
        <v>1343</v>
      </c>
      <c r="B1340" t="s">
        <v>3150</v>
      </c>
      <c r="C1340">
        <v>0</v>
      </c>
      <c r="D1340">
        <v>0</v>
      </c>
      <c r="E1340">
        <f>ABS(Table1[[#This Row],[Flux in SC / glucose uptake ($mmol/mmol\ glc$)]]-Table1[[#This Row],[Flux in RT / glucose uptake ($mmol/mmol\ glc$)]])/SQRT(2)</f>
        <v>0</v>
      </c>
      <c r="F1340">
        <f>Table1[[#This Row],[distance from 45-degree line]]/MAX(Table1[[Flux in SC / glucose uptake ($mmol/mmol\ glc$)]:[Flux in RT / glucose uptake ($mmol/mmol\ glc$)]])</f>
        <v>0</v>
      </c>
      <c r="G1340">
        <f>_xlfn.RANK.AVG(Table1[[#This Row],[Flux in SC / glucose uptake ($mmol/mmol\ glc$)]],Table1[Flux in SC / glucose uptake ($mmol/mmol\ glc$)])</f>
        <v>1310.5</v>
      </c>
      <c r="H1340">
        <f>_xlfn.RANK.AVG(Table1[[#This Row],[Flux in RT / glucose uptake ($mmol/mmol\ glc$)]],Table1[Flux in RT / glucose uptake ($mmol/mmol\ glc$)])</f>
        <v>1290.5</v>
      </c>
      <c r="I1340" t="e">
        <f>LOG(Table1[[#This Row],[Flux in SC / glucose uptake ($mmol/mmol\ glc$)]])</f>
        <v>#NUM!</v>
      </c>
      <c r="J1340" t="e">
        <f>LOG(Table1[[#This Row],[Flux in RT / glucose uptake ($mmol/mmol\ glc$)]])</f>
        <v>#NUM!</v>
      </c>
    </row>
    <row r="1341" spans="1:10" x14ac:dyDescent="0.2">
      <c r="A1341" t="s">
        <v>1344</v>
      </c>
      <c r="B1341" t="s">
        <v>3150</v>
      </c>
      <c r="C1341">
        <v>0</v>
      </c>
      <c r="D1341">
        <v>0</v>
      </c>
      <c r="E1341">
        <f>ABS(Table1[[#This Row],[Flux in SC / glucose uptake ($mmol/mmol\ glc$)]]-Table1[[#This Row],[Flux in RT / glucose uptake ($mmol/mmol\ glc$)]])/SQRT(2)</f>
        <v>0</v>
      </c>
      <c r="F1341">
        <f>Table1[[#This Row],[distance from 45-degree line]]/MAX(Table1[[Flux in SC / glucose uptake ($mmol/mmol\ glc$)]:[Flux in RT / glucose uptake ($mmol/mmol\ glc$)]])</f>
        <v>0</v>
      </c>
      <c r="G1341">
        <f>_xlfn.RANK.AVG(Table1[[#This Row],[Flux in SC / glucose uptake ($mmol/mmol\ glc$)]],Table1[Flux in SC / glucose uptake ($mmol/mmol\ glc$)])</f>
        <v>1310.5</v>
      </c>
      <c r="H1341">
        <f>_xlfn.RANK.AVG(Table1[[#This Row],[Flux in RT / glucose uptake ($mmol/mmol\ glc$)]],Table1[Flux in RT / glucose uptake ($mmol/mmol\ glc$)])</f>
        <v>1290.5</v>
      </c>
      <c r="I1341" t="e">
        <f>LOG(Table1[[#This Row],[Flux in SC / glucose uptake ($mmol/mmol\ glc$)]])</f>
        <v>#NUM!</v>
      </c>
      <c r="J1341" t="e">
        <f>LOG(Table1[[#This Row],[Flux in RT / glucose uptake ($mmol/mmol\ glc$)]])</f>
        <v>#NUM!</v>
      </c>
    </row>
    <row r="1342" spans="1:10" x14ac:dyDescent="0.2">
      <c r="A1342" t="s">
        <v>1345</v>
      </c>
      <c r="B1342" t="s">
        <v>3114</v>
      </c>
      <c r="C1342">
        <v>0</v>
      </c>
      <c r="D1342">
        <v>0</v>
      </c>
      <c r="E1342">
        <f>ABS(Table1[[#This Row],[Flux in SC / glucose uptake ($mmol/mmol\ glc$)]]-Table1[[#This Row],[Flux in RT / glucose uptake ($mmol/mmol\ glc$)]])/SQRT(2)</f>
        <v>0</v>
      </c>
      <c r="F1342">
        <f>Table1[[#This Row],[distance from 45-degree line]]/MAX(Table1[[Flux in SC / glucose uptake ($mmol/mmol\ glc$)]:[Flux in RT / glucose uptake ($mmol/mmol\ glc$)]])</f>
        <v>0</v>
      </c>
      <c r="G1342">
        <f>_xlfn.RANK.AVG(Table1[[#This Row],[Flux in SC / glucose uptake ($mmol/mmol\ glc$)]],Table1[Flux in SC / glucose uptake ($mmol/mmol\ glc$)])</f>
        <v>1310.5</v>
      </c>
      <c r="H1342">
        <f>_xlfn.RANK.AVG(Table1[[#This Row],[Flux in RT / glucose uptake ($mmol/mmol\ glc$)]],Table1[Flux in RT / glucose uptake ($mmol/mmol\ glc$)])</f>
        <v>1290.5</v>
      </c>
      <c r="I1342" t="e">
        <f>LOG(Table1[[#This Row],[Flux in SC / glucose uptake ($mmol/mmol\ glc$)]])</f>
        <v>#NUM!</v>
      </c>
      <c r="J1342" t="e">
        <f>LOG(Table1[[#This Row],[Flux in RT / glucose uptake ($mmol/mmol\ glc$)]])</f>
        <v>#NUM!</v>
      </c>
    </row>
    <row r="1343" spans="1:10" x14ac:dyDescent="0.2">
      <c r="A1343" t="s">
        <v>1346</v>
      </c>
      <c r="B1343" t="s">
        <v>3114</v>
      </c>
      <c r="C1343">
        <v>0</v>
      </c>
      <c r="D1343">
        <v>0</v>
      </c>
      <c r="E1343">
        <f>ABS(Table1[[#This Row],[Flux in SC / glucose uptake ($mmol/mmol\ glc$)]]-Table1[[#This Row],[Flux in RT / glucose uptake ($mmol/mmol\ glc$)]])/SQRT(2)</f>
        <v>0</v>
      </c>
      <c r="F1343">
        <f>Table1[[#This Row],[distance from 45-degree line]]/MAX(Table1[[Flux in SC / glucose uptake ($mmol/mmol\ glc$)]:[Flux in RT / glucose uptake ($mmol/mmol\ glc$)]])</f>
        <v>0</v>
      </c>
      <c r="G1343">
        <f>_xlfn.RANK.AVG(Table1[[#This Row],[Flux in SC / glucose uptake ($mmol/mmol\ glc$)]],Table1[Flux in SC / glucose uptake ($mmol/mmol\ glc$)])</f>
        <v>1310.5</v>
      </c>
      <c r="H1343">
        <f>_xlfn.RANK.AVG(Table1[[#This Row],[Flux in RT / glucose uptake ($mmol/mmol\ glc$)]],Table1[Flux in RT / glucose uptake ($mmol/mmol\ glc$)])</f>
        <v>1290.5</v>
      </c>
      <c r="I1343" t="e">
        <f>LOG(Table1[[#This Row],[Flux in SC / glucose uptake ($mmol/mmol\ glc$)]])</f>
        <v>#NUM!</v>
      </c>
      <c r="J1343" t="e">
        <f>LOG(Table1[[#This Row],[Flux in RT / glucose uptake ($mmol/mmol\ glc$)]])</f>
        <v>#NUM!</v>
      </c>
    </row>
    <row r="1344" spans="1:10" x14ac:dyDescent="0.2">
      <c r="A1344" t="s">
        <v>1347</v>
      </c>
      <c r="B1344" t="s">
        <v>3114</v>
      </c>
      <c r="C1344">
        <v>0</v>
      </c>
      <c r="D1344">
        <v>0</v>
      </c>
      <c r="E1344">
        <f>ABS(Table1[[#This Row],[Flux in SC / glucose uptake ($mmol/mmol\ glc$)]]-Table1[[#This Row],[Flux in RT / glucose uptake ($mmol/mmol\ glc$)]])/SQRT(2)</f>
        <v>0</v>
      </c>
      <c r="F1344">
        <f>Table1[[#This Row],[distance from 45-degree line]]/MAX(Table1[[Flux in SC / glucose uptake ($mmol/mmol\ glc$)]:[Flux in RT / glucose uptake ($mmol/mmol\ glc$)]])</f>
        <v>0</v>
      </c>
      <c r="G1344">
        <f>_xlfn.RANK.AVG(Table1[[#This Row],[Flux in SC / glucose uptake ($mmol/mmol\ glc$)]],Table1[Flux in SC / glucose uptake ($mmol/mmol\ glc$)])</f>
        <v>1310.5</v>
      </c>
      <c r="H1344">
        <f>_xlfn.RANK.AVG(Table1[[#This Row],[Flux in RT / glucose uptake ($mmol/mmol\ glc$)]],Table1[Flux in RT / glucose uptake ($mmol/mmol\ glc$)])</f>
        <v>1290.5</v>
      </c>
      <c r="I1344" t="e">
        <f>LOG(Table1[[#This Row],[Flux in SC / glucose uptake ($mmol/mmol\ glc$)]])</f>
        <v>#NUM!</v>
      </c>
      <c r="J1344" t="e">
        <f>LOG(Table1[[#This Row],[Flux in RT / glucose uptake ($mmol/mmol\ glc$)]])</f>
        <v>#NUM!</v>
      </c>
    </row>
    <row r="1345" spans="1:10" x14ac:dyDescent="0.2">
      <c r="A1345" t="s">
        <v>1348</v>
      </c>
      <c r="B1345" t="s">
        <v>3114</v>
      </c>
      <c r="C1345">
        <v>0.54107611871392869</v>
      </c>
      <c r="D1345">
        <v>4.5088390050312759</v>
      </c>
      <c r="E1345">
        <f>ABS(Table1[[#This Row],[Flux in SC / glucose uptake ($mmol/mmol\ glc$)]]-Table1[[#This Row],[Flux in RT / glucose uptake ($mmol/mmol\ glc$)]])/SQRT(2)</f>
        <v>2.8056320430553043</v>
      </c>
      <c r="F1345">
        <f>Table1[[#This Row],[distance from 45-degree line]]/MAX(Table1[[Flux in SC / glucose uptake ($mmol/mmol\ glc$)]:[Flux in RT / glucose uptake ($mmol/mmol\ glc$)]])</f>
        <v>0.15122036570951869</v>
      </c>
      <c r="G1345">
        <f>_xlfn.RANK.AVG(Table1[[#This Row],[Flux in SC / glucose uptake ($mmol/mmol\ glc$)]],Table1[Flux in SC / glucose uptake ($mmol/mmol\ glc$)])</f>
        <v>21.5</v>
      </c>
      <c r="H1345">
        <f>_xlfn.RANK.AVG(Table1[[#This Row],[Flux in RT / glucose uptake ($mmol/mmol\ glc$)]],Table1[Flux in RT / glucose uptake ($mmol/mmol\ glc$)])</f>
        <v>7.5</v>
      </c>
      <c r="I1345">
        <f>LOG(Table1[[#This Row],[Flux in SC / glucose uptake ($mmol/mmol\ glc$)]])</f>
        <v>-0.2667416339469969</v>
      </c>
      <c r="J1345">
        <f>LOG(Table1[[#This Row],[Flux in RT / glucose uptake ($mmol/mmol\ glc$)]])</f>
        <v>0.65406472843702024</v>
      </c>
    </row>
    <row r="1346" spans="1:10" x14ac:dyDescent="0.2">
      <c r="A1346" t="s">
        <v>1349</v>
      </c>
      <c r="B1346" t="s">
        <v>3114</v>
      </c>
      <c r="C1346">
        <v>0</v>
      </c>
      <c r="D1346">
        <v>0</v>
      </c>
      <c r="E1346">
        <f>ABS(Table1[[#This Row],[Flux in SC / glucose uptake ($mmol/mmol\ glc$)]]-Table1[[#This Row],[Flux in RT / glucose uptake ($mmol/mmol\ glc$)]])/SQRT(2)</f>
        <v>0</v>
      </c>
      <c r="F1346">
        <f>Table1[[#This Row],[distance from 45-degree line]]/MAX(Table1[[Flux in SC / glucose uptake ($mmol/mmol\ glc$)]:[Flux in RT / glucose uptake ($mmol/mmol\ glc$)]])</f>
        <v>0</v>
      </c>
      <c r="G1346">
        <f>_xlfn.RANK.AVG(Table1[[#This Row],[Flux in SC / glucose uptake ($mmol/mmol\ glc$)]],Table1[Flux in SC / glucose uptake ($mmol/mmol\ glc$)])</f>
        <v>1310.5</v>
      </c>
      <c r="H1346">
        <f>_xlfn.RANK.AVG(Table1[[#This Row],[Flux in RT / glucose uptake ($mmol/mmol\ glc$)]],Table1[Flux in RT / glucose uptake ($mmol/mmol\ glc$)])</f>
        <v>1290.5</v>
      </c>
      <c r="I1346" t="e">
        <f>LOG(Table1[[#This Row],[Flux in SC / glucose uptake ($mmol/mmol\ glc$)]])</f>
        <v>#NUM!</v>
      </c>
      <c r="J1346" t="e">
        <f>LOG(Table1[[#This Row],[Flux in RT / glucose uptake ($mmol/mmol\ glc$)]])</f>
        <v>#NUM!</v>
      </c>
    </row>
    <row r="1347" spans="1:10" x14ac:dyDescent="0.2">
      <c r="A1347" t="s">
        <v>1350</v>
      </c>
      <c r="B1347" t="s">
        <v>3114</v>
      </c>
      <c r="C1347">
        <v>0</v>
      </c>
      <c r="D1347">
        <v>0</v>
      </c>
      <c r="E1347">
        <f>ABS(Table1[[#This Row],[Flux in SC / glucose uptake ($mmol/mmol\ glc$)]]-Table1[[#This Row],[Flux in RT / glucose uptake ($mmol/mmol\ glc$)]])/SQRT(2)</f>
        <v>0</v>
      </c>
      <c r="F1347">
        <f>Table1[[#This Row],[distance from 45-degree line]]/MAX(Table1[[Flux in SC / glucose uptake ($mmol/mmol\ glc$)]:[Flux in RT / glucose uptake ($mmol/mmol\ glc$)]])</f>
        <v>0</v>
      </c>
      <c r="G1347">
        <f>_xlfn.RANK.AVG(Table1[[#This Row],[Flux in SC / glucose uptake ($mmol/mmol\ glc$)]],Table1[Flux in SC / glucose uptake ($mmol/mmol\ glc$)])</f>
        <v>1310.5</v>
      </c>
      <c r="H1347">
        <f>_xlfn.RANK.AVG(Table1[[#This Row],[Flux in RT / glucose uptake ($mmol/mmol\ glc$)]],Table1[Flux in RT / glucose uptake ($mmol/mmol\ glc$)])</f>
        <v>1290.5</v>
      </c>
      <c r="I1347" t="e">
        <f>LOG(Table1[[#This Row],[Flux in SC / glucose uptake ($mmol/mmol\ glc$)]])</f>
        <v>#NUM!</v>
      </c>
      <c r="J1347" t="e">
        <f>LOG(Table1[[#This Row],[Flux in RT / glucose uptake ($mmol/mmol\ glc$)]])</f>
        <v>#NUM!</v>
      </c>
    </row>
    <row r="1348" spans="1:10" x14ac:dyDescent="0.2">
      <c r="A1348" t="s">
        <v>1351</v>
      </c>
      <c r="B1348" t="s">
        <v>3114</v>
      </c>
      <c r="C1348">
        <v>0</v>
      </c>
      <c r="D1348">
        <v>0</v>
      </c>
      <c r="E1348">
        <f>ABS(Table1[[#This Row],[Flux in SC / glucose uptake ($mmol/mmol\ glc$)]]-Table1[[#This Row],[Flux in RT / glucose uptake ($mmol/mmol\ glc$)]])/SQRT(2)</f>
        <v>0</v>
      </c>
      <c r="F1348">
        <f>Table1[[#This Row],[distance from 45-degree line]]/MAX(Table1[[Flux in SC / glucose uptake ($mmol/mmol\ glc$)]:[Flux in RT / glucose uptake ($mmol/mmol\ glc$)]])</f>
        <v>0</v>
      </c>
      <c r="G1348">
        <f>_xlfn.RANK.AVG(Table1[[#This Row],[Flux in SC / glucose uptake ($mmol/mmol\ glc$)]],Table1[Flux in SC / glucose uptake ($mmol/mmol\ glc$)])</f>
        <v>1310.5</v>
      </c>
      <c r="H1348">
        <f>_xlfn.RANK.AVG(Table1[[#This Row],[Flux in RT / glucose uptake ($mmol/mmol\ glc$)]],Table1[Flux in RT / glucose uptake ($mmol/mmol\ glc$)])</f>
        <v>1290.5</v>
      </c>
      <c r="I1348" t="e">
        <f>LOG(Table1[[#This Row],[Flux in SC / glucose uptake ($mmol/mmol\ glc$)]])</f>
        <v>#NUM!</v>
      </c>
      <c r="J1348" t="e">
        <f>LOG(Table1[[#This Row],[Flux in RT / glucose uptake ($mmol/mmol\ glc$)]])</f>
        <v>#NUM!</v>
      </c>
    </row>
    <row r="1349" spans="1:10" x14ac:dyDescent="0.2">
      <c r="A1349" t="s">
        <v>1352</v>
      </c>
      <c r="B1349" t="s">
        <v>3114</v>
      </c>
      <c r="C1349">
        <v>0</v>
      </c>
      <c r="D1349">
        <v>0</v>
      </c>
      <c r="E1349">
        <f>ABS(Table1[[#This Row],[Flux in SC / glucose uptake ($mmol/mmol\ glc$)]]-Table1[[#This Row],[Flux in RT / glucose uptake ($mmol/mmol\ glc$)]])/SQRT(2)</f>
        <v>0</v>
      </c>
      <c r="F1349">
        <f>Table1[[#This Row],[distance from 45-degree line]]/MAX(Table1[[Flux in SC / glucose uptake ($mmol/mmol\ glc$)]:[Flux in RT / glucose uptake ($mmol/mmol\ glc$)]])</f>
        <v>0</v>
      </c>
      <c r="G1349">
        <f>_xlfn.RANK.AVG(Table1[[#This Row],[Flux in SC / glucose uptake ($mmol/mmol\ glc$)]],Table1[Flux in SC / glucose uptake ($mmol/mmol\ glc$)])</f>
        <v>1310.5</v>
      </c>
      <c r="H1349">
        <f>_xlfn.RANK.AVG(Table1[[#This Row],[Flux in RT / glucose uptake ($mmol/mmol\ glc$)]],Table1[Flux in RT / glucose uptake ($mmol/mmol\ glc$)])</f>
        <v>1290.5</v>
      </c>
      <c r="I1349" t="e">
        <f>LOG(Table1[[#This Row],[Flux in SC / glucose uptake ($mmol/mmol\ glc$)]])</f>
        <v>#NUM!</v>
      </c>
      <c r="J1349" t="e">
        <f>LOG(Table1[[#This Row],[Flux in RT / glucose uptake ($mmol/mmol\ glc$)]])</f>
        <v>#NUM!</v>
      </c>
    </row>
    <row r="1350" spans="1:10" x14ac:dyDescent="0.2">
      <c r="A1350" t="s">
        <v>1353</v>
      </c>
      <c r="B1350" t="s">
        <v>3114</v>
      </c>
      <c r="C1350">
        <v>0.85416246089660164</v>
      </c>
      <c r="D1350">
        <v>18.553268469438052</v>
      </c>
      <c r="E1350">
        <f>ABS(Table1[[#This Row],[Flux in SC / glucose uptake ($mmol/mmol\ glc$)]]-Table1[[#This Row],[Flux in RT / glucose uptake ($mmol/mmol\ glc$)]])/SQRT(2)</f>
        <v>12.515157879579226</v>
      </c>
      <c r="F1350">
        <f>Table1[[#This Row],[distance from 45-degree line]]/MAX(Table1[[Flux in SC / glucose uptake ($mmol/mmol\ glc$)]:[Flux in RT / glucose uptake ($mmol/mmol\ glc$)]])</f>
        <v>0.67455272908894037</v>
      </c>
      <c r="G1350">
        <f>_xlfn.RANK.AVG(Table1[[#This Row],[Flux in SC / glucose uptake ($mmol/mmol\ glc$)]],Table1[Flux in SC / glucose uptake ($mmol/mmol\ glc$)])</f>
        <v>19</v>
      </c>
      <c r="H1350">
        <f>_xlfn.RANK.AVG(Table1[[#This Row],[Flux in RT / glucose uptake ($mmol/mmol\ glc$)]],Table1[Flux in RT / glucose uptake ($mmol/mmol\ glc$)])</f>
        <v>1</v>
      </c>
      <c r="I1350">
        <f>LOG(Table1[[#This Row],[Flux in SC / glucose uptake ($mmol/mmol\ glc$)]])</f>
        <v>-6.8459519052606693E-2</v>
      </c>
      <c r="J1350">
        <f>LOG(Table1[[#This Row],[Flux in RT / glucose uptake ($mmol/mmol\ glc$)]])</f>
        <v>1.268420428948446</v>
      </c>
    </row>
    <row r="1351" spans="1:10" x14ac:dyDescent="0.2">
      <c r="A1351" t="s">
        <v>1354</v>
      </c>
      <c r="B1351" t="s">
        <v>3114</v>
      </c>
      <c r="C1351">
        <v>0</v>
      </c>
      <c r="D1351">
        <v>0</v>
      </c>
      <c r="E1351">
        <f>ABS(Table1[[#This Row],[Flux in SC / glucose uptake ($mmol/mmol\ glc$)]]-Table1[[#This Row],[Flux in RT / glucose uptake ($mmol/mmol\ glc$)]])/SQRT(2)</f>
        <v>0</v>
      </c>
      <c r="F1351">
        <f>Table1[[#This Row],[distance from 45-degree line]]/MAX(Table1[[Flux in SC / glucose uptake ($mmol/mmol\ glc$)]:[Flux in RT / glucose uptake ($mmol/mmol\ glc$)]])</f>
        <v>0</v>
      </c>
      <c r="G1351">
        <f>_xlfn.RANK.AVG(Table1[[#This Row],[Flux in SC / glucose uptake ($mmol/mmol\ glc$)]],Table1[Flux in SC / glucose uptake ($mmol/mmol\ glc$)])</f>
        <v>1310.5</v>
      </c>
      <c r="H1351">
        <f>_xlfn.RANK.AVG(Table1[[#This Row],[Flux in RT / glucose uptake ($mmol/mmol\ glc$)]],Table1[Flux in RT / glucose uptake ($mmol/mmol\ glc$)])</f>
        <v>1290.5</v>
      </c>
      <c r="I1351" t="e">
        <f>LOG(Table1[[#This Row],[Flux in SC / glucose uptake ($mmol/mmol\ glc$)]])</f>
        <v>#NUM!</v>
      </c>
      <c r="J1351" t="e">
        <f>LOG(Table1[[#This Row],[Flux in RT / glucose uptake ($mmol/mmol\ glc$)]])</f>
        <v>#NUM!</v>
      </c>
    </row>
    <row r="1352" spans="1:10" x14ac:dyDescent="0.2">
      <c r="A1352" t="s">
        <v>1355</v>
      </c>
      <c r="B1352" t="s">
        <v>3114</v>
      </c>
      <c r="C1352">
        <v>0</v>
      </c>
      <c r="D1352">
        <v>0</v>
      </c>
      <c r="E1352">
        <f>ABS(Table1[[#This Row],[Flux in SC / glucose uptake ($mmol/mmol\ glc$)]]-Table1[[#This Row],[Flux in RT / glucose uptake ($mmol/mmol\ glc$)]])/SQRT(2)</f>
        <v>0</v>
      </c>
      <c r="F1352">
        <f>Table1[[#This Row],[distance from 45-degree line]]/MAX(Table1[[Flux in SC / glucose uptake ($mmol/mmol\ glc$)]:[Flux in RT / glucose uptake ($mmol/mmol\ glc$)]])</f>
        <v>0</v>
      </c>
      <c r="G1352">
        <f>_xlfn.RANK.AVG(Table1[[#This Row],[Flux in SC / glucose uptake ($mmol/mmol\ glc$)]],Table1[Flux in SC / glucose uptake ($mmol/mmol\ glc$)])</f>
        <v>1310.5</v>
      </c>
      <c r="H1352">
        <f>_xlfn.RANK.AVG(Table1[[#This Row],[Flux in RT / glucose uptake ($mmol/mmol\ glc$)]],Table1[Flux in RT / glucose uptake ($mmol/mmol\ glc$)])</f>
        <v>1290.5</v>
      </c>
      <c r="I1352" t="e">
        <f>LOG(Table1[[#This Row],[Flux in SC / glucose uptake ($mmol/mmol\ glc$)]])</f>
        <v>#NUM!</v>
      </c>
      <c r="J1352" t="e">
        <f>LOG(Table1[[#This Row],[Flux in RT / glucose uptake ($mmol/mmol\ glc$)]])</f>
        <v>#NUM!</v>
      </c>
    </row>
    <row r="1353" spans="1:10" x14ac:dyDescent="0.2">
      <c r="A1353" t="s">
        <v>1356</v>
      </c>
      <c r="B1353" t="s">
        <v>3114</v>
      </c>
      <c r="C1353">
        <v>0</v>
      </c>
      <c r="D1353">
        <v>0</v>
      </c>
      <c r="E1353">
        <f>ABS(Table1[[#This Row],[Flux in SC / glucose uptake ($mmol/mmol\ glc$)]]-Table1[[#This Row],[Flux in RT / glucose uptake ($mmol/mmol\ glc$)]])/SQRT(2)</f>
        <v>0</v>
      </c>
      <c r="F1353">
        <f>Table1[[#This Row],[distance from 45-degree line]]/MAX(Table1[[Flux in SC / glucose uptake ($mmol/mmol\ glc$)]:[Flux in RT / glucose uptake ($mmol/mmol\ glc$)]])</f>
        <v>0</v>
      </c>
      <c r="G1353">
        <f>_xlfn.RANK.AVG(Table1[[#This Row],[Flux in SC / glucose uptake ($mmol/mmol\ glc$)]],Table1[Flux in SC / glucose uptake ($mmol/mmol\ glc$)])</f>
        <v>1310.5</v>
      </c>
      <c r="H1353">
        <f>_xlfn.RANK.AVG(Table1[[#This Row],[Flux in RT / glucose uptake ($mmol/mmol\ glc$)]],Table1[Flux in RT / glucose uptake ($mmol/mmol\ glc$)])</f>
        <v>1290.5</v>
      </c>
      <c r="I1353" t="e">
        <f>LOG(Table1[[#This Row],[Flux in SC / glucose uptake ($mmol/mmol\ glc$)]])</f>
        <v>#NUM!</v>
      </c>
      <c r="J1353" t="e">
        <f>LOG(Table1[[#This Row],[Flux in RT / glucose uptake ($mmol/mmol\ glc$)]])</f>
        <v>#NUM!</v>
      </c>
    </row>
    <row r="1354" spans="1:10" x14ac:dyDescent="0.2">
      <c r="A1354" t="s">
        <v>1357</v>
      </c>
      <c r="B1354" t="s">
        <v>3114</v>
      </c>
      <c r="C1354">
        <v>0</v>
      </c>
      <c r="D1354">
        <v>0</v>
      </c>
      <c r="E1354">
        <f>ABS(Table1[[#This Row],[Flux in SC / glucose uptake ($mmol/mmol\ glc$)]]-Table1[[#This Row],[Flux in RT / glucose uptake ($mmol/mmol\ glc$)]])/SQRT(2)</f>
        <v>0</v>
      </c>
      <c r="F1354">
        <f>Table1[[#This Row],[distance from 45-degree line]]/MAX(Table1[[Flux in SC / glucose uptake ($mmol/mmol\ glc$)]:[Flux in RT / glucose uptake ($mmol/mmol\ glc$)]])</f>
        <v>0</v>
      </c>
      <c r="G1354">
        <f>_xlfn.RANK.AVG(Table1[[#This Row],[Flux in SC / glucose uptake ($mmol/mmol\ glc$)]],Table1[Flux in SC / glucose uptake ($mmol/mmol\ glc$)])</f>
        <v>1310.5</v>
      </c>
      <c r="H1354">
        <f>_xlfn.RANK.AVG(Table1[[#This Row],[Flux in RT / glucose uptake ($mmol/mmol\ glc$)]],Table1[Flux in RT / glucose uptake ($mmol/mmol\ glc$)])</f>
        <v>1290.5</v>
      </c>
      <c r="I1354" t="e">
        <f>LOG(Table1[[#This Row],[Flux in SC / glucose uptake ($mmol/mmol\ glc$)]])</f>
        <v>#NUM!</v>
      </c>
      <c r="J1354" t="e">
        <f>LOG(Table1[[#This Row],[Flux in RT / glucose uptake ($mmol/mmol\ glc$)]])</f>
        <v>#NUM!</v>
      </c>
    </row>
    <row r="1355" spans="1:10" x14ac:dyDescent="0.2">
      <c r="A1355" t="s">
        <v>1358</v>
      </c>
      <c r="B1355" t="s">
        <v>3114</v>
      </c>
      <c r="C1355">
        <v>0</v>
      </c>
      <c r="D1355">
        <v>0</v>
      </c>
      <c r="E1355">
        <f>ABS(Table1[[#This Row],[Flux in SC / glucose uptake ($mmol/mmol\ glc$)]]-Table1[[#This Row],[Flux in RT / glucose uptake ($mmol/mmol\ glc$)]])/SQRT(2)</f>
        <v>0</v>
      </c>
      <c r="F1355">
        <f>Table1[[#This Row],[distance from 45-degree line]]/MAX(Table1[[Flux in SC / glucose uptake ($mmol/mmol\ glc$)]:[Flux in RT / glucose uptake ($mmol/mmol\ glc$)]])</f>
        <v>0</v>
      </c>
      <c r="G1355">
        <f>_xlfn.RANK.AVG(Table1[[#This Row],[Flux in SC / glucose uptake ($mmol/mmol\ glc$)]],Table1[Flux in SC / glucose uptake ($mmol/mmol\ glc$)])</f>
        <v>1310.5</v>
      </c>
      <c r="H1355">
        <f>_xlfn.RANK.AVG(Table1[[#This Row],[Flux in RT / glucose uptake ($mmol/mmol\ glc$)]],Table1[Flux in RT / glucose uptake ($mmol/mmol\ glc$)])</f>
        <v>1290.5</v>
      </c>
      <c r="I1355" t="e">
        <f>LOG(Table1[[#This Row],[Flux in SC / glucose uptake ($mmol/mmol\ glc$)]])</f>
        <v>#NUM!</v>
      </c>
      <c r="J1355" t="e">
        <f>LOG(Table1[[#This Row],[Flux in RT / glucose uptake ($mmol/mmol\ glc$)]])</f>
        <v>#NUM!</v>
      </c>
    </row>
    <row r="1356" spans="1:10" x14ac:dyDescent="0.2">
      <c r="A1356" t="s">
        <v>1359</v>
      </c>
      <c r="B1356" t="s">
        <v>3114</v>
      </c>
      <c r="C1356">
        <v>0</v>
      </c>
      <c r="D1356">
        <v>0</v>
      </c>
      <c r="E1356">
        <f>ABS(Table1[[#This Row],[Flux in SC / glucose uptake ($mmol/mmol\ glc$)]]-Table1[[#This Row],[Flux in RT / glucose uptake ($mmol/mmol\ glc$)]])/SQRT(2)</f>
        <v>0</v>
      </c>
      <c r="F1356">
        <f>Table1[[#This Row],[distance from 45-degree line]]/MAX(Table1[[Flux in SC / glucose uptake ($mmol/mmol\ glc$)]:[Flux in RT / glucose uptake ($mmol/mmol\ glc$)]])</f>
        <v>0</v>
      </c>
      <c r="G1356">
        <f>_xlfn.RANK.AVG(Table1[[#This Row],[Flux in SC / glucose uptake ($mmol/mmol\ glc$)]],Table1[Flux in SC / glucose uptake ($mmol/mmol\ glc$)])</f>
        <v>1310.5</v>
      </c>
      <c r="H1356">
        <f>_xlfn.RANK.AVG(Table1[[#This Row],[Flux in RT / glucose uptake ($mmol/mmol\ glc$)]],Table1[Flux in RT / glucose uptake ($mmol/mmol\ glc$)])</f>
        <v>1290.5</v>
      </c>
      <c r="I1356" t="e">
        <f>LOG(Table1[[#This Row],[Flux in SC / glucose uptake ($mmol/mmol\ glc$)]])</f>
        <v>#NUM!</v>
      </c>
      <c r="J1356" t="e">
        <f>LOG(Table1[[#This Row],[Flux in RT / glucose uptake ($mmol/mmol\ glc$)]])</f>
        <v>#NUM!</v>
      </c>
    </row>
    <row r="1357" spans="1:10" x14ac:dyDescent="0.2">
      <c r="A1357" t="s">
        <v>1360</v>
      </c>
      <c r="B1357" t="s">
        <v>3114</v>
      </c>
      <c r="C1357">
        <v>0</v>
      </c>
      <c r="D1357">
        <v>0</v>
      </c>
      <c r="E1357">
        <f>ABS(Table1[[#This Row],[Flux in SC / glucose uptake ($mmol/mmol\ glc$)]]-Table1[[#This Row],[Flux in RT / glucose uptake ($mmol/mmol\ glc$)]])/SQRT(2)</f>
        <v>0</v>
      </c>
      <c r="F1357">
        <f>Table1[[#This Row],[distance from 45-degree line]]/MAX(Table1[[Flux in SC / glucose uptake ($mmol/mmol\ glc$)]:[Flux in RT / glucose uptake ($mmol/mmol\ glc$)]])</f>
        <v>0</v>
      </c>
      <c r="G1357">
        <f>_xlfn.RANK.AVG(Table1[[#This Row],[Flux in SC / glucose uptake ($mmol/mmol\ glc$)]],Table1[Flux in SC / glucose uptake ($mmol/mmol\ glc$)])</f>
        <v>1310.5</v>
      </c>
      <c r="H1357">
        <f>_xlfn.RANK.AVG(Table1[[#This Row],[Flux in RT / glucose uptake ($mmol/mmol\ glc$)]],Table1[Flux in RT / glucose uptake ($mmol/mmol\ glc$)])</f>
        <v>1290.5</v>
      </c>
      <c r="I1357" t="e">
        <f>LOG(Table1[[#This Row],[Flux in SC / glucose uptake ($mmol/mmol\ glc$)]])</f>
        <v>#NUM!</v>
      </c>
      <c r="J1357" t="e">
        <f>LOG(Table1[[#This Row],[Flux in RT / glucose uptake ($mmol/mmol\ glc$)]])</f>
        <v>#NUM!</v>
      </c>
    </row>
    <row r="1358" spans="1:10" x14ac:dyDescent="0.2">
      <c r="A1358" t="s">
        <v>1361</v>
      </c>
      <c r="B1358" t="s">
        <v>3135</v>
      </c>
      <c r="C1358">
        <v>0</v>
      </c>
      <c r="D1358">
        <v>0</v>
      </c>
      <c r="E1358">
        <f>ABS(Table1[[#This Row],[Flux in SC / glucose uptake ($mmol/mmol\ glc$)]]-Table1[[#This Row],[Flux in RT / glucose uptake ($mmol/mmol\ glc$)]])/SQRT(2)</f>
        <v>0</v>
      </c>
      <c r="F1358">
        <f>Table1[[#This Row],[distance from 45-degree line]]/MAX(Table1[[Flux in SC / glucose uptake ($mmol/mmol\ glc$)]:[Flux in RT / glucose uptake ($mmol/mmol\ glc$)]])</f>
        <v>0</v>
      </c>
      <c r="G1358">
        <f>_xlfn.RANK.AVG(Table1[[#This Row],[Flux in SC / glucose uptake ($mmol/mmol\ glc$)]],Table1[Flux in SC / glucose uptake ($mmol/mmol\ glc$)])</f>
        <v>1310.5</v>
      </c>
      <c r="H1358">
        <f>_xlfn.RANK.AVG(Table1[[#This Row],[Flux in RT / glucose uptake ($mmol/mmol\ glc$)]],Table1[Flux in RT / glucose uptake ($mmol/mmol\ glc$)])</f>
        <v>1290.5</v>
      </c>
      <c r="I1358" t="e">
        <f>LOG(Table1[[#This Row],[Flux in SC / glucose uptake ($mmol/mmol\ glc$)]])</f>
        <v>#NUM!</v>
      </c>
      <c r="J1358" t="e">
        <f>LOG(Table1[[#This Row],[Flux in RT / glucose uptake ($mmol/mmol\ glc$)]])</f>
        <v>#NUM!</v>
      </c>
    </row>
    <row r="1359" spans="1:10" x14ac:dyDescent="0.2">
      <c r="A1359" t="s">
        <v>1362</v>
      </c>
      <c r="B1359" t="s">
        <v>3135</v>
      </c>
      <c r="C1359">
        <v>0</v>
      </c>
      <c r="D1359">
        <v>0</v>
      </c>
      <c r="E1359">
        <f>ABS(Table1[[#This Row],[Flux in SC / glucose uptake ($mmol/mmol\ glc$)]]-Table1[[#This Row],[Flux in RT / glucose uptake ($mmol/mmol\ glc$)]])/SQRT(2)</f>
        <v>0</v>
      </c>
      <c r="F1359">
        <f>Table1[[#This Row],[distance from 45-degree line]]/MAX(Table1[[Flux in SC / glucose uptake ($mmol/mmol\ glc$)]:[Flux in RT / glucose uptake ($mmol/mmol\ glc$)]])</f>
        <v>0</v>
      </c>
      <c r="G1359">
        <f>_xlfn.RANK.AVG(Table1[[#This Row],[Flux in SC / glucose uptake ($mmol/mmol\ glc$)]],Table1[Flux in SC / glucose uptake ($mmol/mmol\ glc$)])</f>
        <v>1310.5</v>
      </c>
      <c r="H1359">
        <f>_xlfn.RANK.AVG(Table1[[#This Row],[Flux in RT / glucose uptake ($mmol/mmol\ glc$)]],Table1[Flux in RT / glucose uptake ($mmol/mmol\ glc$)])</f>
        <v>1290.5</v>
      </c>
      <c r="I1359" t="e">
        <f>LOG(Table1[[#This Row],[Flux in SC / glucose uptake ($mmol/mmol\ glc$)]])</f>
        <v>#NUM!</v>
      </c>
      <c r="J1359" t="e">
        <f>LOG(Table1[[#This Row],[Flux in RT / glucose uptake ($mmol/mmol\ glc$)]])</f>
        <v>#NUM!</v>
      </c>
    </row>
    <row r="1360" spans="1:10" x14ac:dyDescent="0.2">
      <c r="A1360" t="s">
        <v>1363</v>
      </c>
      <c r="B1360" t="s">
        <v>3135</v>
      </c>
      <c r="C1360">
        <v>0</v>
      </c>
      <c r="D1360">
        <v>0</v>
      </c>
      <c r="E1360">
        <f>ABS(Table1[[#This Row],[Flux in SC / glucose uptake ($mmol/mmol\ glc$)]]-Table1[[#This Row],[Flux in RT / glucose uptake ($mmol/mmol\ glc$)]])/SQRT(2)</f>
        <v>0</v>
      </c>
      <c r="F1360">
        <f>Table1[[#This Row],[distance from 45-degree line]]/MAX(Table1[[Flux in SC / glucose uptake ($mmol/mmol\ glc$)]:[Flux in RT / glucose uptake ($mmol/mmol\ glc$)]])</f>
        <v>0</v>
      </c>
      <c r="G1360">
        <f>_xlfn.RANK.AVG(Table1[[#This Row],[Flux in SC / glucose uptake ($mmol/mmol\ glc$)]],Table1[Flux in SC / glucose uptake ($mmol/mmol\ glc$)])</f>
        <v>1310.5</v>
      </c>
      <c r="H1360">
        <f>_xlfn.RANK.AVG(Table1[[#This Row],[Flux in RT / glucose uptake ($mmol/mmol\ glc$)]],Table1[Flux in RT / glucose uptake ($mmol/mmol\ glc$)])</f>
        <v>1290.5</v>
      </c>
      <c r="I1360" t="e">
        <f>LOG(Table1[[#This Row],[Flux in SC / glucose uptake ($mmol/mmol\ glc$)]])</f>
        <v>#NUM!</v>
      </c>
      <c r="J1360" t="e">
        <f>LOG(Table1[[#This Row],[Flux in RT / glucose uptake ($mmol/mmol\ glc$)]])</f>
        <v>#NUM!</v>
      </c>
    </row>
    <row r="1361" spans="1:10" x14ac:dyDescent="0.2">
      <c r="A1361" t="s">
        <v>1364</v>
      </c>
      <c r="B1361" t="s">
        <v>3135</v>
      </c>
      <c r="C1361">
        <v>0</v>
      </c>
      <c r="D1361">
        <v>0</v>
      </c>
      <c r="E1361">
        <f>ABS(Table1[[#This Row],[Flux in SC / glucose uptake ($mmol/mmol\ glc$)]]-Table1[[#This Row],[Flux in RT / glucose uptake ($mmol/mmol\ glc$)]])/SQRT(2)</f>
        <v>0</v>
      </c>
      <c r="F1361">
        <f>Table1[[#This Row],[distance from 45-degree line]]/MAX(Table1[[Flux in SC / glucose uptake ($mmol/mmol\ glc$)]:[Flux in RT / glucose uptake ($mmol/mmol\ glc$)]])</f>
        <v>0</v>
      </c>
      <c r="G1361">
        <f>_xlfn.RANK.AVG(Table1[[#This Row],[Flux in SC / glucose uptake ($mmol/mmol\ glc$)]],Table1[Flux in SC / glucose uptake ($mmol/mmol\ glc$)])</f>
        <v>1310.5</v>
      </c>
      <c r="H1361">
        <f>_xlfn.RANK.AVG(Table1[[#This Row],[Flux in RT / glucose uptake ($mmol/mmol\ glc$)]],Table1[Flux in RT / glucose uptake ($mmol/mmol\ glc$)])</f>
        <v>1290.5</v>
      </c>
      <c r="I1361" t="e">
        <f>LOG(Table1[[#This Row],[Flux in SC / glucose uptake ($mmol/mmol\ glc$)]])</f>
        <v>#NUM!</v>
      </c>
      <c r="J1361" t="e">
        <f>LOG(Table1[[#This Row],[Flux in RT / glucose uptake ($mmol/mmol\ glc$)]])</f>
        <v>#NUM!</v>
      </c>
    </row>
    <row r="1362" spans="1:10" x14ac:dyDescent="0.2">
      <c r="A1362" t="s">
        <v>1365</v>
      </c>
      <c r="B1362" t="s">
        <v>3135</v>
      </c>
      <c r="C1362">
        <v>0</v>
      </c>
      <c r="D1362">
        <v>0</v>
      </c>
      <c r="E1362">
        <f>ABS(Table1[[#This Row],[Flux in SC / glucose uptake ($mmol/mmol\ glc$)]]-Table1[[#This Row],[Flux in RT / glucose uptake ($mmol/mmol\ glc$)]])/SQRT(2)</f>
        <v>0</v>
      </c>
      <c r="F1362">
        <f>Table1[[#This Row],[distance from 45-degree line]]/MAX(Table1[[Flux in SC / glucose uptake ($mmol/mmol\ glc$)]:[Flux in RT / glucose uptake ($mmol/mmol\ glc$)]])</f>
        <v>0</v>
      </c>
      <c r="G1362">
        <f>_xlfn.RANK.AVG(Table1[[#This Row],[Flux in SC / glucose uptake ($mmol/mmol\ glc$)]],Table1[Flux in SC / glucose uptake ($mmol/mmol\ glc$)])</f>
        <v>1310.5</v>
      </c>
      <c r="H1362">
        <f>_xlfn.RANK.AVG(Table1[[#This Row],[Flux in RT / glucose uptake ($mmol/mmol\ glc$)]],Table1[Flux in RT / glucose uptake ($mmol/mmol\ glc$)])</f>
        <v>1290.5</v>
      </c>
      <c r="I1362" t="e">
        <f>LOG(Table1[[#This Row],[Flux in SC / glucose uptake ($mmol/mmol\ glc$)]])</f>
        <v>#NUM!</v>
      </c>
      <c r="J1362" t="e">
        <f>LOG(Table1[[#This Row],[Flux in RT / glucose uptake ($mmol/mmol\ glc$)]])</f>
        <v>#NUM!</v>
      </c>
    </row>
    <row r="1363" spans="1:10" x14ac:dyDescent="0.2">
      <c r="A1363" t="s">
        <v>1366</v>
      </c>
      <c r="B1363" t="s">
        <v>3135</v>
      </c>
      <c r="C1363">
        <v>0</v>
      </c>
      <c r="D1363">
        <v>0</v>
      </c>
      <c r="E1363">
        <f>ABS(Table1[[#This Row],[Flux in SC / glucose uptake ($mmol/mmol\ glc$)]]-Table1[[#This Row],[Flux in RT / glucose uptake ($mmol/mmol\ glc$)]])/SQRT(2)</f>
        <v>0</v>
      </c>
      <c r="F1363">
        <f>Table1[[#This Row],[distance from 45-degree line]]/MAX(Table1[[Flux in SC / glucose uptake ($mmol/mmol\ glc$)]:[Flux in RT / glucose uptake ($mmol/mmol\ glc$)]])</f>
        <v>0</v>
      </c>
      <c r="G1363">
        <f>_xlfn.RANK.AVG(Table1[[#This Row],[Flux in SC / glucose uptake ($mmol/mmol\ glc$)]],Table1[Flux in SC / glucose uptake ($mmol/mmol\ glc$)])</f>
        <v>1310.5</v>
      </c>
      <c r="H1363">
        <f>_xlfn.RANK.AVG(Table1[[#This Row],[Flux in RT / glucose uptake ($mmol/mmol\ glc$)]],Table1[Flux in RT / glucose uptake ($mmol/mmol\ glc$)])</f>
        <v>1290.5</v>
      </c>
      <c r="I1363" t="e">
        <f>LOG(Table1[[#This Row],[Flux in SC / glucose uptake ($mmol/mmol\ glc$)]])</f>
        <v>#NUM!</v>
      </c>
      <c r="J1363" t="e">
        <f>LOG(Table1[[#This Row],[Flux in RT / glucose uptake ($mmol/mmol\ glc$)]])</f>
        <v>#NUM!</v>
      </c>
    </row>
    <row r="1364" spans="1:10" x14ac:dyDescent="0.2">
      <c r="A1364" t="s">
        <v>1367</v>
      </c>
      <c r="B1364" t="s">
        <v>3135</v>
      </c>
      <c r="C1364">
        <v>0</v>
      </c>
      <c r="D1364">
        <v>0</v>
      </c>
      <c r="E1364">
        <f>ABS(Table1[[#This Row],[Flux in SC / glucose uptake ($mmol/mmol\ glc$)]]-Table1[[#This Row],[Flux in RT / glucose uptake ($mmol/mmol\ glc$)]])/SQRT(2)</f>
        <v>0</v>
      </c>
      <c r="F1364">
        <f>Table1[[#This Row],[distance from 45-degree line]]/MAX(Table1[[Flux in SC / glucose uptake ($mmol/mmol\ glc$)]:[Flux in RT / glucose uptake ($mmol/mmol\ glc$)]])</f>
        <v>0</v>
      </c>
      <c r="G1364">
        <f>_xlfn.RANK.AVG(Table1[[#This Row],[Flux in SC / glucose uptake ($mmol/mmol\ glc$)]],Table1[Flux in SC / glucose uptake ($mmol/mmol\ glc$)])</f>
        <v>1310.5</v>
      </c>
      <c r="H1364">
        <f>_xlfn.RANK.AVG(Table1[[#This Row],[Flux in RT / glucose uptake ($mmol/mmol\ glc$)]],Table1[Flux in RT / glucose uptake ($mmol/mmol\ glc$)])</f>
        <v>1290.5</v>
      </c>
      <c r="I1364" t="e">
        <f>LOG(Table1[[#This Row],[Flux in SC / glucose uptake ($mmol/mmol\ glc$)]])</f>
        <v>#NUM!</v>
      </c>
      <c r="J1364" t="e">
        <f>LOG(Table1[[#This Row],[Flux in RT / glucose uptake ($mmol/mmol\ glc$)]])</f>
        <v>#NUM!</v>
      </c>
    </row>
    <row r="1365" spans="1:10" x14ac:dyDescent="0.2">
      <c r="A1365" t="s">
        <v>1368</v>
      </c>
      <c r="B1365" t="s">
        <v>3135</v>
      </c>
      <c r="C1365">
        <v>0</v>
      </c>
      <c r="D1365">
        <v>0</v>
      </c>
      <c r="E1365">
        <f>ABS(Table1[[#This Row],[Flux in SC / glucose uptake ($mmol/mmol\ glc$)]]-Table1[[#This Row],[Flux in RT / glucose uptake ($mmol/mmol\ glc$)]])/SQRT(2)</f>
        <v>0</v>
      </c>
      <c r="F1365">
        <f>Table1[[#This Row],[distance from 45-degree line]]/MAX(Table1[[Flux in SC / glucose uptake ($mmol/mmol\ glc$)]:[Flux in RT / glucose uptake ($mmol/mmol\ glc$)]])</f>
        <v>0</v>
      </c>
      <c r="G1365">
        <f>_xlfn.RANK.AVG(Table1[[#This Row],[Flux in SC / glucose uptake ($mmol/mmol\ glc$)]],Table1[Flux in SC / glucose uptake ($mmol/mmol\ glc$)])</f>
        <v>1310.5</v>
      </c>
      <c r="H1365">
        <f>_xlfn.RANK.AVG(Table1[[#This Row],[Flux in RT / glucose uptake ($mmol/mmol\ glc$)]],Table1[Flux in RT / glucose uptake ($mmol/mmol\ glc$)])</f>
        <v>1290.5</v>
      </c>
      <c r="I1365" t="e">
        <f>LOG(Table1[[#This Row],[Flux in SC / glucose uptake ($mmol/mmol\ glc$)]])</f>
        <v>#NUM!</v>
      </c>
      <c r="J1365" t="e">
        <f>LOG(Table1[[#This Row],[Flux in RT / glucose uptake ($mmol/mmol\ glc$)]])</f>
        <v>#NUM!</v>
      </c>
    </row>
    <row r="1366" spans="1:10" x14ac:dyDescent="0.2">
      <c r="A1366" t="s">
        <v>1369</v>
      </c>
      <c r="B1366" t="s">
        <v>3135</v>
      </c>
      <c r="C1366">
        <v>0</v>
      </c>
      <c r="D1366">
        <v>0</v>
      </c>
      <c r="E1366">
        <f>ABS(Table1[[#This Row],[Flux in SC / glucose uptake ($mmol/mmol\ glc$)]]-Table1[[#This Row],[Flux in RT / glucose uptake ($mmol/mmol\ glc$)]])/SQRT(2)</f>
        <v>0</v>
      </c>
      <c r="F1366">
        <f>Table1[[#This Row],[distance from 45-degree line]]/MAX(Table1[[Flux in SC / glucose uptake ($mmol/mmol\ glc$)]:[Flux in RT / glucose uptake ($mmol/mmol\ glc$)]])</f>
        <v>0</v>
      </c>
      <c r="G1366">
        <f>_xlfn.RANK.AVG(Table1[[#This Row],[Flux in SC / glucose uptake ($mmol/mmol\ glc$)]],Table1[Flux in SC / glucose uptake ($mmol/mmol\ glc$)])</f>
        <v>1310.5</v>
      </c>
      <c r="H1366">
        <f>_xlfn.RANK.AVG(Table1[[#This Row],[Flux in RT / glucose uptake ($mmol/mmol\ glc$)]],Table1[Flux in RT / glucose uptake ($mmol/mmol\ glc$)])</f>
        <v>1290.5</v>
      </c>
      <c r="I1366" t="e">
        <f>LOG(Table1[[#This Row],[Flux in SC / glucose uptake ($mmol/mmol\ glc$)]])</f>
        <v>#NUM!</v>
      </c>
      <c r="J1366" t="e">
        <f>LOG(Table1[[#This Row],[Flux in RT / glucose uptake ($mmol/mmol\ glc$)]])</f>
        <v>#NUM!</v>
      </c>
    </row>
    <row r="1367" spans="1:10" x14ac:dyDescent="0.2">
      <c r="A1367" t="s">
        <v>1370</v>
      </c>
      <c r="B1367" t="s">
        <v>3135</v>
      </c>
      <c r="C1367">
        <v>0</v>
      </c>
      <c r="D1367">
        <v>0</v>
      </c>
      <c r="E1367">
        <f>ABS(Table1[[#This Row],[Flux in SC / glucose uptake ($mmol/mmol\ glc$)]]-Table1[[#This Row],[Flux in RT / glucose uptake ($mmol/mmol\ glc$)]])/SQRT(2)</f>
        <v>0</v>
      </c>
      <c r="F1367">
        <f>Table1[[#This Row],[distance from 45-degree line]]/MAX(Table1[[Flux in SC / glucose uptake ($mmol/mmol\ glc$)]:[Flux in RT / glucose uptake ($mmol/mmol\ glc$)]])</f>
        <v>0</v>
      </c>
      <c r="G1367">
        <f>_xlfn.RANK.AVG(Table1[[#This Row],[Flux in SC / glucose uptake ($mmol/mmol\ glc$)]],Table1[Flux in SC / glucose uptake ($mmol/mmol\ glc$)])</f>
        <v>1310.5</v>
      </c>
      <c r="H1367">
        <f>_xlfn.RANK.AVG(Table1[[#This Row],[Flux in RT / glucose uptake ($mmol/mmol\ glc$)]],Table1[Flux in RT / glucose uptake ($mmol/mmol\ glc$)])</f>
        <v>1290.5</v>
      </c>
      <c r="I1367" t="e">
        <f>LOG(Table1[[#This Row],[Flux in SC / glucose uptake ($mmol/mmol\ glc$)]])</f>
        <v>#NUM!</v>
      </c>
      <c r="J1367" t="e">
        <f>LOG(Table1[[#This Row],[Flux in RT / glucose uptake ($mmol/mmol\ glc$)]])</f>
        <v>#NUM!</v>
      </c>
    </row>
    <row r="1368" spans="1:10" x14ac:dyDescent="0.2">
      <c r="A1368" t="s">
        <v>1371</v>
      </c>
      <c r="B1368" t="s">
        <v>3135</v>
      </c>
      <c r="C1368">
        <v>0</v>
      </c>
      <c r="D1368">
        <v>0</v>
      </c>
      <c r="E1368">
        <f>ABS(Table1[[#This Row],[Flux in SC / glucose uptake ($mmol/mmol\ glc$)]]-Table1[[#This Row],[Flux in RT / glucose uptake ($mmol/mmol\ glc$)]])/SQRT(2)</f>
        <v>0</v>
      </c>
      <c r="F1368">
        <f>Table1[[#This Row],[distance from 45-degree line]]/MAX(Table1[[Flux in SC / glucose uptake ($mmol/mmol\ glc$)]:[Flux in RT / glucose uptake ($mmol/mmol\ glc$)]])</f>
        <v>0</v>
      </c>
      <c r="G1368">
        <f>_xlfn.RANK.AVG(Table1[[#This Row],[Flux in SC / glucose uptake ($mmol/mmol\ glc$)]],Table1[Flux in SC / glucose uptake ($mmol/mmol\ glc$)])</f>
        <v>1310.5</v>
      </c>
      <c r="H1368">
        <f>_xlfn.RANK.AVG(Table1[[#This Row],[Flux in RT / glucose uptake ($mmol/mmol\ glc$)]],Table1[Flux in RT / glucose uptake ($mmol/mmol\ glc$)])</f>
        <v>1290.5</v>
      </c>
      <c r="I1368" t="e">
        <f>LOG(Table1[[#This Row],[Flux in SC / glucose uptake ($mmol/mmol\ glc$)]])</f>
        <v>#NUM!</v>
      </c>
      <c r="J1368" t="e">
        <f>LOG(Table1[[#This Row],[Flux in RT / glucose uptake ($mmol/mmol\ glc$)]])</f>
        <v>#NUM!</v>
      </c>
    </row>
    <row r="1369" spans="1:10" x14ac:dyDescent="0.2">
      <c r="A1369" t="s">
        <v>1372</v>
      </c>
      <c r="B1369" t="s">
        <v>3135</v>
      </c>
      <c r="C1369">
        <v>0</v>
      </c>
      <c r="D1369">
        <v>0</v>
      </c>
      <c r="E1369">
        <f>ABS(Table1[[#This Row],[Flux in SC / glucose uptake ($mmol/mmol\ glc$)]]-Table1[[#This Row],[Flux in RT / glucose uptake ($mmol/mmol\ glc$)]])/SQRT(2)</f>
        <v>0</v>
      </c>
      <c r="F1369">
        <f>Table1[[#This Row],[distance from 45-degree line]]/MAX(Table1[[Flux in SC / glucose uptake ($mmol/mmol\ glc$)]:[Flux in RT / glucose uptake ($mmol/mmol\ glc$)]])</f>
        <v>0</v>
      </c>
      <c r="G1369">
        <f>_xlfn.RANK.AVG(Table1[[#This Row],[Flux in SC / glucose uptake ($mmol/mmol\ glc$)]],Table1[Flux in SC / glucose uptake ($mmol/mmol\ glc$)])</f>
        <v>1310.5</v>
      </c>
      <c r="H1369">
        <f>_xlfn.RANK.AVG(Table1[[#This Row],[Flux in RT / glucose uptake ($mmol/mmol\ glc$)]],Table1[Flux in RT / glucose uptake ($mmol/mmol\ glc$)])</f>
        <v>1290.5</v>
      </c>
      <c r="I1369" t="e">
        <f>LOG(Table1[[#This Row],[Flux in SC / glucose uptake ($mmol/mmol\ glc$)]])</f>
        <v>#NUM!</v>
      </c>
      <c r="J1369" t="e">
        <f>LOG(Table1[[#This Row],[Flux in RT / glucose uptake ($mmol/mmol\ glc$)]])</f>
        <v>#NUM!</v>
      </c>
    </row>
    <row r="1370" spans="1:10" x14ac:dyDescent="0.2">
      <c r="A1370" t="s">
        <v>1373</v>
      </c>
      <c r="B1370" t="s">
        <v>3135</v>
      </c>
      <c r="C1370">
        <v>0</v>
      </c>
      <c r="D1370">
        <v>0</v>
      </c>
      <c r="E1370">
        <f>ABS(Table1[[#This Row],[Flux in SC / glucose uptake ($mmol/mmol\ glc$)]]-Table1[[#This Row],[Flux in RT / glucose uptake ($mmol/mmol\ glc$)]])/SQRT(2)</f>
        <v>0</v>
      </c>
      <c r="F1370">
        <f>Table1[[#This Row],[distance from 45-degree line]]/MAX(Table1[[Flux in SC / glucose uptake ($mmol/mmol\ glc$)]:[Flux in RT / glucose uptake ($mmol/mmol\ glc$)]])</f>
        <v>0</v>
      </c>
      <c r="G1370">
        <f>_xlfn.RANK.AVG(Table1[[#This Row],[Flux in SC / glucose uptake ($mmol/mmol\ glc$)]],Table1[Flux in SC / glucose uptake ($mmol/mmol\ glc$)])</f>
        <v>1310.5</v>
      </c>
      <c r="H1370">
        <f>_xlfn.RANK.AVG(Table1[[#This Row],[Flux in RT / glucose uptake ($mmol/mmol\ glc$)]],Table1[Flux in RT / glucose uptake ($mmol/mmol\ glc$)])</f>
        <v>1290.5</v>
      </c>
      <c r="I1370" t="e">
        <f>LOG(Table1[[#This Row],[Flux in SC / glucose uptake ($mmol/mmol\ glc$)]])</f>
        <v>#NUM!</v>
      </c>
      <c r="J1370" t="e">
        <f>LOG(Table1[[#This Row],[Flux in RT / glucose uptake ($mmol/mmol\ glc$)]])</f>
        <v>#NUM!</v>
      </c>
    </row>
    <row r="1371" spans="1:10" x14ac:dyDescent="0.2">
      <c r="A1371" t="s">
        <v>1374</v>
      </c>
      <c r="B1371" t="s">
        <v>3135</v>
      </c>
      <c r="C1371">
        <v>0</v>
      </c>
      <c r="D1371">
        <v>0</v>
      </c>
      <c r="E1371">
        <f>ABS(Table1[[#This Row],[Flux in SC / glucose uptake ($mmol/mmol\ glc$)]]-Table1[[#This Row],[Flux in RT / glucose uptake ($mmol/mmol\ glc$)]])/SQRT(2)</f>
        <v>0</v>
      </c>
      <c r="F1371">
        <f>Table1[[#This Row],[distance from 45-degree line]]/MAX(Table1[[Flux in SC / glucose uptake ($mmol/mmol\ glc$)]:[Flux in RT / glucose uptake ($mmol/mmol\ glc$)]])</f>
        <v>0</v>
      </c>
      <c r="G1371">
        <f>_xlfn.RANK.AVG(Table1[[#This Row],[Flux in SC / glucose uptake ($mmol/mmol\ glc$)]],Table1[Flux in SC / glucose uptake ($mmol/mmol\ glc$)])</f>
        <v>1310.5</v>
      </c>
      <c r="H1371">
        <f>_xlfn.RANK.AVG(Table1[[#This Row],[Flux in RT / glucose uptake ($mmol/mmol\ glc$)]],Table1[Flux in RT / glucose uptake ($mmol/mmol\ glc$)])</f>
        <v>1290.5</v>
      </c>
      <c r="I1371" t="e">
        <f>LOG(Table1[[#This Row],[Flux in SC / glucose uptake ($mmol/mmol\ glc$)]])</f>
        <v>#NUM!</v>
      </c>
      <c r="J1371" t="e">
        <f>LOG(Table1[[#This Row],[Flux in RT / glucose uptake ($mmol/mmol\ glc$)]])</f>
        <v>#NUM!</v>
      </c>
    </row>
    <row r="1372" spans="1:10" x14ac:dyDescent="0.2">
      <c r="A1372" t="s">
        <v>1375</v>
      </c>
      <c r="B1372" t="s">
        <v>3135</v>
      </c>
      <c r="C1372">
        <v>0</v>
      </c>
      <c r="D1372">
        <v>0</v>
      </c>
      <c r="E1372">
        <f>ABS(Table1[[#This Row],[Flux in SC / glucose uptake ($mmol/mmol\ glc$)]]-Table1[[#This Row],[Flux in RT / glucose uptake ($mmol/mmol\ glc$)]])/SQRT(2)</f>
        <v>0</v>
      </c>
      <c r="F1372">
        <f>Table1[[#This Row],[distance from 45-degree line]]/MAX(Table1[[Flux in SC / glucose uptake ($mmol/mmol\ glc$)]:[Flux in RT / glucose uptake ($mmol/mmol\ glc$)]])</f>
        <v>0</v>
      </c>
      <c r="G1372">
        <f>_xlfn.RANK.AVG(Table1[[#This Row],[Flux in SC / glucose uptake ($mmol/mmol\ glc$)]],Table1[Flux in SC / glucose uptake ($mmol/mmol\ glc$)])</f>
        <v>1310.5</v>
      </c>
      <c r="H1372">
        <f>_xlfn.RANK.AVG(Table1[[#This Row],[Flux in RT / glucose uptake ($mmol/mmol\ glc$)]],Table1[Flux in RT / glucose uptake ($mmol/mmol\ glc$)])</f>
        <v>1290.5</v>
      </c>
      <c r="I1372" t="e">
        <f>LOG(Table1[[#This Row],[Flux in SC / glucose uptake ($mmol/mmol\ glc$)]])</f>
        <v>#NUM!</v>
      </c>
      <c r="J1372" t="e">
        <f>LOG(Table1[[#This Row],[Flux in RT / glucose uptake ($mmol/mmol\ glc$)]])</f>
        <v>#NUM!</v>
      </c>
    </row>
    <row r="1373" spans="1:10" x14ac:dyDescent="0.2">
      <c r="A1373" t="s">
        <v>1376</v>
      </c>
      <c r="B1373" t="s">
        <v>3135</v>
      </c>
      <c r="C1373">
        <v>0</v>
      </c>
      <c r="D1373">
        <v>0</v>
      </c>
      <c r="E1373">
        <f>ABS(Table1[[#This Row],[Flux in SC / glucose uptake ($mmol/mmol\ glc$)]]-Table1[[#This Row],[Flux in RT / glucose uptake ($mmol/mmol\ glc$)]])/SQRT(2)</f>
        <v>0</v>
      </c>
      <c r="F1373">
        <f>Table1[[#This Row],[distance from 45-degree line]]/MAX(Table1[[Flux in SC / glucose uptake ($mmol/mmol\ glc$)]:[Flux in RT / glucose uptake ($mmol/mmol\ glc$)]])</f>
        <v>0</v>
      </c>
      <c r="G1373">
        <f>_xlfn.RANK.AVG(Table1[[#This Row],[Flux in SC / glucose uptake ($mmol/mmol\ glc$)]],Table1[Flux in SC / glucose uptake ($mmol/mmol\ glc$)])</f>
        <v>1310.5</v>
      </c>
      <c r="H1373">
        <f>_xlfn.RANK.AVG(Table1[[#This Row],[Flux in RT / glucose uptake ($mmol/mmol\ glc$)]],Table1[Flux in RT / glucose uptake ($mmol/mmol\ glc$)])</f>
        <v>1290.5</v>
      </c>
      <c r="I1373" t="e">
        <f>LOG(Table1[[#This Row],[Flux in SC / glucose uptake ($mmol/mmol\ glc$)]])</f>
        <v>#NUM!</v>
      </c>
      <c r="J1373" t="e">
        <f>LOG(Table1[[#This Row],[Flux in RT / glucose uptake ($mmol/mmol\ glc$)]])</f>
        <v>#NUM!</v>
      </c>
    </row>
    <row r="1374" spans="1:10" x14ac:dyDescent="0.2">
      <c r="A1374" t="s">
        <v>1377</v>
      </c>
      <c r="B1374" t="s">
        <v>3135</v>
      </c>
      <c r="C1374">
        <v>0</v>
      </c>
      <c r="D1374">
        <v>0</v>
      </c>
      <c r="E1374">
        <f>ABS(Table1[[#This Row],[Flux in SC / glucose uptake ($mmol/mmol\ glc$)]]-Table1[[#This Row],[Flux in RT / glucose uptake ($mmol/mmol\ glc$)]])/SQRT(2)</f>
        <v>0</v>
      </c>
      <c r="F1374">
        <f>Table1[[#This Row],[distance from 45-degree line]]/MAX(Table1[[Flux in SC / glucose uptake ($mmol/mmol\ glc$)]:[Flux in RT / glucose uptake ($mmol/mmol\ glc$)]])</f>
        <v>0</v>
      </c>
      <c r="G1374">
        <f>_xlfn.RANK.AVG(Table1[[#This Row],[Flux in SC / glucose uptake ($mmol/mmol\ glc$)]],Table1[Flux in SC / glucose uptake ($mmol/mmol\ glc$)])</f>
        <v>1310.5</v>
      </c>
      <c r="H1374">
        <f>_xlfn.RANK.AVG(Table1[[#This Row],[Flux in RT / glucose uptake ($mmol/mmol\ glc$)]],Table1[Flux in RT / glucose uptake ($mmol/mmol\ glc$)])</f>
        <v>1290.5</v>
      </c>
      <c r="I1374" t="e">
        <f>LOG(Table1[[#This Row],[Flux in SC / glucose uptake ($mmol/mmol\ glc$)]])</f>
        <v>#NUM!</v>
      </c>
      <c r="J1374" t="e">
        <f>LOG(Table1[[#This Row],[Flux in RT / glucose uptake ($mmol/mmol\ glc$)]])</f>
        <v>#NUM!</v>
      </c>
    </row>
    <row r="1375" spans="1:10" x14ac:dyDescent="0.2">
      <c r="A1375" t="s">
        <v>1378</v>
      </c>
      <c r="B1375" t="s">
        <v>3135</v>
      </c>
      <c r="C1375">
        <v>0</v>
      </c>
      <c r="D1375">
        <v>0</v>
      </c>
      <c r="E1375">
        <f>ABS(Table1[[#This Row],[Flux in SC / glucose uptake ($mmol/mmol\ glc$)]]-Table1[[#This Row],[Flux in RT / glucose uptake ($mmol/mmol\ glc$)]])/SQRT(2)</f>
        <v>0</v>
      </c>
      <c r="F1375">
        <f>Table1[[#This Row],[distance from 45-degree line]]/MAX(Table1[[Flux in SC / glucose uptake ($mmol/mmol\ glc$)]:[Flux in RT / glucose uptake ($mmol/mmol\ glc$)]])</f>
        <v>0</v>
      </c>
      <c r="G1375">
        <f>_xlfn.RANK.AVG(Table1[[#This Row],[Flux in SC / glucose uptake ($mmol/mmol\ glc$)]],Table1[Flux in SC / glucose uptake ($mmol/mmol\ glc$)])</f>
        <v>1310.5</v>
      </c>
      <c r="H1375">
        <f>_xlfn.RANK.AVG(Table1[[#This Row],[Flux in RT / glucose uptake ($mmol/mmol\ glc$)]],Table1[Flux in RT / glucose uptake ($mmol/mmol\ glc$)])</f>
        <v>1290.5</v>
      </c>
      <c r="I1375" t="e">
        <f>LOG(Table1[[#This Row],[Flux in SC / glucose uptake ($mmol/mmol\ glc$)]])</f>
        <v>#NUM!</v>
      </c>
      <c r="J1375" t="e">
        <f>LOG(Table1[[#This Row],[Flux in RT / glucose uptake ($mmol/mmol\ glc$)]])</f>
        <v>#NUM!</v>
      </c>
    </row>
    <row r="1376" spans="1:10" x14ac:dyDescent="0.2">
      <c r="A1376" t="s">
        <v>1379</v>
      </c>
      <c r="B1376" t="s">
        <v>3135</v>
      </c>
      <c r="C1376">
        <v>0</v>
      </c>
      <c r="D1376">
        <v>0</v>
      </c>
      <c r="E1376">
        <f>ABS(Table1[[#This Row],[Flux in SC / glucose uptake ($mmol/mmol\ glc$)]]-Table1[[#This Row],[Flux in RT / glucose uptake ($mmol/mmol\ glc$)]])/SQRT(2)</f>
        <v>0</v>
      </c>
      <c r="F1376">
        <f>Table1[[#This Row],[distance from 45-degree line]]/MAX(Table1[[Flux in SC / glucose uptake ($mmol/mmol\ glc$)]:[Flux in RT / glucose uptake ($mmol/mmol\ glc$)]])</f>
        <v>0</v>
      </c>
      <c r="G1376">
        <f>_xlfn.RANK.AVG(Table1[[#This Row],[Flux in SC / glucose uptake ($mmol/mmol\ glc$)]],Table1[Flux in SC / glucose uptake ($mmol/mmol\ glc$)])</f>
        <v>1310.5</v>
      </c>
      <c r="H1376">
        <f>_xlfn.RANK.AVG(Table1[[#This Row],[Flux in RT / glucose uptake ($mmol/mmol\ glc$)]],Table1[Flux in RT / glucose uptake ($mmol/mmol\ glc$)])</f>
        <v>1290.5</v>
      </c>
      <c r="I1376" t="e">
        <f>LOG(Table1[[#This Row],[Flux in SC / glucose uptake ($mmol/mmol\ glc$)]])</f>
        <v>#NUM!</v>
      </c>
      <c r="J1376" t="e">
        <f>LOG(Table1[[#This Row],[Flux in RT / glucose uptake ($mmol/mmol\ glc$)]])</f>
        <v>#NUM!</v>
      </c>
    </row>
    <row r="1377" spans="1:10" x14ac:dyDescent="0.2">
      <c r="A1377" t="s">
        <v>1380</v>
      </c>
      <c r="B1377" t="s">
        <v>3135</v>
      </c>
      <c r="C1377">
        <v>0</v>
      </c>
      <c r="D1377">
        <v>0</v>
      </c>
      <c r="E1377">
        <f>ABS(Table1[[#This Row],[Flux in SC / glucose uptake ($mmol/mmol\ glc$)]]-Table1[[#This Row],[Flux in RT / glucose uptake ($mmol/mmol\ glc$)]])/SQRT(2)</f>
        <v>0</v>
      </c>
      <c r="F1377">
        <f>Table1[[#This Row],[distance from 45-degree line]]/MAX(Table1[[Flux in SC / glucose uptake ($mmol/mmol\ glc$)]:[Flux in RT / glucose uptake ($mmol/mmol\ glc$)]])</f>
        <v>0</v>
      </c>
      <c r="G1377">
        <f>_xlfn.RANK.AVG(Table1[[#This Row],[Flux in SC / glucose uptake ($mmol/mmol\ glc$)]],Table1[Flux in SC / glucose uptake ($mmol/mmol\ glc$)])</f>
        <v>1310.5</v>
      </c>
      <c r="H1377">
        <f>_xlfn.RANK.AVG(Table1[[#This Row],[Flux in RT / glucose uptake ($mmol/mmol\ glc$)]],Table1[Flux in RT / glucose uptake ($mmol/mmol\ glc$)])</f>
        <v>1290.5</v>
      </c>
      <c r="I1377" t="e">
        <f>LOG(Table1[[#This Row],[Flux in SC / glucose uptake ($mmol/mmol\ glc$)]])</f>
        <v>#NUM!</v>
      </c>
      <c r="J1377" t="e">
        <f>LOG(Table1[[#This Row],[Flux in RT / glucose uptake ($mmol/mmol\ glc$)]])</f>
        <v>#NUM!</v>
      </c>
    </row>
    <row r="1378" spans="1:10" x14ac:dyDescent="0.2">
      <c r="A1378" t="s">
        <v>1381</v>
      </c>
      <c r="B1378" t="s">
        <v>3135</v>
      </c>
      <c r="C1378">
        <v>0</v>
      </c>
      <c r="D1378">
        <v>0</v>
      </c>
      <c r="E1378">
        <f>ABS(Table1[[#This Row],[Flux in SC / glucose uptake ($mmol/mmol\ glc$)]]-Table1[[#This Row],[Flux in RT / glucose uptake ($mmol/mmol\ glc$)]])/SQRT(2)</f>
        <v>0</v>
      </c>
      <c r="F1378">
        <f>Table1[[#This Row],[distance from 45-degree line]]/MAX(Table1[[Flux in SC / glucose uptake ($mmol/mmol\ glc$)]:[Flux in RT / glucose uptake ($mmol/mmol\ glc$)]])</f>
        <v>0</v>
      </c>
      <c r="G1378">
        <f>_xlfn.RANK.AVG(Table1[[#This Row],[Flux in SC / glucose uptake ($mmol/mmol\ glc$)]],Table1[Flux in SC / glucose uptake ($mmol/mmol\ glc$)])</f>
        <v>1310.5</v>
      </c>
      <c r="H1378">
        <f>_xlfn.RANK.AVG(Table1[[#This Row],[Flux in RT / glucose uptake ($mmol/mmol\ glc$)]],Table1[Flux in RT / glucose uptake ($mmol/mmol\ glc$)])</f>
        <v>1290.5</v>
      </c>
      <c r="I1378" t="e">
        <f>LOG(Table1[[#This Row],[Flux in SC / glucose uptake ($mmol/mmol\ glc$)]])</f>
        <v>#NUM!</v>
      </c>
      <c r="J1378" t="e">
        <f>LOG(Table1[[#This Row],[Flux in RT / glucose uptake ($mmol/mmol\ glc$)]])</f>
        <v>#NUM!</v>
      </c>
    </row>
    <row r="1379" spans="1:10" x14ac:dyDescent="0.2">
      <c r="A1379" t="s">
        <v>1382</v>
      </c>
      <c r="B1379" t="s">
        <v>3135</v>
      </c>
      <c r="C1379">
        <v>0</v>
      </c>
      <c r="D1379">
        <v>0</v>
      </c>
      <c r="E1379">
        <f>ABS(Table1[[#This Row],[Flux in SC / glucose uptake ($mmol/mmol\ glc$)]]-Table1[[#This Row],[Flux in RT / glucose uptake ($mmol/mmol\ glc$)]])/SQRT(2)</f>
        <v>0</v>
      </c>
      <c r="F1379">
        <f>Table1[[#This Row],[distance from 45-degree line]]/MAX(Table1[[Flux in SC / glucose uptake ($mmol/mmol\ glc$)]:[Flux in RT / glucose uptake ($mmol/mmol\ glc$)]])</f>
        <v>0</v>
      </c>
      <c r="G1379">
        <f>_xlfn.RANK.AVG(Table1[[#This Row],[Flux in SC / glucose uptake ($mmol/mmol\ glc$)]],Table1[Flux in SC / glucose uptake ($mmol/mmol\ glc$)])</f>
        <v>1310.5</v>
      </c>
      <c r="H1379">
        <f>_xlfn.RANK.AVG(Table1[[#This Row],[Flux in RT / glucose uptake ($mmol/mmol\ glc$)]],Table1[Flux in RT / glucose uptake ($mmol/mmol\ glc$)])</f>
        <v>1290.5</v>
      </c>
      <c r="I1379" t="e">
        <f>LOG(Table1[[#This Row],[Flux in SC / glucose uptake ($mmol/mmol\ glc$)]])</f>
        <v>#NUM!</v>
      </c>
      <c r="J1379" t="e">
        <f>LOG(Table1[[#This Row],[Flux in RT / glucose uptake ($mmol/mmol\ glc$)]])</f>
        <v>#NUM!</v>
      </c>
    </row>
    <row r="1380" spans="1:10" x14ac:dyDescent="0.2">
      <c r="A1380" t="s">
        <v>1383</v>
      </c>
      <c r="B1380" t="s">
        <v>3135</v>
      </c>
      <c r="C1380">
        <v>0</v>
      </c>
      <c r="D1380">
        <v>0</v>
      </c>
      <c r="E1380">
        <f>ABS(Table1[[#This Row],[Flux in SC / glucose uptake ($mmol/mmol\ glc$)]]-Table1[[#This Row],[Flux in RT / glucose uptake ($mmol/mmol\ glc$)]])/SQRT(2)</f>
        <v>0</v>
      </c>
      <c r="F1380">
        <f>Table1[[#This Row],[distance from 45-degree line]]/MAX(Table1[[Flux in SC / glucose uptake ($mmol/mmol\ glc$)]:[Flux in RT / glucose uptake ($mmol/mmol\ glc$)]])</f>
        <v>0</v>
      </c>
      <c r="G1380">
        <f>_xlfn.RANK.AVG(Table1[[#This Row],[Flux in SC / glucose uptake ($mmol/mmol\ glc$)]],Table1[Flux in SC / glucose uptake ($mmol/mmol\ glc$)])</f>
        <v>1310.5</v>
      </c>
      <c r="H1380">
        <f>_xlfn.RANK.AVG(Table1[[#This Row],[Flux in RT / glucose uptake ($mmol/mmol\ glc$)]],Table1[Flux in RT / glucose uptake ($mmol/mmol\ glc$)])</f>
        <v>1290.5</v>
      </c>
      <c r="I1380" t="e">
        <f>LOG(Table1[[#This Row],[Flux in SC / glucose uptake ($mmol/mmol\ glc$)]])</f>
        <v>#NUM!</v>
      </c>
      <c r="J1380" t="e">
        <f>LOG(Table1[[#This Row],[Flux in RT / glucose uptake ($mmol/mmol\ glc$)]])</f>
        <v>#NUM!</v>
      </c>
    </row>
    <row r="1381" spans="1:10" x14ac:dyDescent="0.2">
      <c r="A1381" t="s">
        <v>1384</v>
      </c>
      <c r="B1381" t="s">
        <v>3135</v>
      </c>
      <c r="C1381">
        <v>0</v>
      </c>
      <c r="D1381">
        <v>0</v>
      </c>
      <c r="E1381">
        <f>ABS(Table1[[#This Row],[Flux in SC / glucose uptake ($mmol/mmol\ glc$)]]-Table1[[#This Row],[Flux in RT / glucose uptake ($mmol/mmol\ glc$)]])/SQRT(2)</f>
        <v>0</v>
      </c>
      <c r="F1381">
        <f>Table1[[#This Row],[distance from 45-degree line]]/MAX(Table1[[Flux in SC / glucose uptake ($mmol/mmol\ glc$)]:[Flux in RT / glucose uptake ($mmol/mmol\ glc$)]])</f>
        <v>0</v>
      </c>
      <c r="G1381">
        <f>_xlfn.RANK.AVG(Table1[[#This Row],[Flux in SC / glucose uptake ($mmol/mmol\ glc$)]],Table1[Flux in SC / glucose uptake ($mmol/mmol\ glc$)])</f>
        <v>1310.5</v>
      </c>
      <c r="H1381">
        <f>_xlfn.RANK.AVG(Table1[[#This Row],[Flux in RT / glucose uptake ($mmol/mmol\ glc$)]],Table1[Flux in RT / glucose uptake ($mmol/mmol\ glc$)])</f>
        <v>1290.5</v>
      </c>
      <c r="I1381" t="e">
        <f>LOG(Table1[[#This Row],[Flux in SC / glucose uptake ($mmol/mmol\ glc$)]])</f>
        <v>#NUM!</v>
      </c>
      <c r="J1381" t="e">
        <f>LOG(Table1[[#This Row],[Flux in RT / glucose uptake ($mmol/mmol\ glc$)]])</f>
        <v>#NUM!</v>
      </c>
    </row>
    <row r="1382" spans="1:10" x14ac:dyDescent="0.2">
      <c r="A1382" t="s">
        <v>1385</v>
      </c>
      <c r="B1382" t="s">
        <v>3135</v>
      </c>
      <c r="C1382">
        <v>0</v>
      </c>
      <c r="D1382">
        <v>0</v>
      </c>
      <c r="E1382">
        <f>ABS(Table1[[#This Row],[Flux in SC / glucose uptake ($mmol/mmol\ glc$)]]-Table1[[#This Row],[Flux in RT / glucose uptake ($mmol/mmol\ glc$)]])/SQRT(2)</f>
        <v>0</v>
      </c>
      <c r="F1382">
        <f>Table1[[#This Row],[distance from 45-degree line]]/MAX(Table1[[Flux in SC / glucose uptake ($mmol/mmol\ glc$)]:[Flux in RT / glucose uptake ($mmol/mmol\ glc$)]])</f>
        <v>0</v>
      </c>
      <c r="G1382">
        <f>_xlfn.RANK.AVG(Table1[[#This Row],[Flux in SC / glucose uptake ($mmol/mmol\ glc$)]],Table1[Flux in SC / glucose uptake ($mmol/mmol\ glc$)])</f>
        <v>1310.5</v>
      </c>
      <c r="H1382">
        <f>_xlfn.RANK.AVG(Table1[[#This Row],[Flux in RT / glucose uptake ($mmol/mmol\ glc$)]],Table1[Flux in RT / glucose uptake ($mmol/mmol\ glc$)])</f>
        <v>1290.5</v>
      </c>
      <c r="I1382" t="e">
        <f>LOG(Table1[[#This Row],[Flux in SC / glucose uptake ($mmol/mmol\ glc$)]])</f>
        <v>#NUM!</v>
      </c>
      <c r="J1382" t="e">
        <f>LOG(Table1[[#This Row],[Flux in RT / glucose uptake ($mmol/mmol\ glc$)]])</f>
        <v>#NUM!</v>
      </c>
    </row>
    <row r="1383" spans="1:10" x14ac:dyDescent="0.2">
      <c r="A1383" t="s">
        <v>1386</v>
      </c>
      <c r="B1383" t="s">
        <v>3135</v>
      </c>
      <c r="C1383">
        <v>0</v>
      </c>
      <c r="D1383">
        <v>0</v>
      </c>
      <c r="E1383">
        <f>ABS(Table1[[#This Row],[Flux in SC / glucose uptake ($mmol/mmol\ glc$)]]-Table1[[#This Row],[Flux in RT / glucose uptake ($mmol/mmol\ glc$)]])/SQRT(2)</f>
        <v>0</v>
      </c>
      <c r="F1383">
        <f>Table1[[#This Row],[distance from 45-degree line]]/MAX(Table1[[Flux in SC / glucose uptake ($mmol/mmol\ glc$)]:[Flux in RT / glucose uptake ($mmol/mmol\ glc$)]])</f>
        <v>0</v>
      </c>
      <c r="G1383">
        <f>_xlfn.RANK.AVG(Table1[[#This Row],[Flux in SC / glucose uptake ($mmol/mmol\ glc$)]],Table1[Flux in SC / glucose uptake ($mmol/mmol\ glc$)])</f>
        <v>1310.5</v>
      </c>
      <c r="H1383">
        <f>_xlfn.RANK.AVG(Table1[[#This Row],[Flux in RT / glucose uptake ($mmol/mmol\ glc$)]],Table1[Flux in RT / glucose uptake ($mmol/mmol\ glc$)])</f>
        <v>1290.5</v>
      </c>
      <c r="I1383" t="e">
        <f>LOG(Table1[[#This Row],[Flux in SC / glucose uptake ($mmol/mmol\ glc$)]])</f>
        <v>#NUM!</v>
      </c>
      <c r="J1383" t="e">
        <f>LOG(Table1[[#This Row],[Flux in RT / glucose uptake ($mmol/mmol\ glc$)]])</f>
        <v>#NUM!</v>
      </c>
    </row>
    <row r="1384" spans="1:10" x14ac:dyDescent="0.2">
      <c r="A1384" t="s">
        <v>1387</v>
      </c>
      <c r="B1384" t="s">
        <v>3135</v>
      </c>
      <c r="C1384">
        <v>0</v>
      </c>
      <c r="D1384">
        <v>0</v>
      </c>
      <c r="E1384">
        <f>ABS(Table1[[#This Row],[Flux in SC / glucose uptake ($mmol/mmol\ glc$)]]-Table1[[#This Row],[Flux in RT / glucose uptake ($mmol/mmol\ glc$)]])/SQRT(2)</f>
        <v>0</v>
      </c>
      <c r="F1384">
        <f>Table1[[#This Row],[distance from 45-degree line]]/MAX(Table1[[Flux in SC / glucose uptake ($mmol/mmol\ glc$)]:[Flux in RT / glucose uptake ($mmol/mmol\ glc$)]])</f>
        <v>0</v>
      </c>
      <c r="G1384">
        <f>_xlfn.RANK.AVG(Table1[[#This Row],[Flux in SC / glucose uptake ($mmol/mmol\ glc$)]],Table1[Flux in SC / glucose uptake ($mmol/mmol\ glc$)])</f>
        <v>1310.5</v>
      </c>
      <c r="H1384">
        <f>_xlfn.RANK.AVG(Table1[[#This Row],[Flux in RT / glucose uptake ($mmol/mmol\ glc$)]],Table1[Flux in RT / glucose uptake ($mmol/mmol\ glc$)])</f>
        <v>1290.5</v>
      </c>
      <c r="I1384" t="e">
        <f>LOG(Table1[[#This Row],[Flux in SC / glucose uptake ($mmol/mmol\ glc$)]])</f>
        <v>#NUM!</v>
      </c>
      <c r="J1384" t="e">
        <f>LOG(Table1[[#This Row],[Flux in RT / glucose uptake ($mmol/mmol\ glc$)]])</f>
        <v>#NUM!</v>
      </c>
    </row>
    <row r="1385" spans="1:10" x14ac:dyDescent="0.2">
      <c r="A1385" t="s">
        <v>1388</v>
      </c>
      <c r="B1385" t="s">
        <v>3135</v>
      </c>
      <c r="C1385">
        <v>0</v>
      </c>
      <c r="D1385">
        <v>0</v>
      </c>
      <c r="E1385">
        <f>ABS(Table1[[#This Row],[Flux in SC / glucose uptake ($mmol/mmol\ glc$)]]-Table1[[#This Row],[Flux in RT / glucose uptake ($mmol/mmol\ glc$)]])/SQRT(2)</f>
        <v>0</v>
      </c>
      <c r="F1385">
        <f>Table1[[#This Row],[distance from 45-degree line]]/MAX(Table1[[Flux in SC / glucose uptake ($mmol/mmol\ glc$)]:[Flux in RT / glucose uptake ($mmol/mmol\ glc$)]])</f>
        <v>0</v>
      </c>
      <c r="G1385">
        <f>_xlfn.RANK.AVG(Table1[[#This Row],[Flux in SC / glucose uptake ($mmol/mmol\ glc$)]],Table1[Flux in SC / glucose uptake ($mmol/mmol\ glc$)])</f>
        <v>1310.5</v>
      </c>
      <c r="H1385">
        <f>_xlfn.RANK.AVG(Table1[[#This Row],[Flux in RT / glucose uptake ($mmol/mmol\ glc$)]],Table1[Flux in RT / glucose uptake ($mmol/mmol\ glc$)])</f>
        <v>1290.5</v>
      </c>
      <c r="I1385" t="e">
        <f>LOG(Table1[[#This Row],[Flux in SC / glucose uptake ($mmol/mmol\ glc$)]])</f>
        <v>#NUM!</v>
      </c>
      <c r="J1385" t="e">
        <f>LOG(Table1[[#This Row],[Flux in RT / glucose uptake ($mmol/mmol\ glc$)]])</f>
        <v>#NUM!</v>
      </c>
    </row>
    <row r="1386" spans="1:10" x14ac:dyDescent="0.2">
      <c r="A1386" t="s">
        <v>1389</v>
      </c>
      <c r="B1386" t="s">
        <v>3135</v>
      </c>
      <c r="C1386">
        <v>0</v>
      </c>
      <c r="D1386">
        <v>0</v>
      </c>
      <c r="E1386">
        <f>ABS(Table1[[#This Row],[Flux in SC / glucose uptake ($mmol/mmol\ glc$)]]-Table1[[#This Row],[Flux in RT / glucose uptake ($mmol/mmol\ glc$)]])/SQRT(2)</f>
        <v>0</v>
      </c>
      <c r="F1386">
        <f>Table1[[#This Row],[distance from 45-degree line]]/MAX(Table1[[Flux in SC / glucose uptake ($mmol/mmol\ glc$)]:[Flux in RT / glucose uptake ($mmol/mmol\ glc$)]])</f>
        <v>0</v>
      </c>
      <c r="G1386">
        <f>_xlfn.RANK.AVG(Table1[[#This Row],[Flux in SC / glucose uptake ($mmol/mmol\ glc$)]],Table1[Flux in SC / glucose uptake ($mmol/mmol\ glc$)])</f>
        <v>1310.5</v>
      </c>
      <c r="H1386">
        <f>_xlfn.RANK.AVG(Table1[[#This Row],[Flux in RT / glucose uptake ($mmol/mmol\ glc$)]],Table1[Flux in RT / glucose uptake ($mmol/mmol\ glc$)])</f>
        <v>1290.5</v>
      </c>
      <c r="I1386" t="e">
        <f>LOG(Table1[[#This Row],[Flux in SC / glucose uptake ($mmol/mmol\ glc$)]])</f>
        <v>#NUM!</v>
      </c>
      <c r="J1386" t="e">
        <f>LOG(Table1[[#This Row],[Flux in RT / glucose uptake ($mmol/mmol\ glc$)]])</f>
        <v>#NUM!</v>
      </c>
    </row>
    <row r="1387" spans="1:10" x14ac:dyDescent="0.2">
      <c r="A1387" t="s">
        <v>1390</v>
      </c>
      <c r="B1387" t="s">
        <v>3135</v>
      </c>
      <c r="C1387">
        <v>0</v>
      </c>
      <c r="D1387">
        <v>0</v>
      </c>
      <c r="E1387">
        <f>ABS(Table1[[#This Row],[Flux in SC / glucose uptake ($mmol/mmol\ glc$)]]-Table1[[#This Row],[Flux in RT / glucose uptake ($mmol/mmol\ glc$)]])/SQRT(2)</f>
        <v>0</v>
      </c>
      <c r="F1387">
        <f>Table1[[#This Row],[distance from 45-degree line]]/MAX(Table1[[Flux in SC / glucose uptake ($mmol/mmol\ glc$)]:[Flux in RT / glucose uptake ($mmol/mmol\ glc$)]])</f>
        <v>0</v>
      </c>
      <c r="G1387">
        <f>_xlfn.RANK.AVG(Table1[[#This Row],[Flux in SC / glucose uptake ($mmol/mmol\ glc$)]],Table1[Flux in SC / glucose uptake ($mmol/mmol\ glc$)])</f>
        <v>1310.5</v>
      </c>
      <c r="H1387">
        <f>_xlfn.RANK.AVG(Table1[[#This Row],[Flux in RT / glucose uptake ($mmol/mmol\ glc$)]],Table1[Flux in RT / glucose uptake ($mmol/mmol\ glc$)])</f>
        <v>1290.5</v>
      </c>
      <c r="I1387" t="e">
        <f>LOG(Table1[[#This Row],[Flux in SC / glucose uptake ($mmol/mmol\ glc$)]])</f>
        <v>#NUM!</v>
      </c>
      <c r="J1387" t="e">
        <f>LOG(Table1[[#This Row],[Flux in RT / glucose uptake ($mmol/mmol\ glc$)]])</f>
        <v>#NUM!</v>
      </c>
    </row>
    <row r="1388" spans="1:10" x14ac:dyDescent="0.2">
      <c r="A1388" t="s">
        <v>1391</v>
      </c>
      <c r="B1388" t="s">
        <v>3135</v>
      </c>
      <c r="C1388">
        <v>0</v>
      </c>
      <c r="D1388">
        <v>0</v>
      </c>
      <c r="E1388">
        <f>ABS(Table1[[#This Row],[Flux in SC / glucose uptake ($mmol/mmol\ glc$)]]-Table1[[#This Row],[Flux in RT / glucose uptake ($mmol/mmol\ glc$)]])/SQRT(2)</f>
        <v>0</v>
      </c>
      <c r="F1388">
        <f>Table1[[#This Row],[distance from 45-degree line]]/MAX(Table1[[Flux in SC / glucose uptake ($mmol/mmol\ glc$)]:[Flux in RT / glucose uptake ($mmol/mmol\ glc$)]])</f>
        <v>0</v>
      </c>
      <c r="G1388">
        <f>_xlfn.RANK.AVG(Table1[[#This Row],[Flux in SC / glucose uptake ($mmol/mmol\ glc$)]],Table1[Flux in SC / glucose uptake ($mmol/mmol\ glc$)])</f>
        <v>1310.5</v>
      </c>
      <c r="H1388">
        <f>_xlfn.RANK.AVG(Table1[[#This Row],[Flux in RT / glucose uptake ($mmol/mmol\ glc$)]],Table1[Flux in RT / glucose uptake ($mmol/mmol\ glc$)])</f>
        <v>1290.5</v>
      </c>
      <c r="I1388" t="e">
        <f>LOG(Table1[[#This Row],[Flux in SC / glucose uptake ($mmol/mmol\ glc$)]])</f>
        <v>#NUM!</v>
      </c>
      <c r="J1388" t="e">
        <f>LOG(Table1[[#This Row],[Flux in RT / glucose uptake ($mmol/mmol\ glc$)]])</f>
        <v>#NUM!</v>
      </c>
    </row>
    <row r="1389" spans="1:10" x14ac:dyDescent="0.2">
      <c r="A1389" t="s">
        <v>1392</v>
      </c>
      <c r="B1389" t="s">
        <v>3135</v>
      </c>
      <c r="C1389">
        <v>0</v>
      </c>
      <c r="D1389">
        <v>0</v>
      </c>
      <c r="E1389">
        <f>ABS(Table1[[#This Row],[Flux in SC / glucose uptake ($mmol/mmol\ glc$)]]-Table1[[#This Row],[Flux in RT / glucose uptake ($mmol/mmol\ glc$)]])/SQRT(2)</f>
        <v>0</v>
      </c>
      <c r="F1389">
        <f>Table1[[#This Row],[distance from 45-degree line]]/MAX(Table1[[Flux in SC / glucose uptake ($mmol/mmol\ glc$)]:[Flux in RT / glucose uptake ($mmol/mmol\ glc$)]])</f>
        <v>0</v>
      </c>
      <c r="G1389">
        <f>_xlfn.RANK.AVG(Table1[[#This Row],[Flux in SC / glucose uptake ($mmol/mmol\ glc$)]],Table1[Flux in SC / glucose uptake ($mmol/mmol\ glc$)])</f>
        <v>1310.5</v>
      </c>
      <c r="H1389">
        <f>_xlfn.RANK.AVG(Table1[[#This Row],[Flux in RT / glucose uptake ($mmol/mmol\ glc$)]],Table1[Flux in RT / glucose uptake ($mmol/mmol\ glc$)])</f>
        <v>1290.5</v>
      </c>
      <c r="I1389" t="e">
        <f>LOG(Table1[[#This Row],[Flux in SC / glucose uptake ($mmol/mmol\ glc$)]])</f>
        <v>#NUM!</v>
      </c>
      <c r="J1389" t="e">
        <f>LOG(Table1[[#This Row],[Flux in RT / glucose uptake ($mmol/mmol\ glc$)]])</f>
        <v>#NUM!</v>
      </c>
    </row>
    <row r="1390" spans="1:10" x14ac:dyDescent="0.2">
      <c r="A1390" t="s">
        <v>1393</v>
      </c>
      <c r="B1390" t="s">
        <v>3135</v>
      </c>
      <c r="C1390">
        <v>0</v>
      </c>
      <c r="D1390">
        <v>0</v>
      </c>
      <c r="E1390">
        <f>ABS(Table1[[#This Row],[Flux in SC / glucose uptake ($mmol/mmol\ glc$)]]-Table1[[#This Row],[Flux in RT / glucose uptake ($mmol/mmol\ glc$)]])/SQRT(2)</f>
        <v>0</v>
      </c>
      <c r="F1390">
        <f>Table1[[#This Row],[distance from 45-degree line]]/MAX(Table1[[Flux in SC / glucose uptake ($mmol/mmol\ glc$)]:[Flux in RT / glucose uptake ($mmol/mmol\ glc$)]])</f>
        <v>0</v>
      </c>
      <c r="G1390">
        <f>_xlfn.RANK.AVG(Table1[[#This Row],[Flux in SC / glucose uptake ($mmol/mmol\ glc$)]],Table1[Flux in SC / glucose uptake ($mmol/mmol\ glc$)])</f>
        <v>1310.5</v>
      </c>
      <c r="H1390">
        <f>_xlfn.RANK.AVG(Table1[[#This Row],[Flux in RT / glucose uptake ($mmol/mmol\ glc$)]],Table1[Flux in RT / glucose uptake ($mmol/mmol\ glc$)])</f>
        <v>1290.5</v>
      </c>
      <c r="I1390" t="e">
        <f>LOG(Table1[[#This Row],[Flux in SC / glucose uptake ($mmol/mmol\ glc$)]])</f>
        <v>#NUM!</v>
      </c>
      <c r="J1390" t="e">
        <f>LOG(Table1[[#This Row],[Flux in RT / glucose uptake ($mmol/mmol\ glc$)]])</f>
        <v>#NUM!</v>
      </c>
    </row>
    <row r="1391" spans="1:10" x14ac:dyDescent="0.2">
      <c r="A1391" t="s">
        <v>1394</v>
      </c>
      <c r="B1391" t="s">
        <v>3135</v>
      </c>
      <c r="C1391">
        <v>0</v>
      </c>
      <c r="D1391">
        <v>0</v>
      </c>
      <c r="E1391">
        <f>ABS(Table1[[#This Row],[Flux in SC / glucose uptake ($mmol/mmol\ glc$)]]-Table1[[#This Row],[Flux in RT / glucose uptake ($mmol/mmol\ glc$)]])/SQRT(2)</f>
        <v>0</v>
      </c>
      <c r="F1391">
        <f>Table1[[#This Row],[distance from 45-degree line]]/MAX(Table1[[Flux in SC / glucose uptake ($mmol/mmol\ glc$)]:[Flux in RT / glucose uptake ($mmol/mmol\ glc$)]])</f>
        <v>0</v>
      </c>
      <c r="G1391">
        <f>_xlfn.RANK.AVG(Table1[[#This Row],[Flux in SC / glucose uptake ($mmol/mmol\ glc$)]],Table1[Flux in SC / glucose uptake ($mmol/mmol\ glc$)])</f>
        <v>1310.5</v>
      </c>
      <c r="H1391">
        <f>_xlfn.RANK.AVG(Table1[[#This Row],[Flux in RT / glucose uptake ($mmol/mmol\ glc$)]],Table1[Flux in RT / glucose uptake ($mmol/mmol\ glc$)])</f>
        <v>1290.5</v>
      </c>
      <c r="I1391" t="e">
        <f>LOG(Table1[[#This Row],[Flux in SC / glucose uptake ($mmol/mmol\ glc$)]])</f>
        <v>#NUM!</v>
      </c>
      <c r="J1391" t="e">
        <f>LOG(Table1[[#This Row],[Flux in RT / glucose uptake ($mmol/mmol\ glc$)]])</f>
        <v>#NUM!</v>
      </c>
    </row>
    <row r="1392" spans="1:10" x14ac:dyDescent="0.2">
      <c r="A1392" t="s">
        <v>1395</v>
      </c>
      <c r="B1392" t="s">
        <v>3135</v>
      </c>
      <c r="C1392">
        <v>0</v>
      </c>
      <c r="D1392">
        <v>0</v>
      </c>
      <c r="E1392">
        <f>ABS(Table1[[#This Row],[Flux in SC / glucose uptake ($mmol/mmol\ glc$)]]-Table1[[#This Row],[Flux in RT / glucose uptake ($mmol/mmol\ glc$)]])/SQRT(2)</f>
        <v>0</v>
      </c>
      <c r="F1392">
        <f>Table1[[#This Row],[distance from 45-degree line]]/MAX(Table1[[Flux in SC / glucose uptake ($mmol/mmol\ glc$)]:[Flux in RT / glucose uptake ($mmol/mmol\ glc$)]])</f>
        <v>0</v>
      </c>
      <c r="G1392">
        <f>_xlfn.RANK.AVG(Table1[[#This Row],[Flux in SC / glucose uptake ($mmol/mmol\ glc$)]],Table1[Flux in SC / glucose uptake ($mmol/mmol\ glc$)])</f>
        <v>1310.5</v>
      </c>
      <c r="H1392">
        <f>_xlfn.RANK.AVG(Table1[[#This Row],[Flux in RT / glucose uptake ($mmol/mmol\ glc$)]],Table1[Flux in RT / glucose uptake ($mmol/mmol\ glc$)])</f>
        <v>1290.5</v>
      </c>
      <c r="I1392" t="e">
        <f>LOG(Table1[[#This Row],[Flux in SC / glucose uptake ($mmol/mmol\ glc$)]])</f>
        <v>#NUM!</v>
      </c>
      <c r="J1392" t="e">
        <f>LOG(Table1[[#This Row],[Flux in RT / glucose uptake ($mmol/mmol\ glc$)]])</f>
        <v>#NUM!</v>
      </c>
    </row>
    <row r="1393" spans="1:10" x14ac:dyDescent="0.2">
      <c r="A1393" t="s">
        <v>1396</v>
      </c>
      <c r="B1393" t="s">
        <v>3135</v>
      </c>
      <c r="C1393">
        <v>0</v>
      </c>
      <c r="D1393">
        <v>0</v>
      </c>
      <c r="E1393">
        <f>ABS(Table1[[#This Row],[Flux in SC / glucose uptake ($mmol/mmol\ glc$)]]-Table1[[#This Row],[Flux in RT / glucose uptake ($mmol/mmol\ glc$)]])/SQRT(2)</f>
        <v>0</v>
      </c>
      <c r="F1393">
        <f>Table1[[#This Row],[distance from 45-degree line]]/MAX(Table1[[Flux in SC / glucose uptake ($mmol/mmol\ glc$)]:[Flux in RT / glucose uptake ($mmol/mmol\ glc$)]])</f>
        <v>0</v>
      </c>
      <c r="G1393">
        <f>_xlfn.RANK.AVG(Table1[[#This Row],[Flux in SC / glucose uptake ($mmol/mmol\ glc$)]],Table1[Flux in SC / glucose uptake ($mmol/mmol\ glc$)])</f>
        <v>1310.5</v>
      </c>
      <c r="H1393">
        <f>_xlfn.RANK.AVG(Table1[[#This Row],[Flux in RT / glucose uptake ($mmol/mmol\ glc$)]],Table1[Flux in RT / glucose uptake ($mmol/mmol\ glc$)])</f>
        <v>1290.5</v>
      </c>
      <c r="I1393" t="e">
        <f>LOG(Table1[[#This Row],[Flux in SC / glucose uptake ($mmol/mmol\ glc$)]])</f>
        <v>#NUM!</v>
      </c>
      <c r="J1393" t="e">
        <f>LOG(Table1[[#This Row],[Flux in RT / glucose uptake ($mmol/mmol\ glc$)]])</f>
        <v>#NUM!</v>
      </c>
    </row>
    <row r="1394" spans="1:10" x14ac:dyDescent="0.2">
      <c r="A1394" t="s">
        <v>1397</v>
      </c>
      <c r="B1394" t="s">
        <v>3135</v>
      </c>
      <c r="C1394">
        <v>0</v>
      </c>
      <c r="D1394">
        <v>0</v>
      </c>
      <c r="E1394">
        <f>ABS(Table1[[#This Row],[Flux in SC / glucose uptake ($mmol/mmol\ glc$)]]-Table1[[#This Row],[Flux in RT / glucose uptake ($mmol/mmol\ glc$)]])/SQRT(2)</f>
        <v>0</v>
      </c>
      <c r="F1394">
        <f>Table1[[#This Row],[distance from 45-degree line]]/MAX(Table1[[Flux in SC / glucose uptake ($mmol/mmol\ glc$)]:[Flux in RT / glucose uptake ($mmol/mmol\ glc$)]])</f>
        <v>0</v>
      </c>
      <c r="G1394">
        <f>_xlfn.RANK.AVG(Table1[[#This Row],[Flux in SC / glucose uptake ($mmol/mmol\ glc$)]],Table1[Flux in SC / glucose uptake ($mmol/mmol\ glc$)])</f>
        <v>1310.5</v>
      </c>
      <c r="H1394">
        <f>_xlfn.RANK.AVG(Table1[[#This Row],[Flux in RT / glucose uptake ($mmol/mmol\ glc$)]],Table1[Flux in RT / glucose uptake ($mmol/mmol\ glc$)])</f>
        <v>1290.5</v>
      </c>
      <c r="I1394" t="e">
        <f>LOG(Table1[[#This Row],[Flux in SC / glucose uptake ($mmol/mmol\ glc$)]])</f>
        <v>#NUM!</v>
      </c>
      <c r="J1394" t="e">
        <f>LOG(Table1[[#This Row],[Flux in RT / glucose uptake ($mmol/mmol\ glc$)]])</f>
        <v>#NUM!</v>
      </c>
    </row>
    <row r="1395" spans="1:10" x14ac:dyDescent="0.2">
      <c r="A1395" t="s">
        <v>1398</v>
      </c>
      <c r="B1395" t="s">
        <v>3128</v>
      </c>
      <c r="C1395">
        <v>0</v>
      </c>
      <c r="D1395">
        <v>0</v>
      </c>
      <c r="E1395">
        <f>ABS(Table1[[#This Row],[Flux in SC / glucose uptake ($mmol/mmol\ glc$)]]-Table1[[#This Row],[Flux in RT / glucose uptake ($mmol/mmol\ glc$)]])/SQRT(2)</f>
        <v>0</v>
      </c>
      <c r="F1395">
        <f>Table1[[#This Row],[distance from 45-degree line]]/MAX(Table1[[Flux in SC / glucose uptake ($mmol/mmol\ glc$)]:[Flux in RT / glucose uptake ($mmol/mmol\ glc$)]])</f>
        <v>0</v>
      </c>
      <c r="G1395">
        <f>_xlfn.RANK.AVG(Table1[[#This Row],[Flux in SC / glucose uptake ($mmol/mmol\ glc$)]],Table1[Flux in SC / glucose uptake ($mmol/mmol\ glc$)])</f>
        <v>1310.5</v>
      </c>
      <c r="H1395">
        <f>_xlfn.RANK.AVG(Table1[[#This Row],[Flux in RT / glucose uptake ($mmol/mmol\ glc$)]],Table1[Flux in RT / glucose uptake ($mmol/mmol\ glc$)])</f>
        <v>1290.5</v>
      </c>
      <c r="I1395" t="e">
        <f>LOG(Table1[[#This Row],[Flux in SC / glucose uptake ($mmol/mmol\ glc$)]])</f>
        <v>#NUM!</v>
      </c>
      <c r="J1395" t="e">
        <f>LOG(Table1[[#This Row],[Flux in RT / glucose uptake ($mmol/mmol\ glc$)]])</f>
        <v>#NUM!</v>
      </c>
    </row>
    <row r="1396" spans="1:10" x14ac:dyDescent="0.2">
      <c r="A1396" t="s">
        <v>1399</v>
      </c>
      <c r="B1396" t="s">
        <v>3135</v>
      </c>
      <c r="C1396">
        <v>0</v>
      </c>
      <c r="D1396">
        <v>0</v>
      </c>
      <c r="E1396">
        <f>ABS(Table1[[#This Row],[Flux in SC / glucose uptake ($mmol/mmol\ glc$)]]-Table1[[#This Row],[Flux in RT / glucose uptake ($mmol/mmol\ glc$)]])/SQRT(2)</f>
        <v>0</v>
      </c>
      <c r="F1396">
        <f>Table1[[#This Row],[distance from 45-degree line]]/MAX(Table1[[Flux in SC / glucose uptake ($mmol/mmol\ glc$)]:[Flux in RT / glucose uptake ($mmol/mmol\ glc$)]])</f>
        <v>0</v>
      </c>
      <c r="G1396">
        <f>_xlfn.RANK.AVG(Table1[[#This Row],[Flux in SC / glucose uptake ($mmol/mmol\ glc$)]],Table1[Flux in SC / glucose uptake ($mmol/mmol\ glc$)])</f>
        <v>1310.5</v>
      </c>
      <c r="H1396">
        <f>_xlfn.RANK.AVG(Table1[[#This Row],[Flux in RT / glucose uptake ($mmol/mmol\ glc$)]],Table1[Flux in RT / glucose uptake ($mmol/mmol\ glc$)])</f>
        <v>1290.5</v>
      </c>
      <c r="I1396" t="e">
        <f>LOG(Table1[[#This Row],[Flux in SC / glucose uptake ($mmol/mmol\ glc$)]])</f>
        <v>#NUM!</v>
      </c>
      <c r="J1396" t="e">
        <f>LOG(Table1[[#This Row],[Flux in RT / glucose uptake ($mmol/mmol\ glc$)]])</f>
        <v>#NUM!</v>
      </c>
    </row>
    <row r="1397" spans="1:10" x14ac:dyDescent="0.2">
      <c r="A1397" t="s">
        <v>1400</v>
      </c>
      <c r="B1397" t="s">
        <v>3135</v>
      </c>
      <c r="C1397">
        <v>0</v>
      </c>
      <c r="D1397">
        <v>0</v>
      </c>
      <c r="E1397">
        <f>ABS(Table1[[#This Row],[Flux in SC / glucose uptake ($mmol/mmol\ glc$)]]-Table1[[#This Row],[Flux in RT / glucose uptake ($mmol/mmol\ glc$)]])/SQRT(2)</f>
        <v>0</v>
      </c>
      <c r="F1397">
        <f>Table1[[#This Row],[distance from 45-degree line]]/MAX(Table1[[Flux in SC / glucose uptake ($mmol/mmol\ glc$)]:[Flux in RT / glucose uptake ($mmol/mmol\ glc$)]])</f>
        <v>0</v>
      </c>
      <c r="G1397">
        <f>_xlfn.RANK.AVG(Table1[[#This Row],[Flux in SC / glucose uptake ($mmol/mmol\ glc$)]],Table1[Flux in SC / glucose uptake ($mmol/mmol\ glc$)])</f>
        <v>1310.5</v>
      </c>
      <c r="H1397">
        <f>_xlfn.RANK.AVG(Table1[[#This Row],[Flux in RT / glucose uptake ($mmol/mmol\ glc$)]],Table1[Flux in RT / glucose uptake ($mmol/mmol\ glc$)])</f>
        <v>1290.5</v>
      </c>
      <c r="I1397" t="e">
        <f>LOG(Table1[[#This Row],[Flux in SC / glucose uptake ($mmol/mmol\ glc$)]])</f>
        <v>#NUM!</v>
      </c>
      <c r="J1397" t="e">
        <f>LOG(Table1[[#This Row],[Flux in RT / glucose uptake ($mmol/mmol\ glc$)]])</f>
        <v>#NUM!</v>
      </c>
    </row>
    <row r="1398" spans="1:10" x14ac:dyDescent="0.2">
      <c r="A1398" t="s">
        <v>1401</v>
      </c>
      <c r="B1398" t="s">
        <v>3135</v>
      </c>
      <c r="C1398">
        <v>0</v>
      </c>
      <c r="D1398">
        <v>0</v>
      </c>
      <c r="E1398">
        <f>ABS(Table1[[#This Row],[Flux in SC / glucose uptake ($mmol/mmol\ glc$)]]-Table1[[#This Row],[Flux in RT / glucose uptake ($mmol/mmol\ glc$)]])/SQRT(2)</f>
        <v>0</v>
      </c>
      <c r="F1398">
        <f>Table1[[#This Row],[distance from 45-degree line]]/MAX(Table1[[Flux in SC / glucose uptake ($mmol/mmol\ glc$)]:[Flux in RT / glucose uptake ($mmol/mmol\ glc$)]])</f>
        <v>0</v>
      </c>
      <c r="G1398">
        <f>_xlfn.RANK.AVG(Table1[[#This Row],[Flux in SC / glucose uptake ($mmol/mmol\ glc$)]],Table1[Flux in SC / glucose uptake ($mmol/mmol\ glc$)])</f>
        <v>1310.5</v>
      </c>
      <c r="H1398">
        <f>_xlfn.RANK.AVG(Table1[[#This Row],[Flux in RT / glucose uptake ($mmol/mmol\ glc$)]],Table1[Flux in RT / glucose uptake ($mmol/mmol\ glc$)])</f>
        <v>1290.5</v>
      </c>
      <c r="I1398" t="e">
        <f>LOG(Table1[[#This Row],[Flux in SC / glucose uptake ($mmol/mmol\ glc$)]])</f>
        <v>#NUM!</v>
      </c>
      <c r="J1398" t="e">
        <f>LOG(Table1[[#This Row],[Flux in RT / glucose uptake ($mmol/mmol\ glc$)]])</f>
        <v>#NUM!</v>
      </c>
    </row>
    <row r="1399" spans="1:10" x14ac:dyDescent="0.2">
      <c r="A1399" t="s">
        <v>1402</v>
      </c>
      <c r="B1399" t="s">
        <v>3135</v>
      </c>
      <c r="C1399">
        <v>0</v>
      </c>
      <c r="D1399">
        <v>0</v>
      </c>
      <c r="E1399">
        <f>ABS(Table1[[#This Row],[Flux in SC / glucose uptake ($mmol/mmol\ glc$)]]-Table1[[#This Row],[Flux in RT / glucose uptake ($mmol/mmol\ glc$)]])/SQRT(2)</f>
        <v>0</v>
      </c>
      <c r="F1399">
        <f>Table1[[#This Row],[distance from 45-degree line]]/MAX(Table1[[Flux in SC / glucose uptake ($mmol/mmol\ glc$)]:[Flux in RT / glucose uptake ($mmol/mmol\ glc$)]])</f>
        <v>0</v>
      </c>
      <c r="G1399">
        <f>_xlfn.RANK.AVG(Table1[[#This Row],[Flux in SC / glucose uptake ($mmol/mmol\ glc$)]],Table1[Flux in SC / glucose uptake ($mmol/mmol\ glc$)])</f>
        <v>1310.5</v>
      </c>
      <c r="H1399">
        <f>_xlfn.RANK.AVG(Table1[[#This Row],[Flux in RT / glucose uptake ($mmol/mmol\ glc$)]],Table1[Flux in RT / glucose uptake ($mmol/mmol\ glc$)])</f>
        <v>1290.5</v>
      </c>
      <c r="I1399" t="e">
        <f>LOG(Table1[[#This Row],[Flux in SC / glucose uptake ($mmol/mmol\ glc$)]])</f>
        <v>#NUM!</v>
      </c>
      <c r="J1399" t="e">
        <f>LOG(Table1[[#This Row],[Flux in RT / glucose uptake ($mmol/mmol\ glc$)]])</f>
        <v>#NUM!</v>
      </c>
    </row>
    <row r="1400" spans="1:10" x14ac:dyDescent="0.2">
      <c r="A1400" t="s">
        <v>1403</v>
      </c>
      <c r="B1400" t="s">
        <v>3142</v>
      </c>
      <c r="C1400">
        <v>0</v>
      </c>
      <c r="D1400">
        <v>0</v>
      </c>
      <c r="E1400">
        <f>ABS(Table1[[#This Row],[Flux in SC / glucose uptake ($mmol/mmol\ glc$)]]-Table1[[#This Row],[Flux in RT / glucose uptake ($mmol/mmol\ glc$)]])/SQRT(2)</f>
        <v>0</v>
      </c>
      <c r="F1400">
        <f>Table1[[#This Row],[distance from 45-degree line]]/MAX(Table1[[Flux in SC / glucose uptake ($mmol/mmol\ glc$)]:[Flux in RT / glucose uptake ($mmol/mmol\ glc$)]])</f>
        <v>0</v>
      </c>
      <c r="G1400">
        <f>_xlfn.RANK.AVG(Table1[[#This Row],[Flux in SC / glucose uptake ($mmol/mmol\ glc$)]],Table1[Flux in SC / glucose uptake ($mmol/mmol\ glc$)])</f>
        <v>1310.5</v>
      </c>
      <c r="H1400">
        <f>_xlfn.RANK.AVG(Table1[[#This Row],[Flux in RT / glucose uptake ($mmol/mmol\ glc$)]],Table1[Flux in RT / glucose uptake ($mmol/mmol\ glc$)])</f>
        <v>1290.5</v>
      </c>
      <c r="I1400" t="e">
        <f>LOG(Table1[[#This Row],[Flux in SC / glucose uptake ($mmol/mmol\ glc$)]])</f>
        <v>#NUM!</v>
      </c>
      <c r="J1400" t="e">
        <f>LOG(Table1[[#This Row],[Flux in RT / glucose uptake ($mmol/mmol\ glc$)]])</f>
        <v>#NUM!</v>
      </c>
    </row>
    <row r="1401" spans="1:10" x14ac:dyDescent="0.2">
      <c r="A1401" t="s">
        <v>1404</v>
      </c>
      <c r="B1401" t="s">
        <v>3133</v>
      </c>
      <c r="C1401">
        <v>4.3726454067801205E-3</v>
      </c>
      <c r="D1401">
        <v>1.9790448225238604E-2</v>
      </c>
      <c r="E1401">
        <f>ABS(Table1[[#This Row],[Flux in SC / glucose uptake ($mmol/mmol\ glc$)]]-Table1[[#This Row],[Flux in RT / glucose uptake ($mmol/mmol\ glc$)]])/SQRT(2)</f>
        <v>1.0902032923929057E-2</v>
      </c>
      <c r="F1401">
        <f>Table1[[#This Row],[distance from 45-degree line]]/MAX(Table1[[Flux in SC / glucose uptake ($mmol/mmol\ glc$)]:[Flux in RT / glucose uptake ($mmol/mmol\ glc$)]])</f>
        <v>5.876071346613388E-4</v>
      </c>
      <c r="G1401">
        <f>_xlfn.RANK.AVG(Table1[[#This Row],[Flux in SC / glucose uptake ($mmol/mmol\ glc$)]],Table1[Flux in SC / glucose uptake ($mmol/mmol\ glc$)])</f>
        <v>124</v>
      </c>
      <c r="H1401">
        <f>_xlfn.RANK.AVG(Table1[[#This Row],[Flux in RT / glucose uptake ($mmol/mmol\ glc$)]],Table1[Flux in RT / glucose uptake ($mmol/mmol\ glc$)])</f>
        <v>143</v>
      </c>
      <c r="I1401">
        <f>LOG(Table1[[#This Row],[Flux in SC / glucose uptake ($mmol/mmol\ glc$)]])</f>
        <v>-2.3592557396966845</v>
      </c>
      <c r="J1401">
        <f>LOG(Table1[[#This Row],[Flux in RT / glucose uptake ($mmol/mmol\ glc$)]])</f>
        <v>-1.7035443695357284</v>
      </c>
    </row>
    <row r="1402" spans="1:10" x14ac:dyDescent="0.2">
      <c r="A1402" t="s">
        <v>1405</v>
      </c>
      <c r="B1402" t="s">
        <v>3133</v>
      </c>
      <c r="C1402">
        <v>4.3726454067801205E-3</v>
      </c>
      <c r="D1402">
        <v>1.9790448225238604E-2</v>
      </c>
      <c r="E1402">
        <f>ABS(Table1[[#This Row],[Flux in SC / glucose uptake ($mmol/mmol\ glc$)]]-Table1[[#This Row],[Flux in RT / glucose uptake ($mmol/mmol\ glc$)]])/SQRT(2)</f>
        <v>1.0902032923929057E-2</v>
      </c>
      <c r="F1402">
        <f>Table1[[#This Row],[distance from 45-degree line]]/MAX(Table1[[Flux in SC / glucose uptake ($mmol/mmol\ glc$)]:[Flux in RT / glucose uptake ($mmol/mmol\ glc$)]])</f>
        <v>5.876071346613388E-4</v>
      </c>
      <c r="G1402">
        <f>_xlfn.RANK.AVG(Table1[[#This Row],[Flux in SC / glucose uptake ($mmol/mmol\ glc$)]],Table1[Flux in SC / glucose uptake ($mmol/mmol\ glc$)])</f>
        <v>124</v>
      </c>
      <c r="H1402">
        <f>_xlfn.RANK.AVG(Table1[[#This Row],[Flux in RT / glucose uptake ($mmol/mmol\ glc$)]],Table1[Flux in RT / glucose uptake ($mmol/mmol\ glc$)])</f>
        <v>143</v>
      </c>
      <c r="I1402">
        <f>LOG(Table1[[#This Row],[Flux in SC / glucose uptake ($mmol/mmol\ glc$)]])</f>
        <v>-2.3592557396966845</v>
      </c>
      <c r="J1402">
        <f>LOG(Table1[[#This Row],[Flux in RT / glucose uptake ($mmol/mmol\ glc$)]])</f>
        <v>-1.7035443695357284</v>
      </c>
    </row>
    <row r="1403" spans="1:10" x14ac:dyDescent="0.2">
      <c r="A1403" t="s">
        <v>1406</v>
      </c>
      <c r="B1403" t="s">
        <v>3133</v>
      </c>
      <c r="C1403">
        <v>4.3726454067801205E-3</v>
      </c>
      <c r="D1403">
        <v>1.9790448225238604E-2</v>
      </c>
      <c r="E1403">
        <f>ABS(Table1[[#This Row],[Flux in SC / glucose uptake ($mmol/mmol\ glc$)]]-Table1[[#This Row],[Flux in RT / glucose uptake ($mmol/mmol\ glc$)]])/SQRT(2)</f>
        <v>1.0902032923929057E-2</v>
      </c>
      <c r="F1403">
        <f>Table1[[#This Row],[distance from 45-degree line]]/MAX(Table1[[Flux in SC / glucose uptake ($mmol/mmol\ glc$)]:[Flux in RT / glucose uptake ($mmol/mmol\ glc$)]])</f>
        <v>5.876071346613388E-4</v>
      </c>
      <c r="G1403">
        <f>_xlfn.RANK.AVG(Table1[[#This Row],[Flux in SC / glucose uptake ($mmol/mmol\ glc$)]],Table1[Flux in SC / glucose uptake ($mmol/mmol\ glc$)])</f>
        <v>124</v>
      </c>
      <c r="H1403">
        <f>_xlfn.RANK.AVG(Table1[[#This Row],[Flux in RT / glucose uptake ($mmol/mmol\ glc$)]],Table1[Flux in RT / glucose uptake ($mmol/mmol\ glc$)])</f>
        <v>143</v>
      </c>
      <c r="I1403">
        <f>LOG(Table1[[#This Row],[Flux in SC / glucose uptake ($mmol/mmol\ glc$)]])</f>
        <v>-2.3592557396966845</v>
      </c>
      <c r="J1403">
        <f>LOG(Table1[[#This Row],[Flux in RT / glucose uptake ($mmol/mmol\ glc$)]])</f>
        <v>-1.7035443695357284</v>
      </c>
    </row>
    <row r="1404" spans="1:10" x14ac:dyDescent="0.2">
      <c r="A1404" t="s">
        <v>1407</v>
      </c>
      <c r="B1404" t="s">
        <v>3133</v>
      </c>
      <c r="C1404">
        <v>0</v>
      </c>
      <c r="D1404">
        <v>0</v>
      </c>
      <c r="E1404">
        <f>ABS(Table1[[#This Row],[Flux in SC / glucose uptake ($mmol/mmol\ glc$)]]-Table1[[#This Row],[Flux in RT / glucose uptake ($mmol/mmol\ glc$)]])/SQRT(2)</f>
        <v>0</v>
      </c>
      <c r="F1404">
        <f>Table1[[#This Row],[distance from 45-degree line]]/MAX(Table1[[Flux in SC / glucose uptake ($mmol/mmol\ glc$)]:[Flux in RT / glucose uptake ($mmol/mmol\ glc$)]])</f>
        <v>0</v>
      </c>
      <c r="G1404">
        <f>_xlfn.RANK.AVG(Table1[[#This Row],[Flux in SC / glucose uptake ($mmol/mmol\ glc$)]],Table1[Flux in SC / glucose uptake ($mmol/mmol\ glc$)])</f>
        <v>1310.5</v>
      </c>
      <c r="H1404">
        <f>_xlfn.RANK.AVG(Table1[[#This Row],[Flux in RT / glucose uptake ($mmol/mmol\ glc$)]],Table1[Flux in RT / glucose uptake ($mmol/mmol\ glc$)])</f>
        <v>1290.5</v>
      </c>
      <c r="I1404" t="e">
        <f>LOG(Table1[[#This Row],[Flux in SC / glucose uptake ($mmol/mmol\ glc$)]])</f>
        <v>#NUM!</v>
      </c>
      <c r="J1404" t="e">
        <f>LOG(Table1[[#This Row],[Flux in RT / glucose uptake ($mmol/mmol\ glc$)]])</f>
        <v>#NUM!</v>
      </c>
    </row>
    <row r="1405" spans="1:10" x14ac:dyDescent="0.2">
      <c r="A1405" t="s">
        <v>1408</v>
      </c>
      <c r="B1405" t="s">
        <v>3183</v>
      </c>
      <c r="C1405">
        <v>0.10004379279197186</v>
      </c>
      <c r="D1405">
        <v>0.37888995438835954</v>
      </c>
      <c r="E1405">
        <f>ABS(Table1[[#This Row],[Flux in SC / glucose uptake ($mmol/mmol\ glc$)]]-Table1[[#This Row],[Flux in RT / glucose uptake ($mmol/mmol\ glc$)]])/SQRT(2)</f>
        <v>0.19717401177264557</v>
      </c>
      <c r="F1405">
        <f>Table1[[#This Row],[distance from 45-degree line]]/MAX(Table1[[Flux in SC / glucose uptake ($mmol/mmol\ glc$)]:[Flux in RT / glucose uptake ($mmol/mmol\ glc$)]])</f>
        <v>1.0627454245996671E-2</v>
      </c>
      <c r="G1405">
        <f>_xlfn.RANK.AVG(Table1[[#This Row],[Flux in SC / glucose uptake ($mmol/mmol\ glc$)]],Table1[Flux in SC / glucose uptake ($mmol/mmol\ glc$)])</f>
        <v>35</v>
      </c>
      <c r="H1405">
        <f>_xlfn.RANK.AVG(Table1[[#This Row],[Flux in RT / glucose uptake ($mmol/mmol\ glc$)]],Table1[Flux in RT / glucose uptake ($mmol/mmol\ glc$)])</f>
        <v>51</v>
      </c>
      <c r="I1405">
        <f>LOG(Table1[[#This Row],[Flux in SC / glucose uptake ($mmol/mmol\ glc$)]])</f>
        <v>-0.9998098519535259</v>
      </c>
      <c r="J1405">
        <f>LOG(Table1[[#This Row],[Flux in RT / glucose uptake ($mmol/mmol\ glc$)]])</f>
        <v>-0.42148690913919978</v>
      </c>
    </row>
    <row r="1406" spans="1:10" x14ac:dyDescent="0.2">
      <c r="A1406" t="s">
        <v>1409</v>
      </c>
      <c r="B1406" t="s">
        <v>3183</v>
      </c>
      <c r="C1406">
        <v>0</v>
      </c>
      <c r="D1406">
        <v>0</v>
      </c>
      <c r="E1406">
        <f>ABS(Table1[[#This Row],[Flux in SC / glucose uptake ($mmol/mmol\ glc$)]]-Table1[[#This Row],[Flux in RT / glucose uptake ($mmol/mmol\ glc$)]])/SQRT(2)</f>
        <v>0</v>
      </c>
      <c r="F1406">
        <f>Table1[[#This Row],[distance from 45-degree line]]/MAX(Table1[[Flux in SC / glucose uptake ($mmol/mmol\ glc$)]:[Flux in RT / glucose uptake ($mmol/mmol\ glc$)]])</f>
        <v>0</v>
      </c>
      <c r="G1406">
        <f>_xlfn.RANK.AVG(Table1[[#This Row],[Flux in SC / glucose uptake ($mmol/mmol\ glc$)]],Table1[Flux in SC / glucose uptake ($mmol/mmol\ glc$)])</f>
        <v>1310.5</v>
      </c>
      <c r="H1406">
        <f>_xlfn.RANK.AVG(Table1[[#This Row],[Flux in RT / glucose uptake ($mmol/mmol\ glc$)]],Table1[Flux in RT / glucose uptake ($mmol/mmol\ glc$)])</f>
        <v>1290.5</v>
      </c>
      <c r="I1406" t="e">
        <f>LOG(Table1[[#This Row],[Flux in SC / glucose uptake ($mmol/mmol\ glc$)]])</f>
        <v>#NUM!</v>
      </c>
      <c r="J1406" t="e">
        <f>LOG(Table1[[#This Row],[Flux in RT / glucose uptake ($mmol/mmol\ glc$)]])</f>
        <v>#NUM!</v>
      </c>
    </row>
    <row r="1407" spans="1:10" x14ac:dyDescent="0.2">
      <c r="A1407" t="s">
        <v>1410</v>
      </c>
      <c r="B1407" t="s">
        <v>3183</v>
      </c>
      <c r="C1407">
        <v>0</v>
      </c>
      <c r="D1407">
        <v>0</v>
      </c>
      <c r="E1407">
        <f>ABS(Table1[[#This Row],[Flux in SC / glucose uptake ($mmol/mmol\ glc$)]]-Table1[[#This Row],[Flux in RT / glucose uptake ($mmol/mmol\ glc$)]])/SQRT(2)</f>
        <v>0</v>
      </c>
      <c r="F1407">
        <f>Table1[[#This Row],[distance from 45-degree line]]/MAX(Table1[[Flux in SC / glucose uptake ($mmol/mmol\ glc$)]:[Flux in RT / glucose uptake ($mmol/mmol\ glc$)]])</f>
        <v>0</v>
      </c>
      <c r="G1407">
        <f>_xlfn.RANK.AVG(Table1[[#This Row],[Flux in SC / glucose uptake ($mmol/mmol\ glc$)]],Table1[Flux in SC / glucose uptake ($mmol/mmol\ glc$)])</f>
        <v>1310.5</v>
      </c>
      <c r="H1407">
        <f>_xlfn.RANK.AVG(Table1[[#This Row],[Flux in RT / glucose uptake ($mmol/mmol\ glc$)]],Table1[Flux in RT / glucose uptake ($mmol/mmol\ glc$)])</f>
        <v>1290.5</v>
      </c>
      <c r="I1407" t="e">
        <f>LOG(Table1[[#This Row],[Flux in SC / glucose uptake ($mmol/mmol\ glc$)]])</f>
        <v>#NUM!</v>
      </c>
      <c r="J1407" t="e">
        <f>LOG(Table1[[#This Row],[Flux in RT / glucose uptake ($mmol/mmol\ glc$)]])</f>
        <v>#NUM!</v>
      </c>
    </row>
    <row r="1408" spans="1:10" x14ac:dyDescent="0.2">
      <c r="A1408" t="s">
        <v>1411</v>
      </c>
      <c r="B1408" t="s">
        <v>3183</v>
      </c>
      <c r="C1408">
        <v>0</v>
      </c>
      <c r="D1408">
        <v>0</v>
      </c>
      <c r="E1408">
        <f>ABS(Table1[[#This Row],[Flux in SC / glucose uptake ($mmol/mmol\ glc$)]]-Table1[[#This Row],[Flux in RT / glucose uptake ($mmol/mmol\ glc$)]])/SQRT(2)</f>
        <v>0</v>
      </c>
      <c r="F1408">
        <f>Table1[[#This Row],[distance from 45-degree line]]/MAX(Table1[[Flux in SC / glucose uptake ($mmol/mmol\ glc$)]:[Flux in RT / glucose uptake ($mmol/mmol\ glc$)]])</f>
        <v>0</v>
      </c>
      <c r="G1408">
        <f>_xlfn.RANK.AVG(Table1[[#This Row],[Flux in SC / glucose uptake ($mmol/mmol\ glc$)]],Table1[Flux in SC / glucose uptake ($mmol/mmol\ glc$)])</f>
        <v>1310.5</v>
      </c>
      <c r="H1408">
        <f>_xlfn.RANK.AVG(Table1[[#This Row],[Flux in RT / glucose uptake ($mmol/mmol\ glc$)]],Table1[Flux in RT / glucose uptake ($mmol/mmol\ glc$)])</f>
        <v>1290.5</v>
      </c>
      <c r="I1408" t="e">
        <f>LOG(Table1[[#This Row],[Flux in SC / glucose uptake ($mmol/mmol\ glc$)]])</f>
        <v>#NUM!</v>
      </c>
      <c r="J1408" t="e">
        <f>LOG(Table1[[#This Row],[Flux in RT / glucose uptake ($mmol/mmol\ glc$)]])</f>
        <v>#NUM!</v>
      </c>
    </row>
    <row r="1409" spans="1:10" x14ac:dyDescent="0.2">
      <c r="A1409" t="s">
        <v>1412</v>
      </c>
      <c r="B1409" t="s">
        <v>3114</v>
      </c>
      <c r="C1409">
        <v>0</v>
      </c>
      <c r="D1409">
        <v>0</v>
      </c>
      <c r="E1409">
        <f>ABS(Table1[[#This Row],[Flux in SC / glucose uptake ($mmol/mmol\ glc$)]]-Table1[[#This Row],[Flux in RT / glucose uptake ($mmol/mmol\ glc$)]])/SQRT(2)</f>
        <v>0</v>
      </c>
      <c r="F1409">
        <f>Table1[[#This Row],[distance from 45-degree line]]/MAX(Table1[[Flux in SC / glucose uptake ($mmol/mmol\ glc$)]:[Flux in RT / glucose uptake ($mmol/mmol\ glc$)]])</f>
        <v>0</v>
      </c>
      <c r="G1409">
        <f>_xlfn.RANK.AVG(Table1[[#This Row],[Flux in SC / glucose uptake ($mmol/mmol\ glc$)]],Table1[Flux in SC / glucose uptake ($mmol/mmol\ glc$)])</f>
        <v>1310.5</v>
      </c>
      <c r="H1409">
        <f>_xlfn.RANK.AVG(Table1[[#This Row],[Flux in RT / glucose uptake ($mmol/mmol\ glc$)]],Table1[Flux in RT / glucose uptake ($mmol/mmol\ glc$)])</f>
        <v>1290.5</v>
      </c>
      <c r="I1409" t="e">
        <f>LOG(Table1[[#This Row],[Flux in SC / glucose uptake ($mmol/mmol\ glc$)]])</f>
        <v>#NUM!</v>
      </c>
      <c r="J1409" t="e">
        <f>LOG(Table1[[#This Row],[Flux in RT / glucose uptake ($mmol/mmol\ glc$)]])</f>
        <v>#NUM!</v>
      </c>
    </row>
    <row r="1410" spans="1:10" x14ac:dyDescent="0.2">
      <c r="A1410" t="s">
        <v>1413</v>
      </c>
      <c r="B1410" t="s">
        <v>3148</v>
      </c>
      <c r="C1410">
        <v>3.6110321147682783E-9</v>
      </c>
      <c r="D1410">
        <v>0</v>
      </c>
      <c r="E1410">
        <f>ABS(Table1[[#This Row],[Flux in SC / glucose uptake ($mmol/mmol\ glc$)]]-Table1[[#This Row],[Flux in RT / glucose uptake ($mmol/mmol\ glc$)]])/SQRT(2)</f>
        <v>2.5533852954350489E-9</v>
      </c>
      <c r="F1410">
        <f>Table1[[#This Row],[distance from 45-degree line]]/MAX(Table1[[Flux in SC / glucose uptake ($mmol/mmol\ glc$)]:[Flux in RT / glucose uptake ($mmol/mmol\ glc$)]])</f>
        <v>1.376245538429589E-10</v>
      </c>
      <c r="G1410">
        <f>_xlfn.RANK.AVG(Table1[[#This Row],[Flux in SC / glucose uptake ($mmol/mmol\ glc$)]],Table1[Flux in SC / glucose uptake ($mmol/mmol\ glc$)])</f>
        <v>310</v>
      </c>
      <c r="H1410">
        <f>_xlfn.RANK.AVG(Table1[[#This Row],[Flux in RT / glucose uptake ($mmol/mmol\ glc$)]],Table1[Flux in RT / glucose uptake ($mmol/mmol\ glc$)])</f>
        <v>1290.5</v>
      </c>
      <c r="I1410">
        <f>LOG(Table1[[#This Row],[Flux in SC / glucose uptake ($mmol/mmol\ glc$)]])</f>
        <v>-8.4423686491515095</v>
      </c>
      <c r="J1410" t="e">
        <f>LOG(Table1[[#This Row],[Flux in RT / glucose uptake ($mmol/mmol\ glc$)]])</f>
        <v>#NUM!</v>
      </c>
    </row>
    <row r="1411" spans="1:10" x14ac:dyDescent="0.2">
      <c r="A1411" t="s">
        <v>1414</v>
      </c>
      <c r="B1411" t="s">
        <v>3114</v>
      </c>
      <c r="C1411">
        <v>0</v>
      </c>
      <c r="D1411">
        <v>0</v>
      </c>
      <c r="E1411">
        <f>ABS(Table1[[#This Row],[Flux in SC / glucose uptake ($mmol/mmol\ glc$)]]-Table1[[#This Row],[Flux in RT / glucose uptake ($mmol/mmol\ glc$)]])/SQRT(2)</f>
        <v>0</v>
      </c>
      <c r="F1411">
        <f>Table1[[#This Row],[distance from 45-degree line]]/MAX(Table1[[Flux in SC / glucose uptake ($mmol/mmol\ glc$)]:[Flux in RT / glucose uptake ($mmol/mmol\ glc$)]])</f>
        <v>0</v>
      </c>
      <c r="G1411">
        <f>_xlfn.RANK.AVG(Table1[[#This Row],[Flux in SC / glucose uptake ($mmol/mmol\ glc$)]],Table1[Flux in SC / glucose uptake ($mmol/mmol\ glc$)])</f>
        <v>1310.5</v>
      </c>
      <c r="H1411">
        <f>_xlfn.RANK.AVG(Table1[[#This Row],[Flux in RT / glucose uptake ($mmol/mmol\ glc$)]],Table1[Flux in RT / glucose uptake ($mmol/mmol\ glc$)])</f>
        <v>1290.5</v>
      </c>
      <c r="I1411" t="e">
        <f>LOG(Table1[[#This Row],[Flux in SC / glucose uptake ($mmol/mmol\ glc$)]])</f>
        <v>#NUM!</v>
      </c>
      <c r="J1411" t="e">
        <f>LOG(Table1[[#This Row],[Flux in RT / glucose uptake ($mmol/mmol\ glc$)]])</f>
        <v>#NUM!</v>
      </c>
    </row>
    <row r="1412" spans="1:10" x14ac:dyDescent="0.2">
      <c r="A1412" t="s">
        <v>1415</v>
      </c>
      <c r="B1412" t="s">
        <v>3114</v>
      </c>
      <c r="C1412">
        <v>0</v>
      </c>
      <c r="D1412">
        <v>0</v>
      </c>
      <c r="E1412">
        <f>ABS(Table1[[#This Row],[Flux in SC / glucose uptake ($mmol/mmol\ glc$)]]-Table1[[#This Row],[Flux in RT / glucose uptake ($mmol/mmol\ glc$)]])/SQRT(2)</f>
        <v>0</v>
      </c>
      <c r="F1412">
        <f>Table1[[#This Row],[distance from 45-degree line]]/MAX(Table1[[Flux in SC / glucose uptake ($mmol/mmol\ glc$)]:[Flux in RT / glucose uptake ($mmol/mmol\ glc$)]])</f>
        <v>0</v>
      </c>
      <c r="G1412">
        <f>_xlfn.RANK.AVG(Table1[[#This Row],[Flux in SC / glucose uptake ($mmol/mmol\ glc$)]],Table1[Flux in SC / glucose uptake ($mmol/mmol\ glc$)])</f>
        <v>1310.5</v>
      </c>
      <c r="H1412">
        <f>_xlfn.RANK.AVG(Table1[[#This Row],[Flux in RT / glucose uptake ($mmol/mmol\ glc$)]],Table1[Flux in RT / glucose uptake ($mmol/mmol\ glc$)])</f>
        <v>1290.5</v>
      </c>
      <c r="I1412" t="e">
        <f>LOG(Table1[[#This Row],[Flux in SC / glucose uptake ($mmol/mmol\ glc$)]])</f>
        <v>#NUM!</v>
      </c>
      <c r="J1412" t="e">
        <f>LOG(Table1[[#This Row],[Flux in RT / glucose uptake ($mmol/mmol\ glc$)]])</f>
        <v>#NUM!</v>
      </c>
    </row>
    <row r="1413" spans="1:10" x14ac:dyDescent="0.2">
      <c r="A1413" t="s">
        <v>1416</v>
      </c>
      <c r="B1413" t="s">
        <v>3114</v>
      </c>
      <c r="C1413">
        <v>0</v>
      </c>
      <c r="D1413">
        <v>0</v>
      </c>
      <c r="E1413">
        <f>ABS(Table1[[#This Row],[Flux in SC / glucose uptake ($mmol/mmol\ glc$)]]-Table1[[#This Row],[Flux in RT / glucose uptake ($mmol/mmol\ glc$)]])/SQRT(2)</f>
        <v>0</v>
      </c>
      <c r="F1413">
        <f>Table1[[#This Row],[distance from 45-degree line]]/MAX(Table1[[Flux in SC / glucose uptake ($mmol/mmol\ glc$)]:[Flux in RT / glucose uptake ($mmol/mmol\ glc$)]])</f>
        <v>0</v>
      </c>
      <c r="G1413">
        <f>_xlfn.RANK.AVG(Table1[[#This Row],[Flux in SC / glucose uptake ($mmol/mmol\ glc$)]],Table1[Flux in SC / glucose uptake ($mmol/mmol\ glc$)])</f>
        <v>1310.5</v>
      </c>
      <c r="H1413">
        <f>_xlfn.RANK.AVG(Table1[[#This Row],[Flux in RT / glucose uptake ($mmol/mmol\ glc$)]],Table1[Flux in RT / glucose uptake ($mmol/mmol\ glc$)])</f>
        <v>1290.5</v>
      </c>
      <c r="I1413" t="e">
        <f>LOG(Table1[[#This Row],[Flux in SC / glucose uptake ($mmol/mmol\ glc$)]])</f>
        <v>#NUM!</v>
      </c>
      <c r="J1413" t="e">
        <f>LOG(Table1[[#This Row],[Flux in RT / glucose uptake ($mmol/mmol\ glc$)]])</f>
        <v>#NUM!</v>
      </c>
    </row>
    <row r="1414" spans="1:10" x14ac:dyDescent="0.2">
      <c r="A1414" t="s">
        <v>1417</v>
      </c>
      <c r="B1414" t="s">
        <v>3114</v>
      </c>
      <c r="C1414">
        <v>0</v>
      </c>
      <c r="D1414">
        <v>0</v>
      </c>
      <c r="E1414">
        <f>ABS(Table1[[#This Row],[Flux in SC / glucose uptake ($mmol/mmol\ glc$)]]-Table1[[#This Row],[Flux in RT / glucose uptake ($mmol/mmol\ glc$)]])/SQRT(2)</f>
        <v>0</v>
      </c>
      <c r="F1414">
        <f>Table1[[#This Row],[distance from 45-degree line]]/MAX(Table1[[Flux in SC / glucose uptake ($mmol/mmol\ glc$)]:[Flux in RT / glucose uptake ($mmol/mmol\ glc$)]])</f>
        <v>0</v>
      </c>
      <c r="G1414">
        <f>_xlfn.RANK.AVG(Table1[[#This Row],[Flux in SC / glucose uptake ($mmol/mmol\ glc$)]],Table1[Flux in SC / glucose uptake ($mmol/mmol\ glc$)])</f>
        <v>1310.5</v>
      </c>
      <c r="H1414">
        <f>_xlfn.RANK.AVG(Table1[[#This Row],[Flux in RT / glucose uptake ($mmol/mmol\ glc$)]],Table1[Flux in RT / glucose uptake ($mmol/mmol\ glc$)])</f>
        <v>1290.5</v>
      </c>
      <c r="I1414" t="e">
        <f>LOG(Table1[[#This Row],[Flux in SC / glucose uptake ($mmol/mmol\ glc$)]])</f>
        <v>#NUM!</v>
      </c>
      <c r="J1414" t="e">
        <f>LOG(Table1[[#This Row],[Flux in RT / glucose uptake ($mmol/mmol\ glc$)]])</f>
        <v>#NUM!</v>
      </c>
    </row>
    <row r="1415" spans="1:10" x14ac:dyDescent="0.2">
      <c r="A1415" t="s">
        <v>1418</v>
      </c>
      <c r="B1415" t="s">
        <v>3114</v>
      </c>
      <c r="C1415">
        <v>0</v>
      </c>
      <c r="D1415">
        <v>0</v>
      </c>
      <c r="E1415">
        <f>ABS(Table1[[#This Row],[Flux in SC / glucose uptake ($mmol/mmol\ glc$)]]-Table1[[#This Row],[Flux in RT / glucose uptake ($mmol/mmol\ glc$)]])/SQRT(2)</f>
        <v>0</v>
      </c>
      <c r="F1415">
        <f>Table1[[#This Row],[distance from 45-degree line]]/MAX(Table1[[Flux in SC / glucose uptake ($mmol/mmol\ glc$)]:[Flux in RT / glucose uptake ($mmol/mmol\ glc$)]])</f>
        <v>0</v>
      </c>
      <c r="G1415">
        <f>_xlfn.RANK.AVG(Table1[[#This Row],[Flux in SC / glucose uptake ($mmol/mmol\ glc$)]],Table1[Flux in SC / glucose uptake ($mmol/mmol\ glc$)])</f>
        <v>1310.5</v>
      </c>
      <c r="H1415">
        <f>_xlfn.RANK.AVG(Table1[[#This Row],[Flux in RT / glucose uptake ($mmol/mmol\ glc$)]],Table1[Flux in RT / glucose uptake ($mmol/mmol\ glc$)])</f>
        <v>1290.5</v>
      </c>
      <c r="I1415" t="e">
        <f>LOG(Table1[[#This Row],[Flux in SC / glucose uptake ($mmol/mmol\ glc$)]])</f>
        <v>#NUM!</v>
      </c>
      <c r="J1415" t="e">
        <f>LOG(Table1[[#This Row],[Flux in RT / glucose uptake ($mmol/mmol\ glc$)]])</f>
        <v>#NUM!</v>
      </c>
    </row>
    <row r="1416" spans="1:10" x14ac:dyDescent="0.2">
      <c r="A1416" t="s">
        <v>1419</v>
      </c>
      <c r="B1416" t="s">
        <v>3114</v>
      </c>
      <c r="C1416">
        <v>0</v>
      </c>
      <c r="D1416">
        <v>0</v>
      </c>
      <c r="E1416">
        <f>ABS(Table1[[#This Row],[Flux in SC / glucose uptake ($mmol/mmol\ glc$)]]-Table1[[#This Row],[Flux in RT / glucose uptake ($mmol/mmol\ glc$)]])/SQRT(2)</f>
        <v>0</v>
      </c>
      <c r="F1416">
        <f>Table1[[#This Row],[distance from 45-degree line]]/MAX(Table1[[Flux in SC / glucose uptake ($mmol/mmol\ glc$)]:[Flux in RT / glucose uptake ($mmol/mmol\ glc$)]])</f>
        <v>0</v>
      </c>
      <c r="G1416">
        <f>_xlfn.RANK.AVG(Table1[[#This Row],[Flux in SC / glucose uptake ($mmol/mmol\ glc$)]],Table1[Flux in SC / glucose uptake ($mmol/mmol\ glc$)])</f>
        <v>1310.5</v>
      </c>
      <c r="H1416">
        <f>_xlfn.RANK.AVG(Table1[[#This Row],[Flux in RT / glucose uptake ($mmol/mmol\ glc$)]],Table1[Flux in RT / glucose uptake ($mmol/mmol\ glc$)])</f>
        <v>1290.5</v>
      </c>
      <c r="I1416" t="e">
        <f>LOG(Table1[[#This Row],[Flux in SC / glucose uptake ($mmol/mmol\ glc$)]])</f>
        <v>#NUM!</v>
      </c>
      <c r="J1416" t="e">
        <f>LOG(Table1[[#This Row],[Flux in RT / glucose uptake ($mmol/mmol\ glc$)]])</f>
        <v>#NUM!</v>
      </c>
    </row>
    <row r="1417" spans="1:10" x14ac:dyDescent="0.2">
      <c r="A1417" t="s">
        <v>1420</v>
      </c>
      <c r="B1417" t="s">
        <v>3114</v>
      </c>
      <c r="C1417">
        <v>0</v>
      </c>
      <c r="D1417">
        <v>0</v>
      </c>
      <c r="E1417">
        <f>ABS(Table1[[#This Row],[Flux in SC / glucose uptake ($mmol/mmol\ glc$)]]-Table1[[#This Row],[Flux in RT / glucose uptake ($mmol/mmol\ glc$)]])/SQRT(2)</f>
        <v>0</v>
      </c>
      <c r="F1417">
        <f>Table1[[#This Row],[distance from 45-degree line]]/MAX(Table1[[Flux in SC / glucose uptake ($mmol/mmol\ glc$)]:[Flux in RT / glucose uptake ($mmol/mmol\ glc$)]])</f>
        <v>0</v>
      </c>
      <c r="G1417">
        <f>_xlfn.RANK.AVG(Table1[[#This Row],[Flux in SC / glucose uptake ($mmol/mmol\ glc$)]],Table1[Flux in SC / glucose uptake ($mmol/mmol\ glc$)])</f>
        <v>1310.5</v>
      </c>
      <c r="H1417">
        <f>_xlfn.RANK.AVG(Table1[[#This Row],[Flux in RT / glucose uptake ($mmol/mmol\ glc$)]],Table1[Flux in RT / glucose uptake ($mmol/mmol\ glc$)])</f>
        <v>1290.5</v>
      </c>
      <c r="I1417" t="e">
        <f>LOG(Table1[[#This Row],[Flux in SC / glucose uptake ($mmol/mmol\ glc$)]])</f>
        <v>#NUM!</v>
      </c>
      <c r="J1417" t="e">
        <f>LOG(Table1[[#This Row],[Flux in RT / glucose uptake ($mmol/mmol\ glc$)]])</f>
        <v>#NUM!</v>
      </c>
    </row>
    <row r="1418" spans="1:10" x14ac:dyDescent="0.2">
      <c r="A1418" t="s">
        <v>1421</v>
      </c>
      <c r="B1418" t="s">
        <v>3114</v>
      </c>
      <c r="C1418">
        <v>0</v>
      </c>
      <c r="D1418">
        <v>0</v>
      </c>
      <c r="E1418">
        <f>ABS(Table1[[#This Row],[Flux in SC / glucose uptake ($mmol/mmol\ glc$)]]-Table1[[#This Row],[Flux in RT / glucose uptake ($mmol/mmol\ glc$)]])/SQRT(2)</f>
        <v>0</v>
      </c>
      <c r="F1418">
        <f>Table1[[#This Row],[distance from 45-degree line]]/MAX(Table1[[Flux in SC / glucose uptake ($mmol/mmol\ glc$)]:[Flux in RT / glucose uptake ($mmol/mmol\ glc$)]])</f>
        <v>0</v>
      </c>
      <c r="G1418">
        <f>_xlfn.RANK.AVG(Table1[[#This Row],[Flux in SC / glucose uptake ($mmol/mmol\ glc$)]],Table1[Flux in SC / glucose uptake ($mmol/mmol\ glc$)])</f>
        <v>1310.5</v>
      </c>
      <c r="H1418">
        <f>_xlfn.RANK.AVG(Table1[[#This Row],[Flux in RT / glucose uptake ($mmol/mmol\ glc$)]],Table1[Flux in RT / glucose uptake ($mmol/mmol\ glc$)])</f>
        <v>1290.5</v>
      </c>
      <c r="I1418" t="e">
        <f>LOG(Table1[[#This Row],[Flux in SC / glucose uptake ($mmol/mmol\ glc$)]])</f>
        <v>#NUM!</v>
      </c>
      <c r="J1418" t="e">
        <f>LOG(Table1[[#This Row],[Flux in RT / glucose uptake ($mmol/mmol\ glc$)]])</f>
        <v>#NUM!</v>
      </c>
    </row>
    <row r="1419" spans="1:10" x14ac:dyDescent="0.2">
      <c r="A1419" t="s">
        <v>1422</v>
      </c>
      <c r="B1419" t="s">
        <v>3114</v>
      </c>
      <c r="C1419">
        <v>0</v>
      </c>
      <c r="D1419">
        <v>0</v>
      </c>
      <c r="E1419">
        <f>ABS(Table1[[#This Row],[Flux in SC / glucose uptake ($mmol/mmol\ glc$)]]-Table1[[#This Row],[Flux in RT / glucose uptake ($mmol/mmol\ glc$)]])/SQRT(2)</f>
        <v>0</v>
      </c>
      <c r="F1419">
        <f>Table1[[#This Row],[distance from 45-degree line]]/MAX(Table1[[Flux in SC / glucose uptake ($mmol/mmol\ glc$)]:[Flux in RT / glucose uptake ($mmol/mmol\ glc$)]])</f>
        <v>0</v>
      </c>
      <c r="G1419">
        <f>_xlfn.RANK.AVG(Table1[[#This Row],[Flux in SC / glucose uptake ($mmol/mmol\ glc$)]],Table1[Flux in SC / glucose uptake ($mmol/mmol\ glc$)])</f>
        <v>1310.5</v>
      </c>
      <c r="H1419">
        <f>_xlfn.RANK.AVG(Table1[[#This Row],[Flux in RT / glucose uptake ($mmol/mmol\ glc$)]],Table1[Flux in RT / glucose uptake ($mmol/mmol\ glc$)])</f>
        <v>1290.5</v>
      </c>
      <c r="I1419" t="e">
        <f>LOG(Table1[[#This Row],[Flux in SC / glucose uptake ($mmol/mmol\ glc$)]])</f>
        <v>#NUM!</v>
      </c>
      <c r="J1419" t="e">
        <f>LOG(Table1[[#This Row],[Flux in RT / glucose uptake ($mmol/mmol\ glc$)]])</f>
        <v>#NUM!</v>
      </c>
    </row>
    <row r="1420" spans="1:10" x14ac:dyDescent="0.2">
      <c r="A1420" t="s">
        <v>1423</v>
      </c>
      <c r="B1420" t="s">
        <v>3114</v>
      </c>
      <c r="C1420">
        <v>0</v>
      </c>
      <c r="D1420">
        <v>0</v>
      </c>
      <c r="E1420">
        <f>ABS(Table1[[#This Row],[Flux in SC / glucose uptake ($mmol/mmol\ glc$)]]-Table1[[#This Row],[Flux in RT / glucose uptake ($mmol/mmol\ glc$)]])/SQRT(2)</f>
        <v>0</v>
      </c>
      <c r="F1420">
        <f>Table1[[#This Row],[distance from 45-degree line]]/MAX(Table1[[Flux in SC / glucose uptake ($mmol/mmol\ glc$)]:[Flux in RT / glucose uptake ($mmol/mmol\ glc$)]])</f>
        <v>0</v>
      </c>
      <c r="G1420">
        <f>_xlfn.RANK.AVG(Table1[[#This Row],[Flux in SC / glucose uptake ($mmol/mmol\ glc$)]],Table1[Flux in SC / glucose uptake ($mmol/mmol\ glc$)])</f>
        <v>1310.5</v>
      </c>
      <c r="H1420">
        <f>_xlfn.RANK.AVG(Table1[[#This Row],[Flux in RT / glucose uptake ($mmol/mmol\ glc$)]],Table1[Flux in RT / glucose uptake ($mmol/mmol\ glc$)])</f>
        <v>1290.5</v>
      </c>
      <c r="I1420" t="e">
        <f>LOG(Table1[[#This Row],[Flux in SC / glucose uptake ($mmol/mmol\ glc$)]])</f>
        <v>#NUM!</v>
      </c>
      <c r="J1420" t="e">
        <f>LOG(Table1[[#This Row],[Flux in RT / glucose uptake ($mmol/mmol\ glc$)]])</f>
        <v>#NUM!</v>
      </c>
    </row>
    <row r="1421" spans="1:10" x14ac:dyDescent="0.2">
      <c r="A1421" t="s">
        <v>1424</v>
      </c>
      <c r="B1421" t="s">
        <v>3114</v>
      </c>
      <c r="C1421">
        <v>0</v>
      </c>
      <c r="D1421">
        <v>0</v>
      </c>
      <c r="E1421">
        <f>ABS(Table1[[#This Row],[Flux in SC / glucose uptake ($mmol/mmol\ glc$)]]-Table1[[#This Row],[Flux in RT / glucose uptake ($mmol/mmol\ glc$)]])/SQRT(2)</f>
        <v>0</v>
      </c>
      <c r="F1421">
        <f>Table1[[#This Row],[distance from 45-degree line]]/MAX(Table1[[Flux in SC / glucose uptake ($mmol/mmol\ glc$)]:[Flux in RT / glucose uptake ($mmol/mmol\ glc$)]])</f>
        <v>0</v>
      </c>
      <c r="G1421">
        <f>_xlfn.RANK.AVG(Table1[[#This Row],[Flux in SC / glucose uptake ($mmol/mmol\ glc$)]],Table1[Flux in SC / glucose uptake ($mmol/mmol\ glc$)])</f>
        <v>1310.5</v>
      </c>
      <c r="H1421">
        <f>_xlfn.RANK.AVG(Table1[[#This Row],[Flux in RT / glucose uptake ($mmol/mmol\ glc$)]],Table1[Flux in RT / glucose uptake ($mmol/mmol\ glc$)])</f>
        <v>1290.5</v>
      </c>
      <c r="I1421" t="e">
        <f>LOG(Table1[[#This Row],[Flux in SC / glucose uptake ($mmol/mmol\ glc$)]])</f>
        <v>#NUM!</v>
      </c>
      <c r="J1421" t="e">
        <f>LOG(Table1[[#This Row],[Flux in RT / glucose uptake ($mmol/mmol\ glc$)]])</f>
        <v>#NUM!</v>
      </c>
    </row>
    <row r="1422" spans="1:10" x14ac:dyDescent="0.2">
      <c r="A1422" t="s">
        <v>1425</v>
      </c>
      <c r="B1422" t="s">
        <v>3114</v>
      </c>
      <c r="C1422">
        <v>0</v>
      </c>
      <c r="D1422">
        <v>0</v>
      </c>
      <c r="E1422">
        <f>ABS(Table1[[#This Row],[Flux in SC / glucose uptake ($mmol/mmol\ glc$)]]-Table1[[#This Row],[Flux in RT / glucose uptake ($mmol/mmol\ glc$)]])/SQRT(2)</f>
        <v>0</v>
      </c>
      <c r="F1422">
        <f>Table1[[#This Row],[distance from 45-degree line]]/MAX(Table1[[Flux in SC / glucose uptake ($mmol/mmol\ glc$)]:[Flux in RT / glucose uptake ($mmol/mmol\ glc$)]])</f>
        <v>0</v>
      </c>
      <c r="G1422">
        <f>_xlfn.RANK.AVG(Table1[[#This Row],[Flux in SC / glucose uptake ($mmol/mmol\ glc$)]],Table1[Flux in SC / glucose uptake ($mmol/mmol\ glc$)])</f>
        <v>1310.5</v>
      </c>
      <c r="H1422">
        <f>_xlfn.RANK.AVG(Table1[[#This Row],[Flux in RT / glucose uptake ($mmol/mmol\ glc$)]],Table1[Flux in RT / glucose uptake ($mmol/mmol\ glc$)])</f>
        <v>1290.5</v>
      </c>
      <c r="I1422" t="e">
        <f>LOG(Table1[[#This Row],[Flux in SC / glucose uptake ($mmol/mmol\ glc$)]])</f>
        <v>#NUM!</v>
      </c>
      <c r="J1422" t="e">
        <f>LOG(Table1[[#This Row],[Flux in RT / glucose uptake ($mmol/mmol\ glc$)]])</f>
        <v>#NUM!</v>
      </c>
    </row>
    <row r="1423" spans="1:10" x14ac:dyDescent="0.2">
      <c r="A1423" t="s">
        <v>1426</v>
      </c>
      <c r="B1423" t="s">
        <v>3114</v>
      </c>
      <c r="C1423">
        <v>0</v>
      </c>
      <c r="D1423">
        <v>0</v>
      </c>
      <c r="E1423">
        <f>ABS(Table1[[#This Row],[Flux in SC / glucose uptake ($mmol/mmol\ glc$)]]-Table1[[#This Row],[Flux in RT / glucose uptake ($mmol/mmol\ glc$)]])/SQRT(2)</f>
        <v>0</v>
      </c>
      <c r="F1423">
        <f>Table1[[#This Row],[distance from 45-degree line]]/MAX(Table1[[Flux in SC / glucose uptake ($mmol/mmol\ glc$)]:[Flux in RT / glucose uptake ($mmol/mmol\ glc$)]])</f>
        <v>0</v>
      </c>
      <c r="G1423">
        <f>_xlfn.RANK.AVG(Table1[[#This Row],[Flux in SC / glucose uptake ($mmol/mmol\ glc$)]],Table1[Flux in SC / glucose uptake ($mmol/mmol\ glc$)])</f>
        <v>1310.5</v>
      </c>
      <c r="H1423">
        <f>_xlfn.RANK.AVG(Table1[[#This Row],[Flux in RT / glucose uptake ($mmol/mmol\ glc$)]],Table1[Flux in RT / glucose uptake ($mmol/mmol\ glc$)])</f>
        <v>1290.5</v>
      </c>
      <c r="I1423" t="e">
        <f>LOG(Table1[[#This Row],[Flux in SC / glucose uptake ($mmol/mmol\ glc$)]])</f>
        <v>#NUM!</v>
      </c>
      <c r="J1423" t="e">
        <f>LOG(Table1[[#This Row],[Flux in RT / glucose uptake ($mmol/mmol\ glc$)]])</f>
        <v>#NUM!</v>
      </c>
    </row>
    <row r="1424" spans="1:10" x14ac:dyDescent="0.2">
      <c r="A1424" t="s">
        <v>1427</v>
      </c>
      <c r="B1424" t="s">
        <v>3174</v>
      </c>
      <c r="C1424">
        <v>0</v>
      </c>
      <c r="D1424">
        <v>0</v>
      </c>
      <c r="E1424">
        <f>ABS(Table1[[#This Row],[Flux in SC / glucose uptake ($mmol/mmol\ glc$)]]-Table1[[#This Row],[Flux in RT / glucose uptake ($mmol/mmol\ glc$)]])/SQRT(2)</f>
        <v>0</v>
      </c>
      <c r="F1424">
        <f>Table1[[#This Row],[distance from 45-degree line]]/MAX(Table1[[Flux in SC / glucose uptake ($mmol/mmol\ glc$)]:[Flux in RT / glucose uptake ($mmol/mmol\ glc$)]])</f>
        <v>0</v>
      </c>
      <c r="G1424">
        <f>_xlfn.RANK.AVG(Table1[[#This Row],[Flux in SC / glucose uptake ($mmol/mmol\ glc$)]],Table1[Flux in SC / glucose uptake ($mmol/mmol\ glc$)])</f>
        <v>1310.5</v>
      </c>
      <c r="H1424">
        <f>_xlfn.RANK.AVG(Table1[[#This Row],[Flux in RT / glucose uptake ($mmol/mmol\ glc$)]],Table1[Flux in RT / glucose uptake ($mmol/mmol\ glc$)])</f>
        <v>1290.5</v>
      </c>
      <c r="I1424" t="e">
        <f>LOG(Table1[[#This Row],[Flux in SC / glucose uptake ($mmol/mmol\ glc$)]])</f>
        <v>#NUM!</v>
      </c>
      <c r="J1424" t="e">
        <f>LOG(Table1[[#This Row],[Flux in RT / glucose uptake ($mmol/mmol\ glc$)]])</f>
        <v>#NUM!</v>
      </c>
    </row>
    <row r="1425" spans="1:10" x14ac:dyDescent="0.2">
      <c r="A1425" t="s">
        <v>1428</v>
      </c>
      <c r="B1425" t="s">
        <v>3129</v>
      </c>
      <c r="C1425">
        <v>0</v>
      </c>
      <c r="D1425">
        <v>0</v>
      </c>
      <c r="E1425">
        <f>ABS(Table1[[#This Row],[Flux in SC / glucose uptake ($mmol/mmol\ glc$)]]-Table1[[#This Row],[Flux in RT / glucose uptake ($mmol/mmol\ glc$)]])/SQRT(2)</f>
        <v>0</v>
      </c>
      <c r="F1425">
        <f>Table1[[#This Row],[distance from 45-degree line]]/MAX(Table1[[Flux in SC / glucose uptake ($mmol/mmol\ glc$)]:[Flux in RT / glucose uptake ($mmol/mmol\ glc$)]])</f>
        <v>0</v>
      </c>
      <c r="G1425">
        <f>_xlfn.RANK.AVG(Table1[[#This Row],[Flux in SC / glucose uptake ($mmol/mmol\ glc$)]],Table1[Flux in SC / glucose uptake ($mmol/mmol\ glc$)])</f>
        <v>1310.5</v>
      </c>
      <c r="H1425">
        <f>_xlfn.RANK.AVG(Table1[[#This Row],[Flux in RT / glucose uptake ($mmol/mmol\ glc$)]],Table1[Flux in RT / glucose uptake ($mmol/mmol\ glc$)])</f>
        <v>1290.5</v>
      </c>
      <c r="I1425" t="e">
        <f>LOG(Table1[[#This Row],[Flux in SC / glucose uptake ($mmol/mmol\ glc$)]])</f>
        <v>#NUM!</v>
      </c>
      <c r="J1425" t="e">
        <f>LOG(Table1[[#This Row],[Flux in RT / glucose uptake ($mmol/mmol\ glc$)]])</f>
        <v>#NUM!</v>
      </c>
    </row>
    <row r="1426" spans="1:10" x14ac:dyDescent="0.2">
      <c r="A1426" t="s">
        <v>1429</v>
      </c>
      <c r="B1426" t="s">
        <v>3181</v>
      </c>
      <c r="C1426">
        <v>1</v>
      </c>
      <c r="D1426">
        <v>1</v>
      </c>
      <c r="E1426">
        <f>ABS(Table1[[#This Row],[Flux in SC / glucose uptake ($mmol/mmol\ glc$)]]-Table1[[#This Row],[Flux in RT / glucose uptake ($mmol/mmol\ glc$)]])/SQRT(2)</f>
        <v>0</v>
      </c>
      <c r="F1426">
        <f>Table1[[#This Row],[distance from 45-degree line]]/MAX(Table1[[Flux in SC / glucose uptake ($mmol/mmol\ glc$)]:[Flux in RT / glucose uptake ($mmol/mmol\ glc$)]])</f>
        <v>0</v>
      </c>
      <c r="G1426">
        <f>_xlfn.RANK.AVG(Table1[[#This Row],[Flux in SC / glucose uptake ($mmol/mmol\ glc$)]],Table1[Flux in SC / glucose uptake ($mmol/mmol\ glc$)])</f>
        <v>13</v>
      </c>
      <c r="H1426">
        <f>_xlfn.RANK.AVG(Table1[[#This Row],[Flux in RT / glucose uptake ($mmol/mmol\ glc$)]],Table1[Flux in RT / glucose uptake ($mmol/mmol\ glc$)])</f>
        <v>19</v>
      </c>
      <c r="I1426">
        <f>LOG(Table1[[#This Row],[Flux in SC / glucose uptake ($mmol/mmol\ glc$)]])</f>
        <v>0</v>
      </c>
      <c r="J1426">
        <f>LOG(Table1[[#This Row],[Flux in RT / glucose uptake ($mmol/mmol\ glc$)]])</f>
        <v>0</v>
      </c>
    </row>
    <row r="1427" spans="1:10" x14ac:dyDescent="0.2">
      <c r="A1427" t="s">
        <v>1430</v>
      </c>
      <c r="B1427" t="s">
        <v>3181</v>
      </c>
      <c r="C1427">
        <v>0</v>
      </c>
      <c r="D1427">
        <v>0</v>
      </c>
      <c r="E1427">
        <f>ABS(Table1[[#This Row],[Flux in SC / glucose uptake ($mmol/mmol\ glc$)]]-Table1[[#This Row],[Flux in RT / glucose uptake ($mmol/mmol\ glc$)]])/SQRT(2)</f>
        <v>0</v>
      </c>
      <c r="F1427">
        <f>Table1[[#This Row],[distance from 45-degree line]]/MAX(Table1[[Flux in SC / glucose uptake ($mmol/mmol\ glc$)]:[Flux in RT / glucose uptake ($mmol/mmol\ glc$)]])</f>
        <v>0</v>
      </c>
      <c r="G1427">
        <f>_xlfn.RANK.AVG(Table1[[#This Row],[Flux in SC / glucose uptake ($mmol/mmol\ glc$)]],Table1[Flux in SC / glucose uptake ($mmol/mmol\ glc$)])</f>
        <v>1310.5</v>
      </c>
      <c r="H1427">
        <f>_xlfn.RANK.AVG(Table1[[#This Row],[Flux in RT / glucose uptake ($mmol/mmol\ glc$)]],Table1[Flux in RT / glucose uptake ($mmol/mmol\ glc$)])</f>
        <v>1290.5</v>
      </c>
      <c r="I1427" t="e">
        <f>LOG(Table1[[#This Row],[Flux in SC / glucose uptake ($mmol/mmol\ glc$)]])</f>
        <v>#NUM!</v>
      </c>
      <c r="J1427" t="e">
        <f>LOG(Table1[[#This Row],[Flux in RT / glucose uptake ($mmol/mmol\ glc$)]])</f>
        <v>#NUM!</v>
      </c>
    </row>
    <row r="1428" spans="1:10" x14ac:dyDescent="0.2">
      <c r="A1428" t="s">
        <v>1431</v>
      </c>
      <c r="B1428" t="s">
        <v>3181</v>
      </c>
      <c r="C1428">
        <v>0</v>
      </c>
      <c r="D1428">
        <v>0</v>
      </c>
      <c r="E1428">
        <f>ABS(Table1[[#This Row],[Flux in SC / glucose uptake ($mmol/mmol\ glc$)]]-Table1[[#This Row],[Flux in RT / glucose uptake ($mmol/mmol\ glc$)]])/SQRT(2)</f>
        <v>0</v>
      </c>
      <c r="F1428">
        <f>Table1[[#This Row],[distance from 45-degree line]]/MAX(Table1[[Flux in SC / glucose uptake ($mmol/mmol\ glc$)]:[Flux in RT / glucose uptake ($mmol/mmol\ glc$)]])</f>
        <v>0</v>
      </c>
      <c r="G1428">
        <f>_xlfn.RANK.AVG(Table1[[#This Row],[Flux in SC / glucose uptake ($mmol/mmol\ glc$)]],Table1[Flux in SC / glucose uptake ($mmol/mmol\ glc$)])</f>
        <v>1310.5</v>
      </c>
      <c r="H1428">
        <f>_xlfn.RANK.AVG(Table1[[#This Row],[Flux in RT / glucose uptake ($mmol/mmol\ glc$)]],Table1[Flux in RT / glucose uptake ($mmol/mmol\ glc$)])</f>
        <v>1290.5</v>
      </c>
      <c r="I1428" t="e">
        <f>LOG(Table1[[#This Row],[Flux in SC / glucose uptake ($mmol/mmol\ glc$)]])</f>
        <v>#NUM!</v>
      </c>
      <c r="J1428" t="e">
        <f>LOG(Table1[[#This Row],[Flux in RT / glucose uptake ($mmol/mmol\ glc$)]])</f>
        <v>#NUM!</v>
      </c>
    </row>
    <row r="1429" spans="1:10" x14ac:dyDescent="0.2">
      <c r="A1429" t="s">
        <v>1432</v>
      </c>
      <c r="B1429" t="s">
        <v>3118</v>
      </c>
      <c r="C1429">
        <v>0</v>
      </c>
      <c r="D1429">
        <v>0</v>
      </c>
      <c r="E1429">
        <f>ABS(Table1[[#This Row],[Flux in SC / glucose uptake ($mmol/mmol\ glc$)]]-Table1[[#This Row],[Flux in RT / glucose uptake ($mmol/mmol\ glc$)]])/SQRT(2)</f>
        <v>0</v>
      </c>
      <c r="F1429">
        <f>Table1[[#This Row],[distance from 45-degree line]]/MAX(Table1[[Flux in SC / glucose uptake ($mmol/mmol\ glc$)]:[Flux in RT / glucose uptake ($mmol/mmol\ glc$)]])</f>
        <v>0</v>
      </c>
      <c r="G1429">
        <f>_xlfn.RANK.AVG(Table1[[#This Row],[Flux in SC / glucose uptake ($mmol/mmol\ glc$)]],Table1[Flux in SC / glucose uptake ($mmol/mmol\ glc$)])</f>
        <v>1310.5</v>
      </c>
      <c r="H1429">
        <f>_xlfn.RANK.AVG(Table1[[#This Row],[Flux in RT / glucose uptake ($mmol/mmol\ glc$)]],Table1[Flux in RT / glucose uptake ($mmol/mmol\ glc$)])</f>
        <v>1290.5</v>
      </c>
      <c r="I1429" t="e">
        <f>LOG(Table1[[#This Row],[Flux in SC / glucose uptake ($mmol/mmol\ glc$)]])</f>
        <v>#NUM!</v>
      </c>
      <c r="J1429" t="e">
        <f>LOG(Table1[[#This Row],[Flux in RT / glucose uptake ($mmol/mmol\ glc$)]])</f>
        <v>#NUM!</v>
      </c>
    </row>
    <row r="1430" spans="1:10" x14ac:dyDescent="0.2">
      <c r="A1430" t="s">
        <v>1433</v>
      </c>
      <c r="B1430" t="s">
        <v>3130</v>
      </c>
      <c r="C1430">
        <v>0</v>
      </c>
      <c r="D1430">
        <v>0</v>
      </c>
      <c r="E1430">
        <f>ABS(Table1[[#This Row],[Flux in SC / glucose uptake ($mmol/mmol\ glc$)]]-Table1[[#This Row],[Flux in RT / glucose uptake ($mmol/mmol\ glc$)]])/SQRT(2)</f>
        <v>0</v>
      </c>
      <c r="F1430">
        <f>Table1[[#This Row],[distance from 45-degree line]]/MAX(Table1[[Flux in SC / glucose uptake ($mmol/mmol\ glc$)]:[Flux in RT / glucose uptake ($mmol/mmol\ glc$)]])</f>
        <v>0</v>
      </c>
      <c r="G1430">
        <f>_xlfn.RANK.AVG(Table1[[#This Row],[Flux in SC / glucose uptake ($mmol/mmol\ glc$)]],Table1[Flux in SC / glucose uptake ($mmol/mmol\ glc$)])</f>
        <v>1310.5</v>
      </c>
      <c r="H1430">
        <f>_xlfn.RANK.AVG(Table1[[#This Row],[Flux in RT / glucose uptake ($mmol/mmol\ glc$)]],Table1[Flux in RT / glucose uptake ($mmol/mmol\ glc$)])</f>
        <v>1290.5</v>
      </c>
      <c r="I1430" t="e">
        <f>LOG(Table1[[#This Row],[Flux in SC / glucose uptake ($mmol/mmol\ glc$)]])</f>
        <v>#NUM!</v>
      </c>
      <c r="J1430" t="e">
        <f>LOG(Table1[[#This Row],[Flux in RT / glucose uptake ($mmol/mmol\ glc$)]])</f>
        <v>#NUM!</v>
      </c>
    </row>
    <row r="1431" spans="1:10" x14ac:dyDescent="0.2">
      <c r="A1431" t="s">
        <v>1434</v>
      </c>
      <c r="B1431" t="s">
        <v>3142</v>
      </c>
      <c r="C1431">
        <v>0</v>
      </c>
      <c r="D1431">
        <v>0</v>
      </c>
      <c r="E1431">
        <f>ABS(Table1[[#This Row],[Flux in SC / glucose uptake ($mmol/mmol\ glc$)]]-Table1[[#This Row],[Flux in RT / glucose uptake ($mmol/mmol\ glc$)]])/SQRT(2)</f>
        <v>0</v>
      </c>
      <c r="F1431">
        <f>Table1[[#This Row],[distance from 45-degree line]]/MAX(Table1[[Flux in SC / glucose uptake ($mmol/mmol\ glc$)]:[Flux in RT / glucose uptake ($mmol/mmol\ glc$)]])</f>
        <v>0</v>
      </c>
      <c r="G1431">
        <f>_xlfn.RANK.AVG(Table1[[#This Row],[Flux in SC / glucose uptake ($mmol/mmol\ glc$)]],Table1[Flux in SC / glucose uptake ($mmol/mmol\ glc$)])</f>
        <v>1310.5</v>
      </c>
      <c r="H1431">
        <f>_xlfn.RANK.AVG(Table1[[#This Row],[Flux in RT / glucose uptake ($mmol/mmol\ glc$)]],Table1[Flux in RT / glucose uptake ($mmol/mmol\ glc$)])</f>
        <v>1290.5</v>
      </c>
      <c r="I1431" t="e">
        <f>LOG(Table1[[#This Row],[Flux in SC / glucose uptake ($mmol/mmol\ glc$)]])</f>
        <v>#NUM!</v>
      </c>
      <c r="J1431" t="e">
        <f>LOG(Table1[[#This Row],[Flux in RT / glucose uptake ($mmol/mmol\ glc$)]])</f>
        <v>#NUM!</v>
      </c>
    </row>
    <row r="1432" spans="1:10" x14ac:dyDescent="0.2">
      <c r="A1432" t="s">
        <v>1435</v>
      </c>
      <c r="B1432" t="s">
        <v>3125</v>
      </c>
      <c r="C1432">
        <v>0</v>
      </c>
      <c r="D1432">
        <v>0</v>
      </c>
      <c r="E1432">
        <f>ABS(Table1[[#This Row],[Flux in SC / glucose uptake ($mmol/mmol\ glc$)]]-Table1[[#This Row],[Flux in RT / glucose uptake ($mmol/mmol\ glc$)]])/SQRT(2)</f>
        <v>0</v>
      </c>
      <c r="F1432">
        <f>Table1[[#This Row],[distance from 45-degree line]]/MAX(Table1[[Flux in SC / glucose uptake ($mmol/mmol\ glc$)]:[Flux in RT / glucose uptake ($mmol/mmol\ glc$)]])</f>
        <v>0</v>
      </c>
      <c r="G1432">
        <f>_xlfn.RANK.AVG(Table1[[#This Row],[Flux in SC / glucose uptake ($mmol/mmol\ glc$)]],Table1[Flux in SC / glucose uptake ($mmol/mmol\ glc$)])</f>
        <v>1310.5</v>
      </c>
      <c r="H1432">
        <f>_xlfn.RANK.AVG(Table1[[#This Row],[Flux in RT / glucose uptake ($mmol/mmol\ glc$)]],Table1[Flux in RT / glucose uptake ($mmol/mmol\ glc$)])</f>
        <v>1290.5</v>
      </c>
      <c r="I1432" t="e">
        <f>LOG(Table1[[#This Row],[Flux in SC / glucose uptake ($mmol/mmol\ glc$)]])</f>
        <v>#NUM!</v>
      </c>
      <c r="J1432" t="e">
        <f>LOG(Table1[[#This Row],[Flux in RT / glucose uptake ($mmol/mmol\ glc$)]])</f>
        <v>#NUM!</v>
      </c>
    </row>
    <row r="1433" spans="1:10" x14ac:dyDescent="0.2">
      <c r="A1433" t="s">
        <v>1436</v>
      </c>
      <c r="B1433" t="s">
        <v>3133</v>
      </c>
      <c r="C1433">
        <v>4.3726454067801205E-3</v>
      </c>
      <c r="D1433">
        <v>1.9790448225238604E-2</v>
      </c>
      <c r="E1433">
        <f>ABS(Table1[[#This Row],[Flux in SC / glucose uptake ($mmol/mmol\ glc$)]]-Table1[[#This Row],[Flux in RT / glucose uptake ($mmol/mmol\ glc$)]])/SQRT(2)</f>
        <v>1.0902032923929057E-2</v>
      </c>
      <c r="F1433">
        <f>Table1[[#This Row],[distance from 45-degree line]]/MAX(Table1[[Flux in SC / glucose uptake ($mmol/mmol\ glc$)]:[Flux in RT / glucose uptake ($mmol/mmol\ glc$)]])</f>
        <v>5.876071346613388E-4</v>
      </c>
      <c r="G1433">
        <f>_xlfn.RANK.AVG(Table1[[#This Row],[Flux in SC / glucose uptake ($mmol/mmol\ glc$)]],Table1[Flux in SC / glucose uptake ($mmol/mmol\ glc$)])</f>
        <v>124</v>
      </c>
      <c r="H1433">
        <f>_xlfn.RANK.AVG(Table1[[#This Row],[Flux in RT / glucose uptake ($mmol/mmol\ glc$)]],Table1[Flux in RT / glucose uptake ($mmol/mmol\ glc$)])</f>
        <v>143</v>
      </c>
      <c r="I1433">
        <f>LOG(Table1[[#This Row],[Flux in SC / glucose uptake ($mmol/mmol\ glc$)]])</f>
        <v>-2.3592557396966845</v>
      </c>
      <c r="J1433">
        <f>LOG(Table1[[#This Row],[Flux in RT / glucose uptake ($mmol/mmol\ glc$)]])</f>
        <v>-1.7035443695357284</v>
      </c>
    </row>
    <row r="1434" spans="1:10" x14ac:dyDescent="0.2">
      <c r="A1434" t="s">
        <v>1437</v>
      </c>
      <c r="B1434" t="s">
        <v>3114</v>
      </c>
      <c r="C1434">
        <v>0</v>
      </c>
      <c r="D1434">
        <v>0</v>
      </c>
      <c r="E1434">
        <f>ABS(Table1[[#This Row],[Flux in SC / glucose uptake ($mmol/mmol\ glc$)]]-Table1[[#This Row],[Flux in RT / glucose uptake ($mmol/mmol\ glc$)]])/SQRT(2)</f>
        <v>0</v>
      </c>
      <c r="F1434">
        <f>Table1[[#This Row],[distance from 45-degree line]]/MAX(Table1[[Flux in SC / glucose uptake ($mmol/mmol\ glc$)]:[Flux in RT / glucose uptake ($mmol/mmol\ glc$)]])</f>
        <v>0</v>
      </c>
      <c r="G1434">
        <f>_xlfn.RANK.AVG(Table1[[#This Row],[Flux in SC / glucose uptake ($mmol/mmol\ glc$)]],Table1[Flux in SC / glucose uptake ($mmol/mmol\ glc$)])</f>
        <v>1310.5</v>
      </c>
      <c r="H1434">
        <f>_xlfn.RANK.AVG(Table1[[#This Row],[Flux in RT / glucose uptake ($mmol/mmol\ glc$)]],Table1[Flux in RT / glucose uptake ($mmol/mmol\ glc$)])</f>
        <v>1290.5</v>
      </c>
      <c r="I1434" t="e">
        <f>LOG(Table1[[#This Row],[Flux in SC / glucose uptake ($mmol/mmol\ glc$)]])</f>
        <v>#NUM!</v>
      </c>
      <c r="J1434" t="e">
        <f>LOG(Table1[[#This Row],[Flux in RT / glucose uptake ($mmol/mmol\ glc$)]])</f>
        <v>#NUM!</v>
      </c>
    </row>
    <row r="1435" spans="1:10" x14ac:dyDescent="0.2">
      <c r="A1435" t="s">
        <v>1438</v>
      </c>
      <c r="B1435" t="s">
        <v>3159</v>
      </c>
      <c r="C1435">
        <v>1.2845057121356784E-3</v>
      </c>
      <c r="D1435">
        <v>5.8136571518449575E-3</v>
      </c>
      <c r="E1435">
        <f>ABS(Table1[[#This Row],[Flux in SC / glucose uptake ($mmol/mmol\ glc$)]]-Table1[[#This Row],[Flux in RT / glucose uptake ($mmol/mmol\ glc$)]])/SQRT(2)</f>
        <v>3.2025936960392454E-3</v>
      </c>
      <c r="F1435">
        <f>Table1[[#This Row],[distance from 45-degree line]]/MAX(Table1[[Flux in SC / glucose uptake ($mmol/mmol\ glc$)]:[Flux in RT / glucose uptake ($mmol/mmol\ glc$)]])</f>
        <v>1.7261614584593174E-4</v>
      </c>
      <c r="G1435">
        <f>_xlfn.RANK.AVG(Table1[[#This Row],[Flux in SC / glucose uptake ($mmol/mmol\ glc$)]],Table1[Flux in SC / glucose uptake ($mmol/mmol\ glc$)])</f>
        <v>209</v>
      </c>
      <c r="H1435">
        <f>_xlfn.RANK.AVG(Table1[[#This Row],[Flux in RT / glucose uptake ($mmol/mmol\ glc$)]],Table1[Flux in RT / glucose uptake ($mmol/mmol\ glc$)])</f>
        <v>218</v>
      </c>
      <c r="I1435">
        <f>LOG(Table1[[#This Row],[Flux in SC / glucose uptake ($mmol/mmol\ glc$)]])</f>
        <v>-2.8912639601064796</v>
      </c>
      <c r="J1435">
        <f>LOG(Table1[[#This Row],[Flux in RT / glucose uptake ($mmol/mmol\ glc$)]])</f>
        <v>-2.235550583410487</v>
      </c>
    </row>
    <row r="1436" spans="1:10" x14ac:dyDescent="0.2">
      <c r="A1436" t="s">
        <v>1439</v>
      </c>
      <c r="B1436" t="s">
        <v>3159</v>
      </c>
      <c r="C1436">
        <v>1.2845057121356784E-3</v>
      </c>
      <c r="D1436">
        <v>5.8136571518449575E-3</v>
      </c>
      <c r="E1436">
        <f>ABS(Table1[[#This Row],[Flux in SC / glucose uptake ($mmol/mmol\ glc$)]]-Table1[[#This Row],[Flux in RT / glucose uptake ($mmol/mmol\ glc$)]])/SQRT(2)</f>
        <v>3.2025936960392454E-3</v>
      </c>
      <c r="F1436">
        <f>Table1[[#This Row],[distance from 45-degree line]]/MAX(Table1[[Flux in SC / glucose uptake ($mmol/mmol\ glc$)]:[Flux in RT / glucose uptake ($mmol/mmol\ glc$)]])</f>
        <v>1.7261614584593174E-4</v>
      </c>
      <c r="G1436">
        <f>_xlfn.RANK.AVG(Table1[[#This Row],[Flux in SC / glucose uptake ($mmol/mmol\ glc$)]],Table1[Flux in SC / glucose uptake ($mmol/mmol\ glc$)])</f>
        <v>209</v>
      </c>
      <c r="H1436">
        <f>_xlfn.RANK.AVG(Table1[[#This Row],[Flux in RT / glucose uptake ($mmol/mmol\ glc$)]],Table1[Flux in RT / glucose uptake ($mmol/mmol\ glc$)])</f>
        <v>218</v>
      </c>
      <c r="I1436">
        <f>LOG(Table1[[#This Row],[Flux in SC / glucose uptake ($mmol/mmol\ glc$)]])</f>
        <v>-2.8912639601064796</v>
      </c>
      <c r="J1436">
        <f>LOG(Table1[[#This Row],[Flux in RT / glucose uptake ($mmol/mmol\ glc$)]])</f>
        <v>-2.235550583410487</v>
      </c>
    </row>
    <row r="1437" spans="1:10" x14ac:dyDescent="0.2">
      <c r="A1437" t="s">
        <v>1440</v>
      </c>
      <c r="B1437" t="s">
        <v>3114</v>
      </c>
      <c r="C1437">
        <v>0</v>
      </c>
      <c r="D1437">
        <v>0</v>
      </c>
      <c r="E1437">
        <f>ABS(Table1[[#This Row],[Flux in SC / glucose uptake ($mmol/mmol\ glc$)]]-Table1[[#This Row],[Flux in RT / glucose uptake ($mmol/mmol\ glc$)]])/SQRT(2)</f>
        <v>0</v>
      </c>
      <c r="F1437">
        <f>Table1[[#This Row],[distance from 45-degree line]]/MAX(Table1[[Flux in SC / glucose uptake ($mmol/mmol\ glc$)]:[Flux in RT / glucose uptake ($mmol/mmol\ glc$)]])</f>
        <v>0</v>
      </c>
      <c r="G1437">
        <f>_xlfn.RANK.AVG(Table1[[#This Row],[Flux in SC / glucose uptake ($mmol/mmol\ glc$)]],Table1[Flux in SC / glucose uptake ($mmol/mmol\ glc$)])</f>
        <v>1310.5</v>
      </c>
      <c r="H1437">
        <f>_xlfn.RANK.AVG(Table1[[#This Row],[Flux in RT / glucose uptake ($mmol/mmol\ glc$)]],Table1[Flux in RT / glucose uptake ($mmol/mmol\ glc$)])</f>
        <v>1290.5</v>
      </c>
      <c r="I1437" t="e">
        <f>LOG(Table1[[#This Row],[Flux in SC / glucose uptake ($mmol/mmol\ glc$)]])</f>
        <v>#NUM!</v>
      </c>
      <c r="J1437" t="e">
        <f>LOG(Table1[[#This Row],[Flux in RT / glucose uptake ($mmol/mmol\ glc$)]])</f>
        <v>#NUM!</v>
      </c>
    </row>
    <row r="1438" spans="1:10" x14ac:dyDescent="0.2">
      <c r="A1438" t="s">
        <v>1441</v>
      </c>
      <c r="B1438" t="s">
        <v>3154</v>
      </c>
      <c r="C1438">
        <v>0</v>
      </c>
      <c r="D1438">
        <v>0</v>
      </c>
      <c r="E1438">
        <f>ABS(Table1[[#This Row],[Flux in SC / glucose uptake ($mmol/mmol\ glc$)]]-Table1[[#This Row],[Flux in RT / glucose uptake ($mmol/mmol\ glc$)]])/SQRT(2)</f>
        <v>0</v>
      </c>
      <c r="F1438">
        <f>Table1[[#This Row],[distance from 45-degree line]]/MAX(Table1[[Flux in SC / glucose uptake ($mmol/mmol\ glc$)]:[Flux in RT / glucose uptake ($mmol/mmol\ glc$)]])</f>
        <v>0</v>
      </c>
      <c r="G1438">
        <f>_xlfn.RANK.AVG(Table1[[#This Row],[Flux in SC / glucose uptake ($mmol/mmol\ glc$)]],Table1[Flux in SC / glucose uptake ($mmol/mmol\ glc$)])</f>
        <v>1310.5</v>
      </c>
      <c r="H1438">
        <f>_xlfn.RANK.AVG(Table1[[#This Row],[Flux in RT / glucose uptake ($mmol/mmol\ glc$)]],Table1[Flux in RT / glucose uptake ($mmol/mmol\ glc$)])</f>
        <v>1290.5</v>
      </c>
      <c r="I1438" t="e">
        <f>LOG(Table1[[#This Row],[Flux in SC / glucose uptake ($mmol/mmol\ glc$)]])</f>
        <v>#NUM!</v>
      </c>
      <c r="J1438" t="e">
        <f>LOG(Table1[[#This Row],[Flux in RT / glucose uptake ($mmol/mmol\ glc$)]])</f>
        <v>#NUM!</v>
      </c>
    </row>
    <row r="1439" spans="1:10" x14ac:dyDescent="0.2">
      <c r="A1439" t="s">
        <v>1442</v>
      </c>
      <c r="B1439" t="s">
        <v>3154</v>
      </c>
      <c r="C1439">
        <v>0</v>
      </c>
      <c r="D1439">
        <v>0</v>
      </c>
      <c r="E1439">
        <f>ABS(Table1[[#This Row],[Flux in SC / glucose uptake ($mmol/mmol\ glc$)]]-Table1[[#This Row],[Flux in RT / glucose uptake ($mmol/mmol\ glc$)]])/SQRT(2)</f>
        <v>0</v>
      </c>
      <c r="F1439">
        <f>Table1[[#This Row],[distance from 45-degree line]]/MAX(Table1[[Flux in SC / glucose uptake ($mmol/mmol\ glc$)]:[Flux in RT / glucose uptake ($mmol/mmol\ glc$)]])</f>
        <v>0</v>
      </c>
      <c r="G1439">
        <f>_xlfn.RANK.AVG(Table1[[#This Row],[Flux in SC / glucose uptake ($mmol/mmol\ glc$)]],Table1[Flux in SC / glucose uptake ($mmol/mmol\ glc$)])</f>
        <v>1310.5</v>
      </c>
      <c r="H1439">
        <f>_xlfn.RANK.AVG(Table1[[#This Row],[Flux in RT / glucose uptake ($mmol/mmol\ glc$)]],Table1[Flux in RT / glucose uptake ($mmol/mmol\ glc$)])</f>
        <v>1290.5</v>
      </c>
      <c r="I1439" t="e">
        <f>LOG(Table1[[#This Row],[Flux in SC / glucose uptake ($mmol/mmol\ glc$)]])</f>
        <v>#NUM!</v>
      </c>
      <c r="J1439" t="e">
        <f>LOG(Table1[[#This Row],[Flux in RT / glucose uptake ($mmol/mmol\ glc$)]])</f>
        <v>#NUM!</v>
      </c>
    </row>
    <row r="1440" spans="1:10" x14ac:dyDescent="0.2">
      <c r="A1440" t="s">
        <v>1443</v>
      </c>
      <c r="B1440" t="s">
        <v>3124</v>
      </c>
      <c r="C1440">
        <v>0</v>
      </c>
      <c r="D1440">
        <v>0</v>
      </c>
      <c r="E1440">
        <f>ABS(Table1[[#This Row],[Flux in SC / glucose uptake ($mmol/mmol\ glc$)]]-Table1[[#This Row],[Flux in RT / glucose uptake ($mmol/mmol\ glc$)]])/SQRT(2)</f>
        <v>0</v>
      </c>
      <c r="F1440">
        <f>Table1[[#This Row],[distance from 45-degree line]]/MAX(Table1[[Flux in SC / glucose uptake ($mmol/mmol\ glc$)]:[Flux in RT / glucose uptake ($mmol/mmol\ glc$)]])</f>
        <v>0</v>
      </c>
      <c r="G1440">
        <f>_xlfn.RANK.AVG(Table1[[#This Row],[Flux in SC / glucose uptake ($mmol/mmol\ glc$)]],Table1[Flux in SC / glucose uptake ($mmol/mmol\ glc$)])</f>
        <v>1310.5</v>
      </c>
      <c r="H1440">
        <f>_xlfn.RANK.AVG(Table1[[#This Row],[Flux in RT / glucose uptake ($mmol/mmol\ glc$)]],Table1[Flux in RT / glucose uptake ($mmol/mmol\ glc$)])</f>
        <v>1290.5</v>
      </c>
      <c r="I1440" t="e">
        <f>LOG(Table1[[#This Row],[Flux in SC / glucose uptake ($mmol/mmol\ glc$)]])</f>
        <v>#NUM!</v>
      </c>
      <c r="J1440" t="e">
        <f>LOG(Table1[[#This Row],[Flux in RT / glucose uptake ($mmol/mmol\ glc$)]])</f>
        <v>#NUM!</v>
      </c>
    </row>
    <row r="1441" spans="1:10" x14ac:dyDescent="0.2">
      <c r="A1441" t="s">
        <v>1444</v>
      </c>
      <c r="B1441" t="s">
        <v>3164</v>
      </c>
      <c r="C1441">
        <v>0</v>
      </c>
      <c r="D1441">
        <v>0</v>
      </c>
      <c r="E1441">
        <f>ABS(Table1[[#This Row],[Flux in SC / glucose uptake ($mmol/mmol\ glc$)]]-Table1[[#This Row],[Flux in RT / glucose uptake ($mmol/mmol\ glc$)]])/SQRT(2)</f>
        <v>0</v>
      </c>
      <c r="F1441">
        <f>Table1[[#This Row],[distance from 45-degree line]]/MAX(Table1[[Flux in SC / glucose uptake ($mmol/mmol\ glc$)]:[Flux in RT / glucose uptake ($mmol/mmol\ glc$)]])</f>
        <v>0</v>
      </c>
      <c r="G1441">
        <f>_xlfn.RANK.AVG(Table1[[#This Row],[Flux in SC / glucose uptake ($mmol/mmol\ glc$)]],Table1[Flux in SC / glucose uptake ($mmol/mmol\ glc$)])</f>
        <v>1310.5</v>
      </c>
      <c r="H1441">
        <f>_xlfn.RANK.AVG(Table1[[#This Row],[Flux in RT / glucose uptake ($mmol/mmol\ glc$)]],Table1[Flux in RT / glucose uptake ($mmol/mmol\ glc$)])</f>
        <v>1290.5</v>
      </c>
      <c r="I1441" t="e">
        <f>LOG(Table1[[#This Row],[Flux in SC / glucose uptake ($mmol/mmol\ glc$)]])</f>
        <v>#NUM!</v>
      </c>
      <c r="J1441" t="e">
        <f>LOG(Table1[[#This Row],[Flux in RT / glucose uptake ($mmol/mmol\ glc$)]])</f>
        <v>#NUM!</v>
      </c>
    </row>
    <row r="1442" spans="1:10" x14ac:dyDescent="0.2">
      <c r="A1442" t="s">
        <v>1445</v>
      </c>
      <c r="B1442" t="s">
        <v>3136</v>
      </c>
      <c r="C1442">
        <v>2.8171526477804849E-3</v>
      </c>
      <c r="D1442">
        <v>2.3274812759854133E-2</v>
      </c>
      <c r="E1442">
        <f>ABS(Table1[[#This Row],[Flux in SC / glucose uptake ($mmol/mmol\ glc$)]]-Table1[[#This Row],[Flux in RT / glucose uptake ($mmol/mmol\ glc$)]])/SQRT(2)</f>
        <v>1.4465750192456821E-2</v>
      </c>
      <c r="F1442">
        <f>Table1[[#This Row],[distance from 45-degree line]]/MAX(Table1[[Flux in SC / glucose uptake ($mmol/mmol\ glc$)]:[Flux in RT / glucose uptake ($mmol/mmol\ glc$)]])</f>
        <v>7.7968742899859331E-4</v>
      </c>
      <c r="G1442">
        <f>_xlfn.RANK.AVG(Table1[[#This Row],[Flux in SC / glucose uptake ($mmol/mmol\ glc$)]],Table1[Flux in SC / glucose uptake ($mmol/mmol\ glc$)])</f>
        <v>177.5</v>
      </c>
      <c r="H1442">
        <f>_xlfn.RANK.AVG(Table1[[#This Row],[Flux in RT / glucose uptake ($mmol/mmol\ glc$)]],Table1[Flux in RT / glucose uptake ($mmol/mmol\ glc$)])</f>
        <v>131.5</v>
      </c>
      <c r="I1442">
        <f>LOG(Table1[[#This Row],[Flux in SC / glucose uptake ($mmol/mmol\ glc$)]])</f>
        <v>-2.5501896200739957</v>
      </c>
      <c r="J1442">
        <f>LOG(Table1[[#This Row],[Flux in RT / glucose uptake ($mmol/mmol\ glc$)]])</f>
        <v>-1.6331138041248896</v>
      </c>
    </row>
    <row r="1443" spans="1:10" x14ac:dyDescent="0.2">
      <c r="A1443" t="s">
        <v>1446</v>
      </c>
      <c r="B1443" t="s">
        <v>3136</v>
      </c>
      <c r="C1443">
        <v>2.8171526477804849E-3</v>
      </c>
      <c r="D1443">
        <v>2.3274812759854133E-2</v>
      </c>
      <c r="E1443">
        <f>ABS(Table1[[#This Row],[Flux in SC / glucose uptake ($mmol/mmol\ glc$)]]-Table1[[#This Row],[Flux in RT / glucose uptake ($mmol/mmol\ glc$)]])/SQRT(2)</f>
        <v>1.4465750192456821E-2</v>
      </c>
      <c r="F1443">
        <f>Table1[[#This Row],[distance from 45-degree line]]/MAX(Table1[[Flux in SC / glucose uptake ($mmol/mmol\ glc$)]:[Flux in RT / glucose uptake ($mmol/mmol\ glc$)]])</f>
        <v>7.7968742899859331E-4</v>
      </c>
      <c r="G1443">
        <f>_xlfn.RANK.AVG(Table1[[#This Row],[Flux in SC / glucose uptake ($mmol/mmol\ glc$)]],Table1[Flux in SC / glucose uptake ($mmol/mmol\ glc$)])</f>
        <v>177.5</v>
      </c>
      <c r="H1443">
        <f>_xlfn.RANK.AVG(Table1[[#This Row],[Flux in RT / glucose uptake ($mmol/mmol\ glc$)]],Table1[Flux in RT / glucose uptake ($mmol/mmol\ glc$)])</f>
        <v>131.5</v>
      </c>
      <c r="I1443">
        <f>LOG(Table1[[#This Row],[Flux in SC / glucose uptake ($mmol/mmol\ glc$)]])</f>
        <v>-2.5501896200739957</v>
      </c>
      <c r="J1443">
        <f>LOG(Table1[[#This Row],[Flux in RT / glucose uptake ($mmol/mmol\ glc$)]])</f>
        <v>-1.6331138041248896</v>
      </c>
    </row>
    <row r="1444" spans="1:10" x14ac:dyDescent="0.2">
      <c r="A1444" t="s">
        <v>1447</v>
      </c>
      <c r="B1444" t="s">
        <v>3126</v>
      </c>
      <c r="C1444">
        <v>0</v>
      </c>
      <c r="D1444">
        <v>0</v>
      </c>
      <c r="E1444">
        <f>ABS(Table1[[#This Row],[Flux in SC / glucose uptake ($mmol/mmol\ glc$)]]-Table1[[#This Row],[Flux in RT / glucose uptake ($mmol/mmol\ glc$)]])/SQRT(2)</f>
        <v>0</v>
      </c>
      <c r="F1444">
        <f>Table1[[#This Row],[distance from 45-degree line]]/MAX(Table1[[Flux in SC / glucose uptake ($mmol/mmol\ glc$)]:[Flux in RT / glucose uptake ($mmol/mmol\ glc$)]])</f>
        <v>0</v>
      </c>
      <c r="G1444">
        <f>_xlfn.RANK.AVG(Table1[[#This Row],[Flux in SC / glucose uptake ($mmol/mmol\ glc$)]],Table1[Flux in SC / glucose uptake ($mmol/mmol\ glc$)])</f>
        <v>1310.5</v>
      </c>
      <c r="H1444">
        <f>_xlfn.RANK.AVG(Table1[[#This Row],[Flux in RT / glucose uptake ($mmol/mmol\ glc$)]],Table1[Flux in RT / glucose uptake ($mmol/mmol\ glc$)])</f>
        <v>1290.5</v>
      </c>
      <c r="I1444" t="e">
        <f>LOG(Table1[[#This Row],[Flux in SC / glucose uptake ($mmol/mmol\ glc$)]])</f>
        <v>#NUM!</v>
      </c>
      <c r="J1444" t="e">
        <f>LOG(Table1[[#This Row],[Flux in RT / glucose uptake ($mmol/mmol\ glc$)]])</f>
        <v>#NUM!</v>
      </c>
    </row>
    <row r="1445" spans="1:10" x14ac:dyDescent="0.2">
      <c r="A1445" t="s">
        <v>1448</v>
      </c>
      <c r="B1445" t="s">
        <v>3114</v>
      </c>
      <c r="C1445">
        <v>0</v>
      </c>
      <c r="D1445">
        <v>0</v>
      </c>
      <c r="E1445">
        <f>ABS(Table1[[#This Row],[Flux in SC / glucose uptake ($mmol/mmol\ glc$)]]-Table1[[#This Row],[Flux in RT / glucose uptake ($mmol/mmol\ glc$)]])/SQRT(2)</f>
        <v>0</v>
      </c>
      <c r="F1445">
        <f>Table1[[#This Row],[distance from 45-degree line]]/MAX(Table1[[Flux in SC / glucose uptake ($mmol/mmol\ glc$)]:[Flux in RT / glucose uptake ($mmol/mmol\ glc$)]])</f>
        <v>0</v>
      </c>
      <c r="G1445">
        <f>_xlfn.RANK.AVG(Table1[[#This Row],[Flux in SC / glucose uptake ($mmol/mmol\ glc$)]],Table1[Flux in SC / glucose uptake ($mmol/mmol\ glc$)])</f>
        <v>1310.5</v>
      </c>
      <c r="H1445">
        <f>_xlfn.RANK.AVG(Table1[[#This Row],[Flux in RT / glucose uptake ($mmol/mmol\ glc$)]],Table1[Flux in RT / glucose uptake ($mmol/mmol\ glc$)])</f>
        <v>1290.5</v>
      </c>
      <c r="I1445" t="e">
        <f>LOG(Table1[[#This Row],[Flux in SC / glucose uptake ($mmol/mmol\ glc$)]])</f>
        <v>#NUM!</v>
      </c>
      <c r="J1445" t="e">
        <f>LOG(Table1[[#This Row],[Flux in RT / glucose uptake ($mmol/mmol\ glc$)]])</f>
        <v>#NUM!</v>
      </c>
    </row>
    <row r="1446" spans="1:10" x14ac:dyDescent="0.2">
      <c r="A1446" t="s">
        <v>1449</v>
      </c>
      <c r="B1446" t="s">
        <v>3129</v>
      </c>
      <c r="C1446">
        <v>0</v>
      </c>
      <c r="D1446">
        <v>0</v>
      </c>
      <c r="E1446">
        <f>ABS(Table1[[#This Row],[Flux in SC / glucose uptake ($mmol/mmol\ glc$)]]-Table1[[#This Row],[Flux in RT / glucose uptake ($mmol/mmol\ glc$)]])/SQRT(2)</f>
        <v>0</v>
      </c>
      <c r="F1446">
        <f>Table1[[#This Row],[distance from 45-degree line]]/MAX(Table1[[Flux in SC / glucose uptake ($mmol/mmol\ glc$)]:[Flux in RT / glucose uptake ($mmol/mmol\ glc$)]])</f>
        <v>0</v>
      </c>
      <c r="G1446">
        <f>_xlfn.RANK.AVG(Table1[[#This Row],[Flux in SC / glucose uptake ($mmol/mmol\ glc$)]],Table1[Flux in SC / glucose uptake ($mmol/mmol\ glc$)])</f>
        <v>1310.5</v>
      </c>
      <c r="H1446">
        <f>_xlfn.RANK.AVG(Table1[[#This Row],[Flux in RT / glucose uptake ($mmol/mmol\ glc$)]],Table1[Flux in RT / glucose uptake ($mmol/mmol\ glc$)])</f>
        <v>1290.5</v>
      </c>
      <c r="I1446" t="e">
        <f>LOG(Table1[[#This Row],[Flux in SC / glucose uptake ($mmol/mmol\ glc$)]])</f>
        <v>#NUM!</v>
      </c>
      <c r="J1446" t="e">
        <f>LOG(Table1[[#This Row],[Flux in RT / glucose uptake ($mmol/mmol\ glc$)]])</f>
        <v>#NUM!</v>
      </c>
    </row>
    <row r="1447" spans="1:10" x14ac:dyDescent="0.2">
      <c r="A1447" t="s">
        <v>1450</v>
      </c>
      <c r="B1447" t="s">
        <v>3174</v>
      </c>
      <c r="C1447">
        <v>0</v>
      </c>
      <c r="D1447">
        <v>0</v>
      </c>
      <c r="E1447">
        <f>ABS(Table1[[#This Row],[Flux in SC / glucose uptake ($mmol/mmol\ glc$)]]-Table1[[#This Row],[Flux in RT / glucose uptake ($mmol/mmol\ glc$)]])/SQRT(2)</f>
        <v>0</v>
      </c>
      <c r="F1447">
        <f>Table1[[#This Row],[distance from 45-degree line]]/MAX(Table1[[Flux in SC / glucose uptake ($mmol/mmol\ glc$)]:[Flux in RT / glucose uptake ($mmol/mmol\ glc$)]])</f>
        <v>0</v>
      </c>
      <c r="G1447">
        <f>_xlfn.RANK.AVG(Table1[[#This Row],[Flux in SC / glucose uptake ($mmol/mmol\ glc$)]],Table1[Flux in SC / glucose uptake ($mmol/mmol\ glc$)])</f>
        <v>1310.5</v>
      </c>
      <c r="H1447">
        <f>_xlfn.RANK.AVG(Table1[[#This Row],[Flux in RT / glucose uptake ($mmol/mmol\ glc$)]],Table1[Flux in RT / glucose uptake ($mmol/mmol\ glc$)])</f>
        <v>1290.5</v>
      </c>
      <c r="I1447" t="e">
        <f>LOG(Table1[[#This Row],[Flux in SC / glucose uptake ($mmol/mmol\ glc$)]])</f>
        <v>#NUM!</v>
      </c>
      <c r="J1447" t="e">
        <f>LOG(Table1[[#This Row],[Flux in RT / glucose uptake ($mmol/mmol\ glc$)]])</f>
        <v>#NUM!</v>
      </c>
    </row>
    <row r="1448" spans="1:10" x14ac:dyDescent="0.2">
      <c r="A1448" t="s">
        <v>1451</v>
      </c>
      <c r="B1448" t="s">
        <v>3114</v>
      </c>
      <c r="C1448">
        <v>0</v>
      </c>
      <c r="D1448">
        <v>0</v>
      </c>
      <c r="E1448">
        <f>ABS(Table1[[#This Row],[Flux in SC / glucose uptake ($mmol/mmol\ glc$)]]-Table1[[#This Row],[Flux in RT / glucose uptake ($mmol/mmol\ glc$)]])/SQRT(2)</f>
        <v>0</v>
      </c>
      <c r="F1448">
        <f>Table1[[#This Row],[distance from 45-degree line]]/MAX(Table1[[Flux in SC / glucose uptake ($mmol/mmol\ glc$)]:[Flux in RT / glucose uptake ($mmol/mmol\ glc$)]])</f>
        <v>0</v>
      </c>
      <c r="G1448">
        <f>_xlfn.RANK.AVG(Table1[[#This Row],[Flux in SC / glucose uptake ($mmol/mmol\ glc$)]],Table1[Flux in SC / glucose uptake ($mmol/mmol\ glc$)])</f>
        <v>1310.5</v>
      </c>
      <c r="H1448">
        <f>_xlfn.RANK.AVG(Table1[[#This Row],[Flux in RT / glucose uptake ($mmol/mmol\ glc$)]],Table1[Flux in RT / glucose uptake ($mmol/mmol\ glc$)])</f>
        <v>1290.5</v>
      </c>
      <c r="I1448" t="e">
        <f>LOG(Table1[[#This Row],[Flux in SC / glucose uptake ($mmol/mmol\ glc$)]])</f>
        <v>#NUM!</v>
      </c>
      <c r="J1448" t="e">
        <f>LOG(Table1[[#This Row],[Flux in RT / glucose uptake ($mmol/mmol\ glc$)]])</f>
        <v>#NUM!</v>
      </c>
    </row>
    <row r="1449" spans="1:10" x14ac:dyDescent="0.2">
      <c r="A1449" t="s">
        <v>1452</v>
      </c>
      <c r="B1449" t="s">
        <v>3151</v>
      </c>
      <c r="C1449">
        <v>0</v>
      </c>
      <c r="D1449">
        <v>0</v>
      </c>
      <c r="E1449">
        <f>ABS(Table1[[#This Row],[Flux in SC / glucose uptake ($mmol/mmol\ glc$)]]-Table1[[#This Row],[Flux in RT / glucose uptake ($mmol/mmol\ glc$)]])/SQRT(2)</f>
        <v>0</v>
      </c>
      <c r="F1449">
        <f>Table1[[#This Row],[distance from 45-degree line]]/MAX(Table1[[Flux in SC / glucose uptake ($mmol/mmol\ glc$)]:[Flux in RT / glucose uptake ($mmol/mmol\ glc$)]])</f>
        <v>0</v>
      </c>
      <c r="G1449">
        <f>_xlfn.RANK.AVG(Table1[[#This Row],[Flux in SC / glucose uptake ($mmol/mmol\ glc$)]],Table1[Flux in SC / glucose uptake ($mmol/mmol\ glc$)])</f>
        <v>1310.5</v>
      </c>
      <c r="H1449">
        <f>_xlfn.RANK.AVG(Table1[[#This Row],[Flux in RT / glucose uptake ($mmol/mmol\ glc$)]],Table1[Flux in RT / glucose uptake ($mmol/mmol\ glc$)])</f>
        <v>1290.5</v>
      </c>
      <c r="I1449" t="e">
        <f>LOG(Table1[[#This Row],[Flux in SC / glucose uptake ($mmol/mmol\ glc$)]])</f>
        <v>#NUM!</v>
      </c>
      <c r="J1449" t="e">
        <f>LOG(Table1[[#This Row],[Flux in RT / glucose uptake ($mmol/mmol\ glc$)]])</f>
        <v>#NUM!</v>
      </c>
    </row>
    <row r="1450" spans="1:10" x14ac:dyDescent="0.2">
      <c r="A1450" t="s">
        <v>1453</v>
      </c>
      <c r="B1450" t="s">
        <v>3134</v>
      </c>
      <c r="C1450">
        <v>0</v>
      </c>
      <c r="D1450">
        <v>0</v>
      </c>
      <c r="E1450">
        <f>ABS(Table1[[#This Row],[Flux in SC / glucose uptake ($mmol/mmol\ glc$)]]-Table1[[#This Row],[Flux in RT / glucose uptake ($mmol/mmol\ glc$)]])/SQRT(2)</f>
        <v>0</v>
      </c>
      <c r="F1450">
        <f>Table1[[#This Row],[distance from 45-degree line]]/MAX(Table1[[Flux in SC / glucose uptake ($mmol/mmol\ glc$)]:[Flux in RT / glucose uptake ($mmol/mmol\ glc$)]])</f>
        <v>0</v>
      </c>
      <c r="G1450">
        <f>_xlfn.RANK.AVG(Table1[[#This Row],[Flux in SC / glucose uptake ($mmol/mmol\ glc$)]],Table1[Flux in SC / glucose uptake ($mmol/mmol\ glc$)])</f>
        <v>1310.5</v>
      </c>
      <c r="H1450">
        <f>_xlfn.RANK.AVG(Table1[[#This Row],[Flux in RT / glucose uptake ($mmol/mmol\ glc$)]],Table1[Flux in RT / glucose uptake ($mmol/mmol\ glc$)])</f>
        <v>1290.5</v>
      </c>
      <c r="I1450" t="e">
        <f>LOG(Table1[[#This Row],[Flux in SC / glucose uptake ($mmol/mmol\ glc$)]])</f>
        <v>#NUM!</v>
      </c>
      <c r="J1450" t="e">
        <f>LOG(Table1[[#This Row],[Flux in RT / glucose uptake ($mmol/mmol\ glc$)]])</f>
        <v>#NUM!</v>
      </c>
    </row>
    <row r="1451" spans="1:10" x14ac:dyDescent="0.2">
      <c r="A1451" t="s">
        <v>1454</v>
      </c>
      <c r="B1451" t="s">
        <v>3173</v>
      </c>
      <c r="C1451">
        <v>0</v>
      </c>
      <c r="D1451">
        <v>0</v>
      </c>
      <c r="E1451">
        <f>ABS(Table1[[#This Row],[Flux in SC / glucose uptake ($mmol/mmol\ glc$)]]-Table1[[#This Row],[Flux in RT / glucose uptake ($mmol/mmol\ glc$)]])/SQRT(2)</f>
        <v>0</v>
      </c>
      <c r="F1451">
        <f>Table1[[#This Row],[distance from 45-degree line]]/MAX(Table1[[Flux in SC / glucose uptake ($mmol/mmol\ glc$)]:[Flux in RT / glucose uptake ($mmol/mmol\ glc$)]])</f>
        <v>0</v>
      </c>
      <c r="G1451">
        <f>_xlfn.RANK.AVG(Table1[[#This Row],[Flux in SC / glucose uptake ($mmol/mmol\ glc$)]],Table1[Flux in SC / glucose uptake ($mmol/mmol\ glc$)])</f>
        <v>1310.5</v>
      </c>
      <c r="H1451">
        <f>_xlfn.RANK.AVG(Table1[[#This Row],[Flux in RT / glucose uptake ($mmol/mmol\ glc$)]],Table1[Flux in RT / glucose uptake ($mmol/mmol\ glc$)])</f>
        <v>1290.5</v>
      </c>
      <c r="I1451" t="e">
        <f>LOG(Table1[[#This Row],[Flux in SC / glucose uptake ($mmol/mmol\ glc$)]])</f>
        <v>#NUM!</v>
      </c>
      <c r="J1451" t="e">
        <f>LOG(Table1[[#This Row],[Flux in RT / glucose uptake ($mmol/mmol\ glc$)]])</f>
        <v>#NUM!</v>
      </c>
    </row>
    <row r="1452" spans="1:10" x14ac:dyDescent="0.2">
      <c r="A1452" t="s">
        <v>1455</v>
      </c>
      <c r="B1452" t="s">
        <v>3131</v>
      </c>
      <c r="C1452">
        <v>8.3858856295838356E-3</v>
      </c>
      <c r="D1452">
        <v>0</v>
      </c>
      <c r="E1452">
        <f>ABS(Table1[[#This Row],[Flux in SC / glucose uptake ($mmol/mmol\ glc$)]]-Table1[[#This Row],[Flux in RT / glucose uptake ($mmol/mmol\ glc$)]])/SQRT(2)</f>
        <v>5.9297165949335501E-3</v>
      </c>
      <c r="F1452">
        <f>Table1[[#This Row],[distance from 45-degree line]]/MAX(Table1[[Flux in SC / glucose uptake ($mmol/mmol\ glc$)]:[Flux in RT / glucose uptake ($mmol/mmol\ glc$)]])</f>
        <v>3.1960495826928285E-4</v>
      </c>
      <c r="G1452">
        <f>_xlfn.RANK.AVG(Table1[[#This Row],[Flux in SC / glucose uptake ($mmol/mmol\ glc$)]],Table1[Flux in SC / glucose uptake ($mmol/mmol\ glc$)])</f>
        <v>90</v>
      </c>
      <c r="H1452">
        <f>_xlfn.RANK.AVG(Table1[[#This Row],[Flux in RT / glucose uptake ($mmol/mmol\ glc$)]],Table1[Flux in RT / glucose uptake ($mmol/mmol\ glc$)])</f>
        <v>1290.5</v>
      </c>
      <c r="I1452">
        <f>LOG(Table1[[#This Row],[Flux in SC / glucose uptake ($mmol/mmol\ glc$)]])</f>
        <v>-2.0764510649922343</v>
      </c>
      <c r="J1452" t="e">
        <f>LOG(Table1[[#This Row],[Flux in RT / glucose uptake ($mmol/mmol\ glc$)]])</f>
        <v>#NUM!</v>
      </c>
    </row>
    <row r="1453" spans="1:10" x14ac:dyDescent="0.2">
      <c r="A1453" t="s">
        <v>1456</v>
      </c>
      <c r="B1453" t="s">
        <v>3131</v>
      </c>
      <c r="C1453">
        <v>3.6110321147682783E-9</v>
      </c>
      <c r="D1453">
        <v>3.7954212124679677E-2</v>
      </c>
      <c r="E1453">
        <f>ABS(Table1[[#This Row],[Flux in SC / glucose uptake ($mmol/mmol\ glc$)]]-Table1[[#This Row],[Flux in RT / glucose uptake ($mmol/mmol\ glc$)]])/SQRT(2)</f>
        <v>2.6837678214568388E-2</v>
      </c>
      <c r="F1453">
        <f>Table1[[#This Row],[distance from 45-degree line]]/MAX(Table1[[Flux in SC / glucose uptake ($mmol/mmol\ glc$)]:[Flux in RT / glucose uptake ($mmol/mmol\ glc$)]])</f>
        <v>1.4465202322047387E-3</v>
      </c>
      <c r="G1453">
        <f>_xlfn.RANK.AVG(Table1[[#This Row],[Flux in SC / glucose uptake ($mmol/mmol\ glc$)]],Table1[Flux in SC / glucose uptake ($mmol/mmol\ glc$)])</f>
        <v>310</v>
      </c>
      <c r="H1453">
        <f>_xlfn.RANK.AVG(Table1[[#This Row],[Flux in RT / glucose uptake ($mmol/mmol\ glc$)]],Table1[Flux in RT / glucose uptake ($mmol/mmol\ glc$)])</f>
        <v>111</v>
      </c>
      <c r="I1453">
        <f>LOG(Table1[[#This Row],[Flux in SC / glucose uptake ($mmol/mmol\ glc$)]])</f>
        <v>-8.4423686491515095</v>
      </c>
      <c r="J1453">
        <f>LOG(Table1[[#This Row],[Flux in RT / glucose uptake ($mmol/mmol\ glc$)]])</f>
        <v>-1.4207400194787898</v>
      </c>
    </row>
    <row r="1454" spans="1:10" x14ac:dyDescent="0.2">
      <c r="A1454" t="s">
        <v>1457</v>
      </c>
      <c r="B1454" t="s">
        <v>3148</v>
      </c>
      <c r="C1454">
        <v>8.5190352675541922E-4</v>
      </c>
      <c r="D1454">
        <v>3.8556390008188785E-3</v>
      </c>
      <c r="E1454">
        <f>ABS(Table1[[#This Row],[Flux in SC / glucose uptake ($mmol/mmol\ glc$)]]-Table1[[#This Row],[Flux in RT / glucose uptake ($mmol/mmol\ glc$)]])/SQRT(2)</f>
        <v>2.1239617226008608E-3</v>
      </c>
      <c r="F1454">
        <f>Table1[[#This Row],[distance from 45-degree line]]/MAX(Table1[[Flux in SC / glucose uptake ($mmol/mmol\ glc$)]:[Flux in RT / glucose uptake ($mmol/mmol\ glc$)]])</f>
        <v>1.1447911326780861E-4</v>
      </c>
      <c r="G1454">
        <f>_xlfn.RANK.AVG(Table1[[#This Row],[Flux in SC / glucose uptake ($mmol/mmol\ glc$)]],Table1[Flux in SC / glucose uptake ($mmol/mmol\ glc$)])</f>
        <v>223</v>
      </c>
      <c r="H1454">
        <f>_xlfn.RANK.AVG(Table1[[#This Row],[Flux in RT / glucose uptake ($mmol/mmol\ glc$)]],Table1[Flux in RT / glucose uptake ($mmol/mmol\ glc$)])</f>
        <v>245</v>
      </c>
      <c r="I1454">
        <f>LOG(Table1[[#This Row],[Flux in SC / glucose uptake ($mmol/mmol\ glc$)]])</f>
        <v>-3.0696095838366184</v>
      </c>
      <c r="J1454">
        <f>LOG(Table1[[#This Row],[Flux in RT / glucose uptake ($mmol/mmol\ glc$)]])</f>
        <v>-2.413903635373893</v>
      </c>
    </row>
    <row r="1455" spans="1:10" x14ac:dyDescent="0.2">
      <c r="A1455" t="s">
        <v>1458</v>
      </c>
      <c r="B1455" t="s">
        <v>3131</v>
      </c>
      <c r="C1455">
        <v>7.5339857138605332E-3</v>
      </c>
      <c r="D1455">
        <v>3.4098573123860804E-2</v>
      </c>
      <c r="E1455">
        <f>ABS(Table1[[#This Row],[Flux in SC / glucose uptake ($mmol/mmol\ glc$)]]-Table1[[#This Row],[Flux in RT / glucose uptake ($mmol/mmol\ glc$)]])/SQRT(2)</f>
        <v>1.8783999897033974E-2</v>
      </c>
      <c r="F1455">
        <f>Table1[[#This Row],[distance from 45-degree line]]/MAX(Table1[[Flux in SC / glucose uptake ($mmol/mmol\ glc$)]:[Flux in RT / glucose uptake ($mmol/mmol\ glc$)]])</f>
        <v>1.012436160667647E-3</v>
      </c>
      <c r="G1455">
        <f>_xlfn.RANK.AVG(Table1[[#This Row],[Flux in SC / glucose uptake ($mmol/mmol\ glc$)]],Table1[Flux in SC / glucose uptake ($mmol/mmol\ glc$)])</f>
        <v>96.5</v>
      </c>
      <c r="H1455">
        <f>_xlfn.RANK.AVG(Table1[[#This Row],[Flux in RT / glucose uptake ($mmol/mmol\ glc$)]],Table1[Flux in RT / glucose uptake ($mmol/mmol\ glc$)])</f>
        <v>118.5</v>
      </c>
      <c r="I1455">
        <f>LOG(Table1[[#This Row],[Flux in SC / glucose uptake ($mmol/mmol\ glc$)]])</f>
        <v>-2.1229752076524511</v>
      </c>
      <c r="J1455">
        <f>LOG(Table1[[#This Row],[Flux in RT / glucose uptake ($mmol/mmol\ glc$)]])</f>
        <v>-1.4672637939517537</v>
      </c>
    </row>
    <row r="1456" spans="1:10" x14ac:dyDescent="0.2">
      <c r="A1456" t="s">
        <v>1459</v>
      </c>
      <c r="B1456" t="s">
        <v>3159</v>
      </c>
      <c r="C1456">
        <v>1.2845057121356784E-3</v>
      </c>
      <c r="D1456">
        <v>5.8136571518449575E-3</v>
      </c>
      <c r="E1456">
        <f>ABS(Table1[[#This Row],[Flux in SC / glucose uptake ($mmol/mmol\ glc$)]]-Table1[[#This Row],[Flux in RT / glucose uptake ($mmol/mmol\ glc$)]])/SQRT(2)</f>
        <v>3.2025936960392454E-3</v>
      </c>
      <c r="F1456">
        <f>Table1[[#This Row],[distance from 45-degree line]]/MAX(Table1[[Flux in SC / glucose uptake ($mmol/mmol\ glc$)]:[Flux in RT / glucose uptake ($mmol/mmol\ glc$)]])</f>
        <v>1.7261614584593174E-4</v>
      </c>
      <c r="G1456">
        <f>_xlfn.RANK.AVG(Table1[[#This Row],[Flux in SC / glucose uptake ($mmol/mmol\ glc$)]],Table1[Flux in SC / glucose uptake ($mmol/mmol\ glc$)])</f>
        <v>209</v>
      </c>
      <c r="H1456">
        <f>_xlfn.RANK.AVG(Table1[[#This Row],[Flux in RT / glucose uptake ($mmol/mmol\ glc$)]],Table1[Flux in RT / glucose uptake ($mmol/mmol\ glc$)])</f>
        <v>218</v>
      </c>
      <c r="I1456">
        <f>LOG(Table1[[#This Row],[Flux in SC / glucose uptake ($mmol/mmol\ glc$)]])</f>
        <v>-2.8912639601064796</v>
      </c>
      <c r="J1456">
        <f>LOG(Table1[[#This Row],[Flux in RT / glucose uptake ($mmol/mmol\ glc$)]])</f>
        <v>-2.235550583410487</v>
      </c>
    </row>
    <row r="1457" spans="1:10" x14ac:dyDescent="0.2">
      <c r="A1457" t="s">
        <v>1460</v>
      </c>
      <c r="B1457" t="s">
        <v>3114</v>
      </c>
      <c r="C1457">
        <v>5.3765630874120521E-2</v>
      </c>
      <c r="D1457">
        <v>0</v>
      </c>
      <c r="E1457">
        <f>ABS(Table1[[#This Row],[Flux in SC / glucose uptake ($mmol/mmol\ glc$)]]-Table1[[#This Row],[Flux in RT / glucose uptake ($mmol/mmol\ glc$)]])/SQRT(2)</f>
        <v>3.8018042185863424E-2</v>
      </c>
      <c r="F1457">
        <f>Table1[[#This Row],[distance from 45-degree line]]/MAX(Table1[[Flux in SC / glucose uptake ($mmol/mmol\ glc$)]:[Flux in RT / glucose uptake ($mmol/mmol\ glc$)]])</f>
        <v>2.0491290927250258E-3</v>
      </c>
      <c r="G1457">
        <f>_xlfn.RANK.AVG(Table1[[#This Row],[Flux in SC / glucose uptake ($mmol/mmol\ glc$)]],Table1[Flux in SC / glucose uptake ($mmol/mmol\ glc$)])</f>
        <v>47</v>
      </c>
      <c r="H1457">
        <f>_xlfn.RANK.AVG(Table1[[#This Row],[Flux in RT / glucose uptake ($mmol/mmol\ glc$)]],Table1[Flux in RT / glucose uptake ($mmol/mmol\ glc$)])</f>
        <v>1290.5</v>
      </c>
      <c r="I1457">
        <f>LOG(Table1[[#This Row],[Flux in SC / glucose uptake ($mmol/mmol\ glc$)]])</f>
        <v>-1.2694952539144622</v>
      </c>
      <c r="J1457" t="e">
        <f>LOG(Table1[[#This Row],[Flux in RT / glucose uptake ($mmol/mmol\ glc$)]])</f>
        <v>#NUM!</v>
      </c>
    </row>
    <row r="1458" spans="1:10" x14ac:dyDescent="0.2">
      <c r="A1458" t="s">
        <v>1461</v>
      </c>
      <c r="B1458" t="s">
        <v>3114</v>
      </c>
      <c r="C1458">
        <v>0</v>
      </c>
      <c r="D1458">
        <v>0</v>
      </c>
      <c r="E1458">
        <f>ABS(Table1[[#This Row],[Flux in SC / glucose uptake ($mmol/mmol\ glc$)]]-Table1[[#This Row],[Flux in RT / glucose uptake ($mmol/mmol\ glc$)]])/SQRT(2)</f>
        <v>0</v>
      </c>
      <c r="F1458">
        <f>Table1[[#This Row],[distance from 45-degree line]]/MAX(Table1[[Flux in SC / glucose uptake ($mmol/mmol\ glc$)]:[Flux in RT / glucose uptake ($mmol/mmol\ glc$)]])</f>
        <v>0</v>
      </c>
      <c r="G1458">
        <f>_xlfn.RANK.AVG(Table1[[#This Row],[Flux in SC / glucose uptake ($mmol/mmol\ glc$)]],Table1[Flux in SC / glucose uptake ($mmol/mmol\ glc$)])</f>
        <v>1310.5</v>
      </c>
      <c r="H1458">
        <f>_xlfn.RANK.AVG(Table1[[#This Row],[Flux in RT / glucose uptake ($mmol/mmol\ glc$)]],Table1[Flux in RT / glucose uptake ($mmol/mmol\ glc$)])</f>
        <v>1290.5</v>
      </c>
      <c r="I1458" t="e">
        <f>LOG(Table1[[#This Row],[Flux in SC / glucose uptake ($mmol/mmol\ glc$)]])</f>
        <v>#NUM!</v>
      </c>
      <c r="J1458" t="e">
        <f>LOG(Table1[[#This Row],[Flux in RT / glucose uptake ($mmol/mmol\ glc$)]])</f>
        <v>#NUM!</v>
      </c>
    </row>
    <row r="1459" spans="1:10" x14ac:dyDescent="0.2">
      <c r="A1459" t="s">
        <v>1462</v>
      </c>
      <c r="B1459" t="s">
        <v>3114</v>
      </c>
      <c r="C1459">
        <v>0</v>
      </c>
      <c r="D1459">
        <v>0</v>
      </c>
      <c r="E1459">
        <f>ABS(Table1[[#This Row],[Flux in SC / glucose uptake ($mmol/mmol\ glc$)]]-Table1[[#This Row],[Flux in RT / glucose uptake ($mmol/mmol\ glc$)]])/SQRT(2)</f>
        <v>0</v>
      </c>
      <c r="F1459">
        <f>Table1[[#This Row],[distance from 45-degree line]]/MAX(Table1[[Flux in SC / glucose uptake ($mmol/mmol\ glc$)]:[Flux in RT / glucose uptake ($mmol/mmol\ glc$)]])</f>
        <v>0</v>
      </c>
      <c r="G1459">
        <f>_xlfn.RANK.AVG(Table1[[#This Row],[Flux in SC / glucose uptake ($mmol/mmol\ glc$)]],Table1[Flux in SC / glucose uptake ($mmol/mmol\ glc$)])</f>
        <v>1310.5</v>
      </c>
      <c r="H1459">
        <f>_xlfn.RANK.AVG(Table1[[#This Row],[Flux in RT / glucose uptake ($mmol/mmol\ glc$)]],Table1[Flux in RT / glucose uptake ($mmol/mmol\ glc$)])</f>
        <v>1290.5</v>
      </c>
      <c r="I1459" t="e">
        <f>LOG(Table1[[#This Row],[Flux in SC / glucose uptake ($mmol/mmol\ glc$)]])</f>
        <v>#NUM!</v>
      </c>
      <c r="J1459" t="e">
        <f>LOG(Table1[[#This Row],[Flux in RT / glucose uptake ($mmol/mmol\ glc$)]])</f>
        <v>#NUM!</v>
      </c>
    </row>
    <row r="1460" spans="1:10" x14ac:dyDescent="0.2">
      <c r="A1460" t="s">
        <v>1463</v>
      </c>
      <c r="B1460" t="s">
        <v>3114</v>
      </c>
      <c r="C1460">
        <v>0</v>
      </c>
      <c r="D1460">
        <v>0</v>
      </c>
      <c r="E1460">
        <f>ABS(Table1[[#This Row],[Flux in SC / glucose uptake ($mmol/mmol\ glc$)]]-Table1[[#This Row],[Flux in RT / glucose uptake ($mmol/mmol\ glc$)]])/SQRT(2)</f>
        <v>0</v>
      </c>
      <c r="F1460">
        <f>Table1[[#This Row],[distance from 45-degree line]]/MAX(Table1[[Flux in SC / glucose uptake ($mmol/mmol\ glc$)]:[Flux in RT / glucose uptake ($mmol/mmol\ glc$)]])</f>
        <v>0</v>
      </c>
      <c r="G1460">
        <f>_xlfn.RANK.AVG(Table1[[#This Row],[Flux in SC / glucose uptake ($mmol/mmol\ glc$)]],Table1[Flux in SC / glucose uptake ($mmol/mmol\ glc$)])</f>
        <v>1310.5</v>
      </c>
      <c r="H1460">
        <f>_xlfn.RANK.AVG(Table1[[#This Row],[Flux in RT / glucose uptake ($mmol/mmol\ glc$)]],Table1[Flux in RT / glucose uptake ($mmol/mmol\ glc$)])</f>
        <v>1290.5</v>
      </c>
      <c r="I1460" t="e">
        <f>LOG(Table1[[#This Row],[Flux in SC / glucose uptake ($mmol/mmol\ glc$)]])</f>
        <v>#NUM!</v>
      </c>
      <c r="J1460" t="e">
        <f>LOG(Table1[[#This Row],[Flux in RT / glucose uptake ($mmol/mmol\ glc$)]])</f>
        <v>#NUM!</v>
      </c>
    </row>
    <row r="1461" spans="1:10" x14ac:dyDescent="0.2">
      <c r="A1461" t="s">
        <v>1464</v>
      </c>
      <c r="B1461" t="s">
        <v>3114</v>
      </c>
      <c r="C1461">
        <v>0</v>
      </c>
      <c r="D1461">
        <v>0</v>
      </c>
      <c r="E1461">
        <f>ABS(Table1[[#This Row],[Flux in SC / glucose uptake ($mmol/mmol\ glc$)]]-Table1[[#This Row],[Flux in RT / glucose uptake ($mmol/mmol\ glc$)]])/SQRT(2)</f>
        <v>0</v>
      </c>
      <c r="F1461">
        <f>Table1[[#This Row],[distance from 45-degree line]]/MAX(Table1[[Flux in SC / glucose uptake ($mmol/mmol\ glc$)]:[Flux in RT / glucose uptake ($mmol/mmol\ glc$)]])</f>
        <v>0</v>
      </c>
      <c r="G1461">
        <f>_xlfn.RANK.AVG(Table1[[#This Row],[Flux in SC / glucose uptake ($mmol/mmol\ glc$)]],Table1[Flux in SC / glucose uptake ($mmol/mmol\ glc$)])</f>
        <v>1310.5</v>
      </c>
      <c r="H1461">
        <f>_xlfn.RANK.AVG(Table1[[#This Row],[Flux in RT / glucose uptake ($mmol/mmol\ glc$)]],Table1[Flux in RT / glucose uptake ($mmol/mmol\ glc$)])</f>
        <v>1290.5</v>
      </c>
      <c r="I1461" t="e">
        <f>LOG(Table1[[#This Row],[Flux in SC / glucose uptake ($mmol/mmol\ glc$)]])</f>
        <v>#NUM!</v>
      </c>
      <c r="J1461" t="e">
        <f>LOG(Table1[[#This Row],[Flux in RT / glucose uptake ($mmol/mmol\ glc$)]])</f>
        <v>#NUM!</v>
      </c>
    </row>
    <row r="1462" spans="1:10" x14ac:dyDescent="0.2">
      <c r="A1462" t="s">
        <v>1465</v>
      </c>
      <c r="B1462" t="s">
        <v>3114</v>
      </c>
      <c r="C1462">
        <v>0.16615657247692331</v>
      </c>
      <c r="D1462">
        <v>0</v>
      </c>
      <c r="E1462">
        <f>ABS(Table1[[#This Row],[Flux in SC / glucose uptake ($mmol/mmol\ glc$)]]-Table1[[#This Row],[Flux in RT / glucose uptake ($mmol/mmol\ glc$)]])/SQRT(2)</f>
        <v>0.11749043913714653</v>
      </c>
      <c r="F1462">
        <f>Table1[[#This Row],[distance from 45-degree line]]/MAX(Table1[[Flux in SC / glucose uptake ($mmol/mmol\ glc$)]:[Flux in RT / glucose uptake ($mmol/mmol\ glc$)]])</f>
        <v>6.332600605153919E-3</v>
      </c>
      <c r="G1462">
        <f>_xlfn.RANK.AVG(Table1[[#This Row],[Flux in SC / glucose uptake ($mmol/mmol\ glc$)]],Table1[Flux in SC / glucose uptake ($mmol/mmol\ glc$)])</f>
        <v>29</v>
      </c>
      <c r="H1462">
        <f>_xlfn.RANK.AVG(Table1[[#This Row],[Flux in RT / glucose uptake ($mmol/mmol\ glc$)]],Table1[Flux in RT / glucose uptake ($mmol/mmol\ glc$)])</f>
        <v>1290.5</v>
      </c>
      <c r="I1462">
        <f>LOG(Table1[[#This Row],[Flux in SC / glucose uptake ($mmol/mmol\ glc$)]])</f>
        <v>-0.77948247512553226</v>
      </c>
      <c r="J1462" t="e">
        <f>LOG(Table1[[#This Row],[Flux in RT / glucose uptake ($mmol/mmol\ glc$)]])</f>
        <v>#NUM!</v>
      </c>
    </row>
    <row r="1463" spans="1:10" x14ac:dyDescent="0.2">
      <c r="A1463" t="s">
        <v>1466</v>
      </c>
      <c r="B1463" t="s">
        <v>3114</v>
      </c>
      <c r="C1463">
        <v>0</v>
      </c>
      <c r="D1463">
        <v>0</v>
      </c>
      <c r="E1463">
        <f>ABS(Table1[[#This Row],[Flux in SC / glucose uptake ($mmol/mmol\ glc$)]]-Table1[[#This Row],[Flux in RT / glucose uptake ($mmol/mmol\ glc$)]])/SQRT(2)</f>
        <v>0</v>
      </c>
      <c r="F1463">
        <f>Table1[[#This Row],[distance from 45-degree line]]/MAX(Table1[[Flux in SC / glucose uptake ($mmol/mmol\ glc$)]:[Flux in RT / glucose uptake ($mmol/mmol\ glc$)]])</f>
        <v>0</v>
      </c>
      <c r="G1463">
        <f>_xlfn.RANK.AVG(Table1[[#This Row],[Flux in SC / glucose uptake ($mmol/mmol\ glc$)]],Table1[Flux in SC / glucose uptake ($mmol/mmol\ glc$)])</f>
        <v>1310.5</v>
      </c>
      <c r="H1463">
        <f>_xlfn.RANK.AVG(Table1[[#This Row],[Flux in RT / glucose uptake ($mmol/mmol\ glc$)]],Table1[Flux in RT / glucose uptake ($mmol/mmol\ glc$)])</f>
        <v>1290.5</v>
      </c>
      <c r="I1463" t="e">
        <f>LOG(Table1[[#This Row],[Flux in SC / glucose uptake ($mmol/mmol\ glc$)]])</f>
        <v>#NUM!</v>
      </c>
      <c r="J1463" t="e">
        <f>LOG(Table1[[#This Row],[Flux in RT / glucose uptake ($mmol/mmol\ glc$)]])</f>
        <v>#NUM!</v>
      </c>
    </row>
    <row r="1464" spans="1:10" x14ac:dyDescent="0.2">
      <c r="A1464" t="s">
        <v>1467</v>
      </c>
      <c r="B1464" t="s">
        <v>3114</v>
      </c>
      <c r="C1464">
        <v>0</v>
      </c>
      <c r="D1464">
        <v>0</v>
      </c>
      <c r="E1464">
        <f>ABS(Table1[[#This Row],[Flux in SC / glucose uptake ($mmol/mmol\ glc$)]]-Table1[[#This Row],[Flux in RT / glucose uptake ($mmol/mmol\ glc$)]])/SQRT(2)</f>
        <v>0</v>
      </c>
      <c r="F1464">
        <f>Table1[[#This Row],[distance from 45-degree line]]/MAX(Table1[[Flux in SC / glucose uptake ($mmol/mmol\ glc$)]:[Flux in RT / glucose uptake ($mmol/mmol\ glc$)]])</f>
        <v>0</v>
      </c>
      <c r="G1464">
        <f>_xlfn.RANK.AVG(Table1[[#This Row],[Flux in SC / glucose uptake ($mmol/mmol\ glc$)]],Table1[Flux in SC / glucose uptake ($mmol/mmol\ glc$)])</f>
        <v>1310.5</v>
      </c>
      <c r="H1464">
        <f>_xlfn.RANK.AVG(Table1[[#This Row],[Flux in RT / glucose uptake ($mmol/mmol\ glc$)]],Table1[Flux in RT / glucose uptake ($mmol/mmol\ glc$)])</f>
        <v>1290.5</v>
      </c>
      <c r="I1464" t="e">
        <f>LOG(Table1[[#This Row],[Flux in SC / glucose uptake ($mmol/mmol\ glc$)]])</f>
        <v>#NUM!</v>
      </c>
      <c r="J1464" t="e">
        <f>LOG(Table1[[#This Row],[Flux in RT / glucose uptake ($mmol/mmol\ glc$)]])</f>
        <v>#NUM!</v>
      </c>
    </row>
    <row r="1465" spans="1:10" x14ac:dyDescent="0.2">
      <c r="A1465" t="s">
        <v>1468</v>
      </c>
      <c r="B1465" t="s">
        <v>3114</v>
      </c>
      <c r="C1465">
        <v>0</v>
      </c>
      <c r="D1465">
        <v>0</v>
      </c>
      <c r="E1465">
        <f>ABS(Table1[[#This Row],[Flux in SC / glucose uptake ($mmol/mmol\ glc$)]]-Table1[[#This Row],[Flux in RT / glucose uptake ($mmol/mmol\ glc$)]])/SQRT(2)</f>
        <v>0</v>
      </c>
      <c r="F1465">
        <f>Table1[[#This Row],[distance from 45-degree line]]/MAX(Table1[[Flux in SC / glucose uptake ($mmol/mmol\ glc$)]:[Flux in RT / glucose uptake ($mmol/mmol\ glc$)]])</f>
        <v>0</v>
      </c>
      <c r="G1465">
        <f>_xlfn.RANK.AVG(Table1[[#This Row],[Flux in SC / glucose uptake ($mmol/mmol\ glc$)]],Table1[Flux in SC / glucose uptake ($mmol/mmol\ glc$)])</f>
        <v>1310.5</v>
      </c>
      <c r="H1465">
        <f>_xlfn.RANK.AVG(Table1[[#This Row],[Flux in RT / glucose uptake ($mmol/mmol\ glc$)]],Table1[Flux in RT / glucose uptake ($mmol/mmol\ glc$)])</f>
        <v>1290.5</v>
      </c>
      <c r="I1465" t="e">
        <f>LOG(Table1[[#This Row],[Flux in SC / glucose uptake ($mmol/mmol\ glc$)]])</f>
        <v>#NUM!</v>
      </c>
      <c r="J1465" t="e">
        <f>LOG(Table1[[#This Row],[Flux in RT / glucose uptake ($mmol/mmol\ glc$)]])</f>
        <v>#NUM!</v>
      </c>
    </row>
    <row r="1466" spans="1:10" x14ac:dyDescent="0.2">
      <c r="A1466" t="s">
        <v>1469</v>
      </c>
      <c r="B1466" t="s">
        <v>3114</v>
      </c>
      <c r="C1466">
        <v>0</v>
      </c>
      <c r="D1466">
        <v>0</v>
      </c>
      <c r="E1466">
        <f>ABS(Table1[[#This Row],[Flux in SC / glucose uptake ($mmol/mmol\ glc$)]]-Table1[[#This Row],[Flux in RT / glucose uptake ($mmol/mmol\ glc$)]])/SQRT(2)</f>
        <v>0</v>
      </c>
      <c r="F1466">
        <f>Table1[[#This Row],[distance from 45-degree line]]/MAX(Table1[[Flux in SC / glucose uptake ($mmol/mmol\ glc$)]:[Flux in RT / glucose uptake ($mmol/mmol\ glc$)]])</f>
        <v>0</v>
      </c>
      <c r="G1466">
        <f>_xlfn.RANK.AVG(Table1[[#This Row],[Flux in SC / glucose uptake ($mmol/mmol\ glc$)]],Table1[Flux in SC / glucose uptake ($mmol/mmol\ glc$)])</f>
        <v>1310.5</v>
      </c>
      <c r="H1466">
        <f>_xlfn.RANK.AVG(Table1[[#This Row],[Flux in RT / glucose uptake ($mmol/mmol\ glc$)]],Table1[Flux in RT / glucose uptake ($mmol/mmol\ glc$)])</f>
        <v>1290.5</v>
      </c>
      <c r="I1466" t="e">
        <f>LOG(Table1[[#This Row],[Flux in SC / glucose uptake ($mmol/mmol\ glc$)]])</f>
        <v>#NUM!</v>
      </c>
      <c r="J1466" t="e">
        <f>LOG(Table1[[#This Row],[Flux in RT / glucose uptake ($mmol/mmol\ glc$)]])</f>
        <v>#NUM!</v>
      </c>
    </row>
    <row r="1467" spans="1:10" x14ac:dyDescent="0.2">
      <c r="A1467" t="s">
        <v>1470</v>
      </c>
      <c r="B1467" t="s">
        <v>3114</v>
      </c>
      <c r="C1467">
        <v>0</v>
      </c>
      <c r="D1467">
        <v>0</v>
      </c>
      <c r="E1467">
        <f>ABS(Table1[[#This Row],[Flux in SC / glucose uptake ($mmol/mmol\ glc$)]]-Table1[[#This Row],[Flux in RT / glucose uptake ($mmol/mmol\ glc$)]])/SQRT(2)</f>
        <v>0</v>
      </c>
      <c r="F1467">
        <f>Table1[[#This Row],[distance from 45-degree line]]/MAX(Table1[[Flux in SC / glucose uptake ($mmol/mmol\ glc$)]:[Flux in RT / glucose uptake ($mmol/mmol\ glc$)]])</f>
        <v>0</v>
      </c>
      <c r="G1467">
        <f>_xlfn.RANK.AVG(Table1[[#This Row],[Flux in SC / glucose uptake ($mmol/mmol\ glc$)]],Table1[Flux in SC / glucose uptake ($mmol/mmol\ glc$)])</f>
        <v>1310.5</v>
      </c>
      <c r="H1467">
        <f>_xlfn.RANK.AVG(Table1[[#This Row],[Flux in RT / glucose uptake ($mmol/mmol\ glc$)]],Table1[Flux in RT / glucose uptake ($mmol/mmol\ glc$)])</f>
        <v>1290.5</v>
      </c>
      <c r="I1467" t="e">
        <f>LOG(Table1[[#This Row],[Flux in SC / glucose uptake ($mmol/mmol\ glc$)]])</f>
        <v>#NUM!</v>
      </c>
      <c r="J1467" t="e">
        <f>LOG(Table1[[#This Row],[Flux in RT / glucose uptake ($mmol/mmol\ glc$)]])</f>
        <v>#NUM!</v>
      </c>
    </row>
    <row r="1468" spans="1:10" x14ac:dyDescent="0.2">
      <c r="A1468" t="s">
        <v>1471</v>
      </c>
      <c r="B1468" t="s">
        <v>3114</v>
      </c>
      <c r="C1468">
        <v>0</v>
      </c>
      <c r="D1468">
        <v>0</v>
      </c>
      <c r="E1468">
        <f>ABS(Table1[[#This Row],[Flux in SC / glucose uptake ($mmol/mmol\ glc$)]]-Table1[[#This Row],[Flux in RT / glucose uptake ($mmol/mmol\ glc$)]])/SQRT(2)</f>
        <v>0</v>
      </c>
      <c r="F1468">
        <f>Table1[[#This Row],[distance from 45-degree line]]/MAX(Table1[[Flux in SC / glucose uptake ($mmol/mmol\ glc$)]:[Flux in RT / glucose uptake ($mmol/mmol\ glc$)]])</f>
        <v>0</v>
      </c>
      <c r="G1468">
        <f>_xlfn.RANK.AVG(Table1[[#This Row],[Flux in SC / glucose uptake ($mmol/mmol\ glc$)]],Table1[Flux in SC / glucose uptake ($mmol/mmol\ glc$)])</f>
        <v>1310.5</v>
      </c>
      <c r="H1468">
        <f>_xlfn.RANK.AVG(Table1[[#This Row],[Flux in RT / glucose uptake ($mmol/mmol\ glc$)]],Table1[Flux in RT / glucose uptake ($mmol/mmol\ glc$)])</f>
        <v>1290.5</v>
      </c>
      <c r="I1468" t="e">
        <f>LOG(Table1[[#This Row],[Flux in SC / glucose uptake ($mmol/mmol\ glc$)]])</f>
        <v>#NUM!</v>
      </c>
      <c r="J1468" t="e">
        <f>LOG(Table1[[#This Row],[Flux in RT / glucose uptake ($mmol/mmol\ glc$)]])</f>
        <v>#NUM!</v>
      </c>
    </row>
    <row r="1469" spans="1:10" x14ac:dyDescent="0.2">
      <c r="A1469" t="s">
        <v>1472</v>
      </c>
      <c r="B1469" t="s">
        <v>3114</v>
      </c>
      <c r="C1469">
        <v>0</v>
      </c>
      <c r="D1469">
        <v>0</v>
      </c>
      <c r="E1469">
        <f>ABS(Table1[[#This Row],[Flux in SC / glucose uptake ($mmol/mmol\ glc$)]]-Table1[[#This Row],[Flux in RT / glucose uptake ($mmol/mmol\ glc$)]])/SQRT(2)</f>
        <v>0</v>
      </c>
      <c r="F1469">
        <f>Table1[[#This Row],[distance from 45-degree line]]/MAX(Table1[[Flux in SC / glucose uptake ($mmol/mmol\ glc$)]:[Flux in RT / glucose uptake ($mmol/mmol\ glc$)]])</f>
        <v>0</v>
      </c>
      <c r="G1469">
        <f>_xlfn.RANK.AVG(Table1[[#This Row],[Flux in SC / glucose uptake ($mmol/mmol\ glc$)]],Table1[Flux in SC / glucose uptake ($mmol/mmol\ glc$)])</f>
        <v>1310.5</v>
      </c>
      <c r="H1469">
        <f>_xlfn.RANK.AVG(Table1[[#This Row],[Flux in RT / glucose uptake ($mmol/mmol\ glc$)]],Table1[Flux in RT / glucose uptake ($mmol/mmol\ glc$)])</f>
        <v>1290.5</v>
      </c>
      <c r="I1469" t="e">
        <f>LOG(Table1[[#This Row],[Flux in SC / glucose uptake ($mmol/mmol\ glc$)]])</f>
        <v>#NUM!</v>
      </c>
      <c r="J1469" t="e">
        <f>LOG(Table1[[#This Row],[Flux in RT / glucose uptake ($mmol/mmol\ glc$)]])</f>
        <v>#NUM!</v>
      </c>
    </row>
    <row r="1470" spans="1:10" x14ac:dyDescent="0.2">
      <c r="A1470" t="s">
        <v>1473</v>
      </c>
      <c r="B1470" t="s">
        <v>3150</v>
      </c>
      <c r="C1470">
        <v>0</v>
      </c>
      <c r="D1470">
        <v>0</v>
      </c>
      <c r="E1470">
        <f>ABS(Table1[[#This Row],[Flux in SC / glucose uptake ($mmol/mmol\ glc$)]]-Table1[[#This Row],[Flux in RT / glucose uptake ($mmol/mmol\ glc$)]])/SQRT(2)</f>
        <v>0</v>
      </c>
      <c r="F1470">
        <f>Table1[[#This Row],[distance from 45-degree line]]/MAX(Table1[[Flux in SC / glucose uptake ($mmol/mmol\ glc$)]:[Flux in RT / glucose uptake ($mmol/mmol\ glc$)]])</f>
        <v>0</v>
      </c>
      <c r="G1470">
        <f>_xlfn.RANK.AVG(Table1[[#This Row],[Flux in SC / glucose uptake ($mmol/mmol\ glc$)]],Table1[Flux in SC / glucose uptake ($mmol/mmol\ glc$)])</f>
        <v>1310.5</v>
      </c>
      <c r="H1470">
        <f>_xlfn.RANK.AVG(Table1[[#This Row],[Flux in RT / glucose uptake ($mmol/mmol\ glc$)]],Table1[Flux in RT / glucose uptake ($mmol/mmol\ glc$)])</f>
        <v>1290.5</v>
      </c>
      <c r="I1470" t="e">
        <f>LOG(Table1[[#This Row],[Flux in SC / glucose uptake ($mmol/mmol\ glc$)]])</f>
        <v>#NUM!</v>
      </c>
      <c r="J1470" t="e">
        <f>LOG(Table1[[#This Row],[Flux in RT / glucose uptake ($mmol/mmol\ glc$)]])</f>
        <v>#NUM!</v>
      </c>
    </row>
    <row r="1471" spans="1:10" x14ac:dyDescent="0.2">
      <c r="A1471" t="s">
        <v>1474</v>
      </c>
      <c r="B1471" t="s">
        <v>3114</v>
      </c>
      <c r="C1471">
        <v>0</v>
      </c>
      <c r="D1471">
        <v>0</v>
      </c>
      <c r="E1471">
        <f>ABS(Table1[[#This Row],[Flux in SC / glucose uptake ($mmol/mmol\ glc$)]]-Table1[[#This Row],[Flux in RT / glucose uptake ($mmol/mmol\ glc$)]])/SQRT(2)</f>
        <v>0</v>
      </c>
      <c r="F1471">
        <f>Table1[[#This Row],[distance from 45-degree line]]/MAX(Table1[[Flux in SC / glucose uptake ($mmol/mmol\ glc$)]:[Flux in RT / glucose uptake ($mmol/mmol\ glc$)]])</f>
        <v>0</v>
      </c>
      <c r="G1471">
        <f>_xlfn.RANK.AVG(Table1[[#This Row],[Flux in SC / glucose uptake ($mmol/mmol\ glc$)]],Table1[Flux in SC / glucose uptake ($mmol/mmol\ glc$)])</f>
        <v>1310.5</v>
      </c>
      <c r="H1471">
        <f>_xlfn.RANK.AVG(Table1[[#This Row],[Flux in RT / glucose uptake ($mmol/mmol\ glc$)]],Table1[Flux in RT / glucose uptake ($mmol/mmol\ glc$)])</f>
        <v>1290.5</v>
      </c>
      <c r="I1471" t="e">
        <f>LOG(Table1[[#This Row],[Flux in SC / glucose uptake ($mmol/mmol\ glc$)]])</f>
        <v>#NUM!</v>
      </c>
      <c r="J1471" t="e">
        <f>LOG(Table1[[#This Row],[Flux in RT / glucose uptake ($mmol/mmol\ glc$)]])</f>
        <v>#NUM!</v>
      </c>
    </row>
    <row r="1472" spans="1:10" x14ac:dyDescent="0.2">
      <c r="A1472" t="s">
        <v>1475</v>
      </c>
      <c r="B1472" t="s">
        <v>3114</v>
      </c>
      <c r="C1472">
        <v>0</v>
      </c>
      <c r="D1472">
        <v>0</v>
      </c>
      <c r="E1472">
        <f>ABS(Table1[[#This Row],[Flux in SC / glucose uptake ($mmol/mmol\ glc$)]]-Table1[[#This Row],[Flux in RT / glucose uptake ($mmol/mmol\ glc$)]])/SQRT(2)</f>
        <v>0</v>
      </c>
      <c r="F1472">
        <f>Table1[[#This Row],[distance from 45-degree line]]/MAX(Table1[[Flux in SC / glucose uptake ($mmol/mmol\ glc$)]:[Flux in RT / glucose uptake ($mmol/mmol\ glc$)]])</f>
        <v>0</v>
      </c>
      <c r="G1472">
        <f>_xlfn.RANK.AVG(Table1[[#This Row],[Flux in SC / glucose uptake ($mmol/mmol\ glc$)]],Table1[Flux in SC / glucose uptake ($mmol/mmol\ glc$)])</f>
        <v>1310.5</v>
      </c>
      <c r="H1472">
        <f>_xlfn.RANK.AVG(Table1[[#This Row],[Flux in RT / glucose uptake ($mmol/mmol\ glc$)]],Table1[Flux in RT / glucose uptake ($mmol/mmol\ glc$)])</f>
        <v>1290.5</v>
      </c>
      <c r="I1472" t="e">
        <f>LOG(Table1[[#This Row],[Flux in SC / glucose uptake ($mmol/mmol\ glc$)]])</f>
        <v>#NUM!</v>
      </c>
      <c r="J1472" t="e">
        <f>LOG(Table1[[#This Row],[Flux in RT / glucose uptake ($mmol/mmol\ glc$)]])</f>
        <v>#NUM!</v>
      </c>
    </row>
    <row r="1473" spans="1:10" x14ac:dyDescent="0.2">
      <c r="A1473" t="s">
        <v>1476</v>
      </c>
      <c r="B1473" t="s">
        <v>3114</v>
      </c>
      <c r="C1473">
        <v>0</v>
      </c>
      <c r="D1473">
        <v>0</v>
      </c>
      <c r="E1473">
        <f>ABS(Table1[[#This Row],[Flux in SC / glucose uptake ($mmol/mmol\ glc$)]]-Table1[[#This Row],[Flux in RT / glucose uptake ($mmol/mmol\ glc$)]])/SQRT(2)</f>
        <v>0</v>
      </c>
      <c r="F1473">
        <f>Table1[[#This Row],[distance from 45-degree line]]/MAX(Table1[[Flux in SC / glucose uptake ($mmol/mmol\ glc$)]:[Flux in RT / glucose uptake ($mmol/mmol\ glc$)]])</f>
        <v>0</v>
      </c>
      <c r="G1473">
        <f>_xlfn.RANK.AVG(Table1[[#This Row],[Flux in SC / glucose uptake ($mmol/mmol\ glc$)]],Table1[Flux in SC / glucose uptake ($mmol/mmol\ glc$)])</f>
        <v>1310.5</v>
      </c>
      <c r="H1473">
        <f>_xlfn.RANK.AVG(Table1[[#This Row],[Flux in RT / glucose uptake ($mmol/mmol\ glc$)]],Table1[Flux in RT / glucose uptake ($mmol/mmol\ glc$)])</f>
        <v>1290.5</v>
      </c>
      <c r="I1473" t="e">
        <f>LOG(Table1[[#This Row],[Flux in SC / glucose uptake ($mmol/mmol\ glc$)]])</f>
        <v>#NUM!</v>
      </c>
      <c r="J1473" t="e">
        <f>LOG(Table1[[#This Row],[Flux in RT / glucose uptake ($mmol/mmol\ glc$)]])</f>
        <v>#NUM!</v>
      </c>
    </row>
    <row r="1474" spans="1:10" x14ac:dyDescent="0.2">
      <c r="A1474" t="s">
        <v>1477</v>
      </c>
      <c r="B1474" t="s">
        <v>3114</v>
      </c>
      <c r="C1474">
        <v>0</v>
      </c>
      <c r="D1474">
        <v>0</v>
      </c>
      <c r="E1474">
        <f>ABS(Table1[[#This Row],[Flux in SC / glucose uptake ($mmol/mmol\ glc$)]]-Table1[[#This Row],[Flux in RT / glucose uptake ($mmol/mmol\ glc$)]])/SQRT(2)</f>
        <v>0</v>
      </c>
      <c r="F1474">
        <f>Table1[[#This Row],[distance from 45-degree line]]/MAX(Table1[[Flux in SC / glucose uptake ($mmol/mmol\ glc$)]:[Flux in RT / glucose uptake ($mmol/mmol\ glc$)]])</f>
        <v>0</v>
      </c>
      <c r="G1474">
        <f>_xlfn.RANK.AVG(Table1[[#This Row],[Flux in SC / glucose uptake ($mmol/mmol\ glc$)]],Table1[Flux in SC / glucose uptake ($mmol/mmol\ glc$)])</f>
        <v>1310.5</v>
      </c>
      <c r="H1474">
        <f>_xlfn.RANK.AVG(Table1[[#This Row],[Flux in RT / glucose uptake ($mmol/mmol\ glc$)]],Table1[Flux in RT / glucose uptake ($mmol/mmol\ glc$)])</f>
        <v>1290.5</v>
      </c>
      <c r="I1474" t="e">
        <f>LOG(Table1[[#This Row],[Flux in SC / glucose uptake ($mmol/mmol\ glc$)]])</f>
        <v>#NUM!</v>
      </c>
      <c r="J1474" t="e">
        <f>LOG(Table1[[#This Row],[Flux in RT / glucose uptake ($mmol/mmol\ glc$)]])</f>
        <v>#NUM!</v>
      </c>
    </row>
    <row r="1475" spans="1:10" x14ac:dyDescent="0.2">
      <c r="A1475" t="s">
        <v>1478</v>
      </c>
      <c r="B1475" t="s">
        <v>3114</v>
      </c>
      <c r="C1475">
        <v>0</v>
      </c>
      <c r="D1475">
        <v>0</v>
      </c>
      <c r="E1475">
        <f>ABS(Table1[[#This Row],[Flux in SC / glucose uptake ($mmol/mmol\ glc$)]]-Table1[[#This Row],[Flux in RT / glucose uptake ($mmol/mmol\ glc$)]])/SQRT(2)</f>
        <v>0</v>
      </c>
      <c r="F1475">
        <f>Table1[[#This Row],[distance from 45-degree line]]/MAX(Table1[[Flux in SC / glucose uptake ($mmol/mmol\ glc$)]:[Flux in RT / glucose uptake ($mmol/mmol\ glc$)]])</f>
        <v>0</v>
      </c>
      <c r="G1475">
        <f>_xlfn.RANK.AVG(Table1[[#This Row],[Flux in SC / glucose uptake ($mmol/mmol\ glc$)]],Table1[Flux in SC / glucose uptake ($mmol/mmol\ glc$)])</f>
        <v>1310.5</v>
      </c>
      <c r="H1475">
        <f>_xlfn.RANK.AVG(Table1[[#This Row],[Flux in RT / glucose uptake ($mmol/mmol\ glc$)]],Table1[Flux in RT / glucose uptake ($mmol/mmol\ glc$)])</f>
        <v>1290.5</v>
      </c>
      <c r="I1475" t="e">
        <f>LOG(Table1[[#This Row],[Flux in SC / glucose uptake ($mmol/mmol\ glc$)]])</f>
        <v>#NUM!</v>
      </c>
      <c r="J1475" t="e">
        <f>LOG(Table1[[#This Row],[Flux in RT / glucose uptake ($mmol/mmol\ glc$)]])</f>
        <v>#NUM!</v>
      </c>
    </row>
    <row r="1476" spans="1:10" x14ac:dyDescent="0.2">
      <c r="A1476" t="s">
        <v>1479</v>
      </c>
      <c r="B1476" t="s">
        <v>3114</v>
      </c>
      <c r="C1476">
        <v>0</v>
      </c>
      <c r="D1476">
        <v>0</v>
      </c>
      <c r="E1476">
        <f>ABS(Table1[[#This Row],[Flux in SC / glucose uptake ($mmol/mmol\ glc$)]]-Table1[[#This Row],[Flux in RT / glucose uptake ($mmol/mmol\ glc$)]])/SQRT(2)</f>
        <v>0</v>
      </c>
      <c r="F1476">
        <f>Table1[[#This Row],[distance from 45-degree line]]/MAX(Table1[[Flux in SC / glucose uptake ($mmol/mmol\ glc$)]:[Flux in RT / glucose uptake ($mmol/mmol\ glc$)]])</f>
        <v>0</v>
      </c>
      <c r="G1476">
        <f>_xlfn.RANK.AVG(Table1[[#This Row],[Flux in SC / glucose uptake ($mmol/mmol\ glc$)]],Table1[Flux in SC / glucose uptake ($mmol/mmol\ glc$)])</f>
        <v>1310.5</v>
      </c>
      <c r="H1476">
        <f>_xlfn.RANK.AVG(Table1[[#This Row],[Flux in RT / glucose uptake ($mmol/mmol\ glc$)]],Table1[Flux in RT / glucose uptake ($mmol/mmol\ glc$)])</f>
        <v>1290.5</v>
      </c>
      <c r="I1476" t="e">
        <f>LOG(Table1[[#This Row],[Flux in SC / glucose uptake ($mmol/mmol\ glc$)]])</f>
        <v>#NUM!</v>
      </c>
      <c r="J1476" t="e">
        <f>LOG(Table1[[#This Row],[Flux in RT / glucose uptake ($mmol/mmol\ glc$)]])</f>
        <v>#NUM!</v>
      </c>
    </row>
    <row r="1477" spans="1:10" x14ac:dyDescent="0.2">
      <c r="A1477" t="s">
        <v>1480</v>
      </c>
      <c r="B1477" t="s">
        <v>3114</v>
      </c>
      <c r="C1477">
        <v>0</v>
      </c>
      <c r="D1477">
        <v>0</v>
      </c>
      <c r="E1477">
        <f>ABS(Table1[[#This Row],[Flux in SC / glucose uptake ($mmol/mmol\ glc$)]]-Table1[[#This Row],[Flux in RT / glucose uptake ($mmol/mmol\ glc$)]])/SQRT(2)</f>
        <v>0</v>
      </c>
      <c r="F1477">
        <f>Table1[[#This Row],[distance from 45-degree line]]/MAX(Table1[[Flux in SC / glucose uptake ($mmol/mmol\ glc$)]:[Flux in RT / glucose uptake ($mmol/mmol\ glc$)]])</f>
        <v>0</v>
      </c>
      <c r="G1477">
        <f>_xlfn.RANK.AVG(Table1[[#This Row],[Flux in SC / glucose uptake ($mmol/mmol\ glc$)]],Table1[Flux in SC / glucose uptake ($mmol/mmol\ glc$)])</f>
        <v>1310.5</v>
      </c>
      <c r="H1477">
        <f>_xlfn.RANK.AVG(Table1[[#This Row],[Flux in RT / glucose uptake ($mmol/mmol\ glc$)]],Table1[Flux in RT / glucose uptake ($mmol/mmol\ glc$)])</f>
        <v>1290.5</v>
      </c>
      <c r="I1477" t="e">
        <f>LOG(Table1[[#This Row],[Flux in SC / glucose uptake ($mmol/mmol\ glc$)]])</f>
        <v>#NUM!</v>
      </c>
      <c r="J1477" t="e">
        <f>LOG(Table1[[#This Row],[Flux in RT / glucose uptake ($mmol/mmol\ glc$)]])</f>
        <v>#NUM!</v>
      </c>
    </row>
    <row r="1478" spans="1:10" x14ac:dyDescent="0.2">
      <c r="A1478" t="s">
        <v>1481</v>
      </c>
      <c r="B1478" t="s">
        <v>3114</v>
      </c>
      <c r="C1478">
        <v>0</v>
      </c>
      <c r="D1478">
        <v>0</v>
      </c>
      <c r="E1478">
        <f>ABS(Table1[[#This Row],[Flux in SC / glucose uptake ($mmol/mmol\ glc$)]]-Table1[[#This Row],[Flux in RT / glucose uptake ($mmol/mmol\ glc$)]])/SQRT(2)</f>
        <v>0</v>
      </c>
      <c r="F1478">
        <f>Table1[[#This Row],[distance from 45-degree line]]/MAX(Table1[[Flux in SC / glucose uptake ($mmol/mmol\ glc$)]:[Flux in RT / glucose uptake ($mmol/mmol\ glc$)]])</f>
        <v>0</v>
      </c>
      <c r="G1478">
        <f>_xlfn.RANK.AVG(Table1[[#This Row],[Flux in SC / glucose uptake ($mmol/mmol\ glc$)]],Table1[Flux in SC / glucose uptake ($mmol/mmol\ glc$)])</f>
        <v>1310.5</v>
      </c>
      <c r="H1478">
        <f>_xlfn.RANK.AVG(Table1[[#This Row],[Flux in RT / glucose uptake ($mmol/mmol\ glc$)]],Table1[Flux in RT / glucose uptake ($mmol/mmol\ glc$)])</f>
        <v>1290.5</v>
      </c>
      <c r="I1478" t="e">
        <f>LOG(Table1[[#This Row],[Flux in SC / glucose uptake ($mmol/mmol\ glc$)]])</f>
        <v>#NUM!</v>
      </c>
      <c r="J1478" t="e">
        <f>LOG(Table1[[#This Row],[Flux in RT / glucose uptake ($mmol/mmol\ glc$)]])</f>
        <v>#NUM!</v>
      </c>
    </row>
    <row r="1479" spans="1:10" x14ac:dyDescent="0.2">
      <c r="A1479" t="s">
        <v>1482</v>
      </c>
      <c r="B1479" t="s">
        <v>3114</v>
      </c>
      <c r="C1479">
        <v>0</v>
      </c>
      <c r="D1479">
        <v>0</v>
      </c>
      <c r="E1479">
        <f>ABS(Table1[[#This Row],[Flux in SC / glucose uptake ($mmol/mmol\ glc$)]]-Table1[[#This Row],[Flux in RT / glucose uptake ($mmol/mmol\ glc$)]])/SQRT(2)</f>
        <v>0</v>
      </c>
      <c r="F1479">
        <f>Table1[[#This Row],[distance from 45-degree line]]/MAX(Table1[[Flux in SC / glucose uptake ($mmol/mmol\ glc$)]:[Flux in RT / glucose uptake ($mmol/mmol\ glc$)]])</f>
        <v>0</v>
      </c>
      <c r="G1479">
        <f>_xlfn.RANK.AVG(Table1[[#This Row],[Flux in SC / glucose uptake ($mmol/mmol\ glc$)]],Table1[Flux in SC / glucose uptake ($mmol/mmol\ glc$)])</f>
        <v>1310.5</v>
      </c>
      <c r="H1479">
        <f>_xlfn.RANK.AVG(Table1[[#This Row],[Flux in RT / glucose uptake ($mmol/mmol\ glc$)]],Table1[Flux in RT / glucose uptake ($mmol/mmol\ glc$)])</f>
        <v>1290.5</v>
      </c>
      <c r="I1479" t="e">
        <f>LOG(Table1[[#This Row],[Flux in SC / glucose uptake ($mmol/mmol\ glc$)]])</f>
        <v>#NUM!</v>
      </c>
      <c r="J1479" t="e">
        <f>LOG(Table1[[#This Row],[Flux in RT / glucose uptake ($mmol/mmol\ glc$)]])</f>
        <v>#NUM!</v>
      </c>
    </row>
    <row r="1480" spans="1:10" x14ac:dyDescent="0.2">
      <c r="A1480" t="s">
        <v>1483</v>
      </c>
      <c r="B1480" t="s">
        <v>3114</v>
      </c>
      <c r="C1480">
        <v>0</v>
      </c>
      <c r="D1480">
        <v>0</v>
      </c>
      <c r="E1480">
        <f>ABS(Table1[[#This Row],[Flux in SC / glucose uptake ($mmol/mmol\ glc$)]]-Table1[[#This Row],[Flux in RT / glucose uptake ($mmol/mmol\ glc$)]])/SQRT(2)</f>
        <v>0</v>
      </c>
      <c r="F1480">
        <f>Table1[[#This Row],[distance from 45-degree line]]/MAX(Table1[[Flux in SC / glucose uptake ($mmol/mmol\ glc$)]:[Flux in RT / glucose uptake ($mmol/mmol\ glc$)]])</f>
        <v>0</v>
      </c>
      <c r="G1480">
        <f>_xlfn.RANK.AVG(Table1[[#This Row],[Flux in SC / glucose uptake ($mmol/mmol\ glc$)]],Table1[Flux in SC / glucose uptake ($mmol/mmol\ glc$)])</f>
        <v>1310.5</v>
      </c>
      <c r="H1480">
        <f>_xlfn.RANK.AVG(Table1[[#This Row],[Flux in RT / glucose uptake ($mmol/mmol\ glc$)]],Table1[Flux in RT / glucose uptake ($mmol/mmol\ glc$)])</f>
        <v>1290.5</v>
      </c>
      <c r="I1480" t="e">
        <f>LOG(Table1[[#This Row],[Flux in SC / glucose uptake ($mmol/mmol\ glc$)]])</f>
        <v>#NUM!</v>
      </c>
      <c r="J1480" t="e">
        <f>LOG(Table1[[#This Row],[Flux in RT / glucose uptake ($mmol/mmol\ glc$)]])</f>
        <v>#NUM!</v>
      </c>
    </row>
    <row r="1481" spans="1:10" x14ac:dyDescent="0.2">
      <c r="A1481" t="s">
        <v>1484</v>
      </c>
      <c r="B1481" t="s">
        <v>3114</v>
      </c>
      <c r="C1481">
        <v>0</v>
      </c>
      <c r="D1481">
        <v>0</v>
      </c>
      <c r="E1481">
        <f>ABS(Table1[[#This Row],[Flux in SC / glucose uptake ($mmol/mmol\ glc$)]]-Table1[[#This Row],[Flux in RT / glucose uptake ($mmol/mmol\ glc$)]])/SQRT(2)</f>
        <v>0</v>
      </c>
      <c r="F1481">
        <f>Table1[[#This Row],[distance from 45-degree line]]/MAX(Table1[[Flux in SC / glucose uptake ($mmol/mmol\ glc$)]:[Flux in RT / glucose uptake ($mmol/mmol\ glc$)]])</f>
        <v>0</v>
      </c>
      <c r="G1481">
        <f>_xlfn.RANK.AVG(Table1[[#This Row],[Flux in SC / glucose uptake ($mmol/mmol\ glc$)]],Table1[Flux in SC / glucose uptake ($mmol/mmol\ glc$)])</f>
        <v>1310.5</v>
      </c>
      <c r="H1481">
        <f>_xlfn.RANK.AVG(Table1[[#This Row],[Flux in RT / glucose uptake ($mmol/mmol\ glc$)]],Table1[Flux in RT / glucose uptake ($mmol/mmol\ glc$)])</f>
        <v>1290.5</v>
      </c>
      <c r="I1481" t="e">
        <f>LOG(Table1[[#This Row],[Flux in SC / glucose uptake ($mmol/mmol\ glc$)]])</f>
        <v>#NUM!</v>
      </c>
      <c r="J1481" t="e">
        <f>LOG(Table1[[#This Row],[Flux in RT / glucose uptake ($mmol/mmol\ glc$)]])</f>
        <v>#NUM!</v>
      </c>
    </row>
    <row r="1482" spans="1:10" x14ac:dyDescent="0.2">
      <c r="A1482" t="s">
        <v>1485</v>
      </c>
      <c r="B1482" t="s">
        <v>3114</v>
      </c>
      <c r="C1482">
        <v>0</v>
      </c>
      <c r="D1482">
        <v>0</v>
      </c>
      <c r="E1482">
        <f>ABS(Table1[[#This Row],[Flux in SC / glucose uptake ($mmol/mmol\ glc$)]]-Table1[[#This Row],[Flux in RT / glucose uptake ($mmol/mmol\ glc$)]])/SQRT(2)</f>
        <v>0</v>
      </c>
      <c r="F1482">
        <f>Table1[[#This Row],[distance from 45-degree line]]/MAX(Table1[[Flux in SC / glucose uptake ($mmol/mmol\ glc$)]:[Flux in RT / glucose uptake ($mmol/mmol\ glc$)]])</f>
        <v>0</v>
      </c>
      <c r="G1482">
        <f>_xlfn.RANK.AVG(Table1[[#This Row],[Flux in SC / glucose uptake ($mmol/mmol\ glc$)]],Table1[Flux in SC / glucose uptake ($mmol/mmol\ glc$)])</f>
        <v>1310.5</v>
      </c>
      <c r="H1482">
        <f>_xlfn.RANK.AVG(Table1[[#This Row],[Flux in RT / glucose uptake ($mmol/mmol\ glc$)]],Table1[Flux in RT / glucose uptake ($mmol/mmol\ glc$)])</f>
        <v>1290.5</v>
      </c>
      <c r="I1482" t="e">
        <f>LOG(Table1[[#This Row],[Flux in SC / glucose uptake ($mmol/mmol\ glc$)]])</f>
        <v>#NUM!</v>
      </c>
      <c r="J1482" t="e">
        <f>LOG(Table1[[#This Row],[Flux in RT / glucose uptake ($mmol/mmol\ glc$)]])</f>
        <v>#NUM!</v>
      </c>
    </row>
    <row r="1483" spans="1:10" x14ac:dyDescent="0.2">
      <c r="A1483" t="s">
        <v>1486</v>
      </c>
      <c r="B1483" t="s">
        <v>3196</v>
      </c>
      <c r="C1483">
        <v>0</v>
      </c>
      <c r="D1483">
        <v>0</v>
      </c>
      <c r="E1483">
        <f>ABS(Table1[[#This Row],[Flux in SC / glucose uptake ($mmol/mmol\ glc$)]]-Table1[[#This Row],[Flux in RT / glucose uptake ($mmol/mmol\ glc$)]])/SQRT(2)</f>
        <v>0</v>
      </c>
      <c r="F1483">
        <f>Table1[[#This Row],[distance from 45-degree line]]/MAX(Table1[[Flux in SC / glucose uptake ($mmol/mmol\ glc$)]:[Flux in RT / glucose uptake ($mmol/mmol\ glc$)]])</f>
        <v>0</v>
      </c>
      <c r="G1483">
        <f>_xlfn.RANK.AVG(Table1[[#This Row],[Flux in SC / glucose uptake ($mmol/mmol\ glc$)]],Table1[Flux in SC / glucose uptake ($mmol/mmol\ glc$)])</f>
        <v>1310.5</v>
      </c>
      <c r="H1483">
        <f>_xlfn.RANK.AVG(Table1[[#This Row],[Flux in RT / glucose uptake ($mmol/mmol\ glc$)]],Table1[Flux in RT / glucose uptake ($mmol/mmol\ glc$)])</f>
        <v>1290.5</v>
      </c>
      <c r="I1483" t="e">
        <f>LOG(Table1[[#This Row],[Flux in SC / glucose uptake ($mmol/mmol\ glc$)]])</f>
        <v>#NUM!</v>
      </c>
      <c r="J1483" t="e">
        <f>LOG(Table1[[#This Row],[Flux in RT / glucose uptake ($mmol/mmol\ glc$)]])</f>
        <v>#NUM!</v>
      </c>
    </row>
    <row r="1484" spans="1:10" x14ac:dyDescent="0.2">
      <c r="A1484" t="s">
        <v>1487</v>
      </c>
      <c r="B1484" t="s">
        <v>3114</v>
      </c>
      <c r="C1484">
        <v>0</v>
      </c>
      <c r="D1484">
        <v>0</v>
      </c>
      <c r="E1484">
        <f>ABS(Table1[[#This Row],[Flux in SC / glucose uptake ($mmol/mmol\ glc$)]]-Table1[[#This Row],[Flux in RT / glucose uptake ($mmol/mmol\ glc$)]])/SQRT(2)</f>
        <v>0</v>
      </c>
      <c r="F1484">
        <f>Table1[[#This Row],[distance from 45-degree line]]/MAX(Table1[[Flux in SC / glucose uptake ($mmol/mmol\ glc$)]:[Flux in RT / glucose uptake ($mmol/mmol\ glc$)]])</f>
        <v>0</v>
      </c>
      <c r="G1484">
        <f>_xlfn.RANK.AVG(Table1[[#This Row],[Flux in SC / glucose uptake ($mmol/mmol\ glc$)]],Table1[Flux in SC / glucose uptake ($mmol/mmol\ glc$)])</f>
        <v>1310.5</v>
      </c>
      <c r="H1484">
        <f>_xlfn.RANK.AVG(Table1[[#This Row],[Flux in RT / glucose uptake ($mmol/mmol\ glc$)]],Table1[Flux in RT / glucose uptake ($mmol/mmol\ glc$)])</f>
        <v>1290.5</v>
      </c>
      <c r="I1484" t="e">
        <f>LOG(Table1[[#This Row],[Flux in SC / glucose uptake ($mmol/mmol\ glc$)]])</f>
        <v>#NUM!</v>
      </c>
      <c r="J1484" t="e">
        <f>LOG(Table1[[#This Row],[Flux in RT / glucose uptake ($mmol/mmol\ glc$)]])</f>
        <v>#NUM!</v>
      </c>
    </row>
    <row r="1485" spans="1:10" x14ac:dyDescent="0.2">
      <c r="A1485" t="s">
        <v>1488</v>
      </c>
      <c r="B1485" t="s">
        <v>3114</v>
      </c>
      <c r="C1485">
        <v>0</v>
      </c>
      <c r="D1485">
        <v>0</v>
      </c>
      <c r="E1485">
        <f>ABS(Table1[[#This Row],[Flux in SC / glucose uptake ($mmol/mmol\ glc$)]]-Table1[[#This Row],[Flux in RT / glucose uptake ($mmol/mmol\ glc$)]])/SQRT(2)</f>
        <v>0</v>
      </c>
      <c r="F1485">
        <f>Table1[[#This Row],[distance from 45-degree line]]/MAX(Table1[[Flux in SC / glucose uptake ($mmol/mmol\ glc$)]:[Flux in RT / glucose uptake ($mmol/mmol\ glc$)]])</f>
        <v>0</v>
      </c>
      <c r="G1485">
        <f>_xlfn.RANK.AVG(Table1[[#This Row],[Flux in SC / glucose uptake ($mmol/mmol\ glc$)]],Table1[Flux in SC / glucose uptake ($mmol/mmol\ glc$)])</f>
        <v>1310.5</v>
      </c>
      <c r="H1485">
        <f>_xlfn.RANK.AVG(Table1[[#This Row],[Flux in RT / glucose uptake ($mmol/mmol\ glc$)]],Table1[Flux in RT / glucose uptake ($mmol/mmol\ glc$)])</f>
        <v>1290.5</v>
      </c>
      <c r="I1485" t="e">
        <f>LOG(Table1[[#This Row],[Flux in SC / glucose uptake ($mmol/mmol\ glc$)]])</f>
        <v>#NUM!</v>
      </c>
      <c r="J1485" t="e">
        <f>LOG(Table1[[#This Row],[Flux in RT / glucose uptake ($mmol/mmol\ glc$)]])</f>
        <v>#NUM!</v>
      </c>
    </row>
    <row r="1486" spans="1:10" x14ac:dyDescent="0.2">
      <c r="A1486" t="s">
        <v>1489</v>
      </c>
      <c r="B1486" t="s">
        <v>3114</v>
      </c>
      <c r="C1486">
        <v>0</v>
      </c>
      <c r="D1486">
        <v>0</v>
      </c>
      <c r="E1486">
        <f>ABS(Table1[[#This Row],[Flux in SC / glucose uptake ($mmol/mmol\ glc$)]]-Table1[[#This Row],[Flux in RT / glucose uptake ($mmol/mmol\ glc$)]])/SQRT(2)</f>
        <v>0</v>
      </c>
      <c r="F1486">
        <f>Table1[[#This Row],[distance from 45-degree line]]/MAX(Table1[[Flux in SC / glucose uptake ($mmol/mmol\ glc$)]:[Flux in RT / glucose uptake ($mmol/mmol\ glc$)]])</f>
        <v>0</v>
      </c>
      <c r="G1486">
        <f>_xlfn.RANK.AVG(Table1[[#This Row],[Flux in SC / glucose uptake ($mmol/mmol\ glc$)]],Table1[Flux in SC / glucose uptake ($mmol/mmol\ glc$)])</f>
        <v>1310.5</v>
      </c>
      <c r="H1486">
        <f>_xlfn.RANK.AVG(Table1[[#This Row],[Flux in RT / glucose uptake ($mmol/mmol\ glc$)]],Table1[Flux in RT / glucose uptake ($mmol/mmol\ glc$)])</f>
        <v>1290.5</v>
      </c>
      <c r="I1486" t="e">
        <f>LOG(Table1[[#This Row],[Flux in SC / glucose uptake ($mmol/mmol\ glc$)]])</f>
        <v>#NUM!</v>
      </c>
      <c r="J1486" t="e">
        <f>LOG(Table1[[#This Row],[Flux in RT / glucose uptake ($mmol/mmol\ glc$)]])</f>
        <v>#NUM!</v>
      </c>
    </row>
    <row r="1487" spans="1:10" x14ac:dyDescent="0.2">
      <c r="A1487" t="s">
        <v>1490</v>
      </c>
      <c r="B1487" t="s">
        <v>3114</v>
      </c>
      <c r="C1487">
        <v>0</v>
      </c>
      <c r="D1487">
        <v>0</v>
      </c>
      <c r="E1487">
        <f>ABS(Table1[[#This Row],[Flux in SC / glucose uptake ($mmol/mmol\ glc$)]]-Table1[[#This Row],[Flux in RT / glucose uptake ($mmol/mmol\ glc$)]])/SQRT(2)</f>
        <v>0</v>
      </c>
      <c r="F1487">
        <f>Table1[[#This Row],[distance from 45-degree line]]/MAX(Table1[[Flux in SC / glucose uptake ($mmol/mmol\ glc$)]:[Flux in RT / glucose uptake ($mmol/mmol\ glc$)]])</f>
        <v>0</v>
      </c>
      <c r="G1487">
        <f>_xlfn.RANK.AVG(Table1[[#This Row],[Flux in SC / glucose uptake ($mmol/mmol\ glc$)]],Table1[Flux in SC / glucose uptake ($mmol/mmol\ glc$)])</f>
        <v>1310.5</v>
      </c>
      <c r="H1487">
        <f>_xlfn.RANK.AVG(Table1[[#This Row],[Flux in RT / glucose uptake ($mmol/mmol\ glc$)]],Table1[Flux in RT / glucose uptake ($mmol/mmol\ glc$)])</f>
        <v>1290.5</v>
      </c>
      <c r="I1487" t="e">
        <f>LOG(Table1[[#This Row],[Flux in SC / glucose uptake ($mmol/mmol\ glc$)]])</f>
        <v>#NUM!</v>
      </c>
      <c r="J1487" t="e">
        <f>LOG(Table1[[#This Row],[Flux in RT / glucose uptake ($mmol/mmol\ glc$)]])</f>
        <v>#NUM!</v>
      </c>
    </row>
    <row r="1488" spans="1:10" x14ac:dyDescent="0.2">
      <c r="A1488" t="s">
        <v>1491</v>
      </c>
      <c r="B1488" t="s">
        <v>3114</v>
      </c>
      <c r="C1488">
        <v>0</v>
      </c>
      <c r="D1488">
        <v>0</v>
      </c>
      <c r="E1488">
        <f>ABS(Table1[[#This Row],[Flux in SC / glucose uptake ($mmol/mmol\ glc$)]]-Table1[[#This Row],[Flux in RT / glucose uptake ($mmol/mmol\ glc$)]])/SQRT(2)</f>
        <v>0</v>
      </c>
      <c r="F1488">
        <f>Table1[[#This Row],[distance from 45-degree line]]/MAX(Table1[[Flux in SC / glucose uptake ($mmol/mmol\ glc$)]:[Flux in RT / glucose uptake ($mmol/mmol\ glc$)]])</f>
        <v>0</v>
      </c>
      <c r="G1488">
        <f>_xlfn.RANK.AVG(Table1[[#This Row],[Flux in SC / glucose uptake ($mmol/mmol\ glc$)]],Table1[Flux in SC / glucose uptake ($mmol/mmol\ glc$)])</f>
        <v>1310.5</v>
      </c>
      <c r="H1488">
        <f>_xlfn.RANK.AVG(Table1[[#This Row],[Flux in RT / glucose uptake ($mmol/mmol\ glc$)]],Table1[Flux in RT / glucose uptake ($mmol/mmol\ glc$)])</f>
        <v>1290.5</v>
      </c>
      <c r="I1488" t="e">
        <f>LOG(Table1[[#This Row],[Flux in SC / glucose uptake ($mmol/mmol\ glc$)]])</f>
        <v>#NUM!</v>
      </c>
      <c r="J1488" t="e">
        <f>LOG(Table1[[#This Row],[Flux in RT / glucose uptake ($mmol/mmol\ glc$)]])</f>
        <v>#NUM!</v>
      </c>
    </row>
    <row r="1489" spans="1:10" x14ac:dyDescent="0.2">
      <c r="A1489" t="s">
        <v>1492</v>
      </c>
      <c r="B1489" t="s">
        <v>3114</v>
      </c>
      <c r="C1489">
        <v>0</v>
      </c>
      <c r="D1489">
        <v>0</v>
      </c>
      <c r="E1489">
        <f>ABS(Table1[[#This Row],[Flux in SC / glucose uptake ($mmol/mmol\ glc$)]]-Table1[[#This Row],[Flux in RT / glucose uptake ($mmol/mmol\ glc$)]])/SQRT(2)</f>
        <v>0</v>
      </c>
      <c r="F1489">
        <f>Table1[[#This Row],[distance from 45-degree line]]/MAX(Table1[[Flux in SC / glucose uptake ($mmol/mmol\ glc$)]:[Flux in RT / glucose uptake ($mmol/mmol\ glc$)]])</f>
        <v>0</v>
      </c>
      <c r="G1489">
        <f>_xlfn.RANK.AVG(Table1[[#This Row],[Flux in SC / glucose uptake ($mmol/mmol\ glc$)]],Table1[Flux in SC / glucose uptake ($mmol/mmol\ glc$)])</f>
        <v>1310.5</v>
      </c>
      <c r="H1489">
        <f>_xlfn.RANK.AVG(Table1[[#This Row],[Flux in RT / glucose uptake ($mmol/mmol\ glc$)]],Table1[Flux in RT / glucose uptake ($mmol/mmol\ glc$)])</f>
        <v>1290.5</v>
      </c>
      <c r="I1489" t="e">
        <f>LOG(Table1[[#This Row],[Flux in SC / glucose uptake ($mmol/mmol\ glc$)]])</f>
        <v>#NUM!</v>
      </c>
      <c r="J1489" t="e">
        <f>LOG(Table1[[#This Row],[Flux in RT / glucose uptake ($mmol/mmol\ glc$)]])</f>
        <v>#NUM!</v>
      </c>
    </row>
    <row r="1490" spans="1:10" x14ac:dyDescent="0.2">
      <c r="A1490" t="s">
        <v>1493</v>
      </c>
      <c r="B1490" t="s">
        <v>3114</v>
      </c>
      <c r="C1490">
        <v>0</v>
      </c>
      <c r="D1490">
        <v>0</v>
      </c>
      <c r="E1490">
        <f>ABS(Table1[[#This Row],[Flux in SC / glucose uptake ($mmol/mmol\ glc$)]]-Table1[[#This Row],[Flux in RT / glucose uptake ($mmol/mmol\ glc$)]])/SQRT(2)</f>
        <v>0</v>
      </c>
      <c r="F1490">
        <f>Table1[[#This Row],[distance from 45-degree line]]/MAX(Table1[[Flux in SC / glucose uptake ($mmol/mmol\ glc$)]:[Flux in RT / glucose uptake ($mmol/mmol\ glc$)]])</f>
        <v>0</v>
      </c>
      <c r="G1490">
        <f>_xlfn.RANK.AVG(Table1[[#This Row],[Flux in SC / glucose uptake ($mmol/mmol\ glc$)]],Table1[Flux in SC / glucose uptake ($mmol/mmol\ glc$)])</f>
        <v>1310.5</v>
      </c>
      <c r="H1490">
        <f>_xlfn.RANK.AVG(Table1[[#This Row],[Flux in RT / glucose uptake ($mmol/mmol\ glc$)]],Table1[Flux in RT / glucose uptake ($mmol/mmol\ glc$)])</f>
        <v>1290.5</v>
      </c>
      <c r="I1490" t="e">
        <f>LOG(Table1[[#This Row],[Flux in SC / glucose uptake ($mmol/mmol\ glc$)]])</f>
        <v>#NUM!</v>
      </c>
      <c r="J1490" t="e">
        <f>LOG(Table1[[#This Row],[Flux in RT / glucose uptake ($mmol/mmol\ glc$)]])</f>
        <v>#NUM!</v>
      </c>
    </row>
    <row r="1491" spans="1:10" x14ac:dyDescent="0.2">
      <c r="A1491" t="s">
        <v>1494</v>
      </c>
      <c r="B1491" t="s">
        <v>3114</v>
      </c>
      <c r="C1491">
        <v>0</v>
      </c>
      <c r="D1491">
        <v>0</v>
      </c>
      <c r="E1491">
        <f>ABS(Table1[[#This Row],[Flux in SC / glucose uptake ($mmol/mmol\ glc$)]]-Table1[[#This Row],[Flux in RT / glucose uptake ($mmol/mmol\ glc$)]])/SQRT(2)</f>
        <v>0</v>
      </c>
      <c r="F1491">
        <f>Table1[[#This Row],[distance from 45-degree line]]/MAX(Table1[[Flux in SC / glucose uptake ($mmol/mmol\ glc$)]:[Flux in RT / glucose uptake ($mmol/mmol\ glc$)]])</f>
        <v>0</v>
      </c>
      <c r="G1491">
        <f>_xlfn.RANK.AVG(Table1[[#This Row],[Flux in SC / glucose uptake ($mmol/mmol\ glc$)]],Table1[Flux in SC / glucose uptake ($mmol/mmol\ glc$)])</f>
        <v>1310.5</v>
      </c>
      <c r="H1491">
        <f>_xlfn.RANK.AVG(Table1[[#This Row],[Flux in RT / glucose uptake ($mmol/mmol\ glc$)]],Table1[Flux in RT / glucose uptake ($mmol/mmol\ glc$)])</f>
        <v>1290.5</v>
      </c>
      <c r="I1491" t="e">
        <f>LOG(Table1[[#This Row],[Flux in SC / glucose uptake ($mmol/mmol\ glc$)]])</f>
        <v>#NUM!</v>
      </c>
      <c r="J1491" t="e">
        <f>LOG(Table1[[#This Row],[Flux in RT / glucose uptake ($mmol/mmol\ glc$)]])</f>
        <v>#NUM!</v>
      </c>
    </row>
    <row r="1492" spans="1:10" x14ac:dyDescent="0.2">
      <c r="A1492" t="s">
        <v>1495</v>
      </c>
      <c r="B1492" t="s">
        <v>3146</v>
      </c>
      <c r="C1492">
        <v>3.6110321147682783E-9</v>
      </c>
      <c r="D1492">
        <v>0.33832974080783801</v>
      </c>
      <c r="E1492">
        <f>ABS(Table1[[#This Row],[Flux in SC / glucose uptake ($mmol/mmol\ glc$)]]-Table1[[#This Row],[Flux in RT / glucose uptake ($mmol/mmol\ glc$)]])/SQRT(2)</f>
        <v>0.23923525144892391</v>
      </c>
      <c r="F1492">
        <f>Table1[[#This Row],[distance from 45-degree line]]/MAX(Table1[[Flux in SC / glucose uptake ($mmol/mmol\ glc$)]:[Flux in RT / glucose uptake ($mmol/mmol\ glc$)]])</f>
        <v>1.2894507069900118E-2</v>
      </c>
      <c r="G1492">
        <f>_xlfn.RANK.AVG(Table1[[#This Row],[Flux in SC / glucose uptake ($mmol/mmol\ glc$)]],Table1[Flux in SC / glucose uptake ($mmol/mmol\ glc$)])</f>
        <v>310</v>
      </c>
      <c r="H1492">
        <f>_xlfn.RANK.AVG(Table1[[#This Row],[Flux in RT / glucose uptake ($mmol/mmol\ glc$)]],Table1[Flux in RT / glucose uptake ($mmol/mmol\ glc$)])</f>
        <v>53</v>
      </c>
      <c r="I1492">
        <f>LOG(Table1[[#This Row],[Flux in SC / glucose uptake ($mmol/mmol\ glc$)]])</f>
        <v>-8.4423686491515095</v>
      </c>
      <c r="J1492">
        <f>LOG(Table1[[#This Row],[Flux in RT / glucose uptake ($mmol/mmol\ glc$)]])</f>
        <v>-0.47065982396486084</v>
      </c>
    </row>
    <row r="1493" spans="1:10" x14ac:dyDescent="0.2">
      <c r="A1493" t="s">
        <v>1496</v>
      </c>
      <c r="B1493" t="s">
        <v>3146</v>
      </c>
      <c r="C1493">
        <v>3.6110321147682783E-9</v>
      </c>
      <c r="D1493">
        <v>0</v>
      </c>
      <c r="E1493">
        <f>ABS(Table1[[#This Row],[Flux in SC / glucose uptake ($mmol/mmol\ glc$)]]-Table1[[#This Row],[Flux in RT / glucose uptake ($mmol/mmol\ glc$)]])/SQRT(2)</f>
        <v>2.5533852954350489E-9</v>
      </c>
      <c r="F1493">
        <f>Table1[[#This Row],[distance from 45-degree line]]/MAX(Table1[[Flux in SC / glucose uptake ($mmol/mmol\ glc$)]:[Flux in RT / glucose uptake ($mmol/mmol\ glc$)]])</f>
        <v>1.376245538429589E-10</v>
      </c>
      <c r="G1493">
        <f>_xlfn.RANK.AVG(Table1[[#This Row],[Flux in SC / glucose uptake ($mmol/mmol\ glc$)]],Table1[Flux in SC / glucose uptake ($mmol/mmol\ glc$)])</f>
        <v>310</v>
      </c>
      <c r="H1493">
        <f>_xlfn.RANK.AVG(Table1[[#This Row],[Flux in RT / glucose uptake ($mmol/mmol\ glc$)]],Table1[Flux in RT / glucose uptake ($mmol/mmol\ glc$)])</f>
        <v>1290.5</v>
      </c>
      <c r="I1493">
        <f>LOG(Table1[[#This Row],[Flux in SC / glucose uptake ($mmol/mmol\ glc$)]])</f>
        <v>-8.4423686491515095</v>
      </c>
      <c r="J1493" t="e">
        <f>LOG(Table1[[#This Row],[Flux in RT / glucose uptake ($mmol/mmol\ glc$)]])</f>
        <v>#NUM!</v>
      </c>
    </row>
    <row r="1494" spans="1:10" x14ac:dyDescent="0.2">
      <c r="A1494" t="s">
        <v>1497</v>
      </c>
      <c r="B1494" t="s">
        <v>3188</v>
      </c>
      <c r="C1494">
        <v>7.2220642295365566E-9</v>
      </c>
      <c r="D1494">
        <v>0</v>
      </c>
      <c r="E1494">
        <f>ABS(Table1[[#This Row],[Flux in SC / glucose uptake ($mmol/mmol\ glc$)]]-Table1[[#This Row],[Flux in RT / glucose uptake ($mmol/mmol\ glc$)]])/SQRT(2)</f>
        <v>5.1067705908700977E-9</v>
      </c>
      <c r="F1494">
        <f>Table1[[#This Row],[distance from 45-degree line]]/MAX(Table1[[Flux in SC / glucose uptake ($mmol/mmol\ glc$)]:[Flux in RT / glucose uptake ($mmol/mmol\ glc$)]])</f>
        <v>2.752491076859178E-10</v>
      </c>
      <c r="G1494">
        <f>_xlfn.RANK.AVG(Table1[[#This Row],[Flux in SC / glucose uptake ($mmol/mmol\ glc$)]],Table1[Flux in SC / glucose uptake ($mmol/mmol\ glc$)])</f>
        <v>291.5</v>
      </c>
      <c r="H1494">
        <f>_xlfn.RANK.AVG(Table1[[#This Row],[Flux in RT / glucose uptake ($mmol/mmol\ glc$)]],Table1[Flux in RT / glucose uptake ($mmol/mmol\ glc$)])</f>
        <v>1290.5</v>
      </c>
      <c r="I1494">
        <f>LOG(Table1[[#This Row],[Flux in SC / glucose uptake ($mmol/mmol\ glc$)]])</f>
        <v>-8.1413386534875283</v>
      </c>
      <c r="J1494" t="e">
        <f>LOG(Table1[[#This Row],[Flux in RT / glucose uptake ($mmol/mmol\ glc$)]])</f>
        <v>#NUM!</v>
      </c>
    </row>
    <row r="1495" spans="1:10" x14ac:dyDescent="0.2">
      <c r="A1495" t="s">
        <v>1498</v>
      </c>
      <c r="B1495" t="s">
        <v>3114</v>
      </c>
      <c r="C1495">
        <v>0</v>
      </c>
      <c r="D1495">
        <v>0</v>
      </c>
      <c r="E1495">
        <f>ABS(Table1[[#This Row],[Flux in SC / glucose uptake ($mmol/mmol\ glc$)]]-Table1[[#This Row],[Flux in RT / glucose uptake ($mmol/mmol\ glc$)]])/SQRT(2)</f>
        <v>0</v>
      </c>
      <c r="F1495">
        <f>Table1[[#This Row],[distance from 45-degree line]]/MAX(Table1[[Flux in SC / glucose uptake ($mmol/mmol\ glc$)]:[Flux in RT / glucose uptake ($mmol/mmol\ glc$)]])</f>
        <v>0</v>
      </c>
      <c r="G1495">
        <f>_xlfn.RANK.AVG(Table1[[#This Row],[Flux in SC / glucose uptake ($mmol/mmol\ glc$)]],Table1[Flux in SC / glucose uptake ($mmol/mmol\ glc$)])</f>
        <v>1310.5</v>
      </c>
      <c r="H1495">
        <f>_xlfn.RANK.AVG(Table1[[#This Row],[Flux in RT / glucose uptake ($mmol/mmol\ glc$)]],Table1[Flux in RT / glucose uptake ($mmol/mmol\ glc$)])</f>
        <v>1290.5</v>
      </c>
      <c r="I1495" t="e">
        <f>LOG(Table1[[#This Row],[Flux in SC / glucose uptake ($mmol/mmol\ glc$)]])</f>
        <v>#NUM!</v>
      </c>
      <c r="J1495" t="e">
        <f>LOG(Table1[[#This Row],[Flux in RT / glucose uptake ($mmol/mmol\ glc$)]])</f>
        <v>#NUM!</v>
      </c>
    </row>
    <row r="1496" spans="1:10" x14ac:dyDescent="0.2">
      <c r="A1496" t="s">
        <v>1499</v>
      </c>
      <c r="B1496" t="s">
        <v>3114</v>
      </c>
      <c r="C1496">
        <v>0</v>
      </c>
      <c r="D1496">
        <v>0</v>
      </c>
      <c r="E1496">
        <f>ABS(Table1[[#This Row],[Flux in SC / glucose uptake ($mmol/mmol\ glc$)]]-Table1[[#This Row],[Flux in RT / glucose uptake ($mmol/mmol\ glc$)]])/SQRT(2)</f>
        <v>0</v>
      </c>
      <c r="F1496">
        <f>Table1[[#This Row],[distance from 45-degree line]]/MAX(Table1[[Flux in SC / glucose uptake ($mmol/mmol\ glc$)]:[Flux in RT / glucose uptake ($mmol/mmol\ glc$)]])</f>
        <v>0</v>
      </c>
      <c r="G1496">
        <f>_xlfn.RANK.AVG(Table1[[#This Row],[Flux in SC / glucose uptake ($mmol/mmol\ glc$)]],Table1[Flux in SC / glucose uptake ($mmol/mmol\ glc$)])</f>
        <v>1310.5</v>
      </c>
      <c r="H1496">
        <f>_xlfn.RANK.AVG(Table1[[#This Row],[Flux in RT / glucose uptake ($mmol/mmol\ glc$)]],Table1[Flux in RT / glucose uptake ($mmol/mmol\ glc$)])</f>
        <v>1290.5</v>
      </c>
      <c r="I1496" t="e">
        <f>LOG(Table1[[#This Row],[Flux in SC / glucose uptake ($mmol/mmol\ glc$)]])</f>
        <v>#NUM!</v>
      </c>
      <c r="J1496" t="e">
        <f>LOG(Table1[[#This Row],[Flux in RT / glucose uptake ($mmol/mmol\ glc$)]])</f>
        <v>#NUM!</v>
      </c>
    </row>
    <row r="1497" spans="1:10" x14ac:dyDescent="0.2">
      <c r="A1497" t="s">
        <v>1500</v>
      </c>
      <c r="B1497" t="s">
        <v>3114</v>
      </c>
      <c r="C1497">
        <v>0</v>
      </c>
      <c r="D1497">
        <v>0</v>
      </c>
      <c r="E1497">
        <f>ABS(Table1[[#This Row],[Flux in SC / glucose uptake ($mmol/mmol\ glc$)]]-Table1[[#This Row],[Flux in RT / glucose uptake ($mmol/mmol\ glc$)]])/SQRT(2)</f>
        <v>0</v>
      </c>
      <c r="F1497">
        <f>Table1[[#This Row],[distance from 45-degree line]]/MAX(Table1[[Flux in SC / glucose uptake ($mmol/mmol\ glc$)]:[Flux in RT / glucose uptake ($mmol/mmol\ glc$)]])</f>
        <v>0</v>
      </c>
      <c r="G1497">
        <f>_xlfn.RANK.AVG(Table1[[#This Row],[Flux in SC / glucose uptake ($mmol/mmol\ glc$)]],Table1[Flux in SC / glucose uptake ($mmol/mmol\ glc$)])</f>
        <v>1310.5</v>
      </c>
      <c r="H1497">
        <f>_xlfn.RANK.AVG(Table1[[#This Row],[Flux in RT / glucose uptake ($mmol/mmol\ glc$)]],Table1[Flux in RT / glucose uptake ($mmol/mmol\ glc$)])</f>
        <v>1290.5</v>
      </c>
      <c r="I1497" t="e">
        <f>LOG(Table1[[#This Row],[Flux in SC / glucose uptake ($mmol/mmol\ glc$)]])</f>
        <v>#NUM!</v>
      </c>
      <c r="J1497" t="e">
        <f>LOG(Table1[[#This Row],[Flux in RT / glucose uptake ($mmol/mmol\ glc$)]])</f>
        <v>#NUM!</v>
      </c>
    </row>
    <row r="1498" spans="1:10" x14ac:dyDescent="0.2">
      <c r="A1498" t="s">
        <v>1501</v>
      </c>
      <c r="B1498" t="s">
        <v>3114</v>
      </c>
      <c r="C1498">
        <v>0</v>
      </c>
      <c r="D1498">
        <v>0</v>
      </c>
      <c r="E1498">
        <f>ABS(Table1[[#This Row],[Flux in SC / glucose uptake ($mmol/mmol\ glc$)]]-Table1[[#This Row],[Flux in RT / glucose uptake ($mmol/mmol\ glc$)]])/SQRT(2)</f>
        <v>0</v>
      </c>
      <c r="F1498">
        <f>Table1[[#This Row],[distance from 45-degree line]]/MAX(Table1[[Flux in SC / glucose uptake ($mmol/mmol\ glc$)]:[Flux in RT / glucose uptake ($mmol/mmol\ glc$)]])</f>
        <v>0</v>
      </c>
      <c r="G1498">
        <f>_xlfn.RANK.AVG(Table1[[#This Row],[Flux in SC / glucose uptake ($mmol/mmol\ glc$)]],Table1[Flux in SC / glucose uptake ($mmol/mmol\ glc$)])</f>
        <v>1310.5</v>
      </c>
      <c r="H1498">
        <f>_xlfn.RANK.AVG(Table1[[#This Row],[Flux in RT / glucose uptake ($mmol/mmol\ glc$)]],Table1[Flux in RT / glucose uptake ($mmol/mmol\ glc$)])</f>
        <v>1290.5</v>
      </c>
      <c r="I1498" t="e">
        <f>LOG(Table1[[#This Row],[Flux in SC / glucose uptake ($mmol/mmol\ glc$)]])</f>
        <v>#NUM!</v>
      </c>
      <c r="J1498" t="e">
        <f>LOG(Table1[[#This Row],[Flux in RT / glucose uptake ($mmol/mmol\ glc$)]])</f>
        <v>#NUM!</v>
      </c>
    </row>
    <row r="1499" spans="1:10" x14ac:dyDescent="0.2">
      <c r="A1499" t="s">
        <v>1502</v>
      </c>
      <c r="B1499" t="s">
        <v>3159</v>
      </c>
      <c r="C1499">
        <v>1.2845057121356784E-3</v>
      </c>
      <c r="D1499">
        <v>5.8136571518449575E-3</v>
      </c>
      <c r="E1499">
        <f>ABS(Table1[[#This Row],[Flux in SC / glucose uptake ($mmol/mmol\ glc$)]]-Table1[[#This Row],[Flux in RT / glucose uptake ($mmol/mmol\ glc$)]])/SQRT(2)</f>
        <v>3.2025936960392454E-3</v>
      </c>
      <c r="F1499">
        <f>Table1[[#This Row],[distance from 45-degree line]]/MAX(Table1[[Flux in SC / glucose uptake ($mmol/mmol\ glc$)]:[Flux in RT / glucose uptake ($mmol/mmol\ glc$)]])</f>
        <v>1.7261614584593174E-4</v>
      </c>
      <c r="G1499">
        <f>_xlfn.RANK.AVG(Table1[[#This Row],[Flux in SC / glucose uptake ($mmol/mmol\ glc$)]],Table1[Flux in SC / glucose uptake ($mmol/mmol\ glc$)])</f>
        <v>209</v>
      </c>
      <c r="H1499">
        <f>_xlfn.RANK.AVG(Table1[[#This Row],[Flux in RT / glucose uptake ($mmol/mmol\ glc$)]],Table1[Flux in RT / glucose uptake ($mmol/mmol\ glc$)])</f>
        <v>218</v>
      </c>
      <c r="I1499">
        <f>LOG(Table1[[#This Row],[Flux in SC / glucose uptake ($mmol/mmol\ glc$)]])</f>
        <v>-2.8912639601064796</v>
      </c>
      <c r="J1499">
        <f>LOG(Table1[[#This Row],[Flux in RT / glucose uptake ($mmol/mmol\ glc$)]])</f>
        <v>-2.235550583410487</v>
      </c>
    </row>
    <row r="1500" spans="1:10" x14ac:dyDescent="0.2">
      <c r="A1500" t="s">
        <v>1503</v>
      </c>
      <c r="B1500" t="s">
        <v>3159</v>
      </c>
      <c r="C1500">
        <v>1.2845057121356784E-3</v>
      </c>
      <c r="D1500">
        <v>5.8136571518449575E-3</v>
      </c>
      <c r="E1500">
        <f>ABS(Table1[[#This Row],[Flux in SC / glucose uptake ($mmol/mmol\ glc$)]]-Table1[[#This Row],[Flux in RT / glucose uptake ($mmol/mmol\ glc$)]])/SQRT(2)</f>
        <v>3.2025936960392454E-3</v>
      </c>
      <c r="F1500">
        <f>Table1[[#This Row],[distance from 45-degree line]]/MAX(Table1[[Flux in SC / glucose uptake ($mmol/mmol\ glc$)]:[Flux in RT / glucose uptake ($mmol/mmol\ glc$)]])</f>
        <v>1.7261614584593174E-4</v>
      </c>
      <c r="G1500">
        <f>_xlfn.RANK.AVG(Table1[[#This Row],[Flux in SC / glucose uptake ($mmol/mmol\ glc$)]],Table1[Flux in SC / glucose uptake ($mmol/mmol\ glc$)])</f>
        <v>209</v>
      </c>
      <c r="H1500">
        <f>_xlfn.RANK.AVG(Table1[[#This Row],[Flux in RT / glucose uptake ($mmol/mmol\ glc$)]],Table1[Flux in RT / glucose uptake ($mmol/mmol\ glc$)])</f>
        <v>218</v>
      </c>
      <c r="I1500">
        <f>LOG(Table1[[#This Row],[Flux in SC / glucose uptake ($mmol/mmol\ glc$)]])</f>
        <v>-2.8912639601064796</v>
      </c>
      <c r="J1500">
        <f>LOG(Table1[[#This Row],[Flux in RT / glucose uptake ($mmol/mmol\ glc$)]])</f>
        <v>-2.235550583410487</v>
      </c>
    </row>
    <row r="1501" spans="1:10" x14ac:dyDescent="0.2">
      <c r="A1501" t="s">
        <v>1504</v>
      </c>
      <c r="B1501" t="s">
        <v>3120</v>
      </c>
      <c r="C1501">
        <v>6.164020986813107E-3</v>
      </c>
      <c r="D1501">
        <v>0.11195094677362048</v>
      </c>
      <c r="E1501">
        <f>ABS(Table1[[#This Row],[Flux in SC / glucose uptake ($mmol/mmol\ glc$)]]-Table1[[#This Row],[Flux in RT / glucose uptake ($mmol/mmol\ glc$)]])/SQRT(2)</f>
        <v>7.480265258472954E-2</v>
      </c>
      <c r="F1501">
        <f>Table1[[#This Row],[distance from 45-degree line]]/MAX(Table1[[Flux in SC / glucose uptake ($mmol/mmol\ glc$)]:[Flux in RT / glucose uptake ($mmol/mmol\ glc$)]])</f>
        <v>4.0317776195578975E-3</v>
      </c>
      <c r="G1501">
        <f>_xlfn.RANK.AVG(Table1[[#This Row],[Flux in SC / glucose uptake ($mmol/mmol\ glc$)]],Table1[Flux in SC / glucose uptake ($mmol/mmol\ glc$)])</f>
        <v>99.5</v>
      </c>
      <c r="H1501">
        <f>_xlfn.RANK.AVG(Table1[[#This Row],[Flux in RT / glucose uptake ($mmol/mmol\ glc$)]],Table1[Flux in RT / glucose uptake ($mmol/mmol\ glc$)])</f>
        <v>78.5</v>
      </c>
      <c r="I1501">
        <f>LOG(Table1[[#This Row],[Flux in SC / glucose uptake ($mmol/mmol\ glc$)]])</f>
        <v>-2.2101358912966407</v>
      </c>
      <c r="J1501">
        <f>LOG(Table1[[#This Row],[Flux in RT / glucose uptake ($mmol/mmol\ glc$)]])</f>
        <v>-0.95097222922367086</v>
      </c>
    </row>
    <row r="1502" spans="1:10" x14ac:dyDescent="0.2">
      <c r="A1502" t="s">
        <v>1505</v>
      </c>
      <c r="B1502" t="s">
        <v>3114</v>
      </c>
      <c r="C1502">
        <v>3.9200637158083385E-3</v>
      </c>
      <c r="D1502">
        <v>1.7742087892535847E-2</v>
      </c>
      <c r="E1502">
        <f>ABS(Table1[[#This Row],[Flux in SC / glucose uptake ($mmol/mmol\ glc$)]]-Table1[[#This Row],[Flux in RT / glucose uptake ($mmol/mmol\ glc$)]])/SQRT(2)</f>
        <v>9.7736470250884278E-3</v>
      </c>
      <c r="F1502">
        <f>Table1[[#This Row],[distance from 45-degree line]]/MAX(Table1[[Flux in SC / glucose uptake ($mmol/mmol\ glc$)]:[Flux in RT / glucose uptake ($mmol/mmol\ glc$)]])</f>
        <v>5.2678842227654428E-4</v>
      </c>
      <c r="G1502">
        <f>_xlfn.RANK.AVG(Table1[[#This Row],[Flux in SC / glucose uptake ($mmol/mmol\ glc$)]],Table1[Flux in SC / glucose uptake ($mmol/mmol\ glc$)])</f>
        <v>146</v>
      </c>
      <c r="H1502">
        <f>_xlfn.RANK.AVG(Table1[[#This Row],[Flux in RT / glucose uptake ($mmol/mmol\ glc$)]],Table1[Flux in RT / glucose uptake ($mmol/mmol\ glc$)])</f>
        <v>159</v>
      </c>
      <c r="I1502">
        <f>LOG(Table1[[#This Row],[Flux in SC / glucose uptake ($mmol/mmol\ glc$)]])</f>
        <v>-2.4067068740001836</v>
      </c>
      <c r="J1502">
        <f>LOG(Table1[[#This Row],[Flux in RT / glucose uptake ($mmol/mmol\ glc$)]])</f>
        <v>-1.7509952736333134</v>
      </c>
    </row>
    <row r="1503" spans="1:10" x14ac:dyDescent="0.2">
      <c r="A1503" t="s">
        <v>1506</v>
      </c>
      <c r="B1503" t="s">
        <v>3114</v>
      </c>
      <c r="C1503">
        <v>0</v>
      </c>
      <c r="D1503">
        <v>0</v>
      </c>
      <c r="E1503">
        <f>ABS(Table1[[#This Row],[Flux in SC / glucose uptake ($mmol/mmol\ glc$)]]-Table1[[#This Row],[Flux in RT / glucose uptake ($mmol/mmol\ glc$)]])/SQRT(2)</f>
        <v>0</v>
      </c>
      <c r="F1503">
        <f>Table1[[#This Row],[distance from 45-degree line]]/MAX(Table1[[Flux in SC / glucose uptake ($mmol/mmol\ glc$)]:[Flux in RT / glucose uptake ($mmol/mmol\ glc$)]])</f>
        <v>0</v>
      </c>
      <c r="G1503">
        <f>_xlfn.RANK.AVG(Table1[[#This Row],[Flux in SC / glucose uptake ($mmol/mmol\ glc$)]],Table1[Flux in SC / glucose uptake ($mmol/mmol\ glc$)])</f>
        <v>1310.5</v>
      </c>
      <c r="H1503">
        <f>_xlfn.RANK.AVG(Table1[[#This Row],[Flux in RT / glucose uptake ($mmol/mmol\ glc$)]],Table1[Flux in RT / glucose uptake ($mmol/mmol\ glc$)])</f>
        <v>1290.5</v>
      </c>
      <c r="I1503" t="e">
        <f>LOG(Table1[[#This Row],[Flux in SC / glucose uptake ($mmol/mmol\ glc$)]])</f>
        <v>#NUM!</v>
      </c>
      <c r="J1503" t="e">
        <f>LOG(Table1[[#This Row],[Flux in RT / glucose uptake ($mmol/mmol\ glc$)]])</f>
        <v>#NUM!</v>
      </c>
    </row>
    <row r="1504" spans="1:10" x14ac:dyDescent="0.2">
      <c r="A1504" t="s">
        <v>1507</v>
      </c>
      <c r="B1504" t="s">
        <v>3148</v>
      </c>
      <c r="C1504">
        <v>0</v>
      </c>
      <c r="D1504">
        <v>0</v>
      </c>
      <c r="E1504">
        <f>ABS(Table1[[#This Row],[Flux in SC / glucose uptake ($mmol/mmol\ glc$)]]-Table1[[#This Row],[Flux in RT / glucose uptake ($mmol/mmol\ glc$)]])/SQRT(2)</f>
        <v>0</v>
      </c>
      <c r="F1504">
        <f>Table1[[#This Row],[distance from 45-degree line]]/MAX(Table1[[Flux in SC / glucose uptake ($mmol/mmol\ glc$)]:[Flux in RT / glucose uptake ($mmol/mmol\ glc$)]])</f>
        <v>0</v>
      </c>
      <c r="G1504">
        <f>_xlfn.RANK.AVG(Table1[[#This Row],[Flux in SC / glucose uptake ($mmol/mmol\ glc$)]],Table1[Flux in SC / glucose uptake ($mmol/mmol\ glc$)])</f>
        <v>1310.5</v>
      </c>
      <c r="H1504">
        <f>_xlfn.RANK.AVG(Table1[[#This Row],[Flux in RT / glucose uptake ($mmol/mmol\ glc$)]],Table1[Flux in RT / glucose uptake ($mmol/mmol\ glc$)])</f>
        <v>1290.5</v>
      </c>
      <c r="I1504" t="e">
        <f>LOG(Table1[[#This Row],[Flux in SC / glucose uptake ($mmol/mmol\ glc$)]])</f>
        <v>#NUM!</v>
      </c>
      <c r="J1504" t="e">
        <f>LOG(Table1[[#This Row],[Flux in RT / glucose uptake ($mmol/mmol\ glc$)]])</f>
        <v>#NUM!</v>
      </c>
    </row>
    <row r="1505" spans="1:10" x14ac:dyDescent="0.2">
      <c r="A1505" t="s">
        <v>1508</v>
      </c>
      <c r="B1505" t="s">
        <v>3148</v>
      </c>
      <c r="C1505">
        <v>3.9200637158083385E-3</v>
      </c>
      <c r="D1505">
        <v>1.7742087892535847E-2</v>
      </c>
      <c r="E1505">
        <f>ABS(Table1[[#This Row],[Flux in SC / glucose uptake ($mmol/mmol\ glc$)]]-Table1[[#This Row],[Flux in RT / glucose uptake ($mmol/mmol\ glc$)]])/SQRT(2)</f>
        <v>9.7736470250884278E-3</v>
      </c>
      <c r="F1505">
        <f>Table1[[#This Row],[distance from 45-degree line]]/MAX(Table1[[Flux in SC / glucose uptake ($mmol/mmol\ glc$)]:[Flux in RT / glucose uptake ($mmol/mmol\ glc$)]])</f>
        <v>5.2678842227654428E-4</v>
      </c>
      <c r="G1505">
        <f>_xlfn.RANK.AVG(Table1[[#This Row],[Flux in SC / glucose uptake ($mmol/mmol\ glc$)]],Table1[Flux in SC / glucose uptake ($mmol/mmol\ glc$)])</f>
        <v>146</v>
      </c>
      <c r="H1505">
        <f>_xlfn.RANK.AVG(Table1[[#This Row],[Flux in RT / glucose uptake ($mmol/mmol\ glc$)]],Table1[Flux in RT / glucose uptake ($mmol/mmol\ glc$)])</f>
        <v>159</v>
      </c>
      <c r="I1505">
        <f>LOG(Table1[[#This Row],[Flux in SC / glucose uptake ($mmol/mmol\ glc$)]])</f>
        <v>-2.4067068740001836</v>
      </c>
      <c r="J1505">
        <f>LOG(Table1[[#This Row],[Flux in RT / glucose uptake ($mmol/mmol\ glc$)]])</f>
        <v>-1.7509952736333134</v>
      </c>
    </row>
    <row r="1506" spans="1:10" x14ac:dyDescent="0.2">
      <c r="A1506" t="s">
        <v>1509</v>
      </c>
      <c r="B1506" t="s">
        <v>3114</v>
      </c>
      <c r="C1506">
        <v>0</v>
      </c>
      <c r="D1506">
        <v>0</v>
      </c>
      <c r="E1506">
        <f>ABS(Table1[[#This Row],[Flux in SC / glucose uptake ($mmol/mmol\ glc$)]]-Table1[[#This Row],[Flux in RT / glucose uptake ($mmol/mmol\ glc$)]])/SQRT(2)</f>
        <v>0</v>
      </c>
      <c r="F1506">
        <f>Table1[[#This Row],[distance from 45-degree line]]/MAX(Table1[[Flux in SC / glucose uptake ($mmol/mmol\ glc$)]:[Flux in RT / glucose uptake ($mmol/mmol\ glc$)]])</f>
        <v>0</v>
      </c>
      <c r="G1506">
        <f>_xlfn.RANK.AVG(Table1[[#This Row],[Flux in SC / glucose uptake ($mmol/mmol\ glc$)]],Table1[Flux in SC / glucose uptake ($mmol/mmol\ glc$)])</f>
        <v>1310.5</v>
      </c>
      <c r="H1506">
        <f>_xlfn.RANK.AVG(Table1[[#This Row],[Flux in RT / glucose uptake ($mmol/mmol\ glc$)]],Table1[Flux in RT / glucose uptake ($mmol/mmol\ glc$)])</f>
        <v>1290.5</v>
      </c>
      <c r="I1506" t="e">
        <f>LOG(Table1[[#This Row],[Flux in SC / glucose uptake ($mmol/mmol\ glc$)]])</f>
        <v>#NUM!</v>
      </c>
      <c r="J1506" t="e">
        <f>LOG(Table1[[#This Row],[Flux in RT / glucose uptake ($mmol/mmol\ glc$)]])</f>
        <v>#NUM!</v>
      </c>
    </row>
    <row r="1507" spans="1:10" x14ac:dyDescent="0.2">
      <c r="A1507" t="s">
        <v>1510</v>
      </c>
      <c r="B1507" t="s">
        <v>3114</v>
      </c>
      <c r="C1507">
        <v>0</v>
      </c>
      <c r="D1507">
        <v>0</v>
      </c>
      <c r="E1507">
        <f>ABS(Table1[[#This Row],[Flux in SC / glucose uptake ($mmol/mmol\ glc$)]]-Table1[[#This Row],[Flux in RT / glucose uptake ($mmol/mmol\ glc$)]])/SQRT(2)</f>
        <v>0</v>
      </c>
      <c r="F1507">
        <f>Table1[[#This Row],[distance from 45-degree line]]/MAX(Table1[[Flux in SC / glucose uptake ($mmol/mmol\ glc$)]:[Flux in RT / glucose uptake ($mmol/mmol\ glc$)]])</f>
        <v>0</v>
      </c>
      <c r="G1507">
        <f>_xlfn.RANK.AVG(Table1[[#This Row],[Flux in SC / glucose uptake ($mmol/mmol\ glc$)]],Table1[Flux in SC / glucose uptake ($mmol/mmol\ glc$)])</f>
        <v>1310.5</v>
      </c>
      <c r="H1507">
        <f>_xlfn.RANK.AVG(Table1[[#This Row],[Flux in RT / glucose uptake ($mmol/mmol\ glc$)]],Table1[Flux in RT / glucose uptake ($mmol/mmol\ glc$)])</f>
        <v>1290.5</v>
      </c>
      <c r="I1507" t="e">
        <f>LOG(Table1[[#This Row],[Flux in SC / glucose uptake ($mmol/mmol\ glc$)]])</f>
        <v>#NUM!</v>
      </c>
      <c r="J1507" t="e">
        <f>LOG(Table1[[#This Row],[Flux in RT / glucose uptake ($mmol/mmol\ glc$)]])</f>
        <v>#NUM!</v>
      </c>
    </row>
    <row r="1508" spans="1:10" x14ac:dyDescent="0.2">
      <c r="A1508" t="s">
        <v>1511</v>
      </c>
      <c r="B1508" t="s">
        <v>3154</v>
      </c>
      <c r="C1508">
        <v>0</v>
      </c>
      <c r="D1508">
        <v>0</v>
      </c>
      <c r="E1508">
        <f>ABS(Table1[[#This Row],[Flux in SC / glucose uptake ($mmol/mmol\ glc$)]]-Table1[[#This Row],[Flux in RT / glucose uptake ($mmol/mmol\ glc$)]])/SQRT(2)</f>
        <v>0</v>
      </c>
      <c r="F1508">
        <f>Table1[[#This Row],[distance from 45-degree line]]/MAX(Table1[[Flux in SC / glucose uptake ($mmol/mmol\ glc$)]:[Flux in RT / glucose uptake ($mmol/mmol\ glc$)]])</f>
        <v>0</v>
      </c>
      <c r="G1508">
        <f>_xlfn.RANK.AVG(Table1[[#This Row],[Flux in SC / glucose uptake ($mmol/mmol\ glc$)]],Table1[Flux in SC / glucose uptake ($mmol/mmol\ glc$)])</f>
        <v>1310.5</v>
      </c>
      <c r="H1508">
        <f>_xlfn.RANK.AVG(Table1[[#This Row],[Flux in RT / glucose uptake ($mmol/mmol\ glc$)]],Table1[Flux in RT / glucose uptake ($mmol/mmol\ glc$)])</f>
        <v>1290.5</v>
      </c>
      <c r="I1508" t="e">
        <f>LOG(Table1[[#This Row],[Flux in SC / glucose uptake ($mmol/mmol\ glc$)]])</f>
        <v>#NUM!</v>
      </c>
      <c r="J1508" t="e">
        <f>LOG(Table1[[#This Row],[Flux in RT / glucose uptake ($mmol/mmol\ glc$)]])</f>
        <v>#NUM!</v>
      </c>
    </row>
    <row r="1509" spans="1:10" x14ac:dyDescent="0.2">
      <c r="A1509" t="s">
        <v>1512</v>
      </c>
      <c r="B1509" t="s">
        <v>3154</v>
      </c>
      <c r="C1509">
        <v>0</v>
      </c>
      <c r="D1509">
        <v>0</v>
      </c>
      <c r="E1509">
        <f>ABS(Table1[[#This Row],[Flux in SC / glucose uptake ($mmol/mmol\ glc$)]]-Table1[[#This Row],[Flux in RT / glucose uptake ($mmol/mmol\ glc$)]])/SQRT(2)</f>
        <v>0</v>
      </c>
      <c r="F1509">
        <f>Table1[[#This Row],[distance from 45-degree line]]/MAX(Table1[[Flux in SC / glucose uptake ($mmol/mmol\ glc$)]:[Flux in RT / glucose uptake ($mmol/mmol\ glc$)]])</f>
        <v>0</v>
      </c>
      <c r="G1509">
        <f>_xlfn.RANK.AVG(Table1[[#This Row],[Flux in SC / glucose uptake ($mmol/mmol\ glc$)]],Table1[Flux in SC / glucose uptake ($mmol/mmol\ glc$)])</f>
        <v>1310.5</v>
      </c>
      <c r="H1509">
        <f>_xlfn.RANK.AVG(Table1[[#This Row],[Flux in RT / glucose uptake ($mmol/mmol\ glc$)]],Table1[Flux in RT / glucose uptake ($mmol/mmol\ glc$)])</f>
        <v>1290.5</v>
      </c>
      <c r="I1509" t="e">
        <f>LOG(Table1[[#This Row],[Flux in SC / glucose uptake ($mmol/mmol\ glc$)]])</f>
        <v>#NUM!</v>
      </c>
      <c r="J1509" t="e">
        <f>LOG(Table1[[#This Row],[Flux in RT / glucose uptake ($mmol/mmol\ glc$)]])</f>
        <v>#NUM!</v>
      </c>
    </row>
    <row r="1510" spans="1:10" x14ac:dyDescent="0.2">
      <c r="A1510" t="s">
        <v>1513</v>
      </c>
      <c r="B1510" t="s">
        <v>3150</v>
      </c>
      <c r="C1510">
        <v>4.1022372713840922E-3</v>
      </c>
      <c r="D1510">
        <v>1.9464255536077491E-2</v>
      </c>
      <c r="E1510">
        <f>ABS(Table1[[#This Row],[Flux in SC / glucose uptake ($mmol/mmol\ glc$)]]-Table1[[#This Row],[Flux in RT / glucose uptake ($mmol/mmol\ glc$)]])/SQRT(2)</f>
        <v>1.0862587287676301E-2</v>
      </c>
      <c r="F1510">
        <f>Table1[[#This Row],[distance from 45-degree line]]/MAX(Table1[[Flux in SC / glucose uptake ($mmol/mmol\ glc$)]:[Flux in RT / glucose uptake ($mmol/mmol\ glc$)]])</f>
        <v>5.8548105987738723E-4</v>
      </c>
      <c r="G1510">
        <f>_xlfn.RANK.AVG(Table1[[#This Row],[Flux in SC / glucose uptake ($mmol/mmol\ glc$)]],Table1[Flux in SC / glucose uptake ($mmol/mmol\ glc$)])</f>
        <v>137.5</v>
      </c>
      <c r="H1510">
        <f>_xlfn.RANK.AVG(Table1[[#This Row],[Flux in RT / glucose uptake ($mmol/mmol\ glc$)]],Table1[Flux in RT / glucose uptake ($mmol/mmol\ glc$)])</f>
        <v>148.5</v>
      </c>
      <c r="I1510">
        <f>LOG(Table1[[#This Row],[Flux in SC / glucose uptake ($mmol/mmol\ glc$)]])</f>
        <v>-2.3869792238621645</v>
      </c>
      <c r="J1510">
        <f>LOG(Table1[[#This Row],[Flux in RT / glucose uptake ($mmol/mmol\ glc$)]])</f>
        <v>-1.7107622024136595</v>
      </c>
    </row>
    <row r="1511" spans="1:10" x14ac:dyDescent="0.2">
      <c r="A1511" t="s">
        <v>1514</v>
      </c>
      <c r="B1511" t="s">
        <v>3150</v>
      </c>
      <c r="C1511">
        <v>1.3997938133051351E-3</v>
      </c>
      <c r="D1511">
        <v>8.2593490700919748E-3</v>
      </c>
      <c r="E1511">
        <f>ABS(Table1[[#This Row],[Flux in SC / glucose uptake ($mmol/mmol\ glc$)]]-Table1[[#This Row],[Flux in RT / glucose uptake ($mmol/mmol\ glc$)]])/SQRT(2)</f>
        <v>4.8504380379978031E-3</v>
      </c>
      <c r="F1511">
        <f>Table1[[#This Row],[distance from 45-degree line]]/MAX(Table1[[Flux in SC / glucose uptake ($mmol/mmol\ glc$)]:[Flux in RT / glucose uptake ($mmol/mmol\ glc$)]])</f>
        <v>2.6143307557844632E-4</v>
      </c>
      <c r="G1511">
        <f>_xlfn.RANK.AVG(Table1[[#This Row],[Flux in SC / glucose uptake ($mmol/mmol\ glc$)]],Table1[Flux in SC / glucose uptake ($mmol/mmol\ glc$)])</f>
        <v>198</v>
      </c>
      <c r="H1511">
        <f>_xlfn.RANK.AVG(Table1[[#This Row],[Flux in RT / glucose uptake ($mmol/mmol\ glc$)]],Table1[Flux in RT / glucose uptake ($mmol/mmol\ glc$)])</f>
        <v>202.5</v>
      </c>
      <c r="I1511">
        <f>LOG(Table1[[#This Row],[Flux in SC / glucose uptake ($mmol/mmol\ glc$)]])</f>
        <v>-2.8539359302777965</v>
      </c>
      <c r="J1511">
        <f>LOG(Table1[[#This Row],[Flux in RT / glucose uptake ($mmol/mmol\ glc$)]])</f>
        <v>-2.0830541786368402</v>
      </c>
    </row>
    <row r="1512" spans="1:10" x14ac:dyDescent="0.2">
      <c r="A1512" t="s">
        <v>1515</v>
      </c>
      <c r="B1512" t="s">
        <v>3114</v>
      </c>
      <c r="C1512">
        <v>0</v>
      </c>
      <c r="D1512">
        <v>0</v>
      </c>
      <c r="E1512">
        <f>ABS(Table1[[#This Row],[Flux in SC / glucose uptake ($mmol/mmol\ glc$)]]-Table1[[#This Row],[Flux in RT / glucose uptake ($mmol/mmol\ glc$)]])/SQRT(2)</f>
        <v>0</v>
      </c>
      <c r="F1512">
        <f>Table1[[#This Row],[distance from 45-degree line]]/MAX(Table1[[Flux in SC / glucose uptake ($mmol/mmol\ glc$)]:[Flux in RT / glucose uptake ($mmol/mmol\ glc$)]])</f>
        <v>0</v>
      </c>
      <c r="G1512">
        <f>_xlfn.RANK.AVG(Table1[[#This Row],[Flux in SC / glucose uptake ($mmol/mmol\ glc$)]],Table1[Flux in SC / glucose uptake ($mmol/mmol\ glc$)])</f>
        <v>1310.5</v>
      </c>
      <c r="H1512">
        <f>_xlfn.RANK.AVG(Table1[[#This Row],[Flux in RT / glucose uptake ($mmol/mmol\ glc$)]],Table1[Flux in RT / glucose uptake ($mmol/mmol\ glc$)])</f>
        <v>1290.5</v>
      </c>
      <c r="I1512" t="e">
        <f>LOG(Table1[[#This Row],[Flux in SC / glucose uptake ($mmol/mmol\ glc$)]])</f>
        <v>#NUM!</v>
      </c>
      <c r="J1512" t="e">
        <f>LOG(Table1[[#This Row],[Flux in RT / glucose uptake ($mmol/mmol\ glc$)]])</f>
        <v>#NUM!</v>
      </c>
    </row>
    <row r="1513" spans="1:10" x14ac:dyDescent="0.2">
      <c r="A1513" t="s">
        <v>1516</v>
      </c>
      <c r="B1513" t="s">
        <v>3114</v>
      </c>
      <c r="C1513">
        <v>0</v>
      </c>
      <c r="D1513">
        <v>0</v>
      </c>
      <c r="E1513">
        <f>ABS(Table1[[#This Row],[Flux in SC / glucose uptake ($mmol/mmol\ glc$)]]-Table1[[#This Row],[Flux in RT / glucose uptake ($mmol/mmol\ glc$)]])/SQRT(2)</f>
        <v>0</v>
      </c>
      <c r="F1513">
        <f>Table1[[#This Row],[distance from 45-degree line]]/MAX(Table1[[Flux in SC / glucose uptake ($mmol/mmol\ glc$)]:[Flux in RT / glucose uptake ($mmol/mmol\ glc$)]])</f>
        <v>0</v>
      </c>
      <c r="G1513">
        <f>_xlfn.RANK.AVG(Table1[[#This Row],[Flux in SC / glucose uptake ($mmol/mmol\ glc$)]],Table1[Flux in SC / glucose uptake ($mmol/mmol\ glc$)])</f>
        <v>1310.5</v>
      </c>
      <c r="H1513">
        <f>_xlfn.RANK.AVG(Table1[[#This Row],[Flux in RT / glucose uptake ($mmol/mmol\ glc$)]],Table1[Flux in RT / glucose uptake ($mmol/mmol\ glc$)])</f>
        <v>1290.5</v>
      </c>
      <c r="I1513" t="e">
        <f>LOG(Table1[[#This Row],[Flux in SC / glucose uptake ($mmol/mmol\ glc$)]])</f>
        <v>#NUM!</v>
      </c>
      <c r="J1513" t="e">
        <f>LOG(Table1[[#This Row],[Flux in RT / glucose uptake ($mmol/mmol\ glc$)]])</f>
        <v>#NUM!</v>
      </c>
    </row>
    <row r="1514" spans="1:10" x14ac:dyDescent="0.2">
      <c r="A1514" t="s">
        <v>1517</v>
      </c>
      <c r="B1514" t="s">
        <v>3114</v>
      </c>
      <c r="C1514">
        <v>0</v>
      </c>
      <c r="D1514">
        <v>0</v>
      </c>
      <c r="E1514">
        <f>ABS(Table1[[#This Row],[Flux in SC / glucose uptake ($mmol/mmol\ glc$)]]-Table1[[#This Row],[Flux in RT / glucose uptake ($mmol/mmol\ glc$)]])/SQRT(2)</f>
        <v>0</v>
      </c>
      <c r="F1514">
        <f>Table1[[#This Row],[distance from 45-degree line]]/MAX(Table1[[Flux in SC / glucose uptake ($mmol/mmol\ glc$)]:[Flux in RT / glucose uptake ($mmol/mmol\ glc$)]])</f>
        <v>0</v>
      </c>
      <c r="G1514">
        <f>_xlfn.RANK.AVG(Table1[[#This Row],[Flux in SC / glucose uptake ($mmol/mmol\ glc$)]],Table1[Flux in SC / glucose uptake ($mmol/mmol\ glc$)])</f>
        <v>1310.5</v>
      </c>
      <c r="H1514">
        <f>_xlfn.RANK.AVG(Table1[[#This Row],[Flux in RT / glucose uptake ($mmol/mmol\ glc$)]],Table1[Flux in RT / glucose uptake ($mmol/mmol\ glc$)])</f>
        <v>1290.5</v>
      </c>
      <c r="I1514" t="e">
        <f>LOG(Table1[[#This Row],[Flux in SC / glucose uptake ($mmol/mmol\ glc$)]])</f>
        <v>#NUM!</v>
      </c>
      <c r="J1514" t="e">
        <f>LOG(Table1[[#This Row],[Flux in RT / glucose uptake ($mmol/mmol\ glc$)]])</f>
        <v>#NUM!</v>
      </c>
    </row>
    <row r="1515" spans="1:10" x14ac:dyDescent="0.2">
      <c r="A1515" t="s">
        <v>1518</v>
      </c>
      <c r="B1515" t="s">
        <v>3120</v>
      </c>
      <c r="C1515">
        <v>0</v>
      </c>
      <c r="D1515">
        <v>0</v>
      </c>
      <c r="E1515">
        <f>ABS(Table1[[#This Row],[Flux in SC / glucose uptake ($mmol/mmol\ glc$)]]-Table1[[#This Row],[Flux in RT / glucose uptake ($mmol/mmol\ glc$)]])/SQRT(2)</f>
        <v>0</v>
      </c>
      <c r="F1515">
        <f>Table1[[#This Row],[distance from 45-degree line]]/MAX(Table1[[Flux in SC / glucose uptake ($mmol/mmol\ glc$)]:[Flux in RT / glucose uptake ($mmol/mmol\ glc$)]])</f>
        <v>0</v>
      </c>
      <c r="G1515">
        <f>_xlfn.RANK.AVG(Table1[[#This Row],[Flux in SC / glucose uptake ($mmol/mmol\ glc$)]],Table1[Flux in SC / glucose uptake ($mmol/mmol\ glc$)])</f>
        <v>1310.5</v>
      </c>
      <c r="H1515">
        <f>_xlfn.RANK.AVG(Table1[[#This Row],[Flux in RT / glucose uptake ($mmol/mmol\ glc$)]],Table1[Flux in RT / glucose uptake ($mmol/mmol\ glc$)])</f>
        <v>1290.5</v>
      </c>
      <c r="I1515" t="e">
        <f>LOG(Table1[[#This Row],[Flux in SC / glucose uptake ($mmol/mmol\ glc$)]])</f>
        <v>#NUM!</v>
      </c>
      <c r="J1515" t="e">
        <f>LOG(Table1[[#This Row],[Flux in RT / glucose uptake ($mmol/mmol\ glc$)]])</f>
        <v>#NUM!</v>
      </c>
    </row>
    <row r="1516" spans="1:10" x14ac:dyDescent="0.2">
      <c r="A1516" t="s">
        <v>1519</v>
      </c>
      <c r="B1516" t="s">
        <v>3191</v>
      </c>
      <c r="C1516">
        <v>0</v>
      </c>
      <c r="D1516">
        <v>0</v>
      </c>
      <c r="E1516">
        <f>ABS(Table1[[#This Row],[Flux in SC / glucose uptake ($mmol/mmol\ glc$)]]-Table1[[#This Row],[Flux in RT / glucose uptake ($mmol/mmol\ glc$)]])/SQRT(2)</f>
        <v>0</v>
      </c>
      <c r="F1516">
        <f>Table1[[#This Row],[distance from 45-degree line]]/MAX(Table1[[Flux in SC / glucose uptake ($mmol/mmol\ glc$)]:[Flux in RT / glucose uptake ($mmol/mmol\ glc$)]])</f>
        <v>0</v>
      </c>
      <c r="G1516">
        <f>_xlfn.RANK.AVG(Table1[[#This Row],[Flux in SC / glucose uptake ($mmol/mmol\ glc$)]],Table1[Flux in SC / glucose uptake ($mmol/mmol\ glc$)])</f>
        <v>1310.5</v>
      </c>
      <c r="H1516">
        <f>_xlfn.RANK.AVG(Table1[[#This Row],[Flux in RT / glucose uptake ($mmol/mmol\ glc$)]],Table1[Flux in RT / glucose uptake ($mmol/mmol\ glc$)])</f>
        <v>1290.5</v>
      </c>
      <c r="I1516" t="e">
        <f>LOG(Table1[[#This Row],[Flux in SC / glucose uptake ($mmol/mmol\ glc$)]])</f>
        <v>#NUM!</v>
      </c>
      <c r="J1516" t="e">
        <f>LOG(Table1[[#This Row],[Flux in RT / glucose uptake ($mmol/mmol\ glc$)]])</f>
        <v>#NUM!</v>
      </c>
    </row>
    <row r="1517" spans="1:10" x14ac:dyDescent="0.2">
      <c r="A1517" t="s">
        <v>1520</v>
      </c>
      <c r="B1517" t="s">
        <v>3197</v>
      </c>
      <c r="C1517">
        <v>0</v>
      </c>
      <c r="D1517">
        <v>0</v>
      </c>
      <c r="E1517">
        <f>ABS(Table1[[#This Row],[Flux in SC / glucose uptake ($mmol/mmol\ glc$)]]-Table1[[#This Row],[Flux in RT / glucose uptake ($mmol/mmol\ glc$)]])/SQRT(2)</f>
        <v>0</v>
      </c>
      <c r="F1517">
        <f>Table1[[#This Row],[distance from 45-degree line]]/MAX(Table1[[Flux in SC / glucose uptake ($mmol/mmol\ glc$)]:[Flux in RT / glucose uptake ($mmol/mmol\ glc$)]])</f>
        <v>0</v>
      </c>
      <c r="G1517">
        <f>_xlfn.RANK.AVG(Table1[[#This Row],[Flux in SC / glucose uptake ($mmol/mmol\ glc$)]],Table1[Flux in SC / glucose uptake ($mmol/mmol\ glc$)])</f>
        <v>1310.5</v>
      </c>
      <c r="H1517">
        <f>_xlfn.RANK.AVG(Table1[[#This Row],[Flux in RT / glucose uptake ($mmol/mmol\ glc$)]],Table1[Flux in RT / glucose uptake ($mmol/mmol\ glc$)])</f>
        <v>1290.5</v>
      </c>
      <c r="I1517" t="e">
        <f>LOG(Table1[[#This Row],[Flux in SC / glucose uptake ($mmol/mmol\ glc$)]])</f>
        <v>#NUM!</v>
      </c>
      <c r="J1517" t="e">
        <f>LOG(Table1[[#This Row],[Flux in RT / glucose uptake ($mmol/mmol\ glc$)]])</f>
        <v>#NUM!</v>
      </c>
    </row>
    <row r="1518" spans="1:10" x14ac:dyDescent="0.2">
      <c r="A1518" t="s">
        <v>1521</v>
      </c>
      <c r="B1518" t="s">
        <v>3114</v>
      </c>
      <c r="C1518">
        <v>0</v>
      </c>
      <c r="D1518">
        <v>0</v>
      </c>
      <c r="E1518">
        <f>ABS(Table1[[#This Row],[Flux in SC / glucose uptake ($mmol/mmol\ glc$)]]-Table1[[#This Row],[Flux in RT / glucose uptake ($mmol/mmol\ glc$)]])/SQRT(2)</f>
        <v>0</v>
      </c>
      <c r="F1518">
        <f>Table1[[#This Row],[distance from 45-degree line]]/MAX(Table1[[Flux in SC / glucose uptake ($mmol/mmol\ glc$)]:[Flux in RT / glucose uptake ($mmol/mmol\ glc$)]])</f>
        <v>0</v>
      </c>
      <c r="G1518">
        <f>_xlfn.RANK.AVG(Table1[[#This Row],[Flux in SC / glucose uptake ($mmol/mmol\ glc$)]],Table1[Flux in SC / glucose uptake ($mmol/mmol\ glc$)])</f>
        <v>1310.5</v>
      </c>
      <c r="H1518">
        <f>_xlfn.RANK.AVG(Table1[[#This Row],[Flux in RT / glucose uptake ($mmol/mmol\ glc$)]],Table1[Flux in RT / glucose uptake ($mmol/mmol\ glc$)])</f>
        <v>1290.5</v>
      </c>
      <c r="I1518" t="e">
        <f>LOG(Table1[[#This Row],[Flux in SC / glucose uptake ($mmol/mmol\ glc$)]])</f>
        <v>#NUM!</v>
      </c>
      <c r="J1518" t="e">
        <f>LOG(Table1[[#This Row],[Flux in RT / glucose uptake ($mmol/mmol\ glc$)]])</f>
        <v>#NUM!</v>
      </c>
    </row>
    <row r="1519" spans="1:10" x14ac:dyDescent="0.2">
      <c r="A1519" t="s">
        <v>1522</v>
      </c>
      <c r="B1519" t="s">
        <v>3114</v>
      </c>
      <c r="C1519">
        <v>0</v>
      </c>
      <c r="D1519">
        <v>0</v>
      </c>
      <c r="E1519">
        <f>ABS(Table1[[#This Row],[Flux in SC / glucose uptake ($mmol/mmol\ glc$)]]-Table1[[#This Row],[Flux in RT / glucose uptake ($mmol/mmol\ glc$)]])/SQRT(2)</f>
        <v>0</v>
      </c>
      <c r="F1519">
        <f>Table1[[#This Row],[distance from 45-degree line]]/MAX(Table1[[Flux in SC / glucose uptake ($mmol/mmol\ glc$)]:[Flux in RT / glucose uptake ($mmol/mmol\ glc$)]])</f>
        <v>0</v>
      </c>
      <c r="G1519">
        <f>_xlfn.RANK.AVG(Table1[[#This Row],[Flux in SC / glucose uptake ($mmol/mmol\ glc$)]],Table1[Flux in SC / glucose uptake ($mmol/mmol\ glc$)])</f>
        <v>1310.5</v>
      </c>
      <c r="H1519">
        <f>_xlfn.RANK.AVG(Table1[[#This Row],[Flux in RT / glucose uptake ($mmol/mmol\ glc$)]],Table1[Flux in RT / glucose uptake ($mmol/mmol\ glc$)])</f>
        <v>1290.5</v>
      </c>
      <c r="I1519" t="e">
        <f>LOG(Table1[[#This Row],[Flux in SC / glucose uptake ($mmol/mmol\ glc$)]])</f>
        <v>#NUM!</v>
      </c>
      <c r="J1519" t="e">
        <f>LOG(Table1[[#This Row],[Flux in RT / glucose uptake ($mmol/mmol\ glc$)]])</f>
        <v>#NUM!</v>
      </c>
    </row>
    <row r="1520" spans="1:10" x14ac:dyDescent="0.2">
      <c r="A1520" t="s">
        <v>1523</v>
      </c>
      <c r="B1520" t="s">
        <v>3114</v>
      </c>
      <c r="C1520">
        <v>0</v>
      </c>
      <c r="D1520">
        <v>0</v>
      </c>
      <c r="E1520">
        <f>ABS(Table1[[#This Row],[Flux in SC / glucose uptake ($mmol/mmol\ glc$)]]-Table1[[#This Row],[Flux in RT / glucose uptake ($mmol/mmol\ glc$)]])/SQRT(2)</f>
        <v>0</v>
      </c>
      <c r="F1520">
        <f>Table1[[#This Row],[distance from 45-degree line]]/MAX(Table1[[Flux in SC / glucose uptake ($mmol/mmol\ glc$)]:[Flux in RT / glucose uptake ($mmol/mmol\ glc$)]])</f>
        <v>0</v>
      </c>
      <c r="G1520">
        <f>_xlfn.RANK.AVG(Table1[[#This Row],[Flux in SC / glucose uptake ($mmol/mmol\ glc$)]],Table1[Flux in SC / glucose uptake ($mmol/mmol\ glc$)])</f>
        <v>1310.5</v>
      </c>
      <c r="H1520">
        <f>_xlfn.RANK.AVG(Table1[[#This Row],[Flux in RT / glucose uptake ($mmol/mmol\ glc$)]],Table1[Flux in RT / glucose uptake ($mmol/mmol\ glc$)])</f>
        <v>1290.5</v>
      </c>
      <c r="I1520" t="e">
        <f>LOG(Table1[[#This Row],[Flux in SC / glucose uptake ($mmol/mmol\ glc$)]])</f>
        <v>#NUM!</v>
      </c>
      <c r="J1520" t="e">
        <f>LOG(Table1[[#This Row],[Flux in RT / glucose uptake ($mmol/mmol\ glc$)]])</f>
        <v>#NUM!</v>
      </c>
    </row>
    <row r="1521" spans="1:10" x14ac:dyDescent="0.2">
      <c r="A1521" t="s">
        <v>1524</v>
      </c>
      <c r="B1521" t="s">
        <v>3150</v>
      </c>
      <c r="C1521">
        <v>0</v>
      </c>
      <c r="D1521">
        <v>0</v>
      </c>
      <c r="E1521">
        <f>ABS(Table1[[#This Row],[Flux in SC / glucose uptake ($mmol/mmol\ glc$)]]-Table1[[#This Row],[Flux in RT / glucose uptake ($mmol/mmol\ glc$)]])/SQRT(2)</f>
        <v>0</v>
      </c>
      <c r="F1521">
        <f>Table1[[#This Row],[distance from 45-degree line]]/MAX(Table1[[Flux in SC / glucose uptake ($mmol/mmol\ glc$)]:[Flux in RT / glucose uptake ($mmol/mmol\ glc$)]])</f>
        <v>0</v>
      </c>
      <c r="G1521">
        <f>_xlfn.RANK.AVG(Table1[[#This Row],[Flux in SC / glucose uptake ($mmol/mmol\ glc$)]],Table1[Flux in SC / glucose uptake ($mmol/mmol\ glc$)])</f>
        <v>1310.5</v>
      </c>
      <c r="H1521">
        <f>_xlfn.RANK.AVG(Table1[[#This Row],[Flux in RT / glucose uptake ($mmol/mmol\ glc$)]],Table1[Flux in RT / glucose uptake ($mmol/mmol\ glc$)])</f>
        <v>1290.5</v>
      </c>
      <c r="I1521" t="e">
        <f>LOG(Table1[[#This Row],[Flux in SC / glucose uptake ($mmol/mmol\ glc$)]])</f>
        <v>#NUM!</v>
      </c>
      <c r="J1521" t="e">
        <f>LOG(Table1[[#This Row],[Flux in RT / glucose uptake ($mmol/mmol\ glc$)]])</f>
        <v>#NUM!</v>
      </c>
    </row>
    <row r="1522" spans="1:10" x14ac:dyDescent="0.2">
      <c r="A1522" t="s">
        <v>1525</v>
      </c>
      <c r="B1522" t="s">
        <v>3114</v>
      </c>
      <c r="C1522">
        <v>0</v>
      </c>
      <c r="D1522">
        <v>0</v>
      </c>
      <c r="E1522">
        <f>ABS(Table1[[#This Row],[Flux in SC / glucose uptake ($mmol/mmol\ glc$)]]-Table1[[#This Row],[Flux in RT / glucose uptake ($mmol/mmol\ glc$)]])/SQRT(2)</f>
        <v>0</v>
      </c>
      <c r="F1522">
        <f>Table1[[#This Row],[distance from 45-degree line]]/MAX(Table1[[Flux in SC / glucose uptake ($mmol/mmol\ glc$)]:[Flux in RT / glucose uptake ($mmol/mmol\ glc$)]])</f>
        <v>0</v>
      </c>
      <c r="G1522">
        <f>_xlfn.RANK.AVG(Table1[[#This Row],[Flux in SC / glucose uptake ($mmol/mmol\ glc$)]],Table1[Flux in SC / glucose uptake ($mmol/mmol\ glc$)])</f>
        <v>1310.5</v>
      </c>
      <c r="H1522">
        <f>_xlfn.RANK.AVG(Table1[[#This Row],[Flux in RT / glucose uptake ($mmol/mmol\ glc$)]],Table1[Flux in RT / glucose uptake ($mmol/mmol\ glc$)])</f>
        <v>1290.5</v>
      </c>
      <c r="I1522" t="e">
        <f>LOG(Table1[[#This Row],[Flux in SC / glucose uptake ($mmol/mmol\ glc$)]])</f>
        <v>#NUM!</v>
      </c>
      <c r="J1522" t="e">
        <f>LOG(Table1[[#This Row],[Flux in RT / glucose uptake ($mmol/mmol\ glc$)]])</f>
        <v>#NUM!</v>
      </c>
    </row>
    <row r="1523" spans="1:10" x14ac:dyDescent="0.2">
      <c r="A1523" t="s">
        <v>1526</v>
      </c>
      <c r="B1523" t="s">
        <v>3121</v>
      </c>
      <c r="C1523">
        <v>0</v>
      </c>
      <c r="D1523">
        <v>0</v>
      </c>
      <c r="E1523">
        <f>ABS(Table1[[#This Row],[Flux in SC / glucose uptake ($mmol/mmol\ glc$)]]-Table1[[#This Row],[Flux in RT / glucose uptake ($mmol/mmol\ glc$)]])/SQRT(2)</f>
        <v>0</v>
      </c>
      <c r="F1523">
        <f>Table1[[#This Row],[distance from 45-degree line]]/MAX(Table1[[Flux in SC / glucose uptake ($mmol/mmol\ glc$)]:[Flux in RT / glucose uptake ($mmol/mmol\ glc$)]])</f>
        <v>0</v>
      </c>
      <c r="G1523">
        <f>_xlfn.RANK.AVG(Table1[[#This Row],[Flux in SC / glucose uptake ($mmol/mmol\ glc$)]],Table1[Flux in SC / glucose uptake ($mmol/mmol\ glc$)])</f>
        <v>1310.5</v>
      </c>
      <c r="H1523">
        <f>_xlfn.RANK.AVG(Table1[[#This Row],[Flux in RT / glucose uptake ($mmol/mmol\ glc$)]],Table1[Flux in RT / glucose uptake ($mmol/mmol\ glc$)])</f>
        <v>1290.5</v>
      </c>
      <c r="I1523" t="e">
        <f>LOG(Table1[[#This Row],[Flux in SC / glucose uptake ($mmol/mmol\ glc$)]])</f>
        <v>#NUM!</v>
      </c>
      <c r="J1523" t="e">
        <f>LOG(Table1[[#This Row],[Flux in RT / glucose uptake ($mmol/mmol\ glc$)]])</f>
        <v>#NUM!</v>
      </c>
    </row>
    <row r="1524" spans="1:10" x14ac:dyDescent="0.2">
      <c r="A1524" t="s">
        <v>1527</v>
      </c>
      <c r="B1524" t="s">
        <v>3114</v>
      </c>
      <c r="C1524">
        <v>0</v>
      </c>
      <c r="D1524">
        <v>0</v>
      </c>
      <c r="E1524">
        <f>ABS(Table1[[#This Row],[Flux in SC / glucose uptake ($mmol/mmol\ glc$)]]-Table1[[#This Row],[Flux in RT / glucose uptake ($mmol/mmol\ glc$)]])/SQRT(2)</f>
        <v>0</v>
      </c>
      <c r="F1524">
        <f>Table1[[#This Row],[distance from 45-degree line]]/MAX(Table1[[Flux in SC / glucose uptake ($mmol/mmol\ glc$)]:[Flux in RT / glucose uptake ($mmol/mmol\ glc$)]])</f>
        <v>0</v>
      </c>
      <c r="G1524">
        <f>_xlfn.RANK.AVG(Table1[[#This Row],[Flux in SC / glucose uptake ($mmol/mmol\ glc$)]],Table1[Flux in SC / glucose uptake ($mmol/mmol\ glc$)])</f>
        <v>1310.5</v>
      </c>
      <c r="H1524">
        <f>_xlfn.RANK.AVG(Table1[[#This Row],[Flux in RT / glucose uptake ($mmol/mmol\ glc$)]],Table1[Flux in RT / glucose uptake ($mmol/mmol\ glc$)])</f>
        <v>1290.5</v>
      </c>
      <c r="I1524" t="e">
        <f>LOG(Table1[[#This Row],[Flux in SC / glucose uptake ($mmol/mmol\ glc$)]])</f>
        <v>#NUM!</v>
      </c>
      <c r="J1524" t="e">
        <f>LOG(Table1[[#This Row],[Flux in RT / glucose uptake ($mmol/mmol\ glc$)]])</f>
        <v>#NUM!</v>
      </c>
    </row>
    <row r="1525" spans="1:10" x14ac:dyDescent="0.2">
      <c r="A1525" t="s">
        <v>1528</v>
      </c>
      <c r="B1525" t="s">
        <v>3136</v>
      </c>
      <c r="C1525">
        <v>9.390508825934949E-4</v>
      </c>
      <c r="D1525">
        <v>7.7582709199513792E-3</v>
      </c>
      <c r="E1525">
        <f>ABS(Table1[[#This Row],[Flux in SC / glucose uptake ($mmol/mmol\ glc$)]]-Table1[[#This Row],[Flux in RT / glucose uptake ($mmol/mmol\ glc$)]])/SQRT(2)</f>
        <v>4.8219167308189417E-3</v>
      </c>
      <c r="F1525">
        <f>Table1[[#This Row],[distance from 45-degree line]]/MAX(Table1[[Flux in SC / glucose uptake ($mmol/mmol\ glc$)]:[Flux in RT / glucose uptake ($mmol/mmol\ glc$)]])</f>
        <v>2.5989580966619786E-4</v>
      </c>
      <c r="G1525">
        <f>_xlfn.RANK.AVG(Table1[[#This Row],[Flux in SC / glucose uptake ($mmol/mmol\ glc$)]],Table1[Flux in SC / glucose uptake ($mmol/mmol\ glc$)])</f>
        <v>217</v>
      </c>
      <c r="H1525">
        <f>_xlfn.RANK.AVG(Table1[[#This Row],[Flux in RT / glucose uptake ($mmol/mmol\ glc$)]],Table1[Flux in RT / glucose uptake ($mmol/mmol\ glc$)])</f>
        <v>205.5</v>
      </c>
      <c r="I1525">
        <f>LOG(Table1[[#This Row],[Flux in SC / glucose uptake ($mmol/mmol\ glc$)]])</f>
        <v>-3.0273108747936583</v>
      </c>
      <c r="J1525">
        <f>LOG(Table1[[#This Row],[Flux in RT / glucose uptake ($mmol/mmol\ glc$)]])</f>
        <v>-2.1102350588445518</v>
      </c>
    </row>
    <row r="1526" spans="1:10" x14ac:dyDescent="0.2">
      <c r="A1526" t="s">
        <v>1529</v>
      </c>
      <c r="B1526" t="s">
        <v>3114</v>
      </c>
      <c r="C1526">
        <v>0</v>
      </c>
      <c r="D1526">
        <v>0</v>
      </c>
      <c r="E1526">
        <f>ABS(Table1[[#This Row],[Flux in SC / glucose uptake ($mmol/mmol\ glc$)]]-Table1[[#This Row],[Flux in RT / glucose uptake ($mmol/mmol\ glc$)]])/SQRT(2)</f>
        <v>0</v>
      </c>
      <c r="F1526">
        <f>Table1[[#This Row],[distance from 45-degree line]]/MAX(Table1[[Flux in SC / glucose uptake ($mmol/mmol\ glc$)]:[Flux in RT / glucose uptake ($mmol/mmol\ glc$)]])</f>
        <v>0</v>
      </c>
      <c r="G1526">
        <f>_xlfn.RANK.AVG(Table1[[#This Row],[Flux in SC / glucose uptake ($mmol/mmol\ glc$)]],Table1[Flux in SC / glucose uptake ($mmol/mmol\ glc$)])</f>
        <v>1310.5</v>
      </c>
      <c r="H1526">
        <f>_xlfn.RANK.AVG(Table1[[#This Row],[Flux in RT / glucose uptake ($mmol/mmol\ glc$)]],Table1[Flux in RT / glucose uptake ($mmol/mmol\ glc$)])</f>
        <v>1290.5</v>
      </c>
      <c r="I1526" t="e">
        <f>LOG(Table1[[#This Row],[Flux in SC / glucose uptake ($mmol/mmol\ glc$)]])</f>
        <v>#NUM!</v>
      </c>
      <c r="J1526" t="e">
        <f>LOG(Table1[[#This Row],[Flux in RT / glucose uptake ($mmol/mmol\ glc$)]])</f>
        <v>#NUM!</v>
      </c>
    </row>
    <row r="1527" spans="1:10" x14ac:dyDescent="0.2">
      <c r="A1527" t="s">
        <v>1530</v>
      </c>
      <c r="B1527" t="s">
        <v>3114</v>
      </c>
      <c r="C1527">
        <v>0</v>
      </c>
      <c r="D1527">
        <v>0</v>
      </c>
      <c r="E1527">
        <f>ABS(Table1[[#This Row],[Flux in SC / glucose uptake ($mmol/mmol\ glc$)]]-Table1[[#This Row],[Flux in RT / glucose uptake ($mmol/mmol\ glc$)]])/SQRT(2)</f>
        <v>0</v>
      </c>
      <c r="F1527">
        <f>Table1[[#This Row],[distance from 45-degree line]]/MAX(Table1[[Flux in SC / glucose uptake ($mmol/mmol\ glc$)]:[Flux in RT / glucose uptake ($mmol/mmol\ glc$)]])</f>
        <v>0</v>
      </c>
      <c r="G1527">
        <f>_xlfn.RANK.AVG(Table1[[#This Row],[Flux in SC / glucose uptake ($mmol/mmol\ glc$)]],Table1[Flux in SC / glucose uptake ($mmol/mmol\ glc$)])</f>
        <v>1310.5</v>
      </c>
      <c r="H1527">
        <f>_xlfn.RANK.AVG(Table1[[#This Row],[Flux in RT / glucose uptake ($mmol/mmol\ glc$)]],Table1[Flux in RT / glucose uptake ($mmol/mmol\ glc$)])</f>
        <v>1290.5</v>
      </c>
      <c r="I1527" t="e">
        <f>LOG(Table1[[#This Row],[Flux in SC / glucose uptake ($mmol/mmol\ glc$)]])</f>
        <v>#NUM!</v>
      </c>
      <c r="J1527" t="e">
        <f>LOG(Table1[[#This Row],[Flux in RT / glucose uptake ($mmol/mmol\ glc$)]])</f>
        <v>#NUM!</v>
      </c>
    </row>
    <row r="1528" spans="1:10" x14ac:dyDescent="0.2">
      <c r="A1528" t="s">
        <v>1531</v>
      </c>
      <c r="B1528" t="s">
        <v>3197</v>
      </c>
      <c r="C1528">
        <v>0</v>
      </c>
      <c r="D1528">
        <v>0</v>
      </c>
      <c r="E1528">
        <f>ABS(Table1[[#This Row],[Flux in SC / glucose uptake ($mmol/mmol\ glc$)]]-Table1[[#This Row],[Flux in RT / glucose uptake ($mmol/mmol\ glc$)]])/SQRT(2)</f>
        <v>0</v>
      </c>
      <c r="F1528">
        <f>Table1[[#This Row],[distance from 45-degree line]]/MAX(Table1[[Flux in SC / glucose uptake ($mmol/mmol\ glc$)]:[Flux in RT / glucose uptake ($mmol/mmol\ glc$)]])</f>
        <v>0</v>
      </c>
      <c r="G1528">
        <f>_xlfn.RANK.AVG(Table1[[#This Row],[Flux in SC / glucose uptake ($mmol/mmol\ glc$)]],Table1[Flux in SC / glucose uptake ($mmol/mmol\ glc$)])</f>
        <v>1310.5</v>
      </c>
      <c r="H1528">
        <f>_xlfn.RANK.AVG(Table1[[#This Row],[Flux in RT / glucose uptake ($mmol/mmol\ glc$)]],Table1[Flux in RT / glucose uptake ($mmol/mmol\ glc$)])</f>
        <v>1290.5</v>
      </c>
      <c r="I1528" t="e">
        <f>LOG(Table1[[#This Row],[Flux in SC / glucose uptake ($mmol/mmol\ glc$)]])</f>
        <v>#NUM!</v>
      </c>
      <c r="J1528" t="e">
        <f>LOG(Table1[[#This Row],[Flux in RT / glucose uptake ($mmol/mmol\ glc$)]])</f>
        <v>#NUM!</v>
      </c>
    </row>
    <row r="1529" spans="1:10" x14ac:dyDescent="0.2">
      <c r="A1529" t="s">
        <v>1532</v>
      </c>
      <c r="B1529" t="s">
        <v>3197</v>
      </c>
      <c r="C1529">
        <v>0</v>
      </c>
      <c r="D1529">
        <v>0</v>
      </c>
      <c r="E1529">
        <f>ABS(Table1[[#This Row],[Flux in SC / glucose uptake ($mmol/mmol\ glc$)]]-Table1[[#This Row],[Flux in RT / glucose uptake ($mmol/mmol\ glc$)]])/SQRT(2)</f>
        <v>0</v>
      </c>
      <c r="F1529">
        <f>Table1[[#This Row],[distance from 45-degree line]]/MAX(Table1[[Flux in SC / glucose uptake ($mmol/mmol\ glc$)]:[Flux in RT / glucose uptake ($mmol/mmol\ glc$)]])</f>
        <v>0</v>
      </c>
      <c r="G1529">
        <f>_xlfn.RANK.AVG(Table1[[#This Row],[Flux in SC / glucose uptake ($mmol/mmol\ glc$)]],Table1[Flux in SC / glucose uptake ($mmol/mmol\ glc$)])</f>
        <v>1310.5</v>
      </c>
      <c r="H1529">
        <f>_xlfn.RANK.AVG(Table1[[#This Row],[Flux in RT / glucose uptake ($mmol/mmol\ glc$)]],Table1[Flux in RT / glucose uptake ($mmol/mmol\ glc$)])</f>
        <v>1290.5</v>
      </c>
      <c r="I1529" t="e">
        <f>LOG(Table1[[#This Row],[Flux in SC / glucose uptake ($mmol/mmol\ glc$)]])</f>
        <v>#NUM!</v>
      </c>
      <c r="J1529" t="e">
        <f>LOG(Table1[[#This Row],[Flux in RT / glucose uptake ($mmol/mmol\ glc$)]])</f>
        <v>#NUM!</v>
      </c>
    </row>
    <row r="1530" spans="1:10" x14ac:dyDescent="0.2">
      <c r="A1530" t="s">
        <v>1533</v>
      </c>
      <c r="B1530" t="s">
        <v>3197</v>
      </c>
      <c r="C1530">
        <v>0</v>
      </c>
      <c r="D1530">
        <v>0</v>
      </c>
      <c r="E1530">
        <f>ABS(Table1[[#This Row],[Flux in SC / glucose uptake ($mmol/mmol\ glc$)]]-Table1[[#This Row],[Flux in RT / glucose uptake ($mmol/mmol\ glc$)]])/SQRT(2)</f>
        <v>0</v>
      </c>
      <c r="F1530">
        <f>Table1[[#This Row],[distance from 45-degree line]]/MAX(Table1[[Flux in SC / glucose uptake ($mmol/mmol\ glc$)]:[Flux in RT / glucose uptake ($mmol/mmol\ glc$)]])</f>
        <v>0</v>
      </c>
      <c r="G1530">
        <f>_xlfn.RANK.AVG(Table1[[#This Row],[Flux in SC / glucose uptake ($mmol/mmol\ glc$)]],Table1[Flux in SC / glucose uptake ($mmol/mmol\ glc$)])</f>
        <v>1310.5</v>
      </c>
      <c r="H1530">
        <f>_xlfn.RANK.AVG(Table1[[#This Row],[Flux in RT / glucose uptake ($mmol/mmol\ glc$)]],Table1[Flux in RT / glucose uptake ($mmol/mmol\ glc$)])</f>
        <v>1290.5</v>
      </c>
      <c r="I1530" t="e">
        <f>LOG(Table1[[#This Row],[Flux in SC / glucose uptake ($mmol/mmol\ glc$)]])</f>
        <v>#NUM!</v>
      </c>
      <c r="J1530" t="e">
        <f>LOG(Table1[[#This Row],[Flux in RT / glucose uptake ($mmol/mmol\ glc$)]])</f>
        <v>#NUM!</v>
      </c>
    </row>
    <row r="1531" spans="1:10" x14ac:dyDescent="0.2">
      <c r="A1531" t="s">
        <v>1534</v>
      </c>
      <c r="B1531" t="s">
        <v>3197</v>
      </c>
      <c r="C1531">
        <v>0</v>
      </c>
      <c r="D1531">
        <v>0</v>
      </c>
      <c r="E1531">
        <f>ABS(Table1[[#This Row],[Flux in SC / glucose uptake ($mmol/mmol\ glc$)]]-Table1[[#This Row],[Flux in RT / glucose uptake ($mmol/mmol\ glc$)]])/SQRT(2)</f>
        <v>0</v>
      </c>
      <c r="F1531">
        <f>Table1[[#This Row],[distance from 45-degree line]]/MAX(Table1[[Flux in SC / glucose uptake ($mmol/mmol\ glc$)]:[Flux in RT / glucose uptake ($mmol/mmol\ glc$)]])</f>
        <v>0</v>
      </c>
      <c r="G1531">
        <f>_xlfn.RANK.AVG(Table1[[#This Row],[Flux in SC / glucose uptake ($mmol/mmol\ glc$)]],Table1[Flux in SC / glucose uptake ($mmol/mmol\ glc$)])</f>
        <v>1310.5</v>
      </c>
      <c r="H1531">
        <f>_xlfn.RANK.AVG(Table1[[#This Row],[Flux in RT / glucose uptake ($mmol/mmol\ glc$)]],Table1[Flux in RT / glucose uptake ($mmol/mmol\ glc$)])</f>
        <v>1290.5</v>
      </c>
      <c r="I1531" t="e">
        <f>LOG(Table1[[#This Row],[Flux in SC / glucose uptake ($mmol/mmol\ glc$)]])</f>
        <v>#NUM!</v>
      </c>
      <c r="J1531" t="e">
        <f>LOG(Table1[[#This Row],[Flux in RT / glucose uptake ($mmol/mmol\ glc$)]])</f>
        <v>#NUM!</v>
      </c>
    </row>
    <row r="1532" spans="1:10" x14ac:dyDescent="0.2">
      <c r="A1532" t="s">
        <v>1535</v>
      </c>
      <c r="B1532" t="s">
        <v>3142</v>
      </c>
      <c r="C1532">
        <v>5.3310262845360137E-3</v>
      </c>
      <c r="D1532">
        <v>2.4128033037939357E-2</v>
      </c>
      <c r="E1532">
        <f>ABS(Table1[[#This Row],[Flux in SC / glucose uptake ($mmol/mmol\ glc$)]]-Table1[[#This Row],[Flux in RT / glucose uptake ($mmol/mmol\ glc$)]])/SQRT(2)</f>
        <v>1.3291490941340835E-2</v>
      </c>
      <c r="F1532">
        <f>Table1[[#This Row],[distance from 45-degree line]]/MAX(Table1[[Flux in SC / glucose uptake ($mmol/mmol\ glc$)]:[Flux in RT / glucose uptake ($mmol/mmol\ glc$)]])</f>
        <v>7.1639619527067691E-4</v>
      </c>
      <c r="G1532">
        <f>_xlfn.RANK.AVG(Table1[[#This Row],[Flux in SC / glucose uptake ($mmol/mmol\ glc$)]],Table1[Flux in SC / glucose uptake ($mmol/mmol\ glc$)])</f>
        <v>113</v>
      </c>
      <c r="H1532">
        <f>_xlfn.RANK.AVG(Table1[[#This Row],[Flux in RT / glucose uptake ($mmol/mmol\ glc$)]],Table1[Flux in RT / glucose uptake ($mmol/mmol\ glc$)])</f>
        <v>125</v>
      </c>
      <c r="I1532">
        <f>LOG(Table1[[#This Row],[Flux in SC / glucose uptake ($mmol/mmol\ glc$)]])</f>
        <v>-2.2731891761880711</v>
      </c>
      <c r="J1532">
        <f>LOG(Table1[[#This Row],[Flux in RT / glucose uptake ($mmol/mmol\ glc$)]])</f>
        <v>-1.6174780811408516</v>
      </c>
    </row>
    <row r="1533" spans="1:10" x14ac:dyDescent="0.2">
      <c r="A1533" t="s">
        <v>1536</v>
      </c>
      <c r="B1533" t="s">
        <v>3142</v>
      </c>
      <c r="C1533">
        <v>5.3310262845360137E-3</v>
      </c>
      <c r="D1533">
        <v>2.4128033037939357E-2</v>
      </c>
      <c r="E1533">
        <f>ABS(Table1[[#This Row],[Flux in SC / glucose uptake ($mmol/mmol\ glc$)]]-Table1[[#This Row],[Flux in RT / glucose uptake ($mmol/mmol\ glc$)]])/SQRT(2)</f>
        <v>1.3291490941340835E-2</v>
      </c>
      <c r="F1533">
        <f>Table1[[#This Row],[distance from 45-degree line]]/MAX(Table1[[Flux in SC / glucose uptake ($mmol/mmol\ glc$)]:[Flux in RT / glucose uptake ($mmol/mmol\ glc$)]])</f>
        <v>7.1639619527067691E-4</v>
      </c>
      <c r="G1533">
        <f>_xlfn.RANK.AVG(Table1[[#This Row],[Flux in SC / glucose uptake ($mmol/mmol\ glc$)]],Table1[Flux in SC / glucose uptake ($mmol/mmol\ glc$)])</f>
        <v>113</v>
      </c>
      <c r="H1533">
        <f>_xlfn.RANK.AVG(Table1[[#This Row],[Flux in RT / glucose uptake ($mmol/mmol\ glc$)]],Table1[Flux in RT / glucose uptake ($mmol/mmol\ glc$)])</f>
        <v>125</v>
      </c>
      <c r="I1533">
        <f>LOG(Table1[[#This Row],[Flux in SC / glucose uptake ($mmol/mmol\ glc$)]])</f>
        <v>-2.2731891761880711</v>
      </c>
      <c r="J1533">
        <f>LOG(Table1[[#This Row],[Flux in RT / glucose uptake ($mmol/mmol\ glc$)]])</f>
        <v>-1.6174780811408516</v>
      </c>
    </row>
    <row r="1534" spans="1:10" x14ac:dyDescent="0.2">
      <c r="A1534" t="s">
        <v>1537</v>
      </c>
      <c r="B1534" t="s">
        <v>3142</v>
      </c>
      <c r="C1534">
        <v>5.3310262845360137E-3</v>
      </c>
      <c r="D1534">
        <v>2.4128033037939357E-2</v>
      </c>
      <c r="E1534">
        <f>ABS(Table1[[#This Row],[Flux in SC / glucose uptake ($mmol/mmol\ glc$)]]-Table1[[#This Row],[Flux in RT / glucose uptake ($mmol/mmol\ glc$)]])/SQRT(2)</f>
        <v>1.3291490941340835E-2</v>
      </c>
      <c r="F1534">
        <f>Table1[[#This Row],[distance from 45-degree line]]/MAX(Table1[[Flux in SC / glucose uptake ($mmol/mmol\ glc$)]:[Flux in RT / glucose uptake ($mmol/mmol\ glc$)]])</f>
        <v>7.1639619527067691E-4</v>
      </c>
      <c r="G1534">
        <f>_xlfn.RANK.AVG(Table1[[#This Row],[Flux in SC / glucose uptake ($mmol/mmol\ glc$)]],Table1[Flux in SC / glucose uptake ($mmol/mmol\ glc$)])</f>
        <v>113</v>
      </c>
      <c r="H1534">
        <f>_xlfn.RANK.AVG(Table1[[#This Row],[Flux in RT / glucose uptake ($mmol/mmol\ glc$)]],Table1[Flux in RT / glucose uptake ($mmol/mmol\ glc$)])</f>
        <v>125</v>
      </c>
      <c r="I1534">
        <f>LOG(Table1[[#This Row],[Flux in SC / glucose uptake ($mmol/mmol\ glc$)]])</f>
        <v>-2.2731891761880711</v>
      </c>
      <c r="J1534">
        <f>LOG(Table1[[#This Row],[Flux in RT / glucose uptake ($mmol/mmol\ glc$)]])</f>
        <v>-1.6174780811408516</v>
      </c>
    </row>
    <row r="1535" spans="1:10" x14ac:dyDescent="0.2">
      <c r="A1535" t="s">
        <v>1538</v>
      </c>
      <c r="B1535" t="s">
        <v>3142</v>
      </c>
      <c r="C1535">
        <v>5.3310262845360137E-3</v>
      </c>
      <c r="D1535">
        <v>2.4128033037939357E-2</v>
      </c>
      <c r="E1535">
        <f>ABS(Table1[[#This Row],[Flux in SC / glucose uptake ($mmol/mmol\ glc$)]]-Table1[[#This Row],[Flux in RT / glucose uptake ($mmol/mmol\ glc$)]])/SQRT(2)</f>
        <v>1.3291490941340835E-2</v>
      </c>
      <c r="F1535">
        <f>Table1[[#This Row],[distance from 45-degree line]]/MAX(Table1[[Flux in SC / glucose uptake ($mmol/mmol\ glc$)]:[Flux in RT / glucose uptake ($mmol/mmol\ glc$)]])</f>
        <v>7.1639619527067691E-4</v>
      </c>
      <c r="G1535">
        <f>_xlfn.RANK.AVG(Table1[[#This Row],[Flux in SC / glucose uptake ($mmol/mmol\ glc$)]],Table1[Flux in SC / glucose uptake ($mmol/mmol\ glc$)])</f>
        <v>113</v>
      </c>
      <c r="H1535">
        <f>_xlfn.RANK.AVG(Table1[[#This Row],[Flux in RT / glucose uptake ($mmol/mmol\ glc$)]],Table1[Flux in RT / glucose uptake ($mmol/mmol\ glc$)])</f>
        <v>125</v>
      </c>
      <c r="I1535">
        <f>LOG(Table1[[#This Row],[Flux in SC / glucose uptake ($mmol/mmol\ glc$)]])</f>
        <v>-2.2731891761880711</v>
      </c>
      <c r="J1535">
        <f>LOG(Table1[[#This Row],[Flux in RT / glucose uptake ($mmol/mmol\ glc$)]])</f>
        <v>-1.6174780811408516</v>
      </c>
    </row>
    <row r="1536" spans="1:10" x14ac:dyDescent="0.2">
      <c r="A1536" t="s">
        <v>1539</v>
      </c>
      <c r="B1536" t="s">
        <v>3125</v>
      </c>
      <c r="C1536">
        <v>0</v>
      </c>
      <c r="D1536">
        <v>0</v>
      </c>
      <c r="E1536">
        <f>ABS(Table1[[#This Row],[Flux in SC / glucose uptake ($mmol/mmol\ glc$)]]-Table1[[#This Row],[Flux in RT / glucose uptake ($mmol/mmol\ glc$)]])/SQRT(2)</f>
        <v>0</v>
      </c>
      <c r="F1536">
        <f>Table1[[#This Row],[distance from 45-degree line]]/MAX(Table1[[Flux in SC / glucose uptake ($mmol/mmol\ glc$)]:[Flux in RT / glucose uptake ($mmol/mmol\ glc$)]])</f>
        <v>0</v>
      </c>
      <c r="G1536">
        <f>_xlfn.RANK.AVG(Table1[[#This Row],[Flux in SC / glucose uptake ($mmol/mmol\ glc$)]],Table1[Flux in SC / glucose uptake ($mmol/mmol\ glc$)])</f>
        <v>1310.5</v>
      </c>
      <c r="H1536">
        <f>_xlfn.RANK.AVG(Table1[[#This Row],[Flux in RT / glucose uptake ($mmol/mmol\ glc$)]],Table1[Flux in RT / glucose uptake ($mmol/mmol\ glc$)])</f>
        <v>1290.5</v>
      </c>
      <c r="I1536" t="e">
        <f>LOG(Table1[[#This Row],[Flux in SC / glucose uptake ($mmol/mmol\ glc$)]])</f>
        <v>#NUM!</v>
      </c>
      <c r="J1536" t="e">
        <f>LOG(Table1[[#This Row],[Flux in RT / glucose uptake ($mmol/mmol\ glc$)]])</f>
        <v>#NUM!</v>
      </c>
    </row>
    <row r="1537" spans="1:10" x14ac:dyDescent="0.2">
      <c r="A1537" t="s">
        <v>1540</v>
      </c>
      <c r="B1537" t="s">
        <v>3125</v>
      </c>
      <c r="C1537">
        <v>0</v>
      </c>
      <c r="D1537">
        <v>0</v>
      </c>
      <c r="E1537">
        <f>ABS(Table1[[#This Row],[Flux in SC / glucose uptake ($mmol/mmol\ glc$)]]-Table1[[#This Row],[Flux in RT / glucose uptake ($mmol/mmol\ glc$)]])/SQRT(2)</f>
        <v>0</v>
      </c>
      <c r="F1537">
        <f>Table1[[#This Row],[distance from 45-degree line]]/MAX(Table1[[Flux in SC / glucose uptake ($mmol/mmol\ glc$)]:[Flux in RT / glucose uptake ($mmol/mmol\ glc$)]])</f>
        <v>0</v>
      </c>
      <c r="G1537">
        <f>_xlfn.RANK.AVG(Table1[[#This Row],[Flux in SC / glucose uptake ($mmol/mmol\ glc$)]],Table1[Flux in SC / glucose uptake ($mmol/mmol\ glc$)])</f>
        <v>1310.5</v>
      </c>
      <c r="H1537">
        <f>_xlfn.RANK.AVG(Table1[[#This Row],[Flux in RT / glucose uptake ($mmol/mmol\ glc$)]],Table1[Flux in RT / glucose uptake ($mmol/mmol\ glc$)])</f>
        <v>1290.5</v>
      </c>
      <c r="I1537" t="e">
        <f>LOG(Table1[[#This Row],[Flux in SC / glucose uptake ($mmol/mmol\ glc$)]])</f>
        <v>#NUM!</v>
      </c>
      <c r="J1537" t="e">
        <f>LOG(Table1[[#This Row],[Flux in RT / glucose uptake ($mmol/mmol\ glc$)]])</f>
        <v>#NUM!</v>
      </c>
    </row>
    <row r="1538" spans="1:10" x14ac:dyDescent="0.2">
      <c r="A1538" t="s">
        <v>1541</v>
      </c>
      <c r="B1538" t="s">
        <v>3125</v>
      </c>
      <c r="C1538">
        <v>0</v>
      </c>
      <c r="D1538">
        <v>0</v>
      </c>
      <c r="E1538">
        <f>ABS(Table1[[#This Row],[Flux in SC / glucose uptake ($mmol/mmol\ glc$)]]-Table1[[#This Row],[Flux in RT / glucose uptake ($mmol/mmol\ glc$)]])/SQRT(2)</f>
        <v>0</v>
      </c>
      <c r="F1538">
        <f>Table1[[#This Row],[distance from 45-degree line]]/MAX(Table1[[Flux in SC / glucose uptake ($mmol/mmol\ glc$)]:[Flux in RT / glucose uptake ($mmol/mmol\ glc$)]])</f>
        <v>0</v>
      </c>
      <c r="G1538">
        <f>_xlfn.RANK.AVG(Table1[[#This Row],[Flux in SC / glucose uptake ($mmol/mmol\ glc$)]],Table1[Flux in SC / glucose uptake ($mmol/mmol\ glc$)])</f>
        <v>1310.5</v>
      </c>
      <c r="H1538">
        <f>_xlfn.RANK.AVG(Table1[[#This Row],[Flux in RT / glucose uptake ($mmol/mmol\ glc$)]],Table1[Flux in RT / glucose uptake ($mmol/mmol\ glc$)])</f>
        <v>1290.5</v>
      </c>
      <c r="I1538" t="e">
        <f>LOG(Table1[[#This Row],[Flux in SC / glucose uptake ($mmol/mmol\ glc$)]])</f>
        <v>#NUM!</v>
      </c>
      <c r="J1538" t="e">
        <f>LOG(Table1[[#This Row],[Flux in RT / glucose uptake ($mmol/mmol\ glc$)]])</f>
        <v>#NUM!</v>
      </c>
    </row>
    <row r="1539" spans="1:10" x14ac:dyDescent="0.2">
      <c r="A1539" t="s">
        <v>1542</v>
      </c>
      <c r="B1539" t="s">
        <v>3125</v>
      </c>
      <c r="C1539">
        <v>0</v>
      </c>
      <c r="D1539">
        <v>0</v>
      </c>
      <c r="E1539">
        <f>ABS(Table1[[#This Row],[Flux in SC / glucose uptake ($mmol/mmol\ glc$)]]-Table1[[#This Row],[Flux in RT / glucose uptake ($mmol/mmol\ glc$)]])/SQRT(2)</f>
        <v>0</v>
      </c>
      <c r="F1539">
        <f>Table1[[#This Row],[distance from 45-degree line]]/MAX(Table1[[Flux in SC / glucose uptake ($mmol/mmol\ glc$)]:[Flux in RT / glucose uptake ($mmol/mmol\ glc$)]])</f>
        <v>0</v>
      </c>
      <c r="G1539">
        <f>_xlfn.RANK.AVG(Table1[[#This Row],[Flux in SC / glucose uptake ($mmol/mmol\ glc$)]],Table1[Flux in SC / glucose uptake ($mmol/mmol\ glc$)])</f>
        <v>1310.5</v>
      </c>
      <c r="H1539">
        <f>_xlfn.RANK.AVG(Table1[[#This Row],[Flux in RT / glucose uptake ($mmol/mmol\ glc$)]],Table1[Flux in RT / glucose uptake ($mmol/mmol\ glc$)])</f>
        <v>1290.5</v>
      </c>
      <c r="I1539" t="e">
        <f>LOG(Table1[[#This Row],[Flux in SC / glucose uptake ($mmol/mmol\ glc$)]])</f>
        <v>#NUM!</v>
      </c>
      <c r="J1539" t="e">
        <f>LOG(Table1[[#This Row],[Flux in RT / glucose uptake ($mmol/mmol\ glc$)]])</f>
        <v>#NUM!</v>
      </c>
    </row>
    <row r="1540" spans="1:10" x14ac:dyDescent="0.2">
      <c r="A1540" t="s">
        <v>1543</v>
      </c>
      <c r="B1540" t="s">
        <v>3121</v>
      </c>
      <c r="C1540">
        <v>0</v>
      </c>
      <c r="D1540">
        <v>0</v>
      </c>
      <c r="E1540">
        <f>ABS(Table1[[#This Row],[Flux in SC / glucose uptake ($mmol/mmol\ glc$)]]-Table1[[#This Row],[Flux in RT / glucose uptake ($mmol/mmol\ glc$)]])/SQRT(2)</f>
        <v>0</v>
      </c>
      <c r="F1540">
        <f>Table1[[#This Row],[distance from 45-degree line]]/MAX(Table1[[Flux in SC / glucose uptake ($mmol/mmol\ glc$)]:[Flux in RT / glucose uptake ($mmol/mmol\ glc$)]])</f>
        <v>0</v>
      </c>
      <c r="G1540">
        <f>_xlfn.RANK.AVG(Table1[[#This Row],[Flux in SC / glucose uptake ($mmol/mmol\ glc$)]],Table1[Flux in SC / glucose uptake ($mmol/mmol\ glc$)])</f>
        <v>1310.5</v>
      </c>
      <c r="H1540">
        <f>_xlfn.RANK.AVG(Table1[[#This Row],[Flux in RT / glucose uptake ($mmol/mmol\ glc$)]],Table1[Flux in RT / glucose uptake ($mmol/mmol\ glc$)])</f>
        <v>1290.5</v>
      </c>
      <c r="I1540" t="e">
        <f>LOG(Table1[[#This Row],[Flux in SC / glucose uptake ($mmol/mmol\ glc$)]])</f>
        <v>#NUM!</v>
      </c>
      <c r="J1540" t="e">
        <f>LOG(Table1[[#This Row],[Flux in RT / glucose uptake ($mmol/mmol\ glc$)]])</f>
        <v>#NUM!</v>
      </c>
    </row>
    <row r="1541" spans="1:10" x14ac:dyDescent="0.2">
      <c r="A1541" t="s">
        <v>1544</v>
      </c>
      <c r="B1541" t="s">
        <v>3146</v>
      </c>
      <c r="C1541">
        <v>0</v>
      </c>
      <c r="D1541">
        <v>0</v>
      </c>
      <c r="E1541">
        <f>ABS(Table1[[#This Row],[Flux in SC / glucose uptake ($mmol/mmol\ glc$)]]-Table1[[#This Row],[Flux in RT / glucose uptake ($mmol/mmol\ glc$)]])/SQRT(2)</f>
        <v>0</v>
      </c>
      <c r="F1541">
        <f>Table1[[#This Row],[distance from 45-degree line]]/MAX(Table1[[Flux in SC / glucose uptake ($mmol/mmol\ glc$)]:[Flux in RT / glucose uptake ($mmol/mmol\ glc$)]])</f>
        <v>0</v>
      </c>
      <c r="G1541">
        <f>_xlfn.RANK.AVG(Table1[[#This Row],[Flux in SC / glucose uptake ($mmol/mmol\ glc$)]],Table1[Flux in SC / glucose uptake ($mmol/mmol\ glc$)])</f>
        <v>1310.5</v>
      </c>
      <c r="H1541">
        <f>_xlfn.RANK.AVG(Table1[[#This Row],[Flux in RT / glucose uptake ($mmol/mmol\ glc$)]],Table1[Flux in RT / glucose uptake ($mmol/mmol\ glc$)])</f>
        <v>1290.5</v>
      </c>
      <c r="I1541" t="e">
        <f>LOG(Table1[[#This Row],[Flux in SC / glucose uptake ($mmol/mmol\ glc$)]])</f>
        <v>#NUM!</v>
      </c>
      <c r="J1541" t="e">
        <f>LOG(Table1[[#This Row],[Flux in RT / glucose uptake ($mmol/mmol\ glc$)]])</f>
        <v>#NUM!</v>
      </c>
    </row>
    <row r="1542" spans="1:10" x14ac:dyDescent="0.2">
      <c r="A1542" t="s">
        <v>1545</v>
      </c>
      <c r="B1542" t="s">
        <v>3142</v>
      </c>
      <c r="C1542">
        <v>1.0209484997892187E-2</v>
      </c>
      <c r="D1542">
        <v>4.6207778248939776E-2</v>
      </c>
      <c r="E1542">
        <f>ABS(Table1[[#This Row],[Flux in SC / glucose uptake ($mmol/mmol\ glc$)]]-Table1[[#This Row],[Flux in RT / glucose uptake ($mmol/mmol\ glc$)]])/SQRT(2)</f>
        <v>2.5454637268957674E-2</v>
      </c>
      <c r="F1542">
        <f>Table1[[#This Row],[distance from 45-degree line]]/MAX(Table1[[Flux in SC / glucose uptake ($mmol/mmol\ glc$)]:[Flux in RT / glucose uptake ($mmol/mmol\ glc$)]])</f>
        <v>1.3719759033772368E-3</v>
      </c>
      <c r="G1542">
        <f>_xlfn.RANK.AVG(Table1[[#This Row],[Flux in SC / glucose uptake ($mmol/mmol\ glc$)]],Table1[Flux in SC / glucose uptake ($mmol/mmol\ glc$)])</f>
        <v>80</v>
      </c>
      <c r="H1542">
        <f>_xlfn.RANK.AVG(Table1[[#This Row],[Flux in RT / glucose uptake ($mmol/mmol\ glc$)]],Table1[Flux in RT / glucose uptake ($mmol/mmol\ glc$)])</f>
        <v>103</v>
      </c>
      <c r="I1542">
        <f>LOG(Table1[[#This Row],[Flux in SC / glucose uptake ($mmol/mmol\ glc$)]])</f>
        <v>-1.9909961646921943</v>
      </c>
      <c r="J1542">
        <f>LOG(Table1[[#This Row],[Flux in RT / glucose uptake ($mmol/mmol\ glc$)]])</f>
        <v>-1.3352849126200561</v>
      </c>
    </row>
    <row r="1543" spans="1:10" x14ac:dyDescent="0.2">
      <c r="A1543" t="s">
        <v>1546</v>
      </c>
      <c r="B1543" t="s">
        <v>3142</v>
      </c>
      <c r="C1543">
        <v>3.9200637158083385E-3</v>
      </c>
      <c r="D1543">
        <v>1.7742087892535847E-2</v>
      </c>
      <c r="E1543">
        <f>ABS(Table1[[#This Row],[Flux in SC / glucose uptake ($mmol/mmol\ glc$)]]-Table1[[#This Row],[Flux in RT / glucose uptake ($mmol/mmol\ glc$)]])/SQRT(2)</f>
        <v>9.7736470250884278E-3</v>
      </c>
      <c r="F1543">
        <f>Table1[[#This Row],[distance from 45-degree line]]/MAX(Table1[[Flux in SC / glucose uptake ($mmol/mmol\ glc$)]:[Flux in RT / glucose uptake ($mmol/mmol\ glc$)]])</f>
        <v>5.2678842227654428E-4</v>
      </c>
      <c r="G1543">
        <f>_xlfn.RANK.AVG(Table1[[#This Row],[Flux in SC / glucose uptake ($mmol/mmol\ glc$)]],Table1[Flux in SC / glucose uptake ($mmol/mmol\ glc$)])</f>
        <v>146</v>
      </c>
      <c r="H1543">
        <f>_xlfn.RANK.AVG(Table1[[#This Row],[Flux in RT / glucose uptake ($mmol/mmol\ glc$)]],Table1[Flux in RT / glucose uptake ($mmol/mmol\ glc$)])</f>
        <v>159</v>
      </c>
      <c r="I1543">
        <f>LOG(Table1[[#This Row],[Flux in SC / glucose uptake ($mmol/mmol\ glc$)]])</f>
        <v>-2.4067068740001836</v>
      </c>
      <c r="J1543">
        <f>LOG(Table1[[#This Row],[Flux in RT / glucose uptake ($mmol/mmol\ glc$)]])</f>
        <v>-1.7509952736333134</v>
      </c>
    </row>
    <row r="1544" spans="1:10" x14ac:dyDescent="0.2">
      <c r="A1544" t="s">
        <v>1547</v>
      </c>
      <c r="B1544" t="s">
        <v>3114</v>
      </c>
      <c r="C1544">
        <v>0</v>
      </c>
      <c r="D1544">
        <v>4.3768104309086946E-2</v>
      </c>
      <c r="E1544">
        <f>ABS(Table1[[#This Row],[Flux in SC / glucose uptake ($mmol/mmol\ glc$)]]-Table1[[#This Row],[Flux in RT / glucose uptake ($mmol/mmol\ glc$)]])/SQRT(2)</f>
        <v>3.0948723356635528E-2</v>
      </c>
      <c r="F1544">
        <f>Table1[[#This Row],[distance from 45-degree line]]/MAX(Table1[[Flux in SC / glucose uptake ($mmol/mmol\ glc$)]:[Flux in RT / glucose uptake ($mmol/mmol\ glc$)]])</f>
        <v>1.6681008743885714E-3</v>
      </c>
      <c r="G1544">
        <f>_xlfn.RANK.AVG(Table1[[#This Row],[Flux in SC / glucose uptake ($mmol/mmol\ glc$)]],Table1[Flux in SC / glucose uptake ($mmol/mmol\ glc$)])</f>
        <v>1310.5</v>
      </c>
      <c r="H1544">
        <f>_xlfn.RANK.AVG(Table1[[#This Row],[Flux in RT / glucose uptake ($mmol/mmol\ glc$)]],Table1[Flux in RT / glucose uptake ($mmol/mmol\ glc$)])</f>
        <v>106.5</v>
      </c>
      <c r="I1544" t="e">
        <f>LOG(Table1[[#This Row],[Flux in SC / glucose uptake ($mmol/mmol\ glc$)]])</f>
        <v>#NUM!</v>
      </c>
      <c r="J1544">
        <f>LOG(Table1[[#This Row],[Flux in RT / glucose uptake ($mmol/mmol\ glc$)]])</f>
        <v>-1.3588422632094097</v>
      </c>
    </row>
    <row r="1545" spans="1:10" x14ac:dyDescent="0.2">
      <c r="A1545" t="s">
        <v>1548</v>
      </c>
      <c r="B1545" t="s">
        <v>3114</v>
      </c>
      <c r="C1545">
        <v>0</v>
      </c>
      <c r="D1545">
        <v>0</v>
      </c>
      <c r="E1545">
        <f>ABS(Table1[[#This Row],[Flux in SC / glucose uptake ($mmol/mmol\ glc$)]]-Table1[[#This Row],[Flux in RT / glucose uptake ($mmol/mmol\ glc$)]])/SQRT(2)</f>
        <v>0</v>
      </c>
      <c r="F1545">
        <f>Table1[[#This Row],[distance from 45-degree line]]/MAX(Table1[[Flux in SC / glucose uptake ($mmol/mmol\ glc$)]:[Flux in RT / glucose uptake ($mmol/mmol\ glc$)]])</f>
        <v>0</v>
      </c>
      <c r="G1545">
        <f>_xlfn.RANK.AVG(Table1[[#This Row],[Flux in SC / glucose uptake ($mmol/mmol\ glc$)]],Table1[Flux in SC / glucose uptake ($mmol/mmol\ glc$)])</f>
        <v>1310.5</v>
      </c>
      <c r="H1545">
        <f>_xlfn.RANK.AVG(Table1[[#This Row],[Flux in RT / glucose uptake ($mmol/mmol\ glc$)]],Table1[Flux in RT / glucose uptake ($mmol/mmol\ glc$)])</f>
        <v>1290.5</v>
      </c>
      <c r="I1545" t="e">
        <f>LOG(Table1[[#This Row],[Flux in SC / glucose uptake ($mmol/mmol\ glc$)]])</f>
        <v>#NUM!</v>
      </c>
      <c r="J1545" t="e">
        <f>LOG(Table1[[#This Row],[Flux in RT / glucose uptake ($mmol/mmol\ glc$)]])</f>
        <v>#NUM!</v>
      </c>
    </row>
    <row r="1546" spans="1:10" x14ac:dyDescent="0.2">
      <c r="A1546" t="s">
        <v>1549</v>
      </c>
      <c r="B1546" t="s">
        <v>3114</v>
      </c>
      <c r="C1546">
        <v>8.5234124030548111E-3</v>
      </c>
      <c r="D1546">
        <v>0</v>
      </c>
      <c r="E1546">
        <f>ABS(Table1[[#This Row],[Flux in SC / glucose uptake ($mmol/mmol\ glc$)]]-Table1[[#This Row],[Flux in RT / glucose uptake ($mmol/mmol\ glc$)]])/SQRT(2)</f>
        <v>6.0269627090495832E-3</v>
      </c>
      <c r="F1546">
        <f>Table1[[#This Row],[distance from 45-degree line]]/MAX(Table1[[Flux in SC / glucose uptake ($mmol/mmol\ glc$)]:[Flux in RT / glucose uptake ($mmol/mmol\ glc$)]])</f>
        <v>3.2484641285590853E-4</v>
      </c>
      <c r="G1546">
        <f>_xlfn.RANK.AVG(Table1[[#This Row],[Flux in SC / glucose uptake ($mmol/mmol\ glc$)]],Table1[Flux in SC / glucose uptake ($mmol/mmol\ glc$)])</f>
        <v>85.5</v>
      </c>
      <c r="H1546">
        <f>_xlfn.RANK.AVG(Table1[[#This Row],[Flux in RT / glucose uptake ($mmol/mmol\ glc$)]],Table1[Flux in RT / glucose uptake ($mmol/mmol\ glc$)])</f>
        <v>1290.5</v>
      </c>
      <c r="I1546">
        <f>LOG(Table1[[#This Row],[Flux in SC / glucose uptake ($mmol/mmol\ glc$)]])</f>
        <v>-2.0693864978253829</v>
      </c>
      <c r="J1546" t="e">
        <f>LOG(Table1[[#This Row],[Flux in RT / glucose uptake ($mmol/mmol\ glc$)]])</f>
        <v>#NUM!</v>
      </c>
    </row>
    <row r="1547" spans="1:10" x14ac:dyDescent="0.2">
      <c r="A1547" t="s">
        <v>1550</v>
      </c>
      <c r="B1547" t="s">
        <v>3124</v>
      </c>
      <c r="C1547">
        <v>5.7314188014328466E-3</v>
      </c>
      <c r="D1547">
        <v>0.10999300112835821</v>
      </c>
      <c r="E1547">
        <f>ABS(Table1[[#This Row],[Flux in SC / glucose uptake ($mmol/mmol\ glc$)]]-Table1[[#This Row],[Flux in RT / glucose uptake ($mmol/mmol\ glc$)]])/SQRT(2)</f>
        <v>7.3724071880608408E-2</v>
      </c>
      <c r="F1547">
        <f>Table1[[#This Row],[distance from 45-degree line]]/MAX(Table1[[Flux in SC / glucose uptake ($mmol/mmol\ glc$)]:[Flux in RT / glucose uptake ($mmol/mmol\ glc$)]])</f>
        <v>3.9736433503374724E-3</v>
      </c>
      <c r="G1547">
        <f>_xlfn.RANK.AVG(Table1[[#This Row],[Flux in SC / glucose uptake ($mmol/mmol\ glc$)]],Table1[Flux in SC / glucose uptake ($mmol/mmol\ glc$)])</f>
        <v>104</v>
      </c>
      <c r="H1547">
        <f>_xlfn.RANK.AVG(Table1[[#This Row],[Flux in RT / glucose uptake ($mmol/mmol\ glc$)]],Table1[Flux in RT / glucose uptake ($mmol/mmol\ glc$)])</f>
        <v>82</v>
      </c>
      <c r="I1547">
        <f>LOG(Table1[[#This Row],[Flux in SC / glucose uptake ($mmol/mmol\ glc$)]])</f>
        <v>-2.2417378559802317</v>
      </c>
      <c r="J1547">
        <f>LOG(Table1[[#This Row],[Flux in RT / glucose uptake ($mmol/mmol\ glc$)]])</f>
        <v>-0.95863494818755424</v>
      </c>
    </row>
    <row r="1548" spans="1:10" x14ac:dyDescent="0.2">
      <c r="A1548" t="s">
        <v>1551</v>
      </c>
      <c r="B1548" t="s">
        <v>3124</v>
      </c>
      <c r="C1548">
        <v>0</v>
      </c>
      <c r="D1548">
        <v>0</v>
      </c>
      <c r="E1548">
        <f>ABS(Table1[[#This Row],[Flux in SC / glucose uptake ($mmol/mmol\ glc$)]]-Table1[[#This Row],[Flux in RT / glucose uptake ($mmol/mmol\ glc$)]])/SQRT(2)</f>
        <v>0</v>
      </c>
      <c r="F1548">
        <f>Table1[[#This Row],[distance from 45-degree line]]/MAX(Table1[[Flux in SC / glucose uptake ($mmol/mmol\ glc$)]:[Flux in RT / glucose uptake ($mmol/mmol\ glc$)]])</f>
        <v>0</v>
      </c>
      <c r="G1548">
        <f>_xlfn.RANK.AVG(Table1[[#This Row],[Flux in SC / glucose uptake ($mmol/mmol\ glc$)]],Table1[Flux in SC / glucose uptake ($mmol/mmol\ glc$)])</f>
        <v>1310.5</v>
      </c>
      <c r="H1548">
        <f>_xlfn.RANK.AVG(Table1[[#This Row],[Flux in RT / glucose uptake ($mmol/mmol\ glc$)]],Table1[Flux in RT / glucose uptake ($mmol/mmol\ glc$)])</f>
        <v>1290.5</v>
      </c>
      <c r="I1548" t="e">
        <f>LOG(Table1[[#This Row],[Flux in SC / glucose uptake ($mmol/mmol\ glc$)]])</f>
        <v>#NUM!</v>
      </c>
      <c r="J1548" t="e">
        <f>LOG(Table1[[#This Row],[Flux in RT / glucose uptake ($mmol/mmol\ glc$)]])</f>
        <v>#NUM!</v>
      </c>
    </row>
    <row r="1549" spans="1:10" x14ac:dyDescent="0.2">
      <c r="A1549" t="s">
        <v>1552</v>
      </c>
      <c r="B1549" t="s">
        <v>3124</v>
      </c>
      <c r="C1549">
        <v>0</v>
      </c>
      <c r="D1549">
        <v>0</v>
      </c>
      <c r="E1549">
        <f>ABS(Table1[[#This Row],[Flux in SC / glucose uptake ($mmol/mmol\ glc$)]]-Table1[[#This Row],[Flux in RT / glucose uptake ($mmol/mmol\ glc$)]])/SQRT(2)</f>
        <v>0</v>
      </c>
      <c r="F1549">
        <f>Table1[[#This Row],[distance from 45-degree line]]/MAX(Table1[[Flux in SC / glucose uptake ($mmol/mmol\ glc$)]:[Flux in RT / glucose uptake ($mmol/mmol\ glc$)]])</f>
        <v>0</v>
      </c>
      <c r="G1549">
        <f>_xlfn.RANK.AVG(Table1[[#This Row],[Flux in SC / glucose uptake ($mmol/mmol\ glc$)]],Table1[Flux in SC / glucose uptake ($mmol/mmol\ glc$)])</f>
        <v>1310.5</v>
      </c>
      <c r="H1549">
        <f>_xlfn.RANK.AVG(Table1[[#This Row],[Flux in RT / glucose uptake ($mmol/mmol\ glc$)]],Table1[Flux in RT / glucose uptake ($mmol/mmol\ glc$)])</f>
        <v>1290.5</v>
      </c>
      <c r="I1549" t="e">
        <f>LOG(Table1[[#This Row],[Flux in SC / glucose uptake ($mmol/mmol\ glc$)]])</f>
        <v>#NUM!</v>
      </c>
      <c r="J1549" t="e">
        <f>LOG(Table1[[#This Row],[Flux in RT / glucose uptake ($mmol/mmol\ glc$)]])</f>
        <v>#NUM!</v>
      </c>
    </row>
    <row r="1550" spans="1:10" x14ac:dyDescent="0.2">
      <c r="A1550" t="s">
        <v>1553</v>
      </c>
      <c r="B1550" t="s">
        <v>3114</v>
      </c>
      <c r="C1550">
        <v>0</v>
      </c>
      <c r="D1550">
        <v>0</v>
      </c>
      <c r="E1550">
        <f>ABS(Table1[[#This Row],[Flux in SC / glucose uptake ($mmol/mmol\ glc$)]]-Table1[[#This Row],[Flux in RT / glucose uptake ($mmol/mmol\ glc$)]])/SQRT(2)</f>
        <v>0</v>
      </c>
      <c r="F1550">
        <f>Table1[[#This Row],[distance from 45-degree line]]/MAX(Table1[[Flux in SC / glucose uptake ($mmol/mmol\ glc$)]:[Flux in RT / glucose uptake ($mmol/mmol\ glc$)]])</f>
        <v>0</v>
      </c>
      <c r="G1550">
        <f>_xlfn.RANK.AVG(Table1[[#This Row],[Flux in SC / glucose uptake ($mmol/mmol\ glc$)]],Table1[Flux in SC / glucose uptake ($mmol/mmol\ glc$)])</f>
        <v>1310.5</v>
      </c>
      <c r="H1550">
        <f>_xlfn.RANK.AVG(Table1[[#This Row],[Flux in RT / glucose uptake ($mmol/mmol\ glc$)]],Table1[Flux in RT / glucose uptake ($mmol/mmol\ glc$)])</f>
        <v>1290.5</v>
      </c>
      <c r="I1550" t="e">
        <f>LOG(Table1[[#This Row],[Flux in SC / glucose uptake ($mmol/mmol\ glc$)]])</f>
        <v>#NUM!</v>
      </c>
      <c r="J1550" t="e">
        <f>LOG(Table1[[#This Row],[Flux in RT / glucose uptake ($mmol/mmol\ glc$)]])</f>
        <v>#NUM!</v>
      </c>
    </row>
    <row r="1551" spans="1:10" x14ac:dyDescent="0.2">
      <c r="A1551" t="s">
        <v>1554</v>
      </c>
      <c r="B1551" t="s">
        <v>3114</v>
      </c>
      <c r="C1551">
        <v>0</v>
      </c>
      <c r="D1551">
        <v>0</v>
      </c>
      <c r="E1551">
        <f>ABS(Table1[[#This Row],[Flux in SC / glucose uptake ($mmol/mmol\ glc$)]]-Table1[[#This Row],[Flux in RT / glucose uptake ($mmol/mmol\ glc$)]])/SQRT(2)</f>
        <v>0</v>
      </c>
      <c r="F1551">
        <f>Table1[[#This Row],[distance from 45-degree line]]/MAX(Table1[[Flux in SC / glucose uptake ($mmol/mmol\ glc$)]:[Flux in RT / glucose uptake ($mmol/mmol\ glc$)]])</f>
        <v>0</v>
      </c>
      <c r="G1551">
        <f>_xlfn.RANK.AVG(Table1[[#This Row],[Flux in SC / glucose uptake ($mmol/mmol\ glc$)]],Table1[Flux in SC / glucose uptake ($mmol/mmol\ glc$)])</f>
        <v>1310.5</v>
      </c>
      <c r="H1551">
        <f>_xlfn.RANK.AVG(Table1[[#This Row],[Flux in RT / glucose uptake ($mmol/mmol\ glc$)]],Table1[Flux in RT / glucose uptake ($mmol/mmol\ glc$)])</f>
        <v>1290.5</v>
      </c>
      <c r="I1551" t="e">
        <f>LOG(Table1[[#This Row],[Flux in SC / glucose uptake ($mmol/mmol\ glc$)]])</f>
        <v>#NUM!</v>
      </c>
      <c r="J1551" t="e">
        <f>LOG(Table1[[#This Row],[Flux in RT / glucose uptake ($mmol/mmol\ glc$)]])</f>
        <v>#NUM!</v>
      </c>
    </row>
    <row r="1552" spans="1:10" x14ac:dyDescent="0.2">
      <c r="A1552" t="s">
        <v>1555</v>
      </c>
      <c r="B1552" t="s">
        <v>3114</v>
      </c>
      <c r="C1552">
        <v>-3.6110321147682783E-9</v>
      </c>
      <c r="D1552">
        <v>-6.4582606458391196E-3</v>
      </c>
      <c r="E1552">
        <f>ABS(Table1[[#This Row],[Flux in SC / glucose uptake ($mmol/mmol\ glc$)]]-Table1[[#This Row],[Flux in RT / glucose uptake ($mmol/mmol\ glc$)]])/SQRT(2)</f>
        <v>4.566677343957758E-3</v>
      </c>
      <c r="F1552">
        <f>Table1[[#This Row],[distance from 45-degree line]]/MAX(Table1[[Flux in SC / glucose uptake ($mmol/mmol\ glc$)]:[Flux in RT / glucose uptake ($mmol/mmol\ glc$)]])</f>
        <v>2.4613869795935071E-4</v>
      </c>
      <c r="G1552">
        <f>_xlfn.RANK.AVG(Table1[[#This Row],[Flux in SC / glucose uptake ($mmol/mmol\ glc$)]],Table1[Flux in SC / glucose uptake ($mmol/mmol\ glc$)])</f>
        <v>2296</v>
      </c>
      <c r="H1552">
        <f>_xlfn.RANK.AVG(Table1[[#This Row],[Flux in RT / glucose uptake ($mmol/mmol\ glc$)]],Table1[Flux in RT / glucose uptake ($mmol/mmol\ glc$)])</f>
        <v>2300</v>
      </c>
      <c r="I1552" t="e">
        <f>LOG(Table1[[#This Row],[Flux in SC / glucose uptake ($mmol/mmol\ glc$)]])</f>
        <v>#NUM!</v>
      </c>
      <c r="J1552" t="e">
        <f>LOG(Table1[[#This Row],[Flux in RT / glucose uptake ($mmol/mmol\ glc$)]])</f>
        <v>#NUM!</v>
      </c>
    </row>
    <row r="1553" spans="1:10" x14ac:dyDescent="0.2">
      <c r="A1553" t="s">
        <v>1556</v>
      </c>
      <c r="B1553" t="s">
        <v>3114</v>
      </c>
      <c r="C1553">
        <v>0</v>
      </c>
      <c r="D1553">
        <v>0</v>
      </c>
      <c r="E1553">
        <f>ABS(Table1[[#This Row],[Flux in SC / glucose uptake ($mmol/mmol\ glc$)]]-Table1[[#This Row],[Flux in RT / glucose uptake ($mmol/mmol\ glc$)]])/SQRT(2)</f>
        <v>0</v>
      </c>
      <c r="F1553">
        <f>Table1[[#This Row],[distance from 45-degree line]]/MAX(Table1[[Flux in SC / glucose uptake ($mmol/mmol\ glc$)]:[Flux in RT / glucose uptake ($mmol/mmol\ glc$)]])</f>
        <v>0</v>
      </c>
      <c r="G1553">
        <f>_xlfn.RANK.AVG(Table1[[#This Row],[Flux in SC / glucose uptake ($mmol/mmol\ glc$)]],Table1[Flux in SC / glucose uptake ($mmol/mmol\ glc$)])</f>
        <v>1310.5</v>
      </c>
      <c r="H1553">
        <f>_xlfn.RANK.AVG(Table1[[#This Row],[Flux in RT / glucose uptake ($mmol/mmol\ glc$)]],Table1[Flux in RT / glucose uptake ($mmol/mmol\ glc$)])</f>
        <v>1290.5</v>
      </c>
      <c r="I1553" t="e">
        <f>LOG(Table1[[#This Row],[Flux in SC / glucose uptake ($mmol/mmol\ glc$)]])</f>
        <v>#NUM!</v>
      </c>
      <c r="J1553" t="e">
        <f>LOG(Table1[[#This Row],[Flux in RT / glucose uptake ($mmol/mmol\ glc$)]])</f>
        <v>#NUM!</v>
      </c>
    </row>
    <row r="1554" spans="1:10" x14ac:dyDescent="0.2">
      <c r="A1554" t="s">
        <v>1557</v>
      </c>
      <c r="B1554" t="s">
        <v>3114</v>
      </c>
      <c r="C1554">
        <v>3.6110321147682783E-9</v>
      </c>
      <c r="D1554">
        <v>6.4582606458391196E-3</v>
      </c>
      <c r="E1554">
        <f>ABS(Table1[[#This Row],[Flux in SC / glucose uptake ($mmol/mmol\ glc$)]]-Table1[[#This Row],[Flux in RT / glucose uptake ($mmol/mmol\ glc$)]])/SQRT(2)</f>
        <v>4.566677343957758E-3</v>
      </c>
      <c r="F1554">
        <f>Table1[[#This Row],[distance from 45-degree line]]/MAX(Table1[[Flux in SC / glucose uptake ($mmol/mmol\ glc$)]:[Flux in RT / glucose uptake ($mmol/mmol\ glc$)]])</f>
        <v>2.4613869795935071E-4</v>
      </c>
      <c r="G1554">
        <f>_xlfn.RANK.AVG(Table1[[#This Row],[Flux in SC / glucose uptake ($mmol/mmol\ glc$)]],Table1[Flux in SC / glucose uptake ($mmol/mmol\ glc$)])</f>
        <v>310</v>
      </c>
      <c r="H1554">
        <f>_xlfn.RANK.AVG(Table1[[#This Row],[Flux in RT / glucose uptake ($mmol/mmol\ glc$)]],Table1[Flux in RT / glucose uptake ($mmol/mmol\ glc$)])</f>
        <v>208</v>
      </c>
      <c r="I1554">
        <f>LOG(Table1[[#This Row],[Flux in SC / glucose uptake ($mmol/mmol\ glc$)]])</f>
        <v>-8.4423686491515095</v>
      </c>
      <c r="J1554">
        <f>LOG(Table1[[#This Row],[Flux in RT / glucose uptake ($mmol/mmol\ glc$)]])</f>
        <v>-2.1898844314827781</v>
      </c>
    </row>
    <row r="1555" spans="1:10" x14ac:dyDescent="0.2">
      <c r="A1555" t="s">
        <v>1558</v>
      </c>
      <c r="B1555" t="s">
        <v>3132</v>
      </c>
      <c r="C1555">
        <v>0</v>
      </c>
      <c r="D1555">
        <v>2.2611138975743805E-2</v>
      </c>
      <c r="E1555">
        <f>ABS(Table1[[#This Row],[Flux in SC / glucose uptake ($mmol/mmol\ glc$)]]-Table1[[#This Row],[Flux in RT / glucose uptake ($mmol/mmol\ glc$)]])/SQRT(2)</f>
        <v>1.5988489700099889E-2</v>
      </c>
      <c r="F1555">
        <f>Table1[[#This Row],[distance from 45-degree line]]/MAX(Table1[[Flux in SC / glucose uptake ($mmol/mmol\ glc$)]:[Flux in RT / glucose uptake ($mmol/mmol\ glc$)]])</f>
        <v>8.6176135091436826E-4</v>
      </c>
      <c r="G1555">
        <f>_xlfn.RANK.AVG(Table1[[#This Row],[Flux in SC / glucose uptake ($mmol/mmol\ glc$)]],Table1[Flux in SC / glucose uptake ($mmol/mmol\ glc$)])</f>
        <v>1310.5</v>
      </c>
      <c r="H1555">
        <f>_xlfn.RANK.AVG(Table1[[#This Row],[Flux in RT / glucose uptake ($mmol/mmol\ glc$)]],Table1[Flux in RT / glucose uptake ($mmol/mmol\ glc$)])</f>
        <v>136.5</v>
      </c>
      <c r="I1555" t="e">
        <f>LOG(Table1[[#This Row],[Flux in SC / glucose uptake ($mmol/mmol\ glc$)]])</f>
        <v>#NUM!</v>
      </c>
      <c r="J1555">
        <f>LOG(Table1[[#This Row],[Flux in RT / glucose uptake ($mmol/mmol\ glc$)]])</f>
        <v>-1.6456775606788778</v>
      </c>
    </row>
    <row r="1556" spans="1:10" x14ac:dyDescent="0.2">
      <c r="A1556" t="s">
        <v>1559</v>
      </c>
      <c r="B1556" t="s">
        <v>3114</v>
      </c>
      <c r="C1556">
        <v>0</v>
      </c>
      <c r="D1556">
        <v>0</v>
      </c>
      <c r="E1556">
        <f>ABS(Table1[[#This Row],[Flux in SC / glucose uptake ($mmol/mmol\ glc$)]]-Table1[[#This Row],[Flux in RT / glucose uptake ($mmol/mmol\ glc$)]])/SQRT(2)</f>
        <v>0</v>
      </c>
      <c r="F1556">
        <f>Table1[[#This Row],[distance from 45-degree line]]/MAX(Table1[[Flux in SC / glucose uptake ($mmol/mmol\ glc$)]:[Flux in RT / glucose uptake ($mmol/mmol\ glc$)]])</f>
        <v>0</v>
      </c>
      <c r="G1556">
        <f>_xlfn.RANK.AVG(Table1[[#This Row],[Flux in SC / glucose uptake ($mmol/mmol\ glc$)]],Table1[Flux in SC / glucose uptake ($mmol/mmol\ glc$)])</f>
        <v>1310.5</v>
      </c>
      <c r="H1556">
        <f>_xlfn.RANK.AVG(Table1[[#This Row],[Flux in RT / glucose uptake ($mmol/mmol\ glc$)]],Table1[Flux in RT / glucose uptake ($mmol/mmol\ glc$)])</f>
        <v>1290.5</v>
      </c>
      <c r="I1556" t="e">
        <f>LOG(Table1[[#This Row],[Flux in SC / glucose uptake ($mmol/mmol\ glc$)]])</f>
        <v>#NUM!</v>
      </c>
      <c r="J1556" t="e">
        <f>LOG(Table1[[#This Row],[Flux in RT / glucose uptake ($mmol/mmol\ glc$)]])</f>
        <v>#NUM!</v>
      </c>
    </row>
    <row r="1557" spans="1:10" x14ac:dyDescent="0.2">
      <c r="A1557" t="s">
        <v>1560</v>
      </c>
      <c r="B1557" t="s">
        <v>3114</v>
      </c>
      <c r="C1557">
        <v>0</v>
      </c>
      <c r="D1557">
        <v>0</v>
      </c>
      <c r="E1557">
        <f>ABS(Table1[[#This Row],[Flux in SC / glucose uptake ($mmol/mmol\ glc$)]]-Table1[[#This Row],[Flux in RT / glucose uptake ($mmol/mmol\ glc$)]])/SQRT(2)</f>
        <v>0</v>
      </c>
      <c r="F1557">
        <f>Table1[[#This Row],[distance from 45-degree line]]/MAX(Table1[[Flux in SC / glucose uptake ($mmol/mmol\ glc$)]:[Flux in RT / glucose uptake ($mmol/mmol\ glc$)]])</f>
        <v>0</v>
      </c>
      <c r="G1557">
        <f>_xlfn.RANK.AVG(Table1[[#This Row],[Flux in SC / glucose uptake ($mmol/mmol\ glc$)]],Table1[Flux in SC / glucose uptake ($mmol/mmol\ glc$)])</f>
        <v>1310.5</v>
      </c>
      <c r="H1557">
        <f>_xlfn.RANK.AVG(Table1[[#This Row],[Flux in RT / glucose uptake ($mmol/mmol\ glc$)]],Table1[Flux in RT / glucose uptake ($mmol/mmol\ glc$)])</f>
        <v>1290.5</v>
      </c>
      <c r="I1557" t="e">
        <f>LOG(Table1[[#This Row],[Flux in SC / glucose uptake ($mmol/mmol\ glc$)]])</f>
        <v>#NUM!</v>
      </c>
      <c r="J1557" t="e">
        <f>LOG(Table1[[#This Row],[Flux in RT / glucose uptake ($mmol/mmol\ glc$)]])</f>
        <v>#NUM!</v>
      </c>
    </row>
    <row r="1558" spans="1:10" x14ac:dyDescent="0.2">
      <c r="A1558" t="s">
        <v>1561</v>
      </c>
      <c r="B1558" t="s">
        <v>3114</v>
      </c>
      <c r="C1558">
        <v>0</v>
      </c>
      <c r="D1558">
        <v>0</v>
      </c>
      <c r="E1558">
        <f>ABS(Table1[[#This Row],[Flux in SC / glucose uptake ($mmol/mmol\ glc$)]]-Table1[[#This Row],[Flux in RT / glucose uptake ($mmol/mmol\ glc$)]])/SQRT(2)</f>
        <v>0</v>
      </c>
      <c r="F1558">
        <f>Table1[[#This Row],[distance from 45-degree line]]/MAX(Table1[[Flux in SC / glucose uptake ($mmol/mmol\ glc$)]:[Flux in RT / glucose uptake ($mmol/mmol\ glc$)]])</f>
        <v>0</v>
      </c>
      <c r="G1558">
        <f>_xlfn.RANK.AVG(Table1[[#This Row],[Flux in SC / glucose uptake ($mmol/mmol\ glc$)]],Table1[Flux in SC / glucose uptake ($mmol/mmol\ glc$)])</f>
        <v>1310.5</v>
      </c>
      <c r="H1558">
        <f>_xlfn.RANK.AVG(Table1[[#This Row],[Flux in RT / glucose uptake ($mmol/mmol\ glc$)]],Table1[Flux in RT / glucose uptake ($mmol/mmol\ glc$)])</f>
        <v>1290.5</v>
      </c>
      <c r="I1558" t="e">
        <f>LOG(Table1[[#This Row],[Flux in SC / glucose uptake ($mmol/mmol\ glc$)]])</f>
        <v>#NUM!</v>
      </c>
      <c r="J1558" t="e">
        <f>LOG(Table1[[#This Row],[Flux in RT / glucose uptake ($mmol/mmol\ glc$)]])</f>
        <v>#NUM!</v>
      </c>
    </row>
    <row r="1559" spans="1:10" x14ac:dyDescent="0.2">
      <c r="A1559" t="s">
        <v>1562</v>
      </c>
      <c r="B1559" t="s">
        <v>3132</v>
      </c>
      <c r="C1559">
        <v>0</v>
      </c>
      <c r="D1559">
        <v>2.2611138975743805E-2</v>
      </c>
      <c r="E1559">
        <f>ABS(Table1[[#This Row],[Flux in SC / glucose uptake ($mmol/mmol\ glc$)]]-Table1[[#This Row],[Flux in RT / glucose uptake ($mmol/mmol\ glc$)]])/SQRT(2)</f>
        <v>1.5988489700099889E-2</v>
      </c>
      <c r="F1559">
        <f>Table1[[#This Row],[distance from 45-degree line]]/MAX(Table1[[Flux in SC / glucose uptake ($mmol/mmol\ glc$)]:[Flux in RT / glucose uptake ($mmol/mmol\ glc$)]])</f>
        <v>8.6176135091436826E-4</v>
      </c>
      <c r="G1559">
        <f>_xlfn.RANK.AVG(Table1[[#This Row],[Flux in SC / glucose uptake ($mmol/mmol\ glc$)]],Table1[Flux in SC / glucose uptake ($mmol/mmol\ glc$)])</f>
        <v>1310.5</v>
      </c>
      <c r="H1559">
        <f>_xlfn.RANK.AVG(Table1[[#This Row],[Flux in RT / glucose uptake ($mmol/mmol\ glc$)]],Table1[Flux in RT / glucose uptake ($mmol/mmol\ glc$)])</f>
        <v>136.5</v>
      </c>
      <c r="I1559" t="e">
        <f>LOG(Table1[[#This Row],[Flux in SC / glucose uptake ($mmol/mmol\ glc$)]])</f>
        <v>#NUM!</v>
      </c>
      <c r="J1559">
        <f>LOG(Table1[[#This Row],[Flux in RT / glucose uptake ($mmol/mmol\ glc$)]])</f>
        <v>-1.6456775606788778</v>
      </c>
    </row>
    <row r="1560" spans="1:10" x14ac:dyDescent="0.2">
      <c r="A1560" t="s">
        <v>1563</v>
      </c>
      <c r="B1560" t="s">
        <v>3148</v>
      </c>
      <c r="C1560">
        <v>0</v>
      </c>
      <c r="D1560">
        <v>0</v>
      </c>
      <c r="E1560">
        <f>ABS(Table1[[#This Row],[Flux in SC / glucose uptake ($mmol/mmol\ glc$)]]-Table1[[#This Row],[Flux in RT / glucose uptake ($mmol/mmol\ glc$)]])/SQRT(2)</f>
        <v>0</v>
      </c>
      <c r="F1560">
        <f>Table1[[#This Row],[distance from 45-degree line]]/MAX(Table1[[Flux in SC / glucose uptake ($mmol/mmol\ glc$)]:[Flux in RT / glucose uptake ($mmol/mmol\ glc$)]])</f>
        <v>0</v>
      </c>
      <c r="G1560">
        <f>_xlfn.RANK.AVG(Table1[[#This Row],[Flux in SC / glucose uptake ($mmol/mmol\ glc$)]],Table1[Flux in SC / glucose uptake ($mmol/mmol\ glc$)])</f>
        <v>1310.5</v>
      </c>
      <c r="H1560">
        <f>_xlfn.RANK.AVG(Table1[[#This Row],[Flux in RT / glucose uptake ($mmol/mmol\ glc$)]],Table1[Flux in RT / glucose uptake ($mmol/mmol\ glc$)])</f>
        <v>1290.5</v>
      </c>
      <c r="I1560" t="e">
        <f>LOG(Table1[[#This Row],[Flux in SC / glucose uptake ($mmol/mmol\ glc$)]])</f>
        <v>#NUM!</v>
      </c>
      <c r="J1560" t="e">
        <f>LOG(Table1[[#This Row],[Flux in RT / glucose uptake ($mmol/mmol\ glc$)]])</f>
        <v>#NUM!</v>
      </c>
    </row>
    <row r="1561" spans="1:10" x14ac:dyDescent="0.2">
      <c r="A1561" t="s">
        <v>1564</v>
      </c>
      <c r="B1561" t="s">
        <v>3181</v>
      </c>
      <c r="C1561">
        <v>0</v>
      </c>
      <c r="D1561">
        <v>0</v>
      </c>
      <c r="E1561">
        <f>ABS(Table1[[#This Row],[Flux in SC / glucose uptake ($mmol/mmol\ glc$)]]-Table1[[#This Row],[Flux in RT / glucose uptake ($mmol/mmol\ glc$)]])/SQRT(2)</f>
        <v>0</v>
      </c>
      <c r="F1561">
        <f>Table1[[#This Row],[distance from 45-degree line]]/MAX(Table1[[Flux in SC / glucose uptake ($mmol/mmol\ glc$)]:[Flux in RT / glucose uptake ($mmol/mmol\ glc$)]])</f>
        <v>0</v>
      </c>
      <c r="G1561">
        <f>_xlfn.RANK.AVG(Table1[[#This Row],[Flux in SC / glucose uptake ($mmol/mmol\ glc$)]],Table1[Flux in SC / glucose uptake ($mmol/mmol\ glc$)])</f>
        <v>1310.5</v>
      </c>
      <c r="H1561">
        <f>_xlfn.RANK.AVG(Table1[[#This Row],[Flux in RT / glucose uptake ($mmol/mmol\ glc$)]],Table1[Flux in RT / glucose uptake ($mmol/mmol\ glc$)])</f>
        <v>1290.5</v>
      </c>
      <c r="I1561" t="e">
        <f>LOG(Table1[[#This Row],[Flux in SC / glucose uptake ($mmol/mmol\ glc$)]])</f>
        <v>#NUM!</v>
      </c>
      <c r="J1561" t="e">
        <f>LOG(Table1[[#This Row],[Flux in RT / glucose uptake ($mmol/mmol\ glc$)]])</f>
        <v>#NUM!</v>
      </c>
    </row>
    <row r="1562" spans="1:10" x14ac:dyDescent="0.2">
      <c r="A1562" t="s">
        <v>1565</v>
      </c>
      <c r="B1562" t="s">
        <v>3114</v>
      </c>
      <c r="C1562">
        <v>0</v>
      </c>
      <c r="D1562">
        <v>0</v>
      </c>
      <c r="E1562">
        <f>ABS(Table1[[#This Row],[Flux in SC / glucose uptake ($mmol/mmol\ glc$)]]-Table1[[#This Row],[Flux in RT / glucose uptake ($mmol/mmol\ glc$)]])/SQRT(2)</f>
        <v>0</v>
      </c>
      <c r="F1562">
        <f>Table1[[#This Row],[distance from 45-degree line]]/MAX(Table1[[Flux in SC / glucose uptake ($mmol/mmol\ glc$)]:[Flux in RT / glucose uptake ($mmol/mmol\ glc$)]])</f>
        <v>0</v>
      </c>
      <c r="G1562">
        <f>_xlfn.RANK.AVG(Table1[[#This Row],[Flux in SC / glucose uptake ($mmol/mmol\ glc$)]],Table1[Flux in SC / glucose uptake ($mmol/mmol\ glc$)])</f>
        <v>1310.5</v>
      </c>
      <c r="H1562">
        <f>_xlfn.RANK.AVG(Table1[[#This Row],[Flux in RT / glucose uptake ($mmol/mmol\ glc$)]],Table1[Flux in RT / glucose uptake ($mmol/mmol\ glc$)])</f>
        <v>1290.5</v>
      </c>
      <c r="I1562" t="e">
        <f>LOG(Table1[[#This Row],[Flux in SC / glucose uptake ($mmol/mmol\ glc$)]])</f>
        <v>#NUM!</v>
      </c>
      <c r="J1562" t="e">
        <f>LOG(Table1[[#This Row],[Flux in RT / glucose uptake ($mmol/mmol\ glc$)]])</f>
        <v>#NUM!</v>
      </c>
    </row>
    <row r="1563" spans="1:10" x14ac:dyDescent="0.2">
      <c r="A1563" t="s">
        <v>1566</v>
      </c>
      <c r="B1563" t="s">
        <v>3148</v>
      </c>
      <c r="C1563">
        <v>5.3310262845360137E-3</v>
      </c>
      <c r="D1563">
        <v>2.4128033037939357E-2</v>
      </c>
      <c r="E1563">
        <f>ABS(Table1[[#This Row],[Flux in SC / glucose uptake ($mmol/mmol\ glc$)]]-Table1[[#This Row],[Flux in RT / glucose uptake ($mmol/mmol\ glc$)]])/SQRT(2)</f>
        <v>1.3291490941340835E-2</v>
      </c>
      <c r="F1563">
        <f>Table1[[#This Row],[distance from 45-degree line]]/MAX(Table1[[Flux in SC / glucose uptake ($mmol/mmol\ glc$)]:[Flux in RT / glucose uptake ($mmol/mmol\ glc$)]])</f>
        <v>7.1639619527067691E-4</v>
      </c>
      <c r="G1563">
        <f>_xlfn.RANK.AVG(Table1[[#This Row],[Flux in SC / glucose uptake ($mmol/mmol\ glc$)]],Table1[Flux in SC / glucose uptake ($mmol/mmol\ glc$)])</f>
        <v>113</v>
      </c>
      <c r="H1563">
        <f>_xlfn.RANK.AVG(Table1[[#This Row],[Flux in RT / glucose uptake ($mmol/mmol\ glc$)]],Table1[Flux in RT / glucose uptake ($mmol/mmol\ glc$)])</f>
        <v>125</v>
      </c>
      <c r="I1563">
        <f>LOG(Table1[[#This Row],[Flux in SC / glucose uptake ($mmol/mmol\ glc$)]])</f>
        <v>-2.2731891761880711</v>
      </c>
      <c r="J1563">
        <f>LOG(Table1[[#This Row],[Flux in RT / glucose uptake ($mmol/mmol\ glc$)]])</f>
        <v>-1.6174780811408516</v>
      </c>
    </row>
    <row r="1564" spans="1:10" x14ac:dyDescent="0.2">
      <c r="A1564" t="s">
        <v>1567</v>
      </c>
      <c r="B1564" t="s">
        <v>3148</v>
      </c>
      <c r="C1564">
        <v>0</v>
      </c>
      <c r="D1564">
        <v>0</v>
      </c>
      <c r="E1564">
        <f>ABS(Table1[[#This Row],[Flux in SC / glucose uptake ($mmol/mmol\ glc$)]]-Table1[[#This Row],[Flux in RT / glucose uptake ($mmol/mmol\ glc$)]])/SQRT(2)</f>
        <v>0</v>
      </c>
      <c r="F1564">
        <f>Table1[[#This Row],[distance from 45-degree line]]/MAX(Table1[[Flux in SC / glucose uptake ($mmol/mmol\ glc$)]:[Flux in RT / glucose uptake ($mmol/mmol\ glc$)]])</f>
        <v>0</v>
      </c>
      <c r="G1564">
        <f>_xlfn.RANK.AVG(Table1[[#This Row],[Flux in SC / glucose uptake ($mmol/mmol\ glc$)]],Table1[Flux in SC / glucose uptake ($mmol/mmol\ glc$)])</f>
        <v>1310.5</v>
      </c>
      <c r="H1564">
        <f>_xlfn.RANK.AVG(Table1[[#This Row],[Flux in RT / glucose uptake ($mmol/mmol\ glc$)]],Table1[Flux in RT / glucose uptake ($mmol/mmol\ glc$)])</f>
        <v>1290.5</v>
      </c>
      <c r="I1564" t="e">
        <f>LOG(Table1[[#This Row],[Flux in SC / glucose uptake ($mmol/mmol\ glc$)]])</f>
        <v>#NUM!</v>
      </c>
      <c r="J1564" t="e">
        <f>LOG(Table1[[#This Row],[Flux in RT / glucose uptake ($mmol/mmol\ glc$)]])</f>
        <v>#NUM!</v>
      </c>
    </row>
    <row r="1565" spans="1:10" x14ac:dyDescent="0.2">
      <c r="A1565" t="s">
        <v>1568</v>
      </c>
      <c r="B1565" t="s">
        <v>3114</v>
      </c>
      <c r="C1565">
        <v>0</v>
      </c>
      <c r="D1565">
        <v>0</v>
      </c>
      <c r="E1565">
        <f>ABS(Table1[[#This Row],[Flux in SC / glucose uptake ($mmol/mmol\ glc$)]]-Table1[[#This Row],[Flux in RT / glucose uptake ($mmol/mmol\ glc$)]])/SQRT(2)</f>
        <v>0</v>
      </c>
      <c r="F1565">
        <f>Table1[[#This Row],[distance from 45-degree line]]/MAX(Table1[[Flux in SC / glucose uptake ($mmol/mmol\ glc$)]:[Flux in RT / glucose uptake ($mmol/mmol\ glc$)]])</f>
        <v>0</v>
      </c>
      <c r="G1565">
        <f>_xlfn.RANK.AVG(Table1[[#This Row],[Flux in SC / glucose uptake ($mmol/mmol\ glc$)]],Table1[Flux in SC / glucose uptake ($mmol/mmol\ glc$)])</f>
        <v>1310.5</v>
      </c>
      <c r="H1565">
        <f>_xlfn.RANK.AVG(Table1[[#This Row],[Flux in RT / glucose uptake ($mmol/mmol\ glc$)]],Table1[Flux in RT / glucose uptake ($mmol/mmol\ glc$)])</f>
        <v>1290.5</v>
      </c>
      <c r="I1565" t="e">
        <f>LOG(Table1[[#This Row],[Flux in SC / glucose uptake ($mmol/mmol\ glc$)]])</f>
        <v>#NUM!</v>
      </c>
      <c r="J1565" t="e">
        <f>LOG(Table1[[#This Row],[Flux in RT / glucose uptake ($mmol/mmol\ glc$)]])</f>
        <v>#NUM!</v>
      </c>
    </row>
    <row r="1566" spans="1:10" x14ac:dyDescent="0.2">
      <c r="A1566" t="s">
        <v>1569</v>
      </c>
      <c r="B1566" t="s">
        <v>3114</v>
      </c>
      <c r="C1566">
        <v>0</v>
      </c>
      <c r="D1566">
        <v>0</v>
      </c>
      <c r="E1566">
        <f>ABS(Table1[[#This Row],[Flux in SC / glucose uptake ($mmol/mmol\ glc$)]]-Table1[[#This Row],[Flux in RT / glucose uptake ($mmol/mmol\ glc$)]])/SQRT(2)</f>
        <v>0</v>
      </c>
      <c r="F1566">
        <f>Table1[[#This Row],[distance from 45-degree line]]/MAX(Table1[[Flux in SC / glucose uptake ($mmol/mmol\ glc$)]:[Flux in RT / glucose uptake ($mmol/mmol\ glc$)]])</f>
        <v>0</v>
      </c>
      <c r="G1566">
        <f>_xlfn.RANK.AVG(Table1[[#This Row],[Flux in SC / glucose uptake ($mmol/mmol\ glc$)]],Table1[Flux in SC / glucose uptake ($mmol/mmol\ glc$)])</f>
        <v>1310.5</v>
      </c>
      <c r="H1566">
        <f>_xlfn.RANK.AVG(Table1[[#This Row],[Flux in RT / glucose uptake ($mmol/mmol\ glc$)]],Table1[Flux in RT / glucose uptake ($mmol/mmol\ glc$)])</f>
        <v>1290.5</v>
      </c>
      <c r="I1566" t="e">
        <f>LOG(Table1[[#This Row],[Flux in SC / glucose uptake ($mmol/mmol\ glc$)]])</f>
        <v>#NUM!</v>
      </c>
      <c r="J1566" t="e">
        <f>LOG(Table1[[#This Row],[Flux in RT / glucose uptake ($mmol/mmol\ glc$)]])</f>
        <v>#NUM!</v>
      </c>
    </row>
    <row r="1567" spans="1:10" x14ac:dyDescent="0.2">
      <c r="A1567" t="s">
        <v>1570</v>
      </c>
      <c r="B1567" t="s">
        <v>3154</v>
      </c>
      <c r="C1567">
        <v>0</v>
      </c>
      <c r="D1567">
        <v>0</v>
      </c>
      <c r="E1567">
        <f>ABS(Table1[[#This Row],[Flux in SC / glucose uptake ($mmol/mmol\ glc$)]]-Table1[[#This Row],[Flux in RT / glucose uptake ($mmol/mmol\ glc$)]])/SQRT(2)</f>
        <v>0</v>
      </c>
      <c r="F1567">
        <f>Table1[[#This Row],[distance from 45-degree line]]/MAX(Table1[[Flux in SC / glucose uptake ($mmol/mmol\ glc$)]:[Flux in RT / glucose uptake ($mmol/mmol\ glc$)]])</f>
        <v>0</v>
      </c>
      <c r="G1567">
        <f>_xlfn.RANK.AVG(Table1[[#This Row],[Flux in SC / glucose uptake ($mmol/mmol\ glc$)]],Table1[Flux in SC / glucose uptake ($mmol/mmol\ glc$)])</f>
        <v>1310.5</v>
      </c>
      <c r="H1567">
        <f>_xlfn.RANK.AVG(Table1[[#This Row],[Flux in RT / glucose uptake ($mmol/mmol\ glc$)]],Table1[Flux in RT / glucose uptake ($mmol/mmol\ glc$)])</f>
        <v>1290.5</v>
      </c>
      <c r="I1567" t="e">
        <f>LOG(Table1[[#This Row],[Flux in SC / glucose uptake ($mmol/mmol\ glc$)]])</f>
        <v>#NUM!</v>
      </c>
      <c r="J1567" t="e">
        <f>LOG(Table1[[#This Row],[Flux in RT / glucose uptake ($mmol/mmol\ glc$)]])</f>
        <v>#NUM!</v>
      </c>
    </row>
    <row r="1568" spans="1:10" x14ac:dyDescent="0.2">
      <c r="A1568" t="s">
        <v>1571</v>
      </c>
      <c r="B1568" t="s">
        <v>3132</v>
      </c>
      <c r="C1568">
        <v>3.6110321147682783E-9</v>
      </c>
      <c r="D1568">
        <v>0</v>
      </c>
      <c r="E1568">
        <f>ABS(Table1[[#This Row],[Flux in SC / glucose uptake ($mmol/mmol\ glc$)]]-Table1[[#This Row],[Flux in RT / glucose uptake ($mmol/mmol\ glc$)]])/SQRT(2)</f>
        <v>2.5533852954350489E-9</v>
      </c>
      <c r="F1568">
        <f>Table1[[#This Row],[distance from 45-degree line]]/MAX(Table1[[Flux in SC / glucose uptake ($mmol/mmol\ glc$)]:[Flux in RT / glucose uptake ($mmol/mmol\ glc$)]])</f>
        <v>1.376245538429589E-10</v>
      </c>
      <c r="G1568">
        <f>_xlfn.RANK.AVG(Table1[[#This Row],[Flux in SC / glucose uptake ($mmol/mmol\ glc$)]],Table1[Flux in SC / glucose uptake ($mmol/mmol\ glc$)])</f>
        <v>310</v>
      </c>
      <c r="H1568">
        <f>_xlfn.RANK.AVG(Table1[[#This Row],[Flux in RT / glucose uptake ($mmol/mmol\ glc$)]],Table1[Flux in RT / glucose uptake ($mmol/mmol\ glc$)])</f>
        <v>1290.5</v>
      </c>
      <c r="I1568">
        <f>LOG(Table1[[#This Row],[Flux in SC / glucose uptake ($mmol/mmol\ glc$)]])</f>
        <v>-8.4423686491515095</v>
      </c>
      <c r="J1568" t="e">
        <f>LOG(Table1[[#This Row],[Flux in RT / glucose uptake ($mmol/mmol\ glc$)]])</f>
        <v>#NUM!</v>
      </c>
    </row>
    <row r="1569" spans="1:10" x14ac:dyDescent="0.2">
      <c r="A1569" t="s">
        <v>1572</v>
      </c>
      <c r="B1569" t="s">
        <v>3114</v>
      </c>
      <c r="C1569">
        <v>0</v>
      </c>
      <c r="D1569">
        <v>0</v>
      </c>
      <c r="E1569">
        <f>ABS(Table1[[#This Row],[Flux in SC / glucose uptake ($mmol/mmol\ glc$)]]-Table1[[#This Row],[Flux in RT / glucose uptake ($mmol/mmol\ glc$)]])/SQRT(2)</f>
        <v>0</v>
      </c>
      <c r="F1569">
        <f>Table1[[#This Row],[distance from 45-degree line]]/MAX(Table1[[Flux in SC / glucose uptake ($mmol/mmol\ glc$)]:[Flux in RT / glucose uptake ($mmol/mmol\ glc$)]])</f>
        <v>0</v>
      </c>
      <c r="G1569">
        <f>_xlfn.RANK.AVG(Table1[[#This Row],[Flux in SC / glucose uptake ($mmol/mmol\ glc$)]],Table1[Flux in SC / glucose uptake ($mmol/mmol\ glc$)])</f>
        <v>1310.5</v>
      </c>
      <c r="H1569">
        <f>_xlfn.RANK.AVG(Table1[[#This Row],[Flux in RT / glucose uptake ($mmol/mmol\ glc$)]],Table1[Flux in RT / glucose uptake ($mmol/mmol\ glc$)])</f>
        <v>1290.5</v>
      </c>
      <c r="I1569" t="e">
        <f>LOG(Table1[[#This Row],[Flux in SC / glucose uptake ($mmol/mmol\ glc$)]])</f>
        <v>#NUM!</v>
      </c>
      <c r="J1569" t="e">
        <f>LOG(Table1[[#This Row],[Flux in RT / glucose uptake ($mmol/mmol\ glc$)]])</f>
        <v>#NUM!</v>
      </c>
    </row>
    <row r="1570" spans="1:10" x14ac:dyDescent="0.2">
      <c r="A1570" t="s">
        <v>1573</v>
      </c>
      <c r="B1570" t="s">
        <v>3114</v>
      </c>
      <c r="C1570">
        <v>0</v>
      </c>
      <c r="D1570">
        <v>0</v>
      </c>
      <c r="E1570">
        <f>ABS(Table1[[#This Row],[Flux in SC / glucose uptake ($mmol/mmol\ glc$)]]-Table1[[#This Row],[Flux in RT / glucose uptake ($mmol/mmol\ glc$)]])/SQRT(2)</f>
        <v>0</v>
      </c>
      <c r="F1570">
        <f>Table1[[#This Row],[distance from 45-degree line]]/MAX(Table1[[Flux in SC / glucose uptake ($mmol/mmol\ glc$)]:[Flux in RT / glucose uptake ($mmol/mmol\ glc$)]])</f>
        <v>0</v>
      </c>
      <c r="G1570">
        <f>_xlfn.RANK.AVG(Table1[[#This Row],[Flux in SC / glucose uptake ($mmol/mmol\ glc$)]],Table1[Flux in SC / glucose uptake ($mmol/mmol\ glc$)])</f>
        <v>1310.5</v>
      </c>
      <c r="H1570">
        <f>_xlfn.RANK.AVG(Table1[[#This Row],[Flux in RT / glucose uptake ($mmol/mmol\ glc$)]],Table1[Flux in RT / glucose uptake ($mmol/mmol\ glc$)])</f>
        <v>1290.5</v>
      </c>
      <c r="I1570" t="e">
        <f>LOG(Table1[[#This Row],[Flux in SC / glucose uptake ($mmol/mmol\ glc$)]])</f>
        <v>#NUM!</v>
      </c>
      <c r="J1570" t="e">
        <f>LOG(Table1[[#This Row],[Flux in RT / glucose uptake ($mmol/mmol\ glc$)]])</f>
        <v>#NUM!</v>
      </c>
    </row>
    <row r="1571" spans="1:10" x14ac:dyDescent="0.2">
      <c r="A1571" t="s">
        <v>1574</v>
      </c>
      <c r="B1571" t="s">
        <v>3114</v>
      </c>
      <c r="C1571">
        <v>0</v>
      </c>
      <c r="D1571">
        <v>0</v>
      </c>
      <c r="E1571">
        <f>ABS(Table1[[#This Row],[Flux in SC / glucose uptake ($mmol/mmol\ glc$)]]-Table1[[#This Row],[Flux in RT / glucose uptake ($mmol/mmol\ glc$)]])/SQRT(2)</f>
        <v>0</v>
      </c>
      <c r="F1571">
        <f>Table1[[#This Row],[distance from 45-degree line]]/MAX(Table1[[Flux in SC / glucose uptake ($mmol/mmol\ glc$)]:[Flux in RT / glucose uptake ($mmol/mmol\ glc$)]])</f>
        <v>0</v>
      </c>
      <c r="G1571">
        <f>_xlfn.RANK.AVG(Table1[[#This Row],[Flux in SC / glucose uptake ($mmol/mmol\ glc$)]],Table1[Flux in SC / glucose uptake ($mmol/mmol\ glc$)])</f>
        <v>1310.5</v>
      </c>
      <c r="H1571">
        <f>_xlfn.RANK.AVG(Table1[[#This Row],[Flux in RT / glucose uptake ($mmol/mmol\ glc$)]],Table1[Flux in RT / glucose uptake ($mmol/mmol\ glc$)])</f>
        <v>1290.5</v>
      </c>
      <c r="I1571" t="e">
        <f>LOG(Table1[[#This Row],[Flux in SC / glucose uptake ($mmol/mmol\ glc$)]])</f>
        <v>#NUM!</v>
      </c>
      <c r="J1571" t="e">
        <f>LOG(Table1[[#This Row],[Flux in RT / glucose uptake ($mmol/mmol\ glc$)]])</f>
        <v>#NUM!</v>
      </c>
    </row>
    <row r="1572" spans="1:10" x14ac:dyDescent="0.2">
      <c r="A1572" t="s">
        <v>1575</v>
      </c>
      <c r="B1572" t="s">
        <v>3114</v>
      </c>
      <c r="C1572">
        <v>0</v>
      </c>
      <c r="D1572">
        <v>0</v>
      </c>
      <c r="E1572">
        <f>ABS(Table1[[#This Row],[Flux in SC / glucose uptake ($mmol/mmol\ glc$)]]-Table1[[#This Row],[Flux in RT / glucose uptake ($mmol/mmol\ glc$)]])/SQRT(2)</f>
        <v>0</v>
      </c>
      <c r="F1572">
        <f>Table1[[#This Row],[distance from 45-degree line]]/MAX(Table1[[Flux in SC / glucose uptake ($mmol/mmol\ glc$)]:[Flux in RT / glucose uptake ($mmol/mmol\ glc$)]])</f>
        <v>0</v>
      </c>
      <c r="G1572">
        <f>_xlfn.RANK.AVG(Table1[[#This Row],[Flux in SC / glucose uptake ($mmol/mmol\ glc$)]],Table1[Flux in SC / glucose uptake ($mmol/mmol\ glc$)])</f>
        <v>1310.5</v>
      </c>
      <c r="H1572">
        <f>_xlfn.RANK.AVG(Table1[[#This Row],[Flux in RT / glucose uptake ($mmol/mmol\ glc$)]],Table1[Flux in RT / glucose uptake ($mmol/mmol\ glc$)])</f>
        <v>1290.5</v>
      </c>
      <c r="I1572" t="e">
        <f>LOG(Table1[[#This Row],[Flux in SC / glucose uptake ($mmol/mmol\ glc$)]])</f>
        <v>#NUM!</v>
      </c>
      <c r="J1572" t="e">
        <f>LOG(Table1[[#This Row],[Flux in RT / glucose uptake ($mmol/mmol\ glc$)]])</f>
        <v>#NUM!</v>
      </c>
    </row>
    <row r="1573" spans="1:10" x14ac:dyDescent="0.2">
      <c r="A1573" t="s">
        <v>1576</v>
      </c>
      <c r="B1573" t="s">
        <v>3114</v>
      </c>
      <c r="C1573">
        <v>0</v>
      </c>
      <c r="D1573">
        <v>0</v>
      </c>
      <c r="E1573">
        <f>ABS(Table1[[#This Row],[Flux in SC / glucose uptake ($mmol/mmol\ glc$)]]-Table1[[#This Row],[Flux in RT / glucose uptake ($mmol/mmol\ glc$)]])/SQRT(2)</f>
        <v>0</v>
      </c>
      <c r="F1573">
        <f>Table1[[#This Row],[distance from 45-degree line]]/MAX(Table1[[Flux in SC / glucose uptake ($mmol/mmol\ glc$)]:[Flux in RT / glucose uptake ($mmol/mmol\ glc$)]])</f>
        <v>0</v>
      </c>
      <c r="G1573">
        <f>_xlfn.RANK.AVG(Table1[[#This Row],[Flux in SC / glucose uptake ($mmol/mmol\ glc$)]],Table1[Flux in SC / glucose uptake ($mmol/mmol\ glc$)])</f>
        <v>1310.5</v>
      </c>
      <c r="H1573">
        <f>_xlfn.RANK.AVG(Table1[[#This Row],[Flux in RT / glucose uptake ($mmol/mmol\ glc$)]],Table1[Flux in RT / glucose uptake ($mmol/mmol\ glc$)])</f>
        <v>1290.5</v>
      </c>
      <c r="I1573" t="e">
        <f>LOG(Table1[[#This Row],[Flux in SC / glucose uptake ($mmol/mmol\ glc$)]])</f>
        <v>#NUM!</v>
      </c>
      <c r="J1573" t="e">
        <f>LOG(Table1[[#This Row],[Flux in RT / glucose uptake ($mmol/mmol\ glc$)]])</f>
        <v>#NUM!</v>
      </c>
    </row>
    <row r="1574" spans="1:10" x14ac:dyDescent="0.2">
      <c r="A1574" t="s">
        <v>1577</v>
      </c>
      <c r="B1574" t="s">
        <v>3114</v>
      </c>
      <c r="C1574">
        <v>0</v>
      </c>
      <c r="D1574">
        <v>0</v>
      </c>
      <c r="E1574">
        <f>ABS(Table1[[#This Row],[Flux in SC / glucose uptake ($mmol/mmol\ glc$)]]-Table1[[#This Row],[Flux in RT / glucose uptake ($mmol/mmol\ glc$)]])/SQRT(2)</f>
        <v>0</v>
      </c>
      <c r="F1574">
        <f>Table1[[#This Row],[distance from 45-degree line]]/MAX(Table1[[Flux in SC / glucose uptake ($mmol/mmol\ glc$)]:[Flux in RT / glucose uptake ($mmol/mmol\ glc$)]])</f>
        <v>0</v>
      </c>
      <c r="G1574">
        <f>_xlfn.RANK.AVG(Table1[[#This Row],[Flux in SC / glucose uptake ($mmol/mmol\ glc$)]],Table1[Flux in SC / glucose uptake ($mmol/mmol\ glc$)])</f>
        <v>1310.5</v>
      </c>
      <c r="H1574">
        <f>_xlfn.RANK.AVG(Table1[[#This Row],[Flux in RT / glucose uptake ($mmol/mmol\ glc$)]],Table1[Flux in RT / glucose uptake ($mmol/mmol\ glc$)])</f>
        <v>1290.5</v>
      </c>
      <c r="I1574" t="e">
        <f>LOG(Table1[[#This Row],[Flux in SC / glucose uptake ($mmol/mmol\ glc$)]])</f>
        <v>#NUM!</v>
      </c>
      <c r="J1574" t="e">
        <f>LOG(Table1[[#This Row],[Flux in RT / glucose uptake ($mmol/mmol\ glc$)]])</f>
        <v>#NUM!</v>
      </c>
    </row>
    <row r="1575" spans="1:10" x14ac:dyDescent="0.2">
      <c r="A1575" t="s">
        <v>1578</v>
      </c>
      <c r="B1575" t="s">
        <v>3132</v>
      </c>
      <c r="C1575">
        <v>0</v>
      </c>
      <c r="D1575">
        <v>2.2611138975743805E-2</v>
      </c>
      <c r="E1575">
        <f>ABS(Table1[[#This Row],[Flux in SC / glucose uptake ($mmol/mmol\ glc$)]]-Table1[[#This Row],[Flux in RT / glucose uptake ($mmol/mmol\ glc$)]])/SQRT(2)</f>
        <v>1.5988489700099889E-2</v>
      </c>
      <c r="F1575">
        <f>Table1[[#This Row],[distance from 45-degree line]]/MAX(Table1[[Flux in SC / glucose uptake ($mmol/mmol\ glc$)]:[Flux in RT / glucose uptake ($mmol/mmol\ glc$)]])</f>
        <v>8.6176135091436826E-4</v>
      </c>
      <c r="G1575">
        <f>_xlfn.RANK.AVG(Table1[[#This Row],[Flux in SC / glucose uptake ($mmol/mmol\ glc$)]],Table1[Flux in SC / glucose uptake ($mmol/mmol\ glc$)])</f>
        <v>1310.5</v>
      </c>
      <c r="H1575">
        <f>_xlfn.RANK.AVG(Table1[[#This Row],[Flux in RT / glucose uptake ($mmol/mmol\ glc$)]],Table1[Flux in RT / glucose uptake ($mmol/mmol\ glc$)])</f>
        <v>136.5</v>
      </c>
      <c r="I1575" t="e">
        <f>LOG(Table1[[#This Row],[Flux in SC / glucose uptake ($mmol/mmol\ glc$)]])</f>
        <v>#NUM!</v>
      </c>
      <c r="J1575">
        <f>LOG(Table1[[#This Row],[Flux in RT / glucose uptake ($mmol/mmol\ glc$)]])</f>
        <v>-1.6456775606788778</v>
      </c>
    </row>
    <row r="1576" spans="1:10" x14ac:dyDescent="0.2">
      <c r="A1576" t="s">
        <v>1579</v>
      </c>
      <c r="B1576" t="s">
        <v>3167</v>
      </c>
      <c r="C1576">
        <v>4.6952544129674761E-4</v>
      </c>
      <c r="D1576">
        <v>3.8791354599756874E-3</v>
      </c>
      <c r="E1576">
        <f>ABS(Table1[[#This Row],[Flux in SC / glucose uptake ($mmol/mmol\ glc$)]]-Table1[[#This Row],[Flux in RT / glucose uptake ($mmol/mmol\ glc$)]])/SQRT(2)</f>
        <v>2.4109583654094691E-3</v>
      </c>
      <c r="F1576">
        <f>Table1[[#This Row],[distance from 45-degree line]]/MAX(Table1[[Flux in SC / glucose uptake ($mmol/mmol\ glc$)]:[Flux in RT / glucose uptake ($mmol/mmol\ glc$)]])</f>
        <v>1.2994790483309882E-4</v>
      </c>
      <c r="G1576">
        <f>_xlfn.RANK.AVG(Table1[[#This Row],[Flux in SC / glucose uptake ($mmol/mmol\ glc$)]],Table1[Flux in SC / glucose uptake ($mmol/mmol\ glc$)])</f>
        <v>243.5</v>
      </c>
      <c r="H1576">
        <f>_xlfn.RANK.AVG(Table1[[#This Row],[Flux in RT / glucose uptake ($mmol/mmol\ glc$)]],Table1[Flux in RT / glucose uptake ($mmol/mmol\ glc$)])</f>
        <v>232.5</v>
      </c>
      <c r="I1576">
        <f>LOG(Table1[[#This Row],[Flux in SC / glucose uptake ($mmol/mmol\ glc$)]])</f>
        <v>-3.3283408704576396</v>
      </c>
      <c r="J1576">
        <f>LOG(Table1[[#This Row],[Flux in RT / glucose uptake ($mmol/mmol\ glc$)]])</f>
        <v>-2.4112650545085335</v>
      </c>
    </row>
    <row r="1577" spans="1:10" x14ac:dyDescent="0.2">
      <c r="A1577" t="s">
        <v>1580</v>
      </c>
      <c r="B1577" t="s">
        <v>3167</v>
      </c>
      <c r="C1577">
        <v>4.6952544129674761E-4</v>
      </c>
      <c r="D1577">
        <v>3.8791354599756874E-3</v>
      </c>
      <c r="E1577">
        <f>ABS(Table1[[#This Row],[Flux in SC / glucose uptake ($mmol/mmol\ glc$)]]-Table1[[#This Row],[Flux in RT / glucose uptake ($mmol/mmol\ glc$)]])/SQRT(2)</f>
        <v>2.4109583654094691E-3</v>
      </c>
      <c r="F1577">
        <f>Table1[[#This Row],[distance from 45-degree line]]/MAX(Table1[[Flux in SC / glucose uptake ($mmol/mmol\ glc$)]:[Flux in RT / glucose uptake ($mmol/mmol\ glc$)]])</f>
        <v>1.2994790483309882E-4</v>
      </c>
      <c r="G1577">
        <f>_xlfn.RANK.AVG(Table1[[#This Row],[Flux in SC / glucose uptake ($mmol/mmol\ glc$)]],Table1[Flux in SC / glucose uptake ($mmol/mmol\ glc$)])</f>
        <v>243.5</v>
      </c>
      <c r="H1577">
        <f>_xlfn.RANK.AVG(Table1[[#This Row],[Flux in RT / glucose uptake ($mmol/mmol\ glc$)]],Table1[Flux in RT / glucose uptake ($mmol/mmol\ glc$)])</f>
        <v>232.5</v>
      </c>
      <c r="I1577">
        <f>LOG(Table1[[#This Row],[Flux in SC / glucose uptake ($mmol/mmol\ glc$)]])</f>
        <v>-3.3283408704576396</v>
      </c>
      <c r="J1577">
        <f>LOG(Table1[[#This Row],[Flux in RT / glucose uptake ($mmol/mmol\ glc$)]])</f>
        <v>-2.4112650545085335</v>
      </c>
    </row>
    <row r="1578" spans="1:10" x14ac:dyDescent="0.2">
      <c r="A1578" t="s">
        <v>1581</v>
      </c>
      <c r="B1578" t="s">
        <v>3141</v>
      </c>
      <c r="C1578">
        <v>0</v>
      </c>
      <c r="D1578">
        <v>0</v>
      </c>
      <c r="E1578">
        <f>ABS(Table1[[#This Row],[Flux in SC / glucose uptake ($mmol/mmol\ glc$)]]-Table1[[#This Row],[Flux in RT / glucose uptake ($mmol/mmol\ glc$)]])/SQRT(2)</f>
        <v>0</v>
      </c>
      <c r="F1578">
        <f>Table1[[#This Row],[distance from 45-degree line]]/MAX(Table1[[Flux in SC / glucose uptake ($mmol/mmol\ glc$)]:[Flux in RT / glucose uptake ($mmol/mmol\ glc$)]])</f>
        <v>0</v>
      </c>
      <c r="G1578">
        <f>_xlfn.RANK.AVG(Table1[[#This Row],[Flux in SC / glucose uptake ($mmol/mmol\ glc$)]],Table1[Flux in SC / glucose uptake ($mmol/mmol\ glc$)])</f>
        <v>1310.5</v>
      </c>
      <c r="H1578">
        <f>_xlfn.RANK.AVG(Table1[[#This Row],[Flux in RT / glucose uptake ($mmol/mmol\ glc$)]],Table1[Flux in RT / glucose uptake ($mmol/mmol\ glc$)])</f>
        <v>1290.5</v>
      </c>
      <c r="I1578" t="e">
        <f>LOG(Table1[[#This Row],[Flux in SC / glucose uptake ($mmol/mmol\ glc$)]])</f>
        <v>#NUM!</v>
      </c>
      <c r="J1578" t="e">
        <f>LOG(Table1[[#This Row],[Flux in RT / glucose uptake ($mmol/mmol\ glc$)]])</f>
        <v>#NUM!</v>
      </c>
    </row>
    <row r="1579" spans="1:10" x14ac:dyDescent="0.2">
      <c r="A1579" t="s">
        <v>1582</v>
      </c>
      <c r="B1579" t="s">
        <v>3141</v>
      </c>
      <c r="C1579">
        <v>0</v>
      </c>
      <c r="D1579">
        <v>0</v>
      </c>
      <c r="E1579">
        <f>ABS(Table1[[#This Row],[Flux in SC / glucose uptake ($mmol/mmol\ glc$)]]-Table1[[#This Row],[Flux in RT / glucose uptake ($mmol/mmol\ glc$)]])/SQRT(2)</f>
        <v>0</v>
      </c>
      <c r="F1579">
        <f>Table1[[#This Row],[distance from 45-degree line]]/MAX(Table1[[Flux in SC / glucose uptake ($mmol/mmol\ glc$)]:[Flux in RT / glucose uptake ($mmol/mmol\ glc$)]])</f>
        <v>0</v>
      </c>
      <c r="G1579">
        <f>_xlfn.RANK.AVG(Table1[[#This Row],[Flux in SC / glucose uptake ($mmol/mmol\ glc$)]],Table1[Flux in SC / glucose uptake ($mmol/mmol\ glc$)])</f>
        <v>1310.5</v>
      </c>
      <c r="H1579">
        <f>_xlfn.RANK.AVG(Table1[[#This Row],[Flux in RT / glucose uptake ($mmol/mmol\ glc$)]],Table1[Flux in RT / glucose uptake ($mmol/mmol\ glc$)])</f>
        <v>1290.5</v>
      </c>
      <c r="I1579" t="e">
        <f>LOG(Table1[[#This Row],[Flux in SC / glucose uptake ($mmol/mmol\ glc$)]])</f>
        <v>#NUM!</v>
      </c>
      <c r="J1579" t="e">
        <f>LOG(Table1[[#This Row],[Flux in RT / glucose uptake ($mmol/mmol\ glc$)]])</f>
        <v>#NUM!</v>
      </c>
    </row>
    <row r="1580" spans="1:10" x14ac:dyDescent="0.2">
      <c r="A1580" t="s">
        <v>1583</v>
      </c>
      <c r="B1580" t="s">
        <v>3197</v>
      </c>
      <c r="C1580">
        <v>0</v>
      </c>
      <c r="D1580">
        <v>0</v>
      </c>
      <c r="E1580">
        <f>ABS(Table1[[#This Row],[Flux in SC / glucose uptake ($mmol/mmol\ glc$)]]-Table1[[#This Row],[Flux in RT / glucose uptake ($mmol/mmol\ glc$)]])/SQRT(2)</f>
        <v>0</v>
      </c>
      <c r="F1580">
        <f>Table1[[#This Row],[distance from 45-degree line]]/MAX(Table1[[Flux in SC / glucose uptake ($mmol/mmol\ glc$)]:[Flux in RT / glucose uptake ($mmol/mmol\ glc$)]])</f>
        <v>0</v>
      </c>
      <c r="G1580">
        <f>_xlfn.RANK.AVG(Table1[[#This Row],[Flux in SC / glucose uptake ($mmol/mmol\ glc$)]],Table1[Flux in SC / glucose uptake ($mmol/mmol\ glc$)])</f>
        <v>1310.5</v>
      </c>
      <c r="H1580">
        <f>_xlfn.RANK.AVG(Table1[[#This Row],[Flux in RT / glucose uptake ($mmol/mmol\ glc$)]],Table1[Flux in RT / glucose uptake ($mmol/mmol\ glc$)])</f>
        <v>1290.5</v>
      </c>
      <c r="I1580" t="e">
        <f>LOG(Table1[[#This Row],[Flux in SC / glucose uptake ($mmol/mmol\ glc$)]])</f>
        <v>#NUM!</v>
      </c>
      <c r="J1580" t="e">
        <f>LOG(Table1[[#This Row],[Flux in RT / glucose uptake ($mmol/mmol\ glc$)]])</f>
        <v>#NUM!</v>
      </c>
    </row>
    <row r="1581" spans="1:10" x14ac:dyDescent="0.2">
      <c r="A1581" t="s">
        <v>1584</v>
      </c>
      <c r="B1581" t="s">
        <v>3131</v>
      </c>
      <c r="C1581">
        <v>0</v>
      </c>
      <c r="D1581">
        <v>0</v>
      </c>
      <c r="E1581">
        <f>ABS(Table1[[#This Row],[Flux in SC / glucose uptake ($mmol/mmol\ glc$)]]-Table1[[#This Row],[Flux in RT / glucose uptake ($mmol/mmol\ glc$)]])/SQRT(2)</f>
        <v>0</v>
      </c>
      <c r="F1581">
        <f>Table1[[#This Row],[distance from 45-degree line]]/MAX(Table1[[Flux in SC / glucose uptake ($mmol/mmol\ glc$)]:[Flux in RT / glucose uptake ($mmol/mmol\ glc$)]])</f>
        <v>0</v>
      </c>
      <c r="G1581">
        <f>_xlfn.RANK.AVG(Table1[[#This Row],[Flux in SC / glucose uptake ($mmol/mmol\ glc$)]],Table1[Flux in SC / glucose uptake ($mmol/mmol\ glc$)])</f>
        <v>1310.5</v>
      </c>
      <c r="H1581">
        <f>_xlfn.RANK.AVG(Table1[[#This Row],[Flux in RT / glucose uptake ($mmol/mmol\ glc$)]],Table1[Flux in RT / glucose uptake ($mmol/mmol\ glc$)])</f>
        <v>1290.5</v>
      </c>
      <c r="I1581" t="e">
        <f>LOG(Table1[[#This Row],[Flux in SC / glucose uptake ($mmol/mmol\ glc$)]])</f>
        <v>#NUM!</v>
      </c>
      <c r="J1581" t="e">
        <f>LOG(Table1[[#This Row],[Flux in RT / glucose uptake ($mmol/mmol\ glc$)]])</f>
        <v>#NUM!</v>
      </c>
    </row>
    <row r="1582" spans="1:10" x14ac:dyDescent="0.2">
      <c r="A1582" t="s">
        <v>1585</v>
      </c>
      <c r="B1582" t="s">
        <v>3198</v>
      </c>
      <c r="C1582">
        <v>0</v>
      </c>
      <c r="D1582">
        <v>0</v>
      </c>
      <c r="E1582">
        <f>ABS(Table1[[#This Row],[Flux in SC / glucose uptake ($mmol/mmol\ glc$)]]-Table1[[#This Row],[Flux in RT / glucose uptake ($mmol/mmol\ glc$)]])/SQRT(2)</f>
        <v>0</v>
      </c>
      <c r="F1582">
        <f>Table1[[#This Row],[distance from 45-degree line]]/MAX(Table1[[Flux in SC / glucose uptake ($mmol/mmol\ glc$)]:[Flux in RT / glucose uptake ($mmol/mmol\ glc$)]])</f>
        <v>0</v>
      </c>
      <c r="G1582">
        <f>_xlfn.RANK.AVG(Table1[[#This Row],[Flux in SC / glucose uptake ($mmol/mmol\ glc$)]],Table1[Flux in SC / glucose uptake ($mmol/mmol\ glc$)])</f>
        <v>1310.5</v>
      </c>
      <c r="H1582">
        <f>_xlfn.RANK.AVG(Table1[[#This Row],[Flux in RT / glucose uptake ($mmol/mmol\ glc$)]],Table1[Flux in RT / glucose uptake ($mmol/mmol\ glc$)])</f>
        <v>1290.5</v>
      </c>
      <c r="I1582" t="e">
        <f>LOG(Table1[[#This Row],[Flux in SC / glucose uptake ($mmol/mmol\ glc$)]])</f>
        <v>#NUM!</v>
      </c>
      <c r="J1582" t="e">
        <f>LOG(Table1[[#This Row],[Flux in RT / glucose uptake ($mmol/mmol\ glc$)]])</f>
        <v>#NUM!</v>
      </c>
    </row>
    <row r="1583" spans="1:10" x14ac:dyDescent="0.2">
      <c r="A1583" t="s">
        <v>1586</v>
      </c>
      <c r="B1583" t="s">
        <v>3198</v>
      </c>
      <c r="C1583">
        <v>0</v>
      </c>
      <c r="D1583">
        <v>0</v>
      </c>
      <c r="E1583">
        <f>ABS(Table1[[#This Row],[Flux in SC / glucose uptake ($mmol/mmol\ glc$)]]-Table1[[#This Row],[Flux in RT / glucose uptake ($mmol/mmol\ glc$)]])/SQRT(2)</f>
        <v>0</v>
      </c>
      <c r="F1583">
        <f>Table1[[#This Row],[distance from 45-degree line]]/MAX(Table1[[Flux in SC / glucose uptake ($mmol/mmol\ glc$)]:[Flux in RT / glucose uptake ($mmol/mmol\ glc$)]])</f>
        <v>0</v>
      </c>
      <c r="G1583">
        <f>_xlfn.RANK.AVG(Table1[[#This Row],[Flux in SC / glucose uptake ($mmol/mmol\ glc$)]],Table1[Flux in SC / glucose uptake ($mmol/mmol\ glc$)])</f>
        <v>1310.5</v>
      </c>
      <c r="H1583">
        <f>_xlfn.RANK.AVG(Table1[[#This Row],[Flux in RT / glucose uptake ($mmol/mmol\ glc$)]],Table1[Flux in RT / glucose uptake ($mmol/mmol\ glc$)])</f>
        <v>1290.5</v>
      </c>
      <c r="I1583" t="e">
        <f>LOG(Table1[[#This Row],[Flux in SC / glucose uptake ($mmol/mmol\ glc$)]])</f>
        <v>#NUM!</v>
      </c>
      <c r="J1583" t="e">
        <f>LOG(Table1[[#This Row],[Flux in RT / glucose uptake ($mmol/mmol\ glc$)]])</f>
        <v>#NUM!</v>
      </c>
    </row>
    <row r="1584" spans="1:10" x14ac:dyDescent="0.2">
      <c r="A1584" t="s">
        <v>1587</v>
      </c>
      <c r="B1584" t="s">
        <v>3198</v>
      </c>
      <c r="C1584">
        <v>0</v>
      </c>
      <c r="D1584">
        <v>0</v>
      </c>
      <c r="E1584">
        <f>ABS(Table1[[#This Row],[Flux in SC / glucose uptake ($mmol/mmol\ glc$)]]-Table1[[#This Row],[Flux in RT / glucose uptake ($mmol/mmol\ glc$)]])/SQRT(2)</f>
        <v>0</v>
      </c>
      <c r="F1584">
        <f>Table1[[#This Row],[distance from 45-degree line]]/MAX(Table1[[Flux in SC / glucose uptake ($mmol/mmol\ glc$)]:[Flux in RT / glucose uptake ($mmol/mmol\ glc$)]])</f>
        <v>0</v>
      </c>
      <c r="G1584">
        <f>_xlfn.RANK.AVG(Table1[[#This Row],[Flux in SC / glucose uptake ($mmol/mmol\ glc$)]],Table1[Flux in SC / glucose uptake ($mmol/mmol\ glc$)])</f>
        <v>1310.5</v>
      </c>
      <c r="H1584">
        <f>_xlfn.RANK.AVG(Table1[[#This Row],[Flux in RT / glucose uptake ($mmol/mmol\ glc$)]],Table1[Flux in RT / glucose uptake ($mmol/mmol\ glc$)])</f>
        <v>1290.5</v>
      </c>
      <c r="I1584" t="e">
        <f>LOG(Table1[[#This Row],[Flux in SC / glucose uptake ($mmol/mmol\ glc$)]])</f>
        <v>#NUM!</v>
      </c>
      <c r="J1584" t="e">
        <f>LOG(Table1[[#This Row],[Flux in RT / glucose uptake ($mmol/mmol\ glc$)]])</f>
        <v>#NUM!</v>
      </c>
    </row>
    <row r="1585" spans="1:10" x14ac:dyDescent="0.2">
      <c r="A1585" t="s">
        <v>1588</v>
      </c>
      <c r="B1585" t="s">
        <v>3198</v>
      </c>
      <c r="C1585">
        <v>0</v>
      </c>
      <c r="D1585">
        <v>0</v>
      </c>
      <c r="E1585">
        <f>ABS(Table1[[#This Row],[Flux in SC / glucose uptake ($mmol/mmol\ glc$)]]-Table1[[#This Row],[Flux in RT / glucose uptake ($mmol/mmol\ glc$)]])/SQRT(2)</f>
        <v>0</v>
      </c>
      <c r="F1585">
        <f>Table1[[#This Row],[distance from 45-degree line]]/MAX(Table1[[Flux in SC / glucose uptake ($mmol/mmol\ glc$)]:[Flux in RT / glucose uptake ($mmol/mmol\ glc$)]])</f>
        <v>0</v>
      </c>
      <c r="G1585">
        <f>_xlfn.RANK.AVG(Table1[[#This Row],[Flux in SC / glucose uptake ($mmol/mmol\ glc$)]],Table1[Flux in SC / glucose uptake ($mmol/mmol\ glc$)])</f>
        <v>1310.5</v>
      </c>
      <c r="H1585">
        <f>_xlfn.RANK.AVG(Table1[[#This Row],[Flux in RT / glucose uptake ($mmol/mmol\ glc$)]],Table1[Flux in RT / glucose uptake ($mmol/mmol\ glc$)])</f>
        <v>1290.5</v>
      </c>
      <c r="I1585" t="e">
        <f>LOG(Table1[[#This Row],[Flux in SC / glucose uptake ($mmol/mmol\ glc$)]])</f>
        <v>#NUM!</v>
      </c>
      <c r="J1585" t="e">
        <f>LOG(Table1[[#This Row],[Flux in RT / glucose uptake ($mmol/mmol\ glc$)]])</f>
        <v>#NUM!</v>
      </c>
    </row>
    <row r="1586" spans="1:10" x14ac:dyDescent="0.2">
      <c r="A1586" t="s">
        <v>1589</v>
      </c>
      <c r="B1586" t="s">
        <v>3198</v>
      </c>
      <c r="C1586">
        <v>0</v>
      </c>
      <c r="D1586">
        <v>0</v>
      </c>
      <c r="E1586">
        <f>ABS(Table1[[#This Row],[Flux in SC / glucose uptake ($mmol/mmol\ glc$)]]-Table1[[#This Row],[Flux in RT / glucose uptake ($mmol/mmol\ glc$)]])/SQRT(2)</f>
        <v>0</v>
      </c>
      <c r="F1586">
        <f>Table1[[#This Row],[distance from 45-degree line]]/MAX(Table1[[Flux in SC / glucose uptake ($mmol/mmol\ glc$)]:[Flux in RT / glucose uptake ($mmol/mmol\ glc$)]])</f>
        <v>0</v>
      </c>
      <c r="G1586">
        <f>_xlfn.RANK.AVG(Table1[[#This Row],[Flux in SC / glucose uptake ($mmol/mmol\ glc$)]],Table1[Flux in SC / glucose uptake ($mmol/mmol\ glc$)])</f>
        <v>1310.5</v>
      </c>
      <c r="H1586">
        <f>_xlfn.RANK.AVG(Table1[[#This Row],[Flux in RT / glucose uptake ($mmol/mmol\ glc$)]],Table1[Flux in RT / glucose uptake ($mmol/mmol\ glc$)])</f>
        <v>1290.5</v>
      </c>
      <c r="I1586" t="e">
        <f>LOG(Table1[[#This Row],[Flux in SC / glucose uptake ($mmol/mmol\ glc$)]])</f>
        <v>#NUM!</v>
      </c>
      <c r="J1586" t="e">
        <f>LOG(Table1[[#This Row],[Flux in RT / glucose uptake ($mmol/mmol\ glc$)]])</f>
        <v>#NUM!</v>
      </c>
    </row>
    <row r="1587" spans="1:10" x14ac:dyDescent="0.2">
      <c r="A1587" t="s">
        <v>1590</v>
      </c>
      <c r="B1587" t="s">
        <v>3198</v>
      </c>
      <c r="C1587">
        <v>0</v>
      </c>
      <c r="D1587">
        <v>0</v>
      </c>
      <c r="E1587">
        <f>ABS(Table1[[#This Row],[Flux in SC / glucose uptake ($mmol/mmol\ glc$)]]-Table1[[#This Row],[Flux in RT / glucose uptake ($mmol/mmol\ glc$)]])/SQRT(2)</f>
        <v>0</v>
      </c>
      <c r="F1587">
        <f>Table1[[#This Row],[distance from 45-degree line]]/MAX(Table1[[Flux in SC / glucose uptake ($mmol/mmol\ glc$)]:[Flux in RT / glucose uptake ($mmol/mmol\ glc$)]])</f>
        <v>0</v>
      </c>
      <c r="G1587">
        <f>_xlfn.RANK.AVG(Table1[[#This Row],[Flux in SC / glucose uptake ($mmol/mmol\ glc$)]],Table1[Flux in SC / glucose uptake ($mmol/mmol\ glc$)])</f>
        <v>1310.5</v>
      </c>
      <c r="H1587">
        <f>_xlfn.RANK.AVG(Table1[[#This Row],[Flux in RT / glucose uptake ($mmol/mmol\ glc$)]],Table1[Flux in RT / glucose uptake ($mmol/mmol\ glc$)])</f>
        <v>1290.5</v>
      </c>
      <c r="I1587" t="e">
        <f>LOG(Table1[[#This Row],[Flux in SC / glucose uptake ($mmol/mmol\ glc$)]])</f>
        <v>#NUM!</v>
      </c>
      <c r="J1587" t="e">
        <f>LOG(Table1[[#This Row],[Flux in RT / glucose uptake ($mmol/mmol\ glc$)]])</f>
        <v>#NUM!</v>
      </c>
    </row>
    <row r="1588" spans="1:10" x14ac:dyDescent="0.2">
      <c r="A1588" t="s">
        <v>1591</v>
      </c>
      <c r="B1588" t="s">
        <v>3133</v>
      </c>
      <c r="C1588">
        <v>0</v>
      </c>
      <c r="D1588">
        <v>0</v>
      </c>
      <c r="E1588">
        <f>ABS(Table1[[#This Row],[Flux in SC / glucose uptake ($mmol/mmol\ glc$)]]-Table1[[#This Row],[Flux in RT / glucose uptake ($mmol/mmol\ glc$)]])/SQRT(2)</f>
        <v>0</v>
      </c>
      <c r="F1588">
        <f>Table1[[#This Row],[distance from 45-degree line]]/MAX(Table1[[Flux in SC / glucose uptake ($mmol/mmol\ glc$)]:[Flux in RT / glucose uptake ($mmol/mmol\ glc$)]])</f>
        <v>0</v>
      </c>
      <c r="G1588">
        <f>_xlfn.RANK.AVG(Table1[[#This Row],[Flux in SC / glucose uptake ($mmol/mmol\ glc$)]],Table1[Flux in SC / glucose uptake ($mmol/mmol\ glc$)])</f>
        <v>1310.5</v>
      </c>
      <c r="H1588">
        <f>_xlfn.RANK.AVG(Table1[[#This Row],[Flux in RT / glucose uptake ($mmol/mmol\ glc$)]],Table1[Flux in RT / glucose uptake ($mmol/mmol\ glc$)])</f>
        <v>1290.5</v>
      </c>
      <c r="I1588" t="e">
        <f>LOG(Table1[[#This Row],[Flux in SC / glucose uptake ($mmol/mmol\ glc$)]])</f>
        <v>#NUM!</v>
      </c>
      <c r="J1588" t="e">
        <f>LOG(Table1[[#This Row],[Flux in RT / glucose uptake ($mmol/mmol\ glc$)]])</f>
        <v>#NUM!</v>
      </c>
    </row>
    <row r="1589" spans="1:10" x14ac:dyDescent="0.2">
      <c r="A1589" t="s">
        <v>1592</v>
      </c>
      <c r="B1589" t="s">
        <v>3114</v>
      </c>
      <c r="C1589">
        <v>0</v>
      </c>
      <c r="D1589">
        <v>0</v>
      </c>
      <c r="E1589">
        <f>ABS(Table1[[#This Row],[Flux in SC / glucose uptake ($mmol/mmol\ glc$)]]-Table1[[#This Row],[Flux in RT / glucose uptake ($mmol/mmol\ glc$)]])/SQRT(2)</f>
        <v>0</v>
      </c>
      <c r="F1589">
        <f>Table1[[#This Row],[distance from 45-degree line]]/MAX(Table1[[Flux in SC / glucose uptake ($mmol/mmol\ glc$)]:[Flux in RT / glucose uptake ($mmol/mmol\ glc$)]])</f>
        <v>0</v>
      </c>
      <c r="G1589">
        <f>_xlfn.RANK.AVG(Table1[[#This Row],[Flux in SC / glucose uptake ($mmol/mmol\ glc$)]],Table1[Flux in SC / glucose uptake ($mmol/mmol\ glc$)])</f>
        <v>1310.5</v>
      </c>
      <c r="H1589">
        <f>_xlfn.RANK.AVG(Table1[[#This Row],[Flux in RT / glucose uptake ($mmol/mmol\ glc$)]],Table1[Flux in RT / glucose uptake ($mmol/mmol\ glc$)])</f>
        <v>1290.5</v>
      </c>
      <c r="I1589" t="e">
        <f>LOG(Table1[[#This Row],[Flux in SC / glucose uptake ($mmol/mmol\ glc$)]])</f>
        <v>#NUM!</v>
      </c>
      <c r="J1589" t="e">
        <f>LOG(Table1[[#This Row],[Flux in RT / glucose uptake ($mmol/mmol\ glc$)]])</f>
        <v>#NUM!</v>
      </c>
    </row>
    <row r="1590" spans="1:10" x14ac:dyDescent="0.2">
      <c r="A1590" t="s">
        <v>1593</v>
      </c>
      <c r="B1590" t="s">
        <v>3114</v>
      </c>
      <c r="C1590">
        <v>0</v>
      </c>
      <c r="D1590">
        <v>0</v>
      </c>
      <c r="E1590">
        <f>ABS(Table1[[#This Row],[Flux in SC / glucose uptake ($mmol/mmol\ glc$)]]-Table1[[#This Row],[Flux in RT / glucose uptake ($mmol/mmol\ glc$)]])/SQRT(2)</f>
        <v>0</v>
      </c>
      <c r="F1590">
        <f>Table1[[#This Row],[distance from 45-degree line]]/MAX(Table1[[Flux in SC / glucose uptake ($mmol/mmol\ glc$)]:[Flux in RT / glucose uptake ($mmol/mmol\ glc$)]])</f>
        <v>0</v>
      </c>
      <c r="G1590">
        <f>_xlfn.RANK.AVG(Table1[[#This Row],[Flux in SC / glucose uptake ($mmol/mmol\ glc$)]],Table1[Flux in SC / glucose uptake ($mmol/mmol\ glc$)])</f>
        <v>1310.5</v>
      </c>
      <c r="H1590">
        <f>_xlfn.RANK.AVG(Table1[[#This Row],[Flux in RT / glucose uptake ($mmol/mmol\ glc$)]],Table1[Flux in RT / glucose uptake ($mmol/mmol\ glc$)])</f>
        <v>1290.5</v>
      </c>
      <c r="I1590" t="e">
        <f>LOG(Table1[[#This Row],[Flux in SC / glucose uptake ($mmol/mmol\ glc$)]])</f>
        <v>#NUM!</v>
      </c>
      <c r="J1590" t="e">
        <f>LOG(Table1[[#This Row],[Flux in RT / glucose uptake ($mmol/mmol\ glc$)]])</f>
        <v>#NUM!</v>
      </c>
    </row>
    <row r="1591" spans="1:10" x14ac:dyDescent="0.2">
      <c r="A1591" t="s">
        <v>1594</v>
      </c>
      <c r="B1591" t="s">
        <v>3114</v>
      </c>
      <c r="C1591">
        <v>0</v>
      </c>
      <c r="D1591">
        <v>0</v>
      </c>
      <c r="E1591">
        <f>ABS(Table1[[#This Row],[Flux in SC / glucose uptake ($mmol/mmol\ glc$)]]-Table1[[#This Row],[Flux in RT / glucose uptake ($mmol/mmol\ glc$)]])/SQRT(2)</f>
        <v>0</v>
      </c>
      <c r="F1591">
        <f>Table1[[#This Row],[distance from 45-degree line]]/MAX(Table1[[Flux in SC / glucose uptake ($mmol/mmol\ glc$)]:[Flux in RT / glucose uptake ($mmol/mmol\ glc$)]])</f>
        <v>0</v>
      </c>
      <c r="G1591">
        <f>_xlfn.RANK.AVG(Table1[[#This Row],[Flux in SC / glucose uptake ($mmol/mmol\ glc$)]],Table1[Flux in SC / glucose uptake ($mmol/mmol\ glc$)])</f>
        <v>1310.5</v>
      </c>
      <c r="H1591">
        <f>_xlfn.RANK.AVG(Table1[[#This Row],[Flux in RT / glucose uptake ($mmol/mmol\ glc$)]],Table1[Flux in RT / glucose uptake ($mmol/mmol\ glc$)])</f>
        <v>1290.5</v>
      </c>
      <c r="I1591" t="e">
        <f>LOG(Table1[[#This Row],[Flux in SC / glucose uptake ($mmol/mmol\ glc$)]])</f>
        <v>#NUM!</v>
      </c>
      <c r="J1591" t="e">
        <f>LOG(Table1[[#This Row],[Flux in RT / glucose uptake ($mmol/mmol\ glc$)]])</f>
        <v>#NUM!</v>
      </c>
    </row>
    <row r="1592" spans="1:10" x14ac:dyDescent="0.2">
      <c r="A1592" t="s">
        <v>1595</v>
      </c>
      <c r="B1592" t="s">
        <v>3154</v>
      </c>
      <c r="C1592">
        <v>0</v>
      </c>
      <c r="D1592">
        <v>0</v>
      </c>
      <c r="E1592">
        <f>ABS(Table1[[#This Row],[Flux in SC / glucose uptake ($mmol/mmol\ glc$)]]-Table1[[#This Row],[Flux in RT / glucose uptake ($mmol/mmol\ glc$)]])/SQRT(2)</f>
        <v>0</v>
      </c>
      <c r="F1592">
        <f>Table1[[#This Row],[distance from 45-degree line]]/MAX(Table1[[Flux in SC / glucose uptake ($mmol/mmol\ glc$)]:[Flux in RT / glucose uptake ($mmol/mmol\ glc$)]])</f>
        <v>0</v>
      </c>
      <c r="G1592">
        <f>_xlfn.RANK.AVG(Table1[[#This Row],[Flux in SC / glucose uptake ($mmol/mmol\ glc$)]],Table1[Flux in SC / glucose uptake ($mmol/mmol\ glc$)])</f>
        <v>1310.5</v>
      </c>
      <c r="H1592">
        <f>_xlfn.RANK.AVG(Table1[[#This Row],[Flux in RT / glucose uptake ($mmol/mmol\ glc$)]],Table1[Flux in RT / glucose uptake ($mmol/mmol\ glc$)])</f>
        <v>1290.5</v>
      </c>
      <c r="I1592" t="e">
        <f>LOG(Table1[[#This Row],[Flux in SC / glucose uptake ($mmol/mmol\ glc$)]])</f>
        <v>#NUM!</v>
      </c>
      <c r="J1592" t="e">
        <f>LOG(Table1[[#This Row],[Flux in RT / glucose uptake ($mmol/mmol\ glc$)]])</f>
        <v>#NUM!</v>
      </c>
    </row>
    <row r="1593" spans="1:10" x14ac:dyDescent="0.2">
      <c r="A1593" t="s">
        <v>1596</v>
      </c>
      <c r="B1593" t="s">
        <v>3197</v>
      </c>
      <c r="C1593">
        <v>1.5125121123419719E-4</v>
      </c>
      <c r="D1593">
        <v>9.3634137747721923E-4</v>
      </c>
      <c r="E1593">
        <f>ABS(Table1[[#This Row],[Flux in SC / glucose uptake ($mmol/mmol\ glc$)]]-Table1[[#This Row],[Flux in RT / glucose uptake ($mmol/mmol\ glc$)]])/SQRT(2)</f>
        <v>5.5514258039331479E-4</v>
      </c>
      <c r="F1593">
        <f>Table1[[#This Row],[distance from 45-degree line]]/MAX(Table1[[Flux in SC / glucose uptake ($mmol/mmol\ glc$)]:[Flux in RT / glucose uptake ($mmol/mmol\ glc$)]])</f>
        <v>2.9921551628909791E-5</v>
      </c>
      <c r="G1593">
        <f>_xlfn.RANK.AVG(Table1[[#This Row],[Flux in SC / glucose uptake ($mmol/mmol\ glc$)]],Table1[Flux in SC / glucose uptake ($mmol/mmol\ glc$)])</f>
        <v>261.5</v>
      </c>
      <c r="H1593">
        <f>_xlfn.RANK.AVG(Table1[[#This Row],[Flux in RT / glucose uptake ($mmol/mmol\ glc$)]],Table1[Flux in RT / glucose uptake ($mmol/mmol\ glc$)])</f>
        <v>257.5</v>
      </c>
      <c r="I1593">
        <f>LOG(Table1[[#This Row],[Flux in SC / glucose uptake ($mmol/mmol\ glc$)]])</f>
        <v>-3.8203011387897292</v>
      </c>
      <c r="J1593">
        <f>LOG(Table1[[#This Row],[Flux in RT / glucose uptake ($mmol/mmol\ glc$)]])</f>
        <v>-3.0285657844618776</v>
      </c>
    </row>
    <row r="1594" spans="1:10" x14ac:dyDescent="0.2">
      <c r="A1594" t="s">
        <v>1597</v>
      </c>
      <c r="B1594" t="s">
        <v>3130</v>
      </c>
      <c r="C1594">
        <v>0</v>
      </c>
      <c r="D1594">
        <v>0</v>
      </c>
      <c r="E1594">
        <f>ABS(Table1[[#This Row],[Flux in SC / glucose uptake ($mmol/mmol\ glc$)]]-Table1[[#This Row],[Flux in RT / glucose uptake ($mmol/mmol\ glc$)]])/SQRT(2)</f>
        <v>0</v>
      </c>
      <c r="F1594">
        <f>Table1[[#This Row],[distance from 45-degree line]]/MAX(Table1[[Flux in SC / glucose uptake ($mmol/mmol\ glc$)]:[Flux in RT / glucose uptake ($mmol/mmol\ glc$)]])</f>
        <v>0</v>
      </c>
      <c r="G1594">
        <f>_xlfn.RANK.AVG(Table1[[#This Row],[Flux in SC / glucose uptake ($mmol/mmol\ glc$)]],Table1[Flux in SC / glucose uptake ($mmol/mmol\ glc$)])</f>
        <v>1310.5</v>
      </c>
      <c r="H1594">
        <f>_xlfn.RANK.AVG(Table1[[#This Row],[Flux in RT / glucose uptake ($mmol/mmol\ glc$)]],Table1[Flux in RT / glucose uptake ($mmol/mmol\ glc$)])</f>
        <v>1290.5</v>
      </c>
      <c r="I1594" t="e">
        <f>LOG(Table1[[#This Row],[Flux in SC / glucose uptake ($mmol/mmol\ glc$)]])</f>
        <v>#NUM!</v>
      </c>
      <c r="J1594" t="e">
        <f>LOG(Table1[[#This Row],[Flux in RT / glucose uptake ($mmol/mmol\ glc$)]])</f>
        <v>#NUM!</v>
      </c>
    </row>
    <row r="1595" spans="1:10" x14ac:dyDescent="0.2">
      <c r="A1595" t="s">
        <v>1598</v>
      </c>
      <c r="B1595" t="s">
        <v>3175</v>
      </c>
      <c r="C1595">
        <v>0</v>
      </c>
      <c r="D1595">
        <v>0</v>
      </c>
      <c r="E1595">
        <f>ABS(Table1[[#This Row],[Flux in SC / glucose uptake ($mmol/mmol\ glc$)]]-Table1[[#This Row],[Flux in RT / glucose uptake ($mmol/mmol\ glc$)]])/SQRT(2)</f>
        <v>0</v>
      </c>
      <c r="F1595">
        <f>Table1[[#This Row],[distance from 45-degree line]]/MAX(Table1[[Flux in SC / glucose uptake ($mmol/mmol\ glc$)]:[Flux in RT / glucose uptake ($mmol/mmol\ glc$)]])</f>
        <v>0</v>
      </c>
      <c r="G1595">
        <f>_xlfn.RANK.AVG(Table1[[#This Row],[Flux in SC / glucose uptake ($mmol/mmol\ glc$)]],Table1[Flux in SC / glucose uptake ($mmol/mmol\ glc$)])</f>
        <v>1310.5</v>
      </c>
      <c r="H1595">
        <f>_xlfn.RANK.AVG(Table1[[#This Row],[Flux in RT / glucose uptake ($mmol/mmol\ glc$)]],Table1[Flux in RT / glucose uptake ($mmol/mmol\ glc$)])</f>
        <v>1290.5</v>
      </c>
      <c r="I1595" t="e">
        <f>LOG(Table1[[#This Row],[Flux in SC / glucose uptake ($mmol/mmol\ glc$)]])</f>
        <v>#NUM!</v>
      </c>
      <c r="J1595" t="e">
        <f>LOG(Table1[[#This Row],[Flux in RT / glucose uptake ($mmol/mmol\ glc$)]])</f>
        <v>#NUM!</v>
      </c>
    </row>
    <row r="1596" spans="1:10" x14ac:dyDescent="0.2">
      <c r="A1596" t="s">
        <v>1599</v>
      </c>
      <c r="B1596" t="s">
        <v>3175</v>
      </c>
      <c r="C1596">
        <v>0</v>
      </c>
      <c r="D1596">
        <v>0</v>
      </c>
      <c r="E1596">
        <f>ABS(Table1[[#This Row],[Flux in SC / glucose uptake ($mmol/mmol\ glc$)]]-Table1[[#This Row],[Flux in RT / glucose uptake ($mmol/mmol\ glc$)]])/SQRT(2)</f>
        <v>0</v>
      </c>
      <c r="F1596">
        <f>Table1[[#This Row],[distance from 45-degree line]]/MAX(Table1[[Flux in SC / glucose uptake ($mmol/mmol\ glc$)]:[Flux in RT / glucose uptake ($mmol/mmol\ glc$)]])</f>
        <v>0</v>
      </c>
      <c r="G1596">
        <f>_xlfn.RANK.AVG(Table1[[#This Row],[Flux in SC / glucose uptake ($mmol/mmol\ glc$)]],Table1[Flux in SC / glucose uptake ($mmol/mmol\ glc$)])</f>
        <v>1310.5</v>
      </c>
      <c r="H1596">
        <f>_xlfn.RANK.AVG(Table1[[#This Row],[Flux in RT / glucose uptake ($mmol/mmol\ glc$)]],Table1[Flux in RT / glucose uptake ($mmol/mmol\ glc$)])</f>
        <v>1290.5</v>
      </c>
      <c r="I1596" t="e">
        <f>LOG(Table1[[#This Row],[Flux in SC / glucose uptake ($mmol/mmol\ glc$)]])</f>
        <v>#NUM!</v>
      </c>
      <c r="J1596" t="e">
        <f>LOG(Table1[[#This Row],[Flux in RT / glucose uptake ($mmol/mmol\ glc$)]])</f>
        <v>#NUM!</v>
      </c>
    </row>
    <row r="1597" spans="1:10" x14ac:dyDescent="0.2">
      <c r="A1597" t="s">
        <v>1600</v>
      </c>
      <c r="B1597" t="s">
        <v>3114</v>
      </c>
      <c r="C1597">
        <v>0</v>
      </c>
      <c r="D1597">
        <v>0</v>
      </c>
      <c r="E1597">
        <f>ABS(Table1[[#This Row],[Flux in SC / glucose uptake ($mmol/mmol\ glc$)]]-Table1[[#This Row],[Flux in RT / glucose uptake ($mmol/mmol\ glc$)]])/SQRT(2)</f>
        <v>0</v>
      </c>
      <c r="F1597">
        <f>Table1[[#This Row],[distance from 45-degree line]]/MAX(Table1[[Flux in SC / glucose uptake ($mmol/mmol\ glc$)]:[Flux in RT / glucose uptake ($mmol/mmol\ glc$)]])</f>
        <v>0</v>
      </c>
      <c r="G1597">
        <f>_xlfn.RANK.AVG(Table1[[#This Row],[Flux in SC / glucose uptake ($mmol/mmol\ glc$)]],Table1[Flux in SC / glucose uptake ($mmol/mmol\ glc$)])</f>
        <v>1310.5</v>
      </c>
      <c r="H1597">
        <f>_xlfn.RANK.AVG(Table1[[#This Row],[Flux in RT / glucose uptake ($mmol/mmol\ glc$)]],Table1[Flux in RT / glucose uptake ($mmol/mmol\ glc$)])</f>
        <v>1290.5</v>
      </c>
      <c r="I1597" t="e">
        <f>LOG(Table1[[#This Row],[Flux in SC / glucose uptake ($mmol/mmol\ glc$)]])</f>
        <v>#NUM!</v>
      </c>
      <c r="J1597" t="e">
        <f>LOG(Table1[[#This Row],[Flux in RT / glucose uptake ($mmol/mmol\ glc$)]])</f>
        <v>#NUM!</v>
      </c>
    </row>
    <row r="1598" spans="1:10" x14ac:dyDescent="0.2">
      <c r="A1598" t="s">
        <v>1601</v>
      </c>
      <c r="B1598" t="s">
        <v>3114</v>
      </c>
      <c r="C1598">
        <v>0</v>
      </c>
      <c r="D1598">
        <v>0</v>
      </c>
      <c r="E1598">
        <f>ABS(Table1[[#This Row],[Flux in SC / glucose uptake ($mmol/mmol\ glc$)]]-Table1[[#This Row],[Flux in RT / glucose uptake ($mmol/mmol\ glc$)]])/SQRT(2)</f>
        <v>0</v>
      </c>
      <c r="F1598">
        <f>Table1[[#This Row],[distance from 45-degree line]]/MAX(Table1[[Flux in SC / glucose uptake ($mmol/mmol\ glc$)]:[Flux in RT / glucose uptake ($mmol/mmol\ glc$)]])</f>
        <v>0</v>
      </c>
      <c r="G1598">
        <f>_xlfn.RANK.AVG(Table1[[#This Row],[Flux in SC / glucose uptake ($mmol/mmol\ glc$)]],Table1[Flux in SC / glucose uptake ($mmol/mmol\ glc$)])</f>
        <v>1310.5</v>
      </c>
      <c r="H1598">
        <f>_xlfn.RANK.AVG(Table1[[#This Row],[Flux in RT / glucose uptake ($mmol/mmol\ glc$)]],Table1[Flux in RT / glucose uptake ($mmol/mmol\ glc$)])</f>
        <v>1290.5</v>
      </c>
      <c r="I1598" t="e">
        <f>LOG(Table1[[#This Row],[Flux in SC / glucose uptake ($mmol/mmol\ glc$)]])</f>
        <v>#NUM!</v>
      </c>
      <c r="J1598" t="e">
        <f>LOG(Table1[[#This Row],[Flux in RT / glucose uptake ($mmol/mmol\ glc$)]])</f>
        <v>#NUM!</v>
      </c>
    </row>
    <row r="1599" spans="1:10" x14ac:dyDescent="0.2">
      <c r="A1599" t="s">
        <v>1602</v>
      </c>
      <c r="B1599" t="s">
        <v>3188</v>
      </c>
      <c r="C1599">
        <v>3.6110321147682783E-9</v>
      </c>
      <c r="D1599">
        <v>0</v>
      </c>
      <c r="E1599">
        <f>ABS(Table1[[#This Row],[Flux in SC / glucose uptake ($mmol/mmol\ glc$)]]-Table1[[#This Row],[Flux in RT / glucose uptake ($mmol/mmol\ glc$)]])/SQRT(2)</f>
        <v>2.5533852954350489E-9</v>
      </c>
      <c r="F1599">
        <f>Table1[[#This Row],[distance from 45-degree line]]/MAX(Table1[[Flux in SC / glucose uptake ($mmol/mmol\ glc$)]:[Flux in RT / glucose uptake ($mmol/mmol\ glc$)]])</f>
        <v>1.376245538429589E-10</v>
      </c>
      <c r="G1599">
        <f>_xlfn.RANK.AVG(Table1[[#This Row],[Flux in SC / glucose uptake ($mmol/mmol\ glc$)]],Table1[Flux in SC / glucose uptake ($mmol/mmol\ glc$)])</f>
        <v>310</v>
      </c>
      <c r="H1599">
        <f>_xlfn.RANK.AVG(Table1[[#This Row],[Flux in RT / glucose uptake ($mmol/mmol\ glc$)]],Table1[Flux in RT / glucose uptake ($mmol/mmol\ glc$)])</f>
        <v>1290.5</v>
      </c>
      <c r="I1599">
        <f>LOG(Table1[[#This Row],[Flux in SC / glucose uptake ($mmol/mmol\ glc$)]])</f>
        <v>-8.4423686491515095</v>
      </c>
      <c r="J1599" t="e">
        <f>LOG(Table1[[#This Row],[Flux in RT / glucose uptake ($mmol/mmol\ glc$)]])</f>
        <v>#NUM!</v>
      </c>
    </row>
    <row r="1600" spans="1:10" x14ac:dyDescent="0.2">
      <c r="A1600" t="s">
        <v>1603</v>
      </c>
      <c r="B1600" t="s">
        <v>3118</v>
      </c>
      <c r="C1600">
        <v>0</v>
      </c>
      <c r="D1600">
        <v>0</v>
      </c>
      <c r="E1600">
        <f>ABS(Table1[[#This Row],[Flux in SC / glucose uptake ($mmol/mmol\ glc$)]]-Table1[[#This Row],[Flux in RT / glucose uptake ($mmol/mmol\ glc$)]])/SQRT(2)</f>
        <v>0</v>
      </c>
      <c r="F1600">
        <f>Table1[[#This Row],[distance from 45-degree line]]/MAX(Table1[[Flux in SC / glucose uptake ($mmol/mmol\ glc$)]:[Flux in RT / glucose uptake ($mmol/mmol\ glc$)]])</f>
        <v>0</v>
      </c>
      <c r="G1600">
        <f>_xlfn.RANK.AVG(Table1[[#This Row],[Flux in SC / glucose uptake ($mmol/mmol\ glc$)]],Table1[Flux in SC / glucose uptake ($mmol/mmol\ glc$)])</f>
        <v>1310.5</v>
      </c>
      <c r="H1600">
        <f>_xlfn.RANK.AVG(Table1[[#This Row],[Flux in RT / glucose uptake ($mmol/mmol\ glc$)]],Table1[Flux in RT / glucose uptake ($mmol/mmol\ glc$)])</f>
        <v>1290.5</v>
      </c>
      <c r="I1600" t="e">
        <f>LOG(Table1[[#This Row],[Flux in SC / glucose uptake ($mmol/mmol\ glc$)]])</f>
        <v>#NUM!</v>
      </c>
      <c r="J1600" t="e">
        <f>LOG(Table1[[#This Row],[Flux in RT / glucose uptake ($mmol/mmol\ glc$)]])</f>
        <v>#NUM!</v>
      </c>
    </row>
    <row r="1601" spans="1:10" x14ac:dyDescent="0.2">
      <c r="A1601" t="s">
        <v>1604</v>
      </c>
      <c r="B1601" t="s">
        <v>3114</v>
      </c>
      <c r="C1601">
        <v>0</v>
      </c>
      <c r="D1601">
        <v>0</v>
      </c>
      <c r="E1601">
        <f>ABS(Table1[[#This Row],[Flux in SC / glucose uptake ($mmol/mmol\ glc$)]]-Table1[[#This Row],[Flux in RT / glucose uptake ($mmol/mmol\ glc$)]])/SQRT(2)</f>
        <v>0</v>
      </c>
      <c r="F1601">
        <f>Table1[[#This Row],[distance from 45-degree line]]/MAX(Table1[[Flux in SC / glucose uptake ($mmol/mmol\ glc$)]:[Flux in RT / glucose uptake ($mmol/mmol\ glc$)]])</f>
        <v>0</v>
      </c>
      <c r="G1601">
        <f>_xlfn.RANK.AVG(Table1[[#This Row],[Flux in SC / glucose uptake ($mmol/mmol\ glc$)]],Table1[Flux in SC / glucose uptake ($mmol/mmol\ glc$)])</f>
        <v>1310.5</v>
      </c>
      <c r="H1601">
        <f>_xlfn.RANK.AVG(Table1[[#This Row],[Flux in RT / glucose uptake ($mmol/mmol\ glc$)]],Table1[Flux in RT / glucose uptake ($mmol/mmol\ glc$)])</f>
        <v>1290.5</v>
      </c>
      <c r="I1601" t="e">
        <f>LOG(Table1[[#This Row],[Flux in SC / glucose uptake ($mmol/mmol\ glc$)]])</f>
        <v>#NUM!</v>
      </c>
      <c r="J1601" t="e">
        <f>LOG(Table1[[#This Row],[Flux in RT / glucose uptake ($mmol/mmol\ glc$)]])</f>
        <v>#NUM!</v>
      </c>
    </row>
    <row r="1602" spans="1:10" x14ac:dyDescent="0.2">
      <c r="A1602" t="s">
        <v>1605</v>
      </c>
      <c r="B1602" t="s">
        <v>3114</v>
      </c>
      <c r="C1602">
        <v>3.6110321147682783E-9</v>
      </c>
      <c r="D1602">
        <v>0</v>
      </c>
      <c r="E1602">
        <f>ABS(Table1[[#This Row],[Flux in SC / glucose uptake ($mmol/mmol\ glc$)]]-Table1[[#This Row],[Flux in RT / glucose uptake ($mmol/mmol\ glc$)]])/SQRT(2)</f>
        <v>2.5533852954350489E-9</v>
      </c>
      <c r="F1602">
        <f>Table1[[#This Row],[distance from 45-degree line]]/MAX(Table1[[Flux in SC / glucose uptake ($mmol/mmol\ glc$)]:[Flux in RT / glucose uptake ($mmol/mmol\ glc$)]])</f>
        <v>1.376245538429589E-10</v>
      </c>
      <c r="G1602">
        <f>_xlfn.RANK.AVG(Table1[[#This Row],[Flux in SC / glucose uptake ($mmol/mmol\ glc$)]],Table1[Flux in SC / glucose uptake ($mmol/mmol\ glc$)])</f>
        <v>310</v>
      </c>
      <c r="H1602">
        <f>_xlfn.RANK.AVG(Table1[[#This Row],[Flux in RT / glucose uptake ($mmol/mmol\ glc$)]],Table1[Flux in RT / glucose uptake ($mmol/mmol\ glc$)])</f>
        <v>1290.5</v>
      </c>
      <c r="I1602">
        <f>LOG(Table1[[#This Row],[Flux in SC / glucose uptake ($mmol/mmol\ glc$)]])</f>
        <v>-8.4423686491515095</v>
      </c>
      <c r="J1602" t="e">
        <f>LOG(Table1[[#This Row],[Flux in RT / glucose uptake ($mmol/mmol\ glc$)]])</f>
        <v>#NUM!</v>
      </c>
    </row>
    <row r="1603" spans="1:10" x14ac:dyDescent="0.2">
      <c r="A1603" t="s">
        <v>1606</v>
      </c>
      <c r="B1603" t="s">
        <v>3114</v>
      </c>
      <c r="C1603">
        <v>0</v>
      </c>
      <c r="D1603">
        <v>0</v>
      </c>
      <c r="E1603">
        <f>ABS(Table1[[#This Row],[Flux in SC / glucose uptake ($mmol/mmol\ glc$)]]-Table1[[#This Row],[Flux in RT / glucose uptake ($mmol/mmol\ glc$)]])/SQRT(2)</f>
        <v>0</v>
      </c>
      <c r="F1603">
        <f>Table1[[#This Row],[distance from 45-degree line]]/MAX(Table1[[Flux in SC / glucose uptake ($mmol/mmol\ glc$)]:[Flux in RT / glucose uptake ($mmol/mmol\ glc$)]])</f>
        <v>0</v>
      </c>
      <c r="G1603">
        <f>_xlfn.RANK.AVG(Table1[[#This Row],[Flux in SC / glucose uptake ($mmol/mmol\ glc$)]],Table1[Flux in SC / glucose uptake ($mmol/mmol\ glc$)])</f>
        <v>1310.5</v>
      </c>
      <c r="H1603">
        <f>_xlfn.RANK.AVG(Table1[[#This Row],[Flux in RT / glucose uptake ($mmol/mmol\ glc$)]],Table1[Flux in RT / glucose uptake ($mmol/mmol\ glc$)])</f>
        <v>1290.5</v>
      </c>
      <c r="I1603" t="e">
        <f>LOG(Table1[[#This Row],[Flux in SC / glucose uptake ($mmol/mmol\ glc$)]])</f>
        <v>#NUM!</v>
      </c>
      <c r="J1603" t="e">
        <f>LOG(Table1[[#This Row],[Flux in RT / glucose uptake ($mmol/mmol\ glc$)]])</f>
        <v>#NUM!</v>
      </c>
    </row>
    <row r="1604" spans="1:10" x14ac:dyDescent="0.2">
      <c r="A1604" t="s">
        <v>1607</v>
      </c>
      <c r="B1604" t="s">
        <v>3186</v>
      </c>
      <c r="C1604">
        <v>5.4252476561347657E-3</v>
      </c>
      <c r="D1604">
        <v>3.5538700119438354E-2</v>
      </c>
      <c r="E1604">
        <f>ABS(Table1[[#This Row],[Flux in SC / glucose uptake ($mmol/mmol\ glc$)]]-Table1[[#This Row],[Flux in RT / glucose uptake ($mmol/mmol\ glc$)]])/SQRT(2)</f>
        <v>2.1293426441740711E-2</v>
      </c>
      <c r="F1604">
        <f>Table1[[#This Row],[distance from 45-degree line]]/MAX(Table1[[Flux in SC / glucose uptake ($mmol/mmol\ glc$)]:[Flux in RT / glucose uptake ($mmol/mmol\ glc$)]])</f>
        <v>1.1476913880061831E-3</v>
      </c>
      <c r="G1604">
        <f>_xlfn.RANK.AVG(Table1[[#This Row],[Flux in SC / glucose uptake ($mmol/mmol\ glc$)]],Table1[Flux in SC / glucose uptake ($mmol/mmol\ glc$)])</f>
        <v>107.5</v>
      </c>
      <c r="H1604">
        <f>_xlfn.RANK.AVG(Table1[[#This Row],[Flux in RT / glucose uptake ($mmol/mmol\ glc$)]],Table1[Flux in RT / glucose uptake ($mmol/mmol\ glc$)])</f>
        <v>115.5</v>
      </c>
      <c r="I1604">
        <f>LOG(Table1[[#This Row],[Flux in SC / glucose uptake ($mmol/mmol\ glc$)]])</f>
        <v>-2.2655804319978099</v>
      </c>
      <c r="J1604">
        <f>LOG(Table1[[#This Row],[Flux in RT / glucose uptake ($mmol/mmol\ glc$)]])</f>
        <v>-1.4492984612037394</v>
      </c>
    </row>
    <row r="1605" spans="1:10" x14ac:dyDescent="0.2">
      <c r="A1605" t="s">
        <v>1608</v>
      </c>
      <c r="B1605" t="s">
        <v>3186</v>
      </c>
      <c r="C1605">
        <v>5.4252476561347657E-3</v>
      </c>
      <c r="D1605">
        <v>3.5538700119438354E-2</v>
      </c>
      <c r="E1605">
        <f>ABS(Table1[[#This Row],[Flux in SC / glucose uptake ($mmol/mmol\ glc$)]]-Table1[[#This Row],[Flux in RT / glucose uptake ($mmol/mmol\ glc$)]])/SQRT(2)</f>
        <v>2.1293426441740711E-2</v>
      </c>
      <c r="F1605">
        <f>Table1[[#This Row],[distance from 45-degree line]]/MAX(Table1[[Flux in SC / glucose uptake ($mmol/mmol\ glc$)]:[Flux in RT / glucose uptake ($mmol/mmol\ glc$)]])</f>
        <v>1.1476913880061831E-3</v>
      </c>
      <c r="G1605">
        <f>_xlfn.RANK.AVG(Table1[[#This Row],[Flux in SC / glucose uptake ($mmol/mmol\ glc$)]],Table1[Flux in SC / glucose uptake ($mmol/mmol\ glc$)])</f>
        <v>107.5</v>
      </c>
      <c r="H1605">
        <f>_xlfn.RANK.AVG(Table1[[#This Row],[Flux in RT / glucose uptake ($mmol/mmol\ glc$)]],Table1[Flux in RT / glucose uptake ($mmol/mmol\ glc$)])</f>
        <v>115.5</v>
      </c>
      <c r="I1605">
        <f>LOG(Table1[[#This Row],[Flux in SC / glucose uptake ($mmol/mmol\ glc$)]])</f>
        <v>-2.2655804319978099</v>
      </c>
      <c r="J1605">
        <f>LOG(Table1[[#This Row],[Flux in RT / glucose uptake ($mmol/mmol\ glc$)]])</f>
        <v>-1.4492984612037394</v>
      </c>
    </row>
    <row r="1606" spans="1:10" x14ac:dyDescent="0.2">
      <c r="A1606" t="s">
        <v>1609</v>
      </c>
      <c r="B1606" t="s">
        <v>3118</v>
      </c>
      <c r="C1606">
        <v>0</v>
      </c>
      <c r="D1606">
        <v>0</v>
      </c>
      <c r="E1606">
        <f>ABS(Table1[[#This Row],[Flux in SC / glucose uptake ($mmol/mmol\ glc$)]]-Table1[[#This Row],[Flux in RT / glucose uptake ($mmol/mmol\ glc$)]])/SQRT(2)</f>
        <v>0</v>
      </c>
      <c r="F1606">
        <f>Table1[[#This Row],[distance from 45-degree line]]/MAX(Table1[[Flux in SC / glucose uptake ($mmol/mmol\ glc$)]:[Flux in RT / glucose uptake ($mmol/mmol\ glc$)]])</f>
        <v>0</v>
      </c>
      <c r="G1606">
        <f>_xlfn.RANK.AVG(Table1[[#This Row],[Flux in SC / glucose uptake ($mmol/mmol\ glc$)]],Table1[Flux in SC / glucose uptake ($mmol/mmol\ glc$)])</f>
        <v>1310.5</v>
      </c>
      <c r="H1606">
        <f>_xlfn.RANK.AVG(Table1[[#This Row],[Flux in RT / glucose uptake ($mmol/mmol\ glc$)]],Table1[Flux in RT / glucose uptake ($mmol/mmol\ glc$)])</f>
        <v>1290.5</v>
      </c>
      <c r="I1606" t="e">
        <f>LOG(Table1[[#This Row],[Flux in SC / glucose uptake ($mmol/mmol\ glc$)]])</f>
        <v>#NUM!</v>
      </c>
      <c r="J1606" t="e">
        <f>LOG(Table1[[#This Row],[Flux in RT / glucose uptake ($mmol/mmol\ glc$)]])</f>
        <v>#NUM!</v>
      </c>
    </row>
    <row r="1607" spans="1:10" x14ac:dyDescent="0.2">
      <c r="A1607" t="s">
        <v>1610</v>
      </c>
      <c r="B1607" t="s">
        <v>3118</v>
      </c>
      <c r="C1607">
        <v>0</v>
      </c>
      <c r="D1607">
        <v>0</v>
      </c>
      <c r="E1607">
        <f>ABS(Table1[[#This Row],[Flux in SC / glucose uptake ($mmol/mmol\ glc$)]]-Table1[[#This Row],[Flux in RT / glucose uptake ($mmol/mmol\ glc$)]])/SQRT(2)</f>
        <v>0</v>
      </c>
      <c r="F1607">
        <f>Table1[[#This Row],[distance from 45-degree line]]/MAX(Table1[[Flux in SC / glucose uptake ($mmol/mmol\ glc$)]:[Flux in RT / glucose uptake ($mmol/mmol\ glc$)]])</f>
        <v>0</v>
      </c>
      <c r="G1607">
        <f>_xlfn.RANK.AVG(Table1[[#This Row],[Flux in SC / glucose uptake ($mmol/mmol\ glc$)]],Table1[Flux in SC / glucose uptake ($mmol/mmol\ glc$)])</f>
        <v>1310.5</v>
      </c>
      <c r="H1607">
        <f>_xlfn.RANK.AVG(Table1[[#This Row],[Flux in RT / glucose uptake ($mmol/mmol\ glc$)]],Table1[Flux in RT / glucose uptake ($mmol/mmol\ glc$)])</f>
        <v>1290.5</v>
      </c>
      <c r="I1607" t="e">
        <f>LOG(Table1[[#This Row],[Flux in SC / glucose uptake ($mmol/mmol\ glc$)]])</f>
        <v>#NUM!</v>
      </c>
      <c r="J1607" t="e">
        <f>LOG(Table1[[#This Row],[Flux in RT / glucose uptake ($mmol/mmol\ glc$)]])</f>
        <v>#NUM!</v>
      </c>
    </row>
    <row r="1608" spans="1:10" x14ac:dyDescent="0.2">
      <c r="A1608" t="s">
        <v>1611</v>
      </c>
      <c r="B1608" t="s">
        <v>3118</v>
      </c>
      <c r="C1608">
        <v>0</v>
      </c>
      <c r="D1608">
        <v>0</v>
      </c>
      <c r="E1608">
        <f>ABS(Table1[[#This Row],[Flux in SC / glucose uptake ($mmol/mmol\ glc$)]]-Table1[[#This Row],[Flux in RT / glucose uptake ($mmol/mmol\ glc$)]])/SQRT(2)</f>
        <v>0</v>
      </c>
      <c r="F1608">
        <f>Table1[[#This Row],[distance from 45-degree line]]/MAX(Table1[[Flux in SC / glucose uptake ($mmol/mmol\ glc$)]:[Flux in RT / glucose uptake ($mmol/mmol\ glc$)]])</f>
        <v>0</v>
      </c>
      <c r="G1608">
        <f>_xlfn.RANK.AVG(Table1[[#This Row],[Flux in SC / glucose uptake ($mmol/mmol\ glc$)]],Table1[Flux in SC / glucose uptake ($mmol/mmol\ glc$)])</f>
        <v>1310.5</v>
      </c>
      <c r="H1608">
        <f>_xlfn.RANK.AVG(Table1[[#This Row],[Flux in RT / glucose uptake ($mmol/mmol\ glc$)]],Table1[Flux in RT / glucose uptake ($mmol/mmol\ glc$)])</f>
        <v>1290.5</v>
      </c>
      <c r="I1608" t="e">
        <f>LOG(Table1[[#This Row],[Flux in SC / glucose uptake ($mmol/mmol\ glc$)]])</f>
        <v>#NUM!</v>
      </c>
      <c r="J1608" t="e">
        <f>LOG(Table1[[#This Row],[Flux in RT / glucose uptake ($mmol/mmol\ glc$)]])</f>
        <v>#NUM!</v>
      </c>
    </row>
    <row r="1609" spans="1:10" x14ac:dyDescent="0.2">
      <c r="A1609" t="s">
        <v>1612</v>
      </c>
      <c r="B1609" t="s">
        <v>3114</v>
      </c>
      <c r="C1609">
        <v>0</v>
      </c>
      <c r="D1609">
        <v>0</v>
      </c>
      <c r="E1609">
        <f>ABS(Table1[[#This Row],[Flux in SC / glucose uptake ($mmol/mmol\ glc$)]]-Table1[[#This Row],[Flux in RT / glucose uptake ($mmol/mmol\ glc$)]])/SQRT(2)</f>
        <v>0</v>
      </c>
      <c r="F1609">
        <f>Table1[[#This Row],[distance from 45-degree line]]/MAX(Table1[[Flux in SC / glucose uptake ($mmol/mmol\ glc$)]:[Flux in RT / glucose uptake ($mmol/mmol\ glc$)]])</f>
        <v>0</v>
      </c>
      <c r="G1609">
        <f>_xlfn.RANK.AVG(Table1[[#This Row],[Flux in SC / glucose uptake ($mmol/mmol\ glc$)]],Table1[Flux in SC / glucose uptake ($mmol/mmol\ glc$)])</f>
        <v>1310.5</v>
      </c>
      <c r="H1609">
        <f>_xlfn.RANK.AVG(Table1[[#This Row],[Flux in RT / glucose uptake ($mmol/mmol\ glc$)]],Table1[Flux in RT / glucose uptake ($mmol/mmol\ glc$)])</f>
        <v>1290.5</v>
      </c>
      <c r="I1609" t="e">
        <f>LOG(Table1[[#This Row],[Flux in SC / glucose uptake ($mmol/mmol\ glc$)]])</f>
        <v>#NUM!</v>
      </c>
      <c r="J1609" t="e">
        <f>LOG(Table1[[#This Row],[Flux in RT / glucose uptake ($mmol/mmol\ glc$)]])</f>
        <v>#NUM!</v>
      </c>
    </row>
    <row r="1610" spans="1:10" x14ac:dyDescent="0.2">
      <c r="A1610" t="s">
        <v>1613</v>
      </c>
      <c r="B1610" t="s">
        <v>3114</v>
      </c>
      <c r="C1610">
        <v>0</v>
      </c>
      <c r="D1610">
        <v>0</v>
      </c>
      <c r="E1610">
        <f>ABS(Table1[[#This Row],[Flux in SC / glucose uptake ($mmol/mmol\ glc$)]]-Table1[[#This Row],[Flux in RT / glucose uptake ($mmol/mmol\ glc$)]])/SQRT(2)</f>
        <v>0</v>
      </c>
      <c r="F1610">
        <f>Table1[[#This Row],[distance from 45-degree line]]/MAX(Table1[[Flux in SC / glucose uptake ($mmol/mmol\ glc$)]:[Flux in RT / glucose uptake ($mmol/mmol\ glc$)]])</f>
        <v>0</v>
      </c>
      <c r="G1610">
        <f>_xlfn.RANK.AVG(Table1[[#This Row],[Flux in SC / glucose uptake ($mmol/mmol\ glc$)]],Table1[Flux in SC / glucose uptake ($mmol/mmol\ glc$)])</f>
        <v>1310.5</v>
      </c>
      <c r="H1610">
        <f>_xlfn.RANK.AVG(Table1[[#This Row],[Flux in RT / glucose uptake ($mmol/mmol\ glc$)]],Table1[Flux in RT / glucose uptake ($mmol/mmol\ glc$)])</f>
        <v>1290.5</v>
      </c>
      <c r="I1610" t="e">
        <f>LOG(Table1[[#This Row],[Flux in SC / glucose uptake ($mmol/mmol\ glc$)]])</f>
        <v>#NUM!</v>
      </c>
      <c r="J1610" t="e">
        <f>LOG(Table1[[#This Row],[Flux in RT / glucose uptake ($mmol/mmol\ glc$)]])</f>
        <v>#NUM!</v>
      </c>
    </row>
    <row r="1611" spans="1:10" x14ac:dyDescent="0.2">
      <c r="A1611" t="s">
        <v>1614</v>
      </c>
      <c r="B1611" t="s">
        <v>3114</v>
      </c>
      <c r="C1611">
        <v>0</v>
      </c>
      <c r="D1611">
        <v>0</v>
      </c>
      <c r="E1611">
        <f>ABS(Table1[[#This Row],[Flux in SC / glucose uptake ($mmol/mmol\ glc$)]]-Table1[[#This Row],[Flux in RT / glucose uptake ($mmol/mmol\ glc$)]])/SQRT(2)</f>
        <v>0</v>
      </c>
      <c r="F1611">
        <f>Table1[[#This Row],[distance from 45-degree line]]/MAX(Table1[[Flux in SC / glucose uptake ($mmol/mmol\ glc$)]:[Flux in RT / glucose uptake ($mmol/mmol\ glc$)]])</f>
        <v>0</v>
      </c>
      <c r="G1611">
        <f>_xlfn.RANK.AVG(Table1[[#This Row],[Flux in SC / glucose uptake ($mmol/mmol\ glc$)]],Table1[Flux in SC / glucose uptake ($mmol/mmol\ glc$)])</f>
        <v>1310.5</v>
      </c>
      <c r="H1611">
        <f>_xlfn.RANK.AVG(Table1[[#This Row],[Flux in RT / glucose uptake ($mmol/mmol\ glc$)]],Table1[Flux in RT / glucose uptake ($mmol/mmol\ glc$)])</f>
        <v>1290.5</v>
      </c>
      <c r="I1611" t="e">
        <f>LOG(Table1[[#This Row],[Flux in SC / glucose uptake ($mmol/mmol\ glc$)]])</f>
        <v>#NUM!</v>
      </c>
      <c r="J1611" t="e">
        <f>LOG(Table1[[#This Row],[Flux in RT / glucose uptake ($mmol/mmol\ glc$)]])</f>
        <v>#NUM!</v>
      </c>
    </row>
    <row r="1612" spans="1:10" x14ac:dyDescent="0.2">
      <c r="A1612" t="s">
        <v>1615</v>
      </c>
      <c r="B1612" t="s">
        <v>3161</v>
      </c>
      <c r="C1612">
        <v>0</v>
      </c>
      <c r="D1612">
        <v>0</v>
      </c>
      <c r="E1612">
        <f>ABS(Table1[[#This Row],[Flux in SC / glucose uptake ($mmol/mmol\ glc$)]]-Table1[[#This Row],[Flux in RT / glucose uptake ($mmol/mmol\ glc$)]])/SQRT(2)</f>
        <v>0</v>
      </c>
      <c r="F1612">
        <f>Table1[[#This Row],[distance from 45-degree line]]/MAX(Table1[[Flux in SC / glucose uptake ($mmol/mmol\ glc$)]:[Flux in RT / glucose uptake ($mmol/mmol\ glc$)]])</f>
        <v>0</v>
      </c>
      <c r="G1612">
        <f>_xlfn.RANK.AVG(Table1[[#This Row],[Flux in SC / glucose uptake ($mmol/mmol\ glc$)]],Table1[Flux in SC / glucose uptake ($mmol/mmol\ glc$)])</f>
        <v>1310.5</v>
      </c>
      <c r="H1612">
        <f>_xlfn.RANK.AVG(Table1[[#This Row],[Flux in RT / glucose uptake ($mmol/mmol\ glc$)]],Table1[Flux in RT / glucose uptake ($mmol/mmol\ glc$)])</f>
        <v>1290.5</v>
      </c>
      <c r="I1612" t="e">
        <f>LOG(Table1[[#This Row],[Flux in SC / glucose uptake ($mmol/mmol\ glc$)]])</f>
        <v>#NUM!</v>
      </c>
      <c r="J1612" t="e">
        <f>LOG(Table1[[#This Row],[Flux in RT / glucose uptake ($mmol/mmol\ glc$)]])</f>
        <v>#NUM!</v>
      </c>
    </row>
    <row r="1613" spans="1:10" x14ac:dyDescent="0.2">
      <c r="A1613" t="s">
        <v>1616</v>
      </c>
      <c r="B1613" t="s">
        <v>3142</v>
      </c>
      <c r="C1613">
        <v>0</v>
      </c>
      <c r="D1613">
        <v>0</v>
      </c>
      <c r="E1613">
        <f>ABS(Table1[[#This Row],[Flux in SC / glucose uptake ($mmol/mmol\ glc$)]]-Table1[[#This Row],[Flux in RT / glucose uptake ($mmol/mmol\ glc$)]])/SQRT(2)</f>
        <v>0</v>
      </c>
      <c r="F1613">
        <f>Table1[[#This Row],[distance from 45-degree line]]/MAX(Table1[[Flux in SC / glucose uptake ($mmol/mmol\ glc$)]:[Flux in RT / glucose uptake ($mmol/mmol\ glc$)]])</f>
        <v>0</v>
      </c>
      <c r="G1613">
        <f>_xlfn.RANK.AVG(Table1[[#This Row],[Flux in SC / glucose uptake ($mmol/mmol\ glc$)]],Table1[Flux in SC / glucose uptake ($mmol/mmol\ glc$)])</f>
        <v>1310.5</v>
      </c>
      <c r="H1613">
        <f>_xlfn.RANK.AVG(Table1[[#This Row],[Flux in RT / glucose uptake ($mmol/mmol\ glc$)]],Table1[Flux in RT / glucose uptake ($mmol/mmol\ glc$)])</f>
        <v>1290.5</v>
      </c>
      <c r="I1613" t="e">
        <f>LOG(Table1[[#This Row],[Flux in SC / glucose uptake ($mmol/mmol\ glc$)]])</f>
        <v>#NUM!</v>
      </c>
      <c r="J1613" t="e">
        <f>LOG(Table1[[#This Row],[Flux in RT / glucose uptake ($mmol/mmol\ glc$)]])</f>
        <v>#NUM!</v>
      </c>
    </row>
    <row r="1614" spans="1:10" x14ac:dyDescent="0.2">
      <c r="A1614" t="s">
        <v>1617</v>
      </c>
      <c r="B1614" t="s">
        <v>3138</v>
      </c>
      <c r="C1614">
        <v>0</v>
      </c>
      <c r="D1614">
        <v>0</v>
      </c>
      <c r="E1614">
        <f>ABS(Table1[[#This Row],[Flux in SC / glucose uptake ($mmol/mmol\ glc$)]]-Table1[[#This Row],[Flux in RT / glucose uptake ($mmol/mmol\ glc$)]])/SQRT(2)</f>
        <v>0</v>
      </c>
      <c r="F1614">
        <f>Table1[[#This Row],[distance from 45-degree line]]/MAX(Table1[[Flux in SC / glucose uptake ($mmol/mmol\ glc$)]:[Flux in RT / glucose uptake ($mmol/mmol\ glc$)]])</f>
        <v>0</v>
      </c>
      <c r="G1614">
        <f>_xlfn.RANK.AVG(Table1[[#This Row],[Flux in SC / glucose uptake ($mmol/mmol\ glc$)]],Table1[Flux in SC / glucose uptake ($mmol/mmol\ glc$)])</f>
        <v>1310.5</v>
      </c>
      <c r="H1614">
        <f>_xlfn.RANK.AVG(Table1[[#This Row],[Flux in RT / glucose uptake ($mmol/mmol\ glc$)]],Table1[Flux in RT / glucose uptake ($mmol/mmol\ glc$)])</f>
        <v>1290.5</v>
      </c>
      <c r="I1614" t="e">
        <f>LOG(Table1[[#This Row],[Flux in SC / glucose uptake ($mmol/mmol\ glc$)]])</f>
        <v>#NUM!</v>
      </c>
      <c r="J1614" t="e">
        <f>LOG(Table1[[#This Row],[Flux in RT / glucose uptake ($mmol/mmol\ glc$)]])</f>
        <v>#NUM!</v>
      </c>
    </row>
    <row r="1615" spans="1:10" x14ac:dyDescent="0.2">
      <c r="A1615" t="s">
        <v>1618</v>
      </c>
      <c r="B1615" t="s">
        <v>3146</v>
      </c>
      <c r="C1615">
        <v>0</v>
      </c>
      <c r="D1615">
        <v>0</v>
      </c>
      <c r="E1615">
        <f>ABS(Table1[[#This Row],[Flux in SC / glucose uptake ($mmol/mmol\ glc$)]]-Table1[[#This Row],[Flux in RT / glucose uptake ($mmol/mmol\ glc$)]])/SQRT(2)</f>
        <v>0</v>
      </c>
      <c r="F1615">
        <f>Table1[[#This Row],[distance from 45-degree line]]/MAX(Table1[[Flux in SC / glucose uptake ($mmol/mmol\ glc$)]:[Flux in RT / glucose uptake ($mmol/mmol\ glc$)]])</f>
        <v>0</v>
      </c>
      <c r="G1615">
        <f>_xlfn.RANK.AVG(Table1[[#This Row],[Flux in SC / glucose uptake ($mmol/mmol\ glc$)]],Table1[Flux in SC / glucose uptake ($mmol/mmol\ glc$)])</f>
        <v>1310.5</v>
      </c>
      <c r="H1615">
        <f>_xlfn.RANK.AVG(Table1[[#This Row],[Flux in RT / glucose uptake ($mmol/mmol\ glc$)]],Table1[Flux in RT / glucose uptake ($mmol/mmol\ glc$)])</f>
        <v>1290.5</v>
      </c>
      <c r="I1615" t="e">
        <f>LOG(Table1[[#This Row],[Flux in SC / glucose uptake ($mmol/mmol\ glc$)]])</f>
        <v>#NUM!</v>
      </c>
      <c r="J1615" t="e">
        <f>LOG(Table1[[#This Row],[Flux in RT / glucose uptake ($mmol/mmol\ glc$)]])</f>
        <v>#NUM!</v>
      </c>
    </row>
    <row r="1616" spans="1:10" x14ac:dyDescent="0.2">
      <c r="A1616" t="s">
        <v>1619</v>
      </c>
      <c r="B1616" t="s">
        <v>3123</v>
      </c>
      <c r="C1616">
        <v>0</v>
      </c>
      <c r="D1616">
        <v>0</v>
      </c>
      <c r="E1616">
        <f>ABS(Table1[[#This Row],[Flux in SC / glucose uptake ($mmol/mmol\ glc$)]]-Table1[[#This Row],[Flux in RT / glucose uptake ($mmol/mmol\ glc$)]])/SQRT(2)</f>
        <v>0</v>
      </c>
      <c r="F1616">
        <f>Table1[[#This Row],[distance from 45-degree line]]/MAX(Table1[[Flux in SC / glucose uptake ($mmol/mmol\ glc$)]:[Flux in RT / glucose uptake ($mmol/mmol\ glc$)]])</f>
        <v>0</v>
      </c>
      <c r="G1616">
        <f>_xlfn.RANK.AVG(Table1[[#This Row],[Flux in SC / glucose uptake ($mmol/mmol\ glc$)]],Table1[Flux in SC / glucose uptake ($mmol/mmol\ glc$)])</f>
        <v>1310.5</v>
      </c>
      <c r="H1616">
        <f>_xlfn.RANK.AVG(Table1[[#This Row],[Flux in RT / glucose uptake ($mmol/mmol\ glc$)]],Table1[Flux in RT / glucose uptake ($mmol/mmol\ glc$)])</f>
        <v>1290.5</v>
      </c>
      <c r="I1616" t="e">
        <f>LOG(Table1[[#This Row],[Flux in SC / glucose uptake ($mmol/mmol\ glc$)]])</f>
        <v>#NUM!</v>
      </c>
      <c r="J1616" t="e">
        <f>LOG(Table1[[#This Row],[Flux in RT / glucose uptake ($mmol/mmol\ glc$)]])</f>
        <v>#NUM!</v>
      </c>
    </row>
    <row r="1617" spans="1:10" x14ac:dyDescent="0.2">
      <c r="A1617" t="s">
        <v>1620</v>
      </c>
      <c r="B1617" t="s">
        <v>3123</v>
      </c>
      <c r="C1617">
        <v>0</v>
      </c>
      <c r="D1617">
        <v>0</v>
      </c>
      <c r="E1617">
        <f>ABS(Table1[[#This Row],[Flux in SC / glucose uptake ($mmol/mmol\ glc$)]]-Table1[[#This Row],[Flux in RT / glucose uptake ($mmol/mmol\ glc$)]])/SQRT(2)</f>
        <v>0</v>
      </c>
      <c r="F1617">
        <f>Table1[[#This Row],[distance from 45-degree line]]/MAX(Table1[[Flux in SC / glucose uptake ($mmol/mmol\ glc$)]:[Flux in RT / glucose uptake ($mmol/mmol\ glc$)]])</f>
        <v>0</v>
      </c>
      <c r="G1617">
        <f>_xlfn.RANK.AVG(Table1[[#This Row],[Flux in SC / glucose uptake ($mmol/mmol\ glc$)]],Table1[Flux in SC / glucose uptake ($mmol/mmol\ glc$)])</f>
        <v>1310.5</v>
      </c>
      <c r="H1617">
        <f>_xlfn.RANK.AVG(Table1[[#This Row],[Flux in RT / glucose uptake ($mmol/mmol\ glc$)]],Table1[Flux in RT / glucose uptake ($mmol/mmol\ glc$)])</f>
        <v>1290.5</v>
      </c>
      <c r="I1617" t="e">
        <f>LOG(Table1[[#This Row],[Flux in SC / glucose uptake ($mmol/mmol\ glc$)]])</f>
        <v>#NUM!</v>
      </c>
      <c r="J1617" t="e">
        <f>LOG(Table1[[#This Row],[Flux in RT / glucose uptake ($mmol/mmol\ glc$)]])</f>
        <v>#NUM!</v>
      </c>
    </row>
    <row r="1618" spans="1:10" x14ac:dyDescent="0.2">
      <c r="A1618" t="s">
        <v>1621</v>
      </c>
      <c r="B1618" t="s">
        <v>3188</v>
      </c>
      <c r="C1618">
        <v>-3.4770927948769279E-2</v>
      </c>
      <c r="D1618">
        <v>-0.72868336859089777</v>
      </c>
      <c r="E1618">
        <f>ABS(Table1[[#This Row],[Flux in SC / glucose uptake ($mmol/mmol\ glc$)]]-Table1[[#This Row],[Flux in RT / glucose uptake ($mmol/mmol\ glc$)]])/SQRT(2)</f>
        <v>0.49067019232775672</v>
      </c>
      <c r="F1618">
        <f>Table1[[#This Row],[distance from 45-degree line]]/MAX(Table1[[Flux in SC / glucose uptake ($mmol/mmol\ glc$)]:[Flux in RT / glucose uptake ($mmol/mmol\ glc$)]])</f>
        <v>2.6446563479422248E-2</v>
      </c>
      <c r="G1618">
        <f>_xlfn.RANK.AVG(Table1[[#This Row],[Flux in SC / glucose uptake ($mmol/mmol\ glc$)]],Table1[Flux in SC / glucose uptake ($mmol/mmol\ glc$)])</f>
        <v>2306</v>
      </c>
      <c r="H1618">
        <f>_xlfn.RANK.AVG(Table1[[#This Row],[Flux in RT / glucose uptake ($mmol/mmol\ glc$)]],Table1[Flux in RT / glucose uptake ($mmol/mmol\ glc$)])</f>
        <v>2307</v>
      </c>
      <c r="I1618" t="e">
        <f>LOG(Table1[[#This Row],[Flux in SC / glucose uptake ($mmol/mmol\ glc$)]])</f>
        <v>#NUM!</v>
      </c>
      <c r="J1618" t="e">
        <f>LOG(Table1[[#This Row],[Flux in RT / glucose uptake ($mmol/mmol\ glc$)]])</f>
        <v>#NUM!</v>
      </c>
    </row>
    <row r="1619" spans="1:10" x14ac:dyDescent="0.2">
      <c r="A1619" t="s">
        <v>1622</v>
      </c>
      <c r="B1619" t="s">
        <v>3146</v>
      </c>
      <c r="C1619">
        <v>4.6128013129504118E-3</v>
      </c>
      <c r="D1619">
        <v>0.92240637835593009</v>
      </c>
      <c r="E1619">
        <f>ABS(Table1[[#This Row],[Flux in SC / glucose uptake ($mmol/mmol\ glc$)]]-Table1[[#This Row],[Flux in RT / glucose uptake ($mmol/mmol\ glc$)]])/SQRT(2)</f>
        <v>0.64897806205654895</v>
      </c>
      <c r="F1619">
        <f>Table1[[#This Row],[distance from 45-degree line]]/MAX(Table1[[Flux in SC / glucose uptake ($mmol/mmol\ glc$)]:[Flux in RT / glucose uptake ($mmol/mmol\ glc$)]])</f>
        <v>3.4979177018086095E-2</v>
      </c>
      <c r="G1619">
        <f>_xlfn.RANK.AVG(Table1[[#This Row],[Flux in SC / glucose uptake ($mmol/mmol\ glc$)]],Table1[Flux in SC / glucose uptake ($mmol/mmol\ glc$)])</f>
        <v>119</v>
      </c>
      <c r="H1619">
        <f>_xlfn.RANK.AVG(Table1[[#This Row],[Flux in RT / glucose uptake ($mmol/mmol\ glc$)]],Table1[Flux in RT / glucose uptake ($mmol/mmol\ glc$)])</f>
        <v>21</v>
      </c>
      <c r="I1619">
        <f>LOG(Table1[[#This Row],[Flux in SC / glucose uptake ($mmol/mmol\ glc$)]])</f>
        <v>-2.3360352513417855</v>
      </c>
      <c r="J1619">
        <f>LOG(Table1[[#This Row],[Flux in RT / glucose uptake ($mmol/mmol\ glc$)]])</f>
        <v>-3.5077702596264387E-2</v>
      </c>
    </row>
    <row r="1620" spans="1:10" x14ac:dyDescent="0.2">
      <c r="A1620" t="s">
        <v>1623</v>
      </c>
      <c r="B1620" t="s">
        <v>3125</v>
      </c>
      <c r="C1620">
        <v>0</v>
      </c>
      <c r="D1620">
        <v>0</v>
      </c>
      <c r="E1620">
        <f>ABS(Table1[[#This Row],[Flux in SC / glucose uptake ($mmol/mmol\ glc$)]]-Table1[[#This Row],[Flux in RT / glucose uptake ($mmol/mmol\ glc$)]])/SQRT(2)</f>
        <v>0</v>
      </c>
      <c r="F1620">
        <f>Table1[[#This Row],[distance from 45-degree line]]/MAX(Table1[[Flux in SC / glucose uptake ($mmol/mmol\ glc$)]:[Flux in RT / glucose uptake ($mmol/mmol\ glc$)]])</f>
        <v>0</v>
      </c>
      <c r="G1620">
        <f>_xlfn.RANK.AVG(Table1[[#This Row],[Flux in SC / glucose uptake ($mmol/mmol\ glc$)]],Table1[Flux in SC / glucose uptake ($mmol/mmol\ glc$)])</f>
        <v>1310.5</v>
      </c>
      <c r="H1620">
        <f>_xlfn.RANK.AVG(Table1[[#This Row],[Flux in RT / glucose uptake ($mmol/mmol\ glc$)]],Table1[Flux in RT / glucose uptake ($mmol/mmol\ glc$)])</f>
        <v>1290.5</v>
      </c>
      <c r="I1620" t="e">
        <f>LOG(Table1[[#This Row],[Flux in SC / glucose uptake ($mmol/mmol\ glc$)]])</f>
        <v>#NUM!</v>
      </c>
      <c r="J1620" t="e">
        <f>LOG(Table1[[#This Row],[Flux in RT / glucose uptake ($mmol/mmol\ glc$)]])</f>
        <v>#NUM!</v>
      </c>
    </row>
    <row r="1621" spans="1:10" x14ac:dyDescent="0.2">
      <c r="A1621" t="s">
        <v>1624</v>
      </c>
      <c r="B1621" t="s">
        <v>3148</v>
      </c>
      <c r="C1621">
        <v>0</v>
      </c>
      <c r="D1621">
        <v>0</v>
      </c>
      <c r="E1621">
        <f>ABS(Table1[[#This Row],[Flux in SC / glucose uptake ($mmol/mmol\ glc$)]]-Table1[[#This Row],[Flux in RT / glucose uptake ($mmol/mmol\ glc$)]])/SQRT(2)</f>
        <v>0</v>
      </c>
      <c r="F1621">
        <f>Table1[[#This Row],[distance from 45-degree line]]/MAX(Table1[[Flux in SC / glucose uptake ($mmol/mmol\ glc$)]:[Flux in RT / glucose uptake ($mmol/mmol\ glc$)]])</f>
        <v>0</v>
      </c>
      <c r="G1621">
        <f>_xlfn.RANK.AVG(Table1[[#This Row],[Flux in SC / glucose uptake ($mmol/mmol\ glc$)]],Table1[Flux in SC / glucose uptake ($mmol/mmol\ glc$)])</f>
        <v>1310.5</v>
      </c>
      <c r="H1621">
        <f>_xlfn.RANK.AVG(Table1[[#This Row],[Flux in RT / glucose uptake ($mmol/mmol\ glc$)]],Table1[Flux in RT / glucose uptake ($mmol/mmol\ glc$)])</f>
        <v>1290.5</v>
      </c>
      <c r="I1621" t="e">
        <f>LOG(Table1[[#This Row],[Flux in SC / glucose uptake ($mmol/mmol\ glc$)]])</f>
        <v>#NUM!</v>
      </c>
      <c r="J1621" t="e">
        <f>LOG(Table1[[#This Row],[Flux in RT / glucose uptake ($mmol/mmol\ glc$)]])</f>
        <v>#NUM!</v>
      </c>
    </row>
    <row r="1622" spans="1:10" x14ac:dyDescent="0.2">
      <c r="A1622" t="s">
        <v>1625</v>
      </c>
      <c r="B1622" t="s">
        <v>3146</v>
      </c>
      <c r="C1622">
        <v>4.2978887542298574E-2</v>
      </c>
      <c r="D1622">
        <v>9.0330663532221842E-2</v>
      </c>
      <c r="E1622">
        <f>ABS(Table1[[#This Row],[Flux in SC / glucose uptake ($mmol/mmol\ glc$)]]-Table1[[#This Row],[Flux in RT / glucose uptake ($mmol/mmol\ glc$)]])/SQRT(2)</f>
        <v>3.3482761903701086E-2</v>
      </c>
      <c r="F1622">
        <f>Table1[[#This Row],[distance from 45-degree line]]/MAX(Table1[[Flux in SC / glucose uptake ($mmol/mmol\ glc$)]:[Flux in RT / glucose uptake ($mmol/mmol\ glc$)]])</f>
        <v>1.8046826605703304E-3</v>
      </c>
      <c r="G1622">
        <f>_xlfn.RANK.AVG(Table1[[#This Row],[Flux in SC / glucose uptake ($mmol/mmol\ glc$)]],Table1[Flux in SC / glucose uptake ($mmol/mmol\ glc$)])</f>
        <v>50</v>
      </c>
      <c r="H1622">
        <f>_xlfn.RANK.AVG(Table1[[#This Row],[Flux in RT / glucose uptake ($mmol/mmol\ glc$)]],Table1[Flux in RT / glucose uptake ($mmol/mmol\ glc$)])</f>
        <v>90</v>
      </c>
      <c r="I1622">
        <f>LOG(Table1[[#This Row],[Flux in SC / glucose uptake ($mmol/mmol\ glc$)]])</f>
        <v>-1.3667448298984077</v>
      </c>
      <c r="J1622">
        <f>LOG(Table1[[#This Row],[Flux in RT / glucose uptake ($mmol/mmol\ glc$)]])</f>
        <v>-1.0441647996056815</v>
      </c>
    </row>
    <row r="1623" spans="1:10" x14ac:dyDescent="0.2">
      <c r="A1623" t="s">
        <v>1626</v>
      </c>
      <c r="B1623" t="s">
        <v>3143</v>
      </c>
      <c r="C1623">
        <v>0</v>
      </c>
      <c r="D1623">
        <v>0</v>
      </c>
      <c r="E1623">
        <f>ABS(Table1[[#This Row],[Flux in SC / glucose uptake ($mmol/mmol\ glc$)]]-Table1[[#This Row],[Flux in RT / glucose uptake ($mmol/mmol\ glc$)]])/SQRT(2)</f>
        <v>0</v>
      </c>
      <c r="F1623">
        <f>Table1[[#This Row],[distance from 45-degree line]]/MAX(Table1[[Flux in SC / glucose uptake ($mmol/mmol\ glc$)]:[Flux in RT / glucose uptake ($mmol/mmol\ glc$)]])</f>
        <v>0</v>
      </c>
      <c r="G1623">
        <f>_xlfn.RANK.AVG(Table1[[#This Row],[Flux in SC / glucose uptake ($mmol/mmol\ glc$)]],Table1[Flux in SC / glucose uptake ($mmol/mmol\ glc$)])</f>
        <v>1310.5</v>
      </c>
      <c r="H1623">
        <f>_xlfn.RANK.AVG(Table1[[#This Row],[Flux in RT / glucose uptake ($mmol/mmol\ glc$)]],Table1[Flux in RT / glucose uptake ($mmol/mmol\ glc$)])</f>
        <v>1290.5</v>
      </c>
      <c r="I1623" t="e">
        <f>LOG(Table1[[#This Row],[Flux in SC / glucose uptake ($mmol/mmol\ glc$)]])</f>
        <v>#NUM!</v>
      </c>
      <c r="J1623" t="e">
        <f>LOG(Table1[[#This Row],[Flux in RT / glucose uptake ($mmol/mmol\ glc$)]])</f>
        <v>#NUM!</v>
      </c>
    </row>
    <row r="1624" spans="1:10" x14ac:dyDescent="0.2">
      <c r="A1624" t="s">
        <v>1627</v>
      </c>
      <c r="B1624" t="s">
        <v>3146</v>
      </c>
      <c r="C1624">
        <v>3.6110321147682783E-9</v>
      </c>
      <c r="D1624">
        <v>0</v>
      </c>
      <c r="E1624">
        <f>ABS(Table1[[#This Row],[Flux in SC / glucose uptake ($mmol/mmol\ glc$)]]-Table1[[#This Row],[Flux in RT / glucose uptake ($mmol/mmol\ glc$)]])/SQRT(2)</f>
        <v>2.5533852954350489E-9</v>
      </c>
      <c r="F1624">
        <f>Table1[[#This Row],[distance from 45-degree line]]/MAX(Table1[[Flux in SC / glucose uptake ($mmol/mmol\ glc$)]:[Flux in RT / glucose uptake ($mmol/mmol\ glc$)]])</f>
        <v>1.376245538429589E-10</v>
      </c>
      <c r="G1624">
        <f>_xlfn.RANK.AVG(Table1[[#This Row],[Flux in SC / glucose uptake ($mmol/mmol\ glc$)]],Table1[Flux in SC / glucose uptake ($mmol/mmol\ glc$)])</f>
        <v>310</v>
      </c>
      <c r="H1624">
        <f>_xlfn.RANK.AVG(Table1[[#This Row],[Flux in RT / glucose uptake ($mmol/mmol\ glc$)]],Table1[Flux in RT / glucose uptake ($mmol/mmol\ glc$)])</f>
        <v>1290.5</v>
      </c>
      <c r="I1624">
        <f>LOG(Table1[[#This Row],[Flux in SC / glucose uptake ($mmol/mmol\ glc$)]])</f>
        <v>-8.4423686491515095</v>
      </c>
      <c r="J1624" t="e">
        <f>LOG(Table1[[#This Row],[Flux in RT / glucose uptake ($mmol/mmol\ glc$)]])</f>
        <v>#NUM!</v>
      </c>
    </row>
    <row r="1625" spans="1:10" x14ac:dyDescent="0.2">
      <c r="A1625" t="s">
        <v>1628</v>
      </c>
      <c r="B1625" t="s">
        <v>3148</v>
      </c>
      <c r="C1625">
        <v>0</v>
      </c>
      <c r="D1625">
        <v>0</v>
      </c>
      <c r="E1625">
        <f>ABS(Table1[[#This Row],[Flux in SC / glucose uptake ($mmol/mmol\ glc$)]]-Table1[[#This Row],[Flux in RT / glucose uptake ($mmol/mmol\ glc$)]])/SQRT(2)</f>
        <v>0</v>
      </c>
      <c r="F1625">
        <f>Table1[[#This Row],[distance from 45-degree line]]/MAX(Table1[[Flux in SC / glucose uptake ($mmol/mmol\ glc$)]:[Flux in RT / glucose uptake ($mmol/mmol\ glc$)]])</f>
        <v>0</v>
      </c>
      <c r="G1625">
        <f>_xlfn.RANK.AVG(Table1[[#This Row],[Flux in SC / glucose uptake ($mmol/mmol\ glc$)]],Table1[Flux in SC / glucose uptake ($mmol/mmol\ glc$)])</f>
        <v>1310.5</v>
      </c>
      <c r="H1625">
        <f>_xlfn.RANK.AVG(Table1[[#This Row],[Flux in RT / glucose uptake ($mmol/mmol\ glc$)]],Table1[Flux in RT / glucose uptake ($mmol/mmol\ glc$)])</f>
        <v>1290.5</v>
      </c>
      <c r="I1625" t="e">
        <f>LOG(Table1[[#This Row],[Flux in SC / glucose uptake ($mmol/mmol\ glc$)]])</f>
        <v>#NUM!</v>
      </c>
      <c r="J1625" t="e">
        <f>LOG(Table1[[#This Row],[Flux in RT / glucose uptake ($mmol/mmol\ glc$)]])</f>
        <v>#NUM!</v>
      </c>
    </row>
    <row r="1626" spans="1:10" x14ac:dyDescent="0.2">
      <c r="A1626" t="s">
        <v>1629</v>
      </c>
      <c r="B1626" t="s">
        <v>3148</v>
      </c>
      <c r="C1626">
        <v>1.5572331044400596E-3</v>
      </c>
      <c r="D1626">
        <v>1.0139935657085517E-2</v>
      </c>
      <c r="E1626">
        <f>ABS(Table1[[#This Row],[Flux in SC / glucose uptake ($mmol/mmol\ glc$)]]-Table1[[#This Row],[Flux in RT / glucose uptake ($mmol/mmol\ glc$)]])/SQRT(2)</f>
        <v>6.0688871758826949E-3</v>
      </c>
      <c r="F1626">
        <f>Table1[[#This Row],[distance from 45-degree line]]/MAX(Table1[[Flux in SC / glucose uptake ($mmol/mmol\ glc$)]:[Flux in RT / glucose uptake ($mmol/mmol\ glc$)]])</f>
        <v>3.2710609377963209E-4</v>
      </c>
      <c r="G1626">
        <f>_xlfn.RANK.AVG(Table1[[#This Row],[Flux in SC / glucose uptake ($mmol/mmol\ glc$)]],Table1[Flux in SC / glucose uptake ($mmol/mmol\ glc$)])</f>
        <v>195</v>
      </c>
      <c r="H1626">
        <f>_xlfn.RANK.AVG(Table1[[#This Row],[Flux in RT / glucose uptake ($mmol/mmol\ glc$)]],Table1[Flux in RT / glucose uptake ($mmol/mmol\ glc$)])</f>
        <v>197</v>
      </c>
      <c r="I1626">
        <f>LOG(Table1[[#This Row],[Flux in SC / glucose uptake ($mmol/mmol\ glc$)]])</f>
        <v>-2.8076463724064662</v>
      </c>
      <c r="J1626">
        <f>LOG(Table1[[#This Row],[Flux in RT / glucose uptake ($mmol/mmol\ glc$)]])</f>
        <v>-1.9939648008075515</v>
      </c>
    </row>
    <row r="1627" spans="1:10" x14ac:dyDescent="0.2">
      <c r="A1627" t="s">
        <v>1630</v>
      </c>
      <c r="B1627" t="s">
        <v>3148</v>
      </c>
      <c r="C1627">
        <v>3.6110321147682783E-9</v>
      </c>
      <c r="D1627">
        <v>0</v>
      </c>
      <c r="E1627">
        <f>ABS(Table1[[#This Row],[Flux in SC / glucose uptake ($mmol/mmol\ glc$)]]-Table1[[#This Row],[Flux in RT / glucose uptake ($mmol/mmol\ glc$)]])/SQRT(2)</f>
        <v>2.5533852954350489E-9</v>
      </c>
      <c r="F1627">
        <f>Table1[[#This Row],[distance from 45-degree line]]/MAX(Table1[[Flux in SC / glucose uptake ($mmol/mmol\ glc$)]:[Flux in RT / glucose uptake ($mmol/mmol\ glc$)]])</f>
        <v>1.376245538429589E-10</v>
      </c>
      <c r="G1627">
        <f>_xlfn.RANK.AVG(Table1[[#This Row],[Flux in SC / glucose uptake ($mmol/mmol\ glc$)]],Table1[Flux in SC / glucose uptake ($mmol/mmol\ glc$)])</f>
        <v>310</v>
      </c>
      <c r="H1627">
        <f>_xlfn.RANK.AVG(Table1[[#This Row],[Flux in RT / glucose uptake ($mmol/mmol\ glc$)]],Table1[Flux in RT / glucose uptake ($mmol/mmol\ glc$)])</f>
        <v>1290.5</v>
      </c>
      <c r="I1627">
        <f>LOG(Table1[[#This Row],[Flux in SC / glucose uptake ($mmol/mmol\ glc$)]])</f>
        <v>-8.4423686491515095</v>
      </c>
      <c r="J1627" t="e">
        <f>LOG(Table1[[#This Row],[Flux in RT / glucose uptake ($mmol/mmol\ glc$)]])</f>
        <v>#NUM!</v>
      </c>
    </row>
    <row r="1628" spans="1:10" x14ac:dyDescent="0.2">
      <c r="A1628" t="s">
        <v>1631</v>
      </c>
      <c r="B1628" t="s">
        <v>3148</v>
      </c>
      <c r="C1628">
        <v>2.3159565131679882E-3</v>
      </c>
      <c r="D1628">
        <v>1.3573881135728216E-2</v>
      </c>
      <c r="E1628">
        <f>ABS(Table1[[#This Row],[Flux in SC / glucose uptake ($mmol/mmol\ glc$)]]-Table1[[#This Row],[Flux in RT / glucose uptake ($mmol/mmol\ glc$)]])/SQRT(2)</f>
        <v>7.9605548426993408E-3</v>
      </c>
      <c r="F1628">
        <f>Table1[[#This Row],[distance from 45-degree line]]/MAX(Table1[[Flux in SC / glucose uptake ($mmol/mmol\ glc$)]:[Flux in RT / glucose uptake ($mmol/mmol\ glc$)]])</f>
        <v>4.2906482250350644E-4</v>
      </c>
      <c r="G1628">
        <f>_xlfn.RANK.AVG(Table1[[#This Row],[Flux in SC / glucose uptake ($mmol/mmol\ glc$)]],Table1[Flux in SC / glucose uptake ($mmol/mmol\ glc$)])</f>
        <v>190.5</v>
      </c>
      <c r="H1628">
        <f>_xlfn.RANK.AVG(Table1[[#This Row],[Flux in RT / glucose uptake ($mmol/mmol\ glc$)]],Table1[Flux in RT / glucose uptake ($mmol/mmol\ glc$)])</f>
        <v>182.5</v>
      </c>
      <c r="I1628">
        <f>LOG(Table1[[#This Row],[Flux in SC / glucose uptake ($mmol/mmol\ glc$)]])</f>
        <v>-2.6352695996373861</v>
      </c>
      <c r="J1628">
        <f>LOG(Table1[[#This Row],[Flux in RT / glucose uptake ($mmol/mmol\ glc$)]])</f>
        <v>-1.86729595817412</v>
      </c>
    </row>
    <row r="1629" spans="1:10" x14ac:dyDescent="0.2">
      <c r="A1629" t="s">
        <v>1632</v>
      </c>
      <c r="B1629" t="s">
        <v>3114</v>
      </c>
      <c r="C1629">
        <v>0</v>
      </c>
      <c r="D1629">
        <v>0</v>
      </c>
      <c r="E1629">
        <f>ABS(Table1[[#This Row],[Flux in SC / glucose uptake ($mmol/mmol\ glc$)]]-Table1[[#This Row],[Flux in RT / glucose uptake ($mmol/mmol\ glc$)]])/SQRT(2)</f>
        <v>0</v>
      </c>
      <c r="F1629">
        <f>Table1[[#This Row],[distance from 45-degree line]]/MAX(Table1[[Flux in SC / glucose uptake ($mmol/mmol\ glc$)]:[Flux in RT / glucose uptake ($mmol/mmol\ glc$)]])</f>
        <v>0</v>
      </c>
      <c r="G1629">
        <f>_xlfn.RANK.AVG(Table1[[#This Row],[Flux in SC / glucose uptake ($mmol/mmol\ glc$)]],Table1[Flux in SC / glucose uptake ($mmol/mmol\ glc$)])</f>
        <v>1310.5</v>
      </c>
      <c r="H1629">
        <f>_xlfn.RANK.AVG(Table1[[#This Row],[Flux in RT / glucose uptake ($mmol/mmol\ glc$)]],Table1[Flux in RT / glucose uptake ($mmol/mmol\ glc$)])</f>
        <v>1290.5</v>
      </c>
      <c r="I1629" t="e">
        <f>LOG(Table1[[#This Row],[Flux in SC / glucose uptake ($mmol/mmol\ glc$)]])</f>
        <v>#NUM!</v>
      </c>
      <c r="J1629" t="e">
        <f>LOG(Table1[[#This Row],[Flux in RT / glucose uptake ($mmol/mmol\ glc$)]])</f>
        <v>#NUM!</v>
      </c>
    </row>
    <row r="1630" spans="1:10" x14ac:dyDescent="0.2">
      <c r="A1630" t="s">
        <v>1633</v>
      </c>
      <c r="B1630" t="s">
        <v>3114</v>
      </c>
      <c r="C1630">
        <v>0</v>
      </c>
      <c r="D1630">
        <v>0</v>
      </c>
      <c r="E1630">
        <f>ABS(Table1[[#This Row],[Flux in SC / glucose uptake ($mmol/mmol\ glc$)]]-Table1[[#This Row],[Flux in RT / glucose uptake ($mmol/mmol\ glc$)]])/SQRT(2)</f>
        <v>0</v>
      </c>
      <c r="F1630">
        <f>Table1[[#This Row],[distance from 45-degree line]]/MAX(Table1[[Flux in SC / glucose uptake ($mmol/mmol\ glc$)]:[Flux in RT / glucose uptake ($mmol/mmol\ glc$)]])</f>
        <v>0</v>
      </c>
      <c r="G1630">
        <f>_xlfn.RANK.AVG(Table1[[#This Row],[Flux in SC / glucose uptake ($mmol/mmol\ glc$)]],Table1[Flux in SC / glucose uptake ($mmol/mmol\ glc$)])</f>
        <v>1310.5</v>
      </c>
      <c r="H1630">
        <f>_xlfn.RANK.AVG(Table1[[#This Row],[Flux in RT / glucose uptake ($mmol/mmol\ glc$)]],Table1[Flux in RT / glucose uptake ($mmol/mmol\ glc$)])</f>
        <v>1290.5</v>
      </c>
      <c r="I1630" t="e">
        <f>LOG(Table1[[#This Row],[Flux in SC / glucose uptake ($mmol/mmol\ glc$)]])</f>
        <v>#NUM!</v>
      </c>
      <c r="J1630" t="e">
        <f>LOG(Table1[[#This Row],[Flux in RT / glucose uptake ($mmol/mmol\ glc$)]])</f>
        <v>#NUM!</v>
      </c>
    </row>
    <row r="1631" spans="1:10" x14ac:dyDescent="0.2">
      <c r="A1631" t="s">
        <v>1634</v>
      </c>
      <c r="B1631" t="s">
        <v>3154</v>
      </c>
      <c r="C1631">
        <v>0</v>
      </c>
      <c r="D1631">
        <v>0</v>
      </c>
      <c r="E1631">
        <f>ABS(Table1[[#This Row],[Flux in SC / glucose uptake ($mmol/mmol\ glc$)]]-Table1[[#This Row],[Flux in RT / glucose uptake ($mmol/mmol\ glc$)]])/SQRT(2)</f>
        <v>0</v>
      </c>
      <c r="F1631">
        <f>Table1[[#This Row],[distance from 45-degree line]]/MAX(Table1[[Flux in SC / glucose uptake ($mmol/mmol\ glc$)]:[Flux in RT / glucose uptake ($mmol/mmol\ glc$)]])</f>
        <v>0</v>
      </c>
      <c r="G1631">
        <f>_xlfn.RANK.AVG(Table1[[#This Row],[Flux in SC / glucose uptake ($mmol/mmol\ glc$)]],Table1[Flux in SC / glucose uptake ($mmol/mmol\ glc$)])</f>
        <v>1310.5</v>
      </c>
      <c r="H1631">
        <f>_xlfn.RANK.AVG(Table1[[#This Row],[Flux in RT / glucose uptake ($mmol/mmol\ glc$)]],Table1[Flux in RT / glucose uptake ($mmol/mmol\ glc$)])</f>
        <v>1290.5</v>
      </c>
      <c r="I1631" t="e">
        <f>LOG(Table1[[#This Row],[Flux in SC / glucose uptake ($mmol/mmol\ glc$)]])</f>
        <v>#NUM!</v>
      </c>
      <c r="J1631" t="e">
        <f>LOG(Table1[[#This Row],[Flux in RT / glucose uptake ($mmol/mmol\ glc$)]])</f>
        <v>#NUM!</v>
      </c>
    </row>
    <row r="1632" spans="1:10" x14ac:dyDescent="0.2">
      <c r="A1632" t="s">
        <v>1635</v>
      </c>
      <c r="B1632" t="s">
        <v>3154</v>
      </c>
      <c r="C1632">
        <v>0</v>
      </c>
      <c r="D1632">
        <v>0</v>
      </c>
      <c r="E1632">
        <f>ABS(Table1[[#This Row],[Flux in SC / glucose uptake ($mmol/mmol\ glc$)]]-Table1[[#This Row],[Flux in RT / glucose uptake ($mmol/mmol\ glc$)]])/SQRT(2)</f>
        <v>0</v>
      </c>
      <c r="F1632">
        <f>Table1[[#This Row],[distance from 45-degree line]]/MAX(Table1[[Flux in SC / glucose uptake ($mmol/mmol\ glc$)]:[Flux in RT / glucose uptake ($mmol/mmol\ glc$)]])</f>
        <v>0</v>
      </c>
      <c r="G1632">
        <f>_xlfn.RANK.AVG(Table1[[#This Row],[Flux in SC / glucose uptake ($mmol/mmol\ glc$)]],Table1[Flux in SC / glucose uptake ($mmol/mmol\ glc$)])</f>
        <v>1310.5</v>
      </c>
      <c r="H1632">
        <f>_xlfn.RANK.AVG(Table1[[#This Row],[Flux in RT / glucose uptake ($mmol/mmol\ glc$)]],Table1[Flux in RT / glucose uptake ($mmol/mmol\ glc$)])</f>
        <v>1290.5</v>
      </c>
      <c r="I1632" t="e">
        <f>LOG(Table1[[#This Row],[Flux in SC / glucose uptake ($mmol/mmol\ glc$)]])</f>
        <v>#NUM!</v>
      </c>
      <c r="J1632" t="e">
        <f>LOG(Table1[[#This Row],[Flux in RT / glucose uptake ($mmol/mmol\ glc$)]])</f>
        <v>#NUM!</v>
      </c>
    </row>
    <row r="1633" spans="1:10" x14ac:dyDescent="0.2">
      <c r="A1633" t="s">
        <v>1636</v>
      </c>
      <c r="B1633" t="s">
        <v>3136</v>
      </c>
      <c r="C1633">
        <v>2.8171526477804849E-3</v>
      </c>
      <c r="D1633">
        <v>2.3274812759854133E-2</v>
      </c>
      <c r="E1633">
        <f>ABS(Table1[[#This Row],[Flux in SC / glucose uptake ($mmol/mmol\ glc$)]]-Table1[[#This Row],[Flux in RT / glucose uptake ($mmol/mmol\ glc$)]])/SQRT(2)</f>
        <v>1.4465750192456821E-2</v>
      </c>
      <c r="F1633">
        <f>Table1[[#This Row],[distance from 45-degree line]]/MAX(Table1[[Flux in SC / glucose uptake ($mmol/mmol\ glc$)]:[Flux in RT / glucose uptake ($mmol/mmol\ glc$)]])</f>
        <v>7.7968742899859331E-4</v>
      </c>
      <c r="G1633">
        <f>_xlfn.RANK.AVG(Table1[[#This Row],[Flux in SC / glucose uptake ($mmol/mmol\ glc$)]],Table1[Flux in SC / glucose uptake ($mmol/mmol\ glc$)])</f>
        <v>177.5</v>
      </c>
      <c r="H1633">
        <f>_xlfn.RANK.AVG(Table1[[#This Row],[Flux in RT / glucose uptake ($mmol/mmol\ glc$)]],Table1[Flux in RT / glucose uptake ($mmol/mmol\ glc$)])</f>
        <v>131.5</v>
      </c>
      <c r="I1633">
        <f>LOG(Table1[[#This Row],[Flux in SC / glucose uptake ($mmol/mmol\ glc$)]])</f>
        <v>-2.5501896200739957</v>
      </c>
      <c r="J1633">
        <f>LOG(Table1[[#This Row],[Flux in RT / glucose uptake ($mmol/mmol\ glc$)]])</f>
        <v>-1.6331138041248896</v>
      </c>
    </row>
    <row r="1634" spans="1:10" x14ac:dyDescent="0.2">
      <c r="A1634" t="s">
        <v>1637</v>
      </c>
      <c r="B1634" t="s">
        <v>3136</v>
      </c>
      <c r="C1634">
        <v>0</v>
      </c>
      <c r="D1634">
        <v>0</v>
      </c>
      <c r="E1634">
        <f>ABS(Table1[[#This Row],[Flux in SC / glucose uptake ($mmol/mmol\ glc$)]]-Table1[[#This Row],[Flux in RT / glucose uptake ($mmol/mmol\ glc$)]])/SQRT(2)</f>
        <v>0</v>
      </c>
      <c r="F1634">
        <f>Table1[[#This Row],[distance from 45-degree line]]/MAX(Table1[[Flux in SC / glucose uptake ($mmol/mmol\ glc$)]:[Flux in RT / glucose uptake ($mmol/mmol\ glc$)]])</f>
        <v>0</v>
      </c>
      <c r="G1634">
        <f>_xlfn.RANK.AVG(Table1[[#This Row],[Flux in SC / glucose uptake ($mmol/mmol\ glc$)]],Table1[Flux in SC / glucose uptake ($mmol/mmol\ glc$)])</f>
        <v>1310.5</v>
      </c>
      <c r="H1634">
        <f>_xlfn.RANK.AVG(Table1[[#This Row],[Flux in RT / glucose uptake ($mmol/mmol\ glc$)]],Table1[Flux in RT / glucose uptake ($mmol/mmol\ glc$)])</f>
        <v>1290.5</v>
      </c>
      <c r="I1634" t="e">
        <f>LOG(Table1[[#This Row],[Flux in SC / glucose uptake ($mmol/mmol\ glc$)]])</f>
        <v>#NUM!</v>
      </c>
      <c r="J1634" t="e">
        <f>LOG(Table1[[#This Row],[Flux in RT / glucose uptake ($mmol/mmol\ glc$)]])</f>
        <v>#NUM!</v>
      </c>
    </row>
    <row r="1635" spans="1:10" x14ac:dyDescent="0.2">
      <c r="A1635" t="s">
        <v>1638</v>
      </c>
      <c r="B1635" t="s">
        <v>3136</v>
      </c>
      <c r="C1635">
        <v>0</v>
      </c>
      <c r="D1635">
        <v>0</v>
      </c>
      <c r="E1635">
        <f>ABS(Table1[[#This Row],[Flux in SC / glucose uptake ($mmol/mmol\ glc$)]]-Table1[[#This Row],[Flux in RT / glucose uptake ($mmol/mmol\ glc$)]])/SQRT(2)</f>
        <v>0</v>
      </c>
      <c r="F1635">
        <f>Table1[[#This Row],[distance from 45-degree line]]/MAX(Table1[[Flux in SC / glucose uptake ($mmol/mmol\ glc$)]:[Flux in RT / glucose uptake ($mmol/mmol\ glc$)]])</f>
        <v>0</v>
      </c>
      <c r="G1635">
        <f>_xlfn.RANK.AVG(Table1[[#This Row],[Flux in SC / glucose uptake ($mmol/mmol\ glc$)]],Table1[Flux in SC / glucose uptake ($mmol/mmol\ glc$)])</f>
        <v>1310.5</v>
      </c>
      <c r="H1635">
        <f>_xlfn.RANK.AVG(Table1[[#This Row],[Flux in RT / glucose uptake ($mmol/mmol\ glc$)]],Table1[Flux in RT / glucose uptake ($mmol/mmol\ glc$)])</f>
        <v>1290.5</v>
      </c>
      <c r="I1635" t="e">
        <f>LOG(Table1[[#This Row],[Flux in SC / glucose uptake ($mmol/mmol\ glc$)]])</f>
        <v>#NUM!</v>
      </c>
      <c r="J1635" t="e">
        <f>LOG(Table1[[#This Row],[Flux in RT / glucose uptake ($mmol/mmol\ glc$)]])</f>
        <v>#NUM!</v>
      </c>
    </row>
    <row r="1636" spans="1:10" x14ac:dyDescent="0.2">
      <c r="A1636" t="s">
        <v>1639</v>
      </c>
      <c r="B1636" t="s">
        <v>3136</v>
      </c>
      <c r="C1636">
        <v>0</v>
      </c>
      <c r="D1636">
        <v>0</v>
      </c>
      <c r="E1636">
        <f>ABS(Table1[[#This Row],[Flux in SC / glucose uptake ($mmol/mmol\ glc$)]]-Table1[[#This Row],[Flux in RT / glucose uptake ($mmol/mmol\ glc$)]])/SQRT(2)</f>
        <v>0</v>
      </c>
      <c r="F1636">
        <f>Table1[[#This Row],[distance from 45-degree line]]/MAX(Table1[[Flux in SC / glucose uptake ($mmol/mmol\ glc$)]:[Flux in RT / glucose uptake ($mmol/mmol\ glc$)]])</f>
        <v>0</v>
      </c>
      <c r="G1636">
        <f>_xlfn.RANK.AVG(Table1[[#This Row],[Flux in SC / glucose uptake ($mmol/mmol\ glc$)]],Table1[Flux in SC / glucose uptake ($mmol/mmol\ glc$)])</f>
        <v>1310.5</v>
      </c>
      <c r="H1636">
        <f>_xlfn.RANK.AVG(Table1[[#This Row],[Flux in RT / glucose uptake ($mmol/mmol\ glc$)]],Table1[Flux in RT / glucose uptake ($mmol/mmol\ glc$)])</f>
        <v>1290.5</v>
      </c>
      <c r="I1636" t="e">
        <f>LOG(Table1[[#This Row],[Flux in SC / glucose uptake ($mmol/mmol\ glc$)]])</f>
        <v>#NUM!</v>
      </c>
      <c r="J1636" t="e">
        <f>LOG(Table1[[#This Row],[Flux in RT / glucose uptake ($mmol/mmol\ glc$)]])</f>
        <v>#NUM!</v>
      </c>
    </row>
    <row r="1637" spans="1:10" x14ac:dyDescent="0.2">
      <c r="A1637" t="s">
        <v>1640</v>
      </c>
      <c r="B1637" t="s">
        <v>3114</v>
      </c>
      <c r="C1637">
        <v>0</v>
      </c>
      <c r="D1637">
        <v>0</v>
      </c>
      <c r="E1637">
        <f>ABS(Table1[[#This Row],[Flux in SC / glucose uptake ($mmol/mmol\ glc$)]]-Table1[[#This Row],[Flux in RT / glucose uptake ($mmol/mmol\ glc$)]])/SQRT(2)</f>
        <v>0</v>
      </c>
      <c r="F1637">
        <f>Table1[[#This Row],[distance from 45-degree line]]/MAX(Table1[[Flux in SC / glucose uptake ($mmol/mmol\ glc$)]:[Flux in RT / glucose uptake ($mmol/mmol\ glc$)]])</f>
        <v>0</v>
      </c>
      <c r="G1637">
        <f>_xlfn.RANK.AVG(Table1[[#This Row],[Flux in SC / glucose uptake ($mmol/mmol\ glc$)]],Table1[Flux in SC / glucose uptake ($mmol/mmol\ glc$)])</f>
        <v>1310.5</v>
      </c>
      <c r="H1637">
        <f>_xlfn.RANK.AVG(Table1[[#This Row],[Flux in RT / glucose uptake ($mmol/mmol\ glc$)]],Table1[Flux in RT / glucose uptake ($mmol/mmol\ glc$)])</f>
        <v>1290.5</v>
      </c>
      <c r="I1637" t="e">
        <f>LOG(Table1[[#This Row],[Flux in SC / glucose uptake ($mmol/mmol\ glc$)]])</f>
        <v>#NUM!</v>
      </c>
      <c r="J1637" t="e">
        <f>LOG(Table1[[#This Row],[Flux in RT / glucose uptake ($mmol/mmol\ glc$)]])</f>
        <v>#NUM!</v>
      </c>
    </row>
    <row r="1638" spans="1:10" x14ac:dyDescent="0.2">
      <c r="A1638" t="s">
        <v>1641</v>
      </c>
      <c r="B1638" t="s">
        <v>3114</v>
      </c>
      <c r="C1638">
        <v>8.9811760576676448E-4</v>
      </c>
      <c r="D1638">
        <v>4.6118741171011233E-3</v>
      </c>
      <c r="E1638">
        <f>ABS(Table1[[#This Row],[Flux in SC / glucose uptake ($mmol/mmol\ glc$)]]-Table1[[#This Row],[Flux in RT / glucose uptake ($mmol/mmol\ glc$)]])/SQRT(2)</f>
        <v>2.6260224128402203E-3</v>
      </c>
      <c r="F1638">
        <f>Table1[[#This Row],[distance from 45-degree line]]/MAX(Table1[[Flux in SC / glucose uptake ($mmol/mmol\ glc$)]:[Flux in RT / glucose uptake ($mmol/mmol\ glc$)]])</f>
        <v>1.4153961158735705E-4</v>
      </c>
      <c r="G1638">
        <f>_xlfn.RANK.AVG(Table1[[#This Row],[Flux in SC / glucose uptake ($mmol/mmol\ glc$)]],Table1[Flux in SC / glucose uptake ($mmol/mmol\ glc$)])</f>
        <v>219.5</v>
      </c>
      <c r="H1638">
        <f>_xlfn.RANK.AVG(Table1[[#This Row],[Flux in RT / glucose uptake ($mmol/mmol\ glc$)]],Table1[Flux in RT / glucose uptake ($mmol/mmol\ glc$)])</f>
        <v>223.5</v>
      </c>
      <c r="I1638">
        <f>LOG(Table1[[#This Row],[Flux in SC / glucose uptake ($mmol/mmol\ glc$)]])</f>
        <v>-3.0466667900684339</v>
      </c>
      <c r="J1638">
        <f>LOG(Table1[[#This Row],[Flux in RT / glucose uptake ($mmol/mmol\ glc$)]])</f>
        <v>-2.3361225554524609</v>
      </c>
    </row>
    <row r="1639" spans="1:10" x14ac:dyDescent="0.2">
      <c r="A1639" t="s">
        <v>1642</v>
      </c>
      <c r="B1639" t="s">
        <v>3142</v>
      </c>
      <c r="C1639">
        <v>0</v>
      </c>
      <c r="D1639">
        <v>0</v>
      </c>
      <c r="E1639">
        <f>ABS(Table1[[#This Row],[Flux in SC / glucose uptake ($mmol/mmol\ glc$)]]-Table1[[#This Row],[Flux in RT / glucose uptake ($mmol/mmol\ glc$)]])/SQRT(2)</f>
        <v>0</v>
      </c>
      <c r="F1639">
        <f>Table1[[#This Row],[distance from 45-degree line]]/MAX(Table1[[Flux in SC / glucose uptake ($mmol/mmol\ glc$)]:[Flux in RT / glucose uptake ($mmol/mmol\ glc$)]])</f>
        <v>0</v>
      </c>
      <c r="G1639">
        <f>_xlfn.RANK.AVG(Table1[[#This Row],[Flux in SC / glucose uptake ($mmol/mmol\ glc$)]],Table1[Flux in SC / glucose uptake ($mmol/mmol\ glc$)])</f>
        <v>1310.5</v>
      </c>
      <c r="H1639">
        <f>_xlfn.RANK.AVG(Table1[[#This Row],[Flux in RT / glucose uptake ($mmol/mmol\ glc$)]],Table1[Flux in RT / glucose uptake ($mmol/mmol\ glc$)])</f>
        <v>1290.5</v>
      </c>
      <c r="I1639" t="e">
        <f>LOG(Table1[[#This Row],[Flux in SC / glucose uptake ($mmol/mmol\ glc$)]])</f>
        <v>#NUM!</v>
      </c>
      <c r="J1639" t="e">
        <f>LOG(Table1[[#This Row],[Flux in RT / glucose uptake ($mmol/mmol\ glc$)]])</f>
        <v>#NUM!</v>
      </c>
    </row>
    <row r="1640" spans="1:10" x14ac:dyDescent="0.2">
      <c r="A1640" t="s">
        <v>1643</v>
      </c>
      <c r="B1640" t="s">
        <v>3132</v>
      </c>
      <c r="C1640">
        <v>3.6110321147682783E-9</v>
      </c>
      <c r="D1640">
        <v>2.2611138975743805E-2</v>
      </c>
      <c r="E1640">
        <f>ABS(Table1[[#This Row],[Flux in SC / glucose uptake ($mmol/mmol\ glc$)]]-Table1[[#This Row],[Flux in RT / glucose uptake ($mmol/mmol\ glc$)]])/SQRT(2)</f>
        <v>1.5988487146714594E-2</v>
      </c>
      <c r="F1640">
        <f>Table1[[#This Row],[distance from 45-degree line]]/MAX(Table1[[Flux in SC / glucose uptake ($mmol/mmol\ glc$)]:[Flux in RT / glucose uptake ($mmol/mmol\ glc$)]])</f>
        <v>8.6176121328981447E-4</v>
      </c>
      <c r="G1640">
        <f>_xlfn.RANK.AVG(Table1[[#This Row],[Flux in SC / glucose uptake ($mmol/mmol\ glc$)]],Table1[Flux in SC / glucose uptake ($mmol/mmol\ glc$)])</f>
        <v>310</v>
      </c>
      <c r="H1640">
        <f>_xlfn.RANK.AVG(Table1[[#This Row],[Flux in RT / glucose uptake ($mmol/mmol\ glc$)]],Table1[Flux in RT / glucose uptake ($mmol/mmol\ glc$)])</f>
        <v>136.5</v>
      </c>
      <c r="I1640">
        <f>LOG(Table1[[#This Row],[Flux in SC / glucose uptake ($mmol/mmol\ glc$)]])</f>
        <v>-8.4423686491515095</v>
      </c>
      <c r="J1640">
        <f>LOG(Table1[[#This Row],[Flux in RT / glucose uptake ($mmol/mmol\ glc$)]])</f>
        <v>-1.6456775606788778</v>
      </c>
    </row>
    <row r="1641" spans="1:10" x14ac:dyDescent="0.2">
      <c r="A1641" t="s">
        <v>1644</v>
      </c>
      <c r="B1641" t="s">
        <v>3148</v>
      </c>
      <c r="C1641">
        <v>0</v>
      </c>
      <c r="D1641">
        <v>0</v>
      </c>
      <c r="E1641">
        <f>ABS(Table1[[#This Row],[Flux in SC / glucose uptake ($mmol/mmol\ glc$)]]-Table1[[#This Row],[Flux in RT / glucose uptake ($mmol/mmol\ glc$)]])/SQRT(2)</f>
        <v>0</v>
      </c>
      <c r="F1641">
        <f>Table1[[#This Row],[distance from 45-degree line]]/MAX(Table1[[Flux in SC / glucose uptake ($mmol/mmol\ glc$)]:[Flux in RT / glucose uptake ($mmol/mmol\ glc$)]])</f>
        <v>0</v>
      </c>
      <c r="G1641">
        <f>_xlfn.RANK.AVG(Table1[[#This Row],[Flux in SC / glucose uptake ($mmol/mmol\ glc$)]],Table1[Flux in SC / glucose uptake ($mmol/mmol\ glc$)])</f>
        <v>1310.5</v>
      </c>
      <c r="H1641">
        <f>_xlfn.RANK.AVG(Table1[[#This Row],[Flux in RT / glucose uptake ($mmol/mmol\ glc$)]],Table1[Flux in RT / glucose uptake ($mmol/mmol\ glc$)])</f>
        <v>1290.5</v>
      </c>
      <c r="I1641" t="e">
        <f>LOG(Table1[[#This Row],[Flux in SC / glucose uptake ($mmol/mmol\ glc$)]])</f>
        <v>#NUM!</v>
      </c>
      <c r="J1641" t="e">
        <f>LOG(Table1[[#This Row],[Flux in RT / glucose uptake ($mmol/mmol\ glc$)]])</f>
        <v>#NUM!</v>
      </c>
    </row>
    <row r="1642" spans="1:10" x14ac:dyDescent="0.2">
      <c r="A1642" t="s">
        <v>1645</v>
      </c>
      <c r="B1642" t="s">
        <v>3114</v>
      </c>
      <c r="C1642">
        <v>0</v>
      </c>
      <c r="D1642">
        <v>0</v>
      </c>
      <c r="E1642">
        <f>ABS(Table1[[#This Row],[Flux in SC / glucose uptake ($mmol/mmol\ glc$)]]-Table1[[#This Row],[Flux in RT / glucose uptake ($mmol/mmol\ glc$)]])/SQRT(2)</f>
        <v>0</v>
      </c>
      <c r="F1642">
        <f>Table1[[#This Row],[distance from 45-degree line]]/MAX(Table1[[Flux in SC / glucose uptake ($mmol/mmol\ glc$)]:[Flux in RT / glucose uptake ($mmol/mmol\ glc$)]])</f>
        <v>0</v>
      </c>
      <c r="G1642">
        <f>_xlfn.RANK.AVG(Table1[[#This Row],[Flux in SC / glucose uptake ($mmol/mmol\ glc$)]],Table1[Flux in SC / glucose uptake ($mmol/mmol\ glc$)])</f>
        <v>1310.5</v>
      </c>
      <c r="H1642">
        <f>_xlfn.RANK.AVG(Table1[[#This Row],[Flux in RT / glucose uptake ($mmol/mmol\ glc$)]],Table1[Flux in RT / glucose uptake ($mmol/mmol\ glc$)])</f>
        <v>1290.5</v>
      </c>
      <c r="I1642" t="e">
        <f>LOG(Table1[[#This Row],[Flux in SC / glucose uptake ($mmol/mmol\ glc$)]])</f>
        <v>#NUM!</v>
      </c>
      <c r="J1642" t="e">
        <f>LOG(Table1[[#This Row],[Flux in RT / glucose uptake ($mmol/mmol\ glc$)]])</f>
        <v>#NUM!</v>
      </c>
    </row>
    <row r="1643" spans="1:10" x14ac:dyDescent="0.2">
      <c r="A1643" t="s">
        <v>1646</v>
      </c>
      <c r="B1643" t="s">
        <v>3197</v>
      </c>
      <c r="C1643">
        <v>0</v>
      </c>
      <c r="D1643">
        <v>0</v>
      </c>
      <c r="E1643">
        <f>ABS(Table1[[#This Row],[Flux in SC / glucose uptake ($mmol/mmol\ glc$)]]-Table1[[#This Row],[Flux in RT / glucose uptake ($mmol/mmol\ glc$)]])/SQRT(2)</f>
        <v>0</v>
      </c>
      <c r="F1643">
        <f>Table1[[#This Row],[distance from 45-degree line]]/MAX(Table1[[Flux in SC / glucose uptake ($mmol/mmol\ glc$)]:[Flux in RT / glucose uptake ($mmol/mmol\ glc$)]])</f>
        <v>0</v>
      </c>
      <c r="G1643">
        <f>_xlfn.RANK.AVG(Table1[[#This Row],[Flux in SC / glucose uptake ($mmol/mmol\ glc$)]],Table1[Flux in SC / glucose uptake ($mmol/mmol\ glc$)])</f>
        <v>1310.5</v>
      </c>
      <c r="H1643">
        <f>_xlfn.RANK.AVG(Table1[[#This Row],[Flux in RT / glucose uptake ($mmol/mmol\ glc$)]],Table1[Flux in RT / glucose uptake ($mmol/mmol\ glc$)])</f>
        <v>1290.5</v>
      </c>
      <c r="I1643" t="e">
        <f>LOG(Table1[[#This Row],[Flux in SC / glucose uptake ($mmol/mmol\ glc$)]])</f>
        <v>#NUM!</v>
      </c>
      <c r="J1643" t="e">
        <f>LOG(Table1[[#This Row],[Flux in RT / glucose uptake ($mmol/mmol\ glc$)]])</f>
        <v>#NUM!</v>
      </c>
    </row>
    <row r="1644" spans="1:10" x14ac:dyDescent="0.2">
      <c r="A1644" t="s">
        <v>1647</v>
      </c>
      <c r="B1644" t="s">
        <v>3197</v>
      </c>
      <c r="C1644">
        <v>1.5125121123419719E-4</v>
      </c>
      <c r="D1644">
        <v>9.3634137747721923E-4</v>
      </c>
      <c r="E1644">
        <f>ABS(Table1[[#This Row],[Flux in SC / glucose uptake ($mmol/mmol\ glc$)]]-Table1[[#This Row],[Flux in RT / glucose uptake ($mmol/mmol\ glc$)]])/SQRT(2)</f>
        <v>5.5514258039331479E-4</v>
      </c>
      <c r="F1644">
        <f>Table1[[#This Row],[distance from 45-degree line]]/MAX(Table1[[Flux in SC / glucose uptake ($mmol/mmol\ glc$)]:[Flux in RT / glucose uptake ($mmol/mmol\ glc$)]])</f>
        <v>2.9921551628909791E-5</v>
      </c>
      <c r="G1644">
        <f>_xlfn.RANK.AVG(Table1[[#This Row],[Flux in SC / glucose uptake ($mmol/mmol\ glc$)]],Table1[Flux in SC / glucose uptake ($mmol/mmol\ glc$)])</f>
        <v>261.5</v>
      </c>
      <c r="H1644">
        <f>_xlfn.RANK.AVG(Table1[[#This Row],[Flux in RT / glucose uptake ($mmol/mmol\ glc$)]],Table1[Flux in RT / glucose uptake ($mmol/mmol\ glc$)])</f>
        <v>257.5</v>
      </c>
      <c r="I1644">
        <f>LOG(Table1[[#This Row],[Flux in SC / glucose uptake ($mmol/mmol\ glc$)]])</f>
        <v>-3.8203011387897292</v>
      </c>
      <c r="J1644">
        <f>LOG(Table1[[#This Row],[Flux in RT / glucose uptake ($mmol/mmol\ glc$)]])</f>
        <v>-3.0285657844618776</v>
      </c>
    </row>
    <row r="1645" spans="1:10" x14ac:dyDescent="0.2">
      <c r="A1645" t="s">
        <v>1648</v>
      </c>
      <c r="B1645" t="s">
        <v>3114</v>
      </c>
      <c r="C1645">
        <v>0</v>
      </c>
      <c r="D1645">
        <v>0</v>
      </c>
      <c r="E1645">
        <f>ABS(Table1[[#This Row],[Flux in SC / glucose uptake ($mmol/mmol\ glc$)]]-Table1[[#This Row],[Flux in RT / glucose uptake ($mmol/mmol\ glc$)]])/SQRT(2)</f>
        <v>0</v>
      </c>
      <c r="F1645">
        <f>Table1[[#This Row],[distance from 45-degree line]]/MAX(Table1[[Flux in SC / glucose uptake ($mmol/mmol\ glc$)]:[Flux in RT / glucose uptake ($mmol/mmol\ glc$)]])</f>
        <v>0</v>
      </c>
      <c r="G1645">
        <f>_xlfn.RANK.AVG(Table1[[#This Row],[Flux in SC / glucose uptake ($mmol/mmol\ glc$)]],Table1[Flux in SC / glucose uptake ($mmol/mmol\ glc$)])</f>
        <v>1310.5</v>
      </c>
      <c r="H1645">
        <f>_xlfn.RANK.AVG(Table1[[#This Row],[Flux in RT / glucose uptake ($mmol/mmol\ glc$)]],Table1[Flux in RT / glucose uptake ($mmol/mmol\ glc$)])</f>
        <v>1290.5</v>
      </c>
      <c r="I1645" t="e">
        <f>LOG(Table1[[#This Row],[Flux in SC / glucose uptake ($mmol/mmol\ glc$)]])</f>
        <v>#NUM!</v>
      </c>
      <c r="J1645" t="e">
        <f>LOG(Table1[[#This Row],[Flux in RT / glucose uptake ($mmol/mmol\ glc$)]])</f>
        <v>#NUM!</v>
      </c>
    </row>
    <row r="1646" spans="1:10" x14ac:dyDescent="0.2">
      <c r="A1646" t="s">
        <v>1649</v>
      </c>
      <c r="B1646" t="s">
        <v>3114</v>
      </c>
      <c r="C1646">
        <v>0</v>
      </c>
      <c r="D1646">
        <v>0</v>
      </c>
      <c r="E1646">
        <f>ABS(Table1[[#This Row],[Flux in SC / glucose uptake ($mmol/mmol\ glc$)]]-Table1[[#This Row],[Flux in RT / glucose uptake ($mmol/mmol\ glc$)]])/SQRT(2)</f>
        <v>0</v>
      </c>
      <c r="F1646">
        <f>Table1[[#This Row],[distance from 45-degree line]]/MAX(Table1[[Flux in SC / glucose uptake ($mmol/mmol\ glc$)]:[Flux in RT / glucose uptake ($mmol/mmol\ glc$)]])</f>
        <v>0</v>
      </c>
      <c r="G1646">
        <f>_xlfn.RANK.AVG(Table1[[#This Row],[Flux in SC / glucose uptake ($mmol/mmol\ glc$)]],Table1[Flux in SC / glucose uptake ($mmol/mmol\ glc$)])</f>
        <v>1310.5</v>
      </c>
      <c r="H1646">
        <f>_xlfn.RANK.AVG(Table1[[#This Row],[Flux in RT / glucose uptake ($mmol/mmol\ glc$)]],Table1[Flux in RT / glucose uptake ($mmol/mmol\ glc$)])</f>
        <v>1290.5</v>
      </c>
      <c r="I1646" t="e">
        <f>LOG(Table1[[#This Row],[Flux in SC / glucose uptake ($mmol/mmol\ glc$)]])</f>
        <v>#NUM!</v>
      </c>
      <c r="J1646" t="e">
        <f>LOG(Table1[[#This Row],[Flux in RT / glucose uptake ($mmol/mmol\ glc$)]])</f>
        <v>#NUM!</v>
      </c>
    </row>
    <row r="1647" spans="1:10" x14ac:dyDescent="0.2">
      <c r="A1647" t="s">
        <v>1650</v>
      </c>
      <c r="B1647" t="s">
        <v>3121</v>
      </c>
      <c r="C1647">
        <v>0</v>
      </c>
      <c r="D1647">
        <v>0</v>
      </c>
      <c r="E1647">
        <f>ABS(Table1[[#This Row],[Flux in SC / glucose uptake ($mmol/mmol\ glc$)]]-Table1[[#This Row],[Flux in RT / glucose uptake ($mmol/mmol\ glc$)]])/SQRT(2)</f>
        <v>0</v>
      </c>
      <c r="F1647">
        <f>Table1[[#This Row],[distance from 45-degree line]]/MAX(Table1[[Flux in SC / glucose uptake ($mmol/mmol\ glc$)]:[Flux in RT / glucose uptake ($mmol/mmol\ glc$)]])</f>
        <v>0</v>
      </c>
      <c r="G1647">
        <f>_xlfn.RANK.AVG(Table1[[#This Row],[Flux in SC / glucose uptake ($mmol/mmol\ glc$)]],Table1[Flux in SC / glucose uptake ($mmol/mmol\ glc$)])</f>
        <v>1310.5</v>
      </c>
      <c r="H1647">
        <f>_xlfn.RANK.AVG(Table1[[#This Row],[Flux in RT / glucose uptake ($mmol/mmol\ glc$)]],Table1[Flux in RT / glucose uptake ($mmol/mmol\ glc$)])</f>
        <v>1290.5</v>
      </c>
      <c r="I1647" t="e">
        <f>LOG(Table1[[#This Row],[Flux in SC / glucose uptake ($mmol/mmol\ glc$)]])</f>
        <v>#NUM!</v>
      </c>
      <c r="J1647" t="e">
        <f>LOG(Table1[[#This Row],[Flux in RT / glucose uptake ($mmol/mmol\ glc$)]])</f>
        <v>#NUM!</v>
      </c>
    </row>
    <row r="1648" spans="1:10" x14ac:dyDescent="0.2">
      <c r="A1648" t="s">
        <v>1651</v>
      </c>
      <c r="B1648" t="s">
        <v>3114</v>
      </c>
      <c r="C1648">
        <v>0</v>
      </c>
      <c r="D1648">
        <v>0</v>
      </c>
      <c r="E1648">
        <f>ABS(Table1[[#This Row],[Flux in SC / glucose uptake ($mmol/mmol\ glc$)]]-Table1[[#This Row],[Flux in RT / glucose uptake ($mmol/mmol\ glc$)]])/SQRT(2)</f>
        <v>0</v>
      </c>
      <c r="F1648">
        <f>Table1[[#This Row],[distance from 45-degree line]]/MAX(Table1[[Flux in SC / glucose uptake ($mmol/mmol\ glc$)]:[Flux in RT / glucose uptake ($mmol/mmol\ glc$)]])</f>
        <v>0</v>
      </c>
      <c r="G1648">
        <f>_xlfn.RANK.AVG(Table1[[#This Row],[Flux in SC / glucose uptake ($mmol/mmol\ glc$)]],Table1[Flux in SC / glucose uptake ($mmol/mmol\ glc$)])</f>
        <v>1310.5</v>
      </c>
      <c r="H1648">
        <f>_xlfn.RANK.AVG(Table1[[#This Row],[Flux in RT / glucose uptake ($mmol/mmol\ glc$)]],Table1[Flux in RT / glucose uptake ($mmol/mmol\ glc$)])</f>
        <v>1290.5</v>
      </c>
      <c r="I1648" t="e">
        <f>LOG(Table1[[#This Row],[Flux in SC / glucose uptake ($mmol/mmol\ glc$)]])</f>
        <v>#NUM!</v>
      </c>
      <c r="J1648" t="e">
        <f>LOG(Table1[[#This Row],[Flux in RT / glucose uptake ($mmol/mmol\ glc$)]])</f>
        <v>#NUM!</v>
      </c>
    </row>
    <row r="1649" spans="1:10" x14ac:dyDescent="0.2">
      <c r="A1649" t="s">
        <v>1652</v>
      </c>
      <c r="B1649" t="s">
        <v>3114</v>
      </c>
      <c r="C1649">
        <v>1.3272604421223432E-6</v>
      </c>
      <c r="D1649">
        <v>6.8155417958323068E-6</v>
      </c>
      <c r="E1649">
        <f>ABS(Table1[[#This Row],[Flux in SC / glucose uptake ($mmol/mmol\ glc$)]]-Table1[[#This Row],[Flux in RT / glucose uptake ($mmol/mmol\ glc$)]])/SQRT(2)</f>
        <v>3.8808009622679996E-6</v>
      </c>
      <c r="F1649">
        <f>Table1[[#This Row],[distance from 45-degree line]]/MAX(Table1[[Flux in SC / glucose uptake ($mmol/mmol\ glc$)]:[Flux in RT / glucose uptake ($mmol/mmol\ glc$)]])</f>
        <v>2.0917074361645039E-7</v>
      </c>
      <c r="G1649">
        <f>_xlfn.RANK.AVG(Table1[[#This Row],[Flux in SC / glucose uptake ($mmol/mmol\ glc$)]],Table1[Flux in SC / glucose uptake ($mmol/mmol\ glc$)])</f>
        <v>287.5</v>
      </c>
      <c r="H1649">
        <f>_xlfn.RANK.AVG(Table1[[#This Row],[Flux in RT / glucose uptake ($mmol/mmol\ glc$)]],Table1[Flux in RT / glucose uptake ($mmol/mmol\ glc$)])</f>
        <v>283.5</v>
      </c>
      <c r="I1649">
        <f>LOG(Table1[[#This Row],[Flux in SC / glucose uptake ($mmol/mmol\ glc$)]])</f>
        <v>-5.8770438491939831</v>
      </c>
      <c r="J1649">
        <f>LOG(Table1[[#This Row],[Flux in RT / glucose uptake ($mmol/mmol\ glc$)]])</f>
        <v>-5.1664996145780098</v>
      </c>
    </row>
    <row r="1650" spans="1:10" x14ac:dyDescent="0.2">
      <c r="A1650" t="s">
        <v>1653</v>
      </c>
      <c r="B1650" t="s">
        <v>3114</v>
      </c>
      <c r="C1650">
        <v>0</v>
      </c>
      <c r="D1650">
        <v>0</v>
      </c>
      <c r="E1650">
        <f>ABS(Table1[[#This Row],[Flux in SC / glucose uptake ($mmol/mmol\ glc$)]]-Table1[[#This Row],[Flux in RT / glucose uptake ($mmol/mmol\ glc$)]])/SQRT(2)</f>
        <v>0</v>
      </c>
      <c r="F1650">
        <f>Table1[[#This Row],[distance from 45-degree line]]/MAX(Table1[[Flux in SC / glucose uptake ($mmol/mmol\ glc$)]:[Flux in RT / glucose uptake ($mmol/mmol\ glc$)]])</f>
        <v>0</v>
      </c>
      <c r="G1650">
        <f>_xlfn.RANK.AVG(Table1[[#This Row],[Flux in SC / glucose uptake ($mmol/mmol\ glc$)]],Table1[Flux in SC / glucose uptake ($mmol/mmol\ glc$)])</f>
        <v>1310.5</v>
      </c>
      <c r="H1650">
        <f>_xlfn.RANK.AVG(Table1[[#This Row],[Flux in RT / glucose uptake ($mmol/mmol\ glc$)]],Table1[Flux in RT / glucose uptake ($mmol/mmol\ glc$)])</f>
        <v>1290.5</v>
      </c>
      <c r="I1650" t="e">
        <f>LOG(Table1[[#This Row],[Flux in SC / glucose uptake ($mmol/mmol\ glc$)]])</f>
        <v>#NUM!</v>
      </c>
      <c r="J1650" t="e">
        <f>LOG(Table1[[#This Row],[Flux in RT / glucose uptake ($mmol/mmol\ glc$)]])</f>
        <v>#NUM!</v>
      </c>
    </row>
    <row r="1651" spans="1:10" x14ac:dyDescent="0.2">
      <c r="A1651" t="s">
        <v>1654</v>
      </c>
      <c r="B1651" t="s">
        <v>3148</v>
      </c>
      <c r="C1651">
        <v>0</v>
      </c>
      <c r="D1651">
        <v>0</v>
      </c>
      <c r="E1651">
        <f>ABS(Table1[[#This Row],[Flux in SC / glucose uptake ($mmol/mmol\ glc$)]]-Table1[[#This Row],[Flux in RT / glucose uptake ($mmol/mmol\ glc$)]])/SQRT(2)</f>
        <v>0</v>
      </c>
      <c r="F1651">
        <f>Table1[[#This Row],[distance from 45-degree line]]/MAX(Table1[[Flux in SC / glucose uptake ($mmol/mmol\ glc$)]:[Flux in RT / glucose uptake ($mmol/mmol\ glc$)]])</f>
        <v>0</v>
      </c>
      <c r="G1651">
        <f>_xlfn.RANK.AVG(Table1[[#This Row],[Flux in SC / glucose uptake ($mmol/mmol\ glc$)]],Table1[Flux in SC / glucose uptake ($mmol/mmol\ glc$)])</f>
        <v>1310.5</v>
      </c>
      <c r="H1651">
        <f>_xlfn.RANK.AVG(Table1[[#This Row],[Flux in RT / glucose uptake ($mmol/mmol\ glc$)]],Table1[Flux in RT / glucose uptake ($mmol/mmol\ glc$)])</f>
        <v>1290.5</v>
      </c>
      <c r="I1651" t="e">
        <f>LOG(Table1[[#This Row],[Flux in SC / glucose uptake ($mmol/mmol\ glc$)]])</f>
        <v>#NUM!</v>
      </c>
      <c r="J1651" t="e">
        <f>LOG(Table1[[#This Row],[Flux in RT / glucose uptake ($mmol/mmol\ glc$)]])</f>
        <v>#NUM!</v>
      </c>
    </row>
    <row r="1652" spans="1:10" x14ac:dyDescent="0.2">
      <c r="A1652" t="s">
        <v>1655</v>
      </c>
      <c r="B1652" t="s">
        <v>3148</v>
      </c>
      <c r="C1652">
        <v>0</v>
      </c>
      <c r="D1652">
        <v>0</v>
      </c>
      <c r="E1652">
        <f>ABS(Table1[[#This Row],[Flux in SC / glucose uptake ($mmol/mmol\ glc$)]]-Table1[[#This Row],[Flux in RT / glucose uptake ($mmol/mmol\ glc$)]])/SQRT(2)</f>
        <v>0</v>
      </c>
      <c r="F1652">
        <f>Table1[[#This Row],[distance from 45-degree line]]/MAX(Table1[[Flux in SC / glucose uptake ($mmol/mmol\ glc$)]:[Flux in RT / glucose uptake ($mmol/mmol\ glc$)]])</f>
        <v>0</v>
      </c>
      <c r="G1652">
        <f>_xlfn.RANK.AVG(Table1[[#This Row],[Flux in SC / glucose uptake ($mmol/mmol\ glc$)]],Table1[Flux in SC / glucose uptake ($mmol/mmol\ glc$)])</f>
        <v>1310.5</v>
      </c>
      <c r="H1652">
        <f>_xlfn.RANK.AVG(Table1[[#This Row],[Flux in RT / glucose uptake ($mmol/mmol\ glc$)]],Table1[Flux in RT / glucose uptake ($mmol/mmol\ glc$)])</f>
        <v>1290.5</v>
      </c>
      <c r="I1652" t="e">
        <f>LOG(Table1[[#This Row],[Flux in SC / glucose uptake ($mmol/mmol\ glc$)]])</f>
        <v>#NUM!</v>
      </c>
      <c r="J1652" t="e">
        <f>LOG(Table1[[#This Row],[Flux in RT / glucose uptake ($mmol/mmol\ glc$)]])</f>
        <v>#NUM!</v>
      </c>
    </row>
    <row r="1653" spans="1:10" x14ac:dyDescent="0.2">
      <c r="A1653" t="s">
        <v>1656</v>
      </c>
      <c r="B1653" t="s">
        <v>3151</v>
      </c>
      <c r="C1653">
        <v>7.8428214905978635E-2</v>
      </c>
      <c r="D1653">
        <v>0.62981482590133264</v>
      </c>
      <c r="E1653">
        <f>ABS(Table1[[#This Row],[Flux in SC / glucose uptake ($mmol/mmol\ glc$)]]-Table1[[#This Row],[Flux in RT / glucose uptake ($mmol/mmol\ glc$)]])/SQRT(2)</f>
        <v>0.38988921169028379</v>
      </c>
      <c r="F1653">
        <f>Table1[[#This Row],[distance from 45-degree line]]/MAX(Table1[[Flux in SC / glucose uptake ($mmol/mmol\ glc$)]:[Flux in RT / glucose uptake ($mmol/mmol\ glc$)]])</f>
        <v>2.1014583620806781E-2</v>
      </c>
      <c r="G1653">
        <f>_xlfn.RANK.AVG(Table1[[#This Row],[Flux in SC / glucose uptake ($mmol/mmol\ glc$)]],Table1[Flux in SC / glucose uptake ($mmol/mmol\ glc$)])</f>
        <v>39</v>
      </c>
      <c r="H1653">
        <f>_xlfn.RANK.AVG(Table1[[#This Row],[Flux in RT / glucose uptake ($mmol/mmol\ glc$)]],Table1[Flux in RT / glucose uptake ($mmol/mmol\ glc$)])</f>
        <v>32</v>
      </c>
      <c r="I1653">
        <f>LOG(Table1[[#This Row],[Flux in SC / glucose uptake ($mmol/mmol\ glc$)]])</f>
        <v>-1.105527669795543</v>
      </c>
      <c r="J1653">
        <f>LOG(Table1[[#This Row],[Flux in RT / glucose uptake ($mmol/mmol\ glc$)]])</f>
        <v>-0.20078712024543816</v>
      </c>
    </row>
    <row r="1654" spans="1:10" x14ac:dyDescent="0.2">
      <c r="A1654" t="s">
        <v>1657</v>
      </c>
      <c r="B1654" t="s">
        <v>3151</v>
      </c>
      <c r="C1654">
        <v>1.7725343863385555E-2</v>
      </c>
      <c r="D1654">
        <v>0.1708940826804124</v>
      </c>
      <c r="E1654">
        <f>ABS(Table1[[#This Row],[Flux in SC / glucose uptake ($mmol/mmol\ glc$)]]-Table1[[#This Row],[Flux in RT / glucose uptake ($mmol/mmol\ glc$)]])/SQRT(2)</f>
        <v>0.10830665388331083</v>
      </c>
      <c r="F1654">
        <f>Table1[[#This Row],[distance from 45-degree line]]/MAX(Table1[[Flux in SC / glucose uptake ($mmol/mmol\ glc$)]:[Flux in RT / glucose uptake ($mmol/mmol\ glc$)]])</f>
        <v>5.8376050592767207E-3</v>
      </c>
      <c r="G1654">
        <f>_xlfn.RANK.AVG(Table1[[#This Row],[Flux in SC / glucose uptake ($mmol/mmol\ glc$)]],Table1[Flux in SC / glucose uptake ($mmol/mmol\ glc$)])</f>
        <v>69</v>
      </c>
      <c r="H1654">
        <f>_xlfn.RANK.AVG(Table1[[#This Row],[Flux in RT / glucose uptake ($mmol/mmol\ glc$)]],Table1[Flux in RT / glucose uptake ($mmol/mmol\ glc$)])</f>
        <v>69</v>
      </c>
      <c r="I1654">
        <f>LOG(Table1[[#This Row],[Flux in SC / glucose uptake ($mmol/mmol\ glc$)]])</f>
        <v>-1.7514053309532274</v>
      </c>
      <c r="J1654">
        <f>LOG(Table1[[#This Row],[Flux in RT / glucose uptake ($mmol/mmol\ glc$)]])</f>
        <v>-0.76727297474992184</v>
      </c>
    </row>
    <row r="1655" spans="1:10" x14ac:dyDescent="0.2">
      <c r="A1655" t="s">
        <v>1658</v>
      </c>
      <c r="B1655" t="s">
        <v>3151</v>
      </c>
      <c r="C1655">
        <v>6.9401442590314458E-2</v>
      </c>
      <c r="D1655">
        <v>0.10569444286084323</v>
      </c>
      <c r="E1655">
        <f>ABS(Table1[[#This Row],[Flux in SC / glucose uptake ($mmol/mmol\ glc$)]]-Table1[[#This Row],[Flux in RT / glucose uptake ($mmol/mmol\ glc$)]])/SQRT(2)</f>
        <v>2.5663026600896095E-2</v>
      </c>
      <c r="F1655">
        <f>Table1[[#This Row],[distance from 45-degree line]]/MAX(Table1[[Flux in SC / glucose uptake ($mmol/mmol\ glc$)]:[Flux in RT / glucose uptake ($mmol/mmol\ glc$)]])</f>
        <v>1.3832078505827488E-3</v>
      </c>
      <c r="G1655">
        <f>_xlfn.RANK.AVG(Table1[[#This Row],[Flux in SC / glucose uptake ($mmol/mmol\ glc$)]],Table1[Flux in SC / glucose uptake ($mmol/mmol\ glc$)])</f>
        <v>43</v>
      </c>
      <c r="H1655">
        <f>_xlfn.RANK.AVG(Table1[[#This Row],[Flux in RT / glucose uptake ($mmol/mmol\ glc$)]],Table1[Flux in RT / glucose uptake ($mmol/mmol\ glc$)])</f>
        <v>88</v>
      </c>
      <c r="I1655">
        <f>LOG(Table1[[#This Row],[Flux in SC / glucose uptake ($mmol/mmol\ glc$)]])</f>
        <v>-1.1586315021315743</v>
      </c>
      <c r="J1655">
        <f>LOG(Table1[[#This Row],[Flux in RT / glucose uptake ($mmol/mmol\ glc$)]])</f>
        <v>-0.97594784616765329</v>
      </c>
    </row>
    <row r="1656" spans="1:10" x14ac:dyDescent="0.2">
      <c r="A1656" t="s">
        <v>1659</v>
      </c>
      <c r="B1656" t="s">
        <v>3151</v>
      </c>
      <c r="C1656">
        <v>1.7725343863385555E-2</v>
      </c>
      <c r="D1656">
        <v>0.1708940826804124</v>
      </c>
      <c r="E1656">
        <f>ABS(Table1[[#This Row],[Flux in SC / glucose uptake ($mmol/mmol\ glc$)]]-Table1[[#This Row],[Flux in RT / glucose uptake ($mmol/mmol\ glc$)]])/SQRT(2)</f>
        <v>0.10830665388331083</v>
      </c>
      <c r="F1656">
        <f>Table1[[#This Row],[distance from 45-degree line]]/MAX(Table1[[Flux in SC / glucose uptake ($mmol/mmol\ glc$)]:[Flux in RT / glucose uptake ($mmol/mmol\ glc$)]])</f>
        <v>5.8376050592767207E-3</v>
      </c>
      <c r="G1656">
        <f>_xlfn.RANK.AVG(Table1[[#This Row],[Flux in SC / glucose uptake ($mmol/mmol\ glc$)]],Table1[Flux in SC / glucose uptake ($mmol/mmol\ glc$)])</f>
        <v>69</v>
      </c>
      <c r="H1656">
        <f>_xlfn.RANK.AVG(Table1[[#This Row],[Flux in RT / glucose uptake ($mmol/mmol\ glc$)]],Table1[Flux in RT / glucose uptake ($mmol/mmol\ glc$)])</f>
        <v>69</v>
      </c>
      <c r="I1656">
        <f>LOG(Table1[[#This Row],[Flux in SC / glucose uptake ($mmol/mmol\ glc$)]])</f>
        <v>-1.7514053309532274</v>
      </c>
      <c r="J1656">
        <f>LOG(Table1[[#This Row],[Flux in RT / glucose uptake ($mmol/mmol\ glc$)]])</f>
        <v>-0.76727297474992184</v>
      </c>
    </row>
    <row r="1657" spans="1:10" x14ac:dyDescent="0.2">
      <c r="A1657" t="s">
        <v>1660</v>
      </c>
      <c r="B1657" t="s">
        <v>3151</v>
      </c>
      <c r="C1657">
        <v>9.0267723156641725E-3</v>
      </c>
      <c r="D1657">
        <v>0.52412038304048936</v>
      </c>
      <c r="E1657">
        <f>ABS(Table1[[#This Row],[Flux in SC / glucose uptake ($mmol/mmol\ glc$)]]-Table1[[#This Row],[Flux in RT / glucose uptake ($mmol/mmol\ glc$)]])/SQRT(2)</f>
        <v>0.36422618508938764</v>
      </c>
      <c r="F1657">
        <f>Table1[[#This Row],[distance from 45-degree line]]/MAX(Table1[[Flux in SC / glucose uptake ($mmol/mmol\ glc$)]:[Flux in RT / glucose uptake ($mmol/mmol\ glc$)]])</f>
        <v>1.963137577022403E-2</v>
      </c>
      <c r="G1657">
        <f>_xlfn.RANK.AVG(Table1[[#This Row],[Flux in SC / glucose uptake ($mmol/mmol\ glc$)]],Table1[Flux in SC / glucose uptake ($mmol/mmol\ glc$)])</f>
        <v>84</v>
      </c>
      <c r="H1657">
        <f>_xlfn.RANK.AVG(Table1[[#This Row],[Flux in RT / glucose uptake ($mmol/mmol\ glc$)]],Table1[Flux in RT / glucose uptake ($mmol/mmol\ glc$)])</f>
        <v>41</v>
      </c>
      <c r="I1657">
        <f>LOG(Table1[[#This Row],[Flux in SC / glucose uptake ($mmol/mmol\ glc$)]])</f>
        <v>-2.0444675117108249</v>
      </c>
      <c r="J1657">
        <f>LOG(Table1[[#This Row],[Flux in RT / glucose uptake ($mmol/mmol\ glc$)]])</f>
        <v>-0.28056895025757667</v>
      </c>
    </row>
    <row r="1658" spans="1:10" x14ac:dyDescent="0.2">
      <c r="A1658" t="s">
        <v>1661</v>
      </c>
      <c r="B1658" t="s">
        <v>3151</v>
      </c>
      <c r="C1658">
        <v>2.3159565131679882E-3</v>
      </c>
      <c r="D1658">
        <v>1.3573881135728216E-2</v>
      </c>
      <c r="E1658">
        <f>ABS(Table1[[#This Row],[Flux in SC / glucose uptake ($mmol/mmol\ glc$)]]-Table1[[#This Row],[Flux in RT / glucose uptake ($mmol/mmol\ glc$)]])/SQRT(2)</f>
        <v>7.9605548426993408E-3</v>
      </c>
      <c r="F1658">
        <f>Table1[[#This Row],[distance from 45-degree line]]/MAX(Table1[[Flux in SC / glucose uptake ($mmol/mmol\ glc$)]:[Flux in RT / glucose uptake ($mmol/mmol\ glc$)]])</f>
        <v>4.2906482250350644E-4</v>
      </c>
      <c r="G1658">
        <f>_xlfn.RANK.AVG(Table1[[#This Row],[Flux in SC / glucose uptake ($mmol/mmol\ glc$)]],Table1[Flux in SC / glucose uptake ($mmol/mmol\ glc$)])</f>
        <v>190.5</v>
      </c>
      <c r="H1658">
        <f>_xlfn.RANK.AVG(Table1[[#This Row],[Flux in RT / glucose uptake ($mmol/mmol\ glc$)]],Table1[Flux in RT / glucose uptake ($mmol/mmol\ glc$)])</f>
        <v>182.5</v>
      </c>
      <c r="I1658">
        <f>LOG(Table1[[#This Row],[Flux in SC / glucose uptake ($mmol/mmol\ glc$)]])</f>
        <v>-2.6352695996373861</v>
      </c>
      <c r="J1658">
        <f>LOG(Table1[[#This Row],[Flux in RT / glucose uptake ($mmol/mmol\ glc$)]])</f>
        <v>-1.86729595817412</v>
      </c>
    </row>
    <row r="1659" spans="1:10" x14ac:dyDescent="0.2">
      <c r="A1659" t="s">
        <v>1662</v>
      </c>
      <c r="B1659" t="s">
        <v>3180</v>
      </c>
      <c r="C1659">
        <v>0</v>
      </c>
      <c r="D1659">
        <v>0</v>
      </c>
      <c r="E1659">
        <f>ABS(Table1[[#This Row],[Flux in SC / glucose uptake ($mmol/mmol\ glc$)]]-Table1[[#This Row],[Flux in RT / glucose uptake ($mmol/mmol\ glc$)]])/SQRT(2)</f>
        <v>0</v>
      </c>
      <c r="F1659">
        <f>Table1[[#This Row],[distance from 45-degree line]]/MAX(Table1[[Flux in SC / glucose uptake ($mmol/mmol\ glc$)]:[Flux in RT / glucose uptake ($mmol/mmol\ glc$)]])</f>
        <v>0</v>
      </c>
      <c r="G1659">
        <f>_xlfn.RANK.AVG(Table1[[#This Row],[Flux in SC / glucose uptake ($mmol/mmol\ glc$)]],Table1[Flux in SC / glucose uptake ($mmol/mmol\ glc$)])</f>
        <v>1310.5</v>
      </c>
      <c r="H1659">
        <f>_xlfn.RANK.AVG(Table1[[#This Row],[Flux in RT / glucose uptake ($mmol/mmol\ glc$)]],Table1[Flux in RT / glucose uptake ($mmol/mmol\ glc$)])</f>
        <v>1290.5</v>
      </c>
      <c r="I1659" t="e">
        <f>LOG(Table1[[#This Row],[Flux in SC / glucose uptake ($mmol/mmol\ glc$)]])</f>
        <v>#NUM!</v>
      </c>
      <c r="J1659" t="e">
        <f>LOG(Table1[[#This Row],[Flux in RT / glucose uptake ($mmol/mmol\ glc$)]])</f>
        <v>#NUM!</v>
      </c>
    </row>
    <row r="1660" spans="1:10" x14ac:dyDescent="0.2">
      <c r="A1660" t="s">
        <v>1663</v>
      </c>
      <c r="B1660" t="s">
        <v>3148</v>
      </c>
      <c r="C1660">
        <v>0</v>
      </c>
      <c r="D1660">
        <v>0</v>
      </c>
      <c r="E1660">
        <f>ABS(Table1[[#This Row],[Flux in SC / glucose uptake ($mmol/mmol\ glc$)]]-Table1[[#This Row],[Flux in RT / glucose uptake ($mmol/mmol\ glc$)]])/SQRT(2)</f>
        <v>0</v>
      </c>
      <c r="F1660">
        <f>Table1[[#This Row],[distance from 45-degree line]]/MAX(Table1[[Flux in SC / glucose uptake ($mmol/mmol\ glc$)]:[Flux in RT / glucose uptake ($mmol/mmol\ glc$)]])</f>
        <v>0</v>
      </c>
      <c r="G1660">
        <f>_xlfn.RANK.AVG(Table1[[#This Row],[Flux in SC / glucose uptake ($mmol/mmol\ glc$)]],Table1[Flux in SC / glucose uptake ($mmol/mmol\ glc$)])</f>
        <v>1310.5</v>
      </c>
      <c r="H1660">
        <f>_xlfn.RANK.AVG(Table1[[#This Row],[Flux in RT / glucose uptake ($mmol/mmol\ glc$)]],Table1[Flux in RT / glucose uptake ($mmol/mmol\ glc$)])</f>
        <v>1290.5</v>
      </c>
      <c r="I1660" t="e">
        <f>LOG(Table1[[#This Row],[Flux in SC / glucose uptake ($mmol/mmol\ glc$)]])</f>
        <v>#NUM!</v>
      </c>
      <c r="J1660" t="e">
        <f>LOG(Table1[[#This Row],[Flux in RT / glucose uptake ($mmol/mmol\ glc$)]])</f>
        <v>#NUM!</v>
      </c>
    </row>
    <row r="1661" spans="1:10" x14ac:dyDescent="0.2">
      <c r="A1661" t="s">
        <v>1664</v>
      </c>
      <c r="B1661" t="s">
        <v>3173</v>
      </c>
      <c r="C1661">
        <v>0</v>
      </c>
      <c r="D1661">
        <v>0</v>
      </c>
      <c r="E1661">
        <f>ABS(Table1[[#This Row],[Flux in SC / glucose uptake ($mmol/mmol\ glc$)]]-Table1[[#This Row],[Flux in RT / glucose uptake ($mmol/mmol\ glc$)]])/SQRT(2)</f>
        <v>0</v>
      </c>
      <c r="F1661">
        <f>Table1[[#This Row],[distance from 45-degree line]]/MAX(Table1[[Flux in SC / glucose uptake ($mmol/mmol\ glc$)]:[Flux in RT / glucose uptake ($mmol/mmol\ glc$)]])</f>
        <v>0</v>
      </c>
      <c r="G1661">
        <f>_xlfn.RANK.AVG(Table1[[#This Row],[Flux in SC / glucose uptake ($mmol/mmol\ glc$)]],Table1[Flux in SC / glucose uptake ($mmol/mmol\ glc$)])</f>
        <v>1310.5</v>
      </c>
      <c r="H1661">
        <f>_xlfn.RANK.AVG(Table1[[#This Row],[Flux in RT / glucose uptake ($mmol/mmol\ glc$)]],Table1[Flux in RT / glucose uptake ($mmol/mmol\ glc$)])</f>
        <v>1290.5</v>
      </c>
      <c r="I1661" t="e">
        <f>LOG(Table1[[#This Row],[Flux in SC / glucose uptake ($mmol/mmol\ glc$)]])</f>
        <v>#NUM!</v>
      </c>
      <c r="J1661" t="e">
        <f>LOG(Table1[[#This Row],[Flux in RT / glucose uptake ($mmol/mmol\ glc$)]])</f>
        <v>#NUM!</v>
      </c>
    </row>
    <row r="1662" spans="1:10" x14ac:dyDescent="0.2">
      <c r="A1662" t="s">
        <v>1665</v>
      </c>
      <c r="B1662" t="s">
        <v>3173</v>
      </c>
      <c r="C1662">
        <v>0</v>
      </c>
      <c r="D1662">
        <v>0</v>
      </c>
      <c r="E1662">
        <f>ABS(Table1[[#This Row],[Flux in SC / glucose uptake ($mmol/mmol\ glc$)]]-Table1[[#This Row],[Flux in RT / glucose uptake ($mmol/mmol\ glc$)]])/SQRT(2)</f>
        <v>0</v>
      </c>
      <c r="F1662">
        <f>Table1[[#This Row],[distance from 45-degree line]]/MAX(Table1[[Flux in SC / glucose uptake ($mmol/mmol\ glc$)]:[Flux in RT / glucose uptake ($mmol/mmol\ glc$)]])</f>
        <v>0</v>
      </c>
      <c r="G1662">
        <f>_xlfn.RANK.AVG(Table1[[#This Row],[Flux in SC / glucose uptake ($mmol/mmol\ glc$)]],Table1[Flux in SC / glucose uptake ($mmol/mmol\ glc$)])</f>
        <v>1310.5</v>
      </c>
      <c r="H1662">
        <f>_xlfn.RANK.AVG(Table1[[#This Row],[Flux in RT / glucose uptake ($mmol/mmol\ glc$)]],Table1[Flux in RT / glucose uptake ($mmol/mmol\ glc$)])</f>
        <v>1290.5</v>
      </c>
      <c r="I1662" t="e">
        <f>LOG(Table1[[#This Row],[Flux in SC / glucose uptake ($mmol/mmol\ glc$)]])</f>
        <v>#NUM!</v>
      </c>
      <c r="J1662" t="e">
        <f>LOG(Table1[[#This Row],[Flux in RT / glucose uptake ($mmol/mmol\ glc$)]])</f>
        <v>#NUM!</v>
      </c>
    </row>
    <row r="1663" spans="1:10" x14ac:dyDescent="0.2">
      <c r="A1663" t="s">
        <v>1666</v>
      </c>
      <c r="B1663" t="s">
        <v>3114</v>
      </c>
      <c r="C1663">
        <v>0</v>
      </c>
      <c r="D1663">
        <v>0</v>
      </c>
      <c r="E1663">
        <f>ABS(Table1[[#This Row],[Flux in SC / glucose uptake ($mmol/mmol\ glc$)]]-Table1[[#This Row],[Flux in RT / glucose uptake ($mmol/mmol\ glc$)]])/SQRT(2)</f>
        <v>0</v>
      </c>
      <c r="F1663">
        <f>Table1[[#This Row],[distance from 45-degree line]]/MAX(Table1[[Flux in SC / glucose uptake ($mmol/mmol\ glc$)]:[Flux in RT / glucose uptake ($mmol/mmol\ glc$)]])</f>
        <v>0</v>
      </c>
      <c r="G1663">
        <f>_xlfn.RANK.AVG(Table1[[#This Row],[Flux in SC / glucose uptake ($mmol/mmol\ glc$)]],Table1[Flux in SC / glucose uptake ($mmol/mmol\ glc$)])</f>
        <v>1310.5</v>
      </c>
      <c r="H1663">
        <f>_xlfn.RANK.AVG(Table1[[#This Row],[Flux in RT / glucose uptake ($mmol/mmol\ glc$)]],Table1[Flux in RT / glucose uptake ($mmol/mmol\ glc$)])</f>
        <v>1290.5</v>
      </c>
      <c r="I1663" t="e">
        <f>LOG(Table1[[#This Row],[Flux in SC / glucose uptake ($mmol/mmol\ glc$)]])</f>
        <v>#NUM!</v>
      </c>
      <c r="J1663" t="e">
        <f>LOG(Table1[[#This Row],[Flux in RT / glucose uptake ($mmol/mmol\ glc$)]])</f>
        <v>#NUM!</v>
      </c>
    </row>
    <row r="1664" spans="1:10" x14ac:dyDescent="0.2">
      <c r="A1664" t="s">
        <v>1667</v>
      </c>
      <c r="B1664" t="s">
        <v>3150</v>
      </c>
      <c r="C1664">
        <v>0</v>
      </c>
      <c r="D1664">
        <v>0</v>
      </c>
      <c r="E1664">
        <f>ABS(Table1[[#This Row],[Flux in SC / glucose uptake ($mmol/mmol\ glc$)]]-Table1[[#This Row],[Flux in RT / glucose uptake ($mmol/mmol\ glc$)]])/SQRT(2)</f>
        <v>0</v>
      </c>
      <c r="F1664">
        <f>Table1[[#This Row],[distance from 45-degree line]]/MAX(Table1[[Flux in SC / glucose uptake ($mmol/mmol\ glc$)]:[Flux in RT / glucose uptake ($mmol/mmol\ glc$)]])</f>
        <v>0</v>
      </c>
      <c r="G1664">
        <f>_xlfn.RANK.AVG(Table1[[#This Row],[Flux in SC / glucose uptake ($mmol/mmol\ glc$)]],Table1[Flux in SC / glucose uptake ($mmol/mmol\ glc$)])</f>
        <v>1310.5</v>
      </c>
      <c r="H1664">
        <f>_xlfn.RANK.AVG(Table1[[#This Row],[Flux in RT / glucose uptake ($mmol/mmol\ glc$)]],Table1[Flux in RT / glucose uptake ($mmol/mmol\ glc$)])</f>
        <v>1290.5</v>
      </c>
      <c r="I1664" t="e">
        <f>LOG(Table1[[#This Row],[Flux in SC / glucose uptake ($mmol/mmol\ glc$)]])</f>
        <v>#NUM!</v>
      </c>
      <c r="J1664" t="e">
        <f>LOG(Table1[[#This Row],[Flux in RT / glucose uptake ($mmol/mmol\ glc$)]])</f>
        <v>#NUM!</v>
      </c>
    </row>
    <row r="1665" spans="1:10" x14ac:dyDescent="0.2">
      <c r="A1665" t="s">
        <v>1668</v>
      </c>
      <c r="B1665" t="s">
        <v>3163</v>
      </c>
      <c r="C1665">
        <v>0</v>
      </c>
      <c r="D1665">
        <v>2.6444121951567867</v>
      </c>
      <c r="E1665">
        <f>ABS(Table1[[#This Row],[Flux in SC / glucose uptake ($mmol/mmol\ glc$)]]-Table1[[#This Row],[Flux in RT / glucose uptake ($mmol/mmol\ glc$)]])/SQRT(2)</f>
        <v>1.8698817954477676</v>
      </c>
      <c r="F1665">
        <f>Table1[[#This Row],[distance from 45-degree line]]/MAX(Table1[[Flux in SC / glucose uptake ($mmol/mmol\ glc$)]:[Flux in RT / glucose uptake ($mmol/mmol\ glc$)]])</f>
        <v>0.10078449511620759</v>
      </c>
      <c r="G1665">
        <f>_xlfn.RANK.AVG(Table1[[#This Row],[Flux in SC / glucose uptake ($mmol/mmol\ glc$)]],Table1[Flux in SC / glucose uptake ($mmol/mmol\ glc$)])</f>
        <v>1310.5</v>
      </c>
      <c r="H1665">
        <f>_xlfn.RANK.AVG(Table1[[#This Row],[Flux in RT / glucose uptake ($mmol/mmol\ glc$)]],Table1[Flux in RT / glucose uptake ($mmol/mmol\ glc$)])</f>
        <v>14</v>
      </c>
      <c r="I1665" t="e">
        <f>LOG(Table1[[#This Row],[Flux in SC / glucose uptake ($mmol/mmol\ glc$)]])</f>
        <v>#NUM!</v>
      </c>
      <c r="J1665">
        <f>LOG(Table1[[#This Row],[Flux in RT / glucose uptake ($mmol/mmol\ glc$)]])</f>
        <v>0.422329151316444</v>
      </c>
    </row>
    <row r="1666" spans="1:10" x14ac:dyDescent="0.2">
      <c r="A1666" t="s">
        <v>1669</v>
      </c>
      <c r="B1666" t="s">
        <v>3158</v>
      </c>
      <c r="C1666">
        <v>0</v>
      </c>
      <c r="D1666">
        <v>0</v>
      </c>
      <c r="E1666">
        <f>ABS(Table1[[#This Row],[Flux in SC / glucose uptake ($mmol/mmol\ glc$)]]-Table1[[#This Row],[Flux in RT / glucose uptake ($mmol/mmol\ glc$)]])/SQRT(2)</f>
        <v>0</v>
      </c>
      <c r="F1666">
        <f>Table1[[#This Row],[distance from 45-degree line]]/MAX(Table1[[Flux in SC / glucose uptake ($mmol/mmol\ glc$)]:[Flux in RT / glucose uptake ($mmol/mmol\ glc$)]])</f>
        <v>0</v>
      </c>
      <c r="G1666">
        <f>_xlfn.RANK.AVG(Table1[[#This Row],[Flux in SC / glucose uptake ($mmol/mmol\ glc$)]],Table1[Flux in SC / glucose uptake ($mmol/mmol\ glc$)])</f>
        <v>1310.5</v>
      </c>
      <c r="H1666">
        <f>_xlfn.RANK.AVG(Table1[[#This Row],[Flux in RT / glucose uptake ($mmol/mmol\ glc$)]],Table1[Flux in RT / glucose uptake ($mmol/mmol\ glc$)])</f>
        <v>1290.5</v>
      </c>
      <c r="I1666" t="e">
        <f>LOG(Table1[[#This Row],[Flux in SC / glucose uptake ($mmol/mmol\ glc$)]])</f>
        <v>#NUM!</v>
      </c>
      <c r="J1666" t="e">
        <f>LOG(Table1[[#This Row],[Flux in RT / glucose uptake ($mmol/mmol\ glc$)]])</f>
        <v>#NUM!</v>
      </c>
    </row>
    <row r="1667" spans="1:10" x14ac:dyDescent="0.2">
      <c r="A1667" t="s">
        <v>1670</v>
      </c>
      <c r="B1667" t="s">
        <v>3158</v>
      </c>
      <c r="C1667">
        <v>0</v>
      </c>
      <c r="D1667">
        <v>0</v>
      </c>
      <c r="E1667">
        <f>ABS(Table1[[#This Row],[Flux in SC / glucose uptake ($mmol/mmol\ glc$)]]-Table1[[#This Row],[Flux in RT / glucose uptake ($mmol/mmol\ glc$)]])/SQRT(2)</f>
        <v>0</v>
      </c>
      <c r="F1667">
        <f>Table1[[#This Row],[distance from 45-degree line]]/MAX(Table1[[Flux in SC / glucose uptake ($mmol/mmol\ glc$)]:[Flux in RT / glucose uptake ($mmol/mmol\ glc$)]])</f>
        <v>0</v>
      </c>
      <c r="G1667">
        <f>_xlfn.RANK.AVG(Table1[[#This Row],[Flux in SC / glucose uptake ($mmol/mmol\ glc$)]],Table1[Flux in SC / glucose uptake ($mmol/mmol\ glc$)])</f>
        <v>1310.5</v>
      </c>
      <c r="H1667">
        <f>_xlfn.RANK.AVG(Table1[[#This Row],[Flux in RT / glucose uptake ($mmol/mmol\ glc$)]],Table1[Flux in RT / glucose uptake ($mmol/mmol\ glc$)])</f>
        <v>1290.5</v>
      </c>
      <c r="I1667" t="e">
        <f>LOG(Table1[[#This Row],[Flux in SC / glucose uptake ($mmol/mmol\ glc$)]])</f>
        <v>#NUM!</v>
      </c>
      <c r="J1667" t="e">
        <f>LOG(Table1[[#This Row],[Flux in RT / glucose uptake ($mmol/mmol\ glc$)]])</f>
        <v>#NUM!</v>
      </c>
    </row>
    <row r="1668" spans="1:10" x14ac:dyDescent="0.2">
      <c r="A1668" t="s">
        <v>1671</v>
      </c>
      <c r="B1668" t="s">
        <v>3163</v>
      </c>
      <c r="C1668">
        <v>0</v>
      </c>
      <c r="D1668">
        <v>2.6398725345918526</v>
      </c>
      <c r="E1668">
        <f>ABS(Table1[[#This Row],[Flux in SC / glucose uptake ($mmol/mmol\ glc$)]]-Table1[[#This Row],[Flux in RT / glucose uptake ($mmol/mmol\ glc$)]])/SQRT(2)</f>
        <v>1.8666717706780176</v>
      </c>
      <c r="F1668">
        <f>Table1[[#This Row],[distance from 45-degree line]]/MAX(Table1[[Flux in SC / glucose uptake ($mmol/mmol\ glc$)]:[Flux in RT / glucose uptake ($mmol/mmol\ glc$)]])</f>
        <v>0.10061147844396799</v>
      </c>
      <c r="G1668">
        <f>_xlfn.RANK.AVG(Table1[[#This Row],[Flux in SC / glucose uptake ($mmol/mmol\ glc$)]],Table1[Flux in SC / glucose uptake ($mmol/mmol\ glc$)])</f>
        <v>1310.5</v>
      </c>
      <c r="H1668">
        <f>_xlfn.RANK.AVG(Table1[[#This Row],[Flux in RT / glucose uptake ($mmol/mmol\ glc$)]],Table1[Flux in RT / glucose uptake ($mmol/mmol\ glc$)])</f>
        <v>15</v>
      </c>
      <c r="I1668" t="e">
        <f>LOG(Table1[[#This Row],[Flux in SC / glucose uptake ($mmol/mmol\ glc$)]])</f>
        <v>#NUM!</v>
      </c>
      <c r="J1668">
        <f>LOG(Table1[[#This Row],[Flux in RT / glucose uptake ($mmol/mmol\ glc$)]])</f>
        <v>0.42158295760474368</v>
      </c>
    </row>
    <row r="1669" spans="1:10" x14ac:dyDescent="0.2">
      <c r="A1669" t="s">
        <v>1672</v>
      </c>
      <c r="B1669" t="s">
        <v>3114</v>
      </c>
      <c r="C1669">
        <v>0</v>
      </c>
      <c r="D1669">
        <v>0</v>
      </c>
      <c r="E1669">
        <f>ABS(Table1[[#This Row],[Flux in SC / glucose uptake ($mmol/mmol\ glc$)]]-Table1[[#This Row],[Flux in RT / glucose uptake ($mmol/mmol\ glc$)]])/SQRT(2)</f>
        <v>0</v>
      </c>
      <c r="F1669">
        <f>Table1[[#This Row],[distance from 45-degree line]]/MAX(Table1[[Flux in SC / glucose uptake ($mmol/mmol\ glc$)]:[Flux in RT / glucose uptake ($mmol/mmol\ glc$)]])</f>
        <v>0</v>
      </c>
      <c r="G1669">
        <f>_xlfn.RANK.AVG(Table1[[#This Row],[Flux in SC / glucose uptake ($mmol/mmol\ glc$)]],Table1[Flux in SC / glucose uptake ($mmol/mmol\ glc$)])</f>
        <v>1310.5</v>
      </c>
      <c r="H1669">
        <f>_xlfn.RANK.AVG(Table1[[#This Row],[Flux in RT / glucose uptake ($mmol/mmol\ glc$)]],Table1[Flux in RT / glucose uptake ($mmol/mmol\ glc$)])</f>
        <v>1290.5</v>
      </c>
      <c r="I1669" t="e">
        <f>LOG(Table1[[#This Row],[Flux in SC / glucose uptake ($mmol/mmol\ glc$)]])</f>
        <v>#NUM!</v>
      </c>
      <c r="J1669" t="e">
        <f>LOG(Table1[[#This Row],[Flux in RT / glucose uptake ($mmol/mmol\ glc$)]])</f>
        <v>#NUM!</v>
      </c>
    </row>
    <row r="1670" spans="1:10" x14ac:dyDescent="0.2">
      <c r="A1670" t="s">
        <v>1673</v>
      </c>
      <c r="B1670" t="s">
        <v>3158</v>
      </c>
      <c r="C1670">
        <v>0</v>
      </c>
      <c r="D1670">
        <v>0</v>
      </c>
      <c r="E1670">
        <f>ABS(Table1[[#This Row],[Flux in SC / glucose uptake ($mmol/mmol\ glc$)]]-Table1[[#This Row],[Flux in RT / glucose uptake ($mmol/mmol\ glc$)]])/SQRT(2)</f>
        <v>0</v>
      </c>
      <c r="F1670">
        <f>Table1[[#This Row],[distance from 45-degree line]]/MAX(Table1[[Flux in SC / glucose uptake ($mmol/mmol\ glc$)]:[Flux in RT / glucose uptake ($mmol/mmol\ glc$)]])</f>
        <v>0</v>
      </c>
      <c r="G1670">
        <f>_xlfn.RANK.AVG(Table1[[#This Row],[Flux in SC / glucose uptake ($mmol/mmol\ glc$)]],Table1[Flux in SC / glucose uptake ($mmol/mmol\ glc$)])</f>
        <v>1310.5</v>
      </c>
      <c r="H1670">
        <f>_xlfn.RANK.AVG(Table1[[#This Row],[Flux in RT / glucose uptake ($mmol/mmol\ glc$)]],Table1[Flux in RT / glucose uptake ($mmol/mmol\ glc$)])</f>
        <v>1290.5</v>
      </c>
      <c r="I1670" t="e">
        <f>LOG(Table1[[#This Row],[Flux in SC / glucose uptake ($mmol/mmol\ glc$)]])</f>
        <v>#NUM!</v>
      </c>
      <c r="J1670" t="e">
        <f>LOG(Table1[[#This Row],[Flux in RT / glucose uptake ($mmol/mmol\ glc$)]])</f>
        <v>#NUM!</v>
      </c>
    </row>
    <row r="1671" spans="1:10" x14ac:dyDescent="0.2">
      <c r="A1671" t="s">
        <v>1674</v>
      </c>
      <c r="B1671" t="s">
        <v>3158</v>
      </c>
      <c r="C1671">
        <v>0</v>
      </c>
      <c r="D1671">
        <v>0</v>
      </c>
      <c r="E1671">
        <f>ABS(Table1[[#This Row],[Flux in SC / glucose uptake ($mmol/mmol\ glc$)]]-Table1[[#This Row],[Flux in RT / glucose uptake ($mmol/mmol\ glc$)]])/SQRT(2)</f>
        <v>0</v>
      </c>
      <c r="F1671">
        <f>Table1[[#This Row],[distance from 45-degree line]]/MAX(Table1[[Flux in SC / glucose uptake ($mmol/mmol\ glc$)]:[Flux in RT / glucose uptake ($mmol/mmol\ glc$)]])</f>
        <v>0</v>
      </c>
      <c r="G1671">
        <f>_xlfn.RANK.AVG(Table1[[#This Row],[Flux in SC / glucose uptake ($mmol/mmol\ glc$)]],Table1[Flux in SC / glucose uptake ($mmol/mmol\ glc$)])</f>
        <v>1310.5</v>
      </c>
      <c r="H1671">
        <f>_xlfn.RANK.AVG(Table1[[#This Row],[Flux in RT / glucose uptake ($mmol/mmol\ glc$)]],Table1[Flux in RT / glucose uptake ($mmol/mmol\ glc$)])</f>
        <v>1290.5</v>
      </c>
      <c r="I1671" t="e">
        <f>LOG(Table1[[#This Row],[Flux in SC / glucose uptake ($mmol/mmol\ glc$)]])</f>
        <v>#NUM!</v>
      </c>
      <c r="J1671" t="e">
        <f>LOG(Table1[[#This Row],[Flux in RT / glucose uptake ($mmol/mmol\ glc$)]])</f>
        <v>#NUM!</v>
      </c>
    </row>
    <row r="1672" spans="1:10" x14ac:dyDescent="0.2">
      <c r="A1672" t="s">
        <v>1675</v>
      </c>
      <c r="B1672" t="s">
        <v>3158</v>
      </c>
      <c r="C1672">
        <v>0</v>
      </c>
      <c r="D1672">
        <v>0</v>
      </c>
      <c r="E1672">
        <f>ABS(Table1[[#This Row],[Flux in SC / glucose uptake ($mmol/mmol\ glc$)]]-Table1[[#This Row],[Flux in RT / glucose uptake ($mmol/mmol\ glc$)]])/SQRT(2)</f>
        <v>0</v>
      </c>
      <c r="F1672">
        <f>Table1[[#This Row],[distance from 45-degree line]]/MAX(Table1[[Flux in SC / glucose uptake ($mmol/mmol\ glc$)]:[Flux in RT / glucose uptake ($mmol/mmol\ glc$)]])</f>
        <v>0</v>
      </c>
      <c r="G1672">
        <f>_xlfn.RANK.AVG(Table1[[#This Row],[Flux in SC / glucose uptake ($mmol/mmol\ glc$)]],Table1[Flux in SC / glucose uptake ($mmol/mmol\ glc$)])</f>
        <v>1310.5</v>
      </c>
      <c r="H1672">
        <f>_xlfn.RANK.AVG(Table1[[#This Row],[Flux in RT / glucose uptake ($mmol/mmol\ glc$)]],Table1[Flux in RT / glucose uptake ($mmol/mmol\ glc$)])</f>
        <v>1290.5</v>
      </c>
      <c r="I1672" t="e">
        <f>LOG(Table1[[#This Row],[Flux in SC / glucose uptake ($mmol/mmol\ glc$)]])</f>
        <v>#NUM!</v>
      </c>
      <c r="J1672" t="e">
        <f>LOG(Table1[[#This Row],[Flux in RT / glucose uptake ($mmol/mmol\ glc$)]])</f>
        <v>#NUM!</v>
      </c>
    </row>
    <row r="1673" spans="1:10" x14ac:dyDescent="0.2">
      <c r="A1673" t="s">
        <v>1676</v>
      </c>
      <c r="B1673" t="s">
        <v>3114</v>
      </c>
      <c r="C1673">
        <v>0</v>
      </c>
      <c r="D1673">
        <v>0</v>
      </c>
      <c r="E1673">
        <f>ABS(Table1[[#This Row],[Flux in SC / glucose uptake ($mmol/mmol\ glc$)]]-Table1[[#This Row],[Flux in RT / glucose uptake ($mmol/mmol\ glc$)]])/SQRT(2)</f>
        <v>0</v>
      </c>
      <c r="F1673">
        <f>Table1[[#This Row],[distance from 45-degree line]]/MAX(Table1[[Flux in SC / glucose uptake ($mmol/mmol\ glc$)]:[Flux in RT / glucose uptake ($mmol/mmol\ glc$)]])</f>
        <v>0</v>
      </c>
      <c r="G1673">
        <f>_xlfn.RANK.AVG(Table1[[#This Row],[Flux in SC / glucose uptake ($mmol/mmol\ glc$)]],Table1[Flux in SC / glucose uptake ($mmol/mmol\ glc$)])</f>
        <v>1310.5</v>
      </c>
      <c r="H1673">
        <f>_xlfn.RANK.AVG(Table1[[#This Row],[Flux in RT / glucose uptake ($mmol/mmol\ glc$)]],Table1[Flux in RT / glucose uptake ($mmol/mmol\ glc$)])</f>
        <v>1290.5</v>
      </c>
      <c r="I1673" t="e">
        <f>LOG(Table1[[#This Row],[Flux in SC / glucose uptake ($mmol/mmol\ glc$)]])</f>
        <v>#NUM!</v>
      </c>
      <c r="J1673" t="e">
        <f>LOG(Table1[[#This Row],[Flux in RT / glucose uptake ($mmol/mmol\ glc$)]])</f>
        <v>#NUM!</v>
      </c>
    </row>
    <row r="1674" spans="1:10" x14ac:dyDescent="0.2">
      <c r="A1674" t="s">
        <v>1677</v>
      </c>
      <c r="B1674" t="s">
        <v>3114</v>
      </c>
      <c r="C1674">
        <v>0</v>
      </c>
      <c r="D1674">
        <v>0</v>
      </c>
      <c r="E1674">
        <f>ABS(Table1[[#This Row],[Flux in SC / glucose uptake ($mmol/mmol\ glc$)]]-Table1[[#This Row],[Flux in RT / glucose uptake ($mmol/mmol\ glc$)]])/SQRT(2)</f>
        <v>0</v>
      </c>
      <c r="F1674">
        <f>Table1[[#This Row],[distance from 45-degree line]]/MAX(Table1[[Flux in SC / glucose uptake ($mmol/mmol\ glc$)]:[Flux in RT / glucose uptake ($mmol/mmol\ glc$)]])</f>
        <v>0</v>
      </c>
      <c r="G1674">
        <f>_xlfn.RANK.AVG(Table1[[#This Row],[Flux in SC / glucose uptake ($mmol/mmol\ glc$)]],Table1[Flux in SC / glucose uptake ($mmol/mmol\ glc$)])</f>
        <v>1310.5</v>
      </c>
      <c r="H1674">
        <f>_xlfn.RANK.AVG(Table1[[#This Row],[Flux in RT / glucose uptake ($mmol/mmol\ glc$)]],Table1[Flux in RT / glucose uptake ($mmol/mmol\ glc$)])</f>
        <v>1290.5</v>
      </c>
      <c r="I1674" t="e">
        <f>LOG(Table1[[#This Row],[Flux in SC / glucose uptake ($mmol/mmol\ glc$)]])</f>
        <v>#NUM!</v>
      </c>
      <c r="J1674" t="e">
        <f>LOG(Table1[[#This Row],[Flux in RT / glucose uptake ($mmol/mmol\ glc$)]])</f>
        <v>#NUM!</v>
      </c>
    </row>
    <row r="1675" spans="1:10" x14ac:dyDescent="0.2">
      <c r="A1675" t="s">
        <v>1678</v>
      </c>
      <c r="B1675" t="s">
        <v>3114</v>
      </c>
      <c r="C1675">
        <v>0</v>
      </c>
      <c r="D1675">
        <v>0</v>
      </c>
      <c r="E1675">
        <f>ABS(Table1[[#This Row],[Flux in SC / glucose uptake ($mmol/mmol\ glc$)]]-Table1[[#This Row],[Flux in RT / glucose uptake ($mmol/mmol\ glc$)]])/SQRT(2)</f>
        <v>0</v>
      </c>
      <c r="F1675">
        <f>Table1[[#This Row],[distance from 45-degree line]]/MAX(Table1[[Flux in SC / glucose uptake ($mmol/mmol\ glc$)]:[Flux in RT / glucose uptake ($mmol/mmol\ glc$)]])</f>
        <v>0</v>
      </c>
      <c r="G1675">
        <f>_xlfn.RANK.AVG(Table1[[#This Row],[Flux in SC / glucose uptake ($mmol/mmol\ glc$)]],Table1[Flux in SC / glucose uptake ($mmol/mmol\ glc$)])</f>
        <v>1310.5</v>
      </c>
      <c r="H1675">
        <f>_xlfn.RANK.AVG(Table1[[#This Row],[Flux in RT / glucose uptake ($mmol/mmol\ glc$)]],Table1[Flux in RT / glucose uptake ($mmol/mmol\ glc$)])</f>
        <v>1290.5</v>
      </c>
      <c r="I1675" t="e">
        <f>LOG(Table1[[#This Row],[Flux in SC / glucose uptake ($mmol/mmol\ glc$)]])</f>
        <v>#NUM!</v>
      </c>
      <c r="J1675" t="e">
        <f>LOG(Table1[[#This Row],[Flux in RT / glucose uptake ($mmol/mmol\ glc$)]])</f>
        <v>#NUM!</v>
      </c>
    </row>
    <row r="1676" spans="1:10" x14ac:dyDescent="0.2">
      <c r="A1676" t="s">
        <v>1679</v>
      </c>
      <c r="B1676" t="s">
        <v>3114</v>
      </c>
      <c r="C1676">
        <v>0</v>
      </c>
      <c r="D1676">
        <v>0</v>
      </c>
      <c r="E1676">
        <f>ABS(Table1[[#This Row],[Flux in SC / glucose uptake ($mmol/mmol\ glc$)]]-Table1[[#This Row],[Flux in RT / glucose uptake ($mmol/mmol\ glc$)]])/SQRT(2)</f>
        <v>0</v>
      </c>
      <c r="F1676">
        <f>Table1[[#This Row],[distance from 45-degree line]]/MAX(Table1[[Flux in SC / glucose uptake ($mmol/mmol\ glc$)]:[Flux in RT / glucose uptake ($mmol/mmol\ glc$)]])</f>
        <v>0</v>
      </c>
      <c r="G1676">
        <f>_xlfn.RANK.AVG(Table1[[#This Row],[Flux in SC / glucose uptake ($mmol/mmol\ glc$)]],Table1[Flux in SC / glucose uptake ($mmol/mmol\ glc$)])</f>
        <v>1310.5</v>
      </c>
      <c r="H1676">
        <f>_xlfn.RANK.AVG(Table1[[#This Row],[Flux in RT / glucose uptake ($mmol/mmol\ glc$)]],Table1[Flux in RT / glucose uptake ($mmol/mmol\ glc$)])</f>
        <v>1290.5</v>
      </c>
      <c r="I1676" t="e">
        <f>LOG(Table1[[#This Row],[Flux in SC / glucose uptake ($mmol/mmol\ glc$)]])</f>
        <v>#NUM!</v>
      </c>
      <c r="J1676" t="e">
        <f>LOG(Table1[[#This Row],[Flux in RT / glucose uptake ($mmol/mmol\ glc$)]])</f>
        <v>#NUM!</v>
      </c>
    </row>
    <row r="1677" spans="1:10" x14ac:dyDescent="0.2">
      <c r="A1677" t="s">
        <v>1680</v>
      </c>
      <c r="B1677" t="s">
        <v>3114</v>
      </c>
      <c r="C1677">
        <v>0</v>
      </c>
      <c r="D1677">
        <v>0</v>
      </c>
      <c r="E1677">
        <f>ABS(Table1[[#This Row],[Flux in SC / glucose uptake ($mmol/mmol\ glc$)]]-Table1[[#This Row],[Flux in RT / glucose uptake ($mmol/mmol\ glc$)]])/SQRT(2)</f>
        <v>0</v>
      </c>
      <c r="F1677">
        <f>Table1[[#This Row],[distance from 45-degree line]]/MAX(Table1[[Flux in SC / glucose uptake ($mmol/mmol\ glc$)]:[Flux in RT / glucose uptake ($mmol/mmol\ glc$)]])</f>
        <v>0</v>
      </c>
      <c r="G1677">
        <f>_xlfn.RANK.AVG(Table1[[#This Row],[Flux in SC / glucose uptake ($mmol/mmol\ glc$)]],Table1[Flux in SC / glucose uptake ($mmol/mmol\ glc$)])</f>
        <v>1310.5</v>
      </c>
      <c r="H1677">
        <f>_xlfn.RANK.AVG(Table1[[#This Row],[Flux in RT / glucose uptake ($mmol/mmol\ glc$)]],Table1[Flux in RT / glucose uptake ($mmol/mmol\ glc$)])</f>
        <v>1290.5</v>
      </c>
      <c r="I1677" t="e">
        <f>LOG(Table1[[#This Row],[Flux in SC / glucose uptake ($mmol/mmol\ glc$)]])</f>
        <v>#NUM!</v>
      </c>
      <c r="J1677" t="e">
        <f>LOG(Table1[[#This Row],[Flux in RT / glucose uptake ($mmol/mmol\ glc$)]])</f>
        <v>#NUM!</v>
      </c>
    </row>
    <row r="1678" spans="1:10" x14ac:dyDescent="0.2">
      <c r="A1678" t="s">
        <v>1681</v>
      </c>
      <c r="B1678" t="s">
        <v>3114</v>
      </c>
      <c r="C1678">
        <v>0</v>
      </c>
      <c r="D1678">
        <v>0</v>
      </c>
      <c r="E1678">
        <f>ABS(Table1[[#This Row],[Flux in SC / glucose uptake ($mmol/mmol\ glc$)]]-Table1[[#This Row],[Flux in RT / glucose uptake ($mmol/mmol\ glc$)]])/SQRT(2)</f>
        <v>0</v>
      </c>
      <c r="F1678">
        <f>Table1[[#This Row],[distance from 45-degree line]]/MAX(Table1[[Flux in SC / glucose uptake ($mmol/mmol\ glc$)]:[Flux in RT / glucose uptake ($mmol/mmol\ glc$)]])</f>
        <v>0</v>
      </c>
      <c r="G1678">
        <f>_xlfn.RANK.AVG(Table1[[#This Row],[Flux in SC / glucose uptake ($mmol/mmol\ glc$)]],Table1[Flux in SC / glucose uptake ($mmol/mmol\ glc$)])</f>
        <v>1310.5</v>
      </c>
      <c r="H1678">
        <f>_xlfn.RANK.AVG(Table1[[#This Row],[Flux in RT / glucose uptake ($mmol/mmol\ glc$)]],Table1[Flux in RT / glucose uptake ($mmol/mmol\ glc$)])</f>
        <v>1290.5</v>
      </c>
      <c r="I1678" t="e">
        <f>LOG(Table1[[#This Row],[Flux in SC / glucose uptake ($mmol/mmol\ glc$)]])</f>
        <v>#NUM!</v>
      </c>
      <c r="J1678" t="e">
        <f>LOG(Table1[[#This Row],[Flux in RT / glucose uptake ($mmol/mmol\ glc$)]])</f>
        <v>#NUM!</v>
      </c>
    </row>
    <row r="1679" spans="1:10" x14ac:dyDescent="0.2">
      <c r="A1679" t="s">
        <v>1682</v>
      </c>
      <c r="B1679" t="s">
        <v>3114</v>
      </c>
      <c r="C1679">
        <v>0</v>
      </c>
      <c r="D1679">
        <v>0</v>
      </c>
      <c r="E1679">
        <f>ABS(Table1[[#This Row],[Flux in SC / glucose uptake ($mmol/mmol\ glc$)]]-Table1[[#This Row],[Flux in RT / glucose uptake ($mmol/mmol\ glc$)]])/SQRT(2)</f>
        <v>0</v>
      </c>
      <c r="F1679">
        <f>Table1[[#This Row],[distance from 45-degree line]]/MAX(Table1[[Flux in SC / glucose uptake ($mmol/mmol\ glc$)]:[Flux in RT / glucose uptake ($mmol/mmol\ glc$)]])</f>
        <v>0</v>
      </c>
      <c r="G1679">
        <f>_xlfn.RANK.AVG(Table1[[#This Row],[Flux in SC / glucose uptake ($mmol/mmol\ glc$)]],Table1[Flux in SC / glucose uptake ($mmol/mmol\ glc$)])</f>
        <v>1310.5</v>
      </c>
      <c r="H1679">
        <f>_xlfn.RANK.AVG(Table1[[#This Row],[Flux in RT / glucose uptake ($mmol/mmol\ glc$)]],Table1[Flux in RT / glucose uptake ($mmol/mmol\ glc$)])</f>
        <v>1290.5</v>
      </c>
      <c r="I1679" t="e">
        <f>LOG(Table1[[#This Row],[Flux in SC / glucose uptake ($mmol/mmol\ glc$)]])</f>
        <v>#NUM!</v>
      </c>
      <c r="J1679" t="e">
        <f>LOG(Table1[[#This Row],[Flux in RT / glucose uptake ($mmol/mmol\ glc$)]])</f>
        <v>#NUM!</v>
      </c>
    </row>
    <row r="1680" spans="1:10" x14ac:dyDescent="0.2">
      <c r="A1680" t="s">
        <v>1683</v>
      </c>
      <c r="B1680" t="s">
        <v>3114</v>
      </c>
      <c r="C1680">
        <v>0</v>
      </c>
      <c r="D1680">
        <v>0</v>
      </c>
      <c r="E1680">
        <f>ABS(Table1[[#This Row],[Flux in SC / glucose uptake ($mmol/mmol\ glc$)]]-Table1[[#This Row],[Flux in RT / glucose uptake ($mmol/mmol\ glc$)]])/SQRT(2)</f>
        <v>0</v>
      </c>
      <c r="F1680">
        <f>Table1[[#This Row],[distance from 45-degree line]]/MAX(Table1[[Flux in SC / glucose uptake ($mmol/mmol\ glc$)]:[Flux in RT / glucose uptake ($mmol/mmol\ glc$)]])</f>
        <v>0</v>
      </c>
      <c r="G1680">
        <f>_xlfn.RANK.AVG(Table1[[#This Row],[Flux in SC / glucose uptake ($mmol/mmol\ glc$)]],Table1[Flux in SC / glucose uptake ($mmol/mmol\ glc$)])</f>
        <v>1310.5</v>
      </c>
      <c r="H1680">
        <f>_xlfn.RANK.AVG(Table1[[#This Row],[Flux in RT / glucose uptake ($mmol/mmol\ glc$)]],Table1[Flux in RT / glucose uptake ($mmol/mmol\ glc$)])</f>
        <v>1290.5</v>
      </c>
      <c r="I1680" t="e">
        <f>LOG(Table1[[#This Row],[Flux in SC / glucose uptake ($mmol/mmol\ glc$)]])</f>
        <v>#NUM!</v>
      </c>
      <c r="J1680" t="e">
        <f>LOG(Table1[[#This Row],[Flux in RT / glucose uptake ($mmol/mmol\ glc$)]])</f>
        <v>#NUM!</v>
      </c>
    </row>
    <row r="1681" spans="1:10" x14ac:dyDescent="0.2">
      <c r="A1681" t="s">
        <v>1684</v>
      </c>
      <c r="B1681" t="s">
        <v>3114</v>
      </c>
      <c r="C1681">
        <v>0</v>
      </c>
      <c r="D1681">
        <v>0</v>
      </c>
      <c r="E1681">
        <f>ABS(Table1[[#This Row],[Flux in SC / glucose uptake ($mmol/mmol\ glc$)]]-Table1[[#This Row],[Flux in RT / glucose uptake ($mmol/mmol\ glc$)]])/SQRT(2)</f>
        <v>0</v>
      </c>
      <c r="F1681">
        <f>Table1[[#This Row],[distance from 45-degree line]]/MAX(Table1[[Flux in SC / glucose uptake ($mmol/mmol\ glc$)]:[Flux in RT / glucose uptake ($mmol/mmol\ glc$)]])</f>
        <v>0</v>
      </c>
      <c r="G1681">
        <f>_xlfn.RANK.AVG(Table1[[#This Row],[Flux in SC / glucose uptake ($mmol/mmol\ glc$)]],Table1[Flux in SC / glucose uptake ($mmol/mmol\ glc$)])</f>
        <v>1310.5</v>
      </c>
      <c r="H1681">
        <f>_xlfn.RANK.AVG(Table1[[#This Row],[Flux in RT / glucose uptake ($mmol/mmol\ glc$)]],Table1[Flux in RT / glucose uptake ($mmol/mmol\ glc$)])</f>
        <v>1290.5</v>
      </c>
      <c r="I1681" t="e">
        <f>LOG(Table1[[#This Row],[Flux in SC / glucose uptake ($mmol/mmol\ glc$)]])</f>
        <v>#NUM!</v>
      </c>
      <c r="J1681" t="e">
        <f>LOG(Table1[[#This Row],[Flux in RT / glucose uptake ($mmol/mmol\ glc$)]])</f>
        <v>#NUM!</v>
      </c>
    </row>
    <row r="1682" spans="1:10" x14ac:dyDescent="0.2">
      <c r="A1682" t="s">
        <v>1685</v>
      </c>
      <c r="B1682" t="s">
        <v>3158</v>
      </c>
      <c r="C1682">
        <v>0</v>
      </c>
      <c r="D1682">
        <v>0</v>
      </c>
      <c r="E1682">
        <f>ABS(Table1[[#This Row],[Flux in SC / glucose uptake ($mmol/mmol\ glc$)]]-Table1[[#This Row],[Flux in RT / glucose uptake ($mmol/mmol\ glc$)]])/SQRT(2)</f>
        <v>0</v>
      </c>
      <c r="F1682">
        <f>Table1[[#This Row],[distance from 45-degree line]]/MAX(Table1[[Flux in SC / glucose uptake ($mmol/mmol\ glc$)]:[Flux in RT / glucose uptake ($mmol/mmol\ glc$)]])</f>
        <v>0</v>
      </c>
      <c r="G1682">
        <f>_xlfn.RANK.AVG(Table1[[#This Row],[Flux in SC / glucose uptake ($mmol/mmol\ glc$)]],Table1[Flux in SC / glucose uptake ($mmol/mmol\ glc$)])</f>
        <v>1310.5</v>
      </c>
      <c r="H1682">
        <f>_xlfn.RANK.AVG(Table1[[#This Row],[Flux in RT / glucose uptake ($mmol/mmol\ glc$)]],Table1[Flux in RT / glucose uptake ($mmol/mmol\ glc$)])</f>
        <v>1290.5</v>
      </c>
      <c r="I1682" t="e">
        <f>LOG(Table1[[#This Row],[Flux in SC / glucose uptake ($mmol/mmol\ glc$)]])</f>
        <v>#NUM!</v>
      </c>
      <c r="J1682" t="e">
        <f>LOG(Table1[[#This Row],[Flux in RT / glucose uptake ($mmol/mmol\ glc$)]])</f>
        <v>#NUM!</v>
      </c>
    </row>
    <row r="1683" spans="1:10" x14ac:dyDescent="0.2">
      <c r="A1683" t="s">
        <v>1686</v>
      </c>
      <c r="B1683" t="s">
        <v>3158</v>
      </c>
      <c r="C1683">
        <v>0</v>
      </c>
      <c r="D1683">
        <v>0</v>
      </c>
      <c r="E1683">
        <f>ABS(Table1[[#This Row],[Flux in SC / glucose uptake ($mmol/mmol\ glc$)]]-Table1[[#This Row],[Flux in RT / glucose uptake ($mmol/mmol\ glc$)]])/SQRT(2)</f>
        <v>0</v>
      </c>
      <c r="F1683">
        <f>Table1[[#This Row],[distance from 45-degree line]]/MAX(Table1[[Flux in SC / glucose uptake ($mmol/mmol\ glc$)]:[Flux in RT / glucose uptake ($mmol/mmol\ glc$)]])</f>
        <v>0</v>
      </c>
      <c r="G1683">
        <f>_xlfn.RANK.AVG(Table1[[#This Row],[Flux in SC / glucose uptake ($mmol/mmol\ glc$)]],Table1[Flux in SC / glucose uptake ($mmol/mmol\ glc$)])</f>
        <v>1310.5</v>
      </c>
      <c r="H1683">
        <f>_xlfn.RANK.AVG(Table1[[#This Row],[Flux in RT / glucose uptake ($mmol/mmol\ glc$)]],Table1[Flux in RT / glucose uptake ($mmol/mmol\ glc$)])</f>
        <v>1290.5</v>
      </c>
      <c r="I1683" t="e">
        <f>LOG(Table1[[#This Row],[Flux in SC / glucose uptake ($mmol/mmol\ glc$)]])</f>
        <v>#NUM!</v>
      </c>
      <c r="J1683" t="e">
        <f>LOG(Table1[[#This Row],[Flux in RT / glucose uptake ($mmol/mmol\ glc$)]])</f>
        <v>#NUM!</v>
      </c>
    </row>
    <row r="1684" spans="1:10" x14ac:dyDescent="0.2">
      <c r="A1684" t="s">
        <v>1687</v>
      </c>
      <c r="B1684" t="s">
        <v>3114</v>
      </c>
      <c r="C1684">
        <v>0</v>
      </c>
      <c r="D1684">
        <v>0</v>
      </c>
      <c r="E1684">
        <f>ABS(Table1[[#This Row],[Flux in SC / glucose uptake ($mmol/mmol\ glc$)]]-Table1[[#This Row],[Flux in RT / glucose uptake ($mmol/mmol\ glc$)]])/SQRT(2)</f>
        <v>0</v>
      </c>
      <c r="F1684">
        <f>Table1[[#This Row],[distance from 45-degree line]]/MAX(Table1[[Flux in SC / glucose uptake ($mmol/mmol\ glc$)]:[Flux in RT / glucose uptake ($mmol/mmol\ glc$)]])</f>
        <v>0</v>
      </c>
      <c r="G1684">
        <f>_xlfn.RANK.AVG(Table1[[#This Row],[Flux in SC / glucose uptake ($mmol/mmol\ glc$)]],Table1[Flux in SC / glucose uptake ($mmol/mmol\ glc$)])</f>
        <v>1310.5</v>
      </c>
      <c r="H1684">
        <f>_xlfn.RANK.AVG(Table1[[#This Row],[Flux in RT / glucose uptake ($mmol/mmol\ glc$)]],Table1[Flux in RT / glucose uptake ($mmol/mmol\ glc$)])</f>
        <v>1290.5</v>
      </c>
      <c r="I1684" t="e">
        <f>LOG(Table1[[#This Row],[Flux in SC / glucose uptake ($mmol/mmol\ glc$)]])</f>
        <v>#NUM!</v>
      </c>
      <c r="J1684" t="e">
        <f>LOG(Table1[[#This Row],[Flux in RT / glucose uptake ($mmol/mmol\ glc$)]])</f>
        <v>#NUM!</v>
      </c>
    </row>
    <row r="1685" spans="1:10" x14ac:dyDescent="0.2">
      <c r="A1685" t="s">
        <v>1688</v>
      </c>
      <c r="B1685" t="s">
        <v>3114</v>
      </c>
      <c r="C1685">
        <v>0</v>
      </c>
      <c r="D1685">
        <v>0</v>
      </c>
      <c r="E1685">
        <f>ABS(Table1[[#This Row],[Flux in SC / glucose uptake ($mmol/mmol\ glc$)]]-Table1[[#This Row],[Flux in RT / glucose uptake ($mmol/mmol\ glc$)]])/SQRT(2)</f>
        <v>0</v>
      </c>
      <c r="F1685">
        <f>Table1[[#This Row],[distance from 45-degree line]]/MAX(Table1[[Flux in SC / glucose uptake ($mmol/mmol\ glc$)]:[Flux in RT / glucose uptake ($mmol/mmol\ glc$)]])</f>
        <v>0</v>
      </c>
      <c r="G1685">
        <f>_xlfn.RANK.AVG(Table1[[#This Row],[Flux in SC / glucose uptake ($mmol/mmol\ glc$)]],Table1[Flux in SC / glucose uptake ($mmol/mmol\ glc$)])</f>
        <v>1310.5</v>
      </c>
      <c r="H1685">
        <f>_xlfn.RANK.AVG(Table1[[#This Row],[Flux in RT / glucose uptake ($mmol/mmol\ glc$)]],Table1[Flux in RT / glucose uptake ($mmol/mmol\ glc$)])</f>
        <v>1290.5</v>
      </c>
      <c r="I1685" t="e">
        <f>LOG(Table1[[#This Row],[Flux in SC / glucose uptake ($mmol/mmol\ glc$)]])</f>
        <v>#NUM!</v>
      </c>
      <c r="J1685" t="e">
        <f>LOG(Table1[[#This Row],[Flux in RT / glucose uptake ($mmol/mmol\ glc$)]])</f>
        <v>#NUM!</v>
      </c>
    </row>
    <row r="1686" spans="1:10" x14ac:dyDescent="0.2">
      <c r="A1686" t="s">
        <v>1689</v>
      </c>
      <c r="B1686" t="s">
        <v>3114</v>
      </c>
      <c r="C1686">
        <v>0</v>
      </c>
      <c r="D1686">
        <v>0</v>
      </c>
      <c r="E1686">
        <f>ABS(Table1[[#This Row],[Flux in SC / glucose uptake ($mmol/mmol\ glc$)]]-Table1[[#This Row],[Flux in RT / glucose uptake ($mmol/mmol\ glc$)]])/SQRT(2)</f>
        <v>0</v>
      </c>
      <c r="F1686">
        <f>Table1[[#This Row],[distance from 45-degree line]]/MAX(Table1[[Flux in SC / glucose uptake ($mmol/mmol\ glc$)]:[Flux in RT / glucose uptake ($mmol/mmol\ glc$)]])</f>
        <v>0</v>
      </c>
      <c r="G1686">
        <f>_xlfn.RANK.AVG(Table1[[#This Row],[Flux in SC / glucose uptake ($mmol/mmol\ glc$)]],Table1[Flux in SC / glucose uptake ($mmol/mmol\ glc$)])</f>
        <v>1310.5</v>
      </c>
      <c r="H1686">
        <f>_xlfn.RANK.AVG(Table1[[#This Row],[Flux in RT / glucose uptake ($mmol/mmol\ glc$)]],Table1[Flux in RT / glucose uptake ($mmol/mmol\ glc$)])</f>
        <v>1290.5</v>
      </c>
      <c r="I1686" t="e">
        <f>LOG(Table1[[#This Row],[Flux in SC / glucose uptake ($mmol/mmol\ glc$)]])</f>
        <v>#NUM!</v>
      </c>
      <c r="J1686" t="e">
        <f>LOG(Table1[[#This Row],[Flux in RT / glucose uptake ($mmol/mmol\ glc$)]])</f>
        <v>#NUM!</v>
      </c>
    </row>
    <row r="1687" spans="1:10" x14ac:dyDescent="0.2">
      <c r="A1687" t="s">
        <v>1690</v>
      </c>
      <c r="B1687" t="s">
        <v>3114</v>
      </c>
      <c r="C1687">
        <v>0</v>
      </c>
      <c r="D1687">
        <v>0</v>
      </c>
      <c r="E1687">
        <f>ABS(Table1[[#This Row],[Flux in SC / glucose uptake ($mmol/mmol\ glc$)]]-Table1[[#This Row],[Flux in RT / glucose uptake ($mmol/mmol\ glc$)]])/SQRT(2)</f>
        <v>0</v>
      </c>
      <c r="F1687">
        <f>Table1[[#This Row],[distance from 45-degree line]]/MAX(Table1[[Flux in SC / glucose uptake ($mmol/mmol\ glc$)]:[Flux in RT / glucose uptake ($mmol/mmol\ glc$)]])</f>
        <v>0</v>
      </c>
      <c r="G1687">
        <f>_xlfn.RANK.AVG(Table1[[#This Row],[Flux in SC / glucose uptake ($mmol/mmol\ glc$)]],Table1[Flux in SC / glucose uptake ($mmol/mmol\ glc$)])</f>
        <v>1310.5</v>
      </c>
      <c r="H1687">
        <f>_xlfn.RANK.AVG(Table1[[#This Row],[Flux in RT / glucose uptake ($mmol/mmol\ glc$)]],Table1[Flux in RT / glucose uptake ($mmol/mmol\ glc$)])</f>
        <v>1290.5</v>
      </c>
      <c r="I1687" t="e">
        <f>LOG(Table1[[#This Row],[Flux in SC / glucose uptake ($mmol/mmol\ glc$)]])</f>
        <v>#NUM!</v>
      </c>
      <c r="J1687" t="e">
        <f>LOG(Table1[[#This Row],[Flux in RT / glucose uptake ($mmol/mmol\ glc$)]])</f>
        <v>#NUM!</v>
      </c>
    </row>
    <row r="1688" spans="1:10" x14ac:dyDescent="0.2">
      <c r="A1688" t="s">
        <v>1691</v>
      </c>
      <c r="B1688" t="s">
        <v>3114</v>
      </c>
      <c r="C1688">
        <v>0</v>
      </c>
      <c r="D1688">
        <v>0</v>
      </c>
      <c r="E1688">
        <f>ABS(Table1[[#This Row],[Flux in SC / glucose uptake ($mmol/mmol\ glc$)]]-Table1[[#This Row],[Flux in RT / glucose uptake ($mmol/mmol\ glc$)]])/SQRT(2)</f>
        <v>0</v>
      </c>
      <c r="F1688">
        <f>Table1[[#This Row],[distance from 45-degree line]]/MAX(Table1[[Flux in SC / glucose uptake ($mmol/mmol\ glc$)]:[Flux in RT / glucose uptake ($mmol/mmol\ glc$)]])</f>
        <v>0</v>
      </c>
      <c r="G1688">
        <f>_xlfn.RANK.AVG(Table1[[#This Row],[Flux in SC / glucose uptake ($mmol/mmol\ glc$)]],Table1[Flux in SC / glucose uptake ($mmol/mmol\ glc$)])</f>
        <v>1310.5</v>
      </c>
      <c r="H1688">
        <f>_xlfn.RANK.AVG(Table1[[#This Row],[Flux in RT / glucose uptake ($mmol/mmol\ glc$)]],Table1[Flux in RT / glucose uptake ($mmol/mmol\ glc$)])</f>
        <v>1290.5</v>
      </c>
      <c r="I1688" t="e">
        <f>LOG(Table1[[#This Row],[Flux in SC / glucose uptake ($mmol/mmol\ glc$)]])</f>
        <v>#NUM!</v>
      </c>
      <c r="J1688" t="e">
        <f>LOG(Table1[[#This Row],[Flux in RT / glucose uptake ($mmol/mmol\ glc$)]])</f>
        <v>#NUM!</v>
      </c>
    </row>
    <row r="1689" spans="1:10" x14ac:dyDescent="0.2">
      <c r="A1689" t="s">
        <v>1692</v>
      </c>
      <c r="B1689" t="s">
        <v>3114</v>
      </c>
      <c r="C1689">
        <v>0</v>
      </c>
      <c r="D1689">
        <v>0</v>
      </c>
      <c r="E1689">
        <f>ABS(Table1[[#This Row],[Flux in SC / glucose uptake ($mmol/mmol\ glc$)]]-Table1[[#This Row],[Flux in RT / glucose uptake ($mmol/mmol\ glc$)]])/SQRT(2)</f>
        <v>0</v>
      </c>
      <c r="F1689">
        <f>Table1[[#This Row],[distance from 45-degree line]]/MAX(Table1[[Flux in SC / glucose uptake ($mmol/mmol\ glc$)]:[Flux in RT / glucose uptake ($mmol/mmol\ glc$)]])</f>
        <v>0</v>
      </c>
      <c r="G1689">
        <f>_xlfn.RANK.AVG(Table1[[#This Row],[Flux in SC / glucose uptake ($mmol/mmol\ glc$)]],Table1[Flux in SC / glucose uptake ($mmol/mmol\ glc$)])</f>
        <v>1310.5</v>
      </c>
      <c r="H1689">
        <f>_xlfn.RANK.AVG(Table1[[#This Row],[Flux in RT / glucose uptake ($mmol/mmol\ glc$)]],Table1[Flux in RT / glucose uptake ($mmol/mmol\ glc$)])</f>
        <v>1290.5</v>
      </c>
      <c r="I1689" t="e">
        <f>LOG(Table1[[#This Row],[Flux in SC / glucose uptake ($mmol/mmol\ glc$)]])</f>
        <v>#NUM!</v>
      </c>
      <c r="J1689" t="e">
        <f>LOG(Table1[[#This Row],[Flux in RT / glucose uptake ($mmol/mmol\ glc$)]])</f>
        <v>#NUM!</v>
      </c>
    </row>
    <row r="1690" spans="1:10" x14ac:dyDescent="0.2">
      <c r="A1690" t="s">
        <v>1693</v>
      </c>
      <c r="B1690" t="s">
        <v>3158</v>
      </c>
      <c r="C1690">
        <v>0</v>
      </c>
      <c r="D1690">
        <v>0</v>
      </c>
      <c r="E1690">
        <f>ABS(Table1[[#This Row],[Flux in SC / glucose uptake ($mmol/mmol\ glc$)]]-Table1[[#This Row],[Flux in RT / glucose uptake ($mmol/mmol\ glc$)]])/SQRT(2)</f>
        <v>0</v>
      </c>
      <c r="F1690">
        <f>Table1[[#This Row],[distance from 45-degree line]]/MAX(Table1[[Flux in SC / glucose uptake ($mmol/mmol\ glc$)]:[Flux in RT / glucose uptake ($mmol/mmol\ glc$)]])</f>
        <v>0</v>
      </c>
      <c r="G1690">
        <f>_xlfn.RANK.AVG(Table1[[#This Row],[Flux in SC / glucose uptake ($mmol/mmol\ glc$)]],Table1[Flux in SC / glucose uptake ($mmol/mmol\ glc$)])</f>
        <v>1310.5</v>
      </c>
      <c r="H1690">
        <f>_xlfn.RANK.AVG(Table1[[#This Row],[Flux in RT / glucose uptake ($mmol/mmol\ glc$)]],Table1[Flux in RT / glucose uptake ($mmol/mmol\ glc$)])</f>
        <v>1290.5</v>
      </c>
      <c r="I1690" t="e">
        <f>LOG(Table1[[#This Row],[Flux in SC / glucose uptake ($mmol/mmol\ glc$)]])</f>
        <v>#NUM!</v>
      </c>
      <c r="J1690" t="e">
        <f>LOG(Table1[[#This Row],[Flux in RT / glucose uptake ($mmol/mmol\ glc$)]])</f>
        <v>#NUM!</v>
      </c>
    </row>
    <row r="1691" spans="1:10" x14ac:dyDescent="0.2">
      <c r="A1691" t="s">
        <v>1694</v>
      </c>
      <c r="B1691" t="s">
        <v>3158</v>
      </c>
      <c r="C1691">
        <v>0</v>
      </c>
      <c r="D1691">
        <v>0</v>
      </c>
      <c r="E1691">
        <f>ABS(Table1[[#This Row],[Flux in SC / glucose uptake ($mmol/mmol\ glc$)]]-Table1[[#This Row],[Flux in RT / glucose uptake ($mmol/mmol\ glc$)]])/SQRT(2)</f>
        <v>0</v>
      </c>
      <c r="F1691">
        <f>Table1[[#This Row],[distance from 45-degree line]]/MAX(Table1[[Flux in SC / glucose uptake ($mmol/mmol\ glc$)]:[Flux in RT / glucose uptake ($mmol/mmol\ glc$)]])</f>
        <v>0</v>
      </c>
      <c r="G1691">
        <f>_xlfn.RANK.AVG(Table1[[#This Row],[Flux in SC / glucose uptake ($mmol/mmol\ glc$)]],Table1[Flux in SC / glucose uptake ($mmol/mmol\ glc$)])</f>
        <v>1310.5</v>
      </c>
      <c r="H1691">
        <f>_xlfn.RANK.AVG(Table1[[#This Row],[Flux in RT / glucose uptake ($mmol/mmol\ glc$)]],Table1[Flux in RT / glucose uptake ($mmol/mmol\ glc$)])</f>
        <v>1290.5</v>
      </c>
      <c r="I1691" t="e">
        <f>LOG(Table1[[#This Row],[Flux in SC / glucose uptake ($mmol/mmol\ glc$)]])</f>
        <v>#NUM!</v>
      </c>
      <c r="J1691" t="e">
        <f>LOG(Table1[[#This Row],[Flux in RT / glucose uptake ($mmol/mmol\ glc$)]])</f>
        <v>#NUM!</v>
      </c>
    </row>
    <row r="1692" spans="1:10" x14ac:dyDescent="0.2">
      <c r="A1692" t="s">
        <v>1695</v>
      </c>
      <c r="B1692" t="s">
        <v>3114</v>
      </c>
      <c r="C1692">
        <v>0</v>
      </c>
      <c r="D1692">
        <v>0</v>
      </c>
      <c r="E1692">
        <f>ABS(Table1[[#This Row],[Flux in SC / glucose uptake ($mmol/mmol\ glc$)]]-Table1[[#This Row],[Flux in RT / glucose uptake ($mmol/mmol\ glc$)]])/SQRT(2)</f>
        <v>0</v>
      </c>
      <c r="F1692">
        <f>Table1[[#This Row],[distance from 45-degree line]]/MAX(Table1[[Flux in SC / glucose uptake ($mmol/mmol\ glc$)]:[Flux in RT / glucose uptake ($mmol/mmol\ glc$)]])</f>
        <v>0</v>
      </c>
      <c r="G1692">
        <f>_xlfn.RANK.AVG(Table1[[#This Row],[Flux in SC / glucose uptake ($mmol/mmol\ glc$)]],Table1[Flux in SC / glucose uptake ($mmol/mmol\ glc$)])</f>
        <v>1310.5</v>
      </c>
      <c r="H1692">
        <f>_xlfn.RANK.AVG(Table1[[#This Row],[Flux in RT / glucose uptake ($mmol/mmol\ glc$)]],Table1[Flux in RT / glucose uptake ($mmol/mmol\ glc$)])</f>
        <v>1290.5</v>
      </c>
      <c r="I1692" t="e">
        <f>LOG(Table1[[#This Row],[Flux in SC / glucose uptake ($mmol/mmol\ glc$)]])</f>
        <v>#NUM!</v>
      </c>
      <c r="J1692" t="e">
        <f>LOG(Table1[[#This Row],[Flux in RT / glucose uptake ($mmol/mmol\ glc$)]])</f>
        <v>#NUM!</v>
      </c>
    </row>
    <row r="1693" spans="1:10" x14ac:dyDescent="0.2">
      <c r="A1693" t="s">
        <v>1696</v>
      </c>
      <c r="B1693" t="s">
        <v>3114</v>
      </c>
      <c r="C1693">
        <v>0</v>
      </c>
      <c r="D1693">
        <v>0</v>
      </c>
      <c r="E1693">
        <f>ABS(Table1[[#This Row],[Flux in SC / glucose uptake ($mmol/mmol\ glc$)]]-Table1[[#This Row],[Flux in RT / glucose uptake ($mmol/mmol\ glc$)]])/SQRT(2)</f>
        <v>0</v>
      </c>
      <c r="F1693">
        <f>Table1[[#This Row],[distance from 45-degree line]]/MAX(Table1[[Flux in SC / glucose uptake ($mmol/mmol\ glc$)]:[Flux in RT / glucose uptake ($mmol/mmol\ glc$)]])</f>
        <v>0</v>
      </c>
      <c r="G1693">
        <f>_xlfn.RANK.AVG(Table1[[#This Row],[Flux in SC / glucose uptake ($mmol/mmol\ glc$)]],Table1[Flux in SC / glucose uptake ($mmol/mmol\ glc$)])</f>
        <v>1310.5</v>
      </c>
      <c r="H1693">
        <f>_xlfn.RANK.AVG(Table1[[#This Row],[Flux in RT / glucose uptake ($mmol/mmol\ glc$)]],Table1[Flux in RT / glucose uptake ($mmol/mmol\ glc$)])</f>
        <v>1290.5</v>
      </c>
      <c r="I1693" t="e">
        <f>LOG(Table1[[#This Row],[Flux in SC / glucose uptake ($mmol/mmol\ glc$)]])</f>
        <v>#NUM!</v>
      </c>
      <c r="J1693" t="e">
        <f>LOG(Table1[[#This Row],[Flux in RT / glucose uptake ($mmol/mmol\ glc$)]])</f>
        <v>#NUM!</v>
      </c>
    </row>
    <row r="1694" spans="1:10" x14ac:dyDescent="0.2">
      <c r="A1694" t="s">
        <v>1697</v>
      </c>
      <c r="B1694" t="s">
        <v>3150</v>
      </c>
      <c r="C1694">
        <v>0</v>
      </c>
      <c r="D1694">
        <v>0</v>
      </c>
      <c r="E1694">
        <f>ABS(Table1[[#This Row],[Flux in SC / glucose uptake ($mmol/mmol\ glc$)]]-Table1[[#This Row],[Flux in RT / glucose uptake ($mmol/mmol\ glc$)]])/SQRT(2)</f>
        <v>0</v>
      </c>
      <c r="F1694">
        <f>Table1[[#This Row],[distance from 45-degree line]]/MAX(Table1[[Flux in SC / glucose uptake ($mmol/mmol\ glc$)]:[Flux in RT / glucose uptake ($mmol/mmol\ glc$)]])</f>
        <v>0</v>
      </c>
      <c r="G1694">
        <f>_xlfn.RANK.AVG(Table1[[#This Row],[Flux in SC / glucose uptake ($mmol/mmol\ glc$)]],Table1[Flux in SC / glucose uptake ($mmol/mmol\ glc$)])</f>
        <v>1310.5</v>
      </c>
      <c r="H1694">
        <f>_xlfn.RANK.AVG(Table1[[#This Row],[Flux in RT / glucose uptake ($mmol/mmol\ glc$)]],Table1[Flux in RT / glucose uptake ($mmol/mmol\ glc$)])</f>
        <v>1290.5</v>
      </c>
      <c r="I1694" t="e">
        <f>LOG(Table1[[#This Row],[Flux in SC / glucose uptake ($mmol/mmol\ glc$)]])</f>
        <v>#NUM!</v>
      </c>
      <c r="J1694" t="e">
        <f>LOG(Table1[[#This Row],[Flux in RT / glucose uptake ($mmol/mmol\ glc$)]])</f>
        <v>#NUM!</v>
      </c>
    </row>
    <row r="1695" spans="1:10" x14ac:dyDescent="0.2">
      <c r="A1695" t="s">
        <v>1698</v>
      </c>
      <c r="B1695" t="s">
        <v>3150</v>
      </c>
      <c r="C1695">
        <v>0</v>
      </c>
      <c r="D1695">
        <v>0</v>
      </c>
      <c r="E1695">
        <f>ABS(Table1[[#This Row],[Flux in SC / glucose uptake ($mmol/mmol\ glc$)]]-Table1[[#This Row],[Flux in RT / glucose uptake ($mmol/mmol\ glc$)]])/SQRT(2)</f>
        <v>0</v>
      </c>
      <c r="F1695">
        <f>Table1[[#This Row],[distance from 45-degree line]]/MAX(Table1[[Flux in SC / glucose uptake ($mmol/mmol\ glc$)]:[Flux in RT / glucose uptake ($mmol/mmol\ glc$)]])</f>
        <v>0</v>
      </c>
      <c r="G1695">
        <f>_xlfn.RANK.AVG(Table1[[#This Row],[Flux in SC / glucose uptake ($mmol/mmol\ glc$)]],Table1[Flux in SC / glucose uptake ($mmol/mmol\ glc$)])</f>
        <v>1310.5</v>
      </c>
      <c r="H1695">
        <f>_xlfn.RANK.AVG(Table1[[#This Row],[Flux in RT / glucose uptake ($mmol/mmol\ glc$)]],Table1[Flux in RT / glucose uptake ($mmol/mmol\ glc$)])</f>
        <v>1290.5</v>
      </c>
      <c r="I1695" t="e">
        <f>LOG(Table1[[#This Row],[Flux in SC / glucose uptake ($mmol/mmol\ glc$)]])</f>
        <v>#NUM!</v>
      </c>
      <c r="J1695" t="e">
        <f>LOG(Table1[[#This Row],[Flux in RT / glucose uptake ($mmol/mmol\ glc$)]])</f>
        <v>#NUM!</v>
      </c>
    </row>
    <row r="1696" spans="1:10" x14ac:dyDescent="0.2">
      <c r="A1696" t="s">
        <v>1699</v>
      </c>
      <c r="B1696" t="s">
        <v>3150</v>
      </c>
      <c r="C1696">
        <v>0</v>
      </c>
      <c r="D1696">
        <v>0</v>
      </c>
      <c r="E1696">
        <f>ABS(Table1[[#This Row],[Flux in SC / glucose uptake ($mmol/mmol\ glc$)]]-Table1[[#This Row],[Flux in RT / glucose uptake ($mmol/mmol\ glc$)]])/SQRT(2)</f>
        <v>0</v>
      </c>
      <c r="F1696">
        <f>Table1[[#This Row],[distance from 45-degree line]]/MAX(Table1[[Flux in SC / glucose uptake ($mmol/mmol\ glc$)]:[Flux in RT / glucose uptake ($mmol/mmol\ glc$)]])</f>
        <v>0</v>
      </c>
      <c r="G1696">
        <f>_xlfn.RANK.AVG(Table1[[#This Row],[Flux in SC / glucose uptake ($mmol/mmol\ glc$)]],Table1[Flux in SC / glucose uptake ($mmol/mmol\ glc$)])</f>
        <v>1310.5</v>
      </c>
      <c r="H1696">
        <f>_xlfn.RANK.AVG(Table1[[#This Row],[Flux in RT / glucose uptake ($mmol/mmol\ glc$)]],Table1[Flux in RT / glucose uptake ($mmol/mmol\ glc$)])</f>
        <v>1290.5</v>
      </c>
      <c r="I1696" t="e">
        <f>LOG(Table1[[#This Row],[Flux in SC / glucose uptake ($mmol/mmol\ glc$)]])</f>
        <v>#NUM!</v>
      </c>
      <c r="J1696" t="e">
        <f>LOG(Table1[[#This Row],[Flux in RT / glucose uptake ($mmol/mmol\ glc$)]])</f>
        <v>#NUM!</v>
      </c>
    </row>
    <row r="1697" spans="1:10" x14ac:dyDescent="0.2">
      <c r="A1697" t="s">
        <v>1700</v>
      </c>
      <c r="B1697" t="s">
        <v>3150</v>
      </c>
      <c r="C1697">
        <v>0</v>
      </c>
      <c r="D1697">
        <v>0</v>
      </c>
      <c r="E1697">
        <f>ABS(Table1[[#This Row],[Flux in SC / glucose uptake ($mmol/mmol\ glc$)]]-Table1[[#This Row],[Flux in RT / glucose uptake ($mmol/mmol\ glc$)]])/SQRT(2)</f>
        <v>0</v>
      </c>
      <c r="F1697">
        <f>Table1[[#This Row],[distance from 45-degree line]]/MAX(Table1[[Flux in SC / glucose uptake ($mmol/mmol\ glc$)]:[Flux in RT / glucose uptake ($mmol/mmol\ glc$)]])</f>
        <v>0</v>
      </c>
      <c r="G1697">
        <f>_xlfn.RANK.AVG(Table1[[#This Row],[Flux in SC / glucose uptake ($mmol/mmol\ glc$)]],Table1[Flux in SC / glucose uptake ($mmol/mmol\ glc$)])</f>
        <v>1310.5</v>
      </c>
      <c r="H1697">
        <f>_xlfn.RANK.AVG(Table1[[#This Row],[Flux in RT / glucose uptake ($mmol/mmol\ glc$)]],Table1[Flux in RT / glucose uptake ($mmol/mmol\ glc$)])</f>
        <v>1290.5</v>
      </c>
      <c r="I1697" t="e">
        <f>LOG(Table1[[#This Row],[Flux in SC / glucose uptake ($mmol/mmol\ glc$)]])</f>
        <v>#NUM!</v>
      </c>
      <c r="J1697" t="e">
        <f>LOG(Table1[[#This Row],[Flux in RT / glucose uptake ($mmol/mmol\ glc$)]])</f>
        <v>#NUM!</v>
      </c>
    </row>
    <row r="1698" spans="1:10" x14ac:dyDescent="0.2">
      <c r="A1698" t="s">
        <v>1701</v>
      </c>
      <c r="B1698" t="s">
        <v>3150</v>
      </c>
      <c r="C1698">
        <v>0</v>
      </c>
      <c r="D1698">
        <v>0</v>
      </c>
      <c r="E1698">
        <f>ABS(Table1[[#This Row],[Flux in SC / glucose uptake ($mmol/mmol\ glc$)]]-Table1[[#This Row],[Flux in RT / glucose uptake ($mmol/mmol\ glc$)]])/SQRT(2)</f>
        <v>0</v>
      </c>
      <c r="F1698">
        <f>Table1[[#This Row],[distance from 45-degree line]]/MAX(Table1[[Flux in SC / glucose uptake ($mmol/mmol\ glc$)]:[Flux in RT / glucose uptake ($mmol/mmol\ glc$)]])</f>
        <v>0</v>
      </c>
      <c r="G1698">
        <f>_xlfn.RANK.AVG(Table1[[#This Row],[Flux in SC / glucose uptake ($mmol/mmol\ glc$)]],Table1[Flux in SC / glucose uptake ($mmol/mmol\ glc$)])</f>
        <v>1310.5</v>
      </c>
      <c r="H1698">
        <f>_xlfn.RANK.AVG(Table1[[#This Row],[Flux in RT / glucose uptake ($mmol/mmol\ glc$)]],Table1[Flux in RT / glucose uptake ($mmol/mmol\ glc$)])</f>
        <v>1290.5</v>
      </c>
      <c r="I1698" t="e">
        <f>LOG(Table1[[#This Row],[Flux in SC / glucose uptake ($mmol/mmol\ glc$)]])</f>
        <v>#NUM!</v>
      </c>
      <c r="J1698" t="e">
        <f>LOG(Table1[[#This Row],[Flux in RT / glucose uptake ($mmol/mmol\ glc$)]])</f>
        <v>#NUM!</v>
      </c>
    </row>
    <row r="1699" spans="1:10" x14ac:dyDescent="0.2">
      <c r="A1699" t="s">
        <v>1702</v>
      </c>
      <c r="B1699" t="s">
        <v>3150</v>
      </c>
      <c r="C1699">
        <v>0</v>
      </c>
      <c r="D1699">
        <v>0</v>
      </c>
      <c r="E1699">
        <f>ABS(Table1[[#This Row],[Flux in SC / glucose uptake ($mmol/mmol\ glc$)]]-Table1[[#This Row],[Flux in RT / glucose uptake ($mmol/mmol\ glc$)]])/SQRT(2)</f>
        <v>0</v>
      </c>
      <c r="F1699">
        <f>Table1[[#This Row],[distance from 45-degree line]]/MAX(Table1[[Flux in SC / glucose uptake ($mmol/mmol\ glc$)]:[Flux in RT / glucose uptake ($mmol/mmol\ glc$)]])</f>
        <v>0</v>
      </c>
      <c r="G1699">
        <f>_xlfn.RANK.AVG(Table1[[#This Row],[Flux in SC / glucose uptake ($mmol/mmol\ glc$)]],Table1[Flux in SC / glucose uptake ($mmol/mmol\ glc$)])</f>
        <v>1310.5</v>
      </c>
      <c r="H1699">
        <f>_xlfn.RANK.AVG(Table1[[#This Row],[Flux in RT / glucose uptake ($mmol/mmol\ glc$)]],Table1[Flux in RT / glucose uptake ($mmol/mmol\ glc$)])</f>
        <v>1290.5</v>
      </c>
      <c r="I1699" t="e">
        <f>LOG(Table1[[#This Row],[Flux in SC / glucose uptake ($mmol/mmol\ glc$)]])</f>
        <v>#NUM!</v>
      </c>
      <c r="J1699" t="e">
        <f>LOG(Table1[[#This Row],[Flux in RT / glucose uptake ($mmol/mmol\ glc$)]])</f>
        <v>#NUM!</v>
      </c>
    </row>
    <row r="1700" spans="1:10" x14ac:dyDescent="0.2">
      <c r="A1700" t="s">
        <v>1703</v>
      </c>
      <c r="B1700" t="s">
        <v>3150</v>
      </c>
      <c r="C1700">
        <v>0</v>
      </c>
      <c r="D1700">
        <v>0</v>
      </c>
      <c r="E1700">
        <f>ABS(Table1[[#This Row],[Flux in SC / glucose uptake ($mmol/mmol\ glc$)]]-Table1[[#This Row],[Flux in RT / glucose uptake ($mmol/mmol\ glc$)]])/SQRT(2)</f>
        <v>0</v>
      </c>
      <c r="F1700">
        <f>Table1[[#This Row],[distance from 45-degree line]]/MAX(Table1[[Flux in SC / glucose uptake ($mmol/mmol\ glc$)]:[Flux in RT / glucose uptake ($mmol/mmol\ glc$)]])</f>
        <v>0</v>
      </c>
      <c r="G1700">
        <f>_xlfn.RANK.AVG(Table1[[#This Row],[Flux in SC / glucose uptake ($mmol/mmol\ glc$)]],Table1[Flux in SC / glucose uptake ($mmol/mmol\ glc$)])</f>
        <v>1310.5</v>
      </c>
      <c r="H1700">
        <f>_xlfn.RANK.AVG(Table1[[#This Row],[Flux in RT / glucose uptake ($mmol/mmol\ glc$)]],Table1[Flux in RT / glucose uptake ($mmol/mmol\ glc$)])</f>
        <v>1290.5</v>
      </c>
      <c r="I1700" t="e">
        <f>LOG(Table1[[#This Row],[Flux in SC / glucose uptake ($mmol/mmol\ glc$)]])</f>
        <v>#NUM!</v>
      </c>
      <c r="J1700" t="e">
        <f>LOG(Table1[[#This Row],[Flux in RT / glucose uptake ($mmol/mmol\ glc$)]])</f>
        <v>#NUM!</v>
      </c>
    </row>
    <row r="1701" spans="1:10" x14ac:dyDescent="0.2">
      <c r="A1701" t="s">
        <v>1704</v>
      </c>
      <c r="B1701" t="s">
        <v>3150</v>
      </c>
      <c r="C1701">
        <v>0</v>
      </c>
      <c r="D1701">
        <v>0</v>
      </c>
      <c r="E1701">
        <f>ABS(Table1[[#This Row],[Flux in SC / glucose uptake ($mmol/mmol\ glc$)]]-Table1[[#This Row],[Flux in RT / glucose uptake ($mmol/mmol\ glc$)]])/SQRT(2)</f>
        <v>0</v>
      </c>
      <c r="F1701">
        <f>Table1[[#This Row],[distance from 45-degree line]]/MAX(Table1[[Flux in SC / glucose uptake ($mmol/mmol\ glc$)]:[Flux in RT / glucose uptake ($mmol/mmol\ glc$)]])</f>
        <v>0</v>
      </c>
      <c r="G1701">
        <f>_xlfn.RANK.AVG(Table1[[#This Row],[Flux in SC / glucose uptake ($mmol/mmol\ glc$)]],Table1[Flux in SC / glucose uptake ($mmol/mmol\ glc$)])</f>
        <v>1310.5</v>
      </c>
      <c r="H1701">
        <f>_xlfn.RANK.AVG(Table1[[#This Row],[Flux in RT / glucose uptake ($mmol/mmol\ glc$)]],Table1[Flux in RT / glucose uptake ($mmol/mmol\ glc$)])</f>
        <v>1290.5</v>
      </c>
      <c r="I1701" t="e">
        <f>LOG(Table1[[#This Row],[Flux in SC / glucose uptake ($mmol/mmol\ glc$)]])</f>
        <v>#NUM!</v>
      </c>
      <c r="J1701" t="e">
        <f>LOG(Table1[[#This Row],[Flux in RT / glucose uptake ($mmol/mmol\ glc$)]])</f>
        <v>#NUM!</v>
      </c>
    </row>
    <row r="1702" spans="1:10" x14ac:dyDescent="0.2">
      <c r="A1702" t="s">
        <v>1705</v>
      </c>
      <c r="B1702" t="s">
        <v>3150</v>
      </c>
      <c r="C1702">
        <v>0</v>
      </c>
      <c r="D1702">
        <v>0</v>
      </c>
      <c r="E1702">
        <f>ABS(Table1[[#This Row],[Flux in SC / glucose uptake ($mmol/mmol\ glc$)]]-Table1[[#This Row],[Flux in RT / glucose uptake ($mmol/mmol\ glc$)]])/SQRT(2)</f>
        <v>0</v>
      </c>
      <c r="F1702">
        <f>Table1[[#This Row],[distance from 45-degree line]]/MAX(Table1[[Flux in SC / glucose uptake ($mmol/mmol\ glc$)]:[Flux in RT / glucose uptake ($mmol/mmol\ glc$)]])</f>
        <v>0</v>
      </c>
      <c r="G1702">
        <f>_xlfn.RANK.AVG(Table1[[#This Row],[Flux in SC / glucose uptake ($mmol/mmol\ glc$)]],Table1[Flux in SC / glucose uptake ($mmol/mmol\ glc$)])</f>
        <v>1310.5</v>
      </c>
      <c r="H1702">
        <f>_xlfn.RANK.AVG(Table1[[#This Row],[Flux in RT / glucose uptake ($mmol/mmol\ glc$)]],Table1[Flux in RT / glucose uptake ($mmol/mmol\ glc$)])</f>
        <v>1290.5</v>
      </c>
      <c r="I1702" t="e">
        <f>LOG(Table1[[#This Row],[Flux in SC / glucose uptake ($mmol/mmol\ glc$)]])</f>
        <v>#NUM!</v>
      </c>
      <c r="J1702" t="e">
        <f>LOG(Table1[[#This Row],[Flux in RT / glucose uptake ($mmol/mmol\ glc$)]])</f>
        <v>#NUM!</v>
      </c>
    </row>
    <row r="1703" spans="1:10" x14ac:dyDescent="0.2">
      <c r="A1703" t="s">
        <v>1706</v>
      </c>
      <c r="B1703" t="s">
        <v>3199</v>
      </c>
      <c r="C1703">
        <v>0</v>
      </c>
      <c r="D1703">
        <v>0</v>
      </c>
      <c r="E1703">
        <f>ABS(Table1[[#This Row],[Flux in SC / glucose uptake ($mmol/mmol\ glc$)]]-Table1[[#This Row],[Flux in RT / glucose uptake ($mmol/mmol\ glc$)]])/SQRT(2)</f>
        <v>0</v>
      </c>
      <c r="F1703">
        <f>Table1[[#This Row],[distance from 45-degree line]]/MAX(Table1[[Flux in SC / glucose uptake ($mmol/mmol\ glc$)]:[Flux in RT / glucose uptake ($mmol/mmol\ glc$)]])</f>
        <v>0</v>
      </c>
      <c r="G1703">
        <f>_xlfn.RANK.AVG(Table1[[#This Row],[Flux in SC / glucose uptake ($mmol/mmol\ glc$)]],Table1[Flux in SC / glucose uptake ($mmol/mmol\ glc$)])</f>
        <v>1310.5</v>
      </c>
      <c r="H1703">
        <f>_xlfn.RANK.AVG(Table1[[#This Row],[Flux in RT / glucose uptake ($mmol/mmol\ glc$)]],Table1[Flux in RT / glucose uptake ($mmol/mmol\ glc$)])</f>
        <v>1290.5</v>
      </c>
      <c r="I1703" t="e">
        <f>LOG(Table1[[#This Row],[Flux in SC / glucose uptake ($mmol/mmol\ glc$)]])</f>
        <v>#NUM!</v>
      </c>
      <c r="J1703" t="e">
        <f>LOG(Table1[[#This Row],[Flux in RT / glucose uptake ($mmol/mmol\ glc$)]])</f>
        <v>#NUM!</v>
      </c>
    </row>
    <row r="1704" spans="1:10" x14ac:dyDescent="0.2">
      <c r="A1704" t="s">
        <v>1707</v>
      </c>
      <c r="B1704" t="s">
        <v>3150</v>
      </c>
      <c r="C1704">
        <v>9.4898133226296831E-3</v>
      </c>
      <c r="D1704">
        <v>5.4322924096972126E-2</v>
      </c>
      <c r="E1704">
        <f>ABS(Table1[[#This Row],[Flux in SC / glucose uptake ($mmol/mmol\ glc$)]]-Table1[[#This Row],[Flux in RT / glucose uptake ($mmol/mmol\ glc$)]])/SQRT(2)</f>
        <v>3.1701796650225211E-2</v>
      </c>
      <c r="F1704">
        <f>Table1[[#This Row],[distance from 45-degree line]]/MAX(Table1[[Flux in SC / glucose uptake ($mmol/mmol\ glc$)]:[Flux in RT / glucose uptake ($mmol/mmol\ glc$)]])</f>
        <v>1.7086906656067703E-3</v>
      </c>
      <c r="G1704">
        <f>_xlfn.RANK.AVG(Table1[[#This Row],[Flux in SC / glucose uptake ($mmol/mmol\ glc$)]],Table1[Flux in SC / glucose uptake ($mmol/mmol\ glc$)])</f>
        <v>83</v>
      </c>
      <c r="H1704">
        <f>_xlfn.RANK.AVG(Table1[[#This Row],[Flux in RT / glucose uptake ($mmol/mmol\ glc$)]],Table1[Flux in RT / glucose uptake ($mmol/mmol\ glc$)])</f>
        <v>99</v>
      </c>
      <c r="I1704">
        <f>LOG(Table1[[#This Row],[Flux in SC / glucose uptake ($mmol/mmol\ glc$)]])</f>
        <v>-2.02274233064428</v>
      </c>
      <c r="J1704">
        <f>LOG(Table1[[#This Row],[Flux in RT / glucose uptake ($mmol/mmol\ glc$)]])</f>
        <v>-1.2650168608740884</v>
      </c>
    </row>
    <row r="1705" spans="1:10" x14ac:dyDescent="0.2">
      <c r="A1705" t="s">
        <v>1708</v>
      </c>
      <c r="B1705" t="s">
        <v>3150</v>
      </c>
      <c r="C1705">
        <v>0</v>
      </c>
      <c r="D1705">
        <v>0</v>
      </c>
      <c r="E1705">
        <f>ABS(Table1[[#This Row],[Flux in SC / glucose uptake ($mmol/mmol\ glc$)]]-Table1[[#This Row],[Flux in RT / glucose uptake ($mmol/mmol\ glc$)]])/SQRT(2)</f>
        <v>0</v>
      </c>
      <c r="F1705">
        <f>Table1[[#This Row],[distance from 45-degree line]]/MAX(Table1[[Flux in SC / glucose uptake ($mmol/mmol\ glc$)]:[Flux in RT / glucose uptake ($mmol/mmol\ glc$)]])</f>
        <v>0</v>
      </c>
      <c r="G1705">
        <f>_xlfn.RANK.AVG(Table1[[#This Row],[Flux in SC / glucose uptake ($mmol/mmol\ glc$)]],Table1[Flux in SC / glucose uptake ($mmol/mmol\ glc$)])</f>
        <v>1310.5</v>
      </c>
      <c r="H1705">
        <f>_xlfn.RANK.AVG(Table1[[#This Row],[Flux in RT / glucose uptake ($mmol/mmol\ glc$)]],Table1[Flux in RT / glucose uptake ($mmol/mmol\ glc$)])</f>
        <v>1290.5</v>
      </c>
      <c r="I1705" t="e">
        <f>LOG(Table1[[#This Row],[Flux in SC / glucose uptake ($mmol/mmol\ glc$)]])</f>
        <v>#NUM!</v>
      </c>
      <c r="J1705" t="e">
        <f>LOG(Table1[[#This Row],[Flux in RT / glucose uptake ($mmol/mmol\ glc$)]])</f>
        <v>#NUM!</v>
      </c>
    </row>
    <row r="1706" spans="1:10" x14ac:dyDescent="0.2">
      <c r="A1706" t="s">
        <v>1709</v>
      </c>
      <c r="B1706" t="s">
        <v>3150</v>
      </c>
      <c r="C1706">
        <v>1.8230628162147256E-2</v>
      </c>
      <c r="D1706">
        <v>0.10474269643362662</v>
      </c>
      <c r="E1706">
        <f>ABS(Table1[[#This Row],[Flux in SC / glucose uptake ($mmol/mmol\ glc$)]]-Table1[[#This Row],[Flux in RT / glucose uptake ($mmol/mmol\ glc$)]])/SQRT(2)</f>
        <v>6.1173270129236616E-2</v>
      </c>
      <c r="F1706">
        <f>Table1[[#This Row],[distance from 45-degree line]]/MAX(Table1[[Flux in SC / glucose uptake ($mmol/mmol\ glc$)]:[Flux in RT / glucose uptake ($mmol/mmol\ glc$)]])</f>
        <v>3.2971694572309206E-3</v>
      </c>
      <c r="G1706">
        <f>_xlfn.RANK.AVG(Table1[[#This Row],[Flux in SC / glucose uptake ($mmol/mmol\ glc$)]],Table1[Flux in SC / glucose uptake ($mmol/mmol\ glc$)])</f>
        <v>67</v>
      </c>
      <c r="H1706">
        <f>_xlfn.RANK.AVG(Table1[[#This Row],[Flux in RT / glucose uptake ($mmol/mmol\ glc$)]],Table1[Flux in RT / glucose uptake ($mmol/mmol\ glc$)])</f>
        <v>89</v>
      </c>
      <c r="I1706">
        <f>LOG(Table1[[#This Row],[Flux in SC / glucose uptake ($mmol/mmol\ glc$)]])</f>
        <v>-1.7391983668549382</v>
      </c>
      <c r="J1706">
        <f>LOG(Table1[[#This Row],[Flux in RT / glucose uptake ($mmol/mmol\ glc$)]])</f>
        <v>-0.97987625007200307</v>
      </c>
    </row>
    <row r="1707" spans="1:10" x14ac:dyDescent="0.2">
      <c r="A1707" t="s">
        <v>1710</v>
      </c>
      <c r="B1707" t="s">
        <v>3150</v>
      </c>
      <c r="C1707">
        <v>6.5727992572142408E-4</v>
      </c>
      <c r="D1707">
        <v>3.3846435032205127E-3</v>
      </c>
      <c r="E1707">
        <f>ABS(Table1[[#This Row],[Flux in SC / glucose uptake ($mmol/mmol\ glc$)]]-Table1[[#This Row],[Flux in RT / glucose uptake ($mmol/mmol\ glc$)]])/SQRT(2)</f>
        <v>1.9285372804108073E-3</v>
      </c>
      <c r="F1707">
        <f>Table1[[#This Row],[distance from 45-degree line]]/MAX(Table1[[Flux in SC / glucose uptake ($mmol/mmol\ glc$)]:[Flux in RT / glucose uptake ($mmol/mmol\ glc$)]])</f>
        <v>1.0394595882593939E-4</v>
      </c>
      <c r="G1707">
        <f>_xlfn.RANK.AVG(Table1[[#This Row],[Flux in SC / glucose uptake ($mmol/mmol\ glc$)]],Table1[Flux in SC / glucose uptake ($mmol/mmol\ glc$)])</f>
        <v>235</v>
      </c>
      <c r="H1707">
        <f>_xlfn.RANK.AVG(Table1[[#This Row],[Flux in RT / glucose uptake ($mmol/mmol\ glc$)]],Table1[Flux in RT / glucose uptake ($mmol/mmol\ glc$)])</f>
        <v>250</v>
      </c>
      <c r="I1707">
        <f>LOG(Table1[[#This Row],[Flux in SC / glucose uptake ($mmol/mmol\ glc$)]])</f>
        <v>-3.1822496314980362</v>
      </c>
      <c r="J1707">
        <f>LOG(Table1[[#This Row],[Flux in RT / glucose uptake ($mmol/mmol\ glc$)]])</f>
        <v>-2.4704870678171003</v>
      </c>
    </row>
    <row r="1708" spans="1:10" x14ac:dyDescent="0.2">
      <c r="A1708" t="s">
        <v>1711</v>
      </c>
      <c r="B1708" t="s">
        <v>3150</v>
      </c>
      <c r="C1708">
        <v>5.5815537528825745E-5</v>
      </c>
      <c r="D1708">
        <v>4.3568713458676944E-4</v>
      </c>
      <c r="E1708">
        <f>ABS(Table1[[#This Row],[Flux in SC / glucose uptake ($mmol/mmol\ glc$)]]-Table1[[#This Row],[Flux in RT / glucose uptake ($mmol/mmol\ glc$)]])/SQRT(2)</f>
        <v>2.6860978225983574E-4</v>
      </c>
      <c r="F1708">
        <f>Table1[[#This Row],[distance from 45-degree line]]/MAX(Table1[[Flux in SC / glucose uptake ($mmol/mmol\ glc$)]:[Flux in RT / glucose uptake ($mmol/mmol\ glc$)]])</f>
        <v>1.4477760762331678E-5</v>
      </c>
      <c r="G1708">
        <f>_xlfn.RANK.AVG(Table1[[#This Row],[Flux in SC / glucose uptake ($mmol/mmol\ glc$)]],Table1[Flux in SC / glucose uptake ($mmol/mmol\ glc$)])</f>
        <v>270</v>
      </c>
      <c r="H1708">
        <f>_xlfn.RANK.AVG(Table1[[#This Row],[Flux in RT / glucose uptake ($mmol/mmol\ glc$)]],Table1[Flux in RT / glucose uptake ($mmol/mmol\ glc$)])</f>
        <v>267.5</v>
      </c>
      <c r="I1708">
        <f>LOG(Table1[[#This Row],[Flux in SC / glucose uptake ($mmol/mmol\ glc$)]])</f>
        <v>-4.2532448884507108</v>
      </c>
      <c r="J1708">
        <f>LOG(Table1[[#This Row],[Flux in RT / glucose uptake ($mmol/mmol\ glc$)]])</f>
        <v>-3.36082526416447</v>
      </c>
    </row>
    <row r="1709" spans="1:10" x14ac:dyDescent="0.2">
      <c r="A1709" t="s">
        <v>1712</v>
      </c>
      <c r="B1709" t="s">
        <v>3150</v>
      </c>
      <c r="C1709">
        <v>3.7671604889174589E-5</v>
      </c>
      <c r="D1709">
        <v>6.8003155854373632E-4</v>
      </c>
      <c r="E1709">
        <f>ABS(Table1[[#This Row],[Flux in SC / glucose uptake ($mmol/mmol\ glc$)]]-Table1[[#This Row],[Flux in RT / glucose uptake ($mmol/mmol\ glc$)]])/SQRT(2)</f>
        <v>4.5421707919181693E-4</v>
      </c>
      <c r="F1709">
        <f>Table1[[#This Row],[distance from 45-degree line]]/MAX(Table1[[Flux in SC / glucose uptake ($mmol/mmol\ glc$)]:[Flux in RT / glucose uptake ($mmol/mmol\ glc$)]])</f>
        <v>2.4481782276800871E-5</v>
      </c>
      <c r="G1709">
        <f>_xlfn.RANK.AVG(Table1[[#This Row],[Flux in SC / glucose uptake ($mmol/mmol\ glc$)]],Table1[Flux in SC / glucose uptake ($mmol/mmol\ glc$)])</f>
        <v>276.5</v>
      </c>
      <c r="H1709">
        <f>_xlfn.RANK.AVG(Table1[[#This Row],[Flux in RT / glucose uptake ($mmol/mmol\ glc$)]],Table1[Flux in RT / glucose uptake ($mmol/mmol\ glc$)])</f>
        <v>260.5</v>
      </c>
      <c r="I1709">
        <f>LOG(Table1[[#This Row],[Flux in SC / glucose uptake ($mmol/mmol\ glc$)]])</f>
        <v>-4.4239858775491703</v>
      </c>
      <c r="J1709">
        <f>LOG(Table1[[#This Row],[Flux in RT / glucose uptake ($mmol/mmol\ glc$)]])</f>
        <v>-3.1674709323182149</v>
      </c>
    </row>
    <row r="1710" spans="1:10" x14ac:dyDescent="0.2">
      <c r="A1710" t="s">
        <v>1713</v>
      </c>
      <c r="B1710" t="s">
        <v>3150</v>
      </c>
      <c r="C1710">
        <v>5.5815537528825745E-5</v>
      </c>
      <c r="D1710">
        <v>4.3568713458676944E-4</v>
      </c>
      <c r="E1710">
        <f>ABS(Table1[[#This Row],[Flux in SC / glucose uptake ($mmol/mmol\ glc$)]]-Table1[[#This Row],[Flux in RT / glucose uptake ($mmol/mmol\ glc$)]])/SQRT(2)</f>
        <v>2.6860978225983574E-4</v>
      </c>
      <c r="F1710">
        <f>Table1[[#This Row],[distance from 45-degree line]]/MAX(Table1[[Flux in SC / glucose uptake ($mmol/mmol\ glc$)]:[Flux in RT / glucose uptake ($mmol/mmol\ glc$)]])</f>
        <v>1.4477760762331678E-5</v>
      </c>
      <c r="G1710">
        <f>_xlfn.RANK.AVG(Table1[[#This Row],[Flux in SC / glucose uptake ($mmol/mmol\ glc$)]],Table1[Flux in SC / glucose uptake ($mmol/mmol\ glc$)])</f>
        <v>270</v>
      </c>
      <c r="H1710">
        <f>_xlfn.RANK.AVG(Table1[[#This Row],[Flux in RT / glucose uptake ($mmol/mmol\ glc$)]],Table1[Flux in RT / glucose uptake ($mmol/mmol\ glc$)])</f>
        <v>267.5</v>
      </c>
      <c r="I1710">
        <f>LOG(Table1[[#This Row],[Flux in SC / glucose uptake ($mmol/mmol\ glc$)]])</f>
        <v>-4.2532448884507108</v>
      </c>
      <c r="J1710">
        <f>LOG(Table1[[#This Row],[Flux in RT / glucose uptake ($mmol/mmol\ glc$)]])</f>
        <v>-3.36082526416447</v>
      </c>
    </row>
    <row r="1711" spans="1:10" x14ac:dyDescent="0.2">
      <c r="A1711" t="s">
        <v>1714</v>
      </c>
      <c r="B1711" t="s">
        <v>3150</v>
      </c>
      <c r="C1711">
        <v>3.7671604889174589E-5</v>
      </c>
      <c r="D1711">
        <v>6.8003155854373632E-4</v>
      </c>
      <c r="E1711">
        <f>ABS(Table1[[#This Row],[Flux in SC / glucose uptake ($mmol/mmol\ glc$)]]-Table1[[#This Row],[Flux in RT / glucose uptake ($mmol/mmol\ glc$)]])/SQRT(2)</f>
        <v>4.5421707919181693E-4</v>
      </c>
      <c r="F1711">
        <f>Table1[[#This Row],[distance from 45-degree line]]/MAX(Table1[[Flux in SC / glucose uptake ($mmol/mmol\ glc$)]:[Flux in RT / glucose uptake ($mmol/mmol\ glc$)]])</f>
        <v>2.4481782276800871E-5</v>
      </c>
      <c r="G1711">
        <f>_xlfn.RANK.AVG(Table1[[#This Row],[Flux in SC / glucose uptake ($mmol/mmol\ glc$)]],Table1[Flux in SC / glucose uptake ($mmol/mmol\ glc$)])</f>
        <v>276.5</v>
      </c>
      <c r="H1711">
        <f>_xlfn.RANK.AVG(Table1[[#This Row],[Flux in RT / glucose uptake ($mmol/mmol\ glc$)]],Table1[Flux in RT / glucose uptake ($mmol/mmol\ glc$)])</f>
        <v>260.5</v>
      </c>
      <c r="I1711">
        <f>LOG(Table1[[#This Row],[Flux in SC / glucose uptake ($mmol/mmol\ glc$)]])</f>
        <v>-4.4239858775491703</v>
      </c>
      <c r="J1711">
        <f>LOG(Table1[[#This Row],[Flux in RT / glucose uptake ($mmol/mmol\ glc$)]])</f>
        <v>-3.1674709323182149</v>
      </c>
    </row>
    <row r="1712" spans="1:10" x14ac:dyDescent="0.2">
      <c r="A1712" t="s">
        <v>1715</v>
      </c>
      <c r="B1712" t="s">
        <v>3150</v>
      </c>
      <c r="C1712">
        <v>5.5815537528825745E-5</v>
      </c>
      <c r="D1712">
        <v>4.3569845698038538E-4</v>
      </c>
      <c r="E1712">
        <f>ABS(Table1[[#This Row],[Flux in SC / glucose uptake ($mmol/mmol\ glc$)]]-Table1[[#This Row],[Flux in RT / glucose uptake ($mmol/mmol\ glc$)]])/SQRT(2)</f>
        <v>2.6861778840114083E-4</v>
      </c>
      <c r="F1712">
        <f>Table1[[#This Row],[distance from 45-degree line]]/MAX(Table1[[Flux in SC / glucose uptake ($mmol/mmol\ glc$)]:[Flux in RT / glucose uptake ($mmol/mmol\ glc$)]])</f>
        <v>1.4478192284212488E-5</v>
      </c>
      <c r="G1712">
        <f>_xlfn.RANK.AVG(Table1[[#This Row],[Flux in SC / glucose uptake ($mmol/mmol\ glc$)]],Table1[Flux in SC / glucose uptake ($mmol/mmol\ glc$)])</f>
        <v>270</v>
      </c>
      <c r="H1712">
        <f>_xlfn.RANK.AVG(Table1[[#This Row],[Flux in RT / glucose uptake ($mmol/mmol\ glc$)]],Table1[Flux in RT / glucose uptake ($mmol/mmol\ glc$)])</f>
        <v>263</v>
      </c>
      <c r="I1712">
        <f>LOG(Table1[[#This Row],[Flux in SC / glucose uptake ($mmol/mmol\ glc$)]])</f>
        <v>-4.2532448884507108</v>
      </c>
      <c r="J1712">
        <f>LOG(Table1[[#This Row],[Flux in RT / glucose uptake ($mmol/mmol\ glc$)]])</f>
        <v>-3.3608139781089803</v>
      </c>
    </row>
    <row r="1713" spans="1:10" x14ac:dyDescent="0.2">
      <c r="A1713" t="s">
        <v>1716</v>
      </c>
      <c r="B1713" t="s">
        <v>3150</v>
      </c>
      <c r="C1713">
        <v>0</v>
      </c>
      <c r="D1713">
        <v>0</v>
      </c>
      <c r="E1713">
        <f>ABS(Table1[[#This Row],[Flux in SC / glucose uptake ($mmol/mmol\ glc$)]]-Table1[[#This Row],[Flux in RT / glucose uptake ($mmol/mmol\ glc$)]])/SQRT(2)</f>
        <v>0</v>
      </c>
      <c r="F1713">
        <f>Table1[[#This Row],[distance from 45-degree line]]/MAX(Table1[[Flux in SC / glucose uptake ($mmol/mmol\ glc$)]:[Flux in RT / glucose uptake ($mmol/mmol\ glc$)]])</f>
        <v>0</v>
      </c>
      <c r="G1713">
        <f>_xlfn.RANK.AVG(Table1[[#This Row],[Flux in SC / glucose uptake ($mmol/mmol\ glc$)]],Table1[Flux in SC / glucose uptake ($mmol/mmol\ glc$)])</f>
        <v>1310.5</v>
      </c>
      <c r="H1713">
        <f>_xlfn.RANK.AVG(Table1[[#This Row],[Flux in RT / glucose uptake ($mmol/mmol\ glc$)]],Table1[Flux in RT / glucose uptake ($mmol/mmol\ glc$)])</f>
        <v>1290.5</v>
      </c>
      <c r="I1713" t="e">
        <f>LOG(Table1[[#This Row],[Flux in SC / glucose uptake ($mmol/mmol\ glc$)]])</f>
        <v>#NUM!</v>
      </c>
      <c r="J1713" t="e">
        <f>LOG(Table1[[#This Row],[Flux in RT / glucose uptake ($mmol/mmol\ glc$)]])</f>
        <v>#NUM!</v>
      </c>
    </row>
    <row r="1714" spans="1:10" x14ac:dyDescent="0.2">
      <c r="A1714" t="s">
        <v>1717</v>
      </c>
      <c r="B1714" t="s">
        <v>3114</v>
      </c>
      <c r="C1714">
        <v>0</v>
      </c>
      <c r="D1714">
        <v>0</v>
      </c>
      <c r="E1714">
        <f>ABS(Table1[[#This Row],[Flux in SC / glucose uptake ($mmol/mmol\ glc$)]]-Table1[[#This Row],[Flux in RT / glucose uptake ($mmol/mmol\ glc$)]])/SQRT(2)</f>
        <v>0</v>
      </c>
      <c r="F1714">
        <f>Table1[[#This Row],[distance from 45-degree line]]/MAX(Table1[[Flux in SC / glucose uptake ($mmol/mmol\ glc$)]:[Flux in RT / glucose uptake ($mmol/mmol\ glc$)]])</f>
        <v>0</v>
      </c>
      <c r="G1714">
        <f>_xlfn.RANK.AVG(Table1[[#This Row],[Flux in SC / glucose uptake ($mmol/mmol\ glc$)]],Table1[Flux in SC / glucose uptake ($mmol/mmol\ glc$)])</f>
        <v>1310.5</v>
      </c>
      <c r="H1714">
        <f>_xlfn.RANK.AVG(Table1[[#This Row],[Flux in RT / glucose uptake ($mmol/mmol\ glc$)]],Table1[Flux in RT / glucose uptake ($mmol/mmol\ glc$)])</f>
        <v>1290.5</v>
      </c>
      <c r="I1714" t="e">
        <f>LOG(Table1[[#This Row],[Flux in SC / glucose uptake ($mmol/mmol\ glc$)]])</f>
        <v>#NUM!</v>
      </c>
      <c r="J1714" t="e">
        <f>LOG(Table1[[#This Row],[Flux in RT / glucose uptake ($mmol/mmol\ glc$)]])</f>
        <v>#NUM!</v>
      </c>
    </row>
    <row r="1715" spans="1:10" x14ac:dyDescent="0.2">
      <c r="A1715" t="s">
        <v>1718</v>
      </c>
      <c r="B1715" t="s">
        <v>3125</v>
      </c>
      <c r="C1715">
        <v>0</v>
      </c>
      <c r="D1715">
        <v>0</v>
      </c>
      <c r="E1715">
        <f>ABS(Table1[[#This Row],[Flux in SC / glucose uptake ($mmol/mmol\ glc$)]]-Table1[[#This Row],[Flux in RT / glucose uptake ($mmol/mmol\ glc$)]])/SQRT(2)</f>
        <v>0</v>
      </c>
      <c r="F1715">
        <f>Table1[[#This Row],[distance from 45-degree line]]/MAX(Table1[[Flux in SC / glucose uptake ($mmol/mmol\ glc$)]:[Flux in RT / glucose uptake ($mmol/mmol\ glc$)]])</f>
        <v>0</v>
      </c>
      <c r="G1715">
        <f>_xlfn.RANK.AVG(Table1[[#This Row],[Flux in SC / glucose uptake ($mmol/mmol\ glc$)]],Table1[Flux in SC / glucose uptake ($mmol/mmol\ glc$)])</f>
        <v>1310.5</v>
      </c>
      <c r="H1715">
        <f>_xlfn.RANK.AVG(Table1[[#This Row],[Flux in RT / glucose uptake ($mmol/mmol\ glc$)]],Table1[Flux in RT / glucose uptake ($mmol/mmol\ glc$)])</f>
        <v>1290.5</v>
      </c>
      <c r="I1715" t="e">
        <f>LOG(Table1[[#This Row],[Flux in SC / glucose uptake ($mmol/mmol\ glc$)]])</f>
        <v>#NUM!</v>
      </c>
      <c r="J1715" t="e">
        <f>LOG(Table1[[#This Row],[Flux in RT / glucose uptake ($mmol/mmol\ glc$)]])</f>
        <v>#NUM!</v>
      </c>
    </row>
    <row r="1716" spans="1:10" x14ac:dyDescent="0.2">
      <c r="A1716" t="s">
        <v>1719</v>
      </c>
      <c r="B1716" t="s">
        <v>3113</v>
      </c>
      <c r="C1716">
        <v>0</v>
      </c>
      <c r="D1716">
        <v>0</v>
      </c>
      <c r="E1716">
        <f>ABS(Table1[[#This Row],[Flux in SC / glucose uptake ($mmol/mmol\ glc$)]]-Table1[[#This Row],[Flux in RT / glucose uptake ($mmol/mmol\ glc$)]])/SQRT(2)</f>
        <v>0</v>
      </c>
      <c r="F1716">
        <f>Table1[[#This Row],[distance from 45-degree line]]/MAX(Table1[[Flux in SC / glucose uptake ($mmol/mmol\ glc$)]:[Flux in RT / glucose uptake ($mmol/mmol\ glc$)]])</f>
        <v>0</v>
      </c>
      <c r="G1716">
        <f>_xlfn.RANK.AVG(Table1[[#This Row],[Flux in SC / glucose uptake ($mmol/mmol\ glc$)]],Table1[Flux in SC / glucose uptake ($mmol/mmol\ glc$)])</f>
        <v>1310.5</v>
      </c>
      <c r="H1716">
        <f>_xlfn.RANK.AVG(Table1[[#This Row],[Flux in RT / glucose uptake ($mmol/mmol\ glc$)]],Table1[Flux in RT / glucose uptake ($mmol/mmol\ glc$)])</f>
        <v>1290.5</v>
      </c>
      <c r="I1716" t="e">
        <f>LOG(Table1[[#This Row],[Flux in SC / glucose uptake ($mmol/mmol\ glc$)]])</f>
        <v>#NUM!</v>
      </c>
      <c r="J1716" t="e">
        <f>LOG(Table1[[#This Row],[Flux in RT / glucose uptake ($mmol/mmol\ glc$)]])</f>
        <v>#NUM!</v>
      </c>
    </row>
    <row r="1717" spans="1:10" x14ac:dyDescent="0.2">
      <c r="A1717" t="s">
        <v>1720</v>
      </c>
      <c r="B1717" t="s">
        <v>3113</v>
      </c>
      <c r="C1717">
        <v>0</v>
      </c>
      <c r="D1717">
        <v>0</v>
      </c>
      <c r="E1717">
        <f>ABS(Table1[[#This Row],[Flux in SC / glucose uptake ($mmol/mmol\ glc$)]]-Table1[[#This Row],[Flux in RT / glucose uptake ($mmol/mmol\ glc$)]])/SQRT(2)</f>
        <v>0</v>
      </c>
      <c r="F1717">
        <f>Table1[[#This Row],[distance from 45-degree line]]/MAX(Table1[[Flux in SC / glucose uptake ($mmol/mmol\ glc$)]:[Flux in RT / glucose uptake ($mmol/mmol\ glc$)]])</f>
        <v>0</v>
      </c>
      <c r="G1717">
        <f>_xlfn.RANK.AVG(Table1[[#This Row],[Flux in SC / glucose uptake ($mmol/mmol\ glc$)]],Table1[Flux in SC / glucose uptake ($mmol/mmol\ glc$)])</f>
        <v>1310.5</v>
      </c>
      <c r="H1717">
        <f>_xlfn.RANK.AVG(Table1[[#This Row],[Flux in RT / glucose uptake ($mmol/mmol\ glc$)]],Table1[Flux in RT / glucose uptake ($mmol/mmol\ glc$)])</f>
        <v>1290.5</v>
      </c>
      <c r="I1717" t="e">
        <f>LOG(Table1[[#This Row],[Flux in SC / glucose uptake ($mmol/mmol\ glc$)]])</f>
        <v>#NUM!</v>
      </c>
      <c r="J1717" t="e">
        <f>LOG(Table1[[#This Row],[Flux in RT / glucose uptake ($mmol/mmol\ glc$)]])</f>
        <v>#NUM!</v>
      </c>
    </row>
    <row r="1718" spans="1:10" x14ac:dyDescent="0.2">
      <c r="A1718" t="s">
        <v>1721</v>
      </c>
      <c r="B1718" t="s">
        <v>3113</v>
      </c>
      <c r="C1718">
        <v>0</v>
      </c>
      <c r="D1718">
        <v>0</v>
      </c>
      <c r="E1718">
        <f>ABS(Table1[[#This Row],[Flux in SC / glucose uptake ($mmol/mmol\ glc$)]]-Table1[[#This Row],[Flux in RT / glucose uptake ($mmol/mmol\ glc$)]])/SQRT(2)</f>
        <v>0</v>
      </c>
      <c r="F1718">
        <f>Table1[[#This Row],[distance from 45-degree line]]/MAX(Table1[[Flux in SC / glucose uptake ($mmol/mmol\ glc$)]:[Flux in RT / glucose uptake ($mmol/mmol\ glc$)]])</f>
        <v>0</v>
      </c>
      <c r="G1718">
        <f>_xlfn.RANK.AVG(Table1[[#This Row],[Flux in SC / glucose uptake ($mmol/mmol\ glc$)]],Table1[Flux in SC / glucose uptake ($mmol/mmol\ glc$)])</f>
        <v>1310.5</v>
      </c>
      <c r="H1718">
        <f>_xlfn.RANK.AVG(Table1[[#This Row],[Flux in RT / glucose uptake ($mmol/mmol\ glc$)]],Table1[Flux in RT / glucose uptake ($mmol/mmol\ glc$)])</f>
        <v>1290.5</v>
      </c>
      <c r="I1718" t="e">
        <f>LOG(Table1[[#This Row],[Flux in SC / glucose uptake ($mmol/mmol\ glc$)]])</f>
        <v>#NUM!</v>
      </c>
      <c r="J1718" t="e">
        <f>LOG(Table1[[#This Row],[Flux in RT / glucose uptake ($mmol/mmol\ glc$)]])</f>
        <v>#NUM!</v>
      </c>
    </row>
    <row r="1719" spans="1:10" x14ac:dyDescent="0.2">
      <c r="A1719" t="s">
        <v>1722</v>
      </c>
      <c r="B1719" t="s">
        <v>3113</v>
      </c>
      <c r="C1719">
        <v>0</v>
      </c>
      <c r="D1719">
        <v>0</v>
      </c>
      <c r="E1719">
        <f>ABS(Table1[[#This Row],[Flux in SC / glucose uptake ($mmol/mmol\ glc$)]]-Table1[[#This Row],[Flux in RT / glucose uptake ($mmol/mmol\ glc$)]])/SQRT(2)</f>
        <v>0</v>
      </c>
      <c r="F1719">
        <f>Table1[[#This Row],[distance from 45-degree line]]/MAX(Table1[[Flux in SC / glucose uptake ($mmol/mmol\ glc$)]:[Flux in RT / glucose uptake ($mmol/mmol\ glc$)]])</f>
        <v>0</v>
      </c>
      <c r="G1719">
        <f>_xlfn.RANK.AVG(Table1[[#This Row],[Flux in SC / glucose uptake ($mmol/mmol\ glc$)]],Table1[Flux in SC / glucose uptake ($mmol/mmol\ glc$)])</f>
        <v>1310.5</v>
      </c>
      <c r="H1719">
        <f>_xlfn.RANK.AVG(Table1[[#This Row],[Flux in RT / glucose uptake ($mmol/mmol\ glc$)]],Table1[Flux in RT / glucose uptake ($mmol/mmol\ glc$)])</f>
        <v>1290.5</v>
      </c>
      <c r="I1719" t="e">
        <f>LOG(Table1[[#This Row],[Flux in SC / glucose uptake ($mmol/mmol\ glc$)]])</f>
        <v>#NUM!</v>
      </c>
      <c r="J1719" t="e">
        <f>LOG(Table1[[#This Row],[Flux in RT / glucose uptake ($mmol/mmol\ glc$)]])</f>
        <v>#NUM!</v>
      </c>
    </row>
    <row r="1720" spans="1:10" x14ac:dyDescent="0.2">
      <c r="A1720" t="s">
        <v>1723</v>
      </c>
      <c r="B1720" t="s">
        <v>3113</v>
      </c>
      <c r="C1720">
        <v>0</v>
      </c>
      <c r="D1720">
        <v>0</v>
      </c>
      <c r="E1720">
        <f>ABS(Table1[[#This Row],[Flux in SC / glucose uptake ($mmol/mmol\ glc$)]]-Table1[[#This Row],[Flux in RT / glucose uptake ($mmol/mmol\ glc$)]])/SQRT(2)</f>
        <v>0</v>
      </c>
      <c r="F1720">
        <f>Table1[[#This Row],[distance from 45-degree line]]/MAX(Table1[[Flux in SC / glucose uptake ($mmol/mmol\ glc$)]:[Flux in RT / glucose uptake ($mmol/mmol\ glc$)]])</f>
        <v>0</v>
      </c>
      <c r="G1720">
        <f>_xlfn.RANK.AVG(Table1[[#This Row],[Flux in SC / glucose uptake ($mmol/mmol\ glc$)]],Table1[Flux in SC / glucose uptake ($mmol/mmol\ glc$)])</f>
        <v>1310.5</v>
      </c>
      <c r="H1720">
        <f>_xlfn.RANK.AVG(Table1[[#This Row],[Flux in RT / glucose uptake ($mmol/mmol\ glc$)]],Table1[Flux in RT / glucose uptake ($mmol/mmol\ glc$)])</f>
        <v>1290.5</v>
      </c>
      <c r="I1720" t="e">
        <f>LOG(Table1[[#This Row],[Flux in SC / glucose uptake ($mmol/mmol\ glc$)]])</f>
        <v>#NUM!</v>
      </c>
      <c r="J1720" t="e">
        <f>LOG(Table1[[#This Row],[Flux in RT / glucose uptake ($mmol/mmol\ glc$)]])</f>
        <v>#NUM!</v>
      </c>
    </row>
    <row r="1721" spans="1:10" x14ac:dyDescent="0.2">
      <c r="A1721" t="s">
        <v>1724</v>
      </c>
      <c r="B1721" t="s">
        <v>3113</v>
      </c>
      <c r="C1721">
        <v>0</v>
      </c>
      <c r="D1721">
        <v>0</v>
      </c>
      <c r="E1721">
        <f>ABS(Table1[[#This Row],[Flux in SC / glucose uptake ($mmol/mmol\ glc$)]]-Table1[[#This Row],[Flux in RT / glucose uptake ($mmol/mmol\ glc$)]])/SQRT(2)</f>
        <v>0</v>
      </c>
      <c r="F1721">
        <f>Table1[[#This Row],[distance from 45-degree line]]/MAX(Table1[[Flux in SC / glucose uptake ($mmol/mmol\ glc$)]:[Flux in RT / glucose uptake ($mmol/mmol\ glc$)]])</f>
        <v>0</v>
      </c>
      <c r="G1721">
        <f>_xlfn.RANK.AVG(Table1[[#This Row],[Flux in SC / glucose uptake ($mmol/mmol\ glc$)]],Table1[Flux in SC / glucose uptake ($mmol/mmol\ glc$)])</f>
        <v>1310.5</v>
      </c>
      <c r="H1721">
        <f>_xlfn.RANK.AVG(Table1[[#This Row],[Flux in RT / glucose uptake ($mmol/mmol\ glc$)]],Table1[Flux in RT / glucose uptake ($mmol/mmol\ glc$)])</f>
        <v>1290.5</v>
      </c>
      <c r="I1721" t="e">
        <f>LOG(Table1[[#This Row],[Flux in SC / glucose uptake ($mmol/mmol\ glc$)]])</f>
        <v>#NUM!</v>
      </c>
      <c r="J1721" t="e">
        <f>LOG(Table1[[#This Row],[Flux in RT / glucose uptake ($mmol/mmol\ glc$)]])</f>
        <v>#NUM!</v>
      </c>
    </row>
    <row r="1722" spans="1:10" x14ac:dyDescent="0.2">
      <c r="A1722" t="s">
        <v>1725</v>
      </c>
      <c r="B1722" t="s">
        <v>3113</v>
      </c>
      <c r="C1722">
        <v>0</v>
      </c>
      <c r="D1722">
        <v>0</v>
      </c>
      <c r="E1722">
        <f>ABS(Table1[[#This Row],[Flux in SC / glucose uptake ($mmol/mmol\ glc$)]]-Table1[[#This Row],[Flux in RT / glucose uptake ($mmol/mmol\ glc$)]])/SQRT(2)</f>
        <v>0</v>
      </c>
      <c r="F1722">
        <f>Table1[[#This Row],[distance from 45-degree line]]/MAX(Table1[[Flux in SC / glucose uptake ($mmol/mmol\ glc$)]:[Flux in RT / glucose uptake ($mmol/mmol\ glc$)]])</f>
        <v>0</v>
      </c>
      <c r="G1722">
        <f>_xlfn.RANK.AVG(Table1[[#This Row],[Flux in SC / glucose uptake ($mmol/mmol\ glc$)]],Table1[Flux in SC / glucose uptake ($mmol/mmol\ glc$)])</f>
        <v>1310.5</v>
      </c>
      <c r="H1722">
        <f>_xlfn.RANK.AVG(Table1[[#This Row],[Flux in RT / glucose uptake ($mmol/mmol\ glc$)]],Table1[Flux in RT / glucose uptake ($mmol/mmol\ glc$)])</f>
        <v>1290.5</v>
      </c>
      <c r="I1722" t="e">
        <f>LOG(Table1[[#This Row],[Flux in SC / glucose uptake ($mmol/mmol\ glc$)]])</f>
        <v>#NUM!</v>
      </c>
      <c r="J1722" t="e">
        <f>LOG(Table1[[#This Row],[Flux in RT / glucose uptake ($mmol/mmol\ glc$)]])</f>
        <v>#NUM!</v>
      </c>
    </row>
    <row r="1723" spans="1:10" x14ac:dyDescent="0.2">
      <c r="A1723" t="s">
        <v>1726</v>
      </c>
      <c r="B1723" t="s">
        <v>3113</v>
      </c>
      <c r="C1723">
        <v>0</v>
      </c>
      <c r="D1723">
        <v>0</v>
      </c>
      <c r="E1723">
        <f>ABS(Table1[[#This Row],[Flux in SC / glucose uptake ($mmol/mmol\ glc$)]]-Table1[[#This Row],[Flux in RT / glucose uptake ($mmol/mmol\ glc$)]])/SQRT(2)</f>
        <v>0</v>
      </c>
      <c r="F1723">
        <f>Table1[[#This Row],[distance from 45-degree line]]/MAX(Table1[[Flux in SC / glucose uptake ($mmol/mmol\ glc$)]:[Flux in RT / glucose uptake ($mmol/mmol\ glc$)]])</f>
        <v>0</v>
      </c>
      <c r="G1723">
        <f>_xlfn.RANK.AVG(Table1[[#This Row],[Flux in SC / glucose uptake ($mmol/mmol\ glc$)]],Table1[Flux in SC / glucose uptake ($mmol/mmol\ glc$)])</f>
        <v>1310.5</v>
      </c>
      <c r="H1723">
        <f>_xlfn.RANK.AVG(Table1[[#This Row],[Flux in RT / glucose uptake ($mmol/mmol\ glc$)]],Table1[Flux in RT / glucose uptake ($mmol/mmol\ glc$)])</f>
        <v>1290.5</v>
      </c>
      <c r="I1723" t="e">
        <f>LOG(Table1[[#This Row],[Flux in SC / glucose uptake ($mmol/mmol\ glc$)]])</f>
        <v>#NUM!</v>
      </c>
      <c r="J1723" t="e">
        <f>LOG(Table1[[#This Row],[Flux in RT / glucose uptake ($mmol/mmol\ glc$)]])</f>
        <v>#NUM!</v>
      </c>
    </row>
    <row r="1724" spans="1:10" x14ac:dyDescent="0.2">
      <c r="A1724" t="s">
        <v>1727</v>
      </c>
      <c r="B1724" t="s">
        <v>3113</v>
      </c>
      <c r="C1724">
        <v>0</v>
      </c>
      <c r="D1724">
        <v>0</v>
      </c>
      <c r="E1724">
        <f>ABS(Table1[[#This Row],[Flux in SC / glucose uptake ($mmol/mmol\ glc$)]]-Table1[[#This Row],[Flux in RT / glucose uptake ($mmol/mmol\ glc$)]])/SQRT(2)</f>
        <v>0</v>
      </c>
      <c r="F1724">
        <f>Table1[[#This Row],[distance from 45-degree line]]/MAX(Table1[[Flux in SC / glucose uptake ($mmol/mmol\ glc$)]:[Flux in RT / glucose uptake ($mmol/mmol\ glc$)]])</f>
        <v>0</v>
      </c>
      <c r="G1724">
        <f>_xlfn.RANK.AVG(Table1[[#This Row],[Flux in SC / glucose uptake ($mmol/mmol\ glc$)]],Table1[Flux in SC / glucose uptake ($mmol/mmol\ glc$)])</f>
        <v>1310.5</v>
      </c>
      <c r="H1724">
        <f>_xlfn.RANK.AVG(Table1[[#This Row],[Flux in RT / glucose uptake ($mmol/mmol\ glc$)]],Table1[Flux in RT / glucose uptake ($mmol/mmol\ glc$)])</f>
        <v>1290.5</v>
      </c>
      <c r="I1724" t="e">
        <f>LOG(Table1[[#This Row],[Flux in SC / glucose uptake ($mmol/mmol\ glc$)]])</f>
        <v>#NUM!</v>
      </c>
      <c r="J1724" t="e">
        <f>LOG(Table1[[#This Row],[Flux in RT / glucose uptake ($mmol/mmol\ glc$)]])</f>
        <v>#NUM!</v>
      </c>
    </row>
    <row r="1725" spans="1:10" x14ac:dyDescent="0.2">
      <c r="A1725" t="s">
        <v>1728</v>
      </c>
      <c r="B1725" t="s">
        <v>3113</v>
      </c>
      <c r="C1725">
        <v>0</v>
      </c>
      <c r="D1725">
        <v>0</v>
      </c>
      <c r="E1725">
        <f>ABS(Table1[[#This Row],[Flux in SC / glucose uptake ($mmol/mmol\ glc$)]]-Table1[[#This Row],[Flux in RT / glucose uptake ($mmol/mmol\ glc$)]])/SQRT(2)</f>
        <v>0</v>
      </c>
      <c r="F1725">
        <f>Table1[[#This Row],[distance from 45-degree line]]/MAX(Table1[[Flux in SC / glucose uptake ($mmol/mmol\ glc$)]:[Flux in RT / glucose uptake ($mmol/mmol\ glc$)]])</f>
        <v>0</v>
      </c>
      <c r="G1725">
        <f>_xlfn.RANK.AVG(Table1[[#This Row],[Flux in SC / glucose uptake ($mmol/mmol\ glc$)]],Table1[Flux in SC / glucose uptake ($mmol/mmol\ glc$)])</f>
        <v>1310.5</v>
      </c>
      <c r="H1725">
        <f>_xlfn.RANK.AVG(Table1[[#This Row],[Flux in RT / glucose uptake ($mmol/mmol\ glc$)]],Table1[Flux in RT / glucose uptake ($mmol/mmol\ glc$)])</f>
        <v>1290.5</v>
      </c>
      <c r="I1725" t="e">
        <f>LOG(Table1[[#This Row],[Flux in SC / glucose uptake ($mmol/mmol\ glc$)]])</f>
        <v>#NUM!</v>
      </c>
      <c r="J1725" t="e">
        <f>LOG(Table1[[#This Row],[Flux in RT / glucose uptake ($mmol/mmol\ glc$)]])</f>
        <v>#NUM!</v>
      </c>
    </row>
    <row r="1726" spans="1:10" x14ac:dyDescent="0.2">
      <c r="A1726" t="s">
        <v>1729</v>
      </c>
      <c r="B1726" t="s">
        <v>3113</v>
      </c>
      <c r="C1726">
        <v>0</v>
      </c>
      <c r="D1726">
        <v>0</v>
      </c>
      <c r="E1726">
        <f>ABS(Table1[[#This Row],[Flux in SC / glucose uptake ($mmol/mmol\ glc$)]]-Table1[[#This Row],[Flux in RT / glucose uptake ($mmol/mmol\ glc$)]])/SQRT(2)</f>
        <v>0</v>
      </c>
      <c r="F1726">
        <f>Table1[[#This Row],[distance from 45-degree line]]/MAX(Table1[[Flux in SC / glucose uptake ($mmol/mmol\ glc$)]:[Flux in RT / glucose uptake ($mmol/mmol\ glc$)]])</f>
        <v>0</v>
      </c>
      <c r="G1726">
        <f>_xlfn.RANK.AVG(Table1[[#This Row],[Flux in SC / glucose uptake ($mmol/mmol\ glc$)]],Table1[Flux in SC / glucose uptake ($mmol/mmol\ glc$)])</f>
        <v>1310.5</v>
      </c>
      <c r="H1726">
        <f>_xlfn.RANK.AVG(Table1[[#This Row],[Flux in RT / glucose uptake ($mmol/mmol\ glc$)]],Table1[Flux in RT / glucose uptake ($mmol/mmol\ glc$)])</f>
        <v>1290.5</v>
      </c>
      <c r="I1726" t="e">
        <f>LOG(Table1[[#This Row],[Flux in SC / glucose uptake ($mmol/mmol\ glc$)]])</f>
        <v>#NUM!</v>
      </c>
      <c r="J1726" t="e">
        <f>LOG(Table1[[#This Row],[Flux in RT / glucose uptake ($mmol/mmol\ glc$)]])</f>
        <v>#NUM!</v>
      </c>
    </row>
    <row r="1727" spans="1:10" x14ac:dyDescent="0.2">
      <c r="A1727" t="s">
        <v>1730</v>
      </c>
      <c r="B1727" t="s">
        <v>3113</v>
      </c>
      <c r="C1727">
        <v>0</v>
      </c>
      <c r="D1727">
        <v>0</v>
      </c>
      <c r="E1727">
        <f>ABS(Table1[[#This Row],[Flux in SC / glucose uptake ($mmol/mmol\ glc$)]]-Table1[[#This Row],[Flux in RT / glucose uptake ($mmol/mmol\ glc$)]])/SQRT(2)</f>
        <v>0</v>
      </c>
      <c r="F1727">
        <f>Table1[[#This Row],[distance from 45-degree line]]/MAX(Table1[[Flux in SC / glucose uptake ($mmol/mmol\ glc$)]:[Flux in RT / glucose uptake ($mmol/mmol\ glc$)]])</f>
        <v>0</v>
      </c>
      <c r="G1727">
        <f>_xlfn.RANK.AVG(Table1[[#This Row],[Flux in SC / glucose uptake ($mmol/mmol\ glc$)]],Table1[Flux in SC / glucose uptake ($mmol/mmol\ glc$)])</f>
        <v>1310.5</v>
      </c>
      <c r="H1727">
        <f>_xlfn.RANK.AVG(Table1[[#This Row],[Flux in RT / glucose uptake ($mmol/mmol\ glc$)]],Table1[Flux in RT / glucose uptake ($mmol/mmol\ glc$)])</f>
        <v>1290.5</v>
      </c>
      <c r="I1727" t="e">
        <f>LOG(Table1[[#This Row],[Flux in SC / glucose uptake ($mmol/mmol\ glc$)]])</f>
        <v>#NUM!</v>
      </c>
      <c r="J1727" t="e">
        <f>LOG(Table1[[#This Row],[Flux in RT / glucose uptake ($mmol/mmol\ glc$)]])</f>
        <v>#NUM!</v>
      </c>
    </row>
    <row r="1728" spans="1:10" x14ac:dyDescent="0.2">
      <c r="A1728" t="s">
        <v>1731</v>
      </c>
      <c r="B1728" t="s">
        <v>3113</v>
      </c>
      <c r="C1728">
        <v>0</v>
      </c>
      <c r="D1728">
        <v>0</v>
      </c>
      <c r="E1728">
        <f>ABS(Table1[[#This Row],[Flux in SC / glucose uptake ($mmol/mmol\ glc$)]]-Table1[[#This Row],[Flux in RT / glucose uptake ($mmol/mmol\ glc$)]])/SQRT(2)</f>
        <v>0</v>
      </c>
      <c r="F1728">
        <f>Table1[[#This Row],[distance from 45-degree line]]/MAX(Table1[[Flux in SC / glucose uptake ($mmol/mmol\ glc$)]:[Flux in RT / glucose uptake ($mmol/mmol\ glc$)]])</f>
        <v>0</v>
      </c>
      <c r="G1728">
        <f>_xlfn.RANK.AVG(Table1[[#This Row],[Flux in SC / glucose uptake ($mmol/mmol\ glc$)]],Table1[Flux in SC / glucose uptake ($mmol/mmol\ glc$)])</f>
        <v>1310.5</v>
      </c>
      <c r="H1728">
        <f>_xlfn.RANK.AVG(Table1[[#This Row],[Flux in RT / glucose uptake ($mmol/mmol\ glc$)]],Table1[Flux in RT / glucose uptake ($mmol/mmol\ glc$)])</f>
        <v>1290.5</v>
      </c>
      <c r="I1728" t="e">
        <f>LOG(Table1[[#This Row],[Flux in SC / glucose uptake ($mmol/mmol\ glc$)]])</f>
        <v>#NUM!</v>
      </c>
      <c r="J1728" t="e">
        <f>LOG(Table1[[#This Row],[Flux in RT / glucose uptake ($mmol/mmol\ glc$)]])</f>
        <v>#NUM!</v>
      </c>
    </row>
    <row r="1729" spans="1:10" x14ac:dyDescent="0.2">
      <c r="A1729" t="s">
        <v>1732</v>
      </c>
      <c r="B1729" t="s">
        <v>3113</v>
      </c>
      <c r="C1729">
        <v>0</v>
      </c>
      <c r="D1729">
        <v>0</v>
      </c>
      <c r="E1729">
        <f>ABS(Table1[[#This Row],[Flux in SC / glucose uptake ($mmol/mmol\ glc$)]]-Table1[[#This Row],[Flux in RT / glucose uptake ($mmol/mmol\ glc$)]])/SQRT(2)</f>
        <v>0</v>
      </c>
      <c r="F1729">
        <f>Table1[[#This Row],[distance from 45-degree line]]/MAX(Table1[[Flux in SC / glucose uptake ($mmol/mmol\ glc$)]:[Flux in RT / glucose uptake ($mmol/mmol\ glc$)]])</f>
        <v>0</v>
      </c>
      <c r="G1729">
        <f>_xlfn.RANK.AVG(Table1[[#This Row],[Flux in SC / glucose uptake ($mmol/mmol\ glc$)]],Table1[Flux in SC / glucose uptake ($mmol/mmol\ glc$)])</f>
        <v>1310.5</v>
      </c>
      <c r="H1729">
        <f>_xlfn.RANK.AVG(Table1[[#This Row],[Flux in RT / glucose uptake ($mmol/mmol\ glc$)]],Table1[Flux in RT / glucose uptake ($mmol/mmol\ glc$)])</f>
        <v>1290.5</v>
      </c>
      <c r="I1729" t="e">
        <f>LOG(Table1[[#This Row],[Flux in SC / glucose uptake ($mmol/mmol\ glc$)]])</f>
        <v>#NUM!</v>
      </c>
      <c r="J1729" t="e">
        <f>LOG(Table1[[#This Row],[Flux in RT / glucose uptake ($mmol/mmol\ glc$)]])</f>
        <v>#NUM!</v>
      </c>
    </row>
    <row r="1730" spans="1:10" x14ac:dyDescent="0.2">
      <c r="A1730" t="s">
        <v>1733</v>
      </c>
      <c r="B1730" t="s">
        <v>3113</v>
      </c>
      <c r="C1730">
        <v>0</v>
      </c>
      <c r="D1730">
        <v>0</v>
      </c>
      <c r="E1730">
        <f>ABS(Table1[[#This Row],[Flux in SC / glucose uptake ($mmol/mmol\ glc$)]]-Table1[[#This Row],[Flux in RT / glucose uptake ($mmol/mmol\ glc$)]])/SQRT(2)</f>
        <v>0</v>
      </c>
      <c r="F1730">
        <f>Table1[[#This Row],[distance from 45-degree line]]/MAX(Table1[[Flux in SC / glucose uptake ($mmol/mmol\ glc$)]:[Flux in RT / glucose uptake ($mmol/mmol\ glc$)]])</f>
        <v>0</v>
      </c>
      <c r="G1730">
        <f>_xlfn.RANK.AVG(Table1[[#This Row],[Flux in SC / glucose uptake ($mmol/mmol\ glc$)]],Table1[Flux in SC / glucose uptake ($mmol/mmol\ glc$)])</f>
        <v>1310.5</v>
      </c>
      <c r="H1730">
        <f>_xlfn.RANK.AVG(Table1[[#This Row],[Flux in RT / glucose uptake ($mmol/mmol\ glc$)]],Table1[Flux in RT / glucose uptake ($mmol/mmol\ glc$)])</f>
        <v>1290.5</v>
      </c>
      <c r="I1730" t="e">
        <f>LOG(Table1[[#This Row],[Flux in SC / glucose uptake ($mmol/mmol\ glc$)]])</f>
        <v>#NUM!</v>
      </c>
      <c r="J1730" t="e">
        <f>LOG(Table1[[#This Row],[Flux in RT / glucose uptake ($mmol/mmol\ glc$)]])</f>
        <v>#NUM!</v>
      </c>
    </row>
    <row r="1731" spans="1:10" x14ac:dyDescent="0.2">
      <c r="A1731" t="s">
        <v>1734</v>
      </c>
      <c r="B1731" t="s">
        <v>3113</v>
      </c>
      <c r="C1731">
        <v>0</v>
      </c>
      <c r="D1731">
        <v>0</v>
      </c>
      <c r="E1731">
        <f>ABS(Table1[[#This Row],[Flux in SC / glucose uptake ($mmol/mmol\ glc$)]]-Table1[[#This Row],[Flux in RT / glucose uptake ($mmol/mmol\ glc$)]])/SQRT(2)</f>
        <v>0</v>
      </c>
      <c r="F1731">
        <f>Table1[[#This Row],[distance from 45-degree line]]/MAX(Table1[[Flux in SC / glucose uptake ($mmol/mmol\ glc$)]:[Flux in RT / glucose uptake ($mmol/mmol\ glc$)]])</f>
        <v>0</v>
      </c>
      <c r="G1731">
        <f>_xlfn.RANK.AVG(Table1[[#This Row],[Flux in SC / glucose uptake ($mmol/mmol\ glc$)]],Table1[Flux in SC / glucose uptake ($mmol/mmol\ glc$)])</f>
        <v>1310.5</v>
      </c>
      <c r="H1731">
        <f>_xlfn.RANK.AVG(Table1[[#This Row],[Flux in RT / glucose uptake ($mmol/mmol\ glc$)]],Table1[Flux in RT / glucose uptake ($mmol/mmol\ glc$)])</f>
        <v>1290.5</v>
      </c>
      <c r="I1731" t="e">
        <f>LOG(Table1[[#This Row],[Flux in SC / glucose uptake ($mmol/mmol\ glc$)]])</f>
        <v>#NUM!</v>
      </c>
      <c r="J1731" t="e">
        <f>LOG(Table1[[#This Row],[Flux in RT / glucose uptake ($mmol/mmol\ glc$)]])</f>
        <v>#NUM!</v>
      </c>
    </row>
    <row r="1732" spans="1:10" x14ac:dyDescent="0.2">
      <c r="A1732" t="s">
        <v>1735</v>
      </c>
      <c r="B1732" t="s">
        <v>3113</v>
      </c>
      <c r="C1732">
        <v>0</v>
      </c>
      <c r="D1732">
        <v>0</v>
      </c>
      <c r="E1732">
        <f>ABS(Table1[[#This Row],[Flux in SC / glucose uptake ($mmol/mmol\ glc$)]]-Table1[[#This Row],[Flux in RT / glucose uptake ($mmol/mmol\ glc$)]])/SQRT(2)</f>
        <v>0</v>
      </c>
      <c r="F1732">
        <f>Table1[[#This Row],[distance from 45-degree line]]/MAX(Table1[[Flux in SC / glucose uptake ($mmol/mmol\ glc$)]:[Flux in RT / glucose uptake ($mmol/mmol\ glc$)]])</f>
        <v>0</v>
      </c>
      <c r="G1732">
        <f>_xlfn.RANK.AVG(Table1[[#This Row],[Flux in SC / glucose uptake ($mmol/mmol\ glc$)]],Table1[Flux in SC / glucose uptake ($mmol/mmol\ glc$)])</f>
        <v>1310.5</v>
      </c>
      <c r="H1732">
        <f>_xlfn.RANK.AVG(Table1[[#This Row],[Flux in RT / glucose uptake ($mmol/mmol\ glc$)]],Table1[Flux in RT / glucose uptake ($mmol/mmol\ glc$)])</f>
        <v>1290.5</v>
      </c>
      <c r="I1732" t="e">
        <f>LOG(Table1[[#This Row],[Flux in SC / glucose uptake ($mmol/mmol\ glc$)]])</f>
        <v>#NUM!</v>
      </c>
      <c r="J1732" t="e">
        <f>LOG(Table1[[#This Row],[Flux in RT / glucose uptake ($mmol/mmol\ glc$)]])</f>
        <v>#NUM!</v>
      </c>
    </row>
    <row r="1733" spans="1:10" x14ac:dyDescent="0.2">
      <c r="A1733" t="s">
        <v>1736</v>
      </c>
      <c r="B1733" t="s">
        <v>3113</v>
      </c>
      <c r="C1733">
        <v>0</v>
      </c>
      <c r="D1733">
        <v>0</v>
      </c>
      <c r="E1733">
        <f>ABS(Table1[[#This Row],[Flux in SC / glucose uptake ($mmol/mmol\ glc$)]]-Table1[[#This Row],[Flux in RT / glucose uptake ($mmol/mmol\ glc$)]])/SQRT(2)</f>
        <v>0</v>
      </c>
      <c r="F1733">
        <f>Table1[[#This Row],[distance from 45-degree line]]/MAX(Table1[[Flux in SC / glucose uptake ($mmol/mmol\ glc$)]:[Flux in RT / glucose uptake ($mmol/mmol\ glc$)]])</f>
        <v>0</v>
      </c>
      <c r="G1733">
        <f>_xlfn.RANK.AVG(Table1[[#This Row],[Flux in SC / glucose uptake ($mmol/mmol\ glc$)]],Table1[Flux in SC / glucose uptake ($mmol/mmol\ glc$)])</f>
        <v>1310.5</v>
      </c>
      <c r="H1733">
        <f>_xlfn.RANK.AVG(Table1[[#This Row],[Flux in RT / glucose uptake ($mmol/mmol\ glc$)]],Table1[Flux in RT / glucose uptake ($mmol/mmol\ glc$)])</f>
        <v>1290.5</v>
      </c>
      <c r="I1733" t="e">
        <f>LOG(Table1[[#This Row],[Flux in SC / glucose uptake ($mmol/mmol\ glc$)]])</f>
        <v>#NUM!</v>
      </c>
      <c r="J1733" t="e">
        <f>LOG(Table1[[#This Row],[Flux in RT / glucose uptake ($mmol/mmol\ glc$)]])</f>
        <v>#NUM!</v>
      </c>
    </row>
    <row r="1734" spans="1:10" x14ac:dyDescent="0.2">
      <c r="A1734" t="s">
        <v>1737</v>
      </c>
      <c r="B1734" t="s">
        <v>3113</v>
      </c>
      <c r="C1734">
        <v>0</v>
      </c>
      <c r="D1734">
        <v>0</v>
      </c>
      <c r="E1734">
        <f>ABS(Table1[[#This Row],[Flux in SC / glucose uptake ($mmol/mmol\ glc$)]]-Table1[[#This Row],[Flux in RT / glucose uptake ($mmol/mmol\ glc$)]])/SQRT(2)</f>
        <v>0</v>
      </c>
      <c r="F1734">
        <f>Table1[[#This Row],[distance from 45-degree line]]/MAX(Table1[[Flux in SC / glucose uptake ($mmol/mmol\ glc$)]:[Flux in RT / glucose uptake ($mmol/mmol\ glc$)]])</f>
        <v>0</v>
      </c>
      <c r="G1734">
        <f>_xlfn.RANK.AVG(Table1[[#This Row],[Flux in SC / glucose uptake ($mmol/mmol\ glc$)]],Table1[Flux in SC / glucose uptake ($mmol/mmol\ glc$)])</f>
        <v>1310.5</v>
      </c>
      <c r="H1734">
        <f>_xlfn.RANK.AVG(Table1[[#This Row],[Flux in RT / glucose uptake ($mmol/mmol\ glc$)]],Table1[Flux in RT / glucose uptake ($mmol/mmol\ glc$)])</f>
        <v>1290.5</v>
      </c>
      <c r="I1734" t="e">
        <f>LOG(Table1[[#This Row],[Flux in SC / glucose uptake ($mmol/mmol\ glc$)]])</f>
        <v>#NUM!</v>
      </c>
      <c r="J1734" t="e">
        <f>LOG(Table1[[#This Row],[Flux in RT / glucose uptake ($mmol/mmol\ glc$)]])</f>
        <v>#NUM!</v>
      </c>
    </row>
    <row r="1735" spans="1:10" x14ac:dyDescent="0.2">
      <c r="A1735" t="s">
        <v>1738</v>
      </c>
      <c r="B1735" t="s">
        <v>3114</v>
      </c>
      <c r="C1735">
        <v>0.11235738303511557</v>
      </c>
      <c r="D1735">
        <v>0.51697071736392608</v>
      </c>
      <c r="E1735">
        <f>ABS(Table1[[#This Row],[Flux in SC / glucose uptake ($mmol/mmol\ glc$)]]-Table1[[#This Row],[Flux in RT / glucose uptake ($mmol/mmol\ glc$)]])/SQRT(2)</f>
        <v>0.28610483246240159</v>
      </c>
      <c r="F1735">
        <f>Table1[[#This Row],[distance from 45-degree line]]/MAX(Table1[[Flux in SC / glucose uptake ($mmol/mmol\ glc$)]:[Flux in RT / glucose uptake ($mmol/mmol\ glc$)]])</f>
        <v>1.5420724005244087E-2</v>
      </c>
      <c r="G1735">
        <f>_xlfn.RANK.AVG(Table1[[#This Row],[Flux in SC / glucose uptake ($mmol/mmol\ glc$)]],Table1[Flux in SC / glucose uptake ($mmol/mmol\ glc$)])</f>
        <v>33.5</v>
      </c>
      <c r="H1735">
        <f>_xlfn.RANK.AVG(Table1[[#This Row],[Flux in RT / glucose uptake ($mmol/mmol\ glc$)]],Table1[Flux in RT / glucose uptake ($mmol/mmol\ glc$)])</f>
        <v>43.5</v>
      </c>
      <c r="I1735">
        <f>LOG(Table1[[#This Row],[Flux in SC / glucose uptake ($mmol/mmol\ glc$)]])</f>
        <v>-0.94939838469513282</v>
      </c>
      <c r="J1735">
        <f>LOG(Table1[[#This Row],[Flux in RT / glucose uptake ($mmol/mmol\ glc$)]])</f>
        <v>-0.28653405583725028</v>
      </c>
    </row>
    <row r="1736" spans="1:10" x14ac:dyDescent="0.2">
      <c r="A1736" t="s">
        <v>1739</v>
      </c>
      <c r="B1736" t="s">
        <v>3114</v>
      </c>
      <c r="C1736">
        <v>4.8722339883096162E-2</v>
      </c>
      <c r="D1736">
        <v>-0.48707066707807545</v>
      </c>
      <c r="E1736">
        <f>ABS(Table1[[#This Row],[Flux in SC / glucose uptake ($mmol/mmol\ glc$)]]-Table1[[#This Row],[Flux in RT / glucose uptake ($mmol/mmol\ glc$)]])/SQRT(2)</f>
        <v>0.37886286853457546</v>
      </c>
      <c r="F1736">
        <f>Table1[[#This Row],[distance from 45-degree line]]/MAX(Table1[[Flux in SC / glucose uptake ($mmol/mmol\ glc$)]:[Flux in RT / glucose uptake ($mmol/mmol\ glc$)]])</f>
        <v>2.0420276306498709E-2</v>
      </c>
      <c r="G1736">
        <f>_xlfn.RANK.AVG(Table1[[#This Row],[Flux in SC / glucose uptake ($mmol/mmol\ glc$)]],Table1[Flux in SC / glucose uptake ($mmol/mmol\ glc$)])</f>
        <v>48</v>
      </c>
      <c r="H1736">
        <f>_xlfn.RANK.AVG(Table1[[#This Row],[Flux in RT / glucose uptake ($mmol/mmol\ glc$)]],Table1[Flux in RT / glucose uptake ($mmol/mmol\ glc$)])</f>
        <v>2305</v>
      </c>
      <c r="I1736">
        <f>LOG(Table1[[#This Row],[Flux in SC / glucose uptake ($mmol/mmol\ glc$)]])</f>
        <v>-1.3122718629467085</v>
      </c>
      <c r="J1736" t="e">
        <f>LOG(Table1[[#This Row],[Flux in RT / glucose uptake ($mmol/mmol\ glc$)]])</f>
        <v>#NUM!</v>
      </c>
    </row>
    <row r="1737" spans="1:10" x14ac:dyDescent="0.2">
      <c r="A1737" t="s">
        <v>1740</v>
      </c>
      <c r="B1737" t="s">
        <v>3114</v>
      </c>
      <c r="C1737">
        <v>0</v>
      </c>
      <c r="D1737">
        <v>0</v>
      </c>
      <c r="E1737">
        <f>ABS(Table1[[#This Row],[Flux in SC / glucose uptake ($mmol/mmol\ glc$)]]-Table1[[#This Row],[Flux in RT / glucose uptake ($mmol/mmol\ glc$)]])/SQRT(2)</f>
        <v>0</v>
      </c>
      <c r="F1737">
        <f>Table1[[#This Row],[distance from 45-degree line]]/MAX(Table1[[Flux in SC / glucose uptake ($mmol/mmol\ glc$)]:[Flux in RT / glucose uptake ($mmol/mmol\ glc$)]])</f>
        <v>0</v>
      </c>
      <c r="G1737">
        <f>_xlfn.RANK.AVG(Table1[[#This Row],[Flux in SC / glucose uptake ($mmol/mmol\ glc$)]],Table1[Flux in SC / glucose uptake ($mmol/mmol\ glc$)])</f>
        <v>1310.5</v>
      </c>
      <c r="H1737">
        <f>_xlfn.RANK.AVG(Table1[[#This Row],[Flux in RT / glucose uptake ($mmol/mmol\ glc$)]],Table1[Flux in RT / glucose uptake ($mmol/mmol\ glc$)])</f>
        <v>1290.5</v>
      </c>
      <c r="I1737" t="e">
        <f>LOG(Table1[[#This Row],[Flux in SC / glucose uptake ($mmol/mmol\ glc$)]])</f>
        <v>#NUM!</v>
      </c>
      <c r="J1737" t="e">
        <f>LOG(Table1[[#This Row],[Flux in RT / glucose uptake ($mmol/mmol\ glc$)]])</f>
        <v>#NUM!</v>
      </c>
    </row>
    <row r="1738" spans="1:10" x14ac:dyDescent="0.2">
      <c r="A1738" t="s">
        <v>1741</v>
      </c>
      <c r="B1738" t="s">
        <v>3200</v>
      </c>
      <c r="C1738">
        <v>0</v>
      </c>
      <c r="D1738">
        <v>0</v>
      </c>
      <c r="E1738">
        <f>ABS(Table1[[#This Row],[Flux in SC / glucose uptake ($mmol/mmol\ glc$)]]-Table1[[#This Row],[Flux in RT / glucose uptake ($mmol/mmol\ glc$)]])/SQRT(2)</f>
        <v>0</v>
      </c>
      <c r="F1738">
        <f>Table1[[#This Row],[distance from 45-degree line]]/MAX(Table1[[Flux in SC / glucose uptake ($mmol/mmol\ glc$)]:[Flux in RT / glucose uptake ($mmol/mmol\ glc$)]])</f>
        <v>0</v>
      </c>
      <c r="G1738">
        <f>_xlfn.RANK.AVG(Table1[[#This Row],[Flux in SC / glucose uptake ($mmol/mmol\ glc$)]],Table1[Flux in SC / glucose uptake ($mmol/mmol\ glc$)])</f>
        <v>1310.5</v>
      </c>
      <c r="H1738">
        <f>_xlfn.RANK.AVG(Table1[[#This Row],[Flux in RT / glucose uptake ($mmol/mmol\ glc$)]],Table1[Flux in RT / glucose uptake ($mmol/mmol\ glc$)])</f>
        <v>1290.5</v>
      </c>
      <c r="I1738" t="e">
        <f>LOG(Table1[[#This Row],[Flux in SC / glucose uptake ($mmol/mmol\ glc$)]])</f>
        <v>#NUM!</v>
      </c>
      <c r="J1738" t="e">
        <f>LOG(Table1[[#This Row],[Flux in RT / glucose uptake ($mmol/mmol\ glc$)]])</f>
        <v>#NUM!</v>
      </c>
    </row>
    <row r="1739" spans="1:10" x14ac:dyDescent="0.2">
      <c r="A1739" t="s">
        <v>1742</v>
      </c>
      <c r="B1739" t="s">
        <v>3125</v>
      </c>
      <c r="C1739">
        <v>0</v>
      </c>
      <c r="D1739">
        <v>0</v>
      </c>
      <c r="E1739">
        <f>ABS(Table1[[#This Row],[Flux in SC / glucose uptake ($mmol/mmol\ glc$)]]-Table1[[#This Row],[Flux in RT / glucose uptake ($mmol/mmol\ glc$)]])/SQRT(2)</f>
        <v>0</v>
      </c>
      <c r="F1739">
        <f>Table1[[#This Row],[distance from 45-degree line]]/MAX(Table1[[Flux in SC / glucose uptake ($mmol/mmol\ glc$)]:[Flux in RT / glucose uptake ($mmol/mmol\ glc$)]])</f>
        <v>0</v>
      </c>
      <c r="G1739">
        <f>_xlfn.RANK.AVG(Table1[[#This Row],[Flux in SC / glucose uptake ($mmol/mmol\ glc$)]],Table1[Flux in SC / glucose uptake ($mmol/mmol\ glc$)])</f>
        <v>1310.5</v>
      </c>
      <c r="H1739">
        <f>_xlfn.RANK.AVG(Table1[[#This Row],[Flux in RT / glucose uptake ($mmol/mmol\ glc$)]],Table1[Flux in RT / glucose uptake ($mmol/mmol\ glc$)])</f>
        <v>1290.5</v>
      </c>
      <c r="I1739" t="e">
        <f>LOG(Table1[[#This Row],[Flux in SC / glucose uptake ($mmol/mmol\ glc$)]])</f>
        <v>#NUM!</v>
      </c>
      <c r="J1739" t="e">
        <f>LOG(Table1[[#This Row],[Flux in RT / glucose uptake ($mmol/mmol\ glc$)]])</f>
        <v>#NUM!</v>
      </c>
    </row>
    <row r="1740" spans="1:10" x14ac:dyDescent="0.2">
      <c r="A1740" t="s">
        <v>1743</v>
      </c>
      <c r="B1740" t="s">
        <v>3125</v>
      </c>
      <c r="C1740">
        <v>0</v>
      </c>
      <c r="D1740">
        <v>0</v>
      </c>
      <c r="E1740">
        <f>ABS(Table1[[#This Row],[Flux in SC / glucose uptake ($mmol/mmol\ glc$)]]-Table1[[#This Row],[Flux in RT / glucose uptake ($mmol/mmol\ glc$)]])/SQRT(2)</f>
        <v>0</v>
      </c>
      <c r="F1740">
        <f>Table1[[#This Row],[distance from 45-degree line]]/MAX(Table1[[Flux in SC / glucose uptake ($mmol/mmol\ glc$)]:[Flux in RT / glucose uptake ($mmol/mmol\ glc$)]])</f>
        <v>0</v>
      </c>
      <c r="G1740">
        <f>_xlfn.RANK.AVG(Table1[[#This Row],[Flux in SC / glucose uptake ($mmol/mmol\ glc$)]],Table1[Flux in SC / glucose uptake ($mmol/mmol\ glc$)])</f>
        <v>1310.5</v>
      </c>
      <c r="H1740">
        <f>_xlfn.RANK.AVG(Table1[[#This Row],[Flux in RT / glucose uptake ($mmol/mmol\ glc$)]],Table1[Flux in RT / glucose uptake ($mmol/mmol\ glc$)])</f>
        <v>1290.5</v>
      </c>
      <c r="I1740" t="e">
        <f>LOG(Table1[[#This Row],[Flux in SC / glucose uptake ($mmol/mmol\ glc$)]])</f>
        <v>#NUM!</v>
      </c>
      <c r="J1740" t="e">
        <f>LOG(Table1[[#This Row],[Flux in RT / glucose uptake ($mmol/mmol\ glc$)]])</f>
        <v>#NUM!</v>
      </c>
    </row>
    <row r="1741" spans="1:10" x14ac:dyDescent="0.2">
      <c r="A1741" t="s">
        <v>1744</v>
      </c>
      <c r="B1741" t="s">
        <v>3114</v>
      </c>
      <c r="C1741">
        <v>0</v>
      </c>
      <c r="D1741">
        <v>0</v>
      </c>
      <c r="E1741">
        <f>ABS(Table1[[#This Row],[Flux in SC / glucose uptake ($mmol/mmol\ glc$)]]-Table1[[#This Row],[Flux in RT / glucose uptake ($mmol/mmol\ glc$)]])/SQRT(2)</f>
        <v>0</v>
      </c>
      <c r="F1741">
        <f>Table1[[#This Row],[distance from 45-degree line]]/MAX(Table1[[Flux in SC / glucose uptake ($mmol/mmol\ glc$)]:[Flux in RT / glucose uptake ($mmol/mmol\ glc$)]])</f>
        <v>0</v>
      </c>
      <c r="G1741">
        <f>_xlfn.RANK.AVG(Table1[[#This Row],[Flux in SC / glucose uptake ($mmol/mmol\ glc$)]],Table1[Flux in SC / glucose uptake ($mmol/mmol\ glc$)])</f>
        <v>1310.5</v>
      </c>
      <c r="H1741">
        <f>_xlfn.RANK.AVG(Table1[[#This Row],[Flux in RT / glucose uptake ($mmol/mmol\ glc$)]],Table1[Flux in RT / glucose uptake ($mmol/mmol\ glc$)])</f>
        <v>1290.5</v>
      </c>
      <c r="I1741" t="e">
        <f>LOG(Table1[[#This Row],[Flux in SC / glucose uptake ($mmol/mmol\ glc$)]])</f>
        <v>#NUM!</v>
      </c>
      <c r="J1741" t="e">
        <f>LOG(Table1[[#This Row],[Flux in RT / glucose uptake ($mmol/mmol\ glc$)]])</f>
        <v>#NUM!</v>
      </c>
    </row>
    <row r="1742" spans="1:10" x14ac:dyDescent="0.2">
      <c r="A1742" t="s">
        <v>1745</v>
      </c>
      <c r="B1742" t="s">
        <v>3114</v>
      </c>
      <c r="C1742">
        <v>0</v>
      </c>
      <c r="D1742">
        <v>0</v>
      </c>
      <c r="E1742">
        <f>ABS(Table1[[#This Row],[Flux in SC / glucose uptake ($mmol/mmol\ glc$)]]-Table1[[#This Row],[Flux in RT / glucose uptake ($mmol/mmol\ glc$)]])/SQRT(2)</f>
        <v>0</v>
      </c>
      <c r="F1742">
        <f>Table1[[#This Row],[distance from 45-degree line]]/MAX(Table1[[Flux in SC / glucose uptake ($mmol/mmol\ glc$)]:[Flux in RT / glucose uptake ($mmol/mmol\ glc$)]])</f>
        <v>0</v>
      </c>
      <c r="G1742">
        <f>_xlfn.RANK.AVG(Table1[[#This Row],[Flux in SC / glucose uptake ($mmol/mmol\ glc$)]],Table1[Flux in SC / glucose uptake ($mmol/mmol\ glc$)])</f>
        <v>1310.5</v>
      </c>
      <c r="H1742">
        <f>_xlfn.RANK.AVG(Table1[[#This Row],[Flux in RT / glucose uptake ($mmol/mmol\ glc$)]],Table1[Flux in RT / glucose uptake ($mmol/mmol\ glc$)])</f>
        <v>1290.5</v>
      </c>
      <c r="I1742" t="e">
        <f>LOG(Table1[[#This Row],[Flux in SC / glucose uptake ($mmol/mmol\ glc$)]])</f>
        <v>#NUM!</v>
      </c>
      <c r="J1742" t="e">
        <f>LOG(Table1[[#This Row],[Flux in RT / glucose uptake ($mmol/mmol\ glc$)]])</f>
        <v>#NUM!</v>
      </c>
    </row>
    <row r="1743" spans="1:10" x14ac:dyDescent="0.2">
      <c r="A1743" t="s">
        <v>1746</v>
      </c>
      <c r="B1743" t="s">
        <v>3114</v>
      </c>
      <c r="C1743">
        <v>0</v>
      </c>
      <c r="D1743">
        <v>0</v>
      </c>
      <c r="E1743">
        <f>ABS(Table1[[#This Row],[Flux in SC / glucose uptake ($mmol/mmol\ glc$)]]-Table1[[#This Row],[Flux in RT / glucose uptake ($mmol/mmol\ glc$)]])/SQRT(2)</f>
        <v>0</v>
      </c>
      <c r="F1743">
        <f>Table1[[#This Row],[distance from 45-degree line]]/MAX(Table1[[Flux in SC / glucose uptake ($mmol/mmol\ glc$)]:[Flux in RT / glucose uptake ($mmol/mmol\ glc$)]])</f>
        <v>0</v>
      </c>
      <c r="G1743">
        <f>_xlfn.RANK.AVG(Table1[[#This Row],[Flux in SC / glucose uptake ($mmol/mmol\ glc$)]],Table1[Flux in SC / glucose uptake ($mmol/mmol\ glc$)])</f>
        <v>1310.5</v>
      </c>
      <c r="H1743">
        <f>_xlfn.RANK.AVG(Table1[[#This Row],[Flux in RT / glucose uptake ($mmol/mmol\ glc$)]],Table1[Flux in RT / glucose uptake ($mmol/mmol\ glc$)])</f>
        <v>1290.5</v>
      </c>
      <c r="I1743" t="e">
        <f>LOG(Table1[[#This Row],[Flux in SC / glucose uptake ($mmol/mmol\ glc$)]])</f>
        <v>#NUM!</v>
      </c>
      <c r="J1743" t="e">
        <f>LOG(Table1[[#This Row],[Flux in RT / glucose uptake ($mmol/mmol\ glc$)]])</f>
        <v>#NUM!</v>
      </c>
    </row>
    <row r="1744" spans="1:10" x14ac:dyDescent="0.2">
      <c r="A1744" t="s">
        <v>1747</v>
      </c>
      <c r="B1744" t="s">
        <v>3158</v>
      </c>
      <c r="C1744">
        <v>0</v>
      </c>
      <c r="D1744">
        <v>0</v>
      </c>
      <c r="E1744">
        <f>ABS(Table1[[#This Row],[Flux in SC / glucose uptake ($mmol/mmol\ glc$)]]-Table1[[#This Row],[Flux in RT / glucose uptake ($mmol/mmol\ glc$)]])/SQRT(2)</f>
        <v>0</v>
      </c>
      <c r="F1744">
        <f>Table1[[#This Row],[distance from 45-degree line]]/MAX(Table1[[Flux in SC / glucose uptake ($mmol/mmol\ glc$)]:[Flux in RT / glucose uptake ($mmol/mmol\ glc$)]])</f>
        <v>0</v>
      </c>
      <c r="G1744">
        <f>_xlfn.RANK.AVG(Table1[[#This Row],[Flux in SC / glucose uptake ($mmol/mmol\ glc$)]],Table1[Flux in SC / glucose uptake ($mmol/mmol\ glc$)])</f>
        <v>1310.5</v>
      </c>
      <c r="H1744">
        <f>_xlfn.RANK.AVG(Table1[[#This Row],[Flux in RT / glucose uptake ($mmol/mmol\ glc$)]],Table1[Flux in RT / glucose uptake ($mmol/mmol\ glc$)])</f>
        <v>1290.5</v>
      </c>
      <c r="I1744" t="e">
        <f>LOG(Table1[[#This Row],[Flux in SC / glucose uptake ($mmol/mmol\ glc$)]])</f>
        <v>#NUM!</v>
      </c>
      <c r="J1744" t="e">
        <f>LOG(Table1[[#This Row],[Flux in RT / glucose uptake ($mmol/mmol\ glc$)]])</f>
        <v>#NUM!</v>
      </c>
    </row>
    <row r="1745" spans="1:10" x14ac:dyDescent="0.2">
      <c r="A1745" t="s">
        <v>1748</v>
      </c>
      <c r="B1745" t="s">
        <v>3158</v>
      </c>
      <c r="C1745">
        <v>0</v>
      </c>
      <c r="D1745">
        <v>0</v>
      </c>
      <c r="E1745">
        <f>ABS(Table1[[#This Row],[Flux in SC / glucose uptake ($mmol/mmol\ glc$)]]-Table1[[#This Row],[Flux in RT / glucose uptake ($mmol/mmol\ glc$)]])/SQRT(2)</f>
        <v>0</v>
      </c>
      <c r="F1745">
        <f>Table1[[#This Row],[distance from 45-degree line]]/MAX(Table1[[Flux in SC / glucose uptake ($mmol/mmol\ glc$)]:[Flux in RT / glucose uptake ($mmol/mmol\ glc$)]])</f>
        <v>0</v>
      </c>
      <c r="G1745">
        <f>_xlfn.RANK.AVG(Table1[[#This Row],[Flux in SC / glucose uptake ($mmol/mmol\ glc$)]],Table1[Flux in SC / glucose uptake ($mmol/mmol\ glc$)])</f>
        <v>1310.5</v>
      </c>
      <c r="H1745">
        <f>_xlfn.RANK.AVG(Table1[[#This Row],[Flux in RT / glucose uptake ($mmol/mmol\ glc$)]],Table1[Flux in RT / glucose uptake ($mmol/mmol\ glc$)])</f>
        <v>1290.5</v>
      </c>
      <c r="I1745" t="e">
        <f>LOG(Table1[[#This Row],[Flux in SC / glucose uptake ($mmol/mmol\ glc$)]])</f>
        <v>#NUM!</v>
      </c>
      <c r="J1745" t="e">
        <f>LOG(Table1[[#This Row],[Flux in RT / glucose uptake ($mmol/mmol\ glc$)]])</f>
        <v>#NUM!</v>
      </c>
    </row>
    <row r="1746" spans="1:10" x14ac:dyDescent="0.2">
      <c r="A1746" t="s">
        <v>1749</v>
      </c>
      <c r="B1746" t="s">
        <v>3158</v>
      </c>
      <c r="C1746">
        <v>0</v>
      </c>
      <c r="D1746">
        <v>0</v>
      </c>
      <c r="E1746">
        <f>ABS(Table1[[#This Row],[Flux in SC / glucose uptake ($mmol/mmol\ glc$)]]-Table1[[#This Row],[Flux in RT / glucose uptake ($mmol/mmol\ glc$)]])/SQRT(2)</f>
        <v>0</v>
      </c>
      <c r="F1746">
        <f>Table1[[#This Row],[distance from 45-degree line]]/MAX(Table1[[Flux in SC / glucose uptake ($mmol/mmol\ glc$)]:[Flux in RT / glucose uptake ($mmol/mmol\ glc$)]])</f>
        <v>0</v>
      </c>
      <c r="G1746">
        <f>_xlfn.RANK.AVG(Table1[[#This Row],[Flux in SC / glucose uptake ($mmol/mmol\ glc$)]],Table1[Flux in SC / glucose uptake ($mmol/mmol\ glc$)])</f>
        <v>1310.5</v>
      </c>
      <c r="H1746">
        <f>_xlfn.RANK.AVG(Table1[[#This Row],[Flux in RT / glucose uptake ($mmol/mmol\ glc$)]],Table1[Flux in RT / glucose uptake ($mmol/mmol\ glc$)])</f>
        <v>1290.5</v>
      </c>
      <c r="I1746" t="e">
        <f>LOG(Table1[[#This Row],[Flux in SC / glucose uptake ($mmol/mmol\ glc$)]])</f>
        <v>#NUM!</v>
      </c>
      <c r="J1746" t="e">
        <f>LOG(Table1[[#This Row],[Flux in RT / glucose uptake ($mmol/mmol\ glc$)]])</f>
        <v>#NUM!</v>
      </c>
    </row>
    <row r="1747" spans="1:10" x14ac:dyDescent="0.2">
      <c r="A1747" t="s">
        <v>1750</v>
      </c>
      <c r="B1747" t="s">
        <v>3158</v>
      </c>
      <c r="C1747">
        <v>0</v>
      </c>
      <c r="D1747">
        <v>0</v>
      </c>
      <c r="E1747">
        <f>ABS(Table1[[#This Row],[Flux in SC / glucose uptake ($mmol/mmol\ glc$)]]-Table1[[#This Row],[Flux in RT / glucose uptake ($mmol/mmol\ glc$)]])/SQRT(2)</f>
        <v>0</v>
      </c>
      <c r="F1747">
        <f>Table1[[#This Row],[distance from 45-degree line]]/MAX(Table1[[Flux in SC / glucose uptake ($mmol/mmol\ glc$)]:[Flux in RT / glucose uptake ($mmol/mmol\ glc$)]])</f>
        <v>0</v>
      </c>
      <c r="G1747">
        <f>_xlfn.RANK.AVG(Table1[[#This Row],[Flux in SC / glucose uptake ($mmol/mmol\ glc$)]],Table1[Flux in SC / glucose uptake ($mmol/mmol\ glc$)])</f>
        <v>1310.5</v>
      </c>
      <c r="H1747">
        <f>_xlfn.RANK.AVG(Table1[[#This Row],[Flux in RT / glucose uptake ($mmol/mmol\ glc$)]],Table1[Flux in RT / glucose uptake ($mmol/mmol\ glc$)])</f>
        <v>1290.5</v>
      </c>
      <c r="I1747" t="e">
        <f>LOG(Table1[[#This Row],[Flux in SC / glucose uptake ($mmol/mmol\ glc$)]])</f>
        <v>#NUM!</v>
      </c>
      <c r="J1747" t="e">
        <f>LOG(Table1[[#This Row],[Flux in RT / glucose uptake ($mmol/mmol\ glc$)]])</f>
        <v>#NUM!</v>
      </c>
    </row>
    <row r="1748" spans="1:10" x14ac:dyDescent="0.2">
      <c r="A1748" t="s">
        <v>1751</v>
      </c>
      <c r="B1748" t="s">
        <v>3158</v>
      </c>
      <c r="C1748">
        <v>0</v>
      </c>
      <c r="D1748">
        <v>0</v>
      </c>
      <c r="E1748">
        <f>ABS(Table1[[#This Row],[Flux in SC / glucose uptake ($mmol/mmol\ glc$)]]-Table1[[#This Row],[Flux in RT / glucose uptake ($mmol/mmol\ glc$)]])/SQRT(2)</f>
        <v>0</v>
      </c>
      <c r="F1748">
        <f>Table1[[#This Row],[distance from 45-degree line]]/MAX(Table1[[Flux in SC / glucose uptake ($mmol/mmol\ glc$)]:[Flux in RT / glucose uptake ($mmol/mmol\ glc$)]])</f>
        <v>0</v>
      </c>
      <c r="G1748">
        <f>_xlfn.RANK.AVG(Table1[[#This Row],[Flux in SC / glucose uptake ($mmol/mmol\ glc$)]],Table1[Flux in SC / glucose uptake ($mmol/mmol\ glc$)])</f>
        <v>1310.5</v>
      </c>
      <c r="H1748">
        <f>_xlfn.RANK.AVG(Table1[[#This Row],[Flux in RT / glucose uptake ($mmol/mmol\ glc$)]],Table1[Flux in RT / glucose uptake ($mmol/mmol\ glc$)])</f>
        <v>1290.5</v>
      </c>
      <c r="I1748" t="e">
        <f>LOG(Table1[[#This Row],[Flux in SC / glucose uptake ($mmol/mmol\ glc$)]])</f>
        <v>#NUM!</v>
      </c>
      <c r="J1748" t="e">
        <f>LOG(Table1[[#This Row],[Flux in RT / glucose uptake ($mmol/mmol\ glc$)]])</f>
        <v>#NUM!</v>
      </c>
    </row>
    <row r="1749" spans="1:10" x14ac:dyDescent="0.2">
      <c r="A1749" t="s">
        <v>1752</v>
      </c>
      <c r="B1749" t="s">
        <v>3114</v>
      </c>
      <c r="C1749">
        <v>0</v>
      </c>
      <c r="D1749">
        <v>0</v>
      </c>
      <c r="E1749">
        <f>ABS(Table1[[#This Row],[Flux in SC / glucose uptake ($mmol/mmol\ glc$)]]-Table1[[#This Row],[Flux in RT / glucose uptake ($mmol/mmol\ glc$)]])/SQRT(2)</f>
        <v>0</v>
      </c>
      <c r="F1749">
        <f>Table1[[#This Row],[distance from 45-degree line]]/MAX(Table1[[Flux in SC / glucose uptake ($mmol/mmol\ glc$)]:[Flux in RT / glucose uptake ($mmol/mmol\ glc$)]])</f>
        <v>0</v>
      </c>
      <c r="G1749">
        <f>_xlfn.RANK.AVG(Table1[[#This Row],[Flux in SC / glucose uptake ($mmol/mmol\ glc$)]],Table1[Flux in SC / glucose uptake ($mmol/mmol\ glc$)])</f>
        <v>1310.5</v>
      </c>
      <c r="H1749">
        <f>_xlfn.RANK.AVG(Table1[[#This Row],[Flux in RT / glucose uptake ($mmol/mmol\ glc$)]],Table1[Flux in RT / glucose uptake ($mmol/mmol\ glc$)])</f>
        <v>1290.5</v>
      </c>
      <c r="I1749" t="e">
        <f>LOG(Table1[[#This Row],[Flux in SC / glucose uptake ($mmol/mmol\ glc$)]])</f>
        <v>#NUM!</v>
      </c>
      <c r="J1749" t="e">
        <f>LOG(Table1[[#This Row],[Flux in RT / glucose uptake ($mmol/mmol\ glc$)]])</f>
        <v>#NUM!</v>
      </c>
    </row>
    <row r="1750" spans="1:10" x14ac:dyDescent="0.2">
      <c r="A1750" t="s">
        <v>1753</v>
      </c>
      <c r="B1750" t="s">
        <v>3125</v>
      </c>
      <c r="C1750">
        <v>0</v>
      </c>
      <c r="D1750">
        <v>0</v>
      </c>
      <c r="E1750">
        <f>ABS(Table1[[#This Row],[Flux in SC / glucose uptake ($mmol/mmol\ glc$)]]-Table1[[#This Row],[Flux in RT / glucose uptake ($mmol/mmol\ glc$)]])/SQRT(2)</f>
        <v>0</v>
      </c>
      <c r="F1750">
        <f>Table1[[#This Row],[distance from 45-degree line]]/MAX(Table1[[Flux in SC / glucose uptake ($mmol/mmol\ glc$)]:[Flux in RT / glucose uptake ($mmol/mmol\ glc$)]])</f>
        <v>0</v>
      </c>
      <c r="G1750">
        <f>_xlfn.RANK.AVG(Table1[[#This Row],[Flux in SC / glucose uptake ($mmol/mmol\ glc$)]],Table1[Flux in SC / glucose uptake ($mmol/mmol\ glc$)])</f>
        <v>1310.5</v>
      </c>
      <c r="H1750">
        <f>_xlfn.RANK.AVG(Table1[[#This Row],[Flux in RT / glucose uptake ($mmol/mmol\ glc$)]],Table1[Flux in RT / glucose uptake ($mmol/mmol\ glc$)])</f>
        <v>1290.5</v>
      </c>
      <c r="I1750" t="e">
        <f>LOG(Table1[[#This Row],[Flux in SC / glucose uptake ($mmol/mmol\ glc$)]])</f>
        <v>#NUM!</v>
      </c>
      <c r="J1750" t="e">
        <f>LOG(Table1[[#This Row],[Flux in RT / glucose uptake ($mmol/mmol\ glc$)]])</f>
        <v>#NUM!</v>
      </c>
    </row>
    <row r="1751" spans="1:10" x14ac:dyDescent="0.2">
      <c r="A1751" t="s">
        <v>1754</v>
      </c>
      <c r="B1751" t="s">
        <v>3150</v>
      </c>
      <c r="C1751">
        <v>0</v>
      </c>
      <c r="D1751">
        <v>0</v>
      </c>
      <c r="E1751">
        <f>ABS(Table1[[#This Row],[Flux in SC / glucose uptake ($mmol/mmol\ glc$)]]-Table1[[#This Row],[Flux in RT / glucose uptake ($mmol/mmol\ glc$)]])/SQRT(2)</f>
        <v>0</v>
      </c>
      <c r="F1751">
        <f>Table1[[#This Row],[distance from 45-degree line]]/MAX(Table1[[Flux in SC / glucose uptake ($mmol/mmol\ glc$)]:[Flux in RT / glucose uptake ($mmol/mmol\ glc$)]])</f>
        <v>0</v>
      </c>
      <c r="G1751">
        <f>_xlfn.RANK.AVG(Table1[[#This Row],[Flux in SC / glucose uptake ($mmol/mmol\ glc$)]],Table1[Flux in SC / glucose uptake ($mmol/mmol\ glc$)])</f>
        <v>1310.5</v>
      </c>
      <c r="H1751">
        <f>_xlfn.RANK.AVG(Table1[[#This Row],[Flux in RT / glucose uptake ($mmol/mmol\ glc$)]],Table1[Flux in RT / glucose uptake ($mmol/mmol\ glc$)])</f>
        <v>1290.5</v>
      </c>
      <c r="I1751" t="e">
        <f>LOG(Table1[[#This Row],[Flux in SC / glucose uptake ($mmol/mmol\ glc$)]])</f>
        <v>#NUM!</v>
      </c>
      <c r="J1751" t="e">
        <f>LOG(Table1[[#This Row],[Flux in RT / glucose uptake ($mmol/mmol\ glc$)]])</f>
        <v>#NUM!</v>
      </c>
    </row>
    <row r="1752" spans="1:10" x14ac:dyDescent="0.2">
      <c r="A1752" t="s">
        <v>1755</v>
      </c>
      <c r="B1752" t="s">
        <v>3150</v>
      </c>
      <c r="C1752">
        <v>0</v>
      </c>
      <c r="D1752">
        <v>0</v>
      </c>
      <c r="E1752">
        <f>ABS(Table1[[#This Row],[Flux in SC / glucose uptake ($mmol/mmol\ glc$)]]-Table1[[#This Row],[Flux in RT / glucose uptake ($mmol/mmol\ glc$)]])/SQRT(2)</f>
        <v>0</v>
      </c>
      <c r="F1752">
        <f>Table1[[#This Row],[distance from 45-degree line]]/MAX(Table1[[Flux in SC / glucose uptake ($mmol/mmol\ glc$)]:[Flux in RT / glucose uptake ($mmol/mmol\ glc$)]])</f>
        <v>0</v>
      </c>
      <c r="G1752">
        <f>_xlfn.RANK.AVG(Table1[[#This Row],[Flux in SC / glucose uptake ($mmol/mmol\ glc$)]],Table1[Flux in SC / glucose uptake ($mmol/mmol\ glc$)])</f>
        <v>1310.5</v>
      </c>
      <c r="H1752">
        <f>_xlfn.RANK.AVG(Table1[[#This Row],[Flux in RT / glucose uptake ($mmol/mmol\ glc$)]],Table1[Flux in RT / glucose uptake ($mmol/mmol\ glc$)])</f>
        <v>1290.5</v>
      </c>
      <c r="I1752" t="e">
        <f>LOG(Table1[[#This Row],[Flux in SC / glucose uptake ($mmol/mmol\ glc$)]])</f>
        <v>#NUM!</v>
      </c>
      <c r="J1752" t="e">
        <f>LOG(Table1[[#This Row],[Flux in RT / glucose uptake ($mmol/mmol\ glc$)]])</f>
        <v>#NUM!</v>
      </c>
    </row>
    <row r="1753" spans="1:10" x14ac:dyDescent="0.2">
      <c r="A1753" t="s">
        <v>1756</v>
      </c>
      <c r="B1753" t="s">
        <v>3150</v>
      </c>
      <c r="C1753">
        <v>0</v>
      </c>
      <c r="D1753">
        <v>0</v>
      </c>
      <c r="E1753">
        <f>ABS(Table1[[#This Row],[Flux in SC / glucose uptake ($mmol/mmol\ glc$)]]-Table1[[#This Row],[Flux in RT / glucose uptake ($mmol/mmol\ glc$)]])/SQRT(2)</f>
        <v>0</v>
      </c>
      <c r="F1753">
        <f>Table1[[#This Row],[distance from 45-degree line]]/MAX(Table1[[Flux in SC / glucose uptake ($mmol/mmol\ glc$)]:[Flux in RT / glucose uptake ($mmol/mmol\ glc$)]])</f>
        <v>0</v>
      </c>
      <c r="G1753">
        <f>_xlfn.RANK.AVG(Table1[[#This Row],[Flux in SC / glucose uptake ($mmol/mmol\ glc$)]],Table1[Flux in SC / glucose uptake ($mmol/mmol\ glc$)])</f>
        <v>1310.5</v>
      </c>
      <c r="H1753">
        <f>_xlfn.RANK.AVG(Table1[[#This Row],[Flux in RT / glucose uptake ($mmol/mmol\ glc$)]],Table1[Flux in RT / glucose uptake ($mmol/mmol\ glc$)])</f>
        <v>1290.5</v>
      </c>
      <c r="I1753" t="e">
        <f>LOG(Table1[[#This Row],[Flux in SC / glucose uptake ($mmol/mmol\ glc$)]])</f>
        <v>#NUM!</v>
      </c>
      <c r="J1753" t="e">
        <f>LOG(Table1[[#This Row],[Flux in RT / glucose uptake ($mmol/mmol\ glc$)]])</f>
        <v>#NUM!</v>
      </c>
    </row>
    <row r="1754" spans="1:10" x14ac:dyDescent="0.2">
      <c r="A1754" t="s">
        <v>1757</v>
      </c>
      <c r="B1754" t="s">
        <v>3150</v>
      </c>
      <c r="C1754">
        <v>0</v>
      </c>
      <c r="D1754">
        <v>0</v>
      </c>
      <c r="E1754">
        <f>ABS(Table1[[#This Row],[Flux in SC / glucose uptake ($mmol/mmol\ glc$)]]-Table1[[#This Row],[Flux in RT / glucose uptake ($mmol/mmol\ glc$)]])/SQRT(2)</f>
        <v>0</v>
      </c>
      <c r="F1754">
        <f>Table1[[#This Row],[distance from 45-degree line]]/MAX(Table1[[Flux in SC / glucose uptake ($mmol/mmol\ glc$)]:[Flux in RT / glucose uptake ($mmol/mmol\ glc$)]])</f>
        <v>0</v>
      </c>
      <c r="G1754">
        <f>_xlfn.RANK.AVG(Table1[[#This Row],[Flux in SC / glucose uptake ($mmol/mmol\ glc$)]],Table1[Flux in SC / glucose uptake ($mmol/mmol\ glc$)])</f>
        <v>1310.5</v>
      </c>
      <c r="H1754">
        <f>_xlfn.RANK.AVG(Table1[[#This Row],[Flux in RT / glucose uptake ($mmol/mmol\ glc$)]],Table1[Flux in RT / glucose uptake ($mmol/mmol\ glc$)])</f>
        <v>1290.5</v>
      </c>
      <c r="I1754" t="e">
        <f>LOG(Table1[[#This Row],[Flux in SC / glucose uptake ($mmol/mmol\ glc$)]])</f>
        <v>#NUM!</v>
      </c>
      <c r="J1754" t="e">
        <f>LOG(Table1[[#This Row],[Flux in RT / glucose uptake ($mmol/mmol\ glc$)]])</f>
        <v>#NUM!</v>
      </c>
    </row>
    <row r="1755" spans="1:10" x14ac:dyDescent="0.2">
      <c r="A1755" t="s">
        <v>1758</v>
      </c>
      <c r="B1755" t="s">
        <v>3150</v>
      </c>
      <c r="C1755">
        <v>0</v>
      </c>
      <c r="D1755">
        <v>0</v>
      </c>
      <c r="E1755">
        <f>ABS(Table1[[#This Row],[Flux in SC / glucose uptake ($mmol/mmol\ glc$)]]-Table1[[#This Row],[Flux in RT / glucose uptake ($mmol/mmol\ glc$)]])/SQRT(2)</f>
        <v>0</v>
      </c>
      <c r="F1755">
        <f>Table1[[#This Row],[distance from 45-degree line]]/MAX(Table1[[Flux in SC / glucose uptake ($mmol/mmol\ glc$)]:[Flux in RT / glucose uptake ($mmol/mmol\ glc$)]])</f>
        <v>0</v>
      </c>
      <c r="G1755">
        <f>_xlfn.RANK.AVG(Table1[[#This Row],[Flux in SC / glucose uptake ($mmol/mmol\ glc$)]],Table1[Flux in SC / glucose uptake ($mmol/mmol\ glc$)])</f>
        <v>1310.5</v>
      </c>
      <c r="H1755">
        <f>_xlfn.RANK.AVG(Table1[[#This Row],[Flux in RT / glucose uptake ($mmol/mmol\ glc$)]],Table1[Flux in RT / glucose uptake ($mmol/mmol\ glc$)])</f>
        <v>1290.5</v>
      </c>
      <c r="I1755" t="e">
        <f>LOG(Table1[[#This Row],[Flux in SC / glucose uptake ($mmol/mmol\ glc$)]])</f>
        <v>#NUM!</v>
      </c>
      <c r="J1755" t="e">
        <f>LOG(Table1[[#This Row],[Flux in RT / glucose uptake ($mmol/mmol\ glc$)]])</f>
        <v>#NUM!</v>
      </c>
    </row>
    <row r="1756" spans="1:10" x14ac:dyDescent="0.2">
      <c r="A1756" t="s">
        <v>1759</v>
      </c>
      <c r="B1756" t="s">
        <v>3150</v>
      </c>
      <c r="C1756">
        <v>0</v>
      </c>
      <c r="D1756">
        <v>0</v>
      </c>
      <c r="E1756">
        <f>ABS(Table1[[#This Row],[Flux in SC / glucose uptake ($mmol/mmol\ glc$)]]-Table1[[#This Row],[Flux in RT / glucose uptake ($mmol/mmol\ glc$)]])/SQRT(2)</f>
        <v>0</v>
      </c>
      <c r="F1756">
        <f>Table1[[#This Row],[distance from 45-degree line]]/MAX(Table1[[Flux in SC / glucose uptake ($mmol/mmol\ glc$)]:[Flux in RT / glucose uptake ($mmol/mmol\ glc$)]])</f>
        <v>0</v>
      </c>
      <c r="G1756">
        <f>_xlfn.RANK.AVG(Table1[[#This Row],[Flux in SC / glucose uptake ($mmol/mmol\ glc$)]],Table1[Flux in SC / glucose uptake ($mmol/mmol\ glc$)])</f>
        <v>1310.5</v>
      </c>
      <c r="H1756">
        <f>_xlfn.RANK.AVG(Table1[[#This Row],[Flux in RT / glucose uptake ($mmol/mmol\ glc$)]],Table1[Flux in RT / glucose uptake ($mmol/mmol\ glc$)])</f>
        <v>1290.5</v>
      </c>
      <c r="I1756" t="e">
        <f>LOG(Table1[[#This Row],[Flux in SC / glucose uptake ($mmol/mmol\ glc$)]])</f>
        <v>#NUM!</v>
      </c>
      <c r="J1756" t="e">
        <f>LOG(Table1[[#This Row],[Flux in RT / glucose uptake ($mmol/mmol\ glc$)]])</f>
        <v>#NUM!</v>
      </c>
    </row>
    <row r="1757" spans="1:10" x14ac:dyDescent="0.2">
      <c r="A1757" t="s">
        <v>1760</v>
      </c>
      <c r="B1757" t="s">
        <v>3150</v>
      </c>
      <c r="C1757">
        <v>0</v>
      </c>
      <c r="D1757">
        <v>0</v>
      </c>
      <c r="E1757">
        <f>ABS(Table1[[#This Row],[Flux in SC / glucose uptake ($mmol/mmol\ glc$)]]-Table1[[#This Row],[Flux in RT / glucose uptake ($mmol/mmol\ glc$)]])/SQRT(2)</f>
        <v>0</v>
      </c>
      <c r="F1757">
        <f>Table1[[#This Row],[distance from 45-degree line]]/MAX(Table1[[Flux in SC / glucose uptake ($mmol/mmol\ glc$)]:[Flux in RT / glucose uptake ($mmol/mmol\ glc$)]])</f>
        <v>0</v>
      </c>
      <c r="G1757">
        <f>_xlfn.RANK.AVG(Table1[[#This Row],[Flux in SC / glucose uptake ($mmol/mmol\ glc$)]],Table1[Flux in SC / glucose uptake ($mmol/mmol\ glc$)])</f>
        <v>1310.5</v>
      </c>
      <c r="H1757">
        <f>_xlfn.RANK.AVG(Table1[[#This Row],[Flux in RT / glucose uptake ($mmol/mmol\ glc$)]],Table1[Flux in RT / glucose uptake ($mmol/mmol\ glc$)])</f>
        <v>1290.5</v>
      </c>
      <c r="I1757" t="e">
        <f>LOG(Table1[[#This Row],[Flux in SC / glucose uptake ($mmol/mmol\ glc$)]])</f>
        <v>#NUM!</v>
      </c>
      <c r="J1757" t="e">
        <f>LOG(Table1[[#This Row],[Flux in RT / glucose uptake ($mmol/mmol\ glc$)]])</f>
        <v>#NUM!</v>
      </c>
    </row>
    <row r="1758" spans="1:10" x14ac:dyDescent="0.2">
      <c r="A1758" t="s">
        <v>1761</v>
      </c>
      <c r="B1758" t="s">
        <v>3150</v>
      </c>
      <c r="C1758">
        <v>0</v>
      </c>
      <c r="D1758">
        <v>0</v>
      </c>
      <c r="E1758">
        <f>ABS(Table1[[#This Row],[Flux in SC / glucose uptake ($mmol/mmol\ glc$)]]-Table1[[#This Row],[Flux in RT / glucose uptake ($mmol/mmol\ glc$)]])/SQRT(2)</f>
        <v>0</v>
      </c>
      <c r="F1758">
        <f>Table1[[#This Row],[distance from 45-degree line]]/MAX(Table1[[Flux in SC / glucose uptake ($mmol/mmol\ glc$)]:[Flux in RT / glucose uptake ($mmol/mmol\ glc$)]])</f>
        <v>0</v>
      </c>
      <c r="G1758">
        <f>_xlfn.RANK.AVG(Table1[[#This Row],[Flux in SC / glucose uptake ($mmol/mmol\ glc$)]],Table1[Flux in SC / glucose uptake ($mmol/mmol\ glc$)])</f>
        <v>1310.5</v>
      </c>
      <c r="H1758">
        <f>_xlfn.RANK.AVG(Table1[[#This Row],[Flux in RT / glucose uptake ($mmol/mmol\ glc$)]],Table1[Flux in RT / glucose uptake ($mmol/mmol\ glc$)])</f>
        <v>1290.5</v>
      </c>
      <c r="I1758" t="e">
        <f>LOG(Table1[[#This Row],[Flux in SC / glucose uptake ($mmol/mmol\ glc$)]])</f>
        <v>#NUM!</v>
      </c>
      <c r="J1758" t="e">
        <f>LOG(Table1[[#This Row],[Flux in RT / glucose uptake ($mmol/mmol\ glc$)]])</f>
        <v>#NUM!</v>
      </c>
    </row>
    <row r="1759" spans="1:10" x14ac:dyDescent="0.2">
      <c r="A1759" t="s">
        <v>1762</v>
      </c>
      <c r="B1759" t="s">
        <v>3150</v>
      </c>
      <c r="C1759">
        <v>0</v>
      </c>
      <c r="D1759">
        <v>0</v>
      </c>
      <c r="E1759">
        <f>ABS(Table1[[#This Row],[Flux in SC / glucose uptake ($mmol/mmol\ glc$)]]-Table1[[#This Row],[Flux in RT / glucose uptake ($mmol/mmol\ glc$)]])/SQRT(2)</f>
        <v>0</v>
      </c>
      <c r="F1759">
        <f>Table1[[#This Row],[distance from 45-degree line]]/MAX(Table1[[Flux in SC / glucose uptake ($mmol/mmol\ glc$)]:[Flux in RT / glucose uptake ($mmol/mmol\ glc$)]])</f>
        <v>0</v>
      </c>
      <c r="G1759">
        <f>_xlfn.RANK.AVG(Table1[[#This Row],[Flux in SC / glucose uptake ($mmol/mmol\ glc$)]],Table1[Flux in SC / glucose uptake ($mmol/mmol\ glc$)])</f>
        <v>1310.5</v>
      </c>
      <c r="H1759">
        <f>_xlfn.RANK.AVG(Table1[[#This Row],[Flux in RT / glucose uptake ($mmol/mmol\ glc$)]],Table1[Flux in RT / glucose uptake ($mmol/mmol\ glc$)])</f>
        <v>1290.5</v>
      </c>
      <c r="I1759" t="e">
        <f>LOG(Table1[[#This Row],[Flux in SC / glucose uptake ($mmol/mmol\ glc$)]])</f>
        <v>#NUM!</v>
      </c>
      <c r="J1759" t="e">
        <f>LOG(Table1[[#This Row],[Flux in RT / glucose uptake ($mmol/mmol\ glc$)]])</f>
        <v>#NUM!</v>
      </c>
    </row>
    <row r="1760" spans="1:10" x14ac:dyDescent="0.2">
      <c r="A1760" t="s">
        <v>1763</v>
      </c>
      <c r="B1760" t="s">
        <v>3150</v>
      </c>
      <c r="C1760">
        <v>0</v>
      </c>
      <c r="D1760">
        <v>0</v>
      </c>
      <c r="E1760">
        <f>ABS(Table1[[#This Row],[Flux in SC / glucose uptake ($mmol/mmol\ glc$)]]-Table1[[#This Row],[Flux in RT / glucose uptake ($mmol/mmol\ glc$)]])/SQRT(2)</f>
        <v>0</v>
      </c>
      <c r="F1760">
        <f>Table1[[#This Row],[distance from 45-degree line]]/MAX(Table1[[Flux in SC / glucose uptake ($mmol/mmol\ glc$)]:[Flux in RT / glucose uptake ($mmol/mmol\ glc$)]])</f>
        <v>0</v>
      </c>
      <c r="G1760">
        <f>_xlfn.RANK.AVG(Table1[[#This Row],[Flux in SC / glucose uptake ($mmol/mmol\ glc$)]],Table1[Flux in SC / glucose uptake ($mmol/mmol\ glc$)])</f>
        <v>1310.5</v>
      </c>
      <c r="H1760">
        <f>_xlfn.RANK.AVG(Table1[[#This Row],[Flux in RT / glucose uptake ($mmol/mmol\ glc$)]],Table1[Flux in RT / glucose uptake ($mmol/mmol\ glc$)])</f>
        <v>1290.5</v>
      </c>
      <c r="I1760" t="e">
        <f>LOG(Table1[[#This Row],[Flux in SC / glucose uptake ($mmol/mmol\ glc$)]])</f>
        <v>#NUM!</v>
      </c>
      <c r="J1760" t="e">
        <f>LOG(Table1[[#This Row],[Flux in RT / glucose uptake ($mmol/mmol\ glc$)]])</f>
        <v>#NUM!</v>
      </c>
    </row>
    <row r="1761" spans="1:10" x14ac:dyDescent="0.2">
      <c r="A1761" t="s">
        <v>1764</v>
      </c>
      <c r="B1761" t="s">
        <v>3150</v>
      </c>
      <c r="C1761">
        <v>0</v>
      </c>
      <c r="D1761">
        <v>0</v>
      </c>
      <c r="E1761">
        <f>ABS(Table1[[#This Row],[Flux in SC / glucose uptake ($mmol/mmol\ glc$)]]-Table1[[#This Row],[Flux in RT / glucose uptake ($mmol/mmol\ glc$)]])/SQRT(2)</f>
        <v>0</v>
      </c>
      <c r="F1761">
        <f>Table1[[#This Row],[distance from 45-degree line]]/MAX(Table1[[Flux in SC / glucose uptake ($mmol/mmol\ glc$)]:[Flux in RT / glucose uptake ($mmol/mmol\ glc$)]])</f>
        <v>0</v>
      </c>
      <c r="G1761">
        <f>_xlfn.RANK.AVG(Table1[[#This Row],[Flux in SC / glucose uptake ($mmol/mmol\ glc$)]],Table1[Flux in SC / glucose uptake ($mmol/mmol\ glc$)])</f>
        <v>1310.5</v>
      </c>
      <c r="H1761">
        <f>_xlfn.RANK.AVG(Table1[[#This Row],[Flux in RT / glucose uptake ($mmol/mmol\ glc$)]],Table1[Flux in RT / glucose uptake ($mmol/mmol\ glc$)])</f>
        <v>1290.5</v>
      </c>
      <c r="I1761" t="e">
        <f>LOG(Table1[[#This Row],[Flux in SC / glucose uptake ($mmol/mmol\ glc$)]])</f>
        <v>#NUM!</v>
      </c>
      <c r="J1761" t="e">
        <f>LOG(Table1[[#This Row],[Flux in RT / glucose uptake ($mmol/mmol\ glc$)]])</f>
        <v>#NUM!</v>
      </c>
    </row>
    <row r="1762" spans="1:10" x14ac:dyDescent="0.2">
      <c r="A1762" t="s">
        <v>1765</v>
      </c>
      <c r="B1762" t="s">
        <v>3150</v>
      </c>
      <c r="C1762">
        <v>0</v>
      </c>
      <c r="D1762">
        <v>0</v>
      </c>
      <c r="E1762">
        <f>ABS(Table1[[#This Row],[Flux in SC / glucose uptake ($mmol/mmol\ glc$)]]-Table1[[#This Row],[Flux in RT / glucose uptake ($mmol/mmol\ glc$)]])/SQRT(2)</f>
        <v>0</v>
      </c>
      <c r="F1762">
        <f>Table1[[#This Row],[distance from 45-degree line]]/MAX(Table1[[Flux in SC / glucose uptake ($mmol/mmol\ glc$)]:[Flux in RT / glucose uptake ($mmol/mmol\ glc$)]])</f>
        <v>0</v>
      </c>
      <c r="G1762">
        <f>_xlfn.RANK.AVG(Table1[[#This Row],[Flux in SC / glucose uptake ($mmol/mmol\ glc$)]],Table1[Flux in SC / glucose uptake ($mmol/mmol\ glc$)])</f>
        <v>1310.5</v>
      </c>
      <c r="H1762">
        <f>_xlfn.RANK.AVG(Table1[[#This Row],[Flux in RT / glucose uptake ($mmol/mmol\ glc$)]],Table1[Flux in RT / glucose uptake ($mmol/mmol\ glc$)])</f>
        <v>1290.5</v>
      </c>
      <c r="I1762" t="e">
        <f>LOG(Table1[[#This Row],[Flux in SC / glucose uptake ($mmol/mmol\ glc$)]])</f>
        <v>#NUM!</v>
      </c>
      <c r="J1762" t="e">
        <f>LOG(Table1[[#This Row],[Flux in RT / glucose uptake ($mmol/mmol\ glc$)]])</f>
        <v>#NUM!</v>
      </c>
    </row>
    <row r="1763" spans="1:10" x14ac:dyDescent="0.2">
      <c r="A1763" t="s">
        <v>1766</v>
      </c>
      <c r="B1763" t="s">
        <v>3150</v>
      </c>
      <c r="C1763">
        <v>3.6110321147682783E-9</v>
      </c>
      <c r="D1763">
        <v>0</v>
      </c>
      <c r="E1763">
        <f>ABS(Table1[[#This Row],[Flux in SC / glucose uptake ($mmol/mmol\ glc$)]]-Table1[[#This Row],[Flux in RT / glucose uptake ($mmol/mmol\ glc$)]])/SQRT(2)</f>
        <v>2.5533852954350489E-9</v>
      </c>
      <c r="F1763">
        <f>Table1[[#This Row],[distance from 45-degree line]]/MAX(Table1[[Flux in SC / glucose uptake ($mmol/mmol\ glc$)]:[Flux in RT / glucose uptake ($mmol/mmol\ glc$)]])</f>
        <v>1.376245538429589E-10</v>
      </c>
      <c r="G1763">
        <f>_xlfn.RANK.AVG(Table1[[#This Row],[Flux in SC / glucose uptake ($mmol/mmol\ glc$)]],Table1[Flux in SC / glucose uptake ($mmol/mmol\ glc$)])</f>
        <v>310</v>
      </c>
      <c r="H1763">
        <f>_xlfn.RANK.AVG(Table1[[#This Row],[Flux in RT / glucose uptake ($mmol/mmol\ glc$)]],Table1[Flux in RT / glucose uptake ($mmol/mmol\ glc$)])</f>
        <v>1290.5</v>
      </c>
      <c r="I1763">
        <f>LOG(Table1[[#This Row],[Flux in SC / glucose uptake ($mmol/mmol\ glc$)]])</f>
        <v>-8.4423686491515095</v>
      </c>
      <c r="J1763" t="e">
        <f>LOG(Table1[[#This Row],[Flux in RT / glucose uptake ($mmol/mmol\ glc$)]])</f>
        <v>#NUM!</v>
      </c>
    </row>
    <row r="1764" spans="1:10" x14ac:dyDescent="0.2">
      <c r="A1764" t="s">
        <v>1767</v>
      </c>
      <c r="B1764" t="s">
        <v>3150</v>
      </c>
      <c r="C1764">
        <v>0</v>
      </c>
      <c r="D1764">
        <v>0</v>
      </c>
      <c r="E1764">
        <f>ABS(Table1[[#This Row],[Flux in SC / glucose uptake ($mmol/mmol\ glc$)]]-Table1[[#This Row],[Flux in RT / glucose uptake ($mmol/mmol\ glc$)]])/SQRT(2)</f>
        <v>0</v>
      </c>
      <c r="F1764">
        <f>Table1[[#This Row],[distance from 45-degree line]]/MAX(Table1[[Flux in SC / glucose uptake ($mmol/mmol\ glc$)]:[Flux in RT / glucose uptake ($mmol/mmol\ glc$)]])</f>
        <v>0</v>
      </c>
      <c r="G1764">
        <f>_xlfn.RANK.AVG(Table1[[#This Row],[Flux in SC / glucose uptake ($mmol/mmol\ glc$)]],Table1[Flux in SC / glucose uptake ($mmol/mmol\ glc$)])</f>
        <v>1310.5</v>
      </c>
      <c r="H1764">
        <f>_xlfn.RANK.AVG(Table1[[#This Row],[Flux in RT / glucose uptake ($mmol/mmol\ glc$)]],Table1[Flux in RT / glucose uptake ($mmol/mmol\ glc$)])</f>
        <v>1290.5</v>
      </c>
      <c r="I1764" t="e">
        <f>LOG(Table1[[#This Row],[Flux in SC / glucose uptake ($mmol/mmol\ glc$)]])</f>
        <v>#NUM!</v>
      </c>
      <c r="J1764" t="e">
        <f>LOG(Table1[[#This Row],[Flux in RT / glucose uptake ($mmol/mmol\ glc$)]])</f>
        <v>#NUM!</v>
      </c>
    </row>
    <row r="1765" spans="1:10" x14ac:dyDescent="0.2">
      <c r="A1765" t="s">
        <v>1768</v>
      </c>
      <c r="B1765" t="s">
        <v>3199</v>
      </c>
      <c r="C1765">
        <v>0</v>
      </c>
      <c r="D1765">
        <v>0</v>
      </c>
      <c r="E1765">
        <f>ABS(Table1[[#This Row],[Flux in SC / glucose uptake ($mmol/mmol\ glc$)]]-Table1[[#This Row],[Flux in RT / glucose uptake ($mmol/mmol\ glc$)]])/SQRT(2)</f>
        <v>0</v>
      </c>
      <c r="F1765">
        <f>Table1[[#This Row],[distance from 45-degree line]]/MAX(Table1[[Flux in SC / glucose uptake ($mmol/mmol\ glc$)]:[Flux in RT / glucose uptake ($mmol/mmol\ glc$)]])</f>
        <v>0</v>
      </c>
      <c r="G1765">
        <f>_xlfn.RANK.AVG(Table1[[#This Row],[Flux in SC / glucose uptake ($mmol/mmol\ glc$)]],Table1[Flux in SC / glucose uptake ($mmol/mmol\ glc$)])</f>
        <v>1310.5</v>
      </c>
      <c r="H1765">
        <f>_xlfn.RANK.AVG(Table1[[#This Row],[Flux in RT / glucose uptake ($mmol/mmol\ glc$)]],Table1[Flux in RT / glucose uptake ($mmol/mmol\ glc$)])</f>
        <v>1290.5</v>
      </c>
      <c r="I1765" t="e">
        <f>LOG(Table1[[#This Row],[Flux in SC / glucose uptake ($mmol/mmol\ glc$)]])</f>
        <v>#NUM!</v>
      </c>
      <c r="J1765" t="e">
        <f>LOG(Table1[[#This Row],[Flux in RT / glucose uptake ($mmol/mmol\ glc$)]])</f>
        <v>#NUM!</v>
      </c>
    </row>
    <row r="1766" spans="1:10" x14ac:dyDescent="0.2">
      <c r="A1766" t="s">
        <v>1769</v>
      </c>
      <c r="B1766" t="s">
        <v>3114</v>
      </c>
      <c r="C1766">
        <v>0.202465493563904</v>
      </c>
      <c r="D1766">
        <v>2.9949049653068922</v>
      </c>
      <c r="E1766">
        <f>ABS(Table1[[#This Row],[Flux in SC / glucose uptake ($mmol/mmol\ glc$)]]-Table1[[#This Row],[Flux in RT / glucose uptake ($mmol/mmol\ glc$)]])/SQRT(2)</f>
        <v>1.9745528865224473</v>
      </c>
      <c r="F1766">
        <f>Table1[[#This Row],[distance from 45-degree line]]/MAX(Table1[[Flux in SC / glucose uptake ($mmol/mmol\ glc$)]:[Flux in RT / glucose uptake ($mmol/mmol\ glc$)]])</f>
        <v>0.10642614748851598</v>
      </c>
      <c r="G1766">
        <f>_xlfn.RANK.AVG(Table1[[#This Row],[Flux in SC / glucose uptake ($mmol/mmol\ glc$)]],Table1[Flux in SC / glucose uptake ($mmol/mmol\ glc$)])</f>
        <v>26.5</v>
      </c>
      <c r="H1766">
        <f>_xlfn.RANK.AVG(Table1[[#This Row],[Flux in RT / glucose uptake ($mmol/mmol\ glc$)]],Table1[Flux in RT / glucose uptake ($mmol/mmol\ glc$)])</f>
        <v>11.5</v>
      </c>
      <c r="I1766">
        <f>LOG(Table1[[#This Row],[Flux in SC / glucose uptake ($mmol/mmol\ glc$)]])</f>
        <v>-0.69364898347030612</v>
      </c>
      <c r="J1766">
        <f>LOG(Table1[[#This Row],[Flux in RT / glucose uptake ($mmol/mmol\ glc$)]])</f>
        <v>0.47638304585800473</v>
      </c>
    </row>
    <row r="1767" spans="1:10" x14ac:dyDescent="0.2">
      <c r="A1767" t="s">
        <v>1770</v>
      </c>
      <c r="B1767" t="s">
        <v>3114</v>
      </c>
      <c r="C1767">
        <v>0.18979347496057666</v>
      </c>
      <c r="D1767">
        <v>2.8256863340616785</v>
      </c>
      <c r="E1767">
        <f>ABS(Table1[[#This Row],[Flux in SC / glucose uptake ($mmol/mmol\ glc$)]]-Table1[[#This Row],[Flux in RT / glucose uptake ($mmol/mmol\ glc$)]])/SQRT(2)</f>
        <v>1.8638577151515858</v>
      </c>
      <c r="F1767">
        <f>Table1[[#This Row],[distance from 45-degree line]]/MAX(Table1[[Flux in SC / glucose uptake ($mmol/mmol\ glc$)]:[Flux in RT / glucose uptake ($mmol/mmol\ glc$)]])</f>
        <v>0.10045980406211623</v>
      </c>
      <c r="G1767">
        <f>_xlfn.RANK.AVG(Table1[[#This Row],[Flux in SC / glucose uptake ($mmol/mmol\ glc$)]],Table1[Flux in SC / glucose uptake ($mmol/mmol\ glc$)])</f>
        <v>28</v>
      </c>
      <c r="H1767">
        <f>_xlfn.RANK.AVG(Table1[[#This Row],[Flux in RT / glucose uptake ($mmol/mmol\ glc$)]],Table1[Flux in RT / glucose uptake ($mmol/mmol\ glc$)])</f>
        <v>13</v>
      </c>
      <c r="I1767">
        <f>LOG(Table1[[#This Row],[Flux in SC / glucose uptake ($mmol/mmol\ glc$)]])</f>
        <v>-0.72171872255850256</v>
      </c>
      <c r="J1767">
        <f>LOG(Table1[[#This Row],[Flux in RT / glucose uptake ($mmol/mmol\ glc$)]])</f>
        <v>0.4511239512327635</v>
      </c>
    </row>
    <row r="1768" spans="1:10" x14ac:dyDescent="0.2">
      <c r="A1768" t="s">
        <v>1771</v>
      </c>
      <c r="B1768" t="s">
        <v>3114</v>
      </c>
      <c r="C1768">
        <v>0</v>
      </c>
      <c r="D1768">
        <v>0</v>
      </c>
      <c r="E1768">
        <f>ABS(Table1[[#This Row],[Flux in SC / glucose uptake ($mmol/mmol\ glc$)]]-Table1[[#This Row],[Flux in RT / glucose uptake ($mmol/mmol\ glc$)]])/SQRT(2)</f>
        <v>0</v>
      </c>
      <c r="F1768">
        <f>Table1[[#This Row],[distance from 45-degree line]]/MAX(Table1[[Flux in SC / glucose uptake ($mmol/mmol\ glc$)]:[Flux in RT / glucose uptake ($mmol/mmol\ glc$)]])</f>
        <v>0</v>
      </c>
      <c r="G1768">
        <f>_xlfn.RANK.AVG(Table1[[#This Row],[Flux in SC / glucose uptake ($mmol/mmol\ glc$)]],Table1[Flux in SC / glucose uptake ($mmol/mmol\ glc$)])</f>
        <v>1310.5</v>
      </c>
      <c r="H1768">
        <f>_xlfn.RANK.AVG(Table1[[#This Row],[Flux in RT / glucose uptake ($mmol/mmol\ glc$)]],Table1[Flux in RT / glucose uptake ($mmol/mmol\ glc$)])</f>
        <v>1290.5</v>
      </c>
      <c r="I1768" t="e">
        <f>LOG(Table1[[#This Row],[Flux in SC / glucose uptake ($mmol/mmol\ glc$)]])</f>
        <v>#NUM!</v>
      </c>
      <c r="J1768" t="e">
        <f>LOG(Table1[[#This Row],[Flux in RT / glucose uptake ($mmol/mmol\ glc$)]])</f>
        <v>#NUM!</v>
      </c>
    </row>
    <row r="1769" spans="1:10" x14ac:dyDescent="0.2">
      <c r="A1769" t="s">
        <v>1772</v>
      </c>
      <c r="B1769" t="s">
        <v>3114</v>
      </c>
      <c r="C1769">
        <v>0</v>
      </c>
      <c r="D1769">
        <v>0</v>
      </c>
      <c r="E1769">
        <f>ABS(Table1[[#This Row],[Flux in SC / glucose uptake ($mmol/mmol\ glc$)]]-Table1[[#This Row],[Flux in RT / glucose uptake ($mmol/mmol\ glc$)]])/SQRT(2)</f>
        <v>0</v>
      </c>
      <c r="F1769">
        <f>Table1[[#This Row],[distance from 45-degree line]]/MAX(Table1[[Flux in SC / glucose uptake ($mmol/mmol\ glc$)]:[Flux in RT / glucose uptake ($mmol/mmol\ glc$)]])</f>
        <v>0</v>
      </c>
      <c r="G1769">
        <f>_xlfn.RANK.AVG(Table1[[#This Row],[Flux in SC / glucose uptake ($mmol/mmol\ glc$)]],Table1[Flux in SC / glucose uptake ($mmol/mmol\ glc$)])</f>
        <v>1310.5</v>
      </c>
      <c r="H1769">
        <f>_xlfn.RANK.AVG(Table1[[#This Row],[Flux in RT / glucose uptake ($mmol/mmol\ glc$)]],Table1[Flux in RT / glucose uptake ($mmol/mmol\ glc$)])</f>
        <v>1290.5</v>
      </c>
      <c r="I1769" t="e">
        <f>LOG(Table1[[#This Row],[Flux in SC / glucose uptake ($mmol/mmol\ glc$)]])</f>
        <v>#NUM!</v>
      </c>
      <c r="J1769" t="e">
        <f>LOG(Table1[[#This Row],[Flux in RT / glucose uptake ($mmol/mmol\ glc$)]])</f>
        <v>#NUM!</v>
      </c>
    </row>
    <row r="1770" spans="1:10" x14ac:dyDescent="0.2">
      <c r="A1770" t="s">
        <v>1773</v>
      </c>
      <c r="B1770" t="s">
        <v>3114</v>
      </c>
      <c r="C1770">
        <v>0</v>
      </c>
      <c r="D1770">
        <v>0</v>
      </c>
      <c r="E1770">
        <f>ABS(Table1[[#This Row],[Flux in SC / glucose uptake ($mmol/mmol\ glc$)]]-Table1[[#This Row],[Flux in RT / glucose uptake ($mmol/mmol\ glc$)]])/SQRT(2)</f>
        <v>0</v>
      </c>
      <c r="F1770">
        <f>Table1[[#This Row],[distance from 45-degree line]]/MAX(Table1[[Flux in SC / glucose uptake ($mmol/mmol\ glc$)]:[Flux in RT / glucose uptake ($mmol/mmol\ glc$)]])</f>
        <v>0</v>
      </c>
      <c r="G1770">
        <f>_xlfn.RANK.AVG(Table1[[#This Row],[Flux in SC / glucose uptake ($mmol/mmol\ glc$)]],Table1[Flux in SC / glucose uptake ($mmol/mmol\ glc$)])</f>
        <v>1310.5</v>
      </c>
      <c r="H1770">
        <f>_xlfn.RANK.AVG(Table1[[#This Row],[Flux in RT / glucose uptake ($mmol/mmol\ glc$)]],Table1[Flux in RT / glucose uptake ($mmol/mmol\ glc$)])</f>
        <v>1290.5</v>
      </c>
      <c r="I1770" t="e">
        <f>LOG(Table1[[#This Row],[Flux in SC / glucose uptake ($mmol/mmol\ glc$)]])</f>
        <v>#NUM!</v>
      </c>
      <c r="J1770" t="e">
        <f>LOG(Table1[[#This Row],[Flux in RT / glucose uptake ($mmol/mmol\ glc$)]])</f>
        <v>#NUM!</v>
      </c>
    </row>
    <row r="1771" spans="1:10" x14ac:dyDescent="0.2">
      <c r="A1771" t="s">
        <v>1774</v>
      </c>
      <c r="B1771" t="s">
        <v>3143</v>
      </c>
      <c r="C1771">
        <v>2.5951408850191312E-4</v>
      </c>
      <c r="D1771">
        <v>0</v>
      </c>
      <c r="E1771">
        <f>ABS(Table1[[#This Row],[Flux in SC / glucose uptake ($mmol/mmol\ glc$)]]-Table1[[#This Row],[Flux in RT / glucose uptake ($mmol/mmol\ glc$)]])/SQRT(2)</f>
        <v>1.8350417179314861E-4</v>
      </c>
      <c r="F1771">
        <f>Table1[[#This Row],[distance from 45-degree line]]/MAX(Table1[[Flux in SC / glucose uptake ($mmol/mmol\ glc$)]:[Flux in RT / glucose uptake ($mmol/mmol\ glc$)]])</f>
        <v>9.8906654692905789E-6</v>
      </c>
      <c r="G1771">
        <f>_xlfn.RANK.AVG(Table1[[#This Row],[Flux in SC / glucose uptake ($mmol/mmol\ glc$)]],Table1[Flux in SC / glucose uptake ($mmol/mmol\ glc$)])</f>
        <v>253</v>
      </c>
      <c r="H1771">
        <f>_xlfn.RANK.AVG(Table1[[#This Row],[Flux in RT / glucose uptake ($mmol/mmol\ glc$)]],Table1[Flux in RT / glucose uptake ($mmol/mmol\ glc$)])</f>
        <v>1290.5</v>
      </c>
      <c r="I1771">
        <f>LOG(Table1[[#This Row],[Flux in SC / glucose uptake ($mmol/mmol\ glc$)]])</f>
        <v>-3.5858390601948913</v>
      </c>
      <c r="J1771" t="e">
        <f>LOG(Table1[[#This Row],[Flux in RT / glucose uptake ($mmol/mmol\ glc$)]])</f>
        <v>#NUM!</v>
      </c>
    </row>
    <row r="1772" spans="1:10" x14ac:dyDescent="0.2">
      <c r="A1772" t="s">
        <v>1775</v>
      </c>
      <c r="B1772" t="s">
        <v>3114</v>
      </c>
      <c r="C1772">
        <v>0</v>
      </c>
      <c r="D1772">
        <v>0</v>
      </c>
      <c r="E1772">
        <f>ABS(Table1[[#This Row],[Flux in SC / glucose uptake ($mmol/mmol\ glc$)]]-Table1[[#This Row],[Flux in RT / glucose uptake ($mmol/mmol\ glc$)]])/SQRT(2)</f>
        <v>0</v>
      </c>
      <c r="F1772">
        <f>Table1[[#This Row],[distance from 45-degree line]]/MAX(Table1[[Flux in SC / glucose uptake ($mmol/mmol\ glc$)]:[Flux in RT / glucose uptake ($mmol/mmol\ glc$)]])</f>
        <v>0</v>
      </c>
      <c r="G1772">
        <f>_xlfn.RANK.AVG(Table1[[#This Row],[Flux in SC / glucose uptake ($mmol/mmol\ glc$)]],Table1[Flux in SC / glucose uptake ($mmol/mmol\ glc$)])</f>
        <v>1310.5</v>
      </c>
      <c r="H1772">
        <f>_xlfn.RANK.AVG(Table1[[#This Row],[Flux in RT / glucose uptake ($mmol/mmol\ glc$)]],Table1[Flux in RT / glucose uptake ($mmol/mmol\ glc$)])</f>
        <v>1290.5</v>
      </c>
      <c r="I1772" t="e">
        <f>LOG(Table1[[#This Row],[Flux in SC / glucose uptake ($mmol/mmol\ glc$)]])</f>
        <v>#NUM!</v>
      </c>
      <c r="J1772" t="e">
        <f>LOG(Table1[[#This Row],[Flux in RT / glucose uptake ($mmol/mmol\ glc$)]])</f>
        <v>#NUM!</v>
      </c>
    </row>
    <row r="1773" spans="1:10" x14ac:dyDescent="0.2">
      <c r="A1773" t="s">
        <v>1776</v>
      </c>
      <c r="B1773" t="s">
        <v>3114</v>
      </c>
      <c r="C1773">
        <v>2.0174814695547376E-2</v>
      </c>
      <c r="D1773">
        <v>0</v>
      </c>
      <c r="E1773">
        <f>ABS(Table1[[#This Row],[Flux in SC / glucose uptake ($mmol/mmol\ glc$)]]-Table1[[#This Row],[Flux in RT / glucose uptake ($mmol/mmol\ glc$)]])/SQRT(2)</f>
        <v>1.4265748280403561E-2</v>
      </c>
      <c r="F1773">
        <f>Table1[[#This Row],[distance from 45-degree line]]/MAX(Table1[[Flux in SC / glucose uptake ($mmol/mmol\ glc$)]:[Flux in RT / glucose uptake ($mmol/mmol\ glc$)]])</f>
        <v>7.6890755415429221E-4</v>
      </c>
      <c r="G1773">
        <f>_xlfn.RANK.AVG(Table1[[#This Row],[Flux in SC / glucose uptake ($mmol/mmol\ glc$)]],Table1[Flux in SC / glucose uptake ($mmol/mmol\ glc$)])</f>
        <v>66</v>
      </c>
      <c r="H1773">
        <f>_xlfn.RANK.AVG(Table1[[#This Row],[Flux in RT / glucose uptake ($mmol/mmol\ glc$)]],Table1[Flux in RT / glucose uptake ($mmol/mmol\ glc$)])</f>
        <v>1290.5</v>
      </c>
      <c r="I1773">
        <f>LOG(Table1[[#This Row],[Flux in SC / glucose uptake ($mmol/mmol\ glc$)]])</f>
        <v>-1.6951904455561191</v>
      </c>
      <c r="J1773" t="e">
        <f>LOG(Table1[[#This Row],[Flux in RT / glucose uptake ($mmol/mmol\ glc$)]])</f>
        <v>#NUM!</v>
      </c>
    </row>
    <row r="1774" spans="1:10" x14ac:dyDescent="0.2">
      <c r="A1774" t="s">
        <v>1777</v>
      </c>
      <c r="B1774" t="s">
        <v>3125</v>
      </c>
      <c r="C1774">
        <v>0</v>
      </c>
      <c r="D1774">
        <v>0</v>
      </c>
      <c r="E1774">
        <f>ABS(Table1[[#This Row],[Flux in SC / glucose uptake ($mmol/mmol\ glc$)]]-Table1[[#This Row],[Flux in RT / glucose uptake ($mmol/mmol\ glc$)]])/SQRT(2)</f>
        <v>0</v>
      </c>
      <c r="F1774">
        <f>Table1[[#This Row],[distance from 45-degree line]]/MAX(Table1[[Flux in SC / glucose uptake ($mmol/mmol\ glc$)]:[Flux in RT / glucose uptake ($mmol/mmol\ glc$)]])</f>
        <v>0</v>
      </c>
      <c r="G1774">
        <f>_xlfn.RANK.AVG(Table1[[#This Row],[Flux in SC / glucose uptake ($mmol/mmol\ glc$)]],Table1[Flux in SC / glucose uptake ($mmol/mmol\ glc$)])</f>
        <v>1310.5</v>
      </c>
      <c r="H1774">
        <f>_xlfn.RANK.AVG(Table1[[#This Row],[Flux in RT / glucose uptake ($mmol/mmol\ glc$)]],Table1[Flux in RT / glucose uptake ($mmol/mmol\ glc$)])</f>
        <v>1290.5</v>
      </c>
      <c r="I1774" t="e">
        <f>LOG(Table1[[#This Row],[Flux in SC / glucose uptake ($mmol/mmol\ glc$)]])</f>
        <v>#NUM!</v>
      </c>
      <c r="J1774" t="e">
        <f>LOG(Table1[[#This Row],[Flux in RT / glucose uptake ($mmol/mmol\ glc$)]])</f>
        <v>#NUM!</v>
      </c>
    </row>
    <row r="1775" spans="1:10" x14ac:dyDescent="0.2">
      <c r="A1775" t="s">
        <v>1778</v>
      </c>
      <c r="B1775" t="s">
        <v>3125</v>
      </c>
      <c r="C1775">
        <v>0</v>
      </c>
      <c r="D1775">
        <v>0</v>
      </c>
      <c r="E1775">
        <f>ABS(Table1[[#This Row],[Flux in SC / glucose uptake ($mmol/mmol\ glc$)]]-Table1[[#This Row],[Flux in RT / glucose uptake ($mmol/mmol\ glc$)]])/SQRT(2)</f>
        <v>0</v>
      </c>
      <c r="F1775">
        <f>Table1[[#This Row],[distance from 45-degree line]]/MAX(Table1[[Flux in SC / glucose uptake ($mmol/mmol\ glc$)]:[Flux in RT / glucose uptake ($mmol/mmol\ glc$)]])</f>
        <v>0</v>
      </c>
      <c r="G1775">
        <f>_xlfn.RANK.AVG(Table1[[#This Row],[Flux in SC / glucose uptake ($mmol/mmol\ glc$)]],Table1[Flux in SC / glucose uptake ($mmol/mmol\ glc$)])</f>
        <v>1310.5</v>
      </c>
      <c r="H1775">
        <f>_xlfn.RANK.AVG(Table1[[#This Row],[Flux in RT / glucose uptake ($mmol/mmol\ glc$)]],Table1[Flux in RT / glucose uptake ($mmol/mmol\ glc$)])</f>
        <v>1290.5</v>
      </c>
      <c r="I1775" t="e">
        <f>LOG(Table1[[#This Row],[Flux in SC / glucose uptake ($mmol/mmol\ glc$)]])</f>
        <v>#NUM!</v>
      </c>
      <c r="J1775" t="e">
        <f>LOG(Table1[[#This Row],[Flux in RT / glucose uptake ($mmol/mmol\ glc$)]])</f>
        <v>#NUM!</v>
      </c>
    </row>
    <row r="1776" spans="1:10" x14ac:dyDescent="0.2">
      <c r="A1776" t="s">
        <v>1779</v>
      </c>
      <c r="B1776" t="s">
        <v>3142</v>
      </c>
      <c r="C1776">
        <v>0</v>
      </c>
      <c r="D1776">
        <v>0</v>
      </c>
      <c r="E1776">
        <f>ABS(Table1[[#This Row],[Flux in SC / glucose uptake ($mmol/mmol\ glc$)]]-Table1[[#This Row],[Flux in RT / glucose uptake ($mmol/mmol\ glc$)]])/SQRT(2)</f>
        <v>0</v>
      </c>
      <c r="F1776">
        <f>Table1[[#This Row],[distance from 45-degree line]]/MAX(Table1[[Flux in SC / glucose uptake ($mmol/mmol\ glc$)]:[Flux in RT / glucose uptake ($mmol/mmol\ glc$)]])</f>
        <v>0</v>
      </c>
      <c r="G1776">
        <f>_xlfn.RANK.AVG(Table1[[#This Row],[Flux in SC / glucose uptake ($mmol/mmol\ glc$)]],Table1[Flux in SC / glucose uptake ($mmol/mmol\ glc$)])</f>
        <v>1310.5</v>
      </c>
      <c r="H1776">
        <f>_xlfn.RANK.AVG(Table1[[#This Row],[Flux in RT / glucose uptake ($mmol/mmol\ glc$)]],Table1[Flux in RT / glucose uptake ($mmol/mmol\ glc$)])</f>
        <v>1290.5</v>
      </c>
      <c r="I1776" t="e">
        <f>LOG(Table1[[#This Row],[Flux in SC / glucose uptake ($mmol/mmol\ glc$)]])</f>
        <v>#NUM!</v>
      </c>
      <c r="J1776" t="e">
        <f>LOG(Table1[[#This Row],[Flux in RT / glucose uptake ($mmol/mmol\ glc$)]])</f>
        <v>#NUM!</v>
      </c>
    </row>
    <row r="1777" spans="1:10" x14ac:dyDescent="0.2">
      <c r="A1777" t="s">
        <v>1780</v>
      </c>
      <c r="B1777" t="s">
        <v>3134</v>
      </c>
      <c r="C1777">
        <v>2.5658878814920818E-3</v>
      </c>
      <c r="D1777">
        <v>1.1627227434580457E-2</v>
      </c>
      <c r="E1777">
        <f>ABS(Table1[[#This Row],[Flux in SC / glucose uptake ($mmol/mmol\ glc$)]]-Table1[[#This Row],[Flux in RT / glucose uptake ($mmol/mmol\ glc$)]])/SQRT(2)</f>
        <v>6.4073346446226701E-3</v>
      </c>
      <c r="F1777">
        <f>Table1[[#This Row],[distance from 45-degree line]]/MAX(Table1[[Flux in SC / glucose uptake ($mmol/mmol\ glc$)]:[Flux in RT / glucose uptake ($mmol/mmol\ glc$)]])</f>
        <v>3.4534802615383798E-4</v>
      </c>
      <c r="G1777">
        <f>_xlfn.RANK.AVG(Table1[[#This Row],[Flux in SC / glucose uptake ($mmol/mmol\ glc$)]],Table1[Flux in SC / glucose uptake ($mmol/mmol\ glc$)])</f>
        <v>184</v>
      </c>
      <c r="H1777">
        <f>_xlfn.RANK.AVG(Table1[[#This Row],[Flux in RT / glucose uptake ($mmol/mmol\ glc$)]],Table1[Flux in RT / glucose uptake ($mmol/mmol\ glc$)])</f>
        <v>189</v>
      </c>
      <c r="I1777">
        <f>LOG(Table1[[#This Row],[Flux in SC / glucose uptake ($mmol/mmol\ glc$)]])</f>
        <v>-2.5907623243886508</v>
      </c>
      <c r="J1777">
        <f>LOG(Table1[[#This Row],[Flux in RT / glucose uptake ($mmol/mmol\ glc$)]])</f>
        <v>-1.9345238324266469</v>
      </c>
    </row>
    <row r="1778" spans="1:10" x14ac:dyDescent="0.2">
      <c r="A1778" t="s">
        <v>1781</v>
      </c>
      <c r="B1778" t="s">
        <v>3114</v>
      </c>
      <c r="C1778">
        <v>0</v>
      </c>
      <c r="D1778">
        <v>0</v>
      </c>
      <c r="E1778">
        <f>ABS(Table1[[#This Row],[Flux in SC / glucose uptake ($mmol/mmol\ glc$)]]-Table1[[#This Row],[Flux in RT / glucose uptake ($mmol/mmol\ glc$)]])/SQRT(2)</f>
        <v>0</v>
      </c>
      <c r="F1778">
        <f>Table1[[#This Row],[distance from 45-degree line]]/MAX(Table1[[Flux in SC / glucose uptake ($mmol/mmol\ glc$)]:[Flux in RT / glucose uptake ($mmol/mmol\ glc$)]])</f>
        <v>0</v>
      </c>
      <c r="G1778">
        <f>_xlfn.RANK.AVG(Table1[[#This Row],[Flux in SC / glucose uptake ($mmol/mmol\ glc$)]],Table1[Flux in SC / glucose uptake ($mmol/mmol\ glc$)])</f>
        <v>1310.5</v>
      </c>
      <c r="H1778">
        <f>_xlfn.RANK.AVG(Table1[[#This Row],[Flux in RT / glucose uptake ($mmol/mmol\ glc$)]],Table1[Flux in RT / glucose uptake ($mmol/mmol\ glc$)])</f>
        <v>1290.5</v>
      </c>
      <c r="I1778" t="e">
        <f>LOG(Table1[[#This Row],[Flux in SC / glucose uptake ($mmol/mmol\ glc$)]])</f>
        <v>#NUM!</v>
      </c>
      <c r="J1778" t="e">
        <f>LOG(Table1[[#This Row],[Flux in RT / glucose uptake ($mmol/mmol\ glc$)]])</f>
        <v>#NUM!</v>
      </c>
    </row>
    <row r="1779" spans="1:10" x14ac:dyDescent="0.2">
      <c r="A1779" t="s">
        <v>1782</v>
      </c>
      <c r="B1779" t="s">
        <v>3114</v>
      </c>
      <c r="C1779">
        <v>0</v>
      </c>
      <c r="D1779">
        <v>0</v>
      </c>
      <c r="E1779">
        <f>ABS(Table1[[#This Row],[Flux in SC / glucose uptake ($mmol/mmol\ glc$)]]-Table1[[#This Row],[Flux in RT / glucose uptake ($mmol/mmol\ glc$)]])/SQRT(2)</f>
        <v>0</v>
      </c>
      <c r="F1779">
        <f>Table1[[#This Row],[distance from 45-degree line]]/MAX(Table1[[Flux in SC / glucose uptake ($mmol/mmol\ glc$)]:[Flux in RT / glucose uptake ($mmol/mmol\ glc$)]])</f>
        <v>0</v>
      </c>
      <c r="G1779">
        <f>_xlfn.RANK.AVG(Table1[[#This Row],[Flux in SC / glucose uptake ($mmol/mmol\ glc$)]],Table1[Flux in SC / glucose uptake ($mmol/mmol\ glc$)])</f>
        <v>1310.5</v>
      </c>
      <c r="H1779">
        <f>_xlfn.RANK.AVG(Table1[[#This Row],[Flux in RT / glucose uptake ($mmol/mmol\ glc$)]],Table1[Flux in RT / glucose uptake ($mmol/mmol\ glc$)])</f>
        <v>1290.5</v>
      </c>
      <c r="I1779" t="e">
        <f>LOG(Table1[[#This Row],[Flux in SC / glucose uptake ($mmol/mmol\ glc$)]])</f>
        <v>#NUM!</v>
      </c>
      <c r="J1779" t="e">
        <f>LOG(Table1[[#This Row],[Flux in RT / glucose uptake ($mmol/mmol\ glc$)]])</f>
        <v>#NUM!</v>
      </c>
    </row>
    <row r="1780" spans="1:10" x14ac:dyDescent="0.2">
      <c r="A1780" t="s">
        <v>1783</v>
      </c>
      <c r="B1780" t="s">
        <v>3114</v>
      </c>
      <c r="C1780">
        <v>0</v>
      </c>
      <c r="D1780">
        <v>0</v>
      </c>
      <c r="E1780">
        <f>ABS(Table1[[#This Row],[Flux in SC / glucose uptake ($mmol/mmol\ glc$)]]-Table1[[#This Row],[Flux in RT / glucose uptake ($mmol/mmol\ glc$)]])/SQRT(2)</f>
        <v>0</v>
      </c>
      <c r="F1780">
        <f>Table1[[#This Row],[distance from 45-degree line]]/MAX(Table1[[Flux in SC / glucose uptake ($mmol/mmol\ glc$)]:[Flux in RT / glucose uptake ($mmol/mmol\ glc$)]])</f>
        <v>0</v>
      </c>
      <c r="G1780">
        <f>_xlfn.RANK.AVG(Table1[[#This Row],[Flux in SC / glucose uptake ($mmol/mmol\ glc$)]],Table1[Flux in SC / glucose uptake ($mmol/mmol\ glc$)])</f>
        <v>1310.5</v>
      </c>
      <c r="H1780">
        <f>_xlfn.RANK.AVG(Table1[[#This Row],[Flux in RT / glucose uptake ($mmol/mmol\ glc$)]],Table1[Flux in RT / glucose uptake ($mmol/mmol\ glc$)])</f>
        <v>1290.5</v>
      </c>
      <c r="I1780" t="e">
        <f>LOG(Table1[[#This Row],[Flux in SC / glucose uptake ($mmol/mmol\ glc$)]])</f>
        <v>#NUM!</v>
      </c>
      <c r="J1780" t="e">
        <f>LOG(Table1[[#This Row],[Flux in RT / glucose uptake ($mmol/mmol\ glc$)]])</f>
        <v>#NUM!</v>
      </c>
    </row>
    <row r="1781" spans="1:10" x14ac:dyDescent="0.2">
      <c r="A1781" t="s">
        <v>1784</v>
      </c>
      <c r="B1781" t="s">
        <v>3114</v>
      </c>
      <c r="C1781">
        <v>0</v>
      </c>
      <c r="D1781">
        <v>0</v>
      </c>
      <c r="E1781">
        <f>ABS(Table1[[#This Row],[Flux in SC / glucose uptake ($mmol/mmol\ glc$)]]-Table1[[#This Row],[Flux in RT / glucose uptake ($mmol/mmol\ glc$)]])/SQRT(2)</f>
        <v>0</v>
      </c>
      <c r="F1781">
        <f>Table1[[#This Row],[distance from 45-degree line]]/MAX(Table1[[Flux in SC / glucose uptake ($mmol/mmol\ glc$)]:[Flux in RT / glucose uptake ($mmol/mmol\ glc$)]])</f>
        <v>0</v>
      </c>
      <c r="G1781">
        <f>_xlfn.RANK.AVG(Table1[[#This Row],[Flux in SC / glucose uptake ($mmol/mmol\ glc$)]],Table1[Flux in SC / glucose uptake ($mmol/mmol\ glc$)])</f>
        <v>1310.5</v>
      </c>
      <c r="H1781">
        <f>_xlfn.RANK.AVG(Table1[[#This Row],[Flux in RT / glucose uptake ($mmol/mmol\ glc$)]],Table1[Flux in RT / glucose uptake ($mmol/mmol\ glc$)])</f>
        <v>1290.5</v>
      </c>
      <c r="I1781" t="e">
        <f>LOG(Table1[[#This Row],[Flux in SC / glucose uptake ($mmol/mmol\ glc$)]])</f>
        <v>#NUM!</v>
      </c>
      <c r="J1781" t="e">
        <f>LOG(Table1[[#This Row],[Flux in RT / glucose uptake ($mmol/mmol\ glc$)]])</f>
        <v>#NUM!</v>
      </c>
    </row>
    <row r="1782" spans="1:10" x14ac:dyDescent="0.2">
      <c r="A1782" t="s">
        <v>1785</v>
      </c>
      <c r="B1782" t="s">
        <v>3114</v>
      </c>
      <c r="C1782">
        <v>0</v>
      </c>
      <c r="D1782">
        <v>0</v>
      </c>
      <c r="E1782">
        <f>ABS(Table1[[#This Row],[Flux in SC / glucose uptake ($mmol/mmol\ glc$)]]-Table1[[#This Row],[Flux in RT / glucose uptake ($mmol/mmol\ glc$)]])/SQRT(2)</f>
        <v>0</v>
      </c>
      <c r="F1782">
        <f>Table1[[#This Row],[distance from 45-degree line]]/MAX(Table1[[Flux in SC / glucose uptake ($mmol/mmol\ glc$)]:[Flux in RT / glucose uptake ($mmol/mmol\ glc$)]])</f>
        <v>0</v>
      </c>
      <c r="G1782">
        <f>_xlfn.RANK.AVG(Table1[[#This Row],[Flux in SC / glucose uptake ($mmol/mmol\ glc$)]],Table1[Flux in SC / glucose uptake ($mmol/mmol\ glc$)])</f>
        <v>1310.5</v>
      </c>
      <c r="H1782">
        <f>_xlfn.RANK.AVG(Table1[[#This Row],[Flux in RT / glucose uptake ($mmol/mmol\ glc$)]],Table1[Flux in RT / glucose uptake ($mmol/mmol\ glc$)])</f>
        <v>1290.5</v>
      </c>
      <c r="I1782" t="e">
        <f>LOG(Table1[[#This Row],[Flux in SC / glucose uptake ($mmol/mmol\ glc$)]])</f>
        <v>#NUM!</v>
      </c>
      <c r="J1782" t="e">
        <f>LOG(Table1[[#This Row],[Flux in RT / glucose uptake ($mmol/mmol\ glc$)]])</f>
        <v>#NUM!</v>
      </c>
    </row>
    <row r="1783" spans="1:10" x14ac:dyDescent="0.2">
      <c r="A1783" t="s">
        <v>1786</v>
      </c>
      <c r="B1783" t="s">
        <v>3114</v>
      </c>
      <c r="C1783">
        <v>0</v>
      </c>
      <c r="D1783">
        <v>0</v>
      </c>
      <c r="E1783">
        <f>ABS(Table1[[#This Row],[Flux in SC / glucose uptake ($mmol/mmol\ glc$)]]-Table1[[#This Row],[Flux in RT / glucose uptake ($mmol/mmol\ glc$)]])/SQRT(2)</f>
        <v>0</v>
      </c>
      <c r="F1783">
        <f>Table1[[#This Row],[distance from 45-degree line]]/MAX(Table1[[Flux in SC / glucose uptake ($mmol/mmol\ glc$)]:[Flux in RT / glucose uptake ($mmol/mmol\ glc$)]])</f>
        <v>0</v>
      </c>
      <c r="G1783">
        <f>_xlfn.RANK.AVG(Table1[[#This Row],[Flux in SC / glucose uptake ($mmol/mmol\ glc$)]],Table1[Flux in SC / glucose uptake ($mmol/mmol\ glc$)])</f>
        <v>1310.5</v>
      </c>
      <c r="H1783">
        <f>_xlfn.RANK.AVG(Table1[[#This Row],[Flux in RT / glucose uptake ($mmol/mmol\ glc$)]],Table1[Flux in RT / glucose uptake ($mmol/mmol\ glc$)])</f>
        <v>1290.5</v>
      </c>
      <c r="I1783" t="e">
        <f>LOG(Table1[[#This Row],[Flux in SC / glucose uptake ($mmol/mmol\ glc$)]])</f>
        <v>#NUM!</v>
      </c>
      <c r="J1783" t="e">
        <f>LOG(Table1[[#This Row],[Flux in RT / glucose uptake ($mmol/mmol\ glc$)]])</f>
        <v>#NUM!</v>
      </c>
    </row>
    <row r="1784" spans="1:10" x14ac:dyDescent="0.2">
      <c r="A1784" t="s">
        <v>1787</v>
      </c>
      <c r="B1784" t="s">
        <v>3114</v>
      </c>
      <c r="C1784">
        <v>0</v>
      </c>
      <c r="D1784">
        <v>0</v>
      </c>
      <c r="E1784">
        <f>ABS(Table1[[#This Row],[Flux in SC / glucose uptake ($mmol/mmol\ glc$)]]-Table1[[#This Row],[Flux in RT / glucose uptake ($mmol/mmol\ glc$)]])/SQRT(2)</f>
        <v>0</v>
      </c>
      <c r="F1784">
        <f>Table1[[#This Row],[distance from 45-degree line]]/MAX(Table1[[Flux in SC / glucose uptake ($mmol/mmol\ glc$)]:[Flux in RT / glucose uptake ($mmol/mmol\ glc$)]])</f>
        <v>0</v>
      </c>
      <c r="G1784">
        <f>_xlfn.RANK.AVG(Table1[[#This Row],[Flux in SC / glucose uptake ($mmol/mmol\ glc$)]],Table1[Flux in SC / glucose uptake ($mmol/mmol\ glc$)])</f>
        <v>1310.5</v>
      </c>
      <c r="H1784">
        <f>_xlfn.RANK.AVG(Table1[[#This Row],[Flux in RT / glucose uptake ($mmol/mmol\ glc$)]],Table1[Flux in RT / glucose uptake ($mmol/mmol\ glc$)])</f>
        <v>1290.5</v>
      </c>
      <c r="I1784" t="e">
        <f>LOG(Table1[[#This Row],[Flux in SC / glucose uptake ($mmol/mmol\ glc$)]])</f>
        <v>#NUM!</v>
      </c>
      <c r="J1784" t="e">
        <f>LOG(Table1[[#This Row],[Flux in RT / glucose uptake ($mmol/mmol\ glc$)]])</f>
        <v>#NUM!</v>
      </c>
    </row>
    <row r="1785" spans="1:10" x14ac:dyDescent="0.2">
      <c r="A1785" t="s">
        <v>1788</v>
      </c>
      <c r="B1785" t="s">
        <v>3114</v>
      </c>
      <c r="C1785">
        <v>0</v>
      </c>
      <c r="D1785">
        <v>0</v>
      </c>
      <c r="E1785">
        <f>ABS(Table1[[#This Row],[Flux in SC / glucose uptake ($mmol/mmol\ glc$)]]-Table1[[#This Row],[Flux in RT / glucose uptake ($mmol/mmol\ glc$)]])/SQRT(2)</f>
        <v>0</v>
      </c>
      <c r="F1785">
        <f>Table1[[#This Row],[distance from 45-degree line]]/MAX(Table1[[Flux in SC / glucose uptake ($mmol/mmol\ glc$)]:[Flux in RT / glucose uptake ($mmol/mmol\ glc$)]])</f>
        <v>0</v>
      </c>
      <c r="G1785">
        <f>_xlfn.RANK.AVG(Table1[[#This Row],[Flux in SC / glucose uptake ($mmol/mmol\ glc$)]],Table1[Flux in SC / glucose uptake ($mmol/mmol\ glc$)])</f>
        <v>1310.5</v>
      </c>
      <c r="H1785">
        <f>_xlfn.RANK.AVG(Table1[[#This Row],[Flux in RT / glucose uptake ($mmol/mmol\ glc$)]],Table1[Flux in RT / glucose uptake ($mmol/mmol\ glc$)])</f>
        <v>1290.5</v>
      </c>
      <c r="I1785" t="e">
        <f>LOG(Table1[[#This Row],[Flux in SC / glucose uptake ($mmol/mmol\ glc$)]])</f>
        <v>#NUM!</v>
      </c>
      <c r="J1785" t="e">
        <f>LOG(Table1[[#This Row],[Flux in RT / glucose uptake ($mmol/mmol\ glc$)]])</f>
        <v>#NUM!</v>
      </c>
    </row>
    <row r="1786" spans="1:10" x14ac:dyDescent="0.2">
      <c r="A1786" t="s">
        <v>1789</v>
      </c>
      <c r="B1786" t="s">
        <v>3114</v>
      </c>
      <c r="C1786">
        <v>0</v>
      </c>
      <c r="D1786">
        <v>0</v>
      </c>
      <c r="E1786">
        <f>ABS(Table1[[#This Row],[Flux in SC / glucose uptake ($mmol/mmol\ glc$)]]-Table1[[#This Row],[Flux in RT / glucose uptake ($mmol/mmol\ glc$)]])/SQRT(2)</f>
        <v>0</v>
      </c>
      <c r="F1786">
        <f>Table1[[#This Row],[distance from 45-degree line]]/MAX(Table1[[Flux in SC / glucose uptake ($mmol/mmol\ glc$)]:[Flux in RT / glucose uptake ($mmol/mmol\ glc$)]])</f>
        <v>0</v>
      </c>
      <c r="G1786">
        <f>_xlfn.RANK.AVG(Table1[[#This Row],[Flux in SC / glucose uptake ($mmol/mmol\ glc$)]],Table1[Flux in SC / glucose uptake ($mmol/mmol\ glc$)])</f>
        <v>1310.5</v>
      </c>
      <c r="H1786">
        <f>_xlfn.RANK.AVG(Table1[[#This Row],[Flux in RT / glucose uptake ($mmol/mmol\ glc$)]],Table1[Flux in RT / glucose uptake ($mmol/mmol\ glc$)])</f>
        <v>1290.5</v>
      </c>
      <c r="I1786" t="e">
        <f>LOG(Table1[[#This Row],[Flux in SC / glucose uptake ($mmol/mmol\ glc$)]])</f>
        <v>#NUM!</v>
      </c>
      <c r="J1786" t="e">
        <f>LOG(Table1[[#This Row],[Flux in RT / glucose uptake ($mmol/mmol\ glc$)]])</f>
        <v>#NUM!</v>
      </c>
    </row>
    <row r="1787" spans="1:10" x14ac:dyDescent="0.2">
      <c r="A1787" t="s">
        <v>1790</v>
      </c>
      <c r="B1787" t="s">
        <v>3126</v>
      </c>
      <c r="C1787">
        <v>0</v>
      </c>
      <c r="D1787">
        <v>0</v>
      </c>
      <c r="E1787">
        <f>ABS(Table1[[#This Row],[Flux in SC / glucose uptake ($mmol/mmol\ glc$)]]-Table1[[#This Row],[Flux in RT / glucose uptake ($mmol/mmol\ glc$)]])/SQRT(2)</f>
        <v>0</v>
      </c>
      <c r="F1787">
        <f>Table1[[#This Row],[distance from 45-degree line]]/MAX(Table1[[Flux in SC / glucose uptake ($mmol/mmol\ glc$)]:[Flux in RT / glucose uptake ($mmol/mmol\ glc$)]])</f>
        <v>0</v>
      </c>
      <c r="G1787">
        <f>_xlfn.RANK.AVG(Table1[[#This Row],[Flux in SC / glucose uptake ($mmol/mmol\ glc$)]],Table1[Flux in SC / glucose uptake ($mmol/mmol\ glc$)])</f>
        <v>1310.5</v>
      </c>
      <c r="H1787">
        <f>_xlfn.RANK.AVG(Table1[[#This Row],[Flux in RT / glucose uptake ($mmol/mmol\ glc$)]],Table1[Flux in RT / glucose uptake ($mmol/mmol\ glc$)])</f>
        <v>1290.5</v>
      </c>
      <c r="I1787" t="e">
        <f>LOG(Table1[[#This Row],[Flux in SC / glucose uptake ($mmol/mmol\ glc$)]])</f>
        <v>#NUM!</v>
      </c>
      <c r="J1787" t="e">
        <f>LOG(Table1[[#This Row],[Flux in RT / glucose uptake ($mmol/mmol\ glc$)]])</f>
        <v>#NUM!</v>
      </c>
    </row>
    <row r="1788" spans="1:10" x14ac:dyDescent="0.2">
      <c r="A1788" t="s">
        <v>1791</v>
      </c>
      <c r="B1788" t="s">
        <v>3114</v>
      </c>
      <c r="C1788">
        <v>0</v>
      </c>
      <c r="D1788">
        <v>0</v>
      </c>
      <c r="E1788">
        <f>ABS(Table1[[#This Row],[Flux in SC / glucose uptake ($mmol/mmol\ glc$)]]-Table1[[#This Row],[Flux in RT / glucose uptake ($mmol/mmol\ glc$)]])/SQRT(2)</f>
        <v>0</v>
      </c>
      <c r="F1788">
        <f>Table1[[#This Row],[distance from 45-degree line]]/MAX(Table1[[Flux in SC / glucose uptake ($mmol/mmol\ glc$)]:[Flux in RT / glucose uptake ($mmol/mmol\ glc$)]])</f>
        <v>0</v>
      </c>
      <c r="G1788">
        <f>_xlfn.RANK.AVG(Table1[[#This Row],[Flux in SC / glucose uptake ($mmol/mmol\ glc$)]],Table1[Flux in SC / glucose uptake ($mmol/mmol\ glc$)])</f>
        <v>1310.5</v>
      </c>
      <c r="H1788">
        <f>_xlfn.RANK.AVG(Table1[[#This Row],[Flux in RT / glucose uptake ($mmol/mmol\ glc$)]],Table1[Flux in RT / glucose uptake ($mmol/mmol\ glc$)])</f>
        <v>1290.5</v>
      </c>
      <c r="I1788" t="e">
        <f>LOG(Table1[[#This Row],[Flux in SC / glucose uptake ($mmol/mmol\ glc$)]])</f>
        <v>#NUM!</v>
      </c>
      <c r="J1788" t="e">
        <f>LOG(Table1[[#This Row],[Flux in RT / glucose uptake ($mmol/mmol\ glc$)]])</f>
        <v>#NUM!</v>
      </c>
    </row>
    <row r="1789" spans="1:10" x14ac:dyDescent="0.2">
      <c r="A1789" t="s">
        <v>1792</v>
      </c>
      <c r="B1789" t="s">
        <v>3114</v>
      </c>
      <c r="C1789">
        <v>0</v>
      </c>
      <c r="D1789">
        <v>0</v>
      </c>
      <c r="E1789">
        <f>ABS(Table1[[#This Row],[Flux in SC / glucose uptake ($mmol/mmol\ glc$)]]-Table1[[#This Row],[Flux in RT / glucose uptake ($mmol/mmol\ glc$)]])/SQRT(2)</f>
        <v>0</v>
      </c>
      <c r="F1789">
        <f>Table1[[#This Row],[distance from 45-degree line]]/MAX(Table1[[Flux in SC / glucose uptake ($mmol/mmol\ glc$)]:[Flux in RT / glucose uptake ($mmol/mmol\ glc$)]])</f>
        <v>0</v>
      </c>
      <c r="G1789">
        <f>_xlfn.RANK.AVG(Table1[[#This Row],[Flux in SC / glucose uptake ($mmol/mmol\ glc$)]],Table1[Flux in SC / glucose uptake ($mmol/mmol\ glc$)])</f>
        <v>1310.5</v>
      </c>
      <c r="H1789">
        <f>_xlfn.RANK.AVG(Table1[[#This Row],[Flux in RT / glucose uptake ($mmol/mmol\ glc$)]],Table1[Flux in RT / glucose uptake ($mmol/mmol\ glc$)])</f>
        <v>1290.5</v>
      </c>
      <c r="I1789" t="e">
        <f>LOG(Table1[[#This Row],[Flux in SC / glucose uptake ($mmol/mmol\ glc$)]])</f>
        <v>#NUM!</v>
      </c>
      <c r="J1789" t="e">
        <f>LOG(Table1[[#This Row],[Flux in RT / glucose uptake ($mmol/mmol\ glc$)]])</f>
        <v>#NUM!</v>
      </c>
    </row>
    <row r="1790" spans="1:10" x14ac:dyDescent="0.2">
      <c r="A1790" t="s">
        <v>1793</v>
      </c>
      <c r="B1790" t="s">
        <v>3114</v>
      </c>
      <c r="C1790">
        <v>0</v>
      </c>
      <c r="D1790">
        <v>0</v>
      </c>
      <c r="E1790">
        <f>ABS(Table1[[#This Row],[Flux in SC / glucose uptake ($mmol/mmol\ glc$)]]-Table1[[#This Row],[Flux in RT / glucose uptake ($mmol/mmol\ glc$)]])/SQRT(2)</f>
        <v>0</v>
      </c>
      <c r="F1790">
        <f>Table1[[#This Row],[distance from 45-degree line]]/MAX(Table1[[Flux in SC / glucose uptake ($mmol/mmol\ glc$)]:[Flux in RT / glucose uptake ($mmol/mmol\ glc$)]])</f>
        <v>0</v>
      </c>
      <c r="G1790">
        <f>_xlfn.RANK.AVG(Table1[[#This Row],[Flux in SC / glucose uptake ($mmol/mmol\ glc$)]],Table1[Flux in SC / glucose uptake ($mmol/mmol\ glc$)])</f>
        <v>1310.5</v>
      </c>
      <c r="H1790">
        <f>_xlfn.RANK.AVG(Table1[[#This Row],[Flux in RT / glucose uptake ($mmol/mmol\ glc$)]],Table1[Flux in RT / glucose uptake ($mmol/mmol\ glc$)])</f>
        <v>1290.5</v>
      </c>
      <c r="I1790" t="e">
        <f>LOG(Table1[[#This Row],[Flux in SC / glucose uptake ($mmol/mmol\ glc$)]])</f>
        <v>#NUM!</v>
      </c>
      <c r="J1790" t="e">
        <f>LOG(Table1[[#This Row],[Flux in RT / glucose uptake ($mmol/mmol\ glc$)]])</f>
        <v>#NUM!</v>
      </c>
    </row>
    <row r="1791" spans="1:10" x14ac:dyDescent="0.2">
      <c r="A1791" t="s">
        <v>1794</v>
      </c>
      <c r="B1791" t="s">
        <v>3114</v>
      </c>
      <c r="C1791">
        <v>0</v>
      </c>
      <c r="D1791">
        <v>0</v>
      </c>
      <c r="E1791">
        <f>ABS(Table1[[#This Row],[Flux in SC / glucose uptake ($mmol/mmol\ glc$)]]-Table1[[#This Row],[Flux in RT / glucose uptake ($mmol/mmol\ glc$)]])/SQRT(2)</f>
        <v>0</v>
      </c>
      <c r="F1791">
        <f>Table1[[#This Row],[distance from 45-degree line]]/MAX(Table1[[Flux in SC / glucose uptake ($mmol/mmol\ glc$)]:[Flux in RT / glucose uptake ($mmol/mmol\ glc$)]])</f>
        <v>0</v>
      </c>
      <c r="G1791">
        <f>_xlfn.RANK.AVG(Table1[[#This Row],[Flux in SC / glucose uptake ($mmol/mmol\ glc$)]],Table1[Flux in SC / glucose uptake ($mmol/mmol\ glc$)])</f>
        <v>1310.5</v>
      </c>
      <c r="H1791">
        <f>_xlfn.RANK.AVG(Table1[[#This Row],[Flux in RT / glucose uptake ($mmol/mmol\ glc$)]],Table1[Flux in RT / glucose uptake ($mmol/mmol\ glc$)])</f>
        <v>1290.5</v>
      </c>
      <c r="I1791" t="e">
        <f>LOG(Table1[[#This Row],[Flux in SC / glucose uptake ($mmol/mmol\ glc$)]])</f>
        <v>#NUM!</v>
      </c>
      <c r="J1791" t="e">
        <f>LOG(Table1[[#This Row],[Flux in RT / glucose uptake ($mmol/mmol\ glc$)]])</f>
        <v>#NUM!</v>
      </c>
    </row>
    <row r="1792" spans="1:10" x14ac:dyDescent="0.2">
      <c r="A1792" t="s">
        <v>1795</v>
      </c>
      <c r="B1792" t="s">
        <v>3114</v>
      </c>
      <c r="C1792">
        <v>0</v>
      </c>
      <c r="D1792">
        <v>0</v>
      </c>
      <c r="E1792">
        <f>ABS(Table1[[#This Row],[Flux in SC / glucose uptake ($mmol/mmol\ glc$)]]-Table1[[#This Row],[Flux in RT / glucose uptake ($mmol/mmol\ glc$)]])/SQRT(2)</f>
        <v>0</v>
      </c>
      <c r="F1792">
        <f>Table1[[#This Row],[distance from 45-degree line]]/MAX(Table1[[Flux in SC / glucose uptake ($mmol/mmol\ glc$)]:[Flux in RT / glucose uptake ($mmol/mmol\ glc$)]])</f>
        <v>0</v>
      </c>
      <c r="G1792">
        <f>_xlfn.RANK.AVG(Table1[[#This Row],[Flux in SC / glucose uptake ($mmol/mmol\ glc$)]],Table1[Flux in SC / glucose uptake ($mmol/mmol\ glc$)])</f>
        <v>1310.5</v>
      </c>
      <c r="H1792">
        <f>_xlfn.RANK.AVG(Table1[[#This Row],[Flux in RT / glucose uptake ($mmol/mmol\ glc$)]],Table1[Flux in RT / glucose uptake ($mmol/mmol\ glc$)])</f>
        <v>1290.5</v>
      </c>
      <c r="I1792" t="e">
        <f>LOG(Table1[[#This Row],[Flux in SC / glucose uptake ($mmol/mmol\ glc$)]])</f>
        <v>#NUM!</v>
      </c>
      <c r="J1792" t="e">
        <f>LOG(Table1[[#This Row],[Flux in RT / glucose uptake ($mmol/mmol\ glc$)]])</f>
        <v>#NUM!</v>
      </c>
    </row>
    <row r="1793" spans="1:10" x14ac:dyDescent="0.2">
      <c r="A1793" t="s">
        <v>1796</v>
      </c>
      <c r="B1793" t="s">
        <v>3201</v>
      </c>
      <c r="C1793">
        <v>0</v>
      </c>
      <c r="D1793">
        <v>0</v>
      </c>
      <c r="E1793">
        <f>ABS(Table1[[#This Row],[Flux in SC / glucose uptake ($mmol/mmol\ glc$)]]-Table1[[#This Row],[Flux in RT / glucose uptake ($mmol/mmol\ glc$)]])/SQRT(2)</f>
        <v>0</v>
      </c>
      <c r="F1793">
        <f>Table1[[#This Row],[distance from 45-degree line]]/MAX(Table1[[Flux in SC / glucose uptake ($mmol/mmol\ glc$)]:[Flux in RT / glucose uptake ($mmol/mmol\ glc$)]])</f>
        <v>0</v>
      </c>
      <c r="G1793">
        <f>_xlfn.RANK.AVG(Table1[[#This Row],[Flux in SC / glucose uptake ($mmol/mmol\ glc$)]],Table1[Flux in SC / glucose uptake ($mmol/mmol\ glc$)])</f>
        <v>1310.5</v>
      </c>
      <c r="H1793">
        <f>_xlfn.RANK.AVG(Table1[[#This Row],[Flux in RT / glucose uptake ($mmol/mmol\ glc$)]],Table1[Flux in RT / glucose uptake ($mmol/mmol\ glc$)])</f>
        <v>1290.5</v>
      </c>
      <c r="I1793" t="e">
        <f>LOG(Table1[[#This Row],[Flux in SC / glucose uptake ($mmol/mmol\ glc$)]])</f>
        <v>#NUM!</v>
      </c>
      <c r="J1793" t="e">
        <f>LOG(Table1[[#This Row],[Flux in RT / glucose uptake ($mmol/mmol\ glc$)]])</f>
        <v>#NUM!</v>
      </c>
    </row>
    <row r="1794" spans="1:10" x14ac:dyDescent="0.2">
      <c r="A1794" t="s">
        <v>1797</v>
      </c>
      <c r="B1794" t="s">
        <v>3179</v>
      </c>
      <c r="C1794">
        <v>0</v>
      </c>
      <c r="D1794">
        <v>0</v>
      </c>
      <c r="E1794">
        <f>ABS(Table1[[#This Row],[Flux in SC / glucose uptake ($mmol/mmol\ glc$)]]-Table1[[#This Row],[Flux in RT / glucose uptake ($mmol/mmol\ glc$)]])/SQRT(2)</f>
        <v>0</v>
      </c>
      <c r="F1794">
        <f>Table1[[#This Row],[distance from 45-degree line]]/MAX(Table1[[Flux in SC / glucose uptake ($mmol/mmol\ glc$)]:[Flux in RT / glucose uptake ($mmol/mmol\ glc$)]])</f>
        <v>0</v>
      </c>
      <c r="G1794">
        <f>_xlfn.RANK.AVG(Table1[[#This Row],[Flux in SC / glucose uptake ($mmol/mmol\ glc$)]],Table1[Flux in SC / glucose uptake ($mmol/mmol\ glc$)])</f>
        <v>1310.5</v>
      </c>
      <c r="H1794">
        <f>_xlfn.RANK.AVG(Table1[[#This Row],[Flux in RT / glucose uptake ($mmol/mmol\ glc$)]],Table1[Flux in RT / glucose uptake ($mmol/mmol\ glc$)])</f>
        <v>1290.5</v>
      </c>
      <c r="I1794" t="e">
        <f>LOG(Table1[[#This Row],[Flux in SC / glucose uptake ($mmol/mmol\ glc$)]])</f>
        <v>#NUM!</v>
      </c>
      <c r="J1794" t="e">
        <f>LOG(Table1[[#This Row],[Flux in RT / glucose uptake ($mmol/mmol\ glc$)]])</f>
        <v>#NUM!</v>
      </c>
    </row>
    <row r="1795" spans="1:10" x14ac:dyDescent="0.2">
      <c r="A1795" t="s">
        <v>1798</v>
      </c>
      <c r="B1795" t="s">
        <v>3179</v>
      </c>
      <c r="C1795">
        <v>0</v>
      </c>
      <c r="D1795">
        <v>0</v>
      </c>
      <c r="E1795">
        <f>ABS(Table1[[#This Row],[Flux in SC / glucose uptake ($mmol/mmol\ glc$)]]-Table1[[#This Row],[Flux in RT / glucose uptake ($mmol/mmol\ glc$)]])/SQRT(2)</f>
        <v>0</v>
      </c>
      <c r="F1795">
        <f>Table1[[#This Row],[distance from 45-degree line]]/MAX(Table1[[Flux in SC / glucose uptake ($mmol/mmol\ glc$)]:[Flux in RT / glucose uptake ($mmol/mmol\ glc$)]])</f>
        <v>0</v>
      </c>
      <c r="G1795">
        <f>_xlfn.RANK.AVG(Table1[[#This Row],[Flux in SC / glucose uptake ($mmol/mmol\ glc$)]],Table1[Flux in SC / glucose uptake ($mmol/mmol\ glc$)])</f>
        <v>1310.5</v>
      </c>
      <c r="H1795">
        <f>_xlfn.RANK.AVG(Table1[[#This Row],[Flux in RT / glucose uptake ($mmol/mmol\ glc$)]],Table1[Flux in RT / glucose uptake ($mmol/mmol\ glc$)])</f>
        <v>1290.5</v>
      </c>
      <c r="I1795" t="e">
        <f>LOG(Table1[[#This Row],[Flux in SC / glucose uptake ($mmol/mmol\ glc$)]])</f>
        <v>#NUM!</v>
      </c>
      <c r="J1795" t="e">
        <f>LOG(Table1[[#This Row],[Flux in RT / glucose uptake ($mmol/mmol\ glc$)]])</f>
        <v>#NUM!</v>
      </c>
    </row>
    <row r="1796" spans="1:10" x14ac:dyDescent="0.2">
      <c r="A1796" t="s">
        <v>1799</v>
      </c>
      <c r="B1796" t="s">
        <v>3179</v>
      </c>
      <c r="C1796">
        <v>0</v>
      </c>
      <c r="D1796">
        <v>0</v>
      </c>
      <c r="E1796">
        <f>ABS(Table1[[#This Row],[Flux in SC / glucose uptake ($mmol/mmol\ glc$)]]-Table1[[#This Row],[Flux in RT / glucose uptake ($mmol/mmol\ glc$)]])/SQRT(2)</f>
        <v>0</v>
      </c>
      <c r="F1796">
        <f>Table1[[#This Row],[distance from 45-degree line]]/MAX(Table1[[Flux in SC / glucose uptake ($mmol/mmol\ glc$)]:[Flux in RT / glucose uptake ($mmol/mmol\ glc$)]])</f>
        <v>0</v>
      </c>
      <c r="G1796">
        <f>_xlfn.RANK.AVG(Table1[[#This Row],[Flux in SC / glucose uptake ($mmol/mmol\ glc$)]],Table1[Flux in SC / glucose uptake ($mmol/mmol\ glc$)])</f>
        <v>1310.5</v>
      </c>
      <c r="H1796">
        <f>_xlfn.RANK.AVG(Table1[[#This Row],[Flux in RT / glucose uptake ($mmol/mmol\ glc$)]],Table1[Flux in RT / glucose uptake ($mmol/mmol\ glc$)])</f>
        <v>1290.5</v>
      </c>
      <c r="I1796" t="e">
        <f>LOG(Table1[[#This Row],[Flux in SC / glucose uptake ($mmol/mmol\ glc$)]])</f>
        <v>#NUM!</v>
      </c>
      <c r="J1796" t="e">
        <f>LOG(Table1[[#This Row],[Flux in RT / glucose uptake ($mmol/mmol\ glc$)]])</f>
        <v>#NUM!</v>
      </c>
    </row>
    <row r="1797" spans="1:10" x14ac:dyDescent="0.2">
      <c r="A1797" t="s">
        <v>1800</v>
      </c>
      <c r="B1797" t="s">
        <v>3179</v>
      </c>
      <c r="C1797">
        <v>0</v>
      </c>
      <c r="D1797">
        <v>0</v>
      </c>
      <c r="E1797">
        <f>ABS(Table1[[#This Row],[Flux in SC / glucose uptake ($mmol/mmol\ glc$)]]-Table1[[#This Row],[Flux in RT / glucose uptake ($mmol/mmol\ glc$)]])/SQRT(2)</f>
        <v>0</v>
      </c>
      <c r="F1797">
        <f>Table1[[#This Row],[distance from 45-degree line]]/MAX(Table1[[Flux in SC / glucose uptake ($mmol/mmol\ glc$)]:[Flux in RT / glucose uptake ($mmol/mmol\ glc$)]])</f>
        <v>0</v>
      </c>
      <c r="G1797">
        <f>_xlfn.RANK.AVG(Table1[[#This Row],[Flux in SC / glucose uptake ($mmol/mmol\ glc$)]],Table1[Flux in SC / glucose uptake ($mmol/mmol\ glc$)])</f>
        <v>1310.5</v>
      </c>
      <c r="H1797">
        <f>_xlfn.RANK.AVG(Table1[[#This Row],[Flux in RT / glucose uptake ($mmol/mmol\ glc$)]],Table1[Flux in RT / glucose uptake ($mmol/mmol\ glc$)])</f>
        <v>1290.5</v>
      </c>
      <c r="I1797" t="e">
        <f>LOG(Table1[[#This Row],[Flux in SC / glucose uptake ($mmol/mmol\ glc$)]])</f>
        <v>#NUM!</v>
      </c>
      <c r="J1797" t="e">
        <f>LOG(Table1[[#This Row],[Flux in RT / glucose uptake ($mmol/mmol\ glc$)]])</f>
        <v>#NUM!</v>
      </c>
    </row>
    <row r="1798" spans="1:10" x14ac:dyDescent="0.2">
      <c r="A1798" t="s">
        <v>1801</v>
      </c>
      <c r="B1798" t="s">
        <v>3179</v>
      </c>
      <c r="C1798">
        <v>0</v>
      </c>
      <c r="D1798">
        <v>0</v>
      </c>
      <c r="E1798">
        <f>ABS(Table1[[#This Row],[Flux in SC / glucose uptake ($mmol/mmol\ glc$)]]-Table1[[#This Row],[Flux in RT / glucose uptake ($mmol/mmol\ glc$)]])/SQRT(2)</f>
        <v>0</v>
      </c>
      <c r="F1798">
        <f>Table1[[#This Row],[distance from 45-degree line]]/MAX(Table1[[Flux in SC / glucose uptake ($mmol/mmol\ glc$)]:[Flux in RT / glucose uptake ($mmol/mmol\ glc$)]])</f>
        <v>0</v>
      </c>
      <c r="G1798">
        <f>_xlfn.RANK.AVG(Table1[[#This Row],[Flux in SC / glucose uptake ($mmol/mmol\ glc$)]],Table1[Flux in SC / glucose uptake ($mmol/mmol\ glc$)])</f>
        <v>1310.5</v>
      </c>
      <c r="H1798">
        <f>_xlfn.RANK.AVG(Table1[[#This Row],[Flux in RT / glucose uptake ($mmol/mmol\ glc$)]],Table1[Flux in RT / glucose uptake ($mmol/mmol\ glc$)])</f>
        <v>1290.5</v>
      </c>
      <c r="I1798" t="e">
        <f>LOG(Table1[[#This Row],[Flux in SC / glucose uptake ($mmol/mmol\ glc$)]])</f>
        <v>#NUM!</v>
      </c>
      <c r="J1798" t="e">
        <f>LOG(Table1[[#This Row],[Flux in RT / glucose uptake ($mmol/mmol\ glc$)]])</f>
        <v>#NUM!</v>
      </c>
    </row>
    <row r="1799" spans="1:10" x14ac:dyDescent="0.2">
      <c r="A1799" t="s">
        <v>1802</v>
      </c>
      <c r="B1799" t="s">
        <v>3148</v>
      </c>
      <c r="C1799">
        <v>5.3310262845360137E-3</v>
      </c>
      <c r="D1799">
        <v>2.4128033037939357E-2</v>
      </c>
      <c r="E1799">
        <f>ABS(Table1[[#This Row],[Flux in SC / glucose uptake ($mmol/mmol\ glc$)]]-Table1[[#This Row],[Flux in RT / glucose uptake ($mmol/mmol\ glc$)]])/SQRT(2)</f>
        <v>1.3291490941340835E-2</v>
      </c>
      <c r="F1799">
        <f>Table1[[#This Row],[distance from 45-degree line]]/MAX(Table1[[Flux in SC / glucose uptake ($mmol/mmol\ glc$)]:[Flux in RT / glucose uptake ($mmol/mmol\ glc$)]])</f>
        <v>7.1639619527067691E-4</v>
      </c>
      <c r="G1799">
        <f>_xlfn.RANK.AVG(Table1[[#This Row],[Flux in SC / glucose uptake ($mmol/mmol\ glc$)]],Table1[Flux in SC / glucose uptake ($mmol/mmol\ glc$)])</f>
        <v>113</v>
      </c>
      <c r="H1799">
        <f>_xlfn.RANK.AVG(Table1[[#This Row],[Flux in RT / glucose uptake ($mmol/mmol\ glc$)]],Table1[Flux in RT / glucose uptake ($mmol/mmol\ glc$)])</f>
        <v>125</v>
      </c>
      <c r="I1799">
        <f>LOG(Table1[[#This Row],[Flux in SC / glucose uptake ($mmol/mmol\ glc$)]])</f>
        <v>-2.2731891761880711</v>
      </c>
      <c r="J1799">
        <f>LOG(Table1[[#This Row],[Flux in RT / glucose uptake ($mmol/mmol\ glc$)]])</f>
        <v>-1.6174780811408516</v>
      </c>
    </row>
    <row r="1800" spans="1:10" x14ac:dyDescent="0.2">
      <c r="A1800" t="s">
        <v>1803</v>
      </c>
      <c r="B1800" t="s">
        <v>3148</v>
      </c>
      <c r="C1800">
        <v>0</v>
      </c>
      <c r="D1800">
        <v>0</v>
      </c>
      <c r="E1800">
        <f>ABS(Table1[[#This Row],[Flux in SC / glucose uptake ($mmol/mmol\ glc$)]]-Table1[[#This Row],[Flux in RT / glucose uptake ($mmol/mmol\ glc$)]])/SQRT(2)</f>
        <v>0</v>
      </c>
      <c r="F1800">
        <f>Table1[[#This Row],[distance from 45-degree line]]/MAX(Table1[[Flux in SC / glucose uptake ($mmol/mmol\ glc$)]:[Flux in RT / glucose uptake ($mmol/mmol\ glc$)]])</f>
        <v>0</v>
      </c>
      <c r="G1800">
        <f>_xlfn.RANK.AVG(Table1[[#This Row],[Flux in SC / glucose uptake ($mmol/mmol\ glc$)]],Table1[Flux in SC / glucose uptake ($mmol/mmol\ glc$)])</f>
        <v>1310.5</v>
      </c>
      <c r="H1800">
        <f>_xlfn.RANK.AVG(Table1[[#This Row],[Flux in RT / glucose uptake ($mmol/mmol\ glc$)]],Table1[Flux in RT / glucose uptake ($mmol/mmol\ glc$)])</f>
        <v>1290.5</v>
      </c>
      <c r="I1800" t="e">
        <f>LOG(Table1[[#This Row],[Flux in SC / glucose uptake ($mmol/mmol\ glc$)]])</f>
        <v>#NUM!</v>
      </c>
      <c r="J1800" t="e">
        <f>LOG(Table1[[#This Row],[Flux in RT / glucose uptake ($mmol/mmol\ glc$)]])</f>
        <v>#NUM!</v>
      </c>
    </row>
    <row r="1801" spans="1:10" x14ac:dyDescent="0.2">
      <c r="A1801" t="s">
        <v>1804</v>
      </c>
      <c r="B1801" t="s">
        <v>3162</v>
      </c>
      <c r="C1801">
        <v>3.190818821613736E-3</v>
      </c>
      <c r="D1801">
        <v>1.430009427411298E-2</v>
      </c>
      <c r="E1801">
        <f>ABS(Table1[[#This Row],[Flux in SC / glucose uptake ($mmol/mmol\ glc$)]]-Table1[[#This Row],[Flux in RT / glucose uptake ($mmol/mmol\ glc$)]])/SQRT(2)</f>
        <v>7.855444006531466E-3</v>
      </c>
      <c r="F1801">
        <f>Table1[[#This Row],[distance from 45-degree line]]/MAX(Table1[[Flux in SC / glucose uptake ($mmol/mmol\ glc$)]:[Flux in RT / glucose uptake ($mmol/mmol\ glc$)]])</f>
        <v>4.2339946837245299E-4</v>
      </c>
      <c r="G1801">
        <f>_xlfn.RANK.AVG(Table1[[#This Row],[Flux in SC / glucose uptake ($mmol/mmol\ glc$)]],Table1[Flux in SC / glucose uptake ($mmol/mmol\ glc$)])</f>
        <v>161.5</v>
      </c>
      <c r="H1801">
        <f>_xlfn.RANK.AVG(Table1[[#This Row],[Flux in RT / glucose uptake ($mmol/mmol\ glc$)]],Table1[Flux in RT / glucose uptake ($mmol/mmol\ glc$)])</f>
        <v>169</v>
      </c>
      <c r="I1801">
        <f>LOG(Table1[[#This Row],[Flux in SC / glucose uptake ($mmol/mmol\ glc$)]])</f>
        <v>-2.4960978548498174</v>
      </c>
      <c r="J1801">
        <f>LOG(Table1[[#This Row],[Flux in RT / glucose uptake ($mmol/mmol\ glc$)]])</f>
        <v>-1.8446610994166099</v>
      </c>
    </row>
    <row r="1802" spans="1:10" x14ac:dyDescent="0.2">
      <c r="A1802" t="s">
        <v>1805</v>
      </c>
      <c r="B1802" t="s">
        <v>3194</v>
      </c>
      <c r="C1802">
        <v>0</v>
      </c>
      <c r="D1802">
        <v>0</v>
      </c>
      <c r="E1802">
        <f>ABS(Table1[[#This Row],[Flux in SC / glucose uptake ($mmol/mmol\ glc$)]]-Table1[[#This Row],[Flux in RT / glucose uptake ($mmol/mmol\ glc$)]])/SQRT(2)</f>
        <v>0</v>
      </c>
      <c r="F1802">
        <f>Table1[[#This Row],[distance from 45-degree line]]/MAX(Table1[[Flux in SC / glucose uptake ($mmol/mmol\ glc$)]:[Flux in RT / glucose uptake ($mmol/mmol\ glc$)]])</f>
        <v>0</v>
      </c>
      <c r="G1802">
        <f>_xlfn.RANK.AVG(Table1[[#This Row],[Flux in SC / glucose uptake ($mmol/mmol\ glc$)]],Table1[Flux in SC / glucose uptake ($mmol/mmol\ glc$)])</f>
        <v>1310.5</v>
      </c>
      <c r="H1802">
        <f>_xlfn.RANK.AVG(Table1[[#This Row],[Flux in RT / glucose uptake ($mmol/mmol\ glc$)]],Table1[Flux in RT / glucose uptake ($mmol/mmol\ glc$)])</f>
        <v>1290.5</v>
      </c>
      <c r="I1802" t="e">
        <f>LOG(Table1[[#This Row],[Flux in SC / glucose uptake ($mmol/mmol\ glc$)]])</f>
        <v>#NUM!</v>
      </c>
      <c r="J1802" t="e">
        <f>LOG(Table1[[#This Row],[Flux in RT / glucose uptake ($mmol/mmol\ glc$)]])</f>
        <v>#NUM!</v>
      </c>
    </row>
    <row r="1803" spans="1:10" x14ac:dyDescent="0.2">
      <c r="A1803" t="s">
        <v>1806</v>
      </c>
      <c r="B1803" t="s">
        <v>3134</v>
      </c>
      <c r="C1803">
        <v>0</v>
      </c>
      <c r="D1803">
        <v>8.260576411240525E-2</v>
      </c>
      <c r="E1803">
        <f>ABS(Table1[[#This Row],[Flux in SC / glucose uptake ($mmol/mmol\ glc$)]]-Table1[[#This Row],[Flux in RT / glucose uptake ($mmol/mmol\ glc$)]])/SQRT(2)</f>
        <v>5.8411095968978095E-2</v>
      </c>
      <c r="F1803">
        <f>Table1[[#This Row],[distance from 45-degree line]]/MAX(Table1[[Flux in SC / glucose uptake ($mmol/mmol\ glc$)]:[Flux in RT / glucose uptake ($mmol/mmol\ glc$)]])</f>
        <v>3.1482914218158389E-3</v>
      </c>
      <c r="G1803">
        <f>_xlfn.RANK.AVG(Table1[[#This Row],[Flux in SC / glucose uptake ($mmol/mmol\ glc$)]],Table1[Flux in SC / glucose uptake ($mmol/mmol\ glc$)])</f>
        <v>1310.5</v>
      </c>
      <c r="H1803">
        <f>_xlfn.RANK.AVG(Table1[[#This Row],[Flux in RT / glucose uptake ($mmol/mmol\ glc$)]],Table1[Flux in RT / glucose uptake ($mmol/mmol\ glc$)])</f>
        <v>95</v>
      </c>
      <c r="I1803" t="e">
        <f>LOG(Table1[[#This Row],[Flux in SC / glucose uptake ($mmol/mmol\ glc$)]])</f>
        <v>#NUM!</v>
      </c>
      <c r="J1803">
        <f>LOG(Table1[[#This Row],[Flux in RT / glucose uptake ($mmol/mmol\ glc$)]])</f>
        <v>-1.0829896471727229</v>
      </c>
    </row>
    <row r="1804" spans="1:10" x14ac:dyDescent="0.2">
      <c r="A1804" t="s">
        <v>1807</v>
      </c>
      <c r="B1804" t="s">
        <v>3134</v>
      </c>
      <c r="C1804">
        <v>0</v>
      </c>
      <c r="D1804">
        <v>0</v>
      </c>
      <c r="E1804">
        <f>ABS(Table1[[#This Row],[Flux in SC / glucose uptake ($mmol/mmol\ glc$)]]-Table1[[#This Row],[Flux in RT / glucose uptake ($mmol/mmol\ glc$)]])/SQRT(2)</f>
        <v>0</v>
      </c>
      <c r="F1804">
        <f>Table1[[#This Row],[distance from 45-degree line]]/MAX(Table1[[Flux in SC / glucose uptake ($mmol/mmol\ glc$)]:[Flux in RT / glucose uptake ($mmol/mmol\ glc$)]])</f>
        <v>0</v>
      </c>
      <c r="G1804">
        <f>_xlfn.RANK.AVG(Table1[[#This Row],[Flux in SC / glucose uptake ($mmol/mmol\ glc$)]],Table1[Flux in SC / glucose uptake ($mmol/mmol\ glc$)])</f>
        <v>1310.5</v>
      </c>
      <c r="H1804">
        <f>_xlfn.RANK.AVG(Table1[[#This Row],[Flux in RT / glucose uptake ($mmol/mmol\ glc$)]],Table1[Flux in RT / glucose uptake ($mmol/mmol\ glc$)])</f>
        <v>1290.5</v>
      </c>
      <c r="I1804" t="e">
        <f>LOG(Table1[[#This Row],[Flux in SC / glucose uptake ($mmol/mmol\ glc$)]])</f>
        <v>#NUM!</v>
      </c>
      <c r="J1804" t="e">
        <f>LOG(Table1[[#This Row],[Flux in RT / glucose uptake ($mmol/mmol\ glc$)]])</f>
        <v>#NUM!</v>
      </c>
    </row>
    <row r="1805" spans="1:10" x14ac:dyDescent="0.2">
      <c r="A1805" t="s">
        <v>1808</v>
      </c>
      <c r="B1805" t="s">
        <v>3125</v>
      </c>
      <c r="C1805">
        <v>0</v>
      </c>
      <c r="D1805">
        <v>0</v>
      </c>
      <c r="E1805">
        <f>ABS(Table1[[#This Row],[Flux in SC / glucose uptake ($mmol/mmol\ glc$)]]-Table1[[#This Row],[Flux in RT / glucose uptake ($mmol/mmol\ glc$)]])/SQRT(2)</f>
        <v>0</v>
      </c>
      <c r="F1805">
        <f>Table1[[#This Row],[distance from 45-degree line]]/MAX(Table1[[Flux in SC / glucose uptake ($mmol/mmol\ glc$)]:[Flux in RT / glucose uptake ($mmol/mmol\ glc$)]])</f>
        <v>0</v>
      </c>
      <c r="G1805">
        <f>_xlfn.RANK.AVG(Table1[[#This Row],[Flux in SC / glucose uptake ($mmol/mmol\ glc$)]],Table1[Flux in SC / glucose uptake ($mmol/mmol\ glc$)])</f>
        <v>1310.5</v>
      </c>
      <c r="H1805">
        <f>_xlfn.RANK.AVG(Table1[[#This Row],[Flux in RT / glucose uptake ($mmol/mmol\ glc$)]],Table1[Flux in RT / glucose uptake ($mmol/mmol\ glc$)])</f>
        <v>1290.5</v>
      </c>
      <c r="I1805" t="e">
        <f>LOG(Table1[[#This Row],[Flux in SC / glucose uptake ($mmol/mmol\ glc$)]])</f>
        <v>#NUM!</v>
      </c>
      <c r="J1805" t="e">
        <f>LOG(Table1[[#This Row],[Flux in RT / glucose uptake ($mmol/mmol\ glc$)]])</f>
        <v>#NUM!</v>
      </c>
    </row>
    <row r="1806" spans="1:10" x14ac:dyDescent="0.2">
      <c r="A1806" t="s">
        <v>1809</v>
      </c>
      <c r="B1806" t="s">
        <v>3134</v>
      </c>
      <c r="C1806">
        <v>1.0267945585100185E-3</v>
      </c>
      <c r="D1806">
        <v>1.2711210628605413E-2</v>
      </c>
      <c r="E1806">
        <f>ABS(Table1[[#This Row],[Flux in SC / glucose uptake ($mmol/mmol\ glc$)]]-Table1[[#This Row],[Flux in RT / glucose uptake ($mmol/mmol\ glc$)]])/SQRT(2)</f>
        <v>8.2621298373695227E-3</v>
      </c>
      <c r="F1806">
        <f>Table1[[#This Row],[distance from 45-degree line]]/MAX(Table1[[Flux in SC / glucose uptake ($mmol/mmol\ glc$)]:[Flux in RT / glucose uptake ($mmol/mmol\ glc$)]])</f>
        <v>4.4531937059927475E-4</v>
      </c>
      <c r="G1806">
        <f>_xlfn.RANK.AVG(Table1[[#This Row],[Flux in SC / glucose uptake ($mmol/mmol\ glc$)]],Table1[Flux in SC / glucose uptake ($mmol/mmol\ glc$)])</f>
        <v>215</v>
      </c>
      <c r="H1806">
        <f>_xlfn.RANK.AVG(Table1[[#This Row],[Flux in RT / glucose uptake ($mmol/mmol\ glc$)]],Table1[Flux in RT / glucose uptake ($mmol/mmol\ glc$)])</f>
        <v>187</v>
      </c>
      <c r="I1806">
        <f>LOG(Table1[[#This Row],[Flux in SC / glucose uptake ($mmol/mmol\ glc$)]])</f>
        <v>-2.9885164415348116</v>
      </c>
      <c r="J1806">
        <f>LOG(Table1[[#This Row],[Flux in RT / glucose uptake ($mmol/mmol\ glc$)]])</f>
        <v>-1.8958130848287795</v>
      </c>
    </row>
    <row r="1807" spans="1:10" x14ac:dyDescent="0.2">
      <c r="A1807" t="s">
        <v>1810</v>
      </c>
      <c r="B1807" t="s">
        <v>3134</v>
      </c>
      <c r="C1807">
        <v>3.595805982781375E-3</v>
      </c>
      <c r="D1807">
        <v>0.10694421653893678</v>
      </c>
      <c r="E1807">
        <f>ABS(Table1[[#This Row],[Flux in SC / glucose uptake ($mmol/mmol\ glc$)]]-Table1[[#This Row],[Flux in RT / glucose uptake ($mmol/mmol\ glc$)]])/SQRT(2)</f>
        <v>7.3078361929108854E-2</v>
      </c>
      <c r="F1807">
        <f>Table1[[#This Row],[distance from 45-degree line]]/MAX(Table1[[Flux in SC / glucose uptake ($mmol/mmol\ glc$)]:[Flux in RT / glucose uptake ($mmol/mmol\ glc$)]])</f>
        <v>3.9388403207492786E-3</v>
      </c>
      <c r="G1807">
        <f>_xlfn.RANK.AVG(Table1[[#This Row],[Flux in SC / glucose uptake ($mmol/mmol\ glc$)]],Table1[Flux in SC / glucose uptake ($mmol/mmol\ glc$)])</f>
        <v>154</v>
      </c>
      <c r="H1807">
        <f>_xlfn.RANK.AVG(Table1[[#This Row],[Flux in RT / glucose uptake ($mmol/mmol\ glc$)]],Table1[Flux in RT / glucose uptake ($mmol/mmol\ glc$)])</f>
        <v>85.5</v>
      </c>
      <c r="I1807">
        <f>LOG(Table1[[#This Row],[Flux in SC / glucose uptake ($mmol/mmol\ glc$)]])</f>
        <v>-2.4442037493305238</v>
      </c>
      <c r="J1807">
        <f>LOG(Table1[[#This Row],[Flux in RT / glucose uptake ($mmol/mmol\ glc$)]])</f>
        <v>-0.97084269676932011</v>
      </c>
    </row>
    <row r="1808" spans="1:10" x14ac:dyDescent="0.2">
      <c r="A1808" t="s">
        <v>1811</v>
      </c>
      <c r="B1808" t="s">
        <v>3114</v>
      </c>
      <c r="C1808">
        <v>3.595805982781375E-3</v>
      </c>
      <c r="D1808">
        <v>2.433845242653155E-2</v>
      </c>
      <c r="E1808">
        <f>ABS(Table1[[#This Row],[Flux in SC / glucose uptake ($mmol/mmol\ glc$)]]-Table1[[#This Row],[Flux in RT / glucose uptake ($mmol/mmol\ glc$)]])/SQRT(2)</f>
        <v>1.4667265960130772E-2</v>
      </c>
      <c r="F1808">
        <f>Table1[[#This Row],[distance from 45-degree line]]/MAX(Table1[[Flux in SC / glucose uptake ($mmol/mmol\ glc$)]:[Flux in RT / glucose uptake ($mmol/mmol\ glc$)]])</f>
        <v>7.9054889893344056E-4</v>
      </c>
      <c r="G1808">
        <f>_xlfn.RANK.AVG(Table1[[#This Row],[Flux in SC / glucose uptake ($mmol/mmol\ glc$)]],Table1[Flux in SC / glucose uptake ($mmol/mmol\ glc$)])</f>
        <v>154</v>
      </c>
      <c r="H1808">
        <f>_xlfn.RANK.AVG(Table1[[#This Row],[Flux in RT / glucose uptake ($mmol/mmol\ glc$)]],Table1[Flux in RT / glucose uptake ($mmol/mmol\ glc$)])</f>
        <v>121</v>
      </c>
      <c r="I1808">
        <f>LOG(Table1[[#This Row],[Flux in SC / glucose uptake ($mmol/mmol\ glc$)]])</f>
        <v>-2.4442037493305238</v>
      </c>
      <c r="J1808">
        <f>LOG(Table1[[#This Row],[Flux in RT / glucose uptake ($mmol/mmol\ glc$)]])</f>
        <v>-1.6137070400741229</v>
      </c>
    </row>
    <row r="1809" spans="1:10" x14ac:dyDescent="0.2">
      <c r="A1809" t="s">
        <v>1812</v>
      </c>
      <c r="B1809" t="s">
        <v>3114</v>
      </c>
      <c r="C1809">
        <v>0</v>
      </c>
      <c r="D1809">
        <v>0</v>
      </c>
      <c r="E1809">
        <f>ABS(Table1[[#This Row],[Flux in SC / glucose uptake ($mmol/mmol\ glc$)]]-Table1[[#This Row],[Flux in RT / glucose uptake ($mmol/mmol\ glc$)]])/SQRT(2)</f>
        <v>0</v>
      </c>
      <c r="F1809">
        <f>Table1[[#This Row],[distance from 45-degree line]]/MAX(Table1[[Flux in SC / glucose uptake ($mmol/mmol\ glc$)]:[Flux in RT / glucose uptake ($mmol/mmol\ glc$)]])</f>
        <v>0</v>
      </c>
      <c r="G1809">
        <f>_xlfn.RANK.AVG(Table1[[#This Row],[Flux in SC / glucose uptake ($mmol/mmol\ glc$)]],Table1[Flux in SC / glucose uptake ($mmol/mmol\ glc$)])</f>
        <v>1310.5</v>
      </c>
      <c r="H1809">
        <f>_xlfn.RANK.AVG(Table1[[#This Row],[Flux in RT / glucose uptake ($mmol/mmol\ glc$)]],Table1[Flux in RT / glucose uptake ($mmol/mmol\ glc$)])</f>
        <v>1290.5</v>
      </c>
      <c r="I1809" t="e">
        <f>LOG(Table1[[#This Row],[Flux in SC / glucose uptake ($mmol/mmol\ glc$)]])</f>
        <v>#NUM!</v>
      </c>
      <c r="J1809" t="e">
        <f>LOG(Table1[[#This Row],[Flux in RT / glucose uptake ($mmol/mmol\ glc$)]])</f>
        <v>#NUM!</v>
      </c>
    </row>
    <row r="1810" spans="1:10" x14ac:dyDescent="0.2">
      <c r="A1810" t="s">
        <v>1813</v>
      </c>
      <c r="B1810" t="s">
        <v>3162</v>
      </c>
      <c r="C1810">
        <v>3.190818821613736E-3</v>
      </c>
      <c r="D1810">
        <v>1.430009427411298E-2</v>
      </c>
      <c r="E1810">
        <f>ABS(Table1[[#This Row],[Flux in SC / glucose uptake ($mmol/mmol\ glc$)]]-Table1[[#This Row],[Flux in RT / glucose uptake ($mmol/mmol\ glc$)]])/SQRT(2)</f>
        <v>7.855444006531466E-3</v>
      </c>
      <c r="F1810">
        <f>Table1[[#This Row],[distance from 45-degree line]]/MAX(Table1[[Flux in SC / glucose uptake ($mmol/mmol\ glc$)]:[Flux in RT / glucose uptake ($mmol/mmol\ glc$)]])</f>
        <v>4.2339946837245299E-4</v>
      </c>
      <c r="G1810">
        <f>_xlfn.RANK.AVG(Table1[[#This Row],[Flux in SC / glucose uptake ($mmol/mmol\ glc$)]],Table1[Flux in SC / glucose uptake ($mmol/mmol\ glc$)])</f>
        <v>161.5</v>
      </c>
      <c r="H1810">
        <f>_xlfn.RANK.AVG(Table1[[#This Row],[Flux in RT / glucose uptake ($mmol/mmol\ glc$)]],Table1[Flux in RT / glucose uptake ($mmol/mmol\ glc$)])</f>
        <v>169</v>
      </c>
      <c r="I1810">
        <f>LOG(Table1[[#This Row],[Flux in SC / glucose uptake ($mmol/mmol\ glc$)]])</f>
        <v>-2.4960978548498174</v>
      </c>
      <c r="J1810">
        <f>LOG(Table1[[#This Row],[Flux in RT / glucose uptake ($mmol/mmol\ glc$)]])</f>
        <v>-1.8446610994166099</v>
      </c>
    </row>
    <row r="1811" spans="1:10" x14ac:dyDescent="0.2">
      <c r="A1811" t="s">
        <v>1814</v>
      </c>
      <c r="B1811" t="s">
        <v>3119</v>
      </c>
      <c r="C1811">
        <v>3.6110321147682783E-9</v>
      </c>
      <c r="D1811">
        <v>8.260576411240525E-2</v>
      </c>
      <c r="E1811">
        <f>ABS(Table1[[#This Row],[Flux in SC / glucose uptake ($mmol/mmol\ glc$)]]-Table1[[#This Row],[Flux in RT / glucose uptake ($mmol/mmol\ glc$)]])/SQRT(2)</f>
        <v>5.84110934155928E-2</v>
      </c>
      <c r="F1811">
        <f>Table1[[#This Row],[distance from 45-degree line]]/MAX(Table1[[Flux in SC / glucose uptake ($mmol/mmol\ glc$)]:[Flux in RT / glucose uptake ($mmol/mmol\ glc$)]])</f>
        <v>3.1482912841912848E-3</v>
      </c>
      <c r="G1811">
        <f>_xlfn.RANK.AVG(Table1[[#This Row],[Flux in SC / glucose uptake ($mmol/mmol\ glc$)]],Table1[Flux in SC / glucose uptake ($mmol/mmol\ glc$)])</f>
        <v>310</v>
      </c>
      <c r="H1811">
        <f>_xlfn.RANK.AVG(Table1[[#This Row],[Flux in RT / glucose uptake ($mmol/mmol\ glc$)]],Table1[Flux in RT / glucose uptake ($mmol/mmol\ glc$)])</f>
        <v>95</v>
      </c>
      <c r="I1811">
        <f>LOG(Table1[[#This Row],[Flux in SC / glucose uptake ($mmol/mmol\ glc$)]])</f>
        <v>-8.4423686491515095</v>
      </c>
      <c r="J1811">
        <f>LOG(Table1[[#This Row],[Flux in RT / glucose uptake ($mmol/mmol\ glc$)]])</f>
        <v>-1.0829896471727229</v>
      </c>
    </row>
    <row r="1812" spans="1:10" x14ac:dyDescent="0.2">
      <c r="A1812" t="s">
        <v>1815</v>
      </c>
      <c r="B1812" t="s">
        <v>3134</v>
      </c>
      <c r="C1812">
        <v>3.5272488968825797E-3</v>
      </c>
      <c r="D1812">
        <v>1.2711638001101323E-2</v>
      </c>
      <c r="E1812">
        <f>ABS(Table1[[#This Row],[Flux in SC / glucose uptake ($mmol/mmol\ glc$)]]-Table1[[#This Row],[Flux in RT / glucose uptake ($mmol/mmol\ glc$)]])/SQRT(2)</f>
        <v>6.4943438166489131E-3</v>
      </c>
      <c r="F1812">
        <f>Table1[[#This Row],[distance from 45-degree line]]/MAX(Table1[[Flux in SC / glucose uptake ($mmol/mmol\ glc$)]:[Flux in RT / glucose uptake ($mmol/mmol\ glc$)]])</f>
        <v>3.5003772124284988E-4</v>
      </c>
      <c r="G1812">
        <f>_xlfn.RANK.AVG(Table1[[#This Row],[Flux in SC / glucose uptake ($mmol/mmol\ glc$)]],Table1[Flux in SC / glucose uptake ($mmol/mmol\ glc$)])</f>
        <v>157.5</v>
      </c>
      <c r="H1812">
        <f>_xlfn.RANK.AVG(Table1[[#This Row],[Flux in RT / glucose uptake ($mmol/mmol\ glc$)]],Table1[Flux in RT / glucose uptake ($mmol/mmol\ glc$)])</f>
        <v>185.5</v>
      </c>
      <c r="I1812">
        <f>LOG(Table1[[#This Row],[Flux in SC / glucose uptake ($mmol/mmol\ glc$)]])</f>
        <v>-2.452563893684145</v>
      </c>
      <c r="J1812">
        <f>LOG(Table1[[#This Row],[Flux in RT / glucose uptake ($mmol/mmol\ glc$)]])</f>
        <v>-1.8957984833559538</v>
      </c>
    </row>
    <row r="1813" spans="1:10" x14ac:dyDescent="0.2">
      <c r="A1813" t="s">
        <v>1816</v>
      </c>
      <c r="B1813" t="s">
        <v>3114</v>
      </c>
      <c r="C1813">
        <v>0</v>
      </c>
      <c r="D1813">
        <v>0</v>
      </c>
      <c r="E1813">
        <f>ABS(Table1[[#This Row],[Flux in SC / glucose uptake ($mmol/mmol\ glc$)]]-Table1[[#This Row],[Flux in RT / glucose uptake ($mmol/mmol\ glc$)]])/SQRT(2)</f>
        <v>0</v>
      </c>
      <c r="F1813">
        <f>Table1[[#This Row],[distance from 45-degree line]]/MAX(Table1[[Flux in SC / glucose uptake ($mmol/mmol\ glc$)]:[Flux in RT / glucose uptake ($mmol/mmol\ glc$)]])</f>
        <v>0</v>
      </c>
      <c r="G1813">
        <f>_xlfn.RANK.AVG(Table1[[#This Row],[Flux in SC / glucose uptake ($mmol/mmol\ glc$)]],Table1[Flux in SC / glucose uptake ($mmol/mmol\ glc$)])</f>
        <v>1310.5</v>
      </c>
      <c r="H1813">
        <f>_xlfn.RANK.AVG(Table1[[#This Row],[Flux in RT / glucose uptake ($mmol/mmol\ glc$)]],Table1[Flux in RT / glucose uptake ($mmol/mmol\ glc$)])</f>
        <v>1290.5</v>
      </c>
      <c r="I1813" t="e">
        <f>LOG(Table1[[#This Row],[Flux in SC / glucose uptake ($mmol/mmol\ glc$)]])</f>
        <v>#NUM!</v>
      </c>
      <c r="J1813" t="e">
        <f>LOG(Table1[[#This Row],[Flux in RT / glucose uptake ($mmol/mmol\ glc$)]])</f>
        <v>#NUM!</v>
      </c>
    </row>
    <row r="1814" spans="1:10" x14ac:dyDescent="0.2">
      <c r="A1814" t="s">
        <v>1817</v>
      </c>
      <c r="B1814" t="s">
        <v>3114</v>
      </c>
      <c r="C1814">
        <v>0</v>
      </c>
      <c r="D1814">
        <v>0</v>
      </c>
      <c r="E1814">
        <f>ABS(Table1[[#This Row],[Flux in SC / glucose uptake ($mmol/mmol\ glc$)]]-Table1[[#This Row],[Flux in RT / glucose uptake ($mmol/mmol\ glc$)]])/SQRT(2)</f>
        <v>0</v>
      </c>
      <c r="F1814">
        <f>Table1[[#This Row],[distance from 45-degree line]]/MAX(Table1[[Flux in SC / glucose uptake ($mmol/mmol\ glc$)]:[Flux in RT / glucose uptake ($mmol/mmol\ glc$)]])</f>
        <v>0</v>
      </c>
      <c r="G1814">
        <f>_xlfn.RANK.AVG(Table1[[#This Row],[Flux in SC / glucose uptake ($mmol/mmol\ glc$)]],Table1[Flux in SC / glucose uptake ($mmol/mmol\ glc$)])</f>
        <v>1310.5</v>
      </c>
      <c r="H1814">
        <f>_xlfn.RANK.AVG(Table1[[#This Row],[Flux in RT / glucose uptake ($mmol/mmol\ glc$)]],Table1[Flux in RT / glucose uptake ($mmol/mmol\ glc$)])</f>
        <v>1290.5</v>
      </c>
      <c r="I1814" t="e">
        <f>LOG(Table1[[#This Row],[Flux in SC / glucose uptake ($mmol/mmol\ glc$)]])</f>
        <v>#NUM!</v>
      </c>
      <c r="J1814" t="e">
        <f>LOG(Table1[[#This Row],[Flux in RT / glucose uptake ($mmol/mmol\ glc$)]])</f>
        <v>#NUM!</v>
      </c>
    </row>
    <row r="1815" spans="1:10" x14ac:dyDescent="0.2">
      <c r="A1815" t="s">
        <v>1818</v>
      </c>
      <c r="B1815" t="s">
        <v>3120</v>
      </c>
      <c r="C1815">
        <v>0</v>
      </c>
      <c r="D1815">
        <v>0</v>
      </c>
      <c r="E1815">
        <f>ABS(Table1[[#This Row],[Flux in SC / glucose uptake ($mmol/mmol\ glc$)]]-Table1[[#This Row],[Flux in RT / glucose uptake ($mmol/mmol\ glc$)]])/SQRT(2)</f>
        <v>0</v>
      </c>
      <c r="F1815">
        <f>Table1[[#This Row],[distance from 45-degree line]]/MAX(Table1[[Flux in SC / glucose uptake ($mmol/mmol\ glc$)]:[Flux in RT / glucose uptake ($mmol/mmol\ glc$)]])</f>
        <v>0</v>
      </c>
      <c r="G1815">
        <f>_xlfn.RANK.AVG(Table1[[#This Row],[Flux in SC / glucose uptake ($mmol/mmol\ glc$)]],Table1[Flux in SC / glucose uptake ($mmol/mmol\ glc$)])</f>
        <v>1310.5</v>
      </c>
      <c r="H1815">
        <f>_xlfn.RANK.AVG(Table1[[#This Row],[Flux in RT / glucose uptake ($mmol/mmol\ glc$)]],Table1[Flux in RT / glucose uptake ($mmol/mmol\ glc$)])</f>
        <v>1290.5</v>
      </c>
      <c r="I1815" t="e">
        <f>LOG(Table1[[#This Row],[Flux in SC / glucose uptake ($mmol/mmol\ glc$)]])</f>
        <v>#NUM!</v>
      </c>
      <c r="J1815" t="e">
        <f>LOG(Table1[[#This Row],[Flux in RT / glucose uptake ($mmol/mmol\ glc$)]])</f>
        <v>#NUM!</v>
      </c>
    </row>
    <row r="1816" spans="1:10" x14ac:dyDescent="0.2">
      <c r="A1816" t="s">
        <v>1819</v>
      </c>
      <c r="B1816" t="s">
        <v>3135</v>
      </c>
      <c r="C1816">
        <v>0</v>
      </c>
      <c r="D1816">
        <v>0</v>
      </c>
      <c r="E1816">
        <f>ABS(Table1[[#This Row],[Flux in SC / glucose uptake ($mmol/mmol\ glc$)]]-Table1[[#This Row],[Flux in RT / glucose uptake ($mmol/mmol\ glc$)]])/SQRT(2)</f>
        <v>0</v>
      </c>
      <c r="F1816">
        <f>Table1[[#This Row],[distance from 45-degree line]]/MAX(Table1[[Flux in SC / glucose uptake ($mmol/mmol\ glc$)]:[Flux in RT / glucose uptake ($mmol/mmol\ glc$)]])</f>
        <v>0</v>
      </c>
      <c r="G1816">
        <f>_xlfn.RANK.AVG(Table1[[#This Row],[Flux in SC / glucose uptake ($mmol/mmol\ glc$)]],Table1[Flux in SC / glucose uptake ($mmol/mmol\ glc$)])</f>
        <v>1310.5</v>
      </c>
      <c r="H1816">
        <f>_xlfn.RANK.AVG(Table1[[#This Row],[Flux in RT / glucose uptake ($mmol/mmol\ glc$)]],Table1[Flux in RT / glucose uptake ($mmol/mmol\ glc$)])</f>
        <v>1290.5</v>
      </c>
      <c r="I1816" t="e">
        <f>LOG(Table1[[#This Row],[Flux in SC / glucose uptake ($mmol/mmol\ glc$)]])</f>
        <v>#NUM!</v>
      </c>
      <c r="J1816" t="e">
        <f>LOG(Table1[[#This Row],[Flux in RT / glucose uptake ($mmol/mmol\ glc$)]])</f>
        <v>#NUM!</v>
      </c>
    </row>
    <row r="1817" spans="1:10" x14ac:dyDescent="0.2">
      <c r="A1817" t="s">
        <v>1820</v>
      </c>
      <c r="B1817" t="s">
        <v>3120</v>
      </c>
      <c r="C1817">
        <v>0</v>
      </c>
      <c r="D1817">
        <v>0</v>
      </c>
      <c r="E1817">
        <f>ABS(Table1[[#This Row],[Flux in SC / glucose uptake ($mmol/mmol\ glc$)]]-Table1[[#This Row],[Flux in RT / glucose uptake ($mmol/mmol\ glc$)]])/SQRT(2)</f>
        <v>0</v>
      </c>
      <c r="F1817">
        <f>Table1[[#This Row],[distance from 45-degree line]]/MAX(Table1[[Flux in SC / glucose uptake ($mmol/mmol\ glc$)]:[Flux in RT / glucose uptake ($mmol/mmol\ glc$)]])</f>
        <v>0</v>
      </c>
      <c r="G1817">
        <f>_xlfn.RANK.AVG(Table1[[#This Row],[Flux in SC / glucose uptake ($mmol/mmol\ glc$)]],Table1[Flux in SC / glucose uptake ($mmol/mmol\ glc$)])</f>
        <v>1310.5</v>
      </c>
      <c r="H1817">
        <f>_xlfn.RANK.AVG(Table1[[#This Row],[Flux in RT / glucose uptake ($mmol/mmol\ glc$)]],Table1[Flux in RT / glucose uptake ($mmol/mmol\ glc$)])</f>
        <v>1290.5</v>
      </c>
      <c r="I1817" t="e">
        <f>LOG(Table1[[#This Row],[Flux in SC / glucose uptake ($mmol/mmol\ glc$)]])</f>
        <v>#NUM!</v>
      </c>
      <c r="J1817" t="e">
        <f>LOG(Table1[[#This Row],[Flux in RT / glucose uptake ($mmol/mmol\ glc$)]])</f>
        <v>#NUM!</v>
      </c>
    </row>
    <row r="1818" spans="1:10" x14ac:dyDescent="0.2">
      <c r="A1818" t="s">
        <v>1821</v>
      </c>
      <c r="B1818" t="s">
        <v>3114</v>
      </c>
      <c r="C1818">
        <v>0</v>
      </c>
      <c r="D1818">
        <v>0</v>
      </c>
      <c r="E1818">
        <f>ABS(Table1[[#This Row],[Flux in SC / glucose uptake ($mmol/mmol\ glc$)]]-Table1[[#This Row],[Flux in RT / glucose uptake ($mmol/mmol\ glc$)]])/SQRT(2)</f>
        <v>0</v>
      </c>
      <c r="F1818">
        <f>Table1[[#This Row],[distance from 45-degree line]]/MAX(Table1[[Flux in SC / glucose uptake ($mmol/mmol\ glc$)]:[Flux in RT / glucose uptake ($mmol/mmol\ glc$)]])</f>
        <v>0</v>
      </c>
      <c r="G1818">
        <f>_xlfn.RANK.AVG(Table1[[#This Row],[Flux in SC / glucose uptake ($mmol/mmol\ glc$)]],Table1[Flux in SC / glucose uptake ($mmol/mmol\ glc$)])</f>
        <v>1310.5</v>
      </c>
      <c r="H1818">
        <f>_xlfn.RANK.AVG(Table1[[#This Row],[Flux in RT / glucose uptake ($mmol/mmol\ glc$)]],Table1[Flux in RT / glucose uptake ($mmol/mmol\ glc$)])</f>
        <v>1290.5</v>
      </c>
      <c r="I1818" t="e">
        <f>LOG(Table1[[#This Row],[Flux in SC / glucose uptake ($mmol/mmol\ glc$)]])</f>
        <v>#NUM!</v>
      </c>
      <c r="J1818" t="e">
        <f>LOG(Table1[[#This Row],[Flux in RT / glucose uptake ($mmol/mmol\ glc$)]])</f>
        <v>#NUM!</v>
      </c>
    </row>
    <row r="1819" spans="1:10" x14ac:dyDescent="0.2">
      <c r="A1819" t="s">
        <v>1822</v>
      </c>
      <c r="B1819" t="s">
        <v>3120</v>
      </c>
      <c r="C1819">
        <v>0</v>
      </c>
      <c r="D1819">
        <v>0</v>
      </c>
      <c r="E1819">
        <f>ABS(Table1[[#This Row],[Flux in SC / glucose uptake ($mmol/mmol\ glc$)]]-Table1[[#This Row],[Flux in RT / glucose uptake ($mmol/mmol\ glc$)]])/SQRT(2)</f>
        <v>0</v>
      </c>
      <c r="F1819">
        <f>Table1[[#This Row],[distance from 45-degree line]]/MAX(Table1[[Flux in SC / glucose uptake ($mmol/mmol\ glc$)]:[Flux in RT / glucose uptake ($mmol/mmol\ glc$)]])</f>
        <v>0</v>
      </c>
      <c r="G1819">
        <f>_xlfn.RANK.AVG(Table1[[#This Row],[Flux in SC / glucose uptake ($mmol/mmol\ glc$)]],Table1[Flux in SC / glucose uptake ($mmol/mmol\ glc$)])</f>
        <v>1310.5</v>
      </c>
      <c r="H1819">
        <f>_xlfn.RANK.AVG(Table1[[#This Row],[Flux in RT / glucose uptake ($mmol/mmol\ glc$)]],Table1[Flux in RT / glucose uptake ($mmol/mmol\ glc$)])</f>
        <v>1290.5</v>
      </c>
      <c r="I1819" t="e">
        <f>LOG(Table1[[#This Row],[Flux in SC / glucose uptake ($mmol/mmol\ glc$)]])</f>
        <v>#NUM!</v>
      </c>
      <c r="J1819" t="e">
        <f>LOG(Table1[[#This Row],[Flux in RT / glucose uptake ($mmol/mmol\ glc$)]])</f>
        <v>#NUM!</v>
      </c>
    </row>
    <row r="1820" spans="1:10" x14ac:dyDescent="0.2">
      <c r="A1820" t="s">
        <v>1823</v>
      </c>
      <c r="B1820" t="s">
        <v>3202</v>
      </c>
      <c r="C1820">
        <v>0</v>
      </c>
      <c r="D1820">
        <v>0</v>
      </c>
      <c r="E1820">
        <f>ABS(Table1[[#This Row],[Flux in SC / glucose uptake ($mmol/mmol\ glc$)]]-Table1[[#This Row],[Flux in RT / glucose uptake ($mmol/mmol\ glc$)]])/SQRT(2)</f>
        <v>0</v>
      </c>
      <c r="F1820">
        <f>Table1[[#This Row],[distance from 45-degree line]]/MAX(Table1[[Flux in SC / glucose uptake ($mmol/mmol\ glc$)]:[Flux in RT / glucose uptake ($mmol/mmol\ glc$)]])</f>
        <v>0</v>
      </c>
      <c r="G1820">
        <f>_xlfn.RANK.AVG(Table1[[#This Row],[Flux in SC / glucose uptake ($mmol/mmol\ glc$)]],Table1[Flux in SC / glucose uptake ($mmol/mmol\ glc$)])</f>
        <v>1310.5</v>
      </c>
      <c r="H1820">
        <f>_xlfn.RANK.AVG(Table1[[#This Row],[Flux in RT / glucose uptake ($mmol/mmol\ glc$)]],Table1[Flux in RT / glucose uptake ($mmol/mmol\ glc$)])</f>
        <v>1290.5</v>
      </c>
      <c r="I1820" t="e">
        <f>LOG(Table1[[#This Row],[Flux in SC / glucose uptake ($mmol/mmol\ glc$)]])</f>
        <v>#NUM!</v>
      </c>
      <c r="J1820" t="e">
        <f>LOG(Table1[[#This Row],[Flux in RT / glucose uptake ($mmol/mmol\ glc$)]])</f>
        <v>#NUM!</v>
      </c>
    </row>
    <row r="1821" spans="1:10" x14ac:dyDescent="0.2">
      <c r="A1821" t="s">
        <v>1824</v>
      </c>
      <c r="B1821" t="s">
        <v>3114</v>
      </c>
      <c r="C1821">
        <v>0</v>
      </c>
      <c r="D1821">
        <v>0</v>
      </c>
      <c r="E1821">
        <f>ABS(Table1[[#This Row],[Flux in SC / glucose uptake ($mmol/mmol\ glc$)]]-Table1[[#This Row],[Flux in RT / glucose uptake ($mmol/mmol\ glc$)]])/SQRT(2)</f>
        <v>0</v>
      </c>
      <c r="F1821">
        <f>Table1[[#This Row],[distance from 45-degree line]]/MAX(Table1[[Flux in SC / glucose uptake ($mmol/mmol\ glc$)]:[Flux in RT / glucose uptake ($mmol/mmol\ glc$)]])</f>
        <v>0</v>
      </c>
      <c r="G1821">
        <f>_xlfn.RANK.AVG(Table1[[#This Row],[Flux in SC / glucose uptake ($mmol/mmol\ glc$)]],Table1[Flux in SC / glucose uptake ($mmol/mmol\ glc$)])</f>
        <v>1310.5</v>
      </c>
      <c r="H1821">
        <f>_xlfn.RANK.AVG(Table1[[#This Row],[Flux in RT / glucose uptake ($mmol/mmol\ glc$)]],Table1[Flux in RT / glucose uptake ($mmol/mmol\ glc$)])</f>
        <v>1290.5</v>
      </c>
      <c r="I1821" t="e">
        <f>LOG(Table1[[#This Row],[Flux in SC / glucose uptake ($mmol/mmol\ glc$)]])</f>
        <v>#NUM!</v>
      </c>
      <c r="J1821" t="e">
        <f>LOG(Table1[[#This Row],[Flux in RT / glucose uptake ($mmol/mmol\ glc$)]])</f>
        <v>#NUM!</v>
      </c>
    </row>
    <row r="1822" spans="1:10" x14ac:dyDescent="0.2">
      <c r="A1822" t="s">
        <v>1825</v>
      </c>
      <c r="B1822" t="s">
        <v>3114</v>
      </c>
      <c r="C1822">
        <v>0</v>
      </c>
      <c r="D1822">
        <v>0</v>
      </c>
      <c r="E1822">
        <f>ABS(Table1[[#This Row],[Flux in SC / glucose uptake ($mmol/mmol\ glc$)]]-Table1[[#This Row],[Flux in RT / glucose uptake ($mmol/mmol\ glc$)]])/SQRT(2)</f>
        <v>0</v>
      </c>
      <c r="F1822">
        <f>Table1[[#This Row],[distance from 45-degree line]]/MAX(Table1[[Flux in SC / glucose uptake ($mmol/mmol\ glc$)]:[Flux in RT / glucose uptake ($mmol/mmol\ glc$)]])</f>
        <v>0</v>
      </c>
      <c r="G1822">
        <f>_xlfn.RANK.AVG(Table1[[#This Row],[Flux in SC / glucose uptake ($mmol/mmol\ glc$)]],Table1[Flux in SC / glucose uptake ($mmol/mmol\ glc$)])</f>
        <v>1310.5</v>
      </c>
      <c r="H1822">
        <f>_xlfn.RANK.AVG(Table1[[#This Row],[Flux in RT / glucose uptake ($mmol/mmol\ glc$)]],Table1[Flux in RT / glucose uptake ($mmol/mmol\ glc$)])</f>
        <v>1290.5</v>
      </c>
      <c r="I1822" t="e">
        <f>LOG(Table1[[#This Row],[Flux in SC / glucose uptake ($mmol/mmol\ glc$)]])</f>
        <v>#NUM!</v>
      </c>
      <c r="J1822" t="e">
        <f>LOG(Table1[[#This Row],[Flux in RT / glucose uptake ($mmol/mmol\ glc$)]])</f>
        <v>#NUM!</v>
      </c>
    </row>
    <row r="1823" spans="1:10" x14ac:dyDescent="0.2">
      <c r="A1823" t="s">
        <v>1826</v>
      </c>
      <c r="B1823" t="s">
        <v>3197</v>
      </c>
      <c r="C1823">
        <v>0</v>
      </c>
      <c r="D1823">
        <v>0</v>
      </c>
      <c r="E1823">
        <f>ABS(Table1[[#This Row],[Flux in SC / glucose uptake ($mmol/mmol\ glc$)]]-Table1[[#This Row],[Flux in RT / glucose uptake ($mmol/mmol\ glc$)]])/SQRT(2)</f>
        <v>0</v>
      </c>
      <c r="F1823">
        <f>Table1[[#This Row],[distance from 45-degree line]]/MAX(Table1[[Flux in SC / glucose uptake ($mmol/mmol\ glc$)]:[Flux in RT / glucose uptake ($mmol/mmol\ glc$)]])</f>
        <v>0</v>
      </c>
      <c r="G1823">
        <f>_xlfn.RANK.AVG(Table1[[#This Row],[Flux in SC / glucose uptake ($mmol/mmol\ glc$)]],Table1[Flux in SC / glucose uptake ($mmol/mmol\ glc$)])</f>
        <v>1310.5</v>
      </c>
      <c r="H1823">
        <f>_xlfn.RANK.AVG(Table1[[#This Row],[Flux in RT / glucose uptake ($mmol/mmol\ glc$)]],Table1[Flux in RT / glucose uptake ($mmol/mmol\ glc$)])</f>
        <v>1290.5</v>
      </c>
      <c r="I1823" t="e">
        <f>LOG(Table1[[#This Row],[Flux in SC / glucose uptake ($mmol/mmol\ glc$)]])</f>
        <v>#NUM!</v>
      </c>
      <c r="J1823" t="e">
        <f>LOG(Table1[[#This Row],[Flux in RT / glucose uptake ($mmol/mmol\ glc$)]])</f>
        <v>#NUM!</v>
      </c>
    </row>
    <row r="1824" spans="1:10" x14ac:dyDescent="0.2">
      <c r="A1824" t="s">
        <v>1827</v>
      </c>
      <c r="B1824" t="s">
        <v>3114</v>
      </c>
      <c r="C1824">
        <v>0</v>
      </c>
      <c r="D1824">
        <v>0</v>
      </c>
      <c r="E1824">
        <f>ABS(Table1[[#This Row],[Flux in SC / glucose uptake ($mmol/mmol\ glc$)]]-Table1[[#This Row],[Flux in RT / glucose uptake ($mmol/mmol\ glc$)]])/SQRT(2)</f>
        <v>0</v>
      </c>
      <c r="F1824">
        <f>Table1[[#This Row],[distance from 45-degree line]]/MAX(Table1[[Flux in SC / glucose uptake ($mmol/mmol\ glc$)]:[Flux in RT / glucose uptake ($mmol/mmol\ glc$)]])</f>
        <v>0</v>
      </c>
      <c r="G1824">
        <f>_xlfn.RANK.AVG(Table1[[#This Row],[Flux in SC / glucose uptake ($mmol/mmol\ glc$)]],Table1[Flux in SC / glucose uptake ($mmol/mmol\ glc$)])</f>
        <v>1310.5</v>
      </c>
      <c r="H1824">
        <f>_xlfn.RANK.AVG(Table1[[#This Row],[Flux in RT / glucose uptake ($mmol/mmol\ glc$)]],Table1[Flux in RT / glucose uptake ($mmol/mmol\ glc$)])</f>
        <v>1290.5</v>
      </c>
      <c r="I1824" t="e">
        <f>LOG(Table1[[#This Row],[Flux in SC / glucose uptake ($mmol/mmol\ glc$)]])</f>
        <v>#NUM!</v>
      </c>
      <c r="J1824" t="e">
        <f>LOG(Table1[[#This Row],[Flux in RT / glucose uptake ($mmol/mmol\ glc$)]])</f>
        <v>#NUM!</v>
      </c>
    </row>
    <row r="1825" spans="1:10" x14ac:dyDescent="0.2">
      <c r="A1825" t="s">
        <v>1828</v>
      </c>
      <c r="B1825" t="s">
        <v>3114</v>
      </c>
      <c r="C1825">
        <v>0</v>
      </c>
      <c r="D1825">
        <v>0</v>
      </c>
      <c r="E1825">
        <f>ABS(Table1[[#This Row],[Flux in SC / glucose uptake ($mmol/mmol\ glc$)]]-Table1[[#This Row],[Flux in RT / glucose uptake ($mmol/mmol\ glc$)]])/SQRT(2)</f>
        <v>0</v>
      </c>
      <c r="F1825">
        <f>Table1[[#This Row],[distance from 45-degree line]]/MAX(Table1[[Flux in SC / glucose uptake ($mmol/mmol\ glc$)]:[Flux in RT / glucose uptake ($mmol/mmol\ glc$)]])</f>
        <v>0</v>
      </c>
      <c r="G1825">
        <f>_xlfn.RANK.AVG(Table1[[#This Row],[Flux in SC / glucose uptake ($mmol/mmol\ glc$)]],Table1[Flux in SC / glucose uptake ($mmol/mmol\ glc$)])</f>
        <v>1310.5</v>
      </c>
      <c r="H1825">
        <f>_xlfn.RANK.AVG(Table1[[#This Row],[Flux in RT / glucose uptake ($mmol/mmol\ glc$)]],Table1[Flux in RT / glucose uptake ($mmol/mmol\ glc$)])</f>
        <v>1290.5</v>
      </c>
      <c r="I1825" t="e">
        <f>LOG(Table1[[#This Row],[Flux in SC / glucose uptake ($mmol/mmol\ glc$)]])</f>
        <v>#NUM!</v>
      </c>
      <c r="J1825" t="e">
        <f>LOG(Table1[[#This Row],[Flux in RT / glucose uptake ($mmol/mmol\ glc$)]])</f>
        <v>#NUM!</v>
      </c>
    </row>
    <row r="1826" spans="1:10" x14ac:dyDescent="0.2">
      <c r="A1826" t="s">
        <v>1829</v>
      </c>
      <c r="B1826" t="s">
        <v>3114</v>
      </c>
      <c r="C1826">
        <v>0</v>
      </c>
      <c r="D1826">
        <v>0</v>
      </c>
      <c r="E1826">
        <f>ABS(Table1[[#This Row],[Flux in SC / glucose uptake ($mmol/mmol\ glc$)]]-Table1[[#This Row],[Flux in RT / glucose uptake ($mmol/mmol\ glc$)]])/SQRT(2)</f>
        <v>0</v>
      </c>
      <c r="F1826">
        <f>Table1[[#This Row],[distance from 45-degree line]]/MAX(Table1[[Flux in SC / glucose uptake ($mmol/mmol\ glc$)]:[Flux in RT / glucose uptake ($mmol/mmol\ glc$)]])</f>
        <v>0</v>
      </c>
      <c r="G1826">
        <f>_xlfn.RANK.AVG(Table1[[#This Row],[Flux in SC / glucose uptake ($mmol/mmol\ glc$)]],Table1[Flux in SC / glucose uptake ($mmol/mmol\ glc$)])</f>
        <v>1310.5</v>
      </c>
      <c r="H1826">
        <f>_xlfn.RANK.AVG(Table1[[#This Row],[Flux in RT / glucose uptake ($mmol/mmol\ glc$)]],Table1[Flux in RT / glucose uptake ($mmol/mmol\ glc$)])</f>
        <v>1290.5</v>
      </c>
      <c r="I1826" t="e">
        <f>LOG(Table1[[#This Row],[Flux in SC / glucose uptake ($mmol/mmol\ glc$)]])</f>
        <v>#NUM!</v>
      </c>
      <c r="J1826" t="e">
        <f>LOG(Table1[[#This Row],[Flux in RT / glucose uptake ($mmol/mmol\ glc$)]])</f>
        <v>#NUM!</v>
      </c>
    </row>
    <row r="1827" spans="1:10" x14ac:dyDescent="0.2">
      <c r="A1827" t="s">
        <v>1830</v>
      </c>
      <c r="B1827" t="s">
        <v>3114</v>
      </c>
      <c r="C1827">
        <v>0</v>
      </c>
      <c r="D1827">
        <v>0</v>
      </c>
      <c r="E1827">
        <f>ABS(Table1[[#This Row],[Flux in SC / glucose uptake ($mmol/mmol\ glc$)]]-Table1[[#This Row],[Flux in RT / glucose uptake ($mmol/mmol\ glc$)]])/SQRT(2)</f>
        <v>0</v>
      </c>
      <c r="F1827">
        <f>Table1[[#This Row],[distance from 45-degree line]]/MAX(Table1[[Flux in SC / glucose uptake ($mmol/mmol\ glc$)]:[Flux in RT / glucose uptake ($mmol/mmol\ glc$)]])</f>
        <v>0</v>
      </c>
      <c r="G1827">
        <f>_xlfn.RANK.AVG(Table1[[#This Row],[Flux in SC / glucose uptake ($mmol/mmol\ glc$)]],Table1[Flux in SC / glucose uptake ($mmol/mmol\ glc$)])</f>
        <v>1310.5</v>
      </c>
      <c r="H1827">
        <f>_xlfn.RANK.AVG(Table1[[#This Row],[Flux in RT / glucose uptake ($mmol/mmol\ glc$)]],Table1[Flux in RT / glucose uptake ($mmol/mmol\ glc$)])</f>
        <v>1290.5</v>
      </c>
      <c r="I1827" t="e">
        <f>LOG(Table1[[#This Row],[Flux in SC / glucose uptake ($mmol/mmol\ glc$)]])</f>
        <v>#NUM!</v>
      </c>
      <c r="J1827" t="e">
        <f>LOG(Table1[[#This Row],[Flux in RT / glucose uptake ($mmol/mmol\ glc$)]])</f>
        <v>#NUM!</v>
      </c>
    </row>
    <row r="1828" spans="1:10" x14ac:dyDescent="0.2">
      <c r="A1828" t="s">
        <v>1831</v>
      </c>
      <c r="B1828" t="s">
        <v>3114</v>
      </c>
      <c r="C1828">
        <v>0</v>
      </c>
      <c r="D1828">
        <v>0</v>
      </c>
      <c r="E1828">
        <f>ABS(Table1[[#This Row],[Flux in SC / glucose uptake ($mmol/mmol\ glc$)]]-Table1[[#This Row],[Flux in RT / glucose uptake ($mmol/mmol\ glc$)]])/SQRT(2)</f>
        <v>0</v>
      </c>
      <c r="F1828">
        <f>Table1[[#This Row],[distance from 45-degree line]]/MAX(Table1[[Flux in SC / glucose uptake ($mmol/mmol\ glc$)]:[Flux in RT / glucose uptake ($mmol/mmol\ glc$)]])</f>
        <v>0</v>
      </c>
      <c r="G1828">
        <f>_xlfn.RANK.AVG(Table1[[#This Row],[Flux in SC / glucose uptake ($mmol/mmol\ glc$)]],Table1[Flux in SC / glucose uptake ($mmol/mmol\ glc$)])</f>
        <v>1310.5</v>
      </c>
      <c r="H1828">
        <f>_xlfn.RANK.AVG(Table1[[#This Row],[Flux in RT / glucose uptake ($mmol/mmol\ glc$)]],Table1[Flux in RT / glucose uptake ($mmol/mmol\ glc$)])</f>
        <v>1290.5</v>
      </c>
      <c r="I1828" t="e">
        <f>LOG(Table1[[#This Row],[Flux in SC / glucose uptake ($mmol/mmol\ glc$)]])</f>
        <v>#NUM!</v>
      </c>
      <c r="J1828" t="e">
        <f>LOG(Table1[[#This Row],[Flux in RT / glucose uptake ($mmol/mmol\ glc$)]])</f>
        <v>#NUM!</v>
      </c>
    </row>
    <row r="1829" spans="1:10" x14ac:dyDescent="0.2">
      <c r="A1829" t="s">
        <v>1832</v>
      </c>
      <c r="B1829" t="s">
        <v>3197</v>
      </c>
      <c r="C1829">
        <v>0</v>
      </c>
      <c r="D1829">
        <v>0</v>
      </c>
      <c r="E1829">
        <f>ABS(Table1[[#This Row],[Flux in SC / glucose uptake ($mmol/mmol\ glc$)]]-Table1[[#This Row],[Flux in RT / glucose uptake ($mmol/mmol\ glc$)]])/SQRT(2)</f>
        <v>0</v>
      </c>
      <c r="F1829">
        <f>Table1[[#This Row],[distance from 45-degree line]]/MAX(Table1[[Flux in SC / glucose uptake ($mmol/mmol\ glc$)]:[Flux in RT / glucose uptake ($mmol/mmol\ glc$)]])</f>
        <v>0</v>
      </c>
      <c r="G1829">
        <f>_xlfn.RANK.AVG(Table1[[#This Row],[Flux in SC / glucose uptake ($mmol/mmol\ glc$)]],Table1[Flux in SC / glucose uptake ($mmol/mmol\ glc$)])</f>
        <v>1310.5</v>
      </c>
      <c r="H1829">
        <f>_xlfn.RANK.AVG(Table1[[#This Row],[Flux in RT / glucose uptake ($mmol/mmol\ glc$)]],Table1[Flux in RT / glucose uptake ($mmol/mmol\ glc$)])</f>
        <v>1290.5</v>
      </c>
      <c r="I1829" t="e">
        <f>LOG(Table1[[#This Row],[Flux in SC / glucose uptake ($mmol/mmol\ glc$)]])</f>
        <v>#NUM!</v>
      </c>
      <c r="J1829" t="e">
        <f>LOG(Table1[[#This Row],[Flux in RT / glucose uptake ($mmol/mmol\ glc$)]])</f>
        <v>#NUM!</v>
      </c>
    </row>
    <row r="1830" spans="1:10" x14ac:dyDescent="0.2">
      <c r="A1830" t="s">
        <v>1833</v>
      </c>
      <c r="B1830" t="s">
        <v>3197</v>
      </c>
      <c r="C1830">
        <v>0</v>
      </c>
      <c r="D1830">
        <v>0</v>
      </c>
      <c r="E1830">
        <f>ABS(Table1[[#This Row],[Flux in SC / glucose uptake ($mmol/mmol\ glc$)]]-Table1[[#This Row],[Flux in RT / glucose uptake ($mmol/mmol\ glc$)]])/SQRT(2)</f>
        <v>0</v>
      </c>
      <c r="F1830">
        <f>Table1[[#This Row],[distance from 45-degree line]]/MAX(Table1[[Flux in SC / glucose uptake ($mmol/mmol\ glc$)]:[Flux in RT / glucose uptake ($mmol/mmol\ glc$)]])</f>
        <v>0</v>
      </c>
      <c r="G1830">
        <f>_xlfn.RANK.AVG(Table1[[#This Row],[Flux in SC / glucose uptake ($mmol/mmol\ glc$)]],Table1[Flux in SC / glucose uptake ($mmol/mmol\ glc$)])</f>
        <v>1310.5</v>
      </c>
      <c r="H1830">
        <f>_xlfn.RANK.AVG(Table1[[#This Row],[Flux in RT / glucose uptake ($mmol/mmol\ glc$)]],Table1[Flux in RT / glucose uptake ($mmol/mmol\ glc$)])</f>
        <v>1290.5</v>
      </c>
      <c r="I1830" t="e">
        <f>LOG(Table1[[#This Row],[Flux in SC / glucose uptake ($mmol/mmol\ glc$)]])</f>
        <v>#NUM!</v>
      </c>
      <c r="J1830" t="e">
        <f>LOG(Table1[[#This Row],[Flux in RT / glucose uptake ($mmol/mmol\ glc$)]])</f>
        <v>#NUM!</v>
      </c>
    </row>
    <row r="1831" spans="1:10" x14ac:dyDescent="0.2">
      <c r="A1831" t="s">
        <v>1834</v>
      </c>
      <c r="B1831" t="s">
        <v>3197</v>
      </c>
      <c r="C1831">
        <v>0</v>
      </c>
      <c r="D1831">
        <v>0</v>
      </c>
      <c r="E1831">
        <f>ABS(Table1[[#This Row],[Flux in SC / glucose uptake ($mmol/mmol\ glc$)]]-Table1[[#This Row],[Flux in RT / glucose uptake ($mmol/mmol\ glc$)]])/SQRT(2)</f>
        <v>0</v>
      </c>
      <c r="F1831">
        <f>Table1[[#This Row],[distance from 45-degree line]]/MAX(Table1[[Flux in SC / glucose uptake ($mmol/mmol\ glc$)]:[Flux in RT / glucose uptake ($mmol/mmol\ glc$)]])</f>
        <v>0</v>
      </c>
      <c r="G1831">
        <f>_xlfn.RANK.AVG(Table1[[#This Row],[Flux in SC / glucose uptake ($mmol/mmol\ glc$)]],Table1[Flux in SC / glucose uptake ($mmol/mmol\ glc$)])</f>
        <v>1310.5</v>
      </c>
      <c r="H1831">
        <f>_xlfn.RANK.AVG(Table1[[#This Row],[Flux in RT / glucose uptake ($mmol/mmol\ glc$)]],Table1[Flux in RT / glucose uptake ($mmol/mmol\ glc$)])</f>
        <v>1290.5</v>
      </c>
      <c r="I1831" t="e">
        <f>LOG(Table1[[#This Row],[Flux in SC / glucose uptake ($mmol/mmol\ glc$)]])</f>
        <v>#NUM!</v>
      </c>
      <c r="J1831" t="e">
        <f>LOG(Table1[[#This Row],[Flux in RT / glucose uptake ($mmol/mmol\ glc$)]])</f>
        <v>#NUM!</v>
      </c>
    </row>
    <row r="1832" spans="1:10" x14ac:dyDescent="0.2">
      <c r="A1832" t="s">
        <v>1835</v>
      </c>
      <c r="B1832" t="s">
        <v>3197</v>
      </c>
      <c r="C1832">
        <v>0</v>
      </c>
      <c r="D1832">
        <v>0</v>
      </c>
      <c r="E1832">
        <f>ABS(Table1[[#This Row],[Flux in SC / glucose uptake ($mmol/mmol\ glc$)]]-Table1[[#This Row],[Flux in RT / glucose uptake ($mmol/mmol\ glc$)]])/SQRT(2)</f>
        <v>0</v>
      </c>
      <c r="F1832">
        <f>Table1[[#This Row],[distance from 45-degree line]]/MAX(Table1[[Flux in SC / glucose uptake ($mmol/mmol\ glc$)]:[Flux in RT / glucose uptake ($mmol/mmol\ glc$)]])</f>
        <v>0</v>
      </c>
      <c r="G1832">
        <f>_xlfn.RANK.AVG(Table1[[#This Row],[Flux in SC / glucose uptake ($mmol/mmol\ glc$)]],Table1[Flux in SC / glucose uptake ($mmol/mmol\ glc$)])</f>
        <v>1310.5</v>
      </c>
      <c r="H1832">
        <f>_xlfn.RANK.AVG(Table1[[#This Row],[Flux in RT / glucose uptake ($mmol/mmol\ glc$)]],Table1[Flux in RT / glucose uptake ($mmol/mmol\ glc$)])</f>
        <v>1290.5</v>
      </c>
      <c r="I1832" t="e">
        <f>LOG(Table1[[#This Row],[Flux in SC / glucose uptake ($mmol/mmol\ glc$)]])</f>
        <v>#NUM!</v>
      </c>
      <c r="J1832" t="e">
        <f>LOG(Table1[[#This Row],[Flux in RT / glucose uptake ($mmol/mmol\ glc$)]])</f>
        <v>#NUM!</v>
      </c>
    </row>
    <row r="1833" spans="1:10" x14ac:dyDescent="0.2">
      <c r="A1833" t="s">
        <v>1836</v>
      </c>
      <c r="B1833" t="s">
        <v>3114</v>
      </c>
      <c r="C1833">
        <v>0</v>
      </c>
      <c r="D1833">
        <v>0</v>
      </c>
      <c r="E1833">
        <f>ABS(Table1[[#This Row],[Flux in SC / glucose uptake ($mmol/mmol\ glc$)]]-Table1[[#This Row],[Flux in RT / glucose uptake ($mmol/mmol\ glc$)]])/SQRT(2)</f>
        <v>0</v>
      </c>
      <c r="F1833">
        <f>Table1[[#This Row],[distance from 45-degree line]]/MAX(Table1[[Flux in SC / glucose uptake ($mmol/mmol\ glc$)]:[Flux in RT / glucose uptake ($mmol/mmol\ glc$)]])</f>
        <v>0</v>
      </c>
      <c r="G1833">
        <f>_xlfn.RANK.AVG(Table1[[#This Row],[Flux in SC / glucose uptake ($mmol/mmol\ glc$)]],Table1[Flux in SC / glucose uptake ($mmol/mmol\ glc$)])</f>
        <v>1310.5</v>
      </c>
      <c r="H1833">
        <f>_xlfn.RANK.AVG(Table1[[#This Row],[Flux in RT / glucose uptake ($mmol/mmol\ glc$)]],Table1[Flux in RT / glucose uptake ($mmol/mmol\ glc$)])</f>
        <v>1290.5</v>
      </c>
      <c r="I1833" t="e">
        <f>LOG(Table1[[#This Row],[Flux in SC / glucose uptake ($mmol/mmol\ glc$)]])</f>
        <v>#NUM!</v>
      </c>
      <c r="J1833" t="e">
        <f>LOG(Table1[[#This Row],[Flux in RT / glucose uptake ($mmol/mmol\ glc$)]])</f>
        <v>#NUM!</v>
      </c>
    </row>
    <row r="1834" spans="1:10" x14ac:dyDescent="0.2">
      <c r="A1834" t="s">
        <v>1837</v>
      </c>
      <c r="B1834" t="s">
        <v>3114</v>
      </c>
      <c r="C1834">
        <v>0</v>
      </c>
      <c r="D1834">
        <v>0</v>
      </c>
      <c r="E1834">
        <f>ABS(Table1[[#This Row],[Flux in SC / glucose uptake ($mmol/mmol\ glc$)]]-Table1[[#This Row],[Flux in RT / glucose uptake ($mmol/mmol\ glc$)]])/SQRT(2)</f>
        <v>0</v>
      </c>
      <c r="F1834">
        <f>Table1[[#This Row],[distance from 45-degree line]]/MAX(Table1[[Flux in SC / glucose uptake ($mmol/mmol\ glc$)]:[Flux in RT / glucose uptake ($mmol/mmol\ glc$)]])</f>
        <v>0</v>
      </c>
      <c r="G1834">
        <f>_xlfn.RANK.AVG(Table1[[#This Row],[Flux in SC / glucose uptake ($mmol/mmol\ glc$)]],Table1[Flux in SC / glucose uptake ($mmol/mmol\ glc$)])</f>
        <v>1310.5</v>
      </c>
      <c r="H1834">
        <f>_xlfn.RANK.AVG(Table1[[#This Row],[Flux in RT / glucose uptake ($mmol/mmol\ glc$)]],Table1[Flux in RT / glucose uptake ($mmol/mmol\ glc$)])</f>
        <v>1290.5</v>
      </c>
      <c r="I1834" t="e">
        <f>LOG(Table1[[#This Row],[Flux in SC / glucose uptake ($mmol/mmol\ glc$)]])</f>
        <v>#NUM!</v>
      </c>
      <c r="J1834" t="e">
        <f>LOG(Table1[[#This Row],[Flux in RT / glucose uptake ($mmol/mmol\ glc$)]])</f>
        <v>#NUM!</v>
      </c>
    </row>
    <row r="1835" spans="1:10" x14ac:dyDescent="0.2">
      <c r="A1835" t="s">
        <v>1838</v>
      </c>
      <c r="B1835" t="s">
        <v>3117</v>
      </c>
      <c r="C1835">
        <v>0</v>
      </c>
      <c r="D1835">
        <v>0</v>
      </c>
      <c r="E1835">
        <f>ABS(Table1[[#This Row],[Flux in SC / glucose uptake ($mmol/mmol\ glc$)]]-Table1[[#This Row],[Flux in RT / glucose uptake ($mmol/mmol\ glc$)]])/SQRT(2)</f>
        <v>0</v>
      </c>
      <c r="F1835">
        <f>Table1[[#This Row],[distance from 45-degree line]]/MAX(Table1[[Flux in SC / glucose uptake ($mmol/mmol\ glc$)]:[Flux in RT / glucose uptake ($mmol/mmol\ glc$)]])</f>
        <v>0</v>
      </c>
      <c r="G1835">
        <f>_xlfn.RANK.AVG(Table1[[#This Row],[Flux in SC / glucose uptake ($mmol/mmol\ glc$)]],Table1[Flux in SC / glucose uptake ($mmol/mmol\ glc$)])</f>
        <v>1310.5</v>
      </c>
      <c r="H1835">
        <f>_xlfn.RANK.AVG(Table1[[#This Row],[Flux in RT / glucose uptake ($mmol/mmol\ glc$)]],Table1[Flux in RT / glucose uptake ($mmol/mmol\ glc$)])</f>
        <v>1290.5</v>
      </c>
      <c r="I1835" t="e">
        <f>LOG(Table1[[#This Row],[Flux in SC / glucose uptake ($mmol/mmol\ glc$)]])</f>
        <v>#NUM!</v>
      </c>
      <c r="J1835" t="e">
        <f>LOG(Table1[[#This Row],[Flux in RT / glucose uptake ($mmol/mmol\ glc$)]])</f>
        <v>#NUM!</v>
      </c>
    </row>
    <row r="1836" spans="1:10" x14ac:dyDescent="0.2">
      <c r="A1836" t="s">
        <v>1839</v>
      </c>
      <c r="B1836" t="s">
        <v>3114</v>
      </c>
      <c r="C1836">
        <v>0</v>
      </c>
      <c r="D1836">
        <v>0</v>
      </c>
      <c r="E1836">
        <f>ABS(Table1[[#This Row],[Flux in SC / glucose uptake ($mmol/mmol\ glc$)]]-Table1[[#This Row],[Flux in RT / glucose uptake ($mmol/mmol\ glc$)]])/SQRT(2)</f>
        <v>0</v>
      </c>
      <c r="F1836">
        <f>Table1[[#This Row],[distance from 45-degree line]]/MAX(Table1[[Flux in SC / glucose uptake ($mmol/mmol\ glc$)]:[Flux in RT / glucose uptake ($mmol/mmol\ glc$)]])</f>
        <v>0</v>
      </c>
      <c r="G1836">
        <f>_xlfn.RANK.AVG(Table1[[#This Row],[Flux in SC / glucose uptake ($mmol/mmol\ glc$)]],Table1[Flux in SC / glucose uptake ($mmol/mmol\ glc$)])</f>
        <v>1310.5</v>
      </c>
      <c r="H1836">
        <f>_xlfn.RANK.AVG(Table1[[#This Row],[Flux in RT / glucose uptake ($mmol/mmol\ glc$)]],Table1[Flux in RT / glucose uptake ($mmol/mmol\ glc$)])</f>
        <v>1290.5</v>
      </c>
      <c r="I1836" t="e">
        <f>LOG(Table1[[#This Row],[Flux in SC / glucose uptake ($mmol/mmol\ glc$)]])</f>
        <v>#NUM!</v>
      </c>
      <c r="J1836" t="e">
        <f>LOG(Table1[[#This Row],[Flux in RT / glucose uptake ($mmol/mmol\ glc$)]])</f>
        <v>#NUM!</v>
      </c>
    </row>
    <row r="1837" spans="1:10" x14ac:dyDescent="0.2">
      <c r="A1837" t="s">
        <v>1840</v>
      </c>
      <c r="B1837" t="s">
        <v>3114</v>
      </c>
      <c r="C1837">
        <v>0</v>
      </c>
      <c r="D1837">
        <v>0</v>
      </c>
      <c r="E1837">
        <f>ABS(Table1[[#This Row],[Flux in SC / glucose uptake ($mmol/mmol\ glc$)]]-Table1[[#This Row],[Flux in RT / glucose uptake ($mmol/mmol\ glc$)]])/SQRT(2)</f>
        <v>0</v>
      </c>
      <c r="F1837">
        <f>Table1[[#This Row],[distance from 45-degree line]]/MAX(Table1[[Flux in SC / glucose uptake ($mmol/mmol\ glc$)]:[Flux in RT / glucose uptake ($mmol/mmol\ glc$)]])</f>
        <v>0</v>
      </c>
      <c r="G1837">
        <f>_xlfn.RANK.AVG(Table1[[#This Row],[Flux in SC / glucose uptake ($mmol/mmol\ glc$)]],Table1[Flux in SC / glucose uptake ($mmol/mmol\ glc$)])</f>
        <v>1310.5</v>
      </c>
      <c r="H1837">
        <f>_xlfn.RANK.AVG(Table1[[#This Row],[Flux in RT / glucose uptake ($mmol/mmol\ glc$)]],Table1[Flux in RT / glucose uptake ($mmol/mmol\ glc$)])</f>
        <v>1290.5</v>
      </c>
      <c r="I1837" t="e">
        <f>LOG(Table1[[#This Row],[Flux in SC / glucose uptake ($mmol/mmol\ glc$)]])</f>
        <v>#NUM!</v>
      </c>
      <c r="J1837" t="e">
        <f>LOG(Table1[[#This Row],[Flux in RT / glucose uptake ($mmol/mmol\ glc$)]])</f>
        <v>#NUM!</v>
      </c>
    </row>
    <row r="1838" spans="1:10" x14ac:dyDescent="0.2">
      <c r="A1838" t="s">
        <v>1841</v>
      </c>
      <c r="B1838" t="s">
        <v>3114</v>
      </c>
      <c r="C1838">
        <v>0</v>
      </c>
      <c r="D1838">
        <v>0</v>
      </c>
      <c r="E1838">
        <f>ABS(Table1[[#This Row],[Flux in SC / glucose uptake ($mmol/mmol\ glc$)]]-Table1[[#This Row],[Flux in RT / glucose uptake ($mmol/mmol\ glc$)]])/SQRT(2)</f>
        <v>0</v>
      </c>
      <c r="F1838">
        <f>Table1[[#This Row],[distance from 45-degree line]]/MAX(Table1[[Flux in SC / glucose uptake ($mmol/mmol\ glc$)]:[Flux in RT / glucose uptake ($mmol/mmol\ glc$)]])</f>
        <v>0</v>
      </c>
      <c r="G1838">
        <f>_xlfn.RANK.AVG(Table1[[#This Row],[Flux in SC / glucose uptake ($mmol/mmol\ glc$)]],Table1[Flux in SC / glucose uptake ($mmol/mmol\ glc$)])</f>
        <v>1310.5</v>
      </c>
      <c r="H1838">
        <f>_xlfn.RANK.AVG(Table1[[#This Row],[Flux in RT / glucose uptake ($mmol/mmol\ glc$)]],Table1[Flux in RT / glucose uptake ($mmol/mmol\ glc$)])</f>
        <v>1290.5</v>
      </c>
      <c r="I1838" t="e">
        <f>LOG(Table1[[#This Row],[Flux in SC / glucose uptake ($mmol/mmol\ glc$)]])</f>
        <v>#NUM!</v>
      </c>
      <c r="J1838" t="e">
        <f>LOG(Table1[[#This Row],[Flux in RT / glucose uptake ($mmol/mmol\ glc$)]])</f>
        <v>#NUM!</v>
      </c>
    </row>
    <row r="1839" spans="1:10" x14ac:dyDescent="0.2">
      <c r="A1839" t="s">
        <v>1842</v>
      </c>
      <c r="B1839" t="s">
        <v>3114</v>
      </c>
      <c r="C1839">
        <v>0</v>
      </c>
      <c r="D1839">
        <v>0</v>
      </c>
      <c r="E1839">
        <f>ABS(Table1[[#This Row],[Flux in SC / glucose uptake ($mmol/mmol\ glc$)]]-Table1[[#This Row],[Flux in RT / glucose uptake ($mmol/mmol\ glc$)]])/SQRT(2)</f>
        <v>0</v>
      </c>
      <c r="F1839">
        <f>Table1[[#This Row],[distance from 45-degree line]]/MAX(Table1[[Flux in SC / glucose uptake ($mmol/mmol\ glc$)]:[Flux in RT / glucose uptake ($mmol/mmol\ glc$)]])</f>
        <v>0</v>
      </c>
      <c r="G1839">
        <f>_xlfn.RANK.AVG(Table1[[#This Row],[Flux in SC / glucose uptake ($mmol/mmol\ glc$)]],Table1[Flux in SC / glucose uptake ($mmol/mmol\ glc$)])</f>
        <v>1310.5</v>
      </c>
      <c r="H1839">
        <f>_xlfn.RANK.AVG(Table1[[#This Row],[Flux in RT / glucose uptake ($mmol/mmol\ glc$)]],Table1[Flux in RT / glucose uptake ($mmol/mmol\ glc$)])</f>
        <v>1290.5</v>
      </c>
      <c r="I1839" t="e">
        <f>LOG(Table1[[#This Row],[Flux in SC / glucose uptake ($mmol/mmol\ glc$)]])</f>
        <v>#NUM!</v>
      </c>
      <c r="J1839" t="e">
        <f>LOG(Table1[[#This Row],[Flux in RT / glucose uptake ($mmol/mmol\ glc$)]])</f>
        <v>#NUM!</v>
      </c>
    </row>
    <row r="1840" spans="1:10" x14ac:dyDescent="0.2">
      <c r="A1840" t="s">
        <v>1843</v>
      </c>
      <c r="B1840" t="s">
        <v>3114</v>
      </c>
      <c r="C1840">
        <v>0</v>
      </c>
      <c r="D1840">
        <v>0</v>
      </c>
      <c r="E1840">
        <f>ABS(Table1[[#This Row],[Flux in SC / glucose uptake ($mmol/mmol\ glc$)]]-Table1[[#This Row],[Flux in RT / glucose uptake ($mmol/mmol\ glc$)]])/SQRT(2)</f>
        <v>0</v>
      </c>
      <c r="F1840">
        <f>Table1[[#This Row],[distance from 45-degree line]]/MAX(Table1[[Flux in SC / glucose uptake ($mmol/mmol\ glc$)]:[Flux in RT / glucose uptake ($mmol/mmol\ glc$)]])</f>
        <v>0</v>
      </c>
      <c r="G1840">
        <f>_xlfn.RANK.AVG(Table1[[#This Row],[Flux in SC / glucose uptake ($mmol/mmol\ glc$)]],Table1[Flux in SC / glucose uptake ($mmol/mmol\ glc$)])</f>
        <v>1310.5</v>
      </c>
      <c r="H1840">
        <f>_xlfn.RANK.AVG(Table1[[#This Row],[Flux in RT / glucose uptake ($mmol/mmol\ glc$)]],Table1[Flux in RT / glucose uptake ($mmol/mmol\ glc$)])</f>
        <v>1290.5</v>
      </c>
      <c r="I1840" t="e">
        <f>LOG(Table1[[#This Row],[Flux in SC / glucose uptake ($mmol/mmol\ glc$)]])</f>
        <v>#NUM!</v>
      </c>
      <c r="J1840" t="e">
        <f>LOG(Table1[[#This Row],[Flux in RT / glucose uptake ($mmol/mmol\ glc$)]])</f>
        <v>#NUM!</v>
      </c>
    </row>
    <row r="1841" spans="1:10" x14ac:dyDescent="0.2">
      <c r="A1841" t="s">
        <v>1844</v>
      </c>
      <c r="B1841" t="s">
        <v>3114</v>
      </c>
      <c r="C1841">
        <v>0</v>
      </c>
      <c r="D1841">
        <v>0</v>
      </c>
      <c r="E1841">
        <f>ABS(Table1[[#This Row],[Flux in SC / glucose uptake ($mmol/mmol\ glc$)]]-Table1[[#This Row],[Flux in RT / glucose uptake ($mmol/mmol\ glc$)]])/SQRT(2)</f>
        <v>0</v>
      </c>
      <c r="F1841">
        <f>Table1[[#This Row],[distance from 45-degree line]]/MAX(Table1[[Flux in SC / glucose uptake ($mmol/mmol\ glc$)]:[Flux in RT / glucose uptake ($mmol/mmol\ glc$)]])</f>
        <v>0</v>
      </c>
      <c r="G1841">
        <f>_xlfn.RANK.AVG(Table1[[#This Row],[Flux in SC / glucose uptake ($mmol/mmol\ glc$)]],Table1[Flux in SC / glucose uptake ($mmol/mmol\ glc$)])</f>
        <v>1310.5</v>
      </c>
      <c r="H1841">
        <f>_xlfn.RANK.AVG(Table1[[#This Row],[Flux in RT / glucose uptake ($mmol/mmol\ glc$)]],Table1[Flux in RT / glucose uptake ($mmol/mmol\ glc$)])</f>
        <v>1290.5</v>
      </c>
      <c r="I1841" t="e">
        <f>LOG(Table1[[#This Row],[Flux in SC / glucose uptake ($mmol/mmol\ glc$)]])</f>
        <v>#NUM!</v>
      </c>
      <c r="J1841" t="e">
        <f>LOG(Table1[[#This Row],[Flux in RT / glucose uptake ($mmol/mmol\ glc$)]])</f>
        <v>#NUM!</v>
      </c>
    </row>
    <row r="1842" spans="1:10" x14ac:dyDescent="0.2">
      <c r="A1842" t="s">
        <v>1845</v>
      </c>
      <c r="B1842" t="s">
        <v>3177</v>
      </c>
      <c r="C1842">
        <v>0</v>
      </c>
      <c r="D1842">
        <v>0</v>
      </c>
      <c r="E1842">
        <f>ABS(Table1[[#This Row],[Flux in SC / glucose uptake ($mmol/mmol\ glc$)]]-Table1[[#This Row],[Flux in RT / glucose uptake ($mmol/mmol\ glc$)]])/SQRT(2)</f>
        <v>0</v>
      </c>
      <c r="F1842">
        <f>Table1[[#This Row],[distance from 45-degree line]]/MAX(Table1[[Flux in SC / glucose uptake ($mmol/mmol\ glc$)]:[Flux in RT / glucose uptake ($mmol/mmol\ glc$)]])</f>
        <v>0</v>
      </c>
      <c r="G1842">
        <f>_xlfn.RANK.AVG(Table1[[#This Row],[Flux in SC / glucose uptake ($mmol/mmol\ glc$)]],Table1[Flux in SC / glucose uptake ($mmol/mmol\ glc$)])</f>
        <v>1310.5</v>
      </c>
      <c r="H1842">
        <f>_xlfn.RANK.AVG(Table1[[#This Row],[Flux in RT / glucose uptake ($mmol/mmol\ glc$)]],Table1[Flux in RT / glucose uptake ($mmol/mmol\ glc$)])</f>
        <v>1290.5</v>
      </c>
      <c r="I1842" t="e">
        <f>LOG(Table1[[#This Row],[Flux in SC / glucose uptake ($mmol/mmol\ glc$)]])</f>
        <v>#NUM!</v>
      </c>
      <c r="J1842" t="e">
        <f>LOG(Table1[[#This Row],[Flux in RT / glucose uptake ($mmol/mmol\ glc$)]])</f>
        <v>#NUM!</v>
      </c>
    </row>
    <row r="1843" spans="1:10" x14ac:dyDescent="0.2">
      <c r="A1843" t="s">
        <v>1846</v>
      </c>
      <c r="B1843" t="s">
        <v>3177</v>
      </c>
      <c r="C1843">
        <v>0</v>
      </c>
      <c r="D1843">
        <v>0</v>
      </c>
      <c r="E1843">
        <f>ABS(Table1[[#This Row],[Flux in SC / glucose uptake ($mmol/mmol\ glc$)]]-Table1[[#This Row],[Flux in RT / glucose uptake ($mmol/mmol\ glc$)]])/SQRT(2)</f>
        <v>0</v>
      </c>
      <c r="F1843">
        <f>Table1[[#This Row],[distance from 45-degree line]]/MAX(Table1[[Flux in SC / glucose uptake ($mmol/mmol\ glc$)]:[Flux in RT / glucose uptake ($mmol/mmol\ glc$)]])</f>
        <v>0</v>
      </c>
      <c r="G1843">
        <f>_xlfn.RANK.AVG(Table1[[#This Row],[Flux in SC / glucose uptake ($mmol/mmol\ glc$)]],Table1[Flux in SC / glucose uptake ($mmol/mmol\ glc$)])</f>
        <v>1310.5</v>
      </c>
      <c r="H1843">
        <f>_xlfn.RANK.AVG(Table1[[#This Row],[Flux in RT / glucose uptake ($mmol/mmol\ glc$)]],Table1[Flux in RT / glucose uptake ($mmol/mmol\ glc$)])</f>
        <v>1290.5</v>
      </c>
      <c r="I1843" t="e">
        <f>LOG(Table1[[#This Row],[Flux in SC / glucose uptake ($mmol/mmol\ glc$)]])</f>
        <v>#NUM!</v>
      </c>
      <c r="J1843" t="e">
        <f>LOG(Table1[[#This Row],[Flux in RT / glucose uptake ($mmol/mmol\ glc$)]])</f>
        <v>#NUM!</v>
      </c>
    </row>
    <row r="1844" spans="1:10" x14ac:dyDescent="0.2">
      <c r="A1844" t="s">
        <v>1847</v>
      </c>
      <c r="B1844" t="s">
        <v>3166</v>
      </c>
      <c r="C1844">
        <v>8.5190352675541922E-4</v>
      </c>
      <c r="D1844">
        <v>3.8556390008188785E-3</v>
      </c>
      <c r="E1844">
        <f>ABS(Table1[[#This Row],[Flux in SC / glucose uptake ($mmol/mmol\ glc$)]]-Table1[[#This Row],[Flux in RT / glucose uptake ($mmol/mmol\ glc$)]])/SQRT(2)</f>
        <v>2.1239617226008608E-3</v>
      </c>
      <c r="F1844">
        <f>Table1[[#This Row],[distance from 45-degree line]]/MAX(Table1[[Flux in SC / glucose uptake ($mmol/mmol\ glc$)]:[Flux in RT / glucose uptake ($mmol/mmol\ glc$)]])</f>
        <v>1.1447911326780861E-4</v>
      </c>
      <c r="G1844">
        <f>_xlfn.RANK.AVG(Table1[[#This Row],[Flux in SC / glucose uptake ($mmol/mmol\ glc$)]],Table1[Flux in SC / glucose uptake ($mmol/mmol\ glc$)])</f>
        <v>223</v>
      </c>
      <c r="H1844">
        <f>_xlfn.RANK.AVG(Table1[[#This Row],[Flux in RT / glucose uptake ($mmol/mmol\ glc$)]],Table1[Flux in RT / glucose uptake ($mmol/mmol\ glc$)])</f>
        <v>245</v>
      </c>
      <c r="I1844">
        <f>LOG(Table1[[#This Row],[Flux in SC / glucose uptake ($mmol/mmol\ glc$)]])</f>
        <v>-3.0696095838366184</v>
      </c>
      <c r="J1844">
        <f>LOG(Table1[[#This Row],[Flux in RT / glucose uptake ($mmol/mmol\ glc$)]])</f>
        <v>-2.413903635373893</v>
      </c>
    </row>
    <row r="1845" spans="1:10" x14ac:dyDescent="0.2">
      <c r="A1845" t="s">
        <v>1848</v>
      </c>
      <c r="B1845" t="s">
        <v>3114</v>
      </c>
      <c r="C1845">
        <v>0</v>
      </c>
      <c r="D1845">
        <v>0</v>
      </c>
      <c r="E1845">
        <f>ABS(Table1[[#This Row],[Flux in SC / glucose uptake ($mmol/mmol\ glc$)]]-Table1[[#This Row],[Flux in RT / glucose uptake ($mmol/mmol\ glc$)]])/SQRT(2)</f>
        <v>0</v>
      </c>
      <c r="F1845">
        <f>Table1[[#This Row],[distance from 45-degree line]]/MAX(Table1[[Flux in SC / glucose uptake ($mmol/mmol\ glc$)]:[Flux in RT / glucose uptake ($mmol/mmol\ glc$)]])</f>
        <v>0</v>
      </c>
      <c r="G1845">
        <f>_xlfn.RANK.AVG(Table1[[#This Row],[Flux in SC / glucose uptake ($mmol/mmol\ glc$)]],Table1[Flux in SC / glucose uptake ($mmol/mmol\ glc$)])</f>
        <v>1310.5</v>
      </c>
      <c r="H1845">
        <f>_xlfn.RANK.AVG(Table1[[#This Row],[Flux in RT / glucose uptake ($mmol/mmol\ glc$)]],Table1[Flux in RT / glucose uptake ($mmol/mmol\ glc$)])</f>
        <v>1290.5</v>
      </c>
      <c r="I1845" t="e">
        <f>LOG(Table1[[#This Row],[Flux in SC / glucose uptake ($mmol/mmol\ glc$)]])</f>
        <v>#NUM!</v>
      </c>
      <c r="J1845" t="e">
        <f>LOG(Table1[[#This Row],[Flux in RT / glucose uptake ($mmol/mmol\ glc$)]])</f>
        <v>#NUM!</v>
      </c>
    </row>
    <row r="1846" spans="1:10" x14ac:dyDescent="0.2">
      <c r="A1846" t="s">
        <v>1849</v>
      </c>
      <c r="B1846" t="s">
        <v>3114</v>
      </c>
      <c r="C1846">
        <v>0</v>
      </c>
      <c r="D1846">
        <v>0</v>
      </c>
      <c r="E1846">
        <f>ABS(Table1[[#This Row],[Flux in SC / glucose uptake ($mmol/mmol\ glc$)]]-Table1[[#This Row],[Flux in RT / glucose uptake ($mmol/mmol\ glc$)]])/SQRT(2)</f>
        <v>0</v>
      </c>
      <c r="F1846">
        <f>Table1[[#This Row],[distance from 45-degree line]]/MAX(Table1[[Flux in SC / glucose uptake ($mmol/mmol\ glc$)]:[Flux in RT / glucose uptake ($mmol/mmol\ glc$)]])</f>
        <v>0</v>
      </c>
      <c r="G1846">
        <f>_xlfn.RANK.AVG(Table1[[#This Row],[Flux in SC / glucose uptake ($mmol/mmol\ glc$)]],Table1[Flux in SC / glucose uptake ($mmol/mmol\ glc$)])</f>
        <v>1310.5</v>
      </c>
      <c r="H1846">
        <f>_xlfn.RANK.AVG(Table1[[#This Row],[Flux in RT / glucose uptake ($mmol/mmol\ glc$)]],Table1[Flux in RT / glucose uptake ($mmol/mmol\ glc$)])</f>
        <v>1290.5</v>
      </c>
      <c r="I1846" t="e">
        <f>LOG(Table1[[#This Row],[Flux in SC / glucose uptake ($mmol/mmol\ glc$)]])</f>
        <v>#NUM!</v>
      </c>
      <c r="J1846" t="e">
        <f>LOG(Table1[[#This Row],[Flux in RT / glucose uptake ($mmol/mmol\ glc$)]])</f>
        <v>#NUM!</v>
      </c>
    </row>
    <row r="1847" spans="1:10" x14ac:dyDescent="0.2">
      <c r="A1847" t="s">
        <v>1850</v>
      </c>
      <c r="B1847" t="s">
        <v>3114</v>
      </c>
      <c r="C1847">
        <v>0</v>
      </c>
      <c r="D1847">
        <v>0</v>
      </c>
      <c r="E1847">
        <f>ABS(Table1[[#This Row],[Flux in SC / glucose uptake ($mmol/mmol\ glc$)]]-Table1[[#This Row],[Flux in RT / glucose uptake ($mmol/mmol\ glc$)]])/SQRT(2)</f>
        <v>0</v>
      </c>
      <c r="F1847">
        <f>Table1[[#This Row],[distance from 45-degree line]]/MAX(Table1[[Flux in SC / glucose uptake ($mmol/mmol\ glc$)]:[Flux in RT / glucose uptake ($mmol/mmol\ glc$)]])</f>
        <v>0</v>
      </c>
      <c r="G1847">
        <f>_xlfn.RANK.AVG(Table1[[#This Row],[Flux in SC / glucose uptake ($mmol/mmol\ glc$)]],Table1[Flux in SC / glucose uptake ($mmol/mmol\ glc$)])</f>
        <v>1310.5</v>
      </c>
      <c r="H1847">
        <f>_xlfn.RANK.AVG(Table1[[#This Row],[Flux in RT / glucose uptake ($mmol/mmol\ glc$)]],Table1[Flux in RT / glucose uptake ($mmol/mmol\ glc$)])</f>
        <v>1290.5</v>
      </c>
      <c r="I1847" t="e">
        <f>LOG(Table1[[#This Row],[Flux in SC / glucose uptake ($mmol/mmol\ glc$)]])</f>
        <v>#NUM!</v>
      </c>
      <c r="J1847" t="e">
        <f>LOG(Table1[[#This Row],[Flux in RT / glucose uptake ($mmol/mmol\ glc$)]])</f>
        <v>#NUM!</v>
      </c>
    </row>
    <row r="1848" spans="1:10" x14ac:dyDescent="0.2">
      <c r="A1848" t="s">
        <v>1851</v>
      </c>
      <c r="B1848" t="s">
        <v>3114</v>
      </c>
      <c r="C1848">
        <v>0</v>
      </c>
      <c r="D1848">
        <v>0</v>
      </c>
      <c r="E1848">
        <f>ABS(Table1[[#This Row],[Flux in SC / glucose uptake ($mmol/mmol\ glc$)]]-Table1[[#This Row],[Flux in RT / glucose uptake ($mmol/mmol\ glc$)]])/SQRT(2)</f>
        <v>0</v>
      </c>
      <c r="F1848">
        <f>Table1[[#This Row],[distance from 45-degree line]]/MAX(Table1[[Flux in SC / glucose uptake ($mmol/mmol\ glc$)]:[Flux in RT / glucose uptake ($mmol/mmol\ glc$)]])</f>
        <v>0</v>
      </c>
      <c r="G1848">
        <f>_xlfn.RANK.AVG(Table1[[#This Row],[Flux in SC / glucose uptake ($mmol/mmol\ glc$)]],Table1[Flux in SC / glucose uptake ($mmol/mmol\ glc$)])</f>
        <v>1310.5</v>
      </c>
      <c r="H1848">
        <f>_xlfn.RANK.AVG(Table1[[#This Row],[Flux in RT / glucose uptake ($mmol/mmol\ glc$)]],Table1[Flux in RT / glucose uptake ($mmol/mmol\ glc$)])</f>
        <v>1290.5</v>
      </c>
      <c r="I1848" t="e">
        <f>LOG(Table1[[#This Row],[Flux in SC / glucose uptake ($mmol/mmol\ glc$)]])</f>
        <v>#NUM!</v>
      </c>
      <c r="J1848" t="e">
        <f>LOG(Table1[[#This Row],[Flux in RT / glucose uptake ($mmol/mmol\ glc$)]])</f>
        <v>#NUM!</v>
      </c>
    </row>
    <row r="1849" spans="1:10" x14ac:dyDescent="0.2">
      <c r="A1849" t="s">
        <v>1852</v>
      </c>
      <c r="B1849" t="s">
        <v>3114</v>
      </c>
      <c r="C1849">
        <v>0</v>
      </c>
      <c r="D1849">
        <v>0</v>
      </c>
      <c r="E1849">
        <f>ABS(Table1[[#This Row],[Flux in SC / glucose uptake ($mmol/mmol\ glc$)]]-Table1[[#This Row],[Flux in RT / glucose uptake ($mmol/mmol\ glc$)]])/SQRT(2)</f>
        <v>0</v>
      </c>
      <c r="F1849">
        <f>Table1[[#This Row],[distance from 45-degree line]]/MAX(Table1[[Flux in SC / glucose uptake ($mmol/mmol\ glc$)]:[Flux in RT / glucose uptake ($mmol/mmol\ glc$)]])</f>
        <v>0</v>
      </c>
      <c r="G1849">
        <f>_xlfn.RANK.AVG(Table1[[#This Row],[Flux in SC / glucose uptake ($mmol/mmol\ glc$)]],Table1[Flux in SC / glucose uptake ($mmol/mmol\ glc$)])</f>
        <v>1310.5</v>
      </c>
      <c r="H1849">
        <f>_xlfn.RANK.AVG(Table1[[#This Row],[Flux in RT / glucose uptake ($mmol/mmol\ glc$)]],Table1[Flux in RT / glucose uptake ($mmol/mmol\ glc$)])</f>
        <v>1290.5</v>
      </c>
      <c r="I1849" t="e">
        <f>LOG(Table1[[#This Row],[Flux in SC / glucose uptake ($mmol/mmol\ glc$)]])</f>
        <v>#NUM!</v>
      </c>
      <c r="J1849" t="e">
        <f>LOG(Table1[[#This Row],[Flux in RT / glucose uptake ($mmol/mmol\ glc$)]])</f>
        <v>#NUM!</v>
      </c>
    </row>
    <row r="1850" spans="1:10" x14ac:dyDescent="0.2">
      <c r="A1850" t="s">
        <v>1853</v>
      </c>
      <c r="B1850" t="s">
        <v>3114</v>
      </c>
      <c r="C1850">
        <v>0</v>
      </c>
      <c r="D1850">
        <v>0</v>
      </c>
      <c r="E1850">
        <f>ABS(Table1[[#This Row],[Flux in SC / glucose uptake ($mmol/mmol\ glc$)]]-Table1[[#This Row],[Flux in RT / glucose uptake ($mmol/mmol\ glc$)]])/SQRT(2)</f>
        <v>0</v>
      </c>
      <c r="F1850">
        <f>Table1[[#This Row],[distance from 45-degree line]]/MAX(Table1[[Flux in SC / glucose uptake ($mmol/mmol\ glc$)]:[Flux in RT / glucose uptake ($mmol/mmol\ glc$)]])</f>
        <v>0</v>
      </c>
      <c r="G1850">
        <f>_xlfn.RANK.AVG(Table1[[#This Row],[Flux in SC / glucose uptake ($mmol/mmol\ glc$)]],Table1[Flux in SC / glucose uptake ($mmol/mmol\ glc$)])</f>
        <v>1310.5</v>
      </c>
      <c r="H1850">
        <f>_xlfn.RANK.AVG(Table1[[#This Row],[Flux in RT / glucose uptake ($mmol/mmol\ glc$)]],Table1[Flux in RT / glucose uptake ($mmol/mmol\ glc$)])</f>
        <v>1290.5</v>
      </c>
      <c r="I1850" t="e">
        <f>LOG(Table1[[#This Row],[Flux in SC / glucose uptake ($mmol/mmol\ glc$)]])</f>
        <v>#NUM!</v>
      </c>
      <c r="J1850" t="e">
        <f>LOG(Table1[[#This Row],[Flux in RT / glucose uptake ($mmol/mmol\ glc$)]])</f>
        <v>#NUM!</v>
      </c>
    </row>
    <row r="1851" spans="1:10" x14ac:dyDescent="0.2">
      <c r="A1851" t="s">
        <v>1854</v>
      </c>
      <c r="B1851" t="s">
        <v>3114</v>
      </c>
      <c r="C1851">
        <v>0</v>
      </c>
      <c r="D1851">
        <v>0</v>
      </c>
      <c r="E1851">
        <f>ABS(Table1[[#This Row],[Flux in SC / glucose uptake ($mmol/mmol\ glc$)]]-Table1[[#This Row],[Flux in RT / glucose uptake ($mmol/mmol\ glc$)]])/SQRT(2)</f>
        <v>0</v>
      </c>
      <c r="F1851">
        <f>Table1[[#This Row],[distance from 45-degree line]]/MAX(Table1[[Flux in SC / glucose uptake ($mmol/mmol\ glc$)]:[Flux in RT / glucose uptake ($mmol/mmol\ glc$)]])</f>
        <v>0</v>
      </c>
      <c r="G1851">
        <f>_xlfn.RANK.AVG(Table1[[#This Row],[Flux in SC / glucose uptake ($mmol/mmol\ glc$)]],Table1[Flux in SC / glucose uptake ($mmol/mmol\ glc$)])</f>
        <v>1310.5</v>
      </c>
      <c r="H1851">
        <f>_xlfn.RANK.AVG(Table1[[#This Row],[Flux in RT / glucose uptake ($mmol/mmol\ glc$)]],Table1[Flux in RT / glucose uptake ($mmol/mmol\ glc$)])</f>
        <v>1290.5</v>
      </c>
      <c r="I1851" t="e">
        <f>LOG(Table1[[#This Row],[Flux in SC / glucose uptake ($mmol/mmol\ glc$)]])</f>
        <v>#NUM!</v>
      </c>
      <c r="J1851" t="e">
        <f>LOG(Table1[[#This Row],[Flux in RT / glucose uptake ($mmol/mmol\ glc$)]])</f>
        <v>#NUM!</v>
      </c>
    </row>
    <row r="1852" spans="1:10" x14ac:dyDescent="0.2">
      <c r="A1852" t="s">
        <v>1855</v>
      </c>
      <c r="B1852" t="s">
        <v>3156</v>
      </c>
      <c r="C1852">
        <v>0</v>
      </c>
      <c r="D1852">
        <v>0</v>
      </c>
      <c r="E1852">
        <f>ABS(Table1[[#This Row],[Flux in SC / glucose uptake ($mmol/mmol\ glc$)]]-Table1[[#This Row],[Flux in RT / glucose uptake ($mmol/mmol\ glc$)]])/SQRT(2)</f>
        <v>0</v>
      </c>
      <c r="F1852">
        <f>Table1[[#This Row],[distance from 45-degree line]]/MAX(Table1[[Flux in SC / glucose uptake ($mmol/mmol\ glc$)]:[Flux in RT / glucose uptake ($mmol/mmol\ glc$)]])</f>
        <v>0</v>
      </c>
      <c r="G1852">
        <f>_xlfn.RANK.AVG(Table1[[#This Row],[Flux in SC / glucose uptake ($mmol/mmol\ glc$)]],Table1[Flux in SC / glucose uptake ($mmol/mmol\ glc$)])</f>
        <v>1310.5</v>
      </c>
      <c r="H1852">
        <f>_xlfn.RANK.AVG(Table1[[#This Row],[Flux in RT / glucose uptake ($mmol/mmol\ glc$)]],Table1[Flux in RT / glucose uptake ($mmol/mmol\ glc$)])</f>
        <v>1290.5</v>
      </c>
      <c r="I1852" t="e">
        <f>LOG(Table1[[#This Row],[Flux in SC / glucose uptake ($mmol/mmol\ glc$)]])</f>
        <v>#NUM!</v>
      </c>
      <c r="J1852" t="e">
        <f>LOG(Table1[[#This Row],[Flux in RT / glucose uptake ($mmol/mmol\ glc$)]])</f>
        <v>#NUM!</v>
      </c>
    </row>
    <row r="1853" spans="1:10" x14ac:dyDescent="0.2">
      <c r="A1853" t="s">
        <v>1856</v>
      </c>
      <c r="B1853" t="s">
        <v>3137</v>
      </c>
      <c r="C1853">
        <v>8.1044307083156603E-2</v>
      </c>
      <c r="D1853">
        <v>0.26129735187318393</v>
      </c>
      <c r="E1853">
        <f>ABS(Table1[[#This Row],[Flux in SC / glucose uptake ($mmol/mmol\ glc$)]]-Table1[[#This Row],[Flux in RT / glucose uptake ($mmol/mmol\ glc$)]])/SQRT(2)</f>
        <v>0.1274581503005508</v>
      </c>
      <c r="F1853">
        <f>Table1[[#This Row],[distance from 45-degree line]]/MAX(Table1[[Flux in SC / glucose uptake ($mmol/mmol\ glc$)]:[Flux in RT / glucose uptake ($mmol/mmol\ glc$)]])</f>
        <v>6.8698488630457091E-3</v>
      </c>
      <c r="G1853">
        <f>_xlfn.RANK.AVG(Table1[[#This Row],[Flux in SC / glucose uptake ($mmol/mmol\ glc$)]],Table1[Flux in SC / glucose uptake ($mmol/mmol\ glc$)])</f>
        <v>37</v>
      </c>
      <c r="H1853">
        <f>_xlfn.RANK.AVG(Table1[[#This Row],[Flux in RT / glucose uptake ($mmol/mmol\ glc$)]],Table1[Flux in RT / glucose uptake ($mmol/mmol\ glc$)])</f>
        <v>60</v>
      </c>
      <c r="I1853">
        <f>LOG(Table1[[#This Row],[Flux in SC / glucose uptake ($mmol/mmol\ glc$)]])</f>
        <v>-1.0912774865428607</v>
      </c>
      <c r="J1853">
        <f>LOG(Table1[[#This Row],[Flux in RT / glucose uptake ($mmol/mmol\ glc$)]])</f>
        <v>-0.58286499162243044</v>
      </c>
    </row>
    <row r="1854" spans="1:10" x14ac:dyDescent="0.2">
      <c r="A1854" t="s">
        <v>1857</v>
      </c>
      <c r="B1854" t="s">
        <v>3124</v>
      </c>
      <c r="C1854">
        <v>0</v>
      </c>
      <c r="D1854">
        <v>0</v>
      </c>
      <c r="E1854">
        <f>ABS(Table1[[#This Row],[Flux in SC / glucose uptake ($mmol/mmol\ glc$)]]-Table1[[#This Row],[Flux in RT / glucose uptake ($mmol/mmol\ glc$)]])/SQRT(2)</f>
        <v>0</v>
      </c>
      <c r="F1854">
        <f>Table1[[#This Row],[distance from 45-degree line]]/MAX(Table1[[Flux in SC / glucose uptake ($mmol/mmol\ glc$)]:[Flux in RT / glucose uptake ($mmol/mmol\ glc$)]])</f>
        <v>0</v>
      </c>
      <c r="G1854">
        <f>_xlfn.RANK.AVG(Table1[[#This Row],[Flux in SC / glucose uptake ($mmol/mmol\ glc$)]],Table1[Flux in SC / glucose uptake ($mmol/mmol\ glc$)])</f>
        <v>1310.5</v>
      </c>
      <c r="H1854">
        <f>_xlfn.RANK.AVG(Table1[[#This Row],[Flux in RT / glucose uptake ($mmol/mmol\ glc$)]],Table1[Flux in RT / glucose uptake ($mmol/mmol\ glc$)])</f>
        <v>1290.5</v>
      </c>
      <c r="I1854" t="e">
        <f>LOG(Table1[[#This Row],[Flux in SC / glucose uptake ($mmol/mmol\ glc$)]])</f>
        <v>#NUM!</v>
      </c>
      <c r="J1854" t="e">
        <f>LOG(Table1[[#This Row],[Flux in RT / glucose uptake ($mmol/mmol\ glc$)]])</f>
        <v>#NUM!</v>
      </c>
    </row>
    <row r="1855" spans="1:10" x14ac:dyDescent="0.2">
      <c r="A1855" t="s">
        <v>1858</v>
      </c>
      <c r="B1855" t="s">
        <v>3123</v>
      </c>
      <c r="C1855">
        <v>0</v>
      </c>
      <c r="D1855">
        <v>0</v>
      </c>
      <c r="E1855">
        <f>ABS(Table1[[#This Row],[Flux in SC / glucose uptake ($mmol/mmol\ glc$)]]-Table1[[#This Row],[Flux in RT / glucose uptake ($mmol/mmol\ glc$)]])/SQRT(2)</f>
        <v>0</v>
      </c>
      <c r="F1855">
        <f>Table1[[#This Row],[distance from 45-degree line]]/MAX(Table1[[Flux in SC / glucose uptake ($mmol/mmol\ glc$)]:[Flux in RT / glucose uptake ($mmol/mmol\ glc$)]])</f>
        <v>0</v>
      </c>
      <c r="G1855">
        <f>_xlfn.RANK.AVG(Table1[[#This Row],[Flux in SC / glucose uptake ($mmol/mmol\ glc$)]],Table1[Flux in SC / glucose uptake ($mmol/mmol\ glc$)])</f>
        <v>1310.5</v>
      </c>
      <c r="H1855">
        <f>_xlfn.RANK.AVG(Table1[[#This Row],[Flux in RT / glucose uptake ($mmol/mmol\ glc$)]],Table1[Flux in RT / glucose uptake ($mmol/mmol\ glc$)])</f>
        <v>1290.5</v>
      </c>
      <c r="I1855" t="e">
        <f>LOG(Table1[[#This Row],[Flux in SC / glucose uptake ($mmol/mmol\ glc$)]])</f>
        <v>#NUM!</v>
      </c>
      <c r="J1855" t="e">
        <f>LOG(Table1[[#This Row],[Flux in RT / glucose uptake ($mmol/mmol\ glc$)]])</f>
        <v>#NUM!</v>
      </c>
    </row>
    <row r="1856" spans="1:10" x14ac:dyDescent="0.2">
      <c r="A1856" t="s">
        <v>1859</v>
      </c>
      <c r="B1856" t="s">
        <v>3123</v>
      </c>
      <c r="C1856">
        <v>0</v>
      </c>
      <c r="D1856">
        <v>0</v>
      </c>
      <c r="E1856">
        <f>ABS(Table1[[#This Row],[Flux in SC / glucose uptake ($mmol/mmol\ glc$)]]-Table1[[#This Row],[Flux in RT / glucose uptake ($mmol/mmol\ glc$)]])/SQRT(2)</f>
        <v>0</v>
      </c>
      <c r="F1856">
        <f>Table1[[#This Row],[distance from 45-degree line]]/MAX(Table1[[Flux in SC / glucose uptake ($mmol/mmol\ glc$)]:[Flux in RT / glucose uptake ($mmol/mmol\ glc$)]])</f>
        <v>0</v>
      </c>
      <c r="G1856">
        <f>_xlfn.RANK.AVG(Table1[[#This Row],[Flux in SC / glucose uptake ($mmol/mmol\ glc$)]],Table1[Flux in SC / glucose uptake ($mmol/mmol\ glc$)])</f>
        <v>1310.5</v>
      </c>
      <c r="H1856">
        <f>_xlfn.RANK.AVG(Table1[[#This Row],[Flux in RT / glucose uptake ($mmol/mmol\ glc$)]],Table1[Flux in RT / glucose uptake ($mmol/mmol\ glc$)])</f>
        <v>1290.5</v>
      </c>
      <c r="I1856" t="e">
        <f>LOG(Table1[[#This Row],[Flux in SC / glucose uptake ($mmol/mmol\ glc$)]])</f>
        <v>#NUM!</v>
      </c>
      <c r="J1856" t="e">
        <f>LOG(Table1[[#This Row],[Flux in RT / glucose uptake ($mmol/mmol\ glc$)]])</f>
        <v>#NUM!</v>
      </c>
    </row>
    <row r="1857" spans="1:10" x14ac:dyDescent="0.2">
      <c r="A1857" t="s">
        <v>1860</v>
      </c>
      <c r="B1857" t="s">
        <v>3123</v>
      </c>
      <c r="C1857">
        <v>0</v>
      </c>
      <c r="D1857">
        <v>0</v>
      </c>
      <c r="E1857">
        <f>ABS(Table1[[#This Row],[Flux in SC / glucose uptake ($mmol/mmol\ glc$)]]-Table1[[#This Row],[Flux in RT / glucose uptake ($mmol/mmol\ glc$)]])/SQRT(2)</f>
        <v>0</v>
      </c>
      <c r="F1857">
        <f>Table1[[#This Row],[distance from 45-degree line]]/MAX(Table1[[Flux in SC / glucose uptake ($mmol/mmol\ glc$)]:[Flux in RT / glucose uptake ($mmol/mmol\ glc$)]])</f>
        <v>0</v>
      </c>
      <c r="G1857">
        <f>_xlfn.RANK.AVG(Table1[[#This Row],[Flux in SC / glucose uptake ($mmol/mmol\ glc$)]],Table1[Flux in SC / glucose uptake ($mmol/mmol\ glc$)])</f>
        <v>1310.5</v>
      </c>
      <c r="H1857">
        <f>_xlfn.RANK.AVG(Table1[[#This Row],[Flux in RT / glucose uptake ($mmol/mmol\ glc$)]],Table1[Flux in RT / glucose uptake ($mmol/mmol\ glc$)])</f>
        <v>1290.5</v>
      </c>
      <c r="I1857" t="e">
        <f>LOG(Table1[[#This Row],[Flux in SC / glucose uptake ($mmol/mmol\ glc$)]])</f>
        <v>#NUM!</v>
      </c>
      <c r="J1857" t="e">
        <f>LOG(Table1[[#This Row],[Flux in RT / glucose uptake ($mmol/mmol\ glc$)]])</f>
        <v>#NUM!</v>
      </c>
    </row>
    <row r="1858" spans="1:10" x14ac:dyDescent="0.2">
      <c r="A1858" t="s">
        <v>1861</v>
      </c>
      <c r="B1858" t="s">
        <v>3114</v>
      </c>
      <c r="C1858">
        <v>0</v>
      </c>
      <c r="D1858">
        <v>0</v>
      </c>
      <c r="E1858">
        <f>ABS(Table1[[#This Row],[Flux in SC / glucose uptake ($mmol/mmol\ glc$)]]-Table1[[#This Row],[Flux in RT / glucose uptake ($mmol/mmol\ glc$)]])/SQRT(2)</f>
        <v>0</v>
      </c>
      <c r="F1858">
        <f>Table1[[#This Row],[distance from 45-degree line]]/MAX(Table1[[Flux in SC / glucose uptake ($mmol/mmol\ glc$)]:[Flux in RT / glucose uptake ($mmol/mmol\ glc$)]])</f>
        <v>0</v>
      </c>
      <c r="G1858">
        <f>_xlfn.RANK.AVG(Table1[[#This Row],[Flux in SC / glucose uptake ($mmol/mmol\ glc$)]],Table1[Flux in SC / glucose uptake ($mmol/mmol\ glc$)])</f>
        <v>1310.5</v>
      </c>
      <c r="H1858">
        <f>_xlfn.RANK.AVG(Table1[[#This Row],[Flux in RT / glucose uptake ($mmol/mmol\ glc$)]],Table1[Flux in RT / glucose uptake ($mmol/mmol\ glc$)])</f>
        <v>1290.5</v>
      </c>
      <c r="I1858" t="e">
        <f>LOG(Table1[[#This Row],[Flux in SC / glucose uptake ($mmol/mmol\ glc$)]])</f>
        <v>#NUM!</v>
      </c>
      <c r="J1858" t="e">
        <f>LOG(Table1[[#This Row],[Flux in RT / glucose uptake ($mmol/mmol\ glc$)]])</f>
        <v>#NUM!</v>
      </c>
    </row>
    <row r="1859" spans="1:10" x14ac:dyDescent="0.2">
      <c r="A1859" t="s">
        <v>1862</v>
      </c>
      <c r="B1859" t="s">
        <v>3114</v>
      </c>
      <c r="C1859">
        <v>0</v>
      </c>
      <c r="D1859">
        <v>0</v>
      </c>
      <c r="E1859">
        <f>ABS(Table1[[#This Row],[Flux in SC / glucose uptake ($mmol/mmol\ glc$)]]-Table1[[#This Row],[Flux in RT / glucose uptake ($mmol/mmol\ glc$)]])/SQRT(2)</f>
        <v>0</v>
      </c>
      <c r="F1859">
        <f>Table1[[#This Row],[distance from 45-degree line]]/MAX(Table1[[Flux in SC / glucose uptake ($mmol/mmol\ glc$)]:[Flux in RT / glucose uptake ($mmol/mmol\ glc$)]])</f>
        <v>0</v>
      </c>
      <c r="G1859">
        <f>_xlfn.RANK.AVG(Table1[[#This Row],[Flux in SC / glucose uptake ($mmol/mmol\ glc$)]],Table1[Flux in SC / glucose uptake ($mmol/mmol\ glc$)])</f>
        <v>1310.5</v>
      </c>
      <c r="H1859">
        <f>_xlfn.RANK.AVG(Table1[[#This Row],[Flux in RT / glucose uptake ($mmol/mmol\ glc$)]],Table1[Flux in RT / glucose uptake ($mmol/mmol\ glc$)])</f>
        <v>1290.5</v>
      </c>
      <c r="I1859" t="e">
        <f>LOG(Table1[[#This Row],[Flux in SC / glucose uptake ($mmol/mmol\ glc$)]])</f>
        <v>#NUM!</v>
      </c>
      <c r="J1859" t="e">
        <f>LOG(Table1[[#This Row],[Flux in RT / glucose uptake ($mmol/mmol\ glc$)]])</f>
        <v>#NUM!</v>
      </c>
    </row>
    <row r="1860" spans="1:10" x14ac:dyDescent="0.2">
      <c r="A1860" t="s">
        <v>1863</v>
      </c>
      <c r="B1860" t="s">
        <v>3114</v>
      </c>
      <c r="C1860">
        <v>0</v>
      </c>
      <c r="D1860">
        <v>0</v>
      </c>
      <c r="E1860">
        <f>ABS(Table1[[#This Row],[Flux in SC / glucose uptake ($mmol/mmol\ glc$)]]-Table1[[#This Row],[Flux in RT / glucose uptake ($mmol/mmol\ glc$)]])/SQRT(2)</f>
        <v>0</v>
      </c>
      <c r="F1860">
        <f>Table1[[#This Row],[distance from 45-degree line]]/MAX(Table1[[Flux in SC / glucose uptake ($mmol/mmol\ glc$)]:[Flux in RT / glucose uptake ($mmol/mmol\ glc$)]])</f>
        <v>0</v>
      </c>
      <c r="G1860">
        <f>_xlfn.RANK.AVG(Table1[[#This Row],[Flux in SC / glucose uptake ($mmol/mmol\ glc$)]],Table1[Flux in SC / glucose uptake ($mmol/mmol\ glc$)])</f>
        <v>1310.5</v>
      </c>
      <c r="H1860">
        <f>_xlfn.RANK.AVG(Table1[[#This Row],[Flux in RT / glucose uptake ($mmol/mmol\ glc$)]],Table1[Flux in RT / glucose uptake ($mmol/mmol\ glc$)])</f>
        <v>1290.5</v>
      </c>
      <c r="I1860" t="e">
        <f>LOG(Table1[[#This Row],[Flux in SC / glucose uptake ($mmol/mmol\ glc$)]])</f>
        <v>#NUM!</v>
      </c>
      <c r="J1860" t="e">
        <f>LOG(Table1[[#This Row],[Flux in RT / glucose uptake ($mmol/mmol\ glc$)]])</f>
        <v>#NUM!</v>
      </c>
    </row>
    <row r="1861" spans="1:10" x14ac:dyDescent="0.2">
      <c r="A1861" t="s">
        <v>1864</v>
      </c>
      <c r="B1861" t="s">
        <v>3114</v>
      </c>
      <c r="C1861">
        <v>0</v>
      </c>
      <c r="D1861">
        <v>0</v>
      </c>
      <c r="E1861">
        <f>ABS(Table1[[#This Row],[Flux in SC / glucose uptake ($mmol/mmol\ glc$)]]-Table1[[#This Row],[Flux in RT / glucose uptake ($mmol/mmol\ glc$)]])/SQRT(2)</f>
        <v>0</v>
      </c>
      <c r="F1861">
        <f>Table1[[#This Row],[distance from 45-degree line]]/MAX(Table1[[Flux in SC / glucose uptake ($mmol/mmol\ glc$)]:[Flux in RT / glucose uptake ($mmol/mmol\ glc$)]])</f>
        <v>0</v>
      </c>
      <c r="G1861">
        <f>_xlfn.RANK.AVG(Table1[[#This Row],[Flux in SC / glucose uptake ($mmol/mmol\ glc$)]],Table1[Flux in SC / glucose uptake ($mmol/mmol\ glc$)])</f>
        <v>1310.5</v>
      </c>
      <c r="H1861">
        <f>_xlfn.RANK.AVG(Table1[[#This Row],[Flux in RT / glucose uptake ($mmol/mmol\ glc$)]],Table1[Flux in RT / glucose uptake ($mmol/mmol\ glc$)])</f>
        <v>1290.5</v>
      </c>
      <c r="I1861" t="e">
        <f>LOG(Table1[[#This Row],[Flux in SC / glucose uptake ($mmol/mmol\ glc$)]])</f>
        <v>#NUM!</v>
      </c>
      <c r="J1861" t="e">
        <f>LOG(Table1[[#This Row],[Flux in RT / glucose uptake ($mmol/mmol\ glc$)]])</f>
        <v>#NUM!</v>
      </c>
    </row>
    <row r="1862" spans="1:10" x14ac:dyDescent="0.2">
      <c r="A1862" t="s">
        <v>1865</v>
      </c>
      <c r="B1862" t="s">
        <v>3141</v>
      </c>
      <c r="C1862">
        <v>0</v>
      </c>
      <c r="D1862">
        <v>0</v>
      </c>
      <c r="E1862">
        <f>ABS(Table1[[#This Row],[Flux in SC / glucose uptake ($mmol/mmol\ glc$)]]-Table1[[#This Row],[Flux in RT / glucose uptake ($mmol/mmol\ glc$)]])/SQRT(2)</f>
        <v>0</v>
      </c>
      <c r="F1862">
        <f>Table1[[#This Row],[distance from 45-degree line]]/MAX(Table1[[Flux in SC / glucose uptake ($mmol/mmol\ glc$)]:[Flux in RT / glucose uptake ($mmol/mmol\ glc$)]])</f>
        <v>0</v>
      </c>
      <c r="G1862">
        <f>_xlfn.RANK.AVG(Table1[[#This Row],[Flux in SC / glucose uptake ($mmol/mmol\ glc$)]],Table1[Flux in SC / glucose uptake ($mmol/mmol\ glc$)])</f>
        <v>1310.5</v>
      </c>
      <c r="H1862">
        <f>_xlfn.RANK.AVG(Table1[[#This Row],[Flux in RT / glucose uptake ($mmol/mmol\ glc$)]],Table1[Flux in RT / glucose uptake ($mmol/mmol\ glc$)])</f>
        <v>1290.5</v>
      </c>
      <c r="I1862" t="e">
        <f>LOG(Table1[[#This Row],[Flux in SC / glucose uptake ($mmol/mmol\ glc$)]])</f>
        <v>#NUM!</v>
      </c>
      <c r="J1862" t="e">
        <f>LOG(Table1[[#This Row],[Flux in RT / glucose uptake ($mmol/mmol\ glc$)]])</f>
        <v>#NUM!</v>
      </c>
    </row>
    <row r="1863" spans="1:10" x14ac:dyDescent="0.2">
      <c r="A1863" t="s">
        <v>1866</v>
      </c>
      <c r="B1863" t="s">
        <v>3141</v>
      </c>
      <c r="C1863">
        <v>0</v>
      </c>
      <c r="D1863">
        <v>0</v>
      </c>
      <c r="E1863">
        <f>ABS(Table1[[#This Row],[Flux in SC / glucose uptake ($mmol/mmol\ glc$)]]-Table1[[#This Row],[Flux in RT / glucose uptake ($mmol/mmol\ glc$)]])/SQRT(2)</f>
        <v>0</v>
      </c>
      <c r="F1863">
        <f>Table1[[#This Row],[distance from 45-degree line]]/MAX(Table1[[Flux in SC / glucose uptake ($mmol/mmol\ glc$)]:[Flux in RT / glucose uptake ($mmol/mmol\ glc$)]])</f>
        <v>0</v>
      </c>
      <c r="G1863">
        <f>_xlfn.RANK.AVG(Table1[[#This Row],[Flux in SC / glucose uptake ($mmol/mmol\ glc$)]],Table1[Flux in SC / glucose uptake ($mmol/mmol\ glc$)])</f>
        <v>1310.5</v>
      </c>
      <c r="H1863">
        <f>_xlfn.RANK.AVG(Table1[[#This Row],[Flux in RT / glucose uptake ($mmol/mmol\ glc$)]],Table1[Flux in RT / glucose uptake ($mmol/mmol\ glc$)])</f>
        <v>1290.5</v>
      </c>
      <c r="I1863" t="e">
        <f>LOG(Table1[[#This Row],[Flux in SC / glucose uptake ($mmol/mmol\ glc$)]])</f>
        <v>#NUM!</v>
      </c>
      <c r="J1863" t="e">
        <f>LOG(Table1[[#This Row],[Flux in RT / glucose uptake ($mmol/mmol\ glc$)]])</f>
        <v>#NUM!</v>
      </c>
    </row>
    <row r="1864" spans="1:10" x14ac:dyDescent="0.2">
      <c r="A1864" t="s">
        <v>1867</v>
      </c>
      <c r="B1864" t="s">
        <v>3150</v>
      </c>
      <c r="C1864">
        <v>0</v>
      </c>
      <c r="D1864">
        <v>0</v>
      </c>
      <c r="E1864">
        <f>ABS(Table1[[#This Row],[Flux in SC / glucose uptake ($mmol/mmol\ glc$)]]-Table1[[#This Row],[Flux in RT / glucose uptake ($mmol/mmol\ glc$)]])/SQRT(2)</f>
        <v>0</v>
      </c>
      <c r="F1864">
        <f>Table1[[#This Row],[distance from 45-degree line]]/MAX(Table1[[Flux in SC / glucose uptake ($mmol/mmol\ glc$)]:[Flux in RT / glucose uptake ($mmol/mmol\ glc$)]])</f>
        <v>0</v>
      </c>
      <c r="G1864">
        <f>_xlfn.RANK.AVG(Table1[[#This Row],[Flux in SC / glucose uptake ($mmol/mmol\ glc$)]],Table1[Flux in SC / glucose uptake ($mmol/mmol\ glc$)])</f>
        <v>1310.5</v>
      </c>
      <c r="H1864">
        <f>_xlfn.RANK.AVG(Table1[[#This Row],[Flux in RT / glucose uptake ($mmol/mmol\ glc$)]],Table1[Flux in RT / glucose uptake ($mmol/mmol\ glc$)])</f>
        <v>1290.5</v>
      </c>
      <c r="I1864" t="e">
        <f>LOG(Table1[[#This Row],[Flux in SC / glucose uptake ($mmol/mmol\ glc$)]])</f>
        <v>#NUM!</v>
      </c>
      <c r="J1864" t="e">
        <f>LOG(Table1[[#This Row],[Flux in RT / glucose uptake ($mmol/mmol\ glc$)]])</f>
        <v>#NUM!</v>
      </c>
    </row>
    <row r="1865" spans="1:10" x14ac:dyDescent="0.2">
      <c r="A1865" t="s">
        <v>1868</v>
      </c>
      <c r="B1865" t="s">
        <v>3150</v>
      </c>
      <c r="C1865">
        <v>0</v>
      </c>
      <c r="D1865">
        <v>0</v>
      </c>
      <c r="E1865">
        <f>ABS(Table1[[#This Row],[Flux in SC / glucose uptake ($mmol/mmol\ glc$)]]-Table1[[#This Row],[Flux in RT / glucose uptake ($mmol/mmol\ glc$)]])/SQRT(2)</f>
        <v>0</v>
      </c>
      <c r="F1865">
        <f>Table1[[#This Row],[distance from 45-degree line]]/MAX(Table1[[Flux in SC / glucose uptake ($mmol/mmol\ glc$)]:[Flux in RT / glucose uptake ($mmol/mmol\ glc$)]])</f>
        <v>0</v>
      </c>
      <c r="G1865">
        <f>_xlfn.RANK.AVG(Table1[[#This Row],[Flux in SC / glucose uptake ($mmol/mmol\ glc$)]],Table1[Flux in SC / glucose uptake ($mmol/mmol\ glc$)])</f>
        <v>1310.5</v>
      </c>
      <c r="H1865">
        <f>_xlfn.RANK.AVG(Table1[[#This Row],[Flux in RT / glucose uptake ($mmol/mmol\ glc$)]],Table1[Flux in RT / glucose uptake ($mmol/mmol\ glc$)])</f>
        <v>1290.5</v>
      </c>
      <c r="I1865" t="e">
        <f>LOG(Table1[[#This Row],[Flux in SC / glucose uptake ($mmol/mmol\ glc$)]])</f>
        <v>#NUM!</v>
      </c>
      <c r="J1865" t="e">
        <f>LOG(Table1[[#This Row],[Flux in RT / glucose uptake ($mmol/mmol\ glc$)]])</f>
        <v>#NUM!</v>
      </c>
    </row>
    <row r="1866" spans="1:10" x14ac:dyDescent="0.2">
      <c r="A1866" t="s">
        <v>1869</v>
      </c>
      <c r="B1866" t="s">
        <v>3150</v>
      </c>
      <c r="C1866">
        <v>0</v>
      </c>
      <c r="D1866">
        <v>0</v>
      </c>
      <c r="E1866">
        <f>ABS(Table1[[#This Row],[Flux in SC / glucose uptake ($mmol/mmol\ glc$)]]-Table1[[#This Row],[Flux in RT / glucose uptake ($mmol/mmol\ glc$)]])/SQRT(2)</f>
        <v>0</v>
      </c>
      <c r="F1866">
        <f>Table1[[#This Row],[distance from 45-degree line]]/MAX(Table1[[Flux in SC / glucose uptake ($mmol/mmol\ glc$)]:[Flux in RT / glucose uptake ($mmol/mmol\ glc$)]])</f>
        <v>0</v>
      </c>
      <c r="G1866">
        <f>_xlfn.RANK.AVG(Table1[[#This Row],[Flux in SC / glucose uptake ($mmol/mmol\ glc$)]],Table1[Flux in SC / glucose uptake ($mmol/mmol\ glc$)])</f>
        <v>1310.5</v>
      </c>
      <c r="H1866">
        <f>_xlfn.RANK.AVG(Table1[[#This Row],[Flux in RT / glucose uptake ($mmol/mmol\ glc$)]],Table1[Flux in RT / glucose uptake ($mmol/mmol\ glc$)])</f>
        <v>1290.5</v>
      </c>
      <c r="I1866" t="e">
        <f>LOG(Table1[[#This Row],[Flux in SC / glucose uptake ($mmol/mmol\ glc$)]])</f>
        <v>#NUM!</v>
      </c>
      <c r="J1866" t="e">
        <f>LOG(Table1[[#This Row],[Flux in RT / glucose uptake ($mmol/mmol\ glc$)]])</f>
        <v>#NUM!</v>
      </c>
    </row>
    <row r="1867" spans="1:10" x14ac:dyDescent="0.2">
      <c r="A1867" t="s">
        <v>1870</v>
      </c>
      <c r="B1867" t="s">
        <v>3150</v>
      </c>
      <c r="C1867">
        <v>0</v>
      </c>
      <c r="D1867">
        <v>0</v>
      </c>
      <c r="E1867">
        <f>ABS(Table1[[#This Row],[Flux in SC / glucose uptake ($mmol/mmol\ glc$)]]-Table1[[#This Row],[Flux in RT / glucose uptake ($mmol/mmol\ glc$)]])/SQRT(2)</f>
        <v>0</v>
      </c>
      <c r="F1867">
        <f>Table1[[#This Row],[distance from 45-degree line]]/MAX(Table1[[Flux in SC / glucose uptake ($mmol/mmol\ glc$)]:[Flux in RT / glucose uptake ($mmol/mmol\ glc$)]])</f>
        <v>0</v>
      </c>
      <c r="G1867">
        <f>_xlfn.RANK.AVG(Table1[[#This Row],[Flux in SC / glucose uptake ($mmol/mmol\ glc$)]],Table1[Flux in SC / glucose uptake ($mmol/mmol\ glc$)])</f>
        <v>1310.5</v>
      </c>
      <c r="H1867">
        <f>_xlfn.RANK.AVG(Table1[[#This Row],[Flux in RT / glucose uptake ($mmol/mmol\ glc$)]],Table1[Flux in RT / glucose uptake ($mmol/mmol\ glc$)])</f>
        <v>1290.5</v>
      </c>
      <c r="I1867" t="e">
        <f>LOG(Table1[[#This Row],[Flux in SC / glucose uptake ($mmol/mmol\ glc$)]])</f>
        <v>#NUM!</v>
      </c>
      <c r="J1867" t="e">
        <f>LOG(Table1[[#This Row],[Flux in RT / glucose uptake ($mmol/mmol\ glc$)]])</f>
        <v>#NUM!</v>
      </c>
    </row>
    <row r="1868" spans="1:10" x14ac:dyDescent="0.2">
      <c r="A1868" t="s">
        <v>1871</v>
      </c>
      <c r="B1868" t="s">
        <v>3150</v>
      </c>
      <c r="C1868">
        <v>0</v>
      </c>
      <c r="D1868">
        <v>0</v>
      </c>
      <c r="E1868">
        <f>ABS(Table1[[#This Row],[Flux in SC / glucose uptake ($mmol/mmol\ glc$)]]-Table1[[#This Row],[Flux in RT / glucose uptake ($mmol/mmol\ glc$)]])/SQRT(2)</f>
        <v>0</v>
      </c>
      <c r="F1868">
        <f>Table1[[#This Row],[distance from 45-degree line]]/MAX(Table1[[Flux in SC / glucose uptake ($mmol/mmol\ glc$)]:[Flux in RT / glucose uptake ($mmol/mmol\ glc$)]])</f>
        <v>0</v>
      </c>
      <c r="G1868">
        <f>_xlfn.RANK.AVG(Table1[[#This Row],[Flux in SC / glucose uptake ($mmol/mmol\ glc$)]],Table1[Flux in SC / glucose uptake ($mmol/mmol\ glc$)])</f>
        <v>1310.5</v>
      </c>
      <c r="H1868">
        <f>_xlfn.RANK.AVG(Table1[[#This Row],[Flux in RT / glucose uptake ($mmol/mmol\ glc$)]],Table1[Flux in RT / glucose uptake ($mmol/mmol\ glc$)])</f>
        <v>1290.5</v>
      </c>
      <c r="I1868" t="e">
        <f>LOG(Table1[[#This Row],[Flux in SC / glucose uptake ($mmol/mmol\ glc$)]])</f>
        <v>#NUM!</v>
      </c>
      <c r="J1868" t="e">
        <f>LOG(Table1[[#This Row],[Flux in RT / glucose uptake ($mmol/mmol\ glc$)]])</f>
        <v>#NUM!</v>
      </c>
    </row>
    <row r="1869" spans="1:10" x14ac:dyDescent="0.2">
      <c r="A1869" t="s">
        <v>1872</v>
      </c>
      <c r="B1869" t="s">
        <v>3137</v>
      </c>
      <c r="C1869">
        <v>2.9160257804245797E-2</v>
      </c>
      <c r="D1869">
        <v>0.55623375051538737</v>
      </c>
      <c r="E1869">
        <f>ABS(Table1[[#This Row],[Flux in SC / glucose uptake ($mmol/mmol\ glc$)]]-Table1[[#This Row],[Flux in RT / glucose uptake ($mmol/mmol\ glc$)]])/SQRT(2)</f>
        <v>0.3726972408797265</v>
      </c>
      <c r="F1869">
        <f>Table1[[#This Row],[distance from 45-degree line]]/MAX(Table1[[Flux in SC / glucose uptake ($mmol/mmol\ glc$)]:[Flux in RT / glucose uptake ($mmol/mmol\ glc$)]])</f>
        <v>2.0087956011290063E-2</v>
      </c>
      <c r="G1869">
        <f>_xlfn.RANK.AVG(Table1[[#This Row],[Flux in SC / glucose uptake ($mmol/mmol\ glc$)]],Table1[Flux in SC / glucose uptake ($mmol/mmol\ glc$)])</f>
        <v>57</v>
      </c>
      <c r="H1869">
        <f>_xlfn.RANK.AVG(Table1[[#This Row],[Flux in RT / glucose uptake ($mmol/mmol\ glc$)]],Table1[Flux in RT / glucose uptake ($mmol/mmol\ glc$)])</f>
        <v>38</v>
      </c>
      <c r="I1869">
        <f>LOG(Table1[[#This Row],[Flux in SC / glucose uptake ($mmol/mmol\ glc$)]])</f>
        <v>-1.5352086407633074</v>
      </c>
      <c r="J1869">
        <f>LOG(Table1[[#This Row],[Flux in RT / glucose uptake ($mmol/mmol\ glc$)]])</f>
        <v>-0.25474266304845999</v>
      </c>
    </row>
    <row r="1870" spans="1:10" x14ac:dyDescent="0.2">
      <c r="A1870" t="s">
        <v>1873</v>
      </c>
      <c r="B1870" t="s">
        <v>3141</v>
      </c>
      <c r="C1870">
        <v>0</v>
      </c>
      <c r="D1870">
        <v>0</v>
      </c>
      <c r="E1870">
        <f>ABS(Table1[[#This Row],[Flux in SC / glucose uptake ($mmol/mmol\ glc$)]]-Table1[[#This Row],[Flux in RT / glucose uptake ($mmol/mmol\ glc$)]])/SQRT(2)</f>
        <v>0</v>
      </c>
      <c r="F1870">
        <f>Table1[[#This Row],[distance from 45-degree line]]/MAX(Table1[[Flux in SC / glucose uptake ($mmol/mmol\ glc$)]:[Flux in RT / glucose uptake ($mmol/mmol\ glc$)]])</f>
        <v>0</v>
      </c>
      <c r="G1870">
        <f>_xlfn.RANK.AVG(Table1[[#This Row],[Flux in SC / glucose uptake ($mmol/mmol\ glc$)]],Table1[Flux in SC / glucose uptake ($mmol/mmol\ glc$)])</f>
        <v>1310.5</v>
      </c>
      <c r="H1870">
        <f>_xlfn.RANK.AVG(Table1[[#This Row],[Flux in RT / glucose uptake ($mmol/mmol\ glc$)]],Table1[Flux in RT / glucose uptake ($mmol/mmol\ glc$)])</f>
        <v>1290.5</v>
      </c>
      <c r="I1870" t="e">
        <f>LOG(Table1[[#This Row],[Flux in SC / glucose uptake ($mmol/mmol\ glc$)]])</f>
        <v>#NUM!</v>
      </c>
      <c r="J1870" t="e">
        <f>LOG(Table1[[#This Row],[Flux in RT / glucose uptake ($mmol/mmol\ glc$)]])</f>
        <v>#NUM!</v>
      </c>
    </row>
    <row r="1871" spans="1:10" x14ac:dyDescent="0.2">
      <c r="A1871" t="s">
        <v>1874</v>
      </c>
      <c r="B1871" t="s">
        <v>3196</v>
      </c>
      <c r="C1871">
        <v>0</v>
      </c>
      <c r="D1871">
        <v>0</v>
      </c>
      <c r="E1871">
        <f>ABS(Table1[[#This Row],[Flux in SC / glucose uptake ($mmol/mmol\ glc$)]]-Table1[[#This Row],[Flux in RT / glucose uptake ($mmol/mmol\ glc$)]])/SQRT(2)</f>
        <v>0</v>
      </c>
      <c r="F1871">
        <f>Table1[[#This Row],[distance from 45-degree line]]/MAX(Table1[[Flux in SC / glucose uptake ($mmol/mmol\ glc$)]:[Flux in RT / glucose uptake ($mmol/mmol\ glc$)]])</f>
        <v>0</v>
      </c>
      <c r="G1871">
        <f>_xlfn.RANK.AVG(Table1[[#This Row],[Flux in SC / glucose uptake ($mmol/mmol\ glc$)]],Table1[Flux in SC / glucose uptake ($mmol/mmol\ glc$)])</f>
        <v>1310.5</v>
      </c>
      <c r="H1871">
        <f>_xlfn.RANK.AVG(Table1[[#This Row],[Flux in RT / glucose uptake ($mmol/mmol\ glc$)]],Table1[Flux in RT / glucose uptake ($mmol/mmol\ glc$)])</f>
        <v>1290.5</v>
      </c>
      <c r="I1871" t="e">
        <f>LOG(Table1[[#This Row],[Flux in SC / glucose uptake ($mmol/mmol\ glc$)]])</f>
        <v>#NUM!</v>
      </c>
      <c r="J1871" t="e">
        <f>LOG(Table1[[#This Row],[Flux in RT / glucose uptake ($mmol/mmol\ glc$)]])</f>
        <v>#NUM!</v>
      </c>
    </row>
    <row r="1872" spans="1:10" x14ac:dyDescent="0.2">
      <c r="A1872" t="s">
        <v>1875</v>
      </c>
      <c r="B1872" t="s">
        <v>3141</v>
      </c>
      <c r="C1872">
        <v>0</v>
      </c>
      <c r="D1872">
        <v>0</v>
      </c>
      <c r="E1872">
        <f>ABS(Table1[[#This Row],[Flux in SC / glucose uptake ($mmol/mmol\ glc$)]]-Table1[[#This Row],[Flux in RT / glucose uptake ($mmol/mmol\ glc$)]])/SQRT(2)</f>
        <v>0</v>
      </c>
      <c r="F1872">
        <f>Table1[[#This Row],[distance from 45-degree line]]/MAX(Table1[[Flux in SC / glucose uptake ($mmol/mmol\ glc$)]:[Flux in RT / glucose uptake ($mmol/mmol\ glc$)]])</f>
        <v>0</v>
      </c>
      <c r="G1872">
        <f>_xlfn.RANK.AVG(Table1[[#This Row],[Flux in SC / glucose uptake ($mmol/mmol\ glc$)]],Table1[Flux in SC / glucose uptake ($mmol/mmol\ glc$)])</f>
        <v>1310.5</v>
      </c>
      <c r="H1872">
        <f>_xlfn.RANK.AVG(Table1[[#This Row],[Flux in RT / glucose uptake ($mmol/mmol\ glc$)]],Table1[Flux in RT / glucose uptake ($mmol/mmol\ glc$)])</f>
        <v>1290.5</v>
      </c>
      <c r="I1872" t="e">
        <f>LOG(Table1[[#This Row],[Flux in SC / glucose uptake ($mmol/mmol\ glc$)]])</f>
        <v>#NUM!</v>
      </c>
      <c r="J1872" t="e">
        <f>LOG(Table1[[#This Row],[Flux in RT / glucose uptake ($mmol/mmol\ glc$)]])</f>
        <v>#NUM!</v>
      </c>
    </row>
    <row r="1873" spans="1:10" x14ac:dyDescent="0.2">
      <c r="A1873" t="s">
        <v>1876</v>
      </c>
      <c r="B1873" t="s">
        <v>3114</v>
      </c>
      <c r="C1873">
        <v>0</v>
      </c>
      <c r="D1873">
        <v>0</v>
      </c>
      <c r="E1873">
        <f>ABS(Table1[[#This Row],[Flux in SC / glucose uptake ($mmol/mmol\ glc$)]]-Table1[[#This Row],[Flux in RT / glucose uptake ($mmol/mmol\ glc$)]])/SQRT(2)</f>
        <v>0</v>
      </c>
      <c r="F1873">
        <f>Table1[[#This Row],[distance from 45-degree line]]/MAX(Table1[[Flux in SC / glucose uptake ($mmol/mmol\ glc$)]:[Flux in RT / glucose uptake ($mmol/mmol\ glc$)]])</f>
        <v>0</v>
      </c>
      <c r="G1873">
        <f>_xlfn.RANK.AVG(Table1[[#This Row],[Flux in SC / glucose uptake ($mmol/mmol\ glc$)]],Table1[Flux in SC / glucose uptake ($mmol/mmol\ glc$)])</f>
        <v>1310.5</v>
      </c>
      <c r="H1873">
        <f>_xlfn.RANK.AVG(Table1[[#This Row],[Flux in RT / glucose uptake ($mmol/mmol\ glc$)]],Table1[Flux in RT / glucose uptake ($mmol/mmol\ glc$)])</f>
        <v>1290.5</v>
      </c>
      <c r="I1873" t="e">
        <f>LOG(Table1[[#This Row],[Flux in SC / glucose uptake ($mmol/mmol\ glc$)]])</f>
        <v>#NUM!</v>
      </c>
      <c r="J1873" t="e">
        <f>LOG(Table1[[#This Row],[Flux in RT / glucose uptake ($mmol/mmol\ glc$)]])</f>
        <v>#NUM!</v>
      </c>
    </row>
    <row r="1874" spans="1:10" x14ac:dyDescent="0.2">
      <c r="A1874" t="s">
        <v>1877</v>
      </c>
      <c r="B1874" t="s">
        <v>3114</v>
      </c>
      <c r="C1874">
        <v>0</v>
      </c>
      <c r="D1874">
        <v>0</v>
      </c>
      <c r="E1874">
        <f>ABS(Table1[[#This Row],[Flux in SC / glucose uptake ($mmol/mmol\ glc$)]]-Table1[[#This Row],[Flux in RT / glucose uptake ($mmol/mmol\ glc$)]])/SQRT(2)</f>
        <v>0</v>
      </c>
      <c r="F1874">
        <f>Table1[[#This Row],[distance from 45-degree line]]/MAX(Table1[[Flux in SC / glucose uptake ($mmol/mmol\ glc$)]:[Flux in RT / glucose uptake ($mmol/mmol\ glc$)]])</f>
        <v>0</v>
      </c>
      <c r="G1874">
        <f>_xlfn.RANK.AVG(Table1[[#This Row],[Flux in SC / glucose uptake ($mmol/mmol\ glc$)]],Table1[Flux in SC / glucose uptake ($mmol/mmol\ glc$)])</f>
        <v>1310.5</v>
      </c>
      <c r="H1874">
        <f>_xlfn.RANK.AVG(Table1[[#This Row],[Flux in RT / glucose uptake ($mmol/mmol\ glc$)]],Table1[Flux in RT / glucose uptake ($mmol/mmol\ glc$)])</f>
        <v>1290.5</v>
      </c>
      <c r="I1874" t="e">
        <f>LOG(Table1[[#This Row],[Flux in SC / glucose uptake ($mmol/mmol\ glc$)]])</f>
        <v>#NUM!</v>
      </c>
      <c r="J1874" t="e">
        <f>LOG(Table1[[#This Row],[Flux in RT / glucose uptake ($mmol/mmol\ glc$)]])</f>
        <v>#NUM!</v>
      </c>
    </row>
    <row r="1875" spans="1:10" x14ac:dyDescent="0.2">
      <c r="A1875" t="s">
        <v>1878</v>
      </c>
      <c r="B1875" t="s">
        <v>3114</v>
      </c>
      <c r="C1875">
        <v>0</v>
      </c>
      <c r="D1875">
        <v>0</v>
      </c>
      <c r="E1875">
        <f>ABS(Table1[[#This Row],[Flux in SC / glucose uptake ($mmol/mmol\ glc$)]]-Table1[[#This Row],[Flux in RT / glucose uptake ($mmol/mmol\ glc$)]])/SQRT(2)</f>
        <v>0</v>
      </c>
      <c r="F1875">
        <f>Table1[[#This Row],[distance from 45-degree line]]/MAX(Table1[[Flux in SC / glucose uptake ($mmol/mmol\ glc$)]:[Flux in RT / glucose uptake ($mmol/mmol\ glc$)]])</f>
        <v>0</v>
      </c>
      <c r="G1875">
        <f>_xlfn.RANK.AVG(Table1[[#This Row],[Flux in SC / glucose uptake ($mmol/mmol\ glc$)]],Table1[Flux in SC / glucose uptake ($mmol/mmol\ glc$)])</f>
        <v>1310.5</v>
      </c>
      <c r="H1875">
        <f>_xlfn.RANK.AVG(Table1[[#This Row],[Flux in RT / glucose uptake ($mmol/mmol\ glc$)]],Table1[Flux in RT / glucose uptake ($mmol/mmol\ glc$)])</f>
        <v>1290.5</v>
      </c>
      <c r="I1875" t="e">
        <f>LOG(Table1[[#This Row],[Flux in SC / glucose uptake ($mmol/mmol\ glc$)]])</f>
        <v>#NUM!</v>
      </c>
      <c r="J1875" t="e">
        <f>LOG(Table1[[#This Row],[Flux in RT / glucose uptake ($mmol/mmol\ glc$)]])</f>
        <v>#NUM!</v>
      </c>
    </row>
    <row r="1876" spans="1:10" x14ac:dyDescent="0.2">
      <c r="A1876" t="s">
        <v>1879</v>
      </c>
      <c r="B1876" t="s">
        <v>3114</v>
      </c>
      <c r="C1876">
        <v>0</v>
      </c>
      <c r="D1876">
        <v>0</v>
      </c>
      <c r="E1876">
        <f>ABS(Table1[[#This Row],[Flux in SC / glucose uptake ($mmol/mmol\ glc$)]]-Table1[[#This Row],[Flux in RT / glucose uptake ($mmol/mmol\ glc$)]])/SQRT(2)</f>
        <v>0</v>
      </c>
      <c r="F1876">
        <f>Table1[[#This Row],[distance from 45-degree line]]/MAX(Table1[[Flux in SC / glucose uptake ($mmol/mmol\ glc$)]:[Flux in RT / glucose uptake ($mmol/mmol\ glc$)]])</f>
        <v>0</v>
      </c>
      <c r="G1876">
        <f>_xlfn.RANK.AVG(Table1[[#This Row],[Flux in SC / glucose uptake ($mmol/mmol\ glc$)]],Table1[Flux in SC / glucose uptake ($mmol/mmol\ glc$)])</f>
        <v>1310.5</v>
      </c>
      <c r="H1876">
        <f>_xlfn.RANK.AVG(Table1[[#This Row],[Flux in RT / glucose uptake ($mmol/mmol\ glc$)]],Table1[Flux in RT / glucose uptake ($mmol/mmol\ glc$)])</f>
        <v>1290.5</v>
      </c>
      <c r="I1876" t="e">
        <f>LOG(Table1[[#This Row],[Flux in SC / glucose uptake ($mmol/mmol\ glc$)]])</f>
        <v>#NUM!</v>
      </c>
      <c r="J1876" t="e">
        <f>LOG(Table1[[#This Row],[Flux in RT / glucose uptake ($mmol/mmol\ glc$)]])</f>
        <v>#NUM!</v>
      </c>
    </row>
    <row r="1877" spans="1:10" x14ac:dyDescent="0.2">
      <c r="A1877" t="s">
        <v>1880</v>
      </c>
      <c r="B1877" t="s">
        <v>3114</v>
      </c>
      <c r="C1877">
        <v>0</v>
      </c>
      <c r="D1877">
        <v>0</v>
      </c>
      <c r="E1877">
        <f>ABS(Table1[[#This Row],[Flux in SC / glucose uptake ($mmol/mmol\ glc$)]]-Table1[[#This Row],[Flux in RT / glucose uptake ($mmol/mmol\ glc$)]])/SQRT(2)</f>
        <v>0</v>
      </c>
      <c r="F1877">
        <f>Table1[[#This Row],[distance from 45-degree line]]/MAX(Table1[[Flux in SC / glucose uptake ($mmol/mmol\ glc$)]:[Flux in RT / glucose uptake ($mmol/mmol\ glc$)]])</f>
        <v>0</v>
      </c>
      <c r="G1877">
        <f>_xlfn.RANK.AVG(Table1[[#This Row],[Flux in SC / glucose uptake ($mmol/mmol\ glc$)]],Table1[Flux in SC / glucose uptake ($mmol/mmol\ glc$)])</f>
        <v>1310.5</v>
      </c>
      <c r="H1877">
        <f>_xlfn.RANK.AVG(Table1[[#This Row],[Flux in RT / glucose uptake ($mmol/mmol\ glc$)]],Table1[Flux in RT / glucose uptake ($mmol/mmol\ glc$)])</f>
        <v>1290.5</v>
      </c>
      <c r="I1877" t="e">
        <f>LOG(Table1[[#This Row],[Flux in SC / glucose uptake ($mmol/mmol\ glc$)]])</f>
        <v>#NUM!</v>
      </c>
      <c r="J1877" t="e">
        <f>LOG(Table1[[#This Row],[Flux in RT / glucose uptake ($mmol/mmol\ glc$)]])</f>
        <v>#NUM!</v>
      </c>
    </row>
    <row r="1878" spans="1:10" x14ac:dyDescent="0.2">
      <c r="A1878" t="s">
        <v>1881</v>
      </c>
      <c r="B1878" t="s">
        <v>3114</v>
      </c>
      <c r="C1878">
        <v>0</v>
      </c>
      <c r="D1878">
        <v>0</v>
      </c>
      <c r="E1878">
        <f>ABS(Table1[[#This Row],[Flux in SC / glucose uptake ($mmol/mmol\ glc$)]]-Table1[[#This Row],[Flux in RT / glucose uptake ($mmol/mmol\ glc$)]])/SQRT(2)</f>
        <v>0</v>
      </c>
      <c r="F1878">
        <f>Table1[[#This Row],[distance from 45-degree line]]/MAX(Table1[[Flux in SC / glucose uptake ($mmol/mmol\ glc$)]:[Flux in RT / glucose uptake ($mmol/mmol\ glc$)]])</f>
        <v>0</v>
      </c>
      <c r="G1878">
        <f>_xlfn.RANK.AVG(Table1[[#This Row],[Flux in SC / glucose uptake ($mmol/mmol\ glc$)]],Table1[Flux in SC / glucose uptake ($mmol/mmol\ glc$)])</f>
        <v>1310.5</v>
      </c>
      <c r="H1878">
        <f>_xlfn.RANK.AVG(Table1[[#This Row],[Flux in RT / glucose uptake ($mmol/mmol\ glc$)]],Table1[Flux in RT / glucose uptake ($mmol/mmol\ glc$)])</f>
        <v>1290.5</v>
      </c>
      <c r="I1878" t="e">
        <f>LOG(Table1[[#This Row],[Flux in SC / glucose uptake ($mmol/mmol\ glc$)]])</f>
        <v>#NUM!</v>
      </c>
      <c r="J1878" t="e">
        <f>LOG(Table1[[#This Row],[Flux in RT / glucose uptake ($mmol/mmol\ glc$)]])</f>
        <v>#NUM!</v>
      </c>
    </row>
    <row r="1879" spans="1:10" x14ac:dyDescent="0.2">
      <c r="A1879" t="s">
        <v>1882</v>
      </c>
      <c r="B1879" t="s">
        <v>3114</v>
      </c>
      <c r="C1879">
        <v>0</v>
      </c>
      <c r="D1879">
        <v>0</v>
      </c>
      <c r="E1879">
        <f>ABS(Table1[[#This Row],[Flux in SC / glucose uptake ($mmol/mmol\ glc$)]]-Table1[[#This Row],[Flux in RT / glucose uptake ($mmol/mmol\ glc$)]])/SQRT(2)</f>
        <v>0</v>
      </c>
      <c r="F1879">
        <f>Table1[[#This Row],[distance from 45-degree line]]/MAX(Table1[[Flux in SC / glucose uptake ($mmol/mmol\ glc$)]:[Flux in RT / glucose uptake ($mmol/mmol\ glc$)]])</f>
        <v>0</v>
      </c>
      <c r="G1879">
        <f>_xlfn.RANK.AVG(Table1[[#This Row],[Flux in SC / glucose uptake ($mmol/mmol\ glc$)]],Table1[Flux in SC / glucose uptake ($mmol/mmol\ glc$)])</f>
        <v>1310.5</v>
      </c>
      <c r="H1879">
        <f>_xlfn.RANK.AVG(Table1[[#This Row],[Flux in RT / glucose uptake ($mmol/mmol\ glc$)]],Table1[Flux in RT / glucose uptake ($mmol/mmol\ glc$)])</f>
        <v>1290.5</v>
      </c>
      <c r="I1879" t="e">
        <f>LOG(Table1[[#This Row],[Flux in SC / glucose uptake ($mmol/mmol\ glc$)]])</f>
        <v>#NUM!</v>
      </c>
      <c r="J1879" t="e">
        <f>LOG(Table1[[#This Row],[Flux in RT / glucose uptake ($mmol/mmol\ glc$)]])</f>
        <v>#NUM!</v>
      </c>
    </row>
    <row r="1880" spans="1:10" x14ac:dyDescent="0.2">
      <c r="A1880" t="s">
        <v>1883</v>
      </c>
      <c r="B1880" t="s">
        <v>3114</v>
      </c>
      <c r="C1880">
        <v>0</v>
      </c>
      <c r="D1880">
        <v>0</v>
      </c>
      <c r="E1880">
        <f>ABS(Table1[[#This Row],[Flux in SC / glucose uptake ($mmol/mmol\ glc$)]]-Table1[[#This Row],[Flux in RT / glucose uptake ($mmol/mmol\ glc$)]])/SQRT(2)</f>
        <v>0</v>
      </c>
      <c r="F1880">
        <f>Table1[[#This Row],[distance from 45-degree line]]/MAX(Table1[[Flux in SC / glucose uptake ($mmol/mmol\ glc$)]:[Flux in RT / glucose uptake ($mmol/mmol\ glc$)]])</f>
        <v>0</v>
      </c>
      <c r="G1880">
        <f>_xlfn.RANK.AVG(Table1[[#This Row],[Flux in SC / glucose uptake ($mmol/mmol\ glc$)]],Table1[Flux in SC / glucose uptake ($mmol/mmol\ glc$)])</f>
        <v>1310.5</v>
      </c>
      <c r="H1880">
        <f>_xlfn.RANK.AVG(Table1[[#This Row],[Flux in RT / glucose uptake ($mmol/mmol\ glc$)]],Table1[Flux in RT / glucose uptake ($mmol/mmol\ glc$)])</f>
        <v>1290.5</v>
      </c>
      <c r="I1880" t="e">
        <f>LOG(Table1[[#This Row],[Flux in SC / glucose uptake ($mmol/mmol\ glc$)]])</f>
        <v>#NUM!</v>
      </c>
      <c r="J1880" t="e">
        <f>LOG(Table1[[#This Row],[Flux in RT / glucose uptake ($mmol/mmol\ glc$)]])</f>
        <v>#NUM!</v>
      </c>
    </row>
    <row r="1881" spans="1:10" x14ac:dyDescent="0.2">
      <c r="A1881" t="s">
        <v>1884</v>
      </c>
      <c r="B1881" t="s">
        <v>3114</v>
      </c>
      <c r="C1881">
        <v>0</v>
      </c>
      <c r="D1881">
        <v>0</v>
      </c>
      <c r="E1881">
        <f>ABS(Table1[[#This Row],[Flux in SC / glucose uptake ($mmol/mmol\ glc$)]]-Table1[[#This Row],[Flux in RT / glucose uptake ($mmol/mmol\ glc$)]])/SQRT(2)</f>
        <v>0</v>
      </c>
      <c r="F1881">
        <f>Table1[[#This Row],[distance from 45-degree line]]/MAX(Table1[[Flux in SC / glucose uptake ($mmol/mmol\ glc$)]:[Flux in RT / glucose uptake ($mmol/mmol\ glc$)]])</f>
        <v>0</v>
      </c>
      <c r="G1881">
        <f>_xlfn.RANK.AVG(Table1[[#This Row],[Flux in SC / glucose uptake ($mmol/mmol\ glc$)]],Table1[Flux in SC / glucose uptake ($mmol/mmol\ glc$)])</f>
        <v>1310.5</v>
      </c>
      <c r="H1881">
        <f>_xlfn.RANK.AVG(Table1[[#This Row],[Flux in RT / glucose uptake ($mmol/mmol\ glc$)]],Table1[Flux in RT / glucose uptake ($mmol/mmol\ glc$)])</f>
        <v>1290.5</v>
      </c>
      <c r="I1881" t="e">
        <f>LOG(Table1[[#This Row],[Flux in SC / glucose uptake ($mmol/mmol\ glc$)]])</f>
        <v>#NUM!</v>
      </c>
      <c r="J1881" t="e">
        <f>LOG(Table1[[#This Row],[Flux in RT / glucose uptake ($mmol/mmol\ glc$)]])</f>
        <v>#NUM!</v>
      </c>
    </row>
    <row r="1882" spans="1:10" x14ac:dyDescent="0.2">
      <c r="A1882" t="s">
        <v>1885</v>
      </c>
      <c r="B1882" t="s">
        <v>3181</v>
      </c>
      <c r="C1882">
        <v>0.96266593256791133</v>
      </c>
      <c r="D1882">
        <v>0.72536320755539763</v>
      </c>
      <c r="E1882">
        <f>ABS(Table1[[#This Row],[Flux in SC / glucose uptake ($mmol/mmol\ glc$)]]-Table1[[#This Row],[Flux in RT / glucose uptake ($mmol/mmol\ glc$)]])/SQRT(2)</f>
        <v>0.16779836605039497</v>
      </c>
      <c r="F1882">
        <f>Table1[[#This Row],[distance from 45-degree line]]/MAX(Table1[[Flux in SC / glucose uptake ($mmol/mmol\ glc$)]:[Flux in RT / glucose uptake ($mmol/mmol\ glc$)]])</f>
        <v>9.0441404611161375E-3</v>
      </c>
      <c r="G1882">
        <f>_xlfn.RANK.AVG(Table1[[#This Row],[Flux in SC / glucose uptake ($mmol/mmol\ glc$)]],Table1[Flux in SC / glucose uptake ($mmol/mmol\ glc$)])</f>
        <v>15</v>
      </c>
      <c r="H1882">
        <f>_xlfn.RANK.AVG(Table1[[#This Row],[Flux in RT / glucose uptake ($mmol/mmol\ glc$)]],Table1[Flux in RT / glucose uptake ($mmol/mmol\ glc$)])</f>
        <v>27</v>
      </c>
      <c r="I1882">
        <f>LOG(Table1[[#This Row],[Flux in SC / glucose uptake ($mmol/mmol\ glc$)]])</f>
        <v>-1.6524397001243935E-2</v>
      </c>
      <c r="J1882">
        <f>LOG(Table1[[#This Row],[Flux in RT / glucose uptake ($mmol/mmol\ glc$)]])</f>
        <v>-0.13944447682410283</v>
      </c>
    </row>
    <row r="1883" spans="1:10" x14ac:dyDescent="0.2">
      <c r="A1883" t="s">
        <v>1886</v>
      </c>
      <c r="B1883" t="s">
        <v>3139</v>
      </c>
      <c r="C1883">
        <v>0</v>
      </c>
      <c r="D1883">
        <v>0</v>
      </c>
      <c r="E1883">
        <f>ABS(Table1[[#This Row],[Flux in SC / glucose uptake ($mmol/mmol\ glc$)]]-Table1[[#This Row],[Flux in RT / glucose uptake ($mmol/mmol\ glc$)]])/SQRT(2)</f>
        <v>0</v>
      </c>
      <c r="F1883">
        <f>Table1[[#This Row],[distance from 45-degree line]]/MAX(Table1[[Flux in SC / glucose uptake ($mmol/mmol\ glc$)]:[Flux in RT / glucose uptake ($mmol/mmol\ glc$)]])</f>
        <v>0</v>
      </c>
      <c r="G1883">
        <f>_xlfn.RANK.AVG(Table1[[#This Row],[Flux in SC / glucose uptake ($mmol/mmol\ glc$)]],Table1[Flux in SC / glucose uptake ($mmol/mmol\ glc$)])</f>
        <v>1310.5</v>
      </c>
      <c r="H1883">
        <f>_xlfn.RANK.AVG(Table1[[#This Row],[Flux in RT / glucose uptake ($mmol/mmol\ glc$)]],Table1[Flux in RT / glucose uptake ($mmol/mmol\ glc$)])</f>
        <v>1290.5</v>
      </c>
      <c r="I1883" t="e">
        <f>LOG(Table1[[#This Row],[Flux in SC / glucose uptake ($mmol/mmol\ glc$)]])</f>
        <v>#NUM!</v>
      </c>
      <c r="J1883" t="e">
        <f>LOG(Table1[[#This Row],[Flux in RT / glucose uptake ($mmol/mmol\ glc$)]])</f>
        <v>#NUM!</v>
      </c>
    </row>
    <row r="1884" spans="1:10" x14ac:dyDescent="0.2">
      <c r="A1884" t="s">
        <v>1887</v>
      </c>
      <c r="B1884" t="s">
        <v>3131</v>
      </c>
      <c r="C1884">
        <v>6.4032053564496969E-2</v>
      </c>
      <c r="D1884">
        <v>0.55950547336825407</v>
      </c>
      <c r="E1884">
        <f>ABS(Table1[[#This Row],[Flux in SC / glucose uptake ($mmol/mmol\ glc$)]]-Table1[[#This Row],[Flux in RT / glucose uptake ($mmol/mmol\ glc$)]])/SQRT(2)</f>
        <v>0.35035261504092563</v>
      </c>
      <c r="F1884">
        <f>Table1[[#This Row],[distance from 45-degree line]]/MAX(Table1[[Flux in SC / glucose uptake ($mmol/mmol\ glc$)]:[Flux in RT / glucose uptake ($mmol/mmol\ glc$)]])</f>
        <v>1.8883606175270164E-2</v>
      </c>
      <c r="G1884">
        <f>_xlfn.RANK.AVG(Table1[[#This Row],[Flux in SC / glucose uptake ($mmol/mmol\ glc$)]],Table1[Flux in SC / glucose uptake ($mmol/mmol\ glc$)])</f>
        <v>45</v>
      </c>
      <c r="H1884">
        <f>_xlfn.RANK.AVG(Table1[[#This Row],[Flux in RT / glucose uptake ($mmol/mmol\ glc$)]],Table1[Flux in RT / glucose uptake ($mmol/mmol\ glc$)])</f>
        <v>36</v>
      </c>
      <c r="I1884">
        <f>LOG(Table1[[#This Row],[Flux in SC / glucose uptake ($mmol/mmol\ glc$)]])</f>
        <v>-1.1936025697449737</v>
      </c>
      <c r="J1884">
        <f>LOG(Table1[[#This Row],[Flux in RT / glucose uptake ($mmol/mmol\ glc$)]])</f>
        <v>-0.25219566062445448</v>
      </c>
    </row>
    <row r="1885" spans="1:10" x14ac:dyDescent="0.2">
      <c r="A1885" t="s">
        <v>1888</v>
      </c>
      <c r="B1885" t="s">
        <v>3118</v>
      </c>
      <c r="C1885">
        <v>0</v>
      </c>
      <c r="D1885">
        <v>0</v>
      </c>
      <c r="E1885">
        <f>ABS(Table1[[#This Row],[Flux in SC / glucose uptake ($mmol/mmol\ glc$)]]-Table1[[#This Row],[Flux in RT / glucose uptake ($mmol/mmol\ glc$)]])/SQRT(2)</f>
        <v>0</v>
      </c>
      <c r="F1885">
        <f>Table1[[#This Row],[distance from 45-degree line]]/MAX(Table1[[Flux in SC / glucose uptake ($mmol/mmol\ glc$)]:[Flux in RT / glucose uptake ($mmol/mmol\ glc$)]])</f>
        <v>0</v>
      </c>
      <c r="G1885">
        <f>_xlfn.RANK.AVG(Table1[[#This Row],[Flux in SC / glucose uptake ($mmol/mmol\ glc$)]],Table1[Flux in SC / glucose uptake ($mmol/mmol\ glc$)])</f>
        <v>1310.5</v>
      </c>
      <c r="H1885">
        <f>_xlfn.RANK.AVG(Table1[[#This Row],[Flux in RT / glucose uptake ($mmol/mmol\ glc$)]],Table1[Flux in RT / glucose uptake ($mmol/mmol\ glc$)])</f>
        <v>1290.5</v>
      </c>
      <c r="I1885" t="e">
        <f>LOG(Table1[[#This Row],[Flux in SC / glucose uptake ($mmol/mmol\ glc$)]])</f>
        <v>#NUM!</v>
      </c>
      <c r="J1885" t="e">
        <f>LOG(Table1[[#This Row],[Flux in RT / glucose uptake ($mmol/mmol\ glc$)]])</f>
        <v>#NUM!</v>
      </c>
    </row>
    <row r="1886" spans="1:10" x14ac:dyDescent="0.2">
      <c r="A1886" t="s">
        <v>1889</v>
      </c>
      <c r="B1886" t="s">
        <v>3181</v>
      </c>
      <c r="C1886">
        <v>0.95073098741872863</v>
      </c>
      <c r="D1886">
        <v>0.26438254025629854</v>
      </c>
      <c r="E1886">
        <f>ABS(Table1[[#This Row],[Flux in SC / glucose uptake ($mmol/mmol\ glc$)]]-Table1[[#This Row],[Flux in RT / glucose uptake ($mmol/mmol\ glc$)]])/SQRT(2)</f>
        <v>0.48532164124541116</v>
      </c>
      <c r="F1886">
        <f>Table1[[#This Row],[distance from 45-degree line]]/MAX(Table1[[Flux in SC / glucose uptake ($mmol/mmol\ glc$)]:[Flux in RT / glucose uptake ($mmol/mmol\ glc$)]])</f>
        <v>2.6158282679133289E-2</v>
      </c>
      <c r="G1886">
        <f>_xlfn.RANK.AVG(Table1[[#This Row],[Flux in SC / glucose uptake ($mmol/mmol\ glc$)]],Table1[Flux in SC / glucose uptake ($mmol/mmol\ glc$)])</f>
        <v>17</v>
      </c>
      <c r="H1886">
        <f>_xlfn.RANK.AVG(Table1[[#This Row],[Flux in RT / glucose uptake ($mmol/mmol\ glc$)]],Table1[Flux in RT / glucose uptake ($mmol/mmol\ glc$)])</f>
        <v>58</v>
      </c>
      <c r="I1886">
        <f>LOG(Table1[[#This Row],[Flux in SC / glucose uptake ($mmol/mmol\ glc$)]])</f>
        <v>-2.1942350788001368E-2</v>
      </c>
      <c r="J1886">
        <f>LOG(Table1[[#This Row],[Flux in RT / glucose uptake ($mmol/mmol\ glc$)]])</f>
        <v>-0.57776722891679877</v>
      </c>
    </row>
    <row r="1887" spans="1:10" x14ac:dyDescent="0.2">
      <c r="A1887" t="s">
        <v>1890</v>
      </c>
      <c r="B1887" t="s">
        <v>3181</v>
      </c>
      <c r="C1887">
        <v>1.8504745919645058</v>
      </c>
      <c r="D1887">
        <v>1.330107066028984</v>
      </c>
      <c r="E1887">
        <f>ABS(Table1[[#This Row],[Flux in SC / glucose uptake ($mmol/mmol\ glc$)]]-Table1[[#This Row],[Flux in RT / glucose uptake ($mmol/mmol\ glc$)]])/SQRT(2)</f>
        <v>0.36795540629827411</v>
      </c>
      <c r="F1887">
        <f>Table1[[#This Row],[distance from 45-degree line]]/MAX(Table1[[Flux in SC / glucose uptake ($mmol/mmol\ glc$)]:[Flux in RT / glucose uptake ($mmol/mmol\ glc$)]])</f>
        <v>1.9832376538095709E-2</v>
      </c>
      <c r="G1887">
        <f>_xlfn.RANK.AVG(Table1[[#This Row],[Flux in SC / glucose uptake ($mmol/mmol\ glc$)]],Table1[Flux in SC / glucose uptake ($mmol/mmol\ glc$)])</f>
        <v>3.5</v>
      </c>
      <c r="H1887">
        <f>_xlfn.RANK.AVG(Table1[[#This Row],[Flux in RT / glucose uptake ($mmol/mmol\ glc$)]],Table1[Flux in RT / glucose uptake ($mmol/mmol\ glc$)])</f>
        <v>16.5</v>
      </c>
      <c r="I1887">
        <f>LOG(Table1[[#This Row],[Flux in SC / glucose uptake ($mmol/mmol\ glc$)]])</f>
        <v>0.26728312636959795</v>
      </c>
      <c r="J1887">
        <f>LOG(Table1[[#This Row],[Flux in RT / glucose uptake ($mmol/mmol\ glc$)]])</f>
        <v>0.12388660060176061</v>
      </c>
    </row>
    <row r="1888" spans="1:10" x14ac:dyDescent="0.2">
      <c r="A1888" t="s">
        <v>1891</v>
      </c>
      <c r="B1888" t="s">
        <v>3182</v>
      </c>
      <c r="C1888">
        <v>3.4017731116890541E-2</v>
      </c>
      <c r="D1888">
        <v>0.63499171113962449</v>
      </c>
      <c r="E1888">
        <f>ABS(Table1[[#This Row],[Flux in SC / glucose uptake ($mmol/mmol\ glc$)]]-Table1[[#This Row],[Flux in RT / glucose uptake ($mmol/mmol\ glc$)]])/SQRT(2)</f>
        <v>0.42495277659074387</v>
      </c>
      <c r="F1888">
        <f>Table1[[#This Row],[distance from 45-degree line]]/MAX(Table1[[Flux in SC / glucose uptake ($mmol/mmol\ glc$)]:[Flux in RT / glucose uptake ($mmol/mmol\ glc$)]])</f>
        <v>2.2904469759101966E-2</v>
      </c>
      <c r="G1888">
        <f>_xlfn.RANK.AVG(Table1[[#This Row],[Flux in SC / glucose uptake ($mmol/mmol\ glc$)]],Table1[Flux in SC / glucose uptake ($mmol/mmol\ glc$)])</f>
        <v>54</v>
      </c>
      <c r="H1888">
        <f>_xlfn.RANK.AVG(Table1[[#This Row],[Flux in RT / glucose uptake ($mmol/mmol\ glc$)]],Table1[Flux in RT / glucose uptake ($mmol/mmol\ glc$)])</f>
        <v>30</v>
      </c>
      <c r="I1888">
        <f>LOG(Table1[[#This Row],[Flux in SC / glucose uptake ($mmol/mmol\ glc$)]])</f>
        <v>-1.4682946559284533</v>
      </c>
      <c r="J1888">
        <f>LOG(Table1[[#This Row],[Flux in RT / glucose uptake ($mmol/mmol\ glc$)]])</f>
        <v>-0.19723194373135861</v>
      </c>
    </row>
    <row r="1889" spans="1:10" x14ac:dyDescent="0.2">
      <c r="A1889" t="s">
        <v>1892</v>
      </c>
      <c r="B1889" t="s">
        <v>3203</v>
      </c>
      <c r="C1889">
        <v>0</v>
      </c>
      <c r="D1889">
        <v>0</v>
      </c>
      <c r="E1889">
        <f>ABS(Table1[[#This Row],[Flux in SC / glucose uptake ($mmol/mmol\ glc$)]]-Table1[[#This Row],[Flux in RT / glucose uptake ($mmol/mmol\ glc$)]])/SQRT(2)</f>
        <v>0</v>
      </c>
      <c r="F1889">
        <f>Table1[[#This Row],[distance from 45-degree line]]/MAX(Table1[[Flux in SC / glucose uptake ($mmol/mmol\ glc$)]:[Flux in RT / glucose uptake ($mmol/mmol\ glc$)]])</f>
        <v>0</v>
      </c>
      <c r="G1889">
        <f>_xlfn.RANK.AVG(Table1[[#This Row],[Flux in SC / glucose uptake ($mmol/mmol\ glc$)]],Table1[Flux in SC / glucose uptake ($mmol/mmol\ glc$)])</f>
        <v>1310.5</v>
      </c>
      <c r="H1889">
        <f>_xlfn.RANK.AVG(Table1[[#This Row],[Flux in RT / glucose uptake ($mmol/mmol\ glc$)]],Table1[Flux in RT / glucose uptake ($mmol/mmol\ glc$)])</f>
        <v>1290.5</v>
      </c>
      <c r="I1889" t="e">
        <f>LOG(Table1[[#This Row],[Flux in SC / glucose uptake ($mmol/mmol\ glc$)]])</f>
        <v>#NUM!</v>
      </c>
      <c r="J1889" t="e">
        <f>LOG(Table1[[#This Row],[Flux in RT / glucose uptake ($mmol/mmol\ glc$)]])</f>
        <v>#NUM!</v>
      </c>
    </row>
    <row r="1890" spans="1:10" x14ac:dyDescent="0.2">
      <c r="A1890" t="s">
        <v>1893</v>
      </c>
      <c r="B1890" t="s">
        <v>3181</v>
      </c>
      <c r="C1890">
        <v>1.7864425384000082</v>
      </c>
      <c r="D1890">
        <v>0.77060159266072981</v>
      </c>
      <c r="E1890">
        <f>ABS(Table1[[#This Row],[Flux in SC / glucose uptake ($mmol/mmol\ glc$)]]-Table1[[#This Row],[Flux in RT / glucose uptake ($mmol/mmol\ glc$)]])/SQRT(2)</f>
        <v>0.71830802133919935</v>
      </c>
      <c r="F1890">
        <f>Table1[[#This Row],[distance from 45-degree line]]/MAX(Table1[[Flux in SC / glucose uptake ($mmol/mmol\ glc$)]:[Flux in RT / glucose uptake ($mmol/mmol\ glc$)]])</f>
        <v>3.8715982713365855E-2</v>
      </c>
      <c r="G1890">
        <f>_xlfn.RANK.AVG(Table1[[#This Row],[Flux in SC / glucose uptake ($mmol/mmol\ glc$)]],Table1[Flux in SC / glucose uptake ($mmol/mmol\ glc$)])</f>
        <v>5.5</v>
      </c>
      <c r="H1890">
        <f>_xlfn.RANK.AVG(Table1[[#This Row],[Flux in RT / glucose uptake ($mmol/mmol\ glc$)]],Table1[Flux in RT / glucose uptake ($mmol/mmol\ glc$)])</f>
        <v>24.5</v>
      </c>
      <c r="I1890">
        <f>LOG(Table1[[#This Row],[Flux in SC / glucose uptake ($mmol/mmol\ glc$)]])</f>
        <v>0.25198905151682927</v>
      </c>
      <c r="J1890">
        <f>LOG(Table1[[#This Row],[Flux in RT / glucose uptake ($mmol/mmol\ glc$)]])</f>
        <v>-0.11317009773276131</v>
      </c>
    </row>
    <row r="1891" spans="1:10" x14ac:dyDescent="0.2">
      <c r="A1891" t="s">
        <v>1894</v>
      </c>
      <c r="B1891" t="s">
        <v>3116</v>
      </c>
      <c r="C1891">
        <v>1.4896578171119803E-2</v>
      </c>
      <c r="D1891">
        <v>8.97048560129967E-2</v>
      </c>
      <c r="E1891">
        <f>ABS(Table1[[#This Row],[Flux in SC / glucose uptake ($mmol/mmol\ glc$)]]-Table1[[#This Row],[Flux in RT / glucose uptake ($mmol/mmol\ glc$)]])/SQRT(2)</f>
        <v>5.2897440550878493E-2</v>
      </c>
      <c r="F1891">
        <f>Table1[[#This Row],[distance from 45-degree line]]/MAX(Table1[[Flux in SC / glucose uptake ($mmol/mmol\ glc$)]:[Flux in RT / glucose uptake ($mmol/mmol\ glc$)]])</f>
        <v>2.8511116862246682E-3</v>
      </c>
      <c r="G1891">
        <f>_xlfn.RANK.AVG(Table1[[#This Row],[Flux in SC / glucose uptake ($mmol/mmol\ glc$)]],Table1[Flux in SC / glucose uptake ($mmol/mmol\ glc$)])</f>
        <v>72.5</v>
      </c>
      <c r="H1891">
        <f>_xlfn.RANK.AVG(Table1[[#This Row],[Flux in RT / glucose uptake ($mmol/mmol\ glc$)]],Table1[Flux in RT / glucose uptake ($mmol/mmol\ glc$)])</f>
        <v>91.5</v>
      </c>
      <c r="I1891">
        <f>LOG(Table1[[#This Row],[Flux in SC / glucose uptake ($mmol/mmol\ glc$)]])</f>
        <v>-1.8269134800486859</v>
      </c>
      <c r="J1891">
        <f>LOG(Table1[[#This Row],[Flux in RT / glucose uptake ($mmol/mmol\ glc$)]])</f>
        <v>-1.0471840465594124</v>
      </c>
    </row>
    <row r="1892" spans="1:10" x14ac:dyDescent="0.2">
      <c r="A1892" t="s">
        <v>1895</v>
      </c>
      <c r="B1892" t="s">
        <v>3117</v>
      </c>
      <c r="C1892">
        <v>0</v>
      </c>
      <c r="D1892">
        <v>0</v>
      </c>
      <c r="E1892">
        <f>ABS(Table1[[#This Row],[Flux in SC / glucose uptake ($mmol/mmol\ glc$)]]-Table1[[#This Row],[Flux in RT / glucose uptake ($mmol/mmol\ glc$)]])/SQRT(2)</f>
        <v>0</v>
      </c>
      <c r="F1892">
        <f>Table1[[#This Row],[distance from 45-degree line]]/MAX(Table1[[Flux in SC / glucose uptake ($mmol/mmol\ glc$)]:[Flux in RT / glucose uptake ($mmol/mmol\ glc$)]])</f>
        <v>0</v>
      </c>
      <c r="G1892">
        <f>_xlfn.RANK.AVG(Table1[[#This Row],[Flux in SC / glucose uptake ($mmol/mmol\ glc$)]],Table1[Flux in SC / glucose uptake ($mmol/mmol\ glc$)])</f>
        <v>1310.5</v>
      </c>
      <c r="H1892">
        <f>_xlfn.RANK.AVG(Table1[[#This Row],[Flux in RT / glucose uptake ($mmol/mmol\ glc$)]],Table1[Flux in RT / glucose uptake ($mmol/mmol\ glc$)])</f>
        <v>1290.5</v>
      </c>
      <c r="I1892" t="e">
        <f>LOG(Table1[[#This Row],[Flux in SC / glucose uptake ($mmol/mmol\ glc$)]])</f>
        <v>#NUM!</v>
      </c>
      <c r="J1892" t="e">
        <f>LOG(Table1[[#This Row],[Flux in RT / glucose uptake ($mmol/mmol\ glc$)]])</f>
        <v>#NUM!</v>
      </c>
    </row>
    <row r="1893" spans="1:10" x14ac:dyDescent="0.2">
      <c r="A1893" t="s">
        <v>1896</v>
      </c>
      <c r="B1893" t="s">
        <v>3117</v>
      </c>
      <c r="C1893">
        <v>0</v>
      </c>
      <c r="D1893">
        <v>0</v>
      </c>
      <c r="E1893">
        <f>ABS(Table1[[#This Row],[Flux in SC / glucose uptake ($mmol/mmol\ glc$)]]-Table1[[#This Row],[Flux in RT / glucose uptake ($mmol/mmol\ glc$)]])/SQRT(2)</f>
        <v>0</v>
      </c>
      <c r="F1893">
        <f>Table1[[#This Row],[distance from 45-degree line]]/MAX(Table1[[Flux in SC / glucose uptake ($mmol/mmol\ glc$)]:[Flux in RT / glucose uptake ($mmol/mmol\ glc$)]])</f>
        <v>0</v>
      </c>
      <c r="G1893">
        <f>_xlfn.RANK.AVG(Table1[[#This Row],[Flux in SC / glucose uptake ($mmol/mmol\ glc$)]],Table1[Flux in SC / glucose uptake ($mmol/mmol\ glc$)])</f>
        <v>1310.5</v>
      </c>
      <c r="H1893">
        <f>_xlfn.RANK.AVG(Table1[[#This Row],[Flux in RT / glucose uptake ($mmol/mmol\ glc$)]],Table1[Flux in RT / glucose uptake ($mmol/mmol\ glc$)])</f>
        <v>1290.5</v>
      </c>
      <c r="I1893" t="e">
        <f>LOG(Table1[[#This Row],[Flux in SC / glucose uptake ($mmol/mmol\ glc$)]])</f>
        <v>#NUM!</v>
      </c>
      <c r="J1893" t="e">
        <f>LOG(Table1[[#This Row],[Flux in RT / glucose uptake ($mmol/mmol\ glc$)]])</f>
        <v>#NUM!</v>
      </c>
    </row>
    <row r="1894" spans="1:10" x14ac:dyDescent="0.2">
      <c r="A1894" t="s">
        <v>1897</v>
      </c>
      <c r="B1894" t="s">
        <v>3198</v>
      </c>
      <c r="C1894">
        <v>0</v>
      </c>
      <c r="D1894">
        <v>0</v>
      </c>
      <c r="E1894">
        <f>ABS(Table1[[#This Row],[Flux in SC / glucose uptake ($mmol/mmol\ glc$)]]-Table1[[#This Row],[Flux in RT / glucose uptake ($mmol/mmol\ glc$)]])/SQRT(2)</f>
        <v>0</v>
      </c>
      <c r="F1894">
        <f>Table1[[#This Row],[distance from 45-degree line]]/MAX(Table1[[Flux in SC / glucose uptake ($mmol/mmol\ glc$)]:[Flux in RT / glucose uptake ($mmol/mmol\ glc$)]])</f>
        <v>0</v>
      </c>
      <c r="G1894">
        <f>_xlfn.RANK.AVG(Table1[[#This Row],[Flux in SC / glucose uptake ($mmol/mmol\ glc$)]],Table1[Flux in SC / glucose uptake ($mmol/mmol\ glc$)])</f>
        <v>1310.5</v>
      </c>
      <c r="H1894">
        <f>_xlfn.RANK.AVG(Table1[[#This Row],[Flux in RT / glucose uptake ($mmol/mmol\ glc$)]],Table1[Flux in RT / glucose uptake ($mmol/mmol\ glc$)])</f>
        <v>1290.5</v>
      </c>
      <c r="I1894" t="e">
        <f>LOG(Table1[[#This Row],[Flux in SC / glucose uptake ($mmol/mmol\ glc$)]])</f>
        <v>#NUM!</v>
      </c>
      <c r="J1894" t="e">
        <f>LOG(Table1[[#This Row],[Flux in RT / glucose uptake ($mmol/mmol\ glc$)]])</f>
        <v>#NUM!</v>
      </c>
    </row>
    <row r="1895" spans="1:10" x14ac:dyDescent="0.2">
      <c r="A1895" t="s">
        <v>1898</v>
      </c>
      <c r="B1895" t="s">
        <v>3114</v>
      </c>
      <c r="C1895">
        <v>0</v>
      </c>
      <c r="D1895">
        <v>0</v>
      </c>
      <c r="E1895">
        <f>ABS(Table1[[#This Row],[Flux in SC / glucose uptake ($mmol/mmol\ glc$)]]-Table1[[#This Row],[Flux in RT / glucose uptake ($mmol/mmol\ glc$)]])/SQRT(2)</f>
        <v>0</v>
      </c>
      <c r="F1895">
        <f>Table1[[#This Row],[distance from 45-degree line]]/MAX(Table1[[Flux in SC / glucose uptake ($mmol/mmol\ glc$)]:[Flux in RT / glucose uptake ($mmol/mmol\ glc$)]])</f>
        <v>0</v>
      </c>
      <c r="G1895">
        <f>_xlfn.RANK.AVG(Table1[[#This Row],[Flux in SC / glucose uptake ($mmol/mmol\ glc$)]],Table1[Flux in SC / glucose uptake ($mmol/mmol\ glc$)])</f>
        <v>1310.5</v>
      </c>
      <c r="H1895">
        <f>_xlfn.RANK.AVG(Table1[[#This Row],[Flux in RT / glucose uptake ($mmol/mmol\ glc$)]],Table1[Flux in RT / glucose uptake ($mmol/mmol\ glc$)])</f>
        <v>1290.5</v>
      </c>
      <c r="I1895" t="e">
        <f>LOG(Table1[[#This Row],[Flux in SC / glucose uptake ($mmol/mmol\ glc$)]])</f>
        <v>#NUM!</v>
      </c>
      <c r="J1895" t="e">
        <f>LOG(Table1[[#This Row],[Flux in RT / glucose uptake ($mmol/mmol\ glc$)]])</f>
        <v>#NUM!</v>
      </c>
    </row>
    <row r="1896" spans="1:10" x14ac:dyDescent="0.2">
      <c r="A1896" t="s">
        <v>1899</v>
      </c>
      <c r="B1896" t="s">
        <v>3204</v>
      </c>
      <c r="C1896">
        <v>0</v>
      </c>
      <c r="D1896">
        <v>0</v>
      </c>
      <c r="E1896">
        <f>ABS(Table1[[#This Row],[Flux in SC / glucose uptake ($mmol/mmol\ glc$)]]-Table1[[#This Row],[Flux in RT / glucose uptake ($mmol/mmol\ glc$)]])/SQRT(2)</f>
        <v>0</v>
      </c>
      <c r="F1896">
        <f>Table1[[#This Row],[distance from 45-degree line]]/MAX(Table1[[Flux in SC / glucose uptake ($mmol/mmol\ glc$)]:[Flux in RT / glucose uptake ($mmol/mmol\ glc$)]])</f>
        <v>0</v>
      </c>
      <c r="G1896">
        <f>_xlfn.RANK.AVG(Table1[[#This Row],[Flux in SC / glucose uptake ($mmol/mmol\ glc$)]],Table1[Flux in SC / glucose uptake ($mmol/mmol\ glc$)])</f>
        <v>1310.5</v>
      </c>
      <c r="H1896">
        <f>_xlfn.RANK.AVG(Table1[[#This Row],[Flux in RT / glucose uptake ($mmol/mmol\ glc$)]],Table1[Flux in RT / glucose uptake ($mmol/mmol\ glc$)])</f>
        <v>1290.5</v>
      </c>
      <c r="I1896" t="e">
        <f>LOG(Table1[[#This Row],[Flux in SC / glucose uptake ($mmol/mmol\ glc$)]])</f>
        <v>#NUM!</v>
      </c>
      <c r="J1896" t="e">
        <f>LOG(Table1[[#This Row],[Flux in RT / glucose uptake ($mmol/mmol\ glc$)]])</f>
        <v>#NUM!</v>
      </c>
    </row>
    <row r="1897" spans="1:10" x14ac:dyDescent="0.2">
      <c r="A1897" t="s">
        <v>1900</v>
      </c>
      <c r="B1897" t="s">
        <v>3204</v>
      </c>
      <c r="C1897">
        <v>0</v>
      </c>
      <c r="D1897">
        <v>0</v>
      </c>
      <c r="E1897">
        <f>ABS(Table1[[#This Row],[Flux in SC / glucose uptake ($mmol/mmol\ glc$)]]-Table1[[#This Row],[Flux in RT / glucose uptake ($mmol/mmol\ glc$)]])/SQRT(2)</f>
        <v>0</v>
      </c>
      <c r="F1897">
        <f>Table1[[#This Row],[distance from 45-degree line]]/MAX(Table1[[Flux in SC / glucose uptake ($mmol/mmol\ glc$)]:[Flux in RT / glucose uptake ($mmol/mmol\ glc$)]])</f>
        <v>0</v>
      </c>
      <c r="G1897">
        <f>_xlfn.RANK.AVG(Table1[[#This Row],[Flux in SC / glucose uptake ($mmol/mmol\ glc$)]],Table1[Flux in SC / glucose uptake ($mmol/mmol\ glc$)])</f>
        <v>1310.5</v>
      </c>
      <c r="H1897">
        <f>_xlfn.RANK.AVG(Table1[[#This Row],[Flux in RT / glucose uptake ($mmol/mmol\ glc$)]],Table1[Flux in RT / glucose uptake ($mmol/mmol\ glc$)])</f>
        <v>1290.5</v>
      </c>
      <c r="I1897" t="e">
        <f>LOG(Table1[[#This Row],[Flux in SC / glucose uptake ($mmol/mmol\ glc$)]])</f>
        <v>#NUM!</v>
      </c>
      <c r="J1897" t="e">
        <f>LOG(Table1[[#This Row],[Flux in RT / glucose uptake ($mmol/mmol\ glc$)]])</f>
        <v>#NUM!</v>
      </c>
    </row>
    <row r="1898" spans="1:10" x14ac:dyDescent="0.2">
      <c r="A1898" t="s">
        <v>1901</v>
      </c>
      <c r="B1898" t="s">
        <v>3204</v>
      </c>
      <c r="C1898">
        <v>0</v>
      </c>
      <c r="D1898">
        <v>0</v>
      </c>
      <c r="E1898">
        <f>ABS(Table1[[#This Row],[Flux in SC / glucose uptake ($mmol/mmol\ glc$)]]-Table1[[#This Row],[Flux in RT / glucose uptake ($mmol/mmol\ glc$)]])/SQRT(2)</f>
        <v>0</v>
      </c>
      <c r="F1898">
        <f>Table1[[#This Row],[distance from 45-degree line]]/MAX(Table1[[Flux in SC / glucose uptake ($mmol/mmol\ glc$)]:[Flux in RT / glucose uptake ($mmol/mmol\ glc$)]])</f>
        <v>0</v>
      </c>
      <c r="G1898">
        <f>_xlfn.RANK.AVG(Table1[[#This Row],[Flux in SC / glucose uptake ($mmol/mmol\ glc$)]],Table1[Flux in SC / glucose uptake ($mmol/mmol\ glc$)])</f>
        <v>1310.5</v>
      </c>
      <c r="H1898">
        <f>_xlfn.RANK.AVG(Table1[[#This Row],[Flux in RT / glucose uptake ($mmol/mmol\ glc$)]],Table1[Flux in RT / glucose uptake ($mmol/mmol\ glc$)])</f>
        <v>1290.5</v>
      </c>
      <c r="I1898" t="e">
        <f>LOG(Table1[[#This Row],[Flux in SC / glucose uptake ($mmol/mmol\ glc$)]])</f>
        <v>#NUM!</v>
      </c>
      <c r="J1898" t="e">
        <f>LOG(Table1[[#This Row],[Flux in RT / glucose uptake ($mmol/mmol\ glc$)]])</f>
        <v>#NUM!</v>
      </c>
    </row>
    <row r="1899" spans="1:10" x14ac:dyDescent="0.2">
      <c r="A1899" t="s">
        <v>1902</v>
      </c>
      <c r="B1899" t="s">
        <v>3204</v>
      </c>
      <c r="C1899">
        <v>0</v>
      </c>
      <c r="D1899">
        <v>0</v>
      </c>
      <c r="E1899">
        <f>ABS(Table1[[#This Row],[Flux in SC / glucose uptake ($mmol/mmol\ glc$)]]-Table1[[#This Row],[Flux in RT / glucose uptake ($mmol/mmol\ glc$)]])/SQRT(2)</f>
        <v>0</v>
      </c>
      <c r="F1899">
        <f>Table1[[#This Row],[distance from 45-degree line]]/MAX(Table1[[Flux in SC / glucose uptake ($mmol/mmol\ glc$)]:[Flux in RT / glucose uptake ($mmol/mmol\ glc$)]])</f>
        <v>0</v>
      </c>
      <c r="G1899">
        <f>_xlfn.RANK.AVG(Table1[[#This Row],[Flux in SC / glucose uptake ($mmol/mmol\ glc$)]],Table1[Flux in SC / glucose uptake ($mmol/mmol\ glc$)])</f>
        <v>1310.5</v>
      </c>
      <c r="H1899">
        <f>_xlfn.RANK.AVG(Table1[[#This Row],[Flux in RT / glucose uptake ($mmol/mmol\ glc$)]],Table1[Flux in RT / glucose uptake ($mmol/mmol\ glc$)])</f>
        <v>1290.5</v>
      </c>
      <c r="I1899" t="e">
        <f>LOG(Table1[[#This Row],[Flux in SC / glucose uptake ($mmol/mmol\ glc$)]])</f>
        <v>#NUM!</v>
      </c>
      <c r="J1899" t="e">
        <f>LOG(Table1[[#This Row],[Flux in RT / glucose uptake ($mmol/mmol\ glc$)]])</f>
        <v>#NUM!</v>
      </c>
    </row>
    <row r="1900" spans="1:10" x14ac:dyDescent="0.2">
      <c r="A1900" t="s">
        <v>1903</v>
      </c>
      <c r="B1900" t="s">
        <v>3134</v>
      </c>
      <c r="C1900">
        <v>0</v>
      </c>
      <c r="D1900">
        <v>0</v>
      </c>
      <c r="E1900">
        <f>ABS(Table1[[#This Row],[Flux in SC / glucose uptake ($mmol/mmol\ glc$)]]-Table1[[#This Row],[Flux in RT / glucose uptake ($mmol/mmol\ glc$)]])/SQRT(2)</f>
        <v>0</v>
      </c>
      <c r="F1900">
        <f>Table1[[#This Row],[distance from 45-degree line]]/MAX(Table1[[Flux in SC / glucose uptake ($mmol/mmol\ glc$)]:[Flux in RT / glucose uptake ($mmol/mmol\ glc$)]])</f>
        <v>0</v>
      </c>
      <c r="G1900">
        <f>_xlfn.RANK.AVG(Table1[[#This Row],[Flux in SC / glucose uptake ($mmol/mmol\ glc$)]],Table1[Flux in SC / glucose uptake ($mmol/mmol\ glc$)])</f>
        <v>1310.5</v>
      </c>
      <c r="H1900">
        <f>_xlfn.RANK.AVG(Table1[[#This Row],[Flux in RT / glucose uptake ($mmol/mmol\ glc$)]],Table1[Flux in RT / glucose uptake ($mmol/mmol\ glc$)])</f>
        <v>1290.5</v>
      </c>
      <c r="I1900" t="e">
        <f>LOG(Table1[[#This Row],[Flux in SC / glucose uptake ($mmol/mmol\ glc$)]])</f>
        <v>#NUM!</v>
      </c>
      <c r="J1900" t="e">
        <f>LOG(Table1[[#This Row],[Flux in RT / glucose uptake ($mmol/mmol\ glc$)]])</f>
        <v>#NUM!</v>
      </c>
    </row>
    <row r="1901" spans="1:10" x14ac:dyDescent="0.2">
      <c r="A1901" t="s">
        <v>1904</v>
      </c>
      <c r="B1901" t="s">
        <v>3134</v>
      </c>
      <c r="C1901">
        <v>0</v>
      </c>
      <c r="D1901">
        <v>0</v>
      </c>
      <c r="E1901">
        <f>ABS(Table1[[#This Row],[Flux in SC / glucose uptake ($mmol/mmol\ glc$)]]-Table1[[#This Row],[Flux in RT / glucose uptake ($mmol/mmol\ glc$)]])/SQRT(2)</f>
        <v>0</v>
      </c>
      <c r="F1901">
        <f>Table1[[#This Row],[distance from 45-degree line]]/MAX(Table1[[Flux in SC / glucose uptake ($mmol/mmol\ glc$)]:[Flux in RT / glucose uptake ($mmol/mmol\ glc$)]])</f>
        <v>0</v>
      </c>
      <c r="G1901">
        <f>_xlfn.RANK.AVG(Table1[[#This Row],[Flux in SC / glucose uptake ($mmol/mmol\ glc$)]],Table1[Flux in SC / glucose uptake ($mmol/mmol\ glc$)])</f>
        <v>1310.5</v>
      </c>
      <c r="H1901">
        <f>_xlfn.RANK.AVG(Table1[[#This Row],[Flux in RT / glucose uptake ($mmol/mmol\ glc$)]],Table1[Flux in RT / glucose uptake ($mmol/mmol\ glc$)])</f>
        <v>1290.5</v>
      </c>
      <c r="I1901" t="e">
        <f>LOG(Table1[[#This Row],[Flux in SC / glucose uptake ($mmol/mmol\ glc$)]])</f>
        <v>#NUM!</v>
      </c>
      <c r="J1901" t="e">
        <f>LOG(Table1[[#This Row],[Flux in RT / glucose uptake ($mmol/mmol\ glc$)]])</f>
        <v>#NUM!</v>
      </c>
    </row>
    <row r="1902" spans="1:10" x14ac:dyDescent="0.2">
      <c r="A1902" t="s">
        <v>1905</v>
      </c>
      <c r="B1902" t="s">
        <v>3114</v>
      </c>
      <c r="C1902">
        <v>0</v>
      </c>
      <c r="D1902">
        <v>0</v>
      </c>
      <c r="E1902">
        <f>ABS(Table1[[#This Row],[Flux in SC / glucose uptake ($mmol/mmol\ glc$)]]-Table1[[#This Row],[Flux in RT / glucose uptake ($mmol/mmol\ glc$)]])/SQRT(2)</f>
        <v>0</v>
      </c>
      <c r="F1902">
        <f>Table1[[#This Row],[distance from 45-degree line]]/MAX(Table1[[Flux in SC / glucose uptake ($mmol/mmol\ glc$)]:[Flux in RT / glucose uptake ($mmol/mmol\ glc$)]])</f>
        <v>0</v>
      </c>
      <c r="G1902">
        <f>_xlfn.RANK.AVG(Table1[[#This Row],[Flux in SC / glucose uptake ($mmol/mmol\ glc$)]],Table1[Flux in SC / glucose uptake ($mmol/mmol\ glc$)])</f>
        <v>1310.5</v>
      </c>
      <c r="H1902">
        <f>_xlfn.RANK.AVG(Table1[[#This Row],[Flux in RT / glucose uptake ($mmol/mmol\ glc$)]],Table1[Flux in RT / glucose uptake ($mmol/mmol\ glc$)])</f>
        <v>1290.5</v>
      </c>
      <c r="I1902" t="e">
        <f>LOG(Table1[[#This Row],[Flux in SC / glucose uptake ($mmol/mmol\ glc$)]])</f>
        <v>#NUM!</v>
      </c>
      <c r="J1902" t="e">
        <f>LOG(Table1[[#This Row],[Flux in RT / glucose uptake ($mmol/mmol\ glc$)]])</f>
        <v>#NUM!</v>
      </c>
    </row>
    <row r="1903" spans="1:10" x14ac:dyDescent="0.2">
      <c r="A1903" t="s">
        <v>1906</v>
      </c>
      <c r="B1903" t="s">
        <v>3200</v>
      </c>
      <c r="C1903">
        <v>0</v>
      </c>
      <c r="D1903">
        <v>0</v>
      </c>
      <c r="E1903">
        <f>ABS(Table1[[#This Row],[Flux in SC / glucose uptake ($mmol/mmol\ glc$)]]-Table1[[#This Row],[Flux in RT / glucose uptake ($mmol/mmol\ glc$)]])/SQRT(2)</f>
        <v>0</v>
      </c>
      <c r="F1903">
        <f>Table1[[#This Row],[distance from 45-degree line]]/MAX(Table1[[Flux in SC / glucose uptake ($mmol/mmol\ glc$)]:[Flux in RT / glucose uptake ($mmol/mmol\ glc$)]])</f>
        <v>0</v>
      </c>
      <c r="G1903">
        <f>_xlfn.RANK.AVG(Table1[[#This Row],[Flux in SC / glucose uptake ($mmol/mmol\ glc$)]],Table1[Flux in SC / glucose uptake ($mmol/mmol\ glc$)])</f>
        <v>1310.5</v>
      </c>
      <c r="H1903">
        <f>_xlfn.RANK.AVG(Table1[[#This Row],[Flux in RT / glucose uptake ($mmol/mmol\ glc$)]],Table1[Flux in RT / glucose uptake ($mmol/mmol\ glc$)])</f>
        <v>1290.5</v>
      </c>
      <c r="I1903" t="e">
        <f>LOG(Table1[[#This Row],[Flux in SC / glucose uptake ($mmol/mmol\ glc$)]])</f>
        <v>#NUM!</v>
      </c>
      <c r="J1903" t="e">
        <f>LOG(Table1[[#This Row],[Flux in RT / glucose uptake ($mmol/mmol\ glc$)]])</f>
        <v>#NUM!</v>
      </c>
    </row>
    <row r="1904" spans="1:10" x14ac:dyDescent="0.2">
      <c r="A1904" t="s">
        <v>1907</v>
      </c>
      <c r="B1904" t="s">
        <v>3114</v>
      </c>
      <c r="C1904">
        <v>0</v>
      </c>
      <c r="D1904">
        <v>0</v>
      </c>
      <c r="E1904">
        <f>ABS(Table1[[#This Row],[Flux in SC / glucose uptake ($mmol/mmol\ glc$)]]-Table1[[#This Row],[Flux in RT / glucose uptake ($mmol/mmol\ glc$)]])/SQRT(2)</f>
        <v>0</v>
      </c>
      <c r="F1904">
        <f>Table1[[#This Row],[distance from 45-degree line]]/MAX(Table1[[Flux in SC / glucose uptake ($mmol/mmol\ glc$)]:[Flux in RT / glucose uptake ($mmol/mmol\ glc$)]])</f>
        <v>0</v>
      </c>
      <c r="G1904">
        <f>_xlfn.RANK.AVG(Table1[[#This Row],[Flux in SC / glucose uptake ($mmol/mmol\ glc$)]],Table1[Flux in SC / glucose uptake ($mmol/mmol\ glc$)])</f>
        <v>1310.5</v>
      </c>
      <c r="H1904">
        <f>_xlfn.RANK.AVG(Table1[[#This Row],[Flux in RT / glucose uptake ($mmol/mmol\ glc$)]],Table1[Flux in RT / glucose uptake ($mmol/mmol\ glc$)])</f>
        <v>1290.5</v>
      </c>
      <c r="I1904" t="e">
        <f>LOG(Table1[[#This Row],[Flux in SC / glucose uptake ($mmol/mmol\ glc$)]])</f>
        <v>#NUM!</v>
      </c>
      <c r="J1904" t="e">
        <f>LOG(Table1[[#This Row],[Flux in RT / glucose uptake ($mmol/mmol\ glc$)]])</f>
        <v>#NUM!</v>
      </c>
    </row>
    <row r="1905" spans="1:10" x14ac:dyDescent="0.2">
      <c r="A1905" t="s">
        <v>1908</v>
      </c>
      <c r="B1905" t="s">
        <v>3120</v>
      </c>
      <c r="C1905">
        <v>2.502450725078115E-3</v>
      </c>
      <c r="D1905">
        <v>1.132605285516137E-2</v>
      </c>
      <c r="E1905">
        <f>ABS(Table1[[#This Row],[Flux in SC / glucose uptake ($mmol/mmol\ glc$)]]-Table1[[#This Row],[Flux in RT / glucose uptake ($mmol/mmol\ glc$)]])/SQRT(2)</f>
        <v>6.2392289006739342E-3</v>
      </c>
      <c r="F1905">
        <f>Table1[[#This Row],[distance from 45-degree line]]/MAX(Table1[[Flux in SC / glucose uptake ($mmol/mmol\ glc$)]:[Flux in RT / glucose uptake ($mmol/mmol\ glc$)]])</f>
        <v>3.3628731837473971E-4</v>
      </c>
      <c r="G1905">
        <f>_xlfn.RANK.AVG(Table1[[#This Row],[Flux in SC / glucose uptake ($mmol/mmol\ glc$)]],Table1[Flux in SC / glucose uptake ($mmol/mmol\ glc$)])</f>
        <v>186.5</v>
      </c>
      <c r="H1905">
        <f>_xlfn.RANK.AVG(Table1[[#This Row],[Flux in RT / glucose uptake ($mmol/mmol\ glc$)]],Table1[Flux in RT / glucose uptake ($mmol/mmol\ glc$)])</f>
        <v>191.5</v>
      </c>
      <c r="I1905">
        <f>LOG(Table1[[#This Row],[Flux in SC / glucose uptake ($mmol/mmol\ glc$)]])</f>
        <v>-2.6016344653121233</v>
      </c>
      <c r="J1905">
        <f>LOG(Table1[[#This Row],[Flux in RT / glucose uptake ($mmol/mmol\ glc$)]])</f>
        <v>-1.9459214159876672</v>
      </c>
    </row>
    <row r="1906" spans="1:10" x14ac:dyDescent="0.2">
      <c r="A1906" t="s">
        <v>1909</v>
      </c>
      <c r="B1906" t="s">
        <v>3120</v>
      </c>
      <c r="C1906">
        <v>0</v>
      </c>
      <c r="D1906">
        <v>0</v>
      </c>
      <c r="E1906">
        <f>ABS(Table1[[#This Row],[Flux in SC / glucose uptake ($mmol/mmol\ glc$)]]-Table1[[#This Row],[Flux in RT / glucose uptake ($mmol/mmol\ glc$)]])/SQRT(2)</f>
        <v>0</v>
      </c>
      <c r="F1906">
        <f>Table1[[#This Row],[distance from 45-degree line]]/MAX(Table1[[Flux in SC / glucose uptake ($mmol/mmol\ glc$)]:[Flux in RT / glucose uptake ($mmol/mmol\ glc$)]])</f>
        <v>0</v>
      </c>
      <c r="G1906">
        <f>_xlfn.RANK.AVG(Table1[[#This Row],[Flux in SC / glucose uptake ($mmol/mmol\ glc$)]],Table1[Flux in SC / glucose uptake ($mmol/mmol\ glc$)])</f>
        <v>1310.5</v>
      </c>
      <c r="H1906">
        <f>_xlfn.RANK.AVG(Table1[[#This Row],[Flux in RT / glucose uptake ($mmol/mmol\ glc$)]],Table1[Flux in RT / glucose uptake ($mmol/mmol\ glc$)])</f>
        <v>1290.5</v>
      </c>
      <c r="I1906" t="e">
        <f>LOG(Table1[[#This Row],[Flux in SC / glucose uptake ($mmol/mmol\ glc$)]])</f>
        <v>#NUM!</v>
      </c>
      <c r="J1906" t="e">
        <f>LOG(Table1[[#This Row],[Flux in RT / glucose uptake ($mmol/mmol\ glc$)]])</f>
        <v>#NUM!</v>
      </c>
    </row>
    <row r="1907" spans="1:10" x14ac:dyDescent="0.2">
      <c r="A1907" t="s">
        <v>1910</v>
      </c>
      <c r="B1907" t="s">
        <v>3114</v>
      </c>
      <c r="C1907">
        <v>0</v>
      </c>
      <c r="D1907">
        <v>0</v>
      </c>
      <c r="E1907">
        <f>ABS(Table1[[#This Row],[Flux in SC / glucose uptake ($mmol/mmol\ glc$)]]-Table1[[#This Row],[Flux in RT / glucose uptake ($mmol/mmol\ glc$)]])/SQRT(2)</f>
        <v>0</v>
      </c>
      <c r="F1907">
        <f>Table1[[#This Row],[distance from 45-degree line]]/MAX(Table1[[Flux in SC / glucose uptake ($mmol/mmol\ glc$)]:[Flux in RT / glucose uptake ($mmol/mmol\ glc$)]])</f>
        <v>0</v>
      </c>
      <c r="G1907">
        <f>_xlfn.RANK.AVG(Table1[[#This Row],[Flux in SC / glucose uptake ($mmol/mmol\ glc$)]],Table1[Flux in SC / glucose uptake ($mmol/mmol\ glc$)])</f>
        <v>1310.5</v>
      </c>
      <c r="H1907">
        <f>_xlfn.RANK.AVG(Table1[[#This Row],[Flux in RT / glucose uptake ($mmol/mmol\ glc$)]],Table1[Flux in RT / glucose uptake ($mmol/mmol\ glc$)])</f>
        <v>1290.5</v>
      </c>
      <c r="I1907" t="e">
        <f>LOG(Table1[[#This Row],[Flux in SC / glucose uptake ($mmol/mmol\ glc$)]])</f>
        <v>#NUM!</v>
      </c>
      <c r="J1907" t="e">
        <f>LOG(Table1[[#This Row],[Flux in RT / glucose uptake ($mmol/mmol\ glc$)]])</f>
        <v>#NUM!</v>
      </c>
    </row>
    <row r="1908" spans="1:10" x14ac:dyDescent="0.2">
      <c r="A1908" t="s">
        <v>1911</v>
      </c>
      <c r="B1908" t="s">
        <v>3154</v>
      </c>
      <c r="C1908">
        <v>0</v>
      </c>
      <c r="D1908">
        <v>0</v>
      </c>
      <c r="E1908">
        <f>ABS(Table1[[#This Row],[Flux in SC / glucose uptake ($mmol/mmol\ glc$)]]-Table1[[#This Row],[Flux in RT / glucose uptake ($mmol/mmol\ glc$)]])/SQRT(2)</f>
        <v>0</v>
      </c>
      <c r="F1908">
        <f>Table1[[#This Row],[distance from 45-degree line]]/MAX(Table1[[Flux in SC / glucose uptake ($mmol/mmol\ glc$)]:[Flux in RT / glucose uptake ($mmol/mmol\ glc$)]])</f>
        <v>0</v>
      </c>
      <c r="G1908">
        <f>_xlfn.RANK.AVG(Table1[[#This Row],[Flux in SC / glucose uptake ($mmol/mmol\ glc$)]],Table1[Flux in SC / glucose uptake ($mmol/mmol\ glc$)])</f>
        <v>1310.5</v>
      </c>
      <c r="H1908">
        <f>_xlfn.RANK.AVG(Table1[[#This Row],[Flux in RT / glucose uptake ($mmol/mmol\ glc$)]],Table1[Flux in RT / glucose uptake ($mmol/mmol\ glc$)])</f>
        <v>1290.5</v>
      </c>
      <c r="I1908" t="e">
        <f>LOG(Table1[[#This Row],[Flux in SC / glucose uptake ($mmol/mmol\ glc$)]])</f>
        <v>#NUM!</v>
      </c>
      <c r="J1908" t="e">
        <f>LOG(Table1[[#This Row],[Flux in RT / glucose uptake ($mmol/mmol\ glc$)]])</f>
        <v>#NUM!</v>
      </c>
    </row>
    <row r="1909" spans="1:10" x14ac:dyDescent="0.2">
      <c r="A1909" t="s">
        <v>1912</v>
      </c>
      <c r="B1909" t="s">
        <v>3154</v>
      </c>
      <c r="C1909">
        <v>0</v>
      </c>
      <c r="D1909">
        <v>0</v>
      </c>
      <c r="E1909">
        <f>ABS(Table1[[#This Row],[Flux in SC / glucose uptake ($mmol/mmol\ glc$)]]-Table1[[#This Row],[Flux in RT / glucose uptake ($mmol/mmol\ glc$)]])/SQRT(2)</f>
        <v>0</v>
      </c>
      <c r="F1909">
        <f>Table1[[#This Row],[distance from 45-degree line]]/MAX(Table1[[Flux in SC / glucose uptake ($mmol/mmol\ glc$)]:[Flux in RT / glucose uptake ($mmol/mmol\ glc$)]])</f>
        <v>0</v>
      </c>
      <c r="G1909">
        <f>_xlfn.RANK.AVG(Table1[[#This Row],[Flux in SC / glucose uptake ($mmol/mmol\ glc$)]],Table1[Flux in SC / glucose uptake ($mmol/mmol\ glc$)])</f>
        <v>1310.5</v>
      </c>
      <c r="H1909">
        <f>_xlfn.RANK.AVG(Table1[[#This Row],[Flux in RT / glucose uptake ($mmol/mmol\ glc$)]],Table1[Flux in RT / glucose uptake ($mmol/mmol\ glc$)])</f>
        <v>1290.5</v>
      </c>
      <c r="I1909" t="e">
        <f>LOG(Table1[[#This Row],[Flux in SC / glucose uptake ($mmol/mmol\ glc$)]])</f>
        <v>#NUM!</v>
      </c>
      <c r="J1909" t="e">
        <f>LOG(Table1[[#This Row],[Flux in RT / glucose uptake ($mmol/mmol\ glc$)]])</f>
        <v>#NUM!</v>
      </c>
    </row>
    <row r="1910" spans="1:10" x14ac:dyDescent="0.2">
      <c r="A1910" t="s">
        <v>1913</v>
      </c>
      <c r="B1910" t="s">
        <v>3168</v>
      </c>
      <c r="C1910">
        <v>0</v>
      </c>
      <c r="D1910">
        <v>0</v>
      </c>
      <c r="E1910">
        <f>ABS(Table1[[#This Row],[Flux in SC / glucose uptake ($mmol/mmol\ glc$)]]-Table1[[#This Row],[Flux in RT / glucose uptake ($mmol/mmol\ glc$)]])/SQRT(2)</f>
        <v>0</v>
      </c>
      <c r="F1910">
        <f>Table1[[#This Row],[distance from 45-degree line]]/MAX(Table1[[Flux in SC / glucose uptake ($mmol/mmol\ glc$)]:[Flux in RT / glucose uptake ($mmol/mmol\ glc$)]])</f>
        <v>0</v>
      </c>
      <c r="G1910">
        <f>_xlfn.RANK.AVG(Table1[[#This Row],[Flux in SC / glucose uptake ($mmol/mmol\ glc$)]],Table1[Flux in SC / glucose uptake ($mmol/mmol\ glc$)])</f>
        <v>1310.5</v>
      </c>
      <c r="H1910">
        <f>_xlfn.RANK.AVG(Table1[[#This Row],[Flux in RT / glucose uptake ($mmol/mmol\ glc$)]],Table1[Flux in RT / glucose uptake ($mmol/mmol\ glc$)])</f>
        <v>1290.5</v>
      </c>
      <c r="I1910" t="e">
        <f>LOG(Table1[[#This Row],[Flux in SC / glucose uptake ($mmol/mmol\ glc$)]])</f>
        <v>#NUM!</v>
      </c>
      <c r="J1910" t="e">
        <f>LOG(Table1[[#This Row],[Flux in RT / glucose uptake ($mmol/mmol\ glc$)]])</f>
        <v>#NUM!</v>
      </c>
    </row>
    <row r="1911" spans="1:10" x14ac:dyDescent="0.2">
      <c r="A1911" t="s">
        <v>1914</v>
      </c>
      <c r="B1911" t="s">
        <v>3168</v>
      </c>
      <c r="C1911">
        <v>0</v>
      </c>
      <c r="D1911">
        <v>0</v>
      </c>
      <c r="E1911">
        <f>ABS(Table1[[#This Row],[Flux in SC / glucose uptake ($mmol/mmol\ glc$)]]-Table1[[#This Row],[Flux in RT / glucose uptake ($mmol/mmol\ glc$)]])/SQRT(2)</f>
        <v>0</v>
      </c>
      <c r="F1911">
        <f>Table1[[#This Row],[distance from 45-degree line]]/MAX(Table1[[Flux in SC / glucose uptake ($mmol/mmol\ glc$)]:[Flux in RT / glucose uptake ($mmol/mmol\ glc$)]])</f>
        <v>0</v>
      </c>
      <c r="G1911">
        <f>_xlfn.RANK.AVG(Table1[[#This Row],[Flux in SC / glucose uptake ($mmol/mmol\ glc$)]],Table1[Flux in SC / glucose uptake ($mmol/mmol\ glc$)])</f>
        <v>1310.5</v>
      </c>
      <c r="H1911">
        <f>_xlfn.RANK.AVG(Table1[[#This Row],[Flux in RT / glucose uptake ($mmol/mmol\ glc$)]],Table1[Flux in RT / glucose uptake ($mmol/mmol\ glc$)])</f>
        <v>1290.5</v>
      </c>
      <c r="I1911" t="e">
        <f>LOG(Table1[[#This Row],[Flux in SC / glucose uptake ($mmol/mmol\ glc$)]])</f>
        <v>#NUM!</v>
      </c>
      <c r="J1911" t="e">
        <f>LOG(Table1[[#This Row],[Flux in RT / glucose uptake ($mmol/mmol\ glc$)]])</f>
        <v>#NUM!</v>
      </c>
    </row>
    <row r="1912" spans="1:10" x14ac:dyDescent="0.2">
      <c r="A1912" t="s">
        <v>1915</v>
      </c>
      <c r="B1912" t="s">
        <v>3168</v>
      </c>
      <c r="C1912">
        <v>0</v>
      </c>
      <c r="D1912">
        <v>0</v>
      </c>
      <c r="E1912">
        <f>ABS(Table1[[#This Row],[Flux in SC / glucose uptake ($mmol/mmol\ glc$)]]-Table1[[#This Row],[Flux in RT / glucose uptake ($mmol/mmol\ glc$)]])/SQRT(2)</f>
        <v>0</v>
      </c>
      <c r="F1912">
        <f>Table1[[#This Row],[distance from 45-degree line]]/MAX(Table1[[Flux in SC / glucose uptake ($mmol/mmol\ glc$)]:[Flux in RT / glucose uptake ($mmol/mmol\ glc$)]])</f>
        <v>0</v>
      </c>
      <c r="G1912">
        <f>_xlfn.RANK.AVG(Table1[[#This Row],[Flux in SC / glucose uptake ($mmol/mmol\ glc$)]],Table1[Flux in SC / glucose uptake ($mmol/mmol\ glc$)])</f>
        <v>1310.5</v>
      </c>
      <c r="H1912">
        <f>_xlfn.RANK.AVG(Table1[[#This Row],[Flux in RT / glucose uptake ($mmol/mmol\ glc$)]],Table1[Flux in RT / glucose uptake ($mmol/mmol\ glc$)])</f>
        <v>1290.5</v>
      </c>
      <c r="I1912" t="e">
        <f>LOG(Table1[[#This Row],[Flux in SC / glucose uptake ($mmol/mmol\ glc$)]])</f>
        <v>#NUM!</v>
      </c>
      <c r="J1912" t="e">
        <f>LOG(Table1[[#This Row],[Flux in RT / glucose uptake ($mmol/mmol\ glc$)]])</f>
        <v>#NUM!</v>
      </c>
    </row>
    <row r="1913" spans="1:10" x14ac:dyDescent="0.2">
      <c r="A1913" t="s">
        <v>1916</v>
      </c>
      <c r="B1913" t="s">
        <v>3168</v>
      </c>
      <c r="C1913">
        <v>0</v>
      </c>
      <c r="D1913">
        <v>0</v>
      </c>
      <c r="E1913">
        <f>ABS(Table1[[#This Row],[Flux in SC / glucose uptake ($mmol/mmol\ glc$)]]-Table1[[#This Row],[Flux in RT / glucose uptake ($mmol/mmol\ glc$)]])/SQRT(2)</f>
        <v>0</v>
      </c>
      <c r="F1913">
        <f>Table1[[#This Row],[distance from 45-degree line]]/MAX(Table1[[Flux in SC / glucose uptake ($mmol/mmol\ glc$)]:[Flux in RT / glucose uptake ($mmol/mmol\ glc$)]])</f>
        <v>0</v>
      </c>
      <c r="G1913">
        <f>_xlfn.RANK.AVG(Table1[[#This Row],[Flux in SC / glucose uptake ($mmol/mmol\ glc$)]],Table1[Flux in SC / glucose uptake ($mmol/mmol\ glc$)])</f>
        <v>1310.5</v>
      </c>
      <c r="H1913">
        <f>_xlfn.RANK.AVG(Table1[[#This Row],[Flux in RT / glucose uptake ($mmol/mmol\ glc$)]],Table1[Flux in RT / glucose uptake ($mmol/mmol\ glc$)])</f>
        <v>1290.5</v>
      </c>
      <c r="I1913" t="e">
        <f>LOG(Table1[[#This Row],[Flux in SC / glucose uptake ($mmol/mmol\ glc$)]])</f>
        <v>#NUM!</v>
      </c>
      <c r="J1913" t="e">
        <f>LOG(Table1[[#This Row],[Flux in RT / glucose uptake ($mmol/mmol\ glc$)]])</f>
        <v>#NUM!</v>
      </c>
    </row>
    <row r="1914" spans="1:10" x14ac:dyDescent="0.2">
      <c r="A1914" t="s">
        <v>1917</v>
      </c>
      <c r="B1914" t="s">
        <v>3168</v>
      </c>
      <c r="C1914">
        <v>0</v>
      </c>
      <c r="D1914">
        <v>0</v>
      </c>
      <c r="E1914">
        <f>ABS(Table1[[#This Row],[Flux in SC / glucose uptake ($mmol/mmol\ glc$)]]-Table1[[#This Row],[Flux in RT / glucose uptake ($mmol/mmol\ glc$)]])/SQRT(2)</f>
        <v>0</v>
      </c>
      <c r="F1914">
        <f>Table1[[#This Row],[distance from 45-degree line]]/MAX(Table1[[Flux in SC / glucose uptake ($mmol/mmol\ glc$)]:[Flux in RT / glucose uptake ($mmol/mmol\ glc$)]])</f>
        <v>0</v>
      </c>
      <c r="G1914">
        <f>_xlfn.RANK.AVG(Table1[[#This Row],[Flux in SC / glucose uptake ($mmol/mmol\ glc$)]],Table1[Flux in SC / glucose uptake ($mmol/mmol\ glc$)])</f>
        <v>1310.5</v>
      </c>
      <c r="H1914">
        <f>_xlfn.RANK.AVG(Table1[[#This Row],[Flux in RT / glucose uptake ($mmol/mmol\ glc$)]],Table1[Flux in RT / glucose uptake ($mmol/mmol\ glc$)])</f>
        <v>1290.5</v>
      </c>
      <c r="I1914" t="e">
        <f>LOG(Table1[[#This Row],[Flux in SC / glucose uptake ($mmol/mmol\ glc$)]])</f>
        <v>#NUM!</v>
      </c>
      <c r="J1914" t="e">
        <f>LOG(Table1[[#This Row],[Flux in RT / glucose uptake ($mmol/mmol\ glc$)]])</f>
        <v>#NUM!</v>
      </c>
    </row>
    <row r="1915" spans="1:10" x14ac:dyDescent="0.2">
      <c r="A1915" t="s">
        <v>1918</v>
      </c>
      <c r="B1915" t="s">
        <v>3168</v>
      </c>
      <c r="C1915">
        <v>0</v>
      </c>
      <c r="D1915">
        <v>0</v>
      </c>
      <c r="E1915">
        <f>ABS(Table1[[#This Row],[Flux in SC / glucose uptake ($mmol/mmol\ glc$)]]-Table1[[#This Row],[Flux in RT / glucose uptake ($mmol/mmol\ glc$)]])/SQRT(2)</f>
        <v>0</v>
      </c>
      <c r="F1915">
        <f>Table1[[#This Row],[distance from 45-degree line]]/MAX(Table1[[Flux in SC / glucose uptake ($mmol/mmol\ glc$)]:[Flux in RT / glucose uptake ($mmol/mmol\ glc$)]])</f>
        <v>0</v>
      </c>
      <c r="G1915">
        <f>_xlfn.RANK.AVG(Table1[[#This Row],[Flux in SC / glucose uptake ($mmol/mmol\ glc$)]],Table1[Flux in SC / glucose uptake ($mmol/mmol\ glc$)])</f>
        <v>1310.5</v>
      </c>
      <c r="H1915">
        <f>_xlfn.RANK.AVG(Table1[[#This Row],[Flux in RT / glucose uptake ($mmol/mmol\ glc$)]],Table1[Flux in RT / glucose uptake ($mmol/mmol\ glc$)])</f>
        <v>1290.5</v>
      </c>
      <c r="I1915" t="e">
        <f>LOG(Table1[[#This Row],[Flux in SC / glucose uptake ($mmol/mmol\ glc$)]])</f>
        <v>#NUM!</v>
      </c>
      <c r="J1915" t="e">
        <f>LOG(Table1[[#This Row],[Flux in RT / glucose uptake ($mmol/mmol\ glc$)]])</f>
        <v>#NUM!</v>
      </c>
    </row>
    <row r="1916" spans="1:10" x14ac:dyDescent="0.2">
      <c r="A1916" t="s">
        <v>1919</v>
      </c>
      <c r="B1916" t="s">
        <v>3197</v>
      </c>
      <c r="C1916">
        <v>0</v>
      </c>
      <c r="D1916">
        <v>0</v>
      </c>
      <c r="E1916">
        <f>ABS(Table1[[#This Row],[Flux in SC / glucose uptake ($mmol/mmol\ glc$)]]-Table1[[#This Row],[Flux in RT / glucose uptake ($mmol/mmol\ glc$)]])/SQRT(2)</f>
        <v>0</v>
      </c>
      <c r="F1916">
        <f>Table1[[#This Row],[distance from 45-degree line]]/MAX(Table1[[Flux in SC / glucose uptake ($mmol/mmol\ glc$)]:[Flux in RT / glucose uptake ($mmol/mmol\ glc$)]])</f>
        <v>0</v>
      </c>
      <c r="G1916">
        <f>_xlfn.RANK.AVG(Table1[[#This Row],[Flux in SC / glucose uptake ($mmol/mmol\ glc$)]],Table1[Flux in SC / glucose uptake ($mmol/mmol\ glc$)])</f>
        <v>1310.5</v>
      </c>
      <c r="H1916">
        <f>_xlfn.RANK.AVG(Table1[[#This Row],[Flux in RT / glucose uptake ($mmol/mmol\ glc$)]],Table1[Flux in RT / glucose uptake ($mmol/mmol\ glc$)])</f>
        <v>1290.5</v>
      </c>
      <c r="I1916" t="e">
        <f>LOG(Table1[[#This Row],[Flux in SC / glucose uptake ($mmol/mmol\ glc$)]])</f>
        <v>#NUM!</v>
      </c>
      <c r="J1916" t="e">
        <f>LOG(Table1[[#This Row],[Flux in RT / glucose uptake ($mmol/mmol\ glc$)]])</f>
        <v>#NUM!</v>
      </c>
    </row>
    <row r="1917" spans="1:10" x14ac:dyDescent="0.2">
      <c r="A1917" t="s">
        <v>1920</v>
      </c>
      <c r="B1917" t="s">
        <v>3197</v>
      </c>
      <c r="C1917">
        <v>0</v>
      </c>
      <c r="D1917">
        <v>0</v>
      </c>
      <c r="E1917">
        <f>ABS(Table1[[#This Row],[Flux in SC / glucose uptake ($mmol/mmol\ glc$)]]-Table1[[#This Row],[Flux in RT / glucose uptake ($mmol/mmol\ glc$)]])/SQRT(2)</f>
        <v>0</v>
      </c>
      <c r="F1917">
        <f>Table1[[#This Row],[distance from 45-degree line]]/MAX(Table1[[Flux in SC / glucose uptake ($mmol/mmol\ glc$)]:[Flux in RT / glucose uptake ($mmol/mmol\ glc$)]])</f>
        <v>0</v>
      </c>
      <c r="G1917">
        <f>_xlfn.RANK.AVG(Table1[[#This Row],[Flux in SC / glucose uptake ($mmol/mmol\ glc$)]],Table1[Flux in SC / glucose uptake ($mmol/mmol\ glc$)])</f>
        <v>1310.5</v>
      </c>
      <c r="H1917">
        <f>_xlfn.RANK.AVG(Table1[[#This Row],[Flux in RT / glucose uptake ($mmol/mmol\ glc$)]],Table1[Flux in RT / glucose uptake ($mmol/mmol\ glc$)])</f>
        <v>1290.5</v>
      </c>
      <c r="I1917" t="e">
        <f>LOG(Table1[[#This Row],[Flux in SC / glucose uptake ($mmol/mmol\ glc$)]])</f>
        <v>#NUM!</v>
      </c>
      <c r="J1917" t="e">
        <f>LOG(Table1[[#This Row],[Flux in RT / glucose uptake ($mmol/mmol\ glc$)]])</f>
        <v>#NUM!</v>
      </c>
    </row>
    <row r="1918" spans="1:10" x14ac:dyDescent="0.2">
      <c r="A1918" t="s">
        <v>1921</v>
      </c>
      <c r="B1918" t="s">
        <v>3197</v>
      </c>
      <c r="C1918">
        <v>0</v>
      </c>
      <c r="D1918">
        <v>0</v>
      </c>
      <c r="E1918">
        <f>ABS(Table1[[#This Row],[Flux in SC / glucose uptake ($mmol/mmol\ glc$)]]-Table1[[#This Row],[Flux in RT / glucose uptake ($mmol/mmol\ glc$)]])/SQRT(2)</f>
        <v>0</v>
      </c>
      <c r="F1918">
        <f>Table1[[#This Row],[distance from 45-degree line]]/MAX(Table1[[Flux in SC / glucose uptake ($mmol/mmol\ glc$)]:[Flux in RT / glucose uptake ($mmol/mmol\ glc$)]])</f>
        <v>0</v>
      </c>
      <c r="G1918">
        <f>_xlfn.RANK.AVG(Table1[[#This Row],[Flux in SC / glucose uptake ($mmol/mmol\ glc$)]],Table1[Flux in SC / glucose uptake ($mmol/mmol\ glc$)])</f>
        <v>1310.5</v>
      </c>
      <c r="H1918">
        <f>_xlfn.RANK.AVG(Table1[[#This Row],[Flux in RT / glucose uptake ($mmol/mmol\ glc$)]],Table1[Flux in RT / glucose uptake ($mmol/mmol\ glc$)])</f>
        <v>1290.5</v>
      </c>
      <c r="I1918" t="e">
        <f>LOG(Table1[[#This Row],[Flux in SC / glucose uptake ($mmol/mmol\ glc$)]])</f>
        <v>#NUM!</v>
      </c>
      <c r="J1918" t="e">
        <f>LOG(Table1[[#This Row],[Flux in RT / glucose uptake ($mmol/mmol\ glc$)]])</f>
        <v>#NUM!</v>
      </c>
    </row>
    <row r="1919" spans="1:10" x14ac:dyDescent="0.2">
      <c r="A1919" t="s">
        <v>1922</v>
      </c>
      <c r="B1919" t="s">
        <v>3197</v>
      </c>
      <c r="C1919">
        <v>0</v>
      </c>
      <c r="D1919">
        <v>0</v>
      </c>
      <c r="E1919">
        <f>ABS(Table1[[#This Row],[Flux in SC / glucose uptake ($mmol/mmol\ glc$)]]-Table1[[#This Row],[Flux in RT / glucose uptake ($mmol/mmol\ glc$)]])/SQRT(2)</f>
        <v>0</v>
      </c>
      <c r="F1919">
        <f>Table1[[#This Row],[distance from 45-degree line]]/MAX(Table1[[Flux in SC / glucose uptake ($mmol/mmol\ glc$)]:[Flux in RT / glucose uptake ($mmol/mmol\ glc$)]])</f>
        <v>0</v>
      </c>
      <c r="G1919">
        <f>_xlfn.RANK.AVG(Table1[[#This Row],[Flux in SC / glucose uptake ($mmol/mmol\ glc$)]],Table1[Flux in SC / glucose uptake ($mmol/mmol\ glc$)])</f>
        <v>1310.5</v>
      </c>
      <c r="H1919">
        <f>_xlfn.RANK.AVG(Table1[[#This Row],[Flux in RT / glucose uptake ($mmol/mmol\ glc$)]],Table1[Flux in RT / glucose uptake ($mmol/mmol\ glc$)])</f>
        <v>1290.5</v>
      </c>
      <c r="I1919" t="e">
        <f>LOG(Table1[[#This Row],[Flux in SC / glucose uptake ($mmol/mmol\ glc$)]])</f>
        <v>#NUM!</v>
      </c>
      <c r="J1919" t="e">
        <f>LOG(Table1[[#This Row],[Flux in RT / glucose uptake ($mmol/mmol\ glc$)]])</f>
        <v>#NUM!</v>
      </c>
    </row>
    <row r="1920" spans="1:10" x14ac:dyDescent="0.2">
      <c r="A1920" t="s">
        <v>1923</v>
      </c>
      <c r="B1920" t="s">
        <v>3197</v>
      </c>
      <c r="C1920">
        <v>0</v>
      </c>
      <c r="D1920">
        <v>0</v>
      </c>
      <c r="E1920">
        <f>ABS(Table1[[#This Row],[Flux in SC / glucose uptake ($mmol/mmol\ glc$)]]-Table1[[#This Row],[Flux in RT / glucose uptake ($mmol/mmol\ glc$)]])/SQRT(2)</f>
        <v>0</v>
      </c>
      <c r="F1920">
        <f>Table1[[#This Row],[distance from 45-degree line]]/MAX(Table1[[Flux in SC / glucose uptake ($mmol/mmol\ glc$)]:[Flux in RT / glucose uptake ($mmol/mmol\ glc$)]])</f>
        <v>0</v>
      </c>
      <c r="G1920">
        <f>_xlfn.RANK.AVG(Table1[[#This Row],[Flux in SC / glucose uptake ($mmol/mmol\ glc$)]],Table1[Flux in SC / glucose uptake ($mmol/mmol\ glc$)])</f>
        <v>1310.5</v>
      </c>
      <c r="H1920">
        <f>_xlfn.RANK.AVG(Table1[[#This Row],[Flux in RT / glucose uptake ($mmol/mmol\ glc$)]],Table1[Flux in RT / glucose uptake ($mmol/mmol\ glc$)])</f>
        <v>1290.5</v>
      </c>
      <c r="I1920" t="e">
        <f>LOG(Table1[[#This Row],[Flux in SC / glucose uptake ($mmol/mmol\ glc$)]])</f>
        <v>#NUM!</v>
      </c>
      <c r="J1920" t="e">
        <f>LOG(Table1[[#This Row],[Flux in RT / glucose uptake ($mmol/mmol\ glc$)]])</f>
        <v>#NUM!</v>
      </c>
    </row>
    <row r="1921" spans="1:10" x14ac:dyDescent="0.2">
      <c r="A1921" t="s">
        <v>1924</v>
      </c>
      <c r="B1921" t="s">
        <v>3197</v>
      </c>
      <c r="C1921">
        <v>0</v>
      </c>
      <c r="D1921">
        <v>0</v>
      </c>
      <c r="E1921">
        <f>ABS(Table1[[#This Row],[Flux in SC / glucose uptake ($mmol/mmol\ glc$)]]-Table1[[#This Row],[Flux in RT / glucose uptake ($mmol/mmol\ glc$)]])/SQRT(2)</f>
        <v>0</v>
      </c>
      <c r="F1921">
        <f>Table1[[#This Row],[distance from 45-degree line]]/MAX(Table1[[Flux in SC / glucose uptake ($mmol/mmol\ glc$)]:[Flux in RT / glucose uptake ($mmol/mmol\ glc$)]])</f>
        <v>0</v>
      </c>
      <c r="G1921">
        <f>_xlfn.RANK.AVG(Table1[[#This Row],[Flux in SC / glucose uptake ($mmol/mmol\ glc$)]],Table1[Flux in SC / glucose uptake ($mmol/mmol\ glc$)])</f>
        <v>1310.5</v>
      </c>
      <c r="H1921">
        <f>_xlfn.RANK.AVG(Table1[[#This Row],[Flux in RT / glucose uptake ($mmol/mmol\ glc$)]],Table1[Flux in RT / glucose uptake ($mmol/mmol\ glc$)])</f>
        <v>1290.5</v>
      </c>
      <c r="I1921" t="e">
        <f>LOG(Table1[[#This Row],[Flux in SC / glucose uptake ($mmol/mmol\ glc$)]])</f>
        <v>#NUM!</v>
      </c>
      <c r="J1921" t="e">
        <f>LOG(Table1[[#This Row],[Flux in RT / glucose uptake ($mmol/mmol\ glc$)]])</f>
        <v>#NUM!</v>
      </c>
    </row>
    <row r="1922" spans="1:10" x14ac:dyDescent="0.2">
      <c r="A1922" t="s">
        <v>1925</v>
      </c>
      <c r="B1922" t="s">
        <v>3197</v>
      </c>
      <c r="C1922">
        <v>0</v>
      </c>
      <c r="D1922">
        <v>0</v>
      </c>
      <c r="E1922">
        <f>ABS(Table1[[#This Row],[Flux in SC / glucose uptake ($mmol/mmol\ glc$)]]-Table1[[#This Row],[Flux in RT / glucose uptake ($mmol/mmol\ glc$)]])/SQRT(2)</f>
        <v>0</v>
      </c>
      <c r="F1922">
        <f>Table1[[#This Row],[distance from 45-degree line]]/MAX(Table1[[Flux in SC / glucose uptake ($mmol/mmol\ glc$)]:[Flux in RT / glucose uptake ($mmol/mmol\ glc$)]])</f>
        <v>0</v>
      </c>
      <c r="G1922">
        <f>_xlfn.RANK.AVG(Table1[[#This Row],[Flux in SC / glucose uptake ($mmol/mmol\ glc$)]],Table1[Flux in SC / glucose uptake ($mmol/mmol\ glc$)])</f>
        <v>1310.5</v>
      </c>
      <c r="H1922">
        <f>_xlfn.RANK.AVG(Table1[[#This Row],[Flux in RT / glucose uptake ($mmol/mmol\ glc$)]],Table1[Flux in RT / glucose uptake ($mmol/mmol\ glc$)])</f>
        <v>1290.5</v>
      </c>
      <c r="I1922" t="e">
        <f>LOG(Table1[[#This Row],[Flux in SC / glucose uptake ($mmol/mmol\ glc$)]])</f>
        <v>#NUM!</v>
      </c>
      <c r="J1922" t="e">
        <f>LOG(Table1[[#This Row],[Flux in RT / glucose uptake ($mmol/mmol\ glc$)]])</f>
        <v>#NUM!</v>
      </c>
    </row>
    <row r="1923" spans="1:10" x14ac:dyDescent="0.2">
      <c r="A1923" t="s">
        <v>1926</v>
      </c>
      <c r="B1923" t="s">
        <v>3197</v>
      </c>
      <c r="C1923">
        <v>0</v>
      </c>
      <c r="D1923">
        <v>0</v>
      </c>
      <c r="E1923">
        <f>ABS(Table1[[#This Row],[Flux in SC / glucose uptake ($mmol/mmol\ glc$)]]-Table1[[#This Row],[Flux in RT / glucose uptake ($mmol/mmol\ glc$)]])/SQRT(2)</f>
        <v>0</v>
      </c>
      <c r="F1923">
        <f>Table1[[#This Row],[distance from 45-degree line]]/MAX(Table1[[Flux in SC / glucose uptake ($mmol/mmol\ glc$)]:[Flux in RT / glucose uptake ($mmol/mmol\ glc$)]])</f>
        <v>0</v>
      </c>
      <c r="G1923">
        <f>_xlfn.RANK.AVG(Table1[[#This Row],[Flux in SC / glucose uptake ($mmol/mmol\ glc$)]],Table1[Flux in SC / glucose uptake ($mmol/mmol\ glc$)])</f>
        <v>1310.5</v>
      </c>
      <c r="H1923">
        <f>_xlfn.RANK.AVG(Table1[[#This Row],[Flux in RT / glucose uptake ($mmol/mmol\ glc$)]],Table1[Flux in RT / glucose uptake ($mmol/mmol\ glc$)])</f>
        <v>1290.5</v>
      </c>
      <c r="I1923" t="e">
        <f>LOG(Table1[[#This Row],[Flux in SC / glucose uptake ($mmol/mmol\ glc$)]])</f>
        <v>#NUM!</v>
      </c>
      <c r="J1923" t="e">
        <f>LOG(Table1[[#This Row],[Flux in RT / glucose uptake ($mmol/mmol\ glc$)]])</f>
        <v>#NUM!</v>
      </c>
    </row>
    <row r="1924" spans="1:10" x14ac:dyDescent="0.2">
      <c r="A1924" t="s">
        <v>1927</v>
      </c>
      <c r="B1924" t="s">
        <v>3197</v>
      </c>
      <c r="C1924">
        <v>0</v>
      </c>
      <c r="D1924">
        <v>0</v>
      </c>
      <c r="E1924">
        <f>ABS(Table1[[#This Row],[Flux in SC / glucose uptake ($mmol/mmol\ glc$)]]-Table1[[#This Row],[Flux in RT / glucose uptake ($mmol/mmol\ glc$)]])/SQRT(2)</f>
        <v>0</v>
      </c>
      <c r="F1924">
        <f>Table1[[#This Row],[distance from 45-degree line]]/MAX(Table1[[Flux in SC / glucose uptake ($mmol/mmol\ glc$)]:[Flux in RT / glucose uptake ($mmol/mmol\ glc$)]])</f>
        <v>0</v>
      </c>
      <c r="G1924">
        <f>_xlfn.RANK.AVG(Table1[[#This Row],[Flux in SC / glucose uptake ($mmol/mmol\ glc$)]],Table1[Flux in SC / glucose uptake ($mmol/mmol\ glc$)])</f>
        <v>1310.5</v>
      </c>
      <c r="H1924">
        <f>_xlfn.RANK.AVG(Table1[[#This Row],[Flux in RT / glucose uptake ($mmol/mmol\ glc$)]],Table1[Flux in RT / glucose uptake ($mmol/mmol\ glc$)])</f>
        <v>1290.5</v>
      </c>
      <c r="I1924" t="e">
        <f>LOG(Table1[[#This Row],[Flux in SC / glucose uptake ($mmol/mmol\ glc$)]])</f>
        <v>#NUM!</v>
      </c>
      <c r="J1924" t="e">
        <f>LOG(Table1[[#This Row],[Flux in RT / glucose uptake ($mmol/mmol\ glc$)]])</f>
        <v>#NUM!</v>
      </c>
    </row>
    <row r="1925" spans="1:10" x14ac:dyDescent="0.2">
      <c r="A1925" t="s">
        <v>1928</v>
      </c>
      <c r="B1925" t="s">
        <v>3197</v>
      </c>
      <c r="C1925">
        <v>0</v>
      </c>
      <c r="D1925">
        <v>0</v>
      </c>
      <c r="E1925">
        <f>ABS(Table1[[#This Row],[Flux in SC / glucose uptake ($mmol/mmol\ glc$)]]-Table1[[#This Row],[Flux in RT / glucose uptake ($mmol/mmol\ glc$)]])/SQRT(2)</f>
        <v>0</v>
      </c>
      <c r="F1925">
        <f>Table1[[#This Row],[distance from 45-degree line]]/MAX(Table1[[Flux in SC / glucose uptake ($mmol/mmol\ glc$)]:[Flux in RT / glucose uptake ($mmol/mmol\ glc$)]])</f>
        <v>0</v>
      </c>
      <c r="G1925">
        <f>_xlfn.RANK.AVG(Table1[[#This Row],[Flux in SC / glucose uptake ($mmol/mmol\ glc$)]],Table1[Flux in SC / glucose uptake ($mmol/mmol\ glc$)])</f>
        <v>1310.5</v>
      </c>
      <c r="H1925">
        <f>_xlfn.RANK.AVG(Table1[[#This Row],[Flux in RT / glucose uptake ($mmol/mmol\ glc$)]],Table1[Flux in RT / glucose uptake ($mmol/mmol\ glc$)])</f>
        <v>1290.5</v>
      </c>
      <c r="I1925" t="e">
        <f>LOG(Table1[[#This Row],[Flux in SC / glucose uptake ($mmol/mmol\ glc$)]])</f>
        <v>#NUM!</v>
      </c>
      <c r="J1925" t="e">
        <f>LOG(Table1[[#This Row],[Flux in RT / glucose uptake ($mmol/mmol\ glc$)]])</f>
        <v>#NUM!</v>
      </c>
    </row>
    <row r="1926" spans="1:10" x14ac:dyDescent="0.2">
      <c r="A1926" t="s">
        <v>1929</v>
      </c>
      <c r="B1926" t="s">
        <v>3197</v>
      </c>
      <c r="C1926">
        <v>0</v>
      </c>
      <c r="D1926">
        <v>0</v>
      </c>
      <c r="E1926">
        <f>ABS(Table1[[#This Row],[Flux in SC / glucose uptake ($mmol/mmol\ glc$)]]-Table1[[#This Row],[Flux in RT / glucose uptake ($mmol/mmol\ glc$)]])/SQRT(2)</f>
        <v>0</v>
      </c>
      <c r="F1926">
        <f>Table1[[#This Row],[distance from 45-degree line]]/MAX(Table1[[Flux in SC / glucose uptake ($mmol/mmol\ glc$)]:[Flux in RT / glucose uptake ($mmol/mmol\ glc$)]])</f>
        <v>0</v>
      </c>
      <c r="G1926">
        <f>_xlfn.RANK.AVG(Table1[[#This Row],[Flux in SC / glucose uptake ($mmol/mmol\ glc$)]],Table1[Flux in SC / glucose uptake ($mmol/mmol\ glc$)])</f>
        <v>1310.5</v>
      </c>
      <c r="H1926">
        <f>_xlfn.RANK.AVG(Table1[[#This Row],[Flux in RT / glucose uptake ($mmol/mmol\ glc$)]],Table1[Flux in RT / glucose uptake ($mmol/mmol\ glc$)])</f>
        <v>1290.5</v>
      </c>
      <c r="I1926" t="e">
        <f>LOG(Table1[[#This Row],[Flux in SC / glucose uptake ($mmol/mmol\ glc$)]])</f>
        <v>#NUM!</v>
      </c>
      <c r="J1926" t="e">
        <f>LOG(Table1[[#This Row],[Flux in RT / glucose uptake ($mmol/mmol\ glc$)]])</f>
        <v>#NUM!</v>
      </c>
    </row>
    <row r="1927" spans="1:10" x14ac:dyDescent="0.2">
      <c r="A1927" t="s">
        <v>1930</v>
      </c>
      <c r="B1927" t="s">
        <v>3197</v>
      </c>
      <c r="C1927">
        <v>0</v>
      </c>
      <c r="D1927">
        <v>0</v>
      </c>
      <c r="E1927">
        <f>ABS(Table1[[#This Row],[Flux in SC / glucose uptake ($mmol/mmol\ glc$)]]-Table1[[#This Row],[Flux in RT / glucose uptake ($mmol/mmol\ glc$)]])/SQRT(2)</f>
        <v>0</v>
      </c>
      <c r="F1927">
        <f>Table1[[#This Row],[distance from 45-degree line]]/MAX(Table1[[Flux in SC / glucose uptake ($mmol/mmol\ glc$)]:[Flux in RT / glucose uptake ($mmol/mmol\ glc$)]])</f>
        <v>0</v>
      </c>
      <c r="G1927">
        <f>_xlfn.RANK.AVG(Table1[[#This Row],[Flux in SC / glucose uptake ($mmol/mmol\ glc$)]],Table1[Flux in SC / glucose uptake ($mmol/mmol\ glc$)])</f>
        <v>1310.5</v>
      </c>
      <c r="H1927">
        <f>_xlfn.RANK.AVG(Table1[[#This Row],[Flux in RT / glucose uptake ($mmol/mmol\ glc$)]],Table1[Flux in RT / glucose uptake ($mmol/mmol\ glc$)])</f>
        <v>1290.5</v>
      </c>
      <c r="I1927" t="e">
        <f>LOG(Table1[[#This Row],[Flux in SC / glucose uptake ($mmol/mmol\ glc$)]])</f>
        <v>#NUM!</v>
      </c>
      <c r="J1927" t="e">
        <f>LOG(Table1[[#This Row],[Flux in RT / glucose uptake ($mmol/mmol\ glc$)]])</f>
        <v>#NUM!</v>
      </c>
    </row>
    <row r="1928" spans="1:10" x14ac:dyDescent="0.2">
      <c r="A1928" t="s">
        <v>1931</v>
      </c>
      <c r="B1928" t="s">
        <v>3197</v>
      </c>
      <c r="C1928">
        <v>0</v>
      </c>
      <c r="D1928">
        <v>0</v>
      </c>
      <c r="E1928">
        <f>ABS(Table1[[#This Row],[Flux in SC / glucose uptake ($mmol/mmol\ glc$)]]-Table1[[#This Row],[Flux in RT / glucose uptake ($mmol/mmol\ glc$)]])/SQRT(2)</f>
        <v>0</v>
      </c>
      <c r="F1928">
        <f>Table1[[#This Row],[distance from 45-degree line]]/MAX(Table1[[Flux in SC / glucose uptake ($mmol/mmol\ glc$)]:[Flux in RT / glucose uptake ($mmol/mmol\ glc$)]])</f>
        <v>0</v>
      </c>
      <c r="G1928">
        <f>_xlfn.RANK.AVG(Table1[[#This Row],[Flux in SC / glucose uptake ($mmol/mmol\ glc$)]],Table1[Flux in SC / glucose uptake ($mmol/mmol\ glc$)])</f>
        <v>1310.5</v>
      </c>
      <c r="H1928">
        <f>_xlfn.RANK.AVG(Table1[[#This Row],[Flux in RT / glucose uptake ($mmol/mmol\ glc$)]],Table1[Flux in RT / glucose uptake ($mmol/mmol\ glc$)])</f>
        <v>1290.5</v>
      </c>
      <c r="I1928" t="e">
        <f>LOG(Table1[[#This Row],[Flux in SC / glucose uptake ($mmol/mmol\ glc$)]])</f>
        <v>#NUM!</v>
      </c>
      <c r="J1928" t="e">
        <f>LOG(Table1[[#This Row],[Flux in RT / glucose uptake ($mmol/mmol\ glc$)]])</f>
        <v>#NUM!</v>
      </c>
    </row>
    <row r="1929" spans="1:10" x14ac:dyDescent="0.2">
      <c r="A1929" t="s">
        <v>1932</v>
      </c>
      <c r="B1929" t="s">
        <v>3197</v>
      </c>
      <c r="C1929">
        <v>0</v>
      </c>
      <c r="D1929">
        <v>0</v>
      </c>
      <c r="E1929">
        <f>ABS(Table1[[#This Row],[Flux in SC / glucose uptake ($mmol/mmol\ glc$)]]-Table1[[#This Row],[Flux in RT / glucose uptake ($mmol/mmol\ glc$)]])/SQRT(2)</f>
        <v>0</v>
      </c>
      <c r="F1929">
        <f>Table1[[#This Row],[distance from 45-degree line]]/MAX(Table1[[Flux in SC / glucose uptake ($mmol/mmol\ glc$)]:[Flux in RT / glucose uptake ($mmol/mmol\ glc$)]])</f>
        <v>0</v>
      </c>
      <c r="G1929">
        <f>_xlfn.RANK.AVG(Table1[[#This Row],[Flux in SC / glucose uptake ($mmol/mmol\ glc$)]],Table1[Flux in SC / glucose uptake ($mmol/mmol\ glc$)])</f>
        <v>1310.5</v>
      </c>
      <c r="H1929">
        <f>_xlfn.RANK.AVG(Table1[[#This Row],[Flux in RT / glucose uptake ($mmol/mmol\ glc$)]],Table1[Flux in RT / glucose uptake ($mmol/mmol\ glc$)])</f>
        <v>1290.5</v>
      </c>
      <c r="I1929" t="e">
        <f>LOG(Table1[[#This Row],[Flux in SC / glucose uptake ($mmol/mmol\ glc$)]])</f>
        <v>#NUM!</v>
      </c>
      <c r="J1929" t="e">
        <f>LOG(Table1[[#This Row],[Flux in RT / glucose uptake ($mmol/mmol\ glc$)]])</f>
        <v>#NUM!</v>
      </c>
    </row>
    <row r="1930" spans="1:10" x14ac:dyDescent="0.2">
      <c r="A1930" t="s">
        <v>1933</v>
      </c>
      <c r="B1930" t="s">
        <v>3197</v>
      </c>
      <c r="C1930">
        <v>0</v>
      </c>
      <c r="D1930">
        <v>0</v>
      </c>
      <c r="E1930">
        <f>ABS(Table1[[#This Row],[Flux in SC / glucose uptake ($mmol/mmol\ glc$)]]-Table1[[#This Row],[Flux in RT / glucose uptake ($mmol/mmol\ glc$)]])/SQRT(2)</f>
        <v>0</v>
      </c>
      <c r="F1930">
        <f>Table1[[#This Row],[distance from 45-degree line]]/MAX(Table1[[Flux in SC / glucose uptake ($mmol/mmol\ glc$)]:[Flux in RT / glucose uptake ($mmol/mmol\ glc$)]])</f>
        <v>0</v>
      </c>
      <c r="G1930">
        <f>_xlfn.RANK.AVG(Table1[[#This Row],[Flux in SC / glucose uptake ($mmol/mmol\ glc$)]],Table1[Flux in SC / glucose uptake ($mmol/mmol\ glc$)])</f>
        <v>1310.5</v>
      </c>
      <c r="H1930">
        <f>_xlfn.RANK.AVG(Table1[[#This Row],[Flux in RT / glucose uptake ($mmol/mmol\ glc$)]],Table1[Flux in RT / glucose uptake ($mmol/mmol\ glc$)])</f>
        <v>1290.5</v>
      </c>
      <c r="I1930" t="e">
        <f>LOG(Table1[[#This Row],[Flux in SC / glucose uptake ($mmol/mmol\ glc$)]])</f>
        <v>#NUM!</v>
      </c>
      <c r="J1930" t="e">
        <f>LOG(Table1[[#This Row],[Flux in RT / glucose uptake ($mmol/mmol\ glc$)]])</f>
        <v>#NUM!</v>
      </c>
    </row>
    <row r="1931" spans="1:10" x14ac:dyDescent="0.2">
      <c r="A1931" t="s">
        <v>1934</v>
      </c>
      <c r="B1931" t="s">
        <v>3197</v>
      </c>
      <c r="C1931">
        <v>0</v>
      </c>
      <c r="D1931">
        <v>0</v>
      </c>
      <c r="E1931">
        <f>ABS(Table1[[#This Row],[Flux in SC / glucose uptake ($mmol/mmol\ glc$)]]-Table1[[#This Row],[Flux in RT / glucose uptake ($mmol/mmol\ glc$)]])/SQRT(2)</f>
        <v>0</v>
      </c>
      <c r="F1931">
        <f>Table1[[#This Row],[distance from 45-degree line]]/MAX(Table1[[Flux in SC / glucose uptake ($mmol/mmol\ glc$)]:[Flux in RT / glucose uptake ($mmol/mmol\ glc$)]])</f>
        <v>0</v>
      </c>
      <c r="G1931">
        <f>_xlfn.RANK.AVG(Table1[[#This Row],[Flux in SC / glucose uptake ($mmol/mmol\ glc$)]],Table1[Flux in SC / glucose uptake ($mmol/mmol\ glc$)])</f>
        <v>1310.5</v>
      </c>
      <c r="H1931">
        <f>_xlfn.RANK.AVG(Table1[[#This Row],[Flux in RT / glucose uptake ($mmol/mmol\ glc$)]],Table1[Flux in RT / glucose uptake ($mmol/mmol\ glc$)])</f>
        <v>1290.5</v>
      </c>
      <c r="I1931" t="e">
        <f>LOG(Table1[[#This Row],[Flux in SC / glucose uptake ($mmol/mmol\ glc$)]])</f>
        <v>#NUM!</v>
      </c>
      <c r="J1931" t="e">
        <f>LOG(Table1[[#This Row],[Flux in RT / glucose uptake ($mmol/mmol\ glc$)]])</f>
        <v>#NUM!</v>
      </c>
    </row>
    <row r="1932" spans="1:10" x14ac:dyDescent="0.2">
      <c r="A1932" t="s">
        <v>1935</v>
      </c>
      <c r="B1932" t="s">
        <v>3114</v>
      </c>
      <c r="C1932">
        <v>0</v>
      </c>
      <c r="D1932">
        <v>0</v>
      </c>
      <c r="E1932">
        <f>ABS(Table1[[#This Row],[Flux in SC / glucose uptake ($mmol/mmol\ glc$)]]-Table1[[#This Row],[Flux in RT / glucose uptake ($mmol/mmol\ glc$)]])/SQRT(2)</f>
        <v>0</v>
      </c>
      <c r="F1932">
        <f>Table1[[#This Row],[distance from 45-degree line]]/MAX(Table1[[Flux in SC / glucose uptake ($mmol/mmol\ glc$)]:[Flux in RT / glucose uptake ($mmol/mmol\ glc$)]])</f>
        <v>0</v>
      </c>
      <c r="G1932">
        <f>_xlfn.RANK.AVG(Table1[[#This Row],[Flux in SC / glucose uptake ($mmol/mmol\ glc$)]],Table1[Flux in SC / glucose uptake ($mmol/mmol\ glc$)])</f>
        <v>1310.5</v>
      </c>
      <c r="H1932">
        <f>_xlfn.RANK.AVG(Table1[[#This Row],[Flux in RT / glucose uptake ($mmol/mmol\ glc$)]],Table1[Flux in RT / glucose uptake ($mmol/mmol\ glc$)])</f>
        <v>1290.5</v>
      </c>
      <c r="I1932" t="e">
        <f>LOG(Table1[[#This Row],[Flux in SC / glucose uptake ($mmol/mmol\ glc$)]])</f>
        <v>#NUM!</v>
      </c>
      <c r="J1932" t="e">
        <f>LOG(Table1[[#This Row],[Flux in RT / glucose uptake ($mmol/mmol\ glc$)]])</f>
        <v>#NUM!</v>
      </c>
    </row>
    <row r="1933" spans="1:10" x14ac:dyDescent="0.2">
      <c r="A1933" t="s">
        <v>1936</v>
      </c>
      <c r="B1933" t="s">
        <v>3114</v>
      </c>
      <c r="C1933">
        <v>0</v>
      </c>
      <c r="D1933">
        <v>0</v>
      </c>
      <c r="E1933">
        <f>ABS(Table1[[#This Row],[Flux in SC / glucose uptake ($mmol/mmol\ glc$)]]-Table1[[#This Row],[Flux in RT / glucose uptake ($mmol/mmol\ glc$)]])/SQRT(2)</f>
        <v>0</v>
      </c>
      <c r="F1933">
        <f>Table1[[#This Row],[distance from 45-degree line]]/MAX(Table1[[Flux in SC / glucose uptake ($mmol/mmol\ glc$)]:[Flux in RT / glucose uptake ($mmol/mmol\ glc$)]])</f>
        <v>0</v>
      </c>
      <c r="G1933">
        <f>_xlfn.RANK.AVG(Table1[[#This Row],[Flux in SC / glucose uptake ($mmol/mmol\ glc$)]],Table1[Flux in SC / glucose uptake ($mmol/mmol\ glc$)])</f>
        <v>1310.5</v>
      </c>
      <c r="H1933">
        <f>_xlfn.RANK.AVG(Table1[[#This Row],[Flux in RT / glucose uptake ($mmol/mmol\ glc$)]],Table1[Flux in RT / glucose uptake ($mmol/mmol\ glc$)])</f>
        <v>1290.5</v>
      </c>
      <c r="I1933" t="e">
        <f>LOG(Table1[[#This Row],[Flux in SC / glucose uptake ($mmol/mmol\ glc$)]])</f>
        <v>#NUM!</v>
      </c>
      <c r="J1933" t="e">
        <f>LOG(Table1[[#This Row],[Flux in RT / glucose uptake ($mmol/mmol\ glc$)]])</f>
        <v>#NUM!</v>
      </c>
    </row>
    <row r="1934" spans="1:10" x14ac:dyDescent="0.2">
      <c r="A1934" t="s">
        <v>1937</v>
      </c>
      <c r="B1934" t="s">
        <v>3114</v>
      </c>
      <c r="C1934">
        <v>0</v>
      </c>
      <c r="D1934">
        <v>0</v>
      </c>
      <c r="E1934">
        <f>ABS(Table1[[#This Row],[Flux in SC / glucose uptake ($mmol/mmol\ glc$)]]-Table1[[#This Row],[Flux in RT / glucose uptake ($mmol/mmol\ glc$)]])/SQRT(2)</f>
        <v>0</v>
      </c>
      <c r="F1934">
        <f>Table1[[#This Row],[distance from 45-degree line]]/MAX(Table1[[Flux in SC / glucose uptake ($mmol/mmol\ glc$)]:[Flux in RT / glucose uptake ($mmol/mmol\ glc$)]])</f>
        <v>0</v>
      </c>
      <c r="G1934">
        <f>_xlfn.RANK.AVG(Table1[[#This Row],[Flux in SC / glucose uptake ($mmol/mmol\ glc$)]],Table1[Flux in SC / glucose uptake ($mmol/mmol\ glc$)])</f>
        <v>1310.5</v>
      </c>
      <c r="H1934">
        <f>_xlfn.RANK.AVG(Table1[[#This Row],[Flux in RT / glucose uptake ($mmol/mmol\ glc$)]],Table1[Flux in RT / glucose uptake ($mmol/mmol\ glc$)])</f>
        <v>1290.5</v>
      </c>
      <c r="I1934" t="e">
        <f>LOG(Table1[[#This Row],[Flux in SC / glucose uptake ($mmol/mmol\ glc$)]])</f>
        <v>#NUM!</v>
      </c>
      <c r="J1934" t="e">
        <f>LOG(Table1[[#This Row],[Flux in RT / glucose uptake ($mmol/mmol\ glc$)]])</f>
        <v>#NUM!</v>
      </c>
    </row>
    <row r="1935" spans="1:10" x14ac:dyDescent="0.2">
      <c r="A1935" t="s">
        <v>1938</v>
      </c>
      <c r="B1935" t="s">
        <v>3114</v>
      </c>
      <c r="C1935">
        <v>0</v>
      </c>
      <c r="D1935">
        <v>0</v>
      </c>
      <c r="E1935">
        <f>ABS(Table1[[#This Row],[Flux in SC / glucose uptake ($mmol/mmol\ glc$)]]-Table1[[#This Row],[Flux in RT / glucose uptake ($mmol/mmol\ glc$)]])/SQRT(2)</f>
        <v>0</v>
      </c>
      <c r="F1935">
        <f>Table1[[#This Row],[distance from 45-degree line]]/MAX(Table1[[Flux in SC / glucose uptake ($mmol/mmol\ glc$)]:[Flux in RT / glucose uptake ($mmol/mmol\ glc$)]])</f>
        <v>0</v>
      </c>
      <c r="G1935">
        <f>_xlfn.RANK.AVG(Table1[[#This Row],[Flux in SC / glucose uptake ($mmol/mmol\ glc$)]],Table1[Flux in SC / glucose uptake ($mmol/mmol\ glc$)])</f>
        <v>1310.5</v>
      </c>
      <c r="H1935">
        <f>_xlfn.RANK.AVG(Table1[[#This Row],[Flux in RT / glucose uptake ($mmol/mmol\ glc$)]],Table1[Flux in RT / glucose uptake ($mmol/mmol\ glc$)])</f>
        <v>1290.5</v>
      </c>
      <c r="I1935" t="e">
        <f>LOG(Table1[[#This Row],[Flux in SC / glucose uptake ($mmol/mmol\ glc$)]])</f>
        <v>#NUM!</v>
      </c>
      <c r="J1935" t="e">
        <f>LOG(Table1[[#This Row],[Flux in RT / glucose uptake ($mmol/mmol\ glc$)]])</f>
        <v>#NUM!</v>
      </c>
    </row>
    <row r="1936" spans="1:10" x14ac:dyDescent="0.2">
      <c r="A1936" t="s">
        <v>1939</v>
      </c>
      <c r="B1936" t="s">
        <v>3114</v>
      </c>
      <c r="C1936">
        <v>0</v>
      </c>
      <c r="D1936">
        <v>0</v>
      </c>
      <c r="E1936">
        <f>ABS(Table1[[#This Row],[Flux in SC / glucose uptake ($mmol/mmol\ glc$)]]-Table1[[#This Row],[Flux in RT / glucose uptake ($mmol/mmol\ glc$)]])/SQRT(2)</f>
        <v>0</v>
      </c>
      <c r="F1936">
        <f>Table1[[#This Row],[distance from 45-degree line]]/MAX(Table1[[Flux in SC / glucose uptake ($mmol/mmol\ glc$)]:[Flux in RT / glucose uptake ($mmol/mmol\ glc$)]])</f>
        <v>0</v>
      </c>
      <c r="G1936">
        <f>_xlfn.RANK.AVG(Table1[[#This Row],[Flux in SC / glucose uptake ($mmol/mmol\ glc$)]],Table1[Flux in SC / glucose uptake ($mmol/mmol\ glc$)])</f>
        <v>1310.5</v>
      </c>
      <c r="H1936">
        <f>_xlfn.RANK.AVG(Table1[[#This Row],[Flux in RT / glucose uptake ($mmol/mmol\ glc$)]],Table1[Flux in RT / glucose uptake ($mmol/mmol\ glc$)])</f>
        <v>1290.5</v>
      </c>
      <c r="I1936" t="e">
        <f>LOG(Table1[[#This Row],[Flux in SC / glucose uptake ($mmol/mmol\ glc$)]])</f>
        <v>#NUM!</v>
      </c>
      <c r="J1936" t="e">
        <f>LOG(Table1[[#This Row],[Flux in RT / glucose uptake ($mmol/mmol\ glc$)]])</f>
        <v>#NUM!</v>
      </c>
    </row>
    <row r="1937" spans="1:10" x14ac:dyDescent="0.2">
      <c r="A1937" t="s">
        <v>1940</v>
      </c>
      <c r="B1937" t="s">
        <v>3114</v>
      </c>
      <c r="C1937">
        <v>0</v>
      </c>
      <c r="D1937">
        <v>0</v>
      </c>
      <c r="E1937">
        <f>ABS(Table1[[#This Row],[Flux in SC / glucose uptake ($mmol/mmol\ glc$)]]-Table1[[#This Row],[Flux in RT / glucose uptake ($mmol/mmol\ glc$)]])/SQRT(2)</f>
        <v>0</v>
      </c>
      <c r="F1937">
        <f>Table1[[#This Row],[distance from 45-degree line]]/MAX(Table1[[Flux in SC / glucose uptake ($mmol/mmol\ glc$)]:[Flux in RT / glucose uptake ($mmol/mmol\ glc$)]])</f>
        <v>0</v>
      </c>
      <c r="G1937">
        <f>_xlfn.RANK.AVG(Table1[[#This Row],[Flux in SC / glucose uptake ($mmol/mmol\ glc$)]],Table1[Flux in SC / glucose uptake ($mmol/mmol\ glc$)])</f>
        <v>1310.5</v>
      </c>
      <c r="H1937">
        <f>_xlfn.RANK.AVG(Table1[[#This Row],[Flux in RT / glucose uptake ($mmol/mmol\ glc$)]],Table1[Flux in RT / glucose uptake ($mmol/mmol\ glc$)])</f>
        <v>1290.5</v>
      </c>
      <c r="I1937" t="e">
        <f>LOG(Table1[[#This Row],[Flux in SC / glucose uptake ($mmol/mmol\ glc$)]])</f>
        <v>#NUM!</v>
      </c>
      <c r="J1937" t="e">
        <f>LOG(Table1[[#This Row],[Flux in RT / glucose uptake ($mmol/mmol\ glc$)]])</f>
        <v>#NUM!</v>
      </c>
    </row>
    <row r="1938" spans="1:10" x14ac:dyDescent="0.2">
      <c r="A1938" t="s">
        <v>1941</v>
      </c>
      <c r="B1938" t="s">
        <v>3114</v>
      </c>
      <c r="C1938">
        <v>0</v>
      </c>
      <c r="D1938">
        <v>0</v>
      </c>
      <c r="E1938">
        <f>ABS(Table1[[#This Row],[Flux in SC / glucose uptake ($mmol/mmol\ glc$)]]-Table1[[#This Row],[Flux in RT / glucose uptake ($mmol/mmol\ glc$)]])/SQRT(2)</f>
        <v>0</v>
      </c>
      <c r="F1938">
        <f>Table1[[#This Row],[distance from 45-degree line]]/MAX(Table1[[Flux in SC / glucose uptake ($mmol/mmol\ glc$)]:[Flux in RT / glucose uptake ($mmol/mmol\ glc$)]])</f>
        <v>0</v>
      </c>
      <c r="G1938">
        <f>_xlfn.RANK.AVG(Table1[[#This Row],[Flux in SC / glucose uptake ($mmol/mmol\ glc$)]],Table1[Flux in SC / glucose uptake ($mmol/mmol\ glc$)])</f>
        <v>1310.5</v>
      </c>
      <c r="H1938">
        <f>_xlfn.RANK.AVG(Table1[[#This Row],[Flux in RT / glucose uptake ($mmol/mmol\ glc$)]],Table1[Flux in RT / glucose uptake ($mmol/mmol\ glc$)])</f>
        <v>1290.5</v>
      </c>
      <c r="I1938" t="e">
        <f>LOG(Table1[[#This Row],[Flux in SC / glucose uptake ($mmol/mmol\ glc$)]])</f>
        <v>#NUM!</v>
      </c>
      <c r="J1938" t="e">
        <f>LOG(Table1[[#This Row],[Flux in RT / glucose uptake ($mmol/mmol\ glc$)]])</f>
        <v>#NUM!</v>
      </c>
    </row>
    <row r="1939" spans="1:10" x14ac:dyDescent="0.2">
      <c r="A1939" t="s">
        <v>1942</v>
      </c>
      <c r="B1939" t="s">
        <v>3114</v>
      </c>
      <c r="C1939">
        <v>8.195324917589725E-3</v>
      </c>
      <c r="D1939">
        <v>3.9676130688605565E-2</v>
      </c>
      <c r="E1939">
        <f>ABS(Table1[[#This Row],[Flux in SC / glucose uptake ($mmol/mmol\ glc$)]]-Table1[[#This Row],[Flux in RT / glucose uptake ($mmol/mmol\ glc$)]])/SQRT(2)</f>
        <v>2.2260291237901901E-2</v>
      </c>
      <c r="F1939">
        <f>Table1[[#This Row],[distance from 45-degree line]]/MAX(Table1[[Flux in SC / glucose uptake ($mmol/mmol\ glc$)]:[Flux in RT / glucose uptake ($mmol/mmol\ glc$)]])</f>
        <v>1.1998042972627845E-3</v>
      </c>
      <c r="G1939">
        <f>_xlfn.RANK.AVG(Table1[[#This Row],[Flux in SC / glucose uptake ($mmol/mmol\ glc$)]],Table1[Flux in SC / glucose uptake ($mmol/mmol\ glc$)])</f>
        <v>93.5</v>
      </c>
      <c r="H1939">
        <f>_xlfn.RANK.AVG(Table1[[#This Row],[Flux in RT / glucose uptake ($mmol/mmol\ glc$)]],Table1[Flux in RT / glucose uptake ($mmol/mmol\ glc$)])</f>
        <v>108.5</v>
      </c>
      <c r="I1939">
        <f>LOG(Table1[[#This Row],[Flux in SC / glucose uptake ($mmol/mmol\ glc$)]])</f>
        <v>-2.0864338234090427</v>
      </c>
      <c r="J1939">
        <f>LOG(Table1[[#This Row],[Flux in RT / glucose uptake ($mmol/mmol\ glc$)]])</f>
        <v>-1.4014706878919523</v>
      </c>
    </row>
    <row r="1940" spans="1:10" x14ac:dyDescent="0.2">
      <c r="A1940" t="s">
        <v>1943</v>
      </c>
      <c r="B1940" t="s">
        <v>3114</v>
      </c>
      <c r="C1940">
        <v>0.40526855144600693</v>
      </c>
      <c r="D1940">
        <v>14.505627470675114</v>
      </c>
      <c r="E1940">
        <f>ABS(Table1[[#This Row],[Flux in SC / glucose uptake ($mmol/mmol\ glc$)]]-Table1[[#This Row],[Flux in RT / glucose uptake ($mmol/mmol\ glc$)]])/SQRT(2)</f>
        <v>9.97045940895112</v>
      </c>
      <c r="F1940">
        <f>Table1[[#This Row],[distance from 45-degree line]]/MAX(Table1[[Flux in SC / glucose uptake ($mmol/mmol\ glc$)]:[Flux in RT / glucose uptake ($mmol/mmol\ glc$)]])</f>
        <v>0.53739638519083577</v>
      </c>
      <c r="G1940">
        <f>_xlfn.RANK.AVG(Table1[[#This Row],[Flux in SC / glucose uptake ($mmol/mmol\ glc$)]],Table1[Flux in SC / glucose uptake ($mmol/mmol\ glc$)])</f>
        <v>23</v>
      </c>
      <c r="H1940">
        <f>_xlfn.RANK.AVG(Table1[[#This Row],[Flux in RT / glucose uptake ($mmol/mmol\ glc$)]],Table1[Flux in RT / glucose uptake ($mmol/mmol\ glc$)])</f>
        <v>3</v>
      </c>
      <c r="I1940">
        <f>LOG(Table1[[#This Row],[Flux in SC / glucose uptake ($mmol/mmol\ glc$)]])</f>
        <v>-0.39225709589653129</v>
      </c>
      <c r="J1940">
        <f>LOG(Table1[[#This Row],[Flux in RT / glucose uptake ($mmol/mmol\ glc$)]])</f>
        <v>1.1615365198438017</v>
      </c>
    </row>
    <row r="1941" spans="1:10" x14ac:dyDescent="0.2">
      <c r="A1941" t="s">
        <v>1944</v>
      </c>
      <c r="B1941" t="s">
        <v>3181</v>
      </c>
      <c r="C1941">
        <v>0</v>
      </c>
      <c r="D1941">
        <v>0</v>
      </c>
      <c r="E1941">
        <f>ABS(Table1[[#This Row],[Flux in SC / glucose uptake ($mmol/mmol\ glc$)]]-Table1[[#This Row],[Flux in RT / glucose uptake ($mmol/mmol\ glc$)]])/SQRT(2)</f>
        <v>0</v>
      </c>
      <c r="F1941">
        <f>Table1[[#This Row],[distance from 45-degree line]]/MAX(Table1[[Flux in SC / glucose uptake ($mmol/mmol\ glc$)]:[Flux in RT / glucose uptake ($mmol/mmol\ glc$)]])</f>
        <v>0</v>
      </c>
      <c r="G1941">
        <f>_xlfn.RANK.AVG(Table1[[#This Row],[Flux in SC / glucose uptake ($mmol/mmol\ glc$)]],Table1[Flux in SC / glucose uptake ($mmol/mmol\ glc$)])</f>
        <v>1310.5</v>
      </c>
      <c r="H1941">
        <f>_xlfn.RANK.AVG(Table1[[#This Row],[Flux in RT / glucose uptake ($mmol/mmol\ glc$)]],Table1[Flux in RT / glucose uptake ($mmol/mmol\ glc$)])</f>
        <v>1290.5</v>
      </c>
      <c r="I1941" t="e">
        <f>LOG(Table1[[#This Row],[Flux in SC / glucose uptake ($mmol/mmol\ glc$)]])</f>
        <v>#NUM!</v>
      </c>
      <c r="J1941" t="e">
        <f>LOG(Table1[[#This Row],[Flux in RT / glucose uptake ($mmol/mmol\ glc$)]])</f>
        <v>#NUM!</v>
      </c>
    </row>
    <row r="1942" spans="1:10" x14ac:dyDescent="0.2">
      <c r="A1942" t="s">
        <v>1945</v>
      </c>
      <c r="B1942" t="s">
        <v>3181</v>
      </c>
      <c r="C1942">
        <v>0</v>
      </c>
      <c r="D1942">
        <v>-1.7128111138314381E-8</v>
      </c>
      <c r="E1942">
        <f>ABS(Table1[[#This Row],[Flux in SC / glucose uptake ($mmol/mmol\ glc$)]]-Table1[[#This Row],[Flux in RT / glucose uptake ($mmol/mmol\ glc$)]])/SQRT(2)</f>
        <v>1.2111403534818933E-8</v>
      </c>
      <c r="F1942">
        <f>Table1[[#This Row],[distance from 45-degree line]]/MAX(Table1[[Flux in SC / glucose uptake ($mmol/mmol\ glc$)]:[Flux in RT / glucose uptake ($mmol/mmol\ glc$)]])</f>
        <v>6.5279083061669122E-10</v>
      </c>
      <c r="G1942">
        <f>_xlfn.RANK.AVG(Table1[[#This Row],[Flux in SC / glucose uptake ($mmol/mmol\ glc$)]],Table1[Flux in SC / glucose uptake ($mmol/mmol\ glc$)])</f>
        <v>1310.5</v>
      </c>
      <c r="H1942">
        <f>_xlfn.RANK.AVG(Table1[[#This Row],[Flux in RT / glucose uptake ($mmol/mmol\ glc$)]],Table1[Flux in RT / glucose uptake ($mmol/mmol\ glc$)])</f>
        <v>2297.5</v>
      </c>
      <c r="I1942" t="e">
        <f>LOG(Table1[[#This Row],[Flux in SC / glucose uptake ($mmol/mmol\ glc$)]])</f>
        <v>#NUM!</v>
      </c>
      <c r="J1942" t="e">
        <f>LOG(Table1[[#This Row],[Flux in RT / glucose uptake ($mmol/mmol\ glc$)]])</f>
        <v>#NUM!</v>
      </c>
    </row>
    <row r="1943" spans="1:10" x14ac:dyDescent="0.2">
      <c r="A1943" t="s">
        <v>1946</v>
      </c>
      <c r="B1943" t="s">
        <v>3141</v>
      </c>
      <c r="C1943">
        <v>0</v>
      </c>
      <c r="D1943">
        <v>0</v>
      </c>
      <c r="E1943">
        <f>ABS(Table1[[#This Row],[Flux in SC / glucose uptake ($mmol/mmol\ glc$)]]-Table1[[#This Row],[Flux in RT / glucose uptake ($mmol/mmol\ glc$)]])/SQRT(2)</f>
        <v>0</v>
      </c>
      <c r="F1943">
        <f>Table1[[#This Row],[distance from 45-degree line]]/MAX(Table1[[Flux in SC / glucose uptake ($mmol/mmol\ glc$)]:[Flux in RT / glucose uptake ($mmol/mmol\ glc$)]])</f>
        <v>0</v>
      </c>
      <c r="G1943">
        <f>_xlfn.RANK.AVG(Table1[[#This Row],[Flux in SC / glucose uptake ($mmol/mmol\ glc$)]],Table1[Flux in SC / glucose uptake ($mmol/mmol\ glc$)])</f>
        <v>1310.5</v>
      </c>
      <c r="H1943">
        <f>_xlfn.RANK.AVG(Table1[[#This Row],[Flux in RT / glucose uptake ($mmol/mmol\ glc$)]],Table1[Flux in RT / glucose uptake ($mmol/mmol\ glc$)])</f>
        <v>1290.5</v>
      </c>
      <c r="I1943" t="e">
        <f>LOG(Table1[[#This Row],[Flux in SC / glucose uptake ($mmol/mmol\ glc$)]])</f>
        <v>#NUM!</v>
      </c>
      <c r="J1943" t="e">
        <f>LOG(Table1[[#This Row],[Flux in RT / glucose uptake ($mmol/mmol\ glc$)]])</f>
        <v>#NUM!</v>
      </c>
    </row>
    <row r="1944" spans="1:10" x14ac:dyDescent="0.2">
      <c r="A1944" t="s">
        <v>1947</v>
      </c>
      <c r="B1944" t="s">
        <v>3141</v>
      </c>
      <c r="C1944">
        <v>0</v>
      </c>
      <c r="D1944">
        <v>0</v>
      </c>
      <c r="E1944">
        <f>ABS(Table1[[#This Row],[Flux in SC / glucose uptake ($mmol/mmol\ glc$)]]-Table1[[#This Row],[Flux in RT / glucose uptake ($mmol/mmol\ glc$)]])/SQRT(2)</f>
        <v>0</v>
      </c>
      <c r="F1944">
        <f>Table1[[#This Row],[distance from 45-degree line]]/MAX(Table1[[Flux in SC / glucose uptake ($mmol/mmol\ glc$)]:[Flux in RT / glucose uptake ($mmol/mmol\ glc$)]])</f>
        <v>0</v>
      </c>
      <c r="G1944">
        <f>_xlfn.RANK.AVG(Table1[[#This Row],[Flux in SC / glucose uptake ($mmol/mmol\ glc$)]],Table1[Flux in SC / glucose uptake ($mmol/mmol\ glc$)])</f>
        <v>1310.5</v>
      </c>
      <c r="H1944">
        <f>_xlfn.RANK.AVG(Table1[[#This Row],[Flux in RT / glucose uptake ($mmol/mmol\ glc$)]],Table1[Flux in RT / glucose uptake ($mmol/mmol\ glc$)])</f>
        <v>1290.5</v>
      </c>
      <c r="I1944" t="e">
        <f>LOG(Table1[[#This Row],[Flux in SC / glucose uptake ($mmol/mmol\ glc$)]])</f>
        <v>#NUM!</v>
      </c>
      <c r="J1944" t="e">
        <f>LOG(Table1[[#This Row],[Flux in RT / glucose uptake ($mmol/mmol\ glc$)]])</f>
        <v>#NUM!</v>
      </c>
    </row>
    <row r="1945" spans="1:10" x14ac:dyDescent="0.2">
      <c r="A1945" t="s">
        <v>1948</v>
      </c>
      <c r="B1945" t="s">
        <v>3141</v>
      </c>
      <c r="C1945">
        <v>0</v>
      </c>
      <c r="D1945">
        <v>0</v>
      </c>
      <c r="E1945">
        <f>ABS(Table1[[#This Row],[Flux in SC / glucose uptake ($mmol/mmol\ glc$)]]-Table1[[#This Row],[Flux in RT / glucose uptake ($mmol/mmol\ glc$)]])/SQRT(2)</f>
        <v>0</v>
      </c>
      <c r="F1945">
        <f>Table1[[#This Row],[distance from 45-degree line]]/MAX(Table1[[Flux in SC / glucose uptake ($mmol/mmol\ glc$)]:[Flux in RT / glucose uptake ($mmol/mmol\ glc$)]])</f>
        <v>0</v>
      </c>
      <c r="G1945">
        <f>_xlfn.RANK.AVG(Table1[[#This Row],[Flux in SC / glucose uptake ($mmol/mmol\ glc$)]],Table1[Flux in SC / glucose uptake ($mmol/mmol\ glc$)])</f>
        <v>1310.5</v>
      </c>
      <c r="H1945">
        <f>_xlfn.RANK.AVG(Table1[[#This Row],[Flux in RT / glucose uptake ($mmol/mmol\ glc$)]],Table1[Flux in RT / glucose uptake ($mmol/mmol\ glc$)])</f>
        <v>1290.5</v>
      </c>
      <c r="I1945" t="e">
        <f>LOG(Table1[[#This Row],[Flux in SC / glucose uptake ($mmol/mmol\ glc$)]])</f>
        <v>#NUM!</v>
      </c>
      <c r="J1945" t="e">
        <f>LOG(Table1[[#This Row],[Flux in RT / glucose uptake ($mmol/mmol\ glc$)]])</f>
        <v>#NUM!</v>
      </c>
    </row>
    <row r="1946" spans="1:10" x14ac:dyDescent="0.2">
      <c r="A1946" t="s">
        <v>1949</v>
      </c>
      <c r="B1946" t="s">
        <v>3141</v>
      </c>
      <c r="C1946">
        <v>0</v>
      </c>
      <c r="D1946">
        <v>0</v>
      </c>
      <c r="E1946">
        <f>ABS(Table1[[#This Row],[Flux in SC / glucose uptake ($mmol/mmol\ glc$)]]-Table1[[#This Row],[Flux in RT / glucose uptake ($mmol/mmol\ glc$)]])/SQRT(2)</f>
        <v>0</v>
      </c>
      <c r="F1946">
        <f>Table1[[#This Row],[distance from 45-degree line]]/MAX(Table1[[Flux in SC / glucose uptake ($mmol/mmol\ glc$)]:[Flux in RT / glucose uptake ($mmol/mmol\ glc$)]])</f>
        <v>0</v>
      </c>
      <c r="G1946">
        <f>_xlfn.RANK.AVG(Table1[[#This Row],[Flux in SC / glucose uptake ($mmol/mmol\ glc$)]],Table1[Flux in SC / glucose uptake ($mmol/mmol\ glc$)])</f>
        <v>1310.5</v>
      </c>
      <c r="H1946">
        <f>_xlfn.RANK.AVG(Table1[[#This Row],[Flux in RT / glucose uptake ($mmol/mmol\ glc$)]],Table1[Flux in RT / glucose uptake ($mmol/mmol\ glc$)])</f>
        <v>1290.5</v>
      </c>
      <c r="I1946" t="e">
        <f>LOG(Table1[[#This Row],[Flux in SC / glucose uptake ($mmol/mmol\ glc$)]])</f>
        <v>#NUM!</v>
      </c>
      <c r="J1946" t="e">
        <f>LOG(Table1[[#This Row],[Flux in RT / glucose uptake ($mmol/mmol\ glc$)]])</f>
        <v>#NUM!</v>
      </c>
    </row>
    <row r="1947" spans="1:10" x14ac:dyDescent="0.2">
      <c r="A1947" t="s">
        <v>1950</v>
      </c>
      <c r="B1947" t="s">
        <v>3141</v>
      </c>
      <c r="C1947">
        <v>0</v>
      </c>
      <c r="D1947">
        <v>0</v>
      </c>
      <c r="E1947">
        <f>ABS(Table1[[#This Row],[Flux in SC / glucose uptake ($mmol/mmol\ glc$)]]-Table1[[#This Row],[Flux in RT / glucose uptake ($mmol/mmol\ glc$)]])/SQRT(2)</f>
        <v>0</v>
      </c>
      <c r="F1947">
        <f>Table1[[#This Row],[distance from 45-degree line]]/MAX(Table1[[Flux in SC / glucose uptake ($mmol/mmol\ glc$)]:[Flux in RT / glucose uptake ($mmol/mmol\ glc$)]])</f>
        <v>0</v>
      </c>
      <c r="G1947">
        <f>_xlfn.RANK.AVG(Table1[[#This Row],[Flux in SC / glucose uptake ($mmol/mmol\ glc$)]],Table1[Flux in SC / glucose uptake ($mmol/mmol\ glc$)])</f>
        <v>1310.5</v>
      </c>
      <c r="H1947">
        <f>_xlfn.RANK.AVG(Table1[[#This Row],[Flux in RT / glucose uptake ($mmol/mmol\ glc$)]],Table1[Flux in RT / glucose uptake ($mmol/mmol\ glc$)])</f>
        <v>1290.5</v>
      </c>
      <c r="I1947" t="e">
        <f>LOG(Table1[[#This Row],[Flux in SC / glucose uptake ($mmol/mmol\ glc$)]])</f>
        <v>#NUM!</v>
      </c>
      <c r="J1947" t="e">
        <f>LOG(Table1[[#This Row],[Flux in RT / glucose uptake ($mmol/mmol\ glc$)]])</f>
        <v>#NUM!</v>
      </c>
    </row>
    <row r="1948" spans="1:10" x14ac:dyDescent="0.2">
      <c r="A1948" t="s">
        <v>1951</v>
      </c>
      <c r="B1948" t="s">
        <v>3141</v>
      </c>
      <c r="C1948">
        <v>0</v>
      </c>
      <c r="D1948">
        <v>0</v>
      </c>
      <c r="E1948">
        <f>ABS(Table1[[#This Row],[Flux in SC / glucose uptake ($mmol/mmol\ glc$)]]-Table1[[#This Row],[Flux in RT / glucose uptake ($mmol/mmol\ glc$)]])/SQRT(2)</f>
        <v>0</v>
      </c>
      <c r="F1948">
        <f>Table1[[#This Row],[distance from 45-degree line]]/MAX(Table1[[Flux in SC / glucose uptake ($mmol/mmol\ glc$)]:[Flux in RT / glucose uptake ($mmol/mmol\ glc$)]])</f>
        <v>0</v>
      </c>
      <c r="G1948">
        <f>_xlfn.RANK.AVG(Table1[[#This Row],[Flux in SC / glucose uptake ($mmol/mmol\ glc$)]],Table1[Flux in SC / glucose uptake ($mmol/mmol\ glc$)])</f>
        <v>1310.5</v>
      </c>
      <c r="H1948">
        <f>_xlfn.RANK.AVG(Table1[[#This Row],[Flux in RT / glucose uptake ($mmol/mmol\ glc$)]],Table1[Flux in RT / glucose uptake ($mmol/mmol\ glc$)])</f>
        <v>1290.5</v>
      </c>
      <c r="I1948" t="e">
        <f>LOG(Table1[[#This Row],[Flux in SC / glucose uptake ($mmol/mmol\ glc$)]])</f>
        <v>#NUM!</v>
      </c>
      <c r="J1948" t="e">
        <f>LOG(Table1[[#This Row],[Flux in RT / glucose uptake ($mmol/mmol\ glc$)]])</f>
        <v>#NUM!</v>
      </c>
    </row>
    <row r="1949" spans="1:10" x14ac:dyDescent="0.2">
      <c r="A1949" t="s">
        <v>1952</v>
      </c>
      <c r="B1949" t="s">
        <v>3141</v>
      </c>
      <c r="C1949">
        <v>0</v>
      </c>
      <c r="D1949">
        <v>0</v>
      </c>
      <c r="E1949">
        <f>ABS(Table1[[#This Row],[Flux in SC / glucose uptake ($mmol/mmol\ glc$)]]-Table1[[#This Row],[Flux in RT / glucose uptake ($mmol/mmol\ glc$)]])/SQRT(2)</f>
        <v>0</v>
      </c>
      <c r="F1949">
        <f>Table1[[#This Row],[distance from 45-degree line]]/MAX(Table1[[Flux in SC / glucose uptake ($mmol/mmol\ glc$)]:[Flux in RT / glucose uptake ($mmol/mmol\ glc$)]])</f>
        <v>0</v>
      </c>
      <c r="G1949">
        <f>_xlfn.RANK.AVG(Table1[[#This Row],[Flux in SC / glucose uptake ($mmol/mmol\ glc$)]],Table1[Flux in SC / glucose uptake ($mmol/mmol\ glc$)])</f>
        <v>1310.5</v>
      </c>
      <c r="H1949">
        <f>_xlfn.RANK.AVG(Table1[[#This Row],[Flux in RT / glucose uptake ($mmol/mmol\ glc$)]],Table1[Flux in RT / glucose uptake ($mmol/mmol\ glc$)])</f>
        <v>1290.5</v>
      </c>
      <c r="I1949" t="e">
        <f>LOG(Table1[[#This Row],[Flux in SC / glucose uptake ($mmol/mmol\ glc$)]])</f>
        <v>#NUM!</v>
      </c>
      <c r="J1949" t="e">
        <f>LOG(Table1[[#This Row],[Flux in RT / glucose uptake ($mmol/mmol\ glc$)]])</f>
        <v>#NUM!</v>
      </c>
    </row>
    <row r="1950" spans="1:10" x14ac:dyDescent="0.2">
      <c r="A1950" t="s">
        <v>1953</v>
      </c>
      <c r="B1950" t="s">
        <v>3141</v>
      </c>
      <c r="C1950">
        <v>0</v>
      </c>
      <c r="D1950">
        <v>0</v>
      </c>
      <c r="E1950">
        <f>ABS(Table1[[#This Row],[Flux in SC / glucose uptake ($mmol/mmol\ glc$)]]-Table1[[#This Row],[Flux in RT / glucose uptake ($mmol/mmol\ glc$)]])/SQRT(2)</f>
        <v>0</v>
      </c>
      <c r="F1950">
        <f>Table1[[#This Row],[distance from 45-degree line]]/MAX(Table1[[Flux in SC / glucose uptake ($mmol/mmol\ glc$)]:[Flux in RT / glucose uptake ($mmol/mmol\ glc$)]])</f>
        <v>0</v>
      </c>
      <c r="G1950">
        <f>_xlfn.RANK.AVG(Table1[[#This Row],[Flux in SC / glucose uptake ($mmol/mmol\ glc$)]],Table1[Flux in SC / glucose uptake ($mmol/mmol\ glc$)])</f>
        <v>1310.5</v>
      </c>
      <c r="H1950">
        <f>_xlfn.RANK.AVG(Table1[[#This Row],[Flux in RT / glucose uptake ($mmol/mmol\ glc$)]],Table1[Flux in RT / glucose uptake ($mmol/mmol\ glc$)])</f>
        <v>1290.5</v>
      </c>
      <c r="I1950" t="e">
        <f>LOG(Table1[[#This Row],[Flux in SC / glucose uptake ($mmol/mmol\ glc$)]])</f>
        <v>#NUM!</v>
      </c>
      <c r="J1950" t="e">
        <f>LOG(Table1[[#This Row],[Flux in RT / glucose uptake ($mmol/mmol\ glc$)]])</f>
        <v>#NUM!</v>
      </c>
    </row>
    <row r="1951" spans="1:10" x14ac:dyDescent="0.2">
      <c r="A1951" t="s">
        <v>1954</v>
      </c>
      <c r="B1951" t="s">
        <v>3141</v>
      </c>
      <c r="C1951">
        <v>0</v>
      </c>
      <c r="D1951">
        <v>0</v>
      </c>
      <c r="E1951">
        <f>ABS(Table1[[#This Row],[Flux in SC / glucose uptake ($mmol/mmol\ glc$)]]-Table1[[#This Row],[Flux in RT / glucose uptake ($mmol/mmol\ glc$)]])/SQRT(2)</f>
        <v>0</v>
      </c>
      <c r="F1951">
        <f>Table1[[#This Row],[distance from 45-degree line]]/MAX(Table1[[Flux in SC / glucose uptake ($mmol/mmol\ glc$)]:[Flux in RT / glucose uptake ($mmol/mmol\ glc$)]])</f>
        <v>0</v>
      </c>
      <c r="G1951">
        <f>_xlfn.RANK.AVG(Table1[[#This Row],[Flux in SC / glucose uptake ($mmol/mmol\ glc$)]],Table1[Flux in SC / glucose uptake ($mmol/mmol\ glc$)])</f>
        <v>1310.5</v>
      </c>
      <c r="H1951">
        <f>_xlfn.RANK.AVG(Table1[[#This Row],[Flux in RT / glucose uptake ($mmol/mmol\ glc$)]],Table1[Flux in RT / glucose uptake ($mmol/mmol\ glc$)])</f>
        <v>1290.5</v>
      </c>
      <c r="I1951" t="e">
        <f>LOG(Table1[[#This Row],[Flux in SC / glucose uptake ($mmol/mmol\ glc$)]])</f>
        <v>#NUM!</v>
      </c>
      <c r="J1951" t="e">
        <f>LOG(Table1[[#This Row],[Flux in RT / glucose uptake ($mmol/mmol\ glc$)]])</f>
        <v>#NUM!</v>
      </c>
    </row>
    <row r="1952" spans="1:10" x14ac:dyDescent="0.2">
      <c r="A1952" t="s">
        <v>1955</v>
      </c>
      <c r="B1952" t="s">
        <v>3141</v>
      </c>
      <c r="C1952">
        <v>0</v>
      </c>
      <c r="D1952">
        <v>0</v>
      </c>
      <c r="E1952">
        <f>ABS(Table1[[#This Row],[Flux in SC / glucose uptake ($mmol/mmol\ glc$)]]-Table1[[#This Row],[Flux in RT / glucose uptake ($mmol/mmol\ glc$)]])/SQRT(2)</f>
        <v>0</v>
      </c>
      <c r="F1952">
        <f>Table1[[#This Row],[distance from 45-degree line]]/MAX(Table1[[Flux in SC / glucose uptake ($mmol/mmol\ glc$)]:[Flux in RT / glucose uptake ($mmol/mmol\ glc$)]])</f>
        <v>0</v>
      </c>
      <c r="G1952">
        <f>_xlfn.RANK.AVG(Table1[[#This Row],[Flux in SC / glucose uptake ($mmol/mmol\ glc$)]],Table1[Flux in SC / glucose uptake ($mmol/mmol\ glc$)])</f>
        <v>1310.5</v>
      </c>
      <c r="H1952">
        <f>_xlfn.RANK.AVG(Table1[[#This Row],[Flux in RT / glucose uptake ($mmol/mmol\ glc$)]],Table1[Flux in RT / glucose uptake ($mmol/mmol\ glc$)])</f>
        <v>1290.5</v>
      </c>
      <c r="I1952" t="e">
        <f>LOG(Table1[[#This Row],[Flux in SC / glucose uptake ($mmol/mmol\ glc$)]])</f>
        <v>#NUM!</v>
      </c>
      <c r="J1952" t="e">
        <f>LOG(Table1[[#This Row],[Flux in RT / glucose uptake ($mmol/mmol\ glc$)]])</f>
        <v>#NUM!</v>
      </c>
    </row>
    <row r="1953" spans="1:10" x14ac:dyDescent="0.2">
      <c r="A1953" t="s">
        <v>1956</v>
      </c>
      <c r="B1953" t="s">
        <v>3205</v>
      </c>
      <c r="C1953">
        <v>0</v>
      </c>
      <c r="D1953">
        <v>0</v>
      </c>
      <c r="E1953">
        <f>ABS(Table1[[#This Row],[Flux in SC / glucose uptake ($mmol/mmol\ glc$)]]-Table1[[#This Row],[Flux in RT / glucose uptake ($mmol/mmol\ glc$)]])/SQRT(2)</f>
        <v>0</v>
      </c>
      <c r="F1953">
        <f>Table1[[#This Row],[distance from 45-degree line]]/MAX(Table1[[Flux in SC / glucose uptake ($mmol/mmol\ glc$)]:[Flux in RT / glucose uptake ($mmol/mmol\ glc$)]])</f>
        <v>0</v>
      </c>
      <c r="G1953">
        <f>_xlfn.RANK.AVG(Table1[[#This Row],[Flux in SC / glucose uptake ($mmol/mmol\ glc$)]],Table1[Flux in SC / glucose uptake ($mmol/mmol\ glc$)])</f>
        <v>1310.5</v>
      </c>
      <c r="H1953">
        <f>_xlfn.RANK.AVG(Table1[[#This Row],[Flux in RT / glucose uptake ($mmol/mmol\ glc$)]],Table1[Flux in RT / glucose uptake ($mmol/mmol\ glc$)])</f>
        <v>1290.5</v>
      </c>
      <c r="I1953" t="e">
        <f>LOG(Table1[[#This Row],[Flux in SC / glucose uptake ($mmol/mmol\ glc$)]])</f>
        <v>#NUM!</v>
      </c>
      <c r="J1953" t="e">
        <f>LOG(Table1[[#This Row],[Flux in RT / glucose uptake ($mmol/mmol\ glc$)]])</f>
        <v>#NUM!</v>
      </c>
    </row>
    <row r="1954" spans="1:10" x14ac:dyDescent="0.2">
      <c r="A1954" t="s">
        <v>1957</v>
      </c>
      <c r="B1954" t="s">
        <v>3205</v>
      </c>
      <c r="C1954">
        <v>0</v>
      </c>
      <c r="D1954">
        <v>0</v>
      </c>
      <c r="E1954">
        <f>ABS(Table1[[#This Row],[Flux in SC / glucose uptake ($mmol/mmol\ glc$)]]-Table1[[#This Row],[Flux in RT / glucose uptake ($mmol/mmol\ glc$)]])/SQRT(2)</f>
        <v>0</v>
      </c>
      <c r="F1954">
        <f>Table1[[#This Row],[distance from 45-degree line]]/MAX(Table1[[Flux in SC / glucose uptake ($mmol/mmol\ glc$)]:[Flux in RT / glucose uptake ($mmol/mmol\ glc$)]])</f>
        <v>0</v>
      </c>
      <c r="G1954">
        <f>_xlfn.RANK.AVG(Table1[[#This Row],[Flux in SC / glucose uptake ($mmol/mmol\ glc$)]],Table1[Flux in SC / glucose uptake ($mmol/mmol\ glc$)])</f>
        <v>1310.5</v>
      </c>
      <c r="H1954">
        <f>_xlfn.RANK.AVG(Table1[[#This Row],[Flux in RT / glucose uptake ($mmol/mmol\ glc$)]],Table1[Flux in RT / glucose uptake ($mmol/mmol\ glc$)])</f>
        <v>1290.5</v>
      </c>
      <c r="I1954" t="e">
        <f>LOG(Table1[[#This Row],[Flux in SC / glucose uptake ($mmol/mmol\ glc$)]])</f>
        <v>#NUM!</v>
      </c>
      <c r="J1954" t="e">
        <f>LOG(Table1[[#This Row],[Flux in RT / glucose uptake ($mmol/mmol\ glc$)]])</f>
        <v>#NUM!</v>
      </c>
    </row>
    <row r="1955" spans="1:10" x14ac:dyDescent="0.2">
      <c r="A1955" t="s">
        <v>1958</v>
      </c>
      <c r="B1955" t="s">
        <v>3205</v>
      </c>
      <c r="C1955">
        <v>0</v>
      </c>
      <c r="D1955">
        <v>0</v>
      </c>
      <c r="E1955">
        <f>ABS(Table1[[#This Row],[Flux in SC / glucose uptake ($mmol/mmol\ glc$)]]-Table1[[#This Row],[Flux in RT / glucose uptake ($mmol/mmol\ glc$)]])/SQRT(2)</f>
        <v>0</v>
      </c>
      <c r="F1955">
        <f>Table1[[#This Row],[distance from 45-degree line]]/MAX(Table1[[Flux in SC / glucose uptake ($mmol/mmol\ glc$)]:[Flux in RT / glucose uptake ($mmol/mmol\ glc$)]])</f>
        <v>0</v>
      </c>
      <c r="G1955">
        <f>_xlfn.RANK.AVG(Table1[[#This Row],[Flux in SC / glucose uptake ($mmol/mmol\ glc$)]],Table1[Flux in SC / glucose uptake ($mmol/mmol\ glc$)])</f>
        <v>1310.5</v>
      </c>
      <c r="H1955">
        <f>_xlfn.RANK.AVG(Table1[[#This Row],[Flux in RT / glucose uptake ($mmol/mmol\ glc$)]],Table1[Flux in RT / glucose uptake ($mmol/mmol\ glc$)])</f>
        <v>1290.5</v>
      </c>
      <c r="I1955" t="e">
        <f>LOG(Table1[[#This Row],[Flux in SC / glucose uptake ($mmol/mmol\ glc$)]])</f>
        <v>#NUM!</v>
      </c>
      <c r="J1955" t="e">
        <f>LOG(Table1[[#This Row],[Flux in RT / glucose uptake ($mmol/mmol\ glc$)]])</f>
        <v>#NUM!</v>
      </c>
    </row>
    <row r="1956" spans="1:10" x14ac:dyDescent="0.2">
      <c r="A1956" t="s">
        <v>1959</v>
      </c>
      <c r="B1956" t="s">
        <v>3125</v>
      </c>
      <c r="C1956">
        <v>0</v>
      </c>
      <c r="D1956">
        <v>0</v>
      </c>
      <c r="E1956">
        <f>ABS(Table1[[#This Row],[Flux in SC / glucose uptake ($mmol/mmol\ glc$)]]-Table1[[#This Row],[Flux in RT / glucose uptake ($mmol/mmol\ glc$)]])/SQRT(2)</f>
        <v>0</v>
      </c>
      <c r="F1956">
        <f>Table1[[#This Row],[distance from 45-degree line]]/MAX(Table1[[Flux in SC / glucose uptake ($mmol/mmol\ glc$)]:[Flux in RT / glucose uptake ($mmol/mmol\ glc$)]])</f>
        <v>0</v>
      </c>
      <c r="G1956">
        <f>_xlfn.RANK.AVG(Table1[[#This Row],[Flux in SC / glucose uptake ($mmol/mmol\ glc$)]],Table1[Flux in SC / glucose uptake ($mmol/mmol\ glc$)])</f>
        <v>1310.5</v>
      </c>
      <c r="H1956">
        <f>_xlfn.RANK.AVG(Table1[[#This Row],[Flux in RT / glucose uptake ($mmol/mmol\ glc$)]],Table1[Flux in RT / glucose uptake ($mmol/mmol\ glc$)])</f>
        <v>1290.5</v>
      </c>
      <c r="I1956" t="e">
        <f>LOG(Table1[[#This Row],[Flux in SC / glucose uptake ($mmol/mmol\ glc$)]])</f>
        <v>#NUM!</v>
      </c>
      <c r="J1956" t="e">
        <f>LOG(Table1[[#This Row],[Flux in RT / glucose uptake ($mmol/mmol\ glc$)]])</f>
        <v>#NUM!</v>
      </c>
    </row>
    <row r="1957" spans="1:10" x14ac:dyDescent="0.2">
      <c r="A1957" t="s">
        <v>1960</v>
      </c>
      <c r="B1957" t="s">
        <v>3205</v>
      </c>
      <c r="C1957">
        <v>0</v>
      </c>
      <c r="D1957">
        <v>0</v>
      </c>
      <c r="E1957">
        <f>ABS(Table1[[#This Row],[Flux in SC / glucose uptake ($mmol/mmol\ glc$)]]-Table1[[#This Row],[Flux in RT / glucose uptake ($mmol/mmol\ glc$)]])/SQRT(2)</f>
        <v>0</v>
      </c>
      <c r="F1957">
        <f>Table1[[#This Row],[distance from 45-degree line]]/MAX(Table1[[Flux in SC / glucose uptake ($mmol/mmol\ glc$)]:[Flux in RT / glucose uptake ($mmol/mmol\ glc$)]])</f>
        <v>0</v>
      </c>
      <c r="G1957">
        <f>_xlfn.RANK.AVG(Table1[[#This Row],[Flux in SC / glucose uptake ($mmol/mmol\ glc$)]],Table1[Flux in SC / glucose uptake ($mmol/mmol\ glc$)])</f>
        <v>1310.5</v>
      </c>
      <c r="H1957">
        <f>_xlfn.RANK.AVG(Table1[[#This Row],[Flux in RT / glucose uptake ($mmol/mmol\ glc$)]],Table1[Flux in RT / glucose uptake ($mmol/mmol\ glc$)])</f>
        <v>1290.5</v>
      </c>
      <c r="I1957" t="e">
        <f>LOG(Table1[[#This Row],[Flux in SC / glucose uptake ($mmol/mmol\ glc$)]])</f>
        <v>#NUM!</v>
      </c>
      <c r="J1957" t="e">
        <f>LOG(Table1[[#This Row],[Flux in RT / glucose uptake ($mmol/mmol\ glc$)]])</f>
        <v>#NUM!</v>
      </c>
    </row>
    <row r="1958" spans="1:10" x14ac:dyDescent="0.2">
      <c r="A1958" t="s">
        <v>1961</v>
      </c>
      <c r="B1958" t="s">
        <v>3205</v>
      </c>
      <c r="C1958">
        <v>0</v>
      </c>
      <c r="D1958">
        <v>0</v>
      </c>
      <c r="E1958">
        <f>ABS(Table1[[#This Row],[Flux in SC / glucose uptake ($mmol/mmol\ glc$)]]-Table1[[#This Row],[Flux in RT / glucose uptake ($mmol/mmol\ glc$)]])/SQRT(2)</f>
        <v>0</v>
      </c>
      <c r="F1958">
        <f>Table1[[#This Row],[distance from 45-degree line]]/MAX(Table1[[Flux in SC / glucose uptake ($mmol/mmol\ glc$)]:[Flux in RT / glucose uptake ($mmol/mmol\ glc$)]])</f>
        <v>0</v>
      </c>
      <c r="G1958">
        <f>_xlfn.RANK.AVG(Table1[[#This Row],[Flux in SC / glucose uptake ($mmol/mmol\ glc$)]],Table1[Flux in SC / glucose uptake ($mmol/mmol\ glc$)])</f>
        <v>1310.5</v>
      </c>
      <c r="H1958">
        <f>_xlfn.RANK.AVG(Table1[[#This Row],[Flux in RT / glucose uptake ($mmol/mmol\ glc$)]],Table1[Flux in RT / glucose uptake ($mmol/mmol\ glc$)])</f>
        <v>1290.5</v>
      </c>
      <c r="I1958" t="e">
        <f>LOG(Table1[[#This Row],[Flux in SC / glucose uptake ($mmol/mmol\ glc$)]])</f>
        <v>#NUM!</v>
      </c>
      <c r="J1958" t="e">
        <f>LOG(Table1[[#This Row],[Flux in RT / glucose uptake ($mmol/mmol\ glc$)]])</f>
        <v>#NUM!</v>
      </c>
    </row>
    <row r="1959" spans="1:10" x14ac:dyDescent="0.2">
      <c r="A1959" t="s">
        <v>1962</v>
      </c>
      <c r="B1959" t="s">
        <v>3141</v>
      </c>
      <c r="C1959">
        <v>0</v>
      </c>
      <c r="D1959">
        <v>0</v>
      </c>
      <c r="E1959">
        <f>ABS(Table1[[#This Row],[Flux in SC / glucose uptake ($mmol/mmol\ glc$)]]-Table1[[#This Row],[Flux in RT / glucose uptake ($mmol/mmol\ glc$)]])/SQRT(2)</f>
        <v>0</v>
      </c>
      <c r="F1959">
        <f>Table1[[#This Row],[distance from 45-degree line]]/MAX(Table1[[Flux in SC / glucose uptake ($mmol/mmol\ glc$)]:[Flux in RT / glucose uptake ($mmol/mmol\ glc$)]])</f>
        <v>0</v>
      </c>
      <c r="G1959">
        <f>_xlfn.RANK.AVG(Table1[[#This Row],[Flux in SC / glucose uptake ($mmol/mmol\ glc$)]],Table1[Flux in SC / glucose uptake ($mmol/mmol\ glc$)])</f>
        <v>1310.5</v>
      </c>
      <c r="H1959">
        <f>_xlfn.RANK.AVG(Table1[[#This Row],[Flux in RT / glucose uptake ($mmol/mmol\ glc$)]],Table1[Flux in RT / glucose uptake ($mmol/mmol\ glc$)])</f>
        <v>1290.5</v>
      </c>
      <c r="I1959" t="e">
        <f>LOG(Table1[[#This Row],[Flux in SC / glucose uptake ($mmol/mmol\ glc$)]])</f>
        <v>#NUM!</v>
      </c>
      <c r="J1959" t="e">
        <f>LOG(Table1[[#This Row],[Flux in RT / glucose uptake ($mmol/mmol\ glc$)]])</f>
        <v>#NUM!</v>
      </c>
    </row>
    <row r="1960" spans="1:10" x14ac:dyDescent="0.2">
      <c r="A1960" t="s">
        <v>1963</v>
      </c>
      <c r="B1960" t="s">
        <v>3141</v>
      </c>
      <c r="C1960">
        <v>0</v>
      </c>
      <c r="D1960">
        <v>0</v>
      </c>
      <c r="E1960">
        <f>ABS(Table1[[#This Row],[Flux in SC / glucose uptake ($mmol/mmol\ glc$)]]-Table1[[#This Row],[Flux in RT / glucose uptake ($mmol/mmol\ glc$)]])/SQRT(2)</f>
        <v>0</v>
      </c>
      <c r="F1960">
        <f>Table1[[#This Row],[distance from 45-degree line]]/MAX(Table1[[Flux in SC / glucose uptake ($mmol/mmol\ glc$)]:[Flux in RT / glucose uptake ($mmol/mmol\ glc$)]])</f>
        <v>0</v>
      </c>
      <c r="G1960">
        <f>_xlfn.RANK.AVG(Table1[[#This Row],[Flux in SC / glucose uptake ($mmol/mmol\ glc$)]],Table1[Flux in SC / glucose uptake ($mmol/mmol\ glc$)])</f>
        <v>1310.5</v>
      </c>
      <c r="H1960">
        <f>_xlfn.RANK.AVG(Table1[[#This Row],[Flux in RT / glucose uptake ($mmol/mmol\ glc$)]],Table1[Flux in RT / glucose uptake ($mmol/mmol\ glc$)])</f>
        <v>1290.5</v>
      </c>
      <c r="I1960" t="e">
        <f>LOG(Table1[[#This Row],[Flux in SC / glucose uptake ($mmol/mmol\ glc$)]])</f>
        <v>#NUM!</v>
      </c>
      <c r="J1960" t="e">
        <f>LOG(Table1[[#This Row],[Flux in RT / glucose uptake ($mmol/mmol\ glc$)]])</f>
        <v>#NUM!</v>
      </c>
    </row>
    <row r="1961" spans="1:10" x14ac:dyDescent="0.2">
      <c r="A1961" t="s">
        <v>1964</v>
      </c>
      <c r="B1961" t="s">
        <v>3141</v>
      </c>
      <c r="C1961">
        <v>0</v>
      </c>
      <c r="D1961">
        <v>0</v>
      </c>
      <c r="E1961">
        <f>ABS(Table1[[#This Row],[Flux in SC / glucose uptake ($mmol/mmol\ glc$)]]-Table1[[#This Row],[Flux in RT / glucose uptake ($mmol/mmol\ glc$)]])/SQRT(2)</f>
        <v>0</v>
      </c>
      <c r="F1961">
        <f>Table1[[#This Row],[distance from 45-degree line]]/MAX(Table1[[Flux in SC / glucose uptake ($mmol/mmol\ glc$)]:[Flux in RT / glucose uptake ($mmol/mmol\ glc$)]])</f>
        <v>0</v>
      </c>
      <c r="G1961">
        <f>_xlfn.RANK.AVG(Table1[[#This Row],[Flux in SC / glucose uptake ($mmol/mmol\ glc$)]],Table1[Flux in SC / glucose uptake ($mmol/mmol\ glc$)])</f>
        <v>1310.5</v>
      </c>
      <c r="H1961">
        <f>_xlfn.RANK.AVG(Table1[[#This Row],[Flux in RT / glucose uptake ($mmol/mmol\ glc$)]],Table1[Flux in RT / glucose uptake ($mmol/mmol\ glc$)])</f>
        <v>1290.5</v>
      </c>
      <c r="I1961" t="e">
        <f>LOG(Table1[[#This Row],[Flux in SC / glucose uptake ($mmol/mmol\ glc$)]])</f>
        <v>#NUM!</v>
      </c>
      <c r="J1961" t="e">
        <f>LOG(Table1[[#This Row],[Flux in RT / glucose uptake ($mmol/mmol\ glc$)]])</f>
        <v>#NUM!</v>
      </c>
    </row>
    <row r="1962" spans="1:10" x14ac:dyDescent="0.2">
      <c r="A1962" t="s">
        <v>1965</v>
      </c>
      <c r="B1962" t="s">
        <v>3141</v>
      </c>
      <c r="C1962">
        <v>0</v>
      </c>
      <c r="D1962">
        <v>0</v>
      </c>
      <c r="E1962">
        <f>ABS(Table1[[#This Row],[Flux in SC / glucose uptake ($mmol/mmol\ glc$)]]-Table1[[#This Row],[Flux in RT / glucose uptake ($mmol/mmol\ glc$)]])/SQRT(2)</f>
        <v>0</v>
      </c>
      <c r="F1962">
        <f>Table1[[#This Row],[distance from 45-degree line]]/MAX(Table1[[Flux in SC / glucose uptake ($mmol/mmol\ glc$)]:[Flux in RT / glucose uptake ($mmol/mmol\ glc$)]])</f>
        <v>0</v>
      </c>
      <c r="G1962">
        <f>_xlfn.RANK.AVG(Table1[[#This Row],[Flux in SC / glucose uptake ($mmol/mmol\ glc$)]],Table1[Flux in SC / glucose uptake ($mmol/mmol\ glc$)])</f>
        <v>1310.5</v>
      </c>
      <c r="H1962">
        <f>_xlfn.RANK.AVG(Table1[[#This Row],[Flux in RT / glucose uptake ($mmol/mmol\ glc$)]],Table1[Flux in RT / glucose uptake ($mmol/mmol\ glc$)])</f>
        <v>1290.5</v>
      </c>
      <c r="I1962" t="e">
        <f>LOG(Table1[[#This Row],[Flux in SC / glucose uptake ($mmol/mmol\ glc$)]])</f>
        <v>#NUM!</v>
      </c>
      <c r="J1962" t="e">
        <f>LOG(Table1[[#This Row],[Flux in RT / glucose uptake ($mmol/mmol\ glc$)]])</f>
        <v>#NUM!</v>
      </c>
    </row>
    <row r="1963" spans="1:10" x14ac:dyDescent="0.2">
      <c r="A1963" t="s">
        <v>1966</v>
      </c>
      <c r="B1963" t="s">
        <v>3141</v>
      </c>
      <c r="C1963">
        <v>0</v>
      </c>
      <c r="D1963">
        <v>0</v>
      </c>
      <c r="E1963">
        <f>ABS(Table1[[#This Row],[Flux in SC / glucose uptake ($mmol/mmol\ glc$)]]-Table1[[#This Row],[Flux in RT / glucose uptake ($mmol/mmol\ glc$)]])/SQRT(2)</f>
        <v>0</v>
      </c>
      <c r="F1963">
        <f>Table1[[#This Row],[distance from 45-degree line]]/MAX(Table1[[Flux in SC / glucose uptake ($mmol/mmol\ glc$)]:[Flux in RT / glucose uptake ($mmol/mmol\ glc$)]])</f>
        <v>0</v>
      </c>
      <c r="G1963">
        <f>_xlfn.RANK.AVG(Table1[[#This Row],[Flux in SC / glucose uptake ($mmol/mmol\ glc$)]],Table1[Flux in SC / glucose uptake ($mmol/mmol\ glc$)])</f>
        <v>1310.5</v>
      </c>
      <c r="H1963">
        <f>_xlfn.RANK.AVG(Table1[[#This Row],[Flux in RT / glucose uptake ($mmol/mmol\ glc$)]],Table1[Flux in RT / glucose uptake ($mmol/mmol\ glc$)])</f>
        <v>1290.5</v>
      </c>
      <c r="I1963" t="e">
        <f>LOG(Table1[[#This Row],[Flux in SC / glucose uptake ($mmol/mmol\ glc$)]])</f>
        <v>#NUM!</v>
      </c>
      <c r="J1963" t="e">
        <f>LOG(Table1[[#This Row],[Flux in RT / glucose uptake ($mmol/mmol\ glc$)]])</f>
        <v>#NUM!</v>
      </c>
    </row>
    <row r="1964" spans="1:10" x14ac:dyDescent="0.2">
      <c r="A1964" t="s">
        <v>1967</v>
      </c>
      <c r="B1964" t="s">
        <v>3186</v>
      </c>
      <c r="C1964">
        <v>5.4252476561347657E-3</v>
      </c>
      <c r="D1964">
        <v>3.5538700119438354E-2</v>
      </c>
      <c r="E1964">
        <f>ABS(Table1[[#This Row],[Flux in SC / glucose uptake ($mmol/mmol\ glc$)]]-Table1[[#This Row],[Flux in RT / glucose uptake ($mmol/mmol\ glc$)]])/SQRT(2)</f>
        <v>2.1293426441740711E-2</v>
      </c>
      <c r="F1964">
        <f>Table1[[#This Row],[distance from 45-degree line]]/MAX(Table1[[Flux in SC / glucose uptake ($mmol/mmol\ glc$)]:[Flux in RT / glucose uptake ($mmol/mmol\ glc$)]])</f>
        <v>1.1476913880061831E-3</v>
      </c>
      <c r="G1964">
        <f>_xlfn.RANK.AVG(Table1[[#This Row],[Flux in SC / glucose uptake ($mmol/mmol\ glc$)]],Table1[Flux in SC / glucose uptake ($mmol/mmol\ glc$)])</f>
        <v>107.5</v>
      </c>
      <c r="H1964">
        <f>_xlfn.RANK.AVG(Table1[[#This Row],[Flux in RT / glucose uptake ($mmol/mmol\ glc$)]],Table1[Flux in RT / glucose uptake ($mmol/mmol\ glc$)])</f>
        <v>115.5</v>
      </c>
      <c r="I1964">
        <f>LOG(Table1[[#This Row],[Flux in SC / glucose uptake ($mmol/mmol\ glc$)]])</f>
        <v>-2.2655804319978099</v>
      </c>
      <c r="J1964">
        <f>LOG(Table1[[#This Row],[Flux in RT / glucose uptake ($mmol/mmol\ glc$)]])</f>
        <v>-1.4492984612037394</v>
      </c>
    </row>
    <row r="1965" spans="1:10" x14ac:dyDescent="0.2">
      <c r="A1965" t="s">
        <v>1968</v>
      </c>
      <c r="B1965" t="s">
        <v>3147</v>
      </c>
      <c r="C1965">
        <v>0</v>
      </c>
      <c r="D1965">
        <v>0</v>
      </c>
      <c r="E1965">
        <f>ABS(Table1[[#This Row],[Flux in SC / glucose uptake ($mmol/mmol\ glc$)]]-Table1[[#This Row],[Flux in RT / glucose uptake ($mmol/mmol\ glc$)]])/SQRT(2)</f>
        <v>0</v>
      </c>
      <c r="F1965">
        <f>Table1[[#This Row],[distance from 45-degree line]]/MAX(Table1[[Flux in SC / glucose uptake ($mmol/mmol\ glc$)]:[Flux in RT / glucose uptake ($mmol/mmol\ glc$)]])</f>
        <v>0</v>
      </c>
      <c r="G1965">
        <f>_xlfn.RANK.AVG(Table1[[#This Row],[Flux in SC / glucose uptake ($mmol/mmol\ glc$)]],Table1[Flux in SC / glucose uptake ($mmol/mmol\ glc$)])</f>
        <v>1310.5</v>
      </c>
      <c r="H1965">
        <f>_xlfn.RANK.AVG(Table1[[#This Row],[Flux in RT / glucose uptake ($mmol/mmol\ glc$)]],Table1[Flux in RT / glucose uptake ($mmol/mmol\ glc$)])</f>
        <v>1290.5</v>
      </c>
      <c r="I1965" t="e">
        <f>LOG(Table1[[#This Row],[Flux in SC / glucose uptake ($mmol/mmol\ glc$)]])</f>
        <v>#NUM!</v>
      </c>
      <c r="J1965" t="e">
        <f>LOG(Table1[[#This Row],[Flux in RT / glucose uptake ($mmol/mmol\ glc$)]])</f>
        <v>#NUM!</v>
      </c>
    </row>
    <row r="1966" spans="1:10" x14ac:dyDescent="0.2">
      <c r="A1966" t="s">
        <v>1969</v>
      </c>
      <c r="B1966" t="s">
        <v>3141</v>
      </c>
      <c r="C1966">
        <v>0</v>
      </c>
      <c r="D1966">
        <v>0</v>
      </c>
      <c r="E1966">
        <f>ABS(Table1[[#This Row],[Flux in SC / glucose uptake ($mmol/mmol\ glc$)]]-Table1[[#This Row],[Flux in RT / glucose uptake ($mmol/mmol\ glc$)]])/SQRT(2)</f>
        <v>0</v>
      </c>
      <c r="F1966">
        <f>Table1[[#This Row],[distance from 45-degree line]]/MAX(Table1[[Flux in SC / glucose uptake ($mmol/mmol\ glc$)]:[Flux in RT / glucose uptake ($mmol/mmol\ glc$)]])</f>
        <v>0</v>
      </c>
      <c r="G1966">
        <f>_xlfn.RANK.AVG(Table1[[#This Row],[Flux in SC / glucose uptake ($mmol/mmol\ glc$)]],Table1[Flux in SC / glucose uptake ($mmol/mmol\ glc$)])</f>
        <v>1310.5</v>
      </c>
      <c r="H1966">
        <f>_xlfn.RANK.AVG(Table1[[#This Row],[Flux in RT / glucose uptake ($mmol/mmol\ glc$)]],Table1[Flux in RT / glucose uptake ($mmol/mmol\ glc$)])</f>
        <v>1290.5</v>
      </c>
      <c r="I1966" t="e">
        <f>LOG(Table1[[#This Row],[Flux in SC / glucose uptake ($mmol/mmol\ glc$)]])</f>
        <v>#NUM!</v>
      </c>
      <c r="J1966" t="e">
        <f>LOG(Table1[[#This Row],[Flux in RT / glucose uptake ($mmol/mmol\ glc$)]])</f>
        <v>#NUM!</v>
      </c>
    </row>
    <row r="1967" spans="1:10" x14ac:dyDescent="0.2">
      <c r="A1967" t="s">
        <v>1970</v>
      </c>
      <c r="B1967" t="s">
        <v>3136</v>
      </c>
      <c r="C1967">
        <v>2.8171526477804849E-3</v>
      </c>
      <c r="D1967">
        <v>2.3274812759854133E-2</v>
      </c>
      <c r="E1967">
        <f>ABS(Table1[[#This Row],[Flux in SC / glucose uptake ($mmol/mmol\ glc$)]]-Table1[[#This Row],[Flux in RT / glucose uptake ($mmol/mmol\ glc$)]])/SQRT(2)</f>
        <v>1.4465750192456821E-2</v>
      </c>
      <c r="F1967">
        <f>Table1[[#This Row],[distance from 45-degree line]]/MAX(Table1[[Flux in SC / glucose uptake ($mmol/mmol\ glc$)]:[Flux in RT / glucose uptake ($mmol/mmol\ glc$)]])</f>
        <v>7.7968742899859331E-4</v>
      </c>
      <c r="G1967">
        <f>_xlfn.RANK.AVG(Table1[[#This Row],[Flux in SC / glucose uptake ($mmol/mmol\ glc$)]],Table1[Flux in SC / glucose uptake ($mmol/mmol\ glc$)])</f>
        <v>177.5</v>
      </c>
      <c r="H1967">
        <f>_xlfn.RANK.AVG(Table1[[#This Row],[Flux in RT / glucose uptake ($mmol/mmol\ glc$)]],Table1[Flux in RT / glucose uptake ($mmol/mmol\ glc$)])</f>
        <v>131.5</v>
      </c>
      <c r="I1967">
        <f>LOG(Table1[[#This Row],[Flux in SC / glucose uptake ($mmol/mmol\ glc$)]])</f>
        <v>-2.5501896200739957</v>
      </c>
      <c r="J1967">
        <f>LOG(Table1[[#This Row],[Flux in RT / glucose uptake ($mmol/mmol\ glc$)]])</f>
        <v>-1.6331138041248896</v>
      </c>
    </row>
    <row r="1968" spans="1:10" x14ac:dyDescent="0.2">
      <c r="A1968" t="s">
        <v>1971</v>
      </c>
      <c r="B1968" t="s">
        <v>3125</v>
      </c>
      <c r="C1968">
        <v>0</v>
      </c>
      <c r="D1968">
        <v>0</v>
      </c>
      <c r="E1968">
        <f>ABS(Table1[[#This Row],[Flux in SC / glucose uptake ($mmol/mmol\ glc$)]]-Table1[[#This Row],[Flux in RT / glucose uptake ($mmol/mmol\ glc$)]])/SQRT(2)</f>
        <v>0</v>
      </c>
      <c r="F1968">
        <f>Table1[[#This Row],[distance from 45-degree line]]/MAX(Table1[[Flux in SC / glucose uptake ($mmol/mmol\ glc$)]:[Flux in RT / glucose uptake ($mmol/mmol\ glc$)]])</f>
        <v>0</v>
      </c>
      <c r="G1968">
        <f>_xlfn.RANK.AVG(Table1[[#This Row],[Flux in SC / glucose uptake ($mmol/mmol\ glc$)]],Table1[Flux in SC / glucose uptake ($mmol/mmol\ glc$)])</f>
        <v>1310.5</v>
      </c>
      <c r="H1968">
        <f>_xlfn.RANK.AVG(Table1[[#This Row],[Flux in RT / glucose uptake ($mmol/mmol\ glc$)]],Table1[Flux in RT / glucose uptake ($mmol/mmol\ glc$)])</f>
        <v>1290.5</v>
      </c>
      <c r="I1968" t="e">
        <f>LOG(Table1[[#This Row],[Flux in SC / glucose uptake ($mmol/mmol\ glc$)]])</f>
        <v>#NUM!</v>
      </c>
      <c r="J1968" t="e">
        <f>LOG(Table1[[#This Row],[Flux in RT / glucose uptake ($mmol/mmol\ glc$)]])</f>
        <v>#NUM!</v>
      </c>
    </row>
    <row r="1969" spans="1:10" x14ac:dyDescent="0.2">
      <c r="A1969" t="s">
        <v>1972</v>
      </c>
      <c r="B1969" t="s">
        <v>3125</v>
      </c>
      <c r="C1969">
        <v>0</v>
      </c>
      <c r="D1969">
        <v>0</v>
      </c>
      <c r="E1969">
        <f>ABS(Table1[[#This Row],[Flux in SC / glucose uptake ($mmol/mmol\ glc$)]]-Table1[[#This Row],[Flux in RT / glucose uptake ($mmol/mmol\ glc$)]])/SQRT(2)</f>
        <v>0</v>
      </c>
      <c r="F1969">
        <f>Table1[[#This Row],[distance from 45-degree line]]/MAX(Table1[[Flux in SC / glucose uptake ($mmol/mmol\ glc$)]:[Flux in RT / glucose uptake ($mmol/mmol\ glc$)]])</f>
        <v>0</v>
      </c>
      <c r="G1969">
        <f>_xlfn.RANK.AVG(Table1[[#This Row],[Flux in SC / glucose uptake ($mmol/mmol\ glc$)]],Table1[Flux in SC / glucose uptake ($mmol/mmol\ glc$)])</f>
        <v>1310.5</v>
      </c>
      <c r="H1969">
        <f>_xlfn.RANK.AVG(Table1[[#This Row],[Flux in RT / glucose uptake ($mmol/mmol\ glc$)]],Table1[Flux in RT / glucose uptake ($mmol/mmol\ glc$)])</f>
        <v>1290.5</v>
      </c>
      <c r="I1969" t="e">
        <f>LOG(Table1[[#This Row],[Flux in SC / glucose uptake ($mmol/mmol\ glc$)]])</f>
        <v>#NUM!</v>
      </c>
      <c r="J1969" t="e">
        <f>LOG(Table1[[#This Row],[Flux in RT / glucose uptake ($mmol/mmol\ glc$)]])</f>
        <v>#NUM!</v>
      </c>
    </row>
    <row r="1970" spans="1:10" x14ac:dyDescent="0.2">
      <c r="A1970" t="s">
        <v>1973</v>
      </c>
      <c r="B1970" t="s">
        <v>3129</v>
      </c>
      <c r="C1970">
        <v>0</v>
      </c>
      <c r="D1970">
        <v>0</v>
      </c>
      <c r="E1970">
        <f>ABS(Table1[[#This Row],[Flux in SC / glucose uptake ($mmol/mmol\ glc$)]]-Table1[[#This Row],[Flux in RT / glucose uptake ($mmol/mmol\ glc$)]])/SQRT(2)</f>
        <v>0</v>
      </c>
      <c r="F1970">
        <f>Table1[[#This Row],[distance from 45-degree line]]/MAX(Table1[[Flux in SC / glucose uptake ($mmol/mmol\ glc$)]:[Flux in RT / glucose uptake ($mmol/mmol\ glc$)]])</f>
        <v>0</v>
      </c>
      <c r="G1970">
        <f>_xlfn.RANK.AVG(Table1[[#This Row],[Flux in SC / glucose uptake ($mmol/mmol\ glc$)]],Table1[Flux in SC / glucose uptake ($mmol/mmol\ glc$)])</f>
        <v>1310.5</v>
      </c>
      <c r="H1970">
        <f>_xlfn.RANK.AVG(Table1[[#This Row],[Flux in RT / glucose uptake ($mmol/mmol\ glc$)]],Table1[Flux in RT / glucose uptake ($mmol/mmol\ glc$)])</f>
        <v>1290.5</v>
      </c>
      <c r="I1970" t="e">
        <f>LOG(Table1[[#This Row],[Flux in SC / glucose uptake ($mmol/mmol\ glc$)]])</f>
        <v>#NUM!</v>
      </c>
      <c r="J1970" t="e">
        <f>LOG(Table1[[#This Row],[Flux in RT / glucose uptake ($mmol/mmol\ glc$)]])</f>
        <v>#NUM!</v>
      </c>
    </row>
    <row r="1971" spans="1:10" x14ac:dyDescent="0.2">
      <c r="A1971" t="s">
        <v>1974</v>
      </c>
      <c r="B1971" t="s">
        <v>3114</v>
      </c>
      <c r="C1971">
        <v>0</v>
      </c>
      <c r="D1971">
        <v>0</v>
      </c>
      <c r="E1971">
        <f>ABS(Table1[[#This Row],[Flux in SC / glucose uptake ($mmol/mmol\ glc$)]]-Table1[[#This Row],[Flux in RT / glucose uptake ($mmol/mmol\ glc$)]])/SQRT(2)</f>
        <v>0</v>
      </c>
      <c r="F1971">
        <f>Table1[[#This Row],[distance from 45-degree line]]/MAX(Table1[[Flux in SC / glucose uptake ($mmol/mmol\ glc$)]:[Flux in RT / glucose uptake ($mmol/mmol\ glc$)]])</f>
        <v>0</v>
      </c>
      <c r="G1971">
        <f>_xlfn.RANK.AVG(Table1[[#This Row],[Flux in SC / glucose uptake ($mmol/mmol\ glc$)]],Table1[Flux in SC / glucose uptake ($mmol/mmol\ glc$)])</f>
        <v>1310.5</v>
      </c>
      <c r="H1971">
        <f>_xlfn.RANK.AVG(Table1[[#This Row],[Flux in RT / glucose uptake ($mmol/mmol\ glc$)]],Table1[Flux in RT / glucose uptake ($mmol/mmol\ glc$)])</f>
        <v>1290.5</v>
      </c>
      <c r="I1971" t="e">
        <f>LOG(Table1[[#This Row],[Flux in SC / glucose uptake ($mmol/mmol\ glc$)]])</f>
        <v>#NUM!</v>
      </c>
      <c r="J1971" t="e">
        <f>LOG(Table1[[#This Row],[Flux in RT / glucose uptake ($mmol/mmol\ glc$)]])</f>
        <v>#NUM!</v>
      </c>
    </row>
    <row r="1972" spans="1:10" x14ac:dyDescent="0.2">
      <c r="A1972" t="s">
        <v>1975</v>
      </c>
      <c r="B1972" t="s">
        <v>3114</v>
      </c>
      <c r="C1972">
        <v>0</v>
      </c>
      <c r="D1972">
        <v>0</v>
      </c>
      <c r="E1972">
        <f>ABS(Table1[[#This Row],[Flux in SC / glucose uptake ($mmol/mmol\ glc$)]]-Table1[[#This Row],[Flux in RT / glucose uptake ($mmol/mmol\ glc$)]])/SQRT(2)</f>
        <v>0</v>
      </c>
      <c r="F1972">
        <f>Table1[[#This Row],[distance from 45-degree line]]/MAX(Table1[[Flux in SC / glucose uptake ($mmol/mmol\ glc$)]:[Flux in RT / glucose uptake ($mmol/mmol\ glc$)]])</f>
        <v>0</v>
      </c>
      <c r="G1972">
        <f>_xlfn.RANK.AVG(Table1[[#This Row],[Flux in SC / glucose uptake ($mmol/mmol\ glc$)]],Table1[Flux in SC / glucose uptake ($mmol/mmol\ glc$)])</f>
        <v>1310.5</v>
      </c>
      <c r="H1972">
        <f>_xlfn.RANK.AVG(Table1[[#This Row],[Flux in RT / glucose uptake ($mmol/mmol\ glc$)]],Table1[Flux in RT / glucose uptake ($mmol/mmol\ glc$)])</f>
        <v>1290.5</v>
      </c>
      <c r="I1972" t="e">
        <f>LOG(Table1[[#This Row],[Flux in SC / glucose uptake ($mmol/mmol\ glc$)]])</f>
        <v>#NUM!</v>
      </c>
      <c r="J1972" t="e">
        <f>LOG(Table1[[#This Row],[Flux in RT / glucose uptake ($mmol/mmol\ glc$)]])</f>
        <v>#NUM!</v>
      </c>
    </row>
    <row r="1973" spans="1:10" x14ac:dyDescent="0.2">
      <c r="A1973" t="s">
        <v>1976</v>
      </c>
      <c r="B1973" t="s">
        <v>3114</v>
      </c>
      <c r="C1973">
        <v>0</v>
      </c>
      <c r="D1973">
        <v>0</v>
      </c>
      <c r="E1973">
        <f>ABS(Table1[[#This Row],[Flux in SC / glucose uptake ($mmol/mmol\ glc$)]]-Table1[[#This Row],[Flux in RT / glucose uptake ($mmol/mmol\ glc$)]])/SQRT(2)</f>
        <v>0</v>
      </c>
      <c r="F1973">
        <f>Table1[[#This Row],[distance from 45-degree line]]/MAX(Table1[[Flux in SC / glucose uptake ($mmol/mmol\ glc$)]:[Flux in RT / glucose uptake ($mmol/mmol\ glc$)]])</f>
        <v>0</v>
      </c>
      <c r="G1973">
        <f>_xlfn.RANK.AVG(Table1[[#This Row],[Flux in SC / glucose uptake ($mmol/mmol\ glc$)]],Table1[Flux in SC / glucose uptake ($mmol/mmol\ glc$)])</f>
        <v>1310.5</v>
      </c>
      <c r="H1973">
        <f>_xlfn.RANK.AVG(Table1[[#This Row],[Flux in RT / glucose uptake ($mmol/mmol\ glc$)]],Table1[Flux in RT / glucose uptake ($mmol/mmol\ glc$)])</f>
        <v>1290.5</v>
      </c>
      <c r="I1973" t="e">
        <f>LOG(Table1[[#This Row],[Flux in SC / glucose uptake ($mmol/mmol\ glc$)]])</f>
        <v>#NUM!</v>
      </c>
      <c r="J1973" t="e">
        <f>LOG(Table1[[#This Row],[Flux in RT / glucose uptake ($mmol/mmol\ glc$)]])</f>
        <v>#NUM!</v>
      </c>
    </row>
    <row r="1974" spans="1:10" x14ac:dyDescent="0.2">
      <c r="A1974" t="s">
        <v>1977</v>
      </c>
      <c r="B1974" t="s">
        <v>3162</v>
      </c>
      <c r="C1974">
        <v>0</v>
      </c>
      <c r="D1974">
        <v>0</v>
      </c>
      <c r="E1974">
        <f>ABS(Table1[[#This Row],[Flux in SC / glucose uptake ($mmol/mmol\ glc$)]]-Table1[[#This Row],[Flux in RT / glucose uptake ($mmol/mmol\ glc$)]])/SQRT(2)</f>
        <v>0</v>
      </c>
      <c r="F1974">
        <f>Table1[[#This Row],[distance from 45-degree line]]/MAX(Table1[[Flux in SC / glucose uptake ($mmol/mmol\ glc$)]:[Flux in RT / glucose uptake ($mmol/mmol\ glc$)]])</f>
        <v>0</v>
      </c>
      <c r="G1974">
        <f>_xlfn.RANK.AVG(Table1[[#This Row],[Flux in SC / glucose uptake ($mmol/mmol\ glc$)]],Table1[Flux in SC / glucose uptake ($mmol/mmol\ glc$)])</f>
        <v>1310.5</v>
      </c>
      <c r="H1974">
        <f>_xlfn.RANK.AVG(Table1[[#This Row],[Flux in RT / glucose uptake ($mmol/mmol\ glc$)]],Table1[Flux in RT / glucose uptake ($mmol/mmol\ glc$)])</f>
        <v>1290.5</v>
      </c>
      <c r="I1974" t="e">
        <f>LOG(Table1[[#This Row],[Flux in SC / glucose uptake ($mmol/mmol\ glc$)]])</f>
        <v>#NUM!</v>
      </c>
      <c r="J1974" t="e">
        <f>LOG(Table1[[#This Row],[Flux in RT / glucose uptake ($mmol/mmol\ glc$)]])</f>
        <v>#NUM!</v>
      </c>
    </row>
    <row r="1975" spans="1:10" x14ac:dyDescent="0.2">
      <c r="A1975" t="s">
        <v>1978</v>
      </c>
      <c r="B1975" t="s">
        <v>3180</v>
      </c>
      <c r="C1975">
        <v>0</v>
      </c>
      <c r="D1975">
        <v>0</v>
      </c>
      <c r="E1975">
        <f>ABS(Table1[[#This Row],[Flux in SC / glucose uptake ($mmol/mmol\ glc$)]]-Table1[[#This Row],[Flux in RT / glucose uptake ($mmol/mmol\ glc$)]])/SQRT(2)</f>
        <v>0</v>
      </c>
      <c r="F1975">
        <f>Table1[[#This Row],[distance from 45-degree line]]/MAX(Table1[[Flux in SC / glucose uptake ($mmol/mmol\ glc$)]:[Flux in RT / glucose uptake ($mmol/mmol\ glc$)]])</f>
        <v>0</v>
      </c>
      <c r="G1975">
        <f>_xlfn.RANK.AVG(Table1[[#This Row],[Flux in SC / glucose uptake ($mmol/mmol\ glc$)]],Table1[Flux in SC / glucose uptake ($mmol/mmol\ glc$)])</f>
        <v>1310.5</v>
      </c>
      <c r="H1975">
        <f>_xlfn.RANK.AVG(Table1[[#This Row],[Flux in RT / glucose uptake ($mmol/mmol\ glc$)]],Table1[Flux in RT / glucose uptake ($mmol/mmol\ glc$)])</f>
        <v>1290.5</v>
      </c>
      <c r="I1975" t="e">
        <f>LOG(Table1[[#This Row],[Flux in SC / glucose uptake ($mmol/mmol\ glc$)]])</f>
        <v>#NUM!</v>
      </c>
      <c r="J1975" t="e">
        <f>LOG(Table1[[#This Row],[Flux in RT / glucose uptake ($mmol/mmol\ glc$)]])</f>
        <v>#NUM!</v>
      </c>
    </row>
    <row r="1976" spans="1:10" x14ac:dyDescent="0.2">
      <c r="A1976" t="s">
        <v>1979</v>
      </c>
      <c r="B1976" t="s">
        <v>3114</v>
      </c>
      <c r="C1976">
        <v>0</v>
      </c>
      <c r="D1976">
        <v>0</v>
      </c>
      <c r="E1976">
        <f>ABS(Table1[[#This Row],[Flux in SC / glucose uptake ($mmol/mmol\ glc$)]]-Table1[[#This Row],[Flux in RT / glucose uptake ($mmol/mmol\ glc$)]])/SQRT(2)</f>
        <v>0</v>
      </c>
      <c r="F1976">
        <f>Table1[[#This Row],[distance from 45-degree line]]/MAX(Table1[[Flux in SC / glucose uptake ($mmol/mmol\ glc$)]:[Flux in RT / glucose uptake ($mmol/mmol\ glc$)]])</f>
        <v>0</v>
      </c>
      <c r="G1976">
        <f>_xlfn.RANK.AVG(Table1[[#This Row],[Flux in SC / glucose uptake ($mmol/mmol\ glc$)]],Table1[Flux in SC / glucose uptake ($mmol/mmol\ glc$)])</f>
        <v>1310.5</v>
      </c>
      <c r="H1976">
        <f>_xlfn.RANK.AVG(Table1[[#This Row],[Flux in RT / glucose uptake ($mmol/mmol\ glc$)]],Table1[Flux in RT / glucose uptake ($mmol/mmol\ glc$)])</f>
        <v>1290.5</v>
      </c>
      <c r="I1976" t="e">
        <f>LOG(Table1[[#This Row],[Flux in SC / glucose uptake ($mmol/mmol\ glc$)]])</f>
        <v>#NUM!</v>
      </c>
      <c r="J1976" t="e">
        <f>LOG(Table1[[#This Row],[Flux in RT / glucose uptake ($mmol/mmol\ glc$)]])</f>
        <v>#NUM!</v>
      </c>
    </row>
    <row r="1977" spans="1:10" x14ac:dyDescent="0.2">
      <c r="A1977" t="s">
        <v>1980</v>
      </c>
      <c r="B1977" t="s">
        <v>3125</v>
      </c>
      <c r="C1977">
        <v>0</v>
      </c>
      <c r="D1977">
        <v>0</v>
      </c>
      <c r="E1977">
        <f>ABS(Table1[[#This Row],[Flux in SC / glucose uptake ($mmol/mmol\ glc$)]]-Table1[[#This Row],[Flux in RT / glucose uptake ($mmol/mmol\ glc$)]])/SQRT(2)</f>
        <v>0</v>
      </c>
      <c r="F1977">
        <f>Table1[[#This Row],[distance from 45-degree line]]/MAX(Table1[[Flux in SC / glucose uptake ($mmol/mmol\ glc$)]:[Flux in RT / glucose uptake ($mmol/mmol\ glc$)]])</f>
        <v>0</v>
      </c>
      <c r="G1977">
        <f>_xlfn.RANK.AVG(Table1[[#This Row],[Flux in SC / glucose uptake ($mmol/mmol\ glc$)]],Table1[Flux in SC / glucose uptake ($mmol/mmol\ glc$)])</f>
        <v>1310.5</v>
      </c>
      <c r="H1977">
        <f>_xlfn.RANK.AVG(Table1[[#This Row],[Flux in RT / glucose uptake ($mmol/mmol\ glc$)]],Table1[Flux in RT / glucose uptake ($mmol/mmol\ glc$)])</f>
        <v>1290.5</v>
      </c>
      <c r="I1977" t="e">
        <f>LOG(Table1[[#This Row],[Flux in SC / glucose uptake ($mmol/mmol\ glc$)]])</f>
        <v>#NUM!</v>
      </c>
      <c r="J1977" t="e">
        <f>LOG(Table1[[#This Row],[Flux in RT / glucose uptake ($mmol/mmol\ glc$)]])</f>
        <v>#NUM!</v>
      </c>
    </row>
    <row r="1978" spans="1:10" x14ac:dyDescent="0.2">
      <c r="A1978" t="s">
        <v>1981</v>
      </c>
      <c r="B1978" t="s">
        <v>3125</v>
      </c>
      <c r="C1978">
        <v>0</v>
      </c>
      <c r="D1978">
        <v>0</v>
      </c>
      <c r="E1978">
        <f>ABS(Table1[[#This Row],[Flux in SC / glucose uptake ($mmol/mmol\ glc$)]]-Table1[[#This Row],[Flux in RT / glucose uptake ($mmol/mmol\ glc$)]])/SQRT(2)</f>
        <v>0</v>
      </c>
      <c r="F1978">
        <f>Table1[[#This Row],[distance from 45-degree line]]/MAX(Table1[[Flux in SC / glucose uptake ($mmol/mmol\ glc$)]:[Flux in RT / glucose uptake ($mmol/mmol\ glc$)]])</f>
        <v>0</v>
      </c>
      <c r="G1978">
        <f>_xlfn.RANK.AVG(Table1[[#This Row],[Flux in SC / glucose uptake ($mmol/mmol\ glc$)]],Table1[Flux in SC / glucose uptake ($mmol/mmol\ glc$)])</f>
        <v>1310.5</v>
      </c>
      <c r="H1978">
        <f>_xlfn.RANK.AVG(Table1[[#This Row],[Flux in RT / glucose uptake ($mmol/mmol\ glc$)]],Table1[Flux in RT / glucose uptake ($mmol/mmol\ glc$)])</f>
        <v>1290.5</v>
      </c>
      <c r="I1978" t="e">
        <f>LOG(Table1[[#This Row],[Flux in SC / glucose uptake ($mmol/mmol\ glc$)]])</f>
        <v>#NUM!</v>
      </c>
      <c r="J1978" t="e">
        <f>LOG(Table1[[#This Row],[Flux in RT / glucose uptake ($mmol/mmol\ glc$)]])</f>
        <v>#NUM!</v>
      </c>
    </row>
    <row r="1979" spans="1:10" x14ac:dyDescent="0.2">
      <c r="A1979" t="s">
        <v>1982</v>
      </c>
      <c r="B1979" t="s">
        <v>3134</v>
      </c>
      <c r="C1979">
        <v>0</v>
      </c>
      <c r="D1979">
        <v>0</v>
      </c>
      <c r="E1979">
        <f>ABS(Table1[[#This Row],[Flux in SC / glucose uptake ($mmol/mmol\ glc$)]]-Table1[[#This Row],[Flux in RT / glucose uptake ($mmol/mmol\ glc$)]])/SQRT(2)</f>
        <v>0</v>
      </c>
      <c r="F1979">
        <f>Table1[[#This Row],[distance from 45-degree line]]/MAX(Table1[[Flux in SC / glucose uptake ($mmol/mmol\ glc$)]:[Flux in RT / glucose uptake ($mmol/mmol\ glc$)]])</f>
        <v>0</v>
      </c>
      <c r="G1979">
        <f>_xlfn.RANK.AVG(Table1[[#This Row],[Flux in SC / glucose uptake ($mmol/mmol\ glc$)]],Table1[Flux in SC / glucose uptake ($mmol/mmol\ glc$)])</f>
        <v>1310.5</v>
      </c>
      <c r="H1979">
        <f>_xlfn.RANK.AVG(Table1[[#This Row],[Flux in RT / glucose uptake ($mmol/mmol\ glc$)]],Table1[Flux in RT / glucose uptake ($mmol/mmol\ glc$)])</f>
        <v>1290.5</v>
      </c>
      <c r="I1979" t="e">
        <f>LOG(Table1[[#This Row],[Flux in SC / glucose uptake ($mmol/mmol\ glc$)]])</f>
        <v>#NUM!</v>
      </c>
      <c r="J1979" t="e">
        <f>LOG(Table1[[#This Row],[Flux in RT / glucose uptake ($mmol/mmol\ glc$)]])</f>
        <v>#NUM!</v>
      </c>
    </row>
    <row r="1980" spans="1:10" x14ac:dyDescent="0.2">
      <c r="A1980" t="s">
        <v>1983</v>
      </c>
      <c r="B1980" t="s">
        <v>3163</v>
      </c>
      <c r="C1980">
        <v>3.6110321147682783E-9</v>
      </c>
      <c r="D1980">
        <v>0.40517673984978864</v>
      </c>
      <c r="E1980">
        <f>ABS(Table1[[#This Row],[Flux in SC / glucose uptake ($mmol/mmol\ glc$)]]-Table1[[#This Row],[Flux in RT / glucose uptake ($mmol/mmol\ glc$)]])/SQRT(2)</f>
        <v>0.28650321777345783</v>
      </c>
      <c r="F1980">
        <f>Table1[[#This Row],[distance from 45-degree line]]/MAX(Table1[[Flux in SC / glucose uptake ($mmol/mmol\ glc$)]:[Flux in RT / glucose uptake ($mmol/mmol\ glc$)]])</f>
        <v>1.5442196518926109E-2</v>
      </c>
      <c r="G1980">
        <f>_xlfn.RANK.AVG(Table1[[#This Row],[Flux in SC / glucose uptake ($mmol/mmol\ glc$)]],Table1[Flux in SC / glucose uptake ($mmol/mmol\ glc$)])</f>
        <v>310</v>
      </c>
      <c r="H1980">
        <f>_xlfn.RANK.AVG(Table1[[#This Row],[Flux in RT / glucose uptake ($mmol/mmol\ glc$)]],Table1[Flux in RT / glucose uptake ($mmol/mmol\ glc$)])</f>
        <v>47</v>
      </c>
      <c r="I1980">
        <f>LOG(Table1[[#This Row],[Flux in SC / glucose uptake ($mmol/mmol\ glc$)]])</f>
        <v>-8.4423686491515095</v>
      </c>
      <c r="J1980">
        <f>LOG(Table1[[#This Row],[Flux in RT / glucose uptake ($mmol/mmol\ glc$)]])</f>
        <v>-0.3923554943207338</v>
      </c>
    </row>
    <row r="1981" spans="1:10" x14ac:dyDescent="0.2">
      <c r="A1981" t="s">
        <v>1984</v>
      </c>
      <c r="B1981" t="s">
        <v>3114</v>
      </c>
      <c r="C1981">
        <v>0</v>
      </c>
      <c r="D1981">
        <v>0</v>
      </c>
      <c r="E1981">
        <f>ABS(Table1[[#This Row],[Flux in SC / glucose uptake ($mmol/mmol\ glc$)]]-Table1[[#This Row],[Flux in RT / glucose uptake ($mmol/mmol\ glc$)]])/SQRT(2)</f>
        <v>0</v>
      </c>
      <c r="F1981">
        <f>Table1[[#This Row],[distance from 45-degree line]]/MAX(Table1[[Flux in SC / glucose uptake ($mmol/mmol\ glc$)]:[Flux in RT / glucose uptake ($mmol/mmol\ glc$)]])</f>
        <v>0</v>
      </c>
      <c r="G1981">
        <f>_xlfn.RANK.AVG(Table1[[#This Row],[Flux in SC / glucose uptake ($mmol/mmol\ glc$)]],Table1[Flux in SC / glucose uptake ($mmol/mmol\ glc$)])</f>
        <v>1310.5</v>
      </c>
      <c r="H1981">
        <f>_xlfn.RANK.AVG(Table1[[#This Row],[Flux in RT / glucose uptake ($mmol/mmol\ glc$)]],Table1[Flux in RT / glucose uptake ($mmol/mmol\ glc$)])</f>
        <v>1290.5</v>
      </c>
      <c r="I1981" t="e">
        <f>LOG(Table1[[#This Row],[Flux in SC / glucose uptake ($mmol/mmol\ glc$)]])</f>
        <v>#NUM!</v>
      </c>
      <c r="J1981" t="e">
        <f>LOG(Table1[[#This Row],[Flux in RT / glucose uptake ($mmol/mmol\ glc$)]])</f>
        <v>#NUM!</v>
      </c>
    </row>
    <row r="1982" spans="1:10" x14ac:dyDescent="0.2">
      <c r="A1982" t="s">
        <v>1985</v>
      </c>
      <c r="B1982" t="s">
        <v>3114</v>
      </c>
      <c r="C1982">
        <v>0</v>
      </c>
      <c r="D1982">
        <v>0</v>
      </c>
      <c r="E1982">
        <f>ABS(Table1[[#This Row],[Flux in SC / glucose uptake ($mmol/mmol\ glc$)]]-Table1[[#This Row],[Flux in RT / glucose uptake ($mmol/mmol\ glc$)]])/SQRT(2)</f>
        <v>0</v>
      </c>
      <c r="F1982">
        <f>Table1[[#This Row],[distance from 45-degree line]]/MAX(Table1[[Flux in SC / glucose uptake ($mmol/mmol\ glc$)]:[Flux in RT / glucose uptake ($mmol/mmol\ glc$)]])</f>
        <v>0</v>
      </c>
      <c r="G1982">
        <f>_xlfn.RANK.AVG(Table1[[#This Row],[Flux in SC / glucose uptake ($mmol/mmol\ glc$)]],Table1[Flux in SC / glucose uptake ($mmol/mmol\ glc$)])</f>
        <v>1310.5</v>
      </c>
      <c r="H1982">
        <f>_xlfn.RANK.AVG(Table1[[#This Row],[Flux in RT / glucose uptake ($mmol/mmol\ glc$)]],Table1[Flux in RT / glucose uptake ($mmol/mmol\ glc$)])</f>
        <v>1290.5</v>
      </c>
      <c r="I1982" t="e">
        <f>LOG(Table1[[#This Row],[Flux in SC / glucose uptake ($mmol/mmol\ glc$)]])</f>
        <v>#NUM!</v>
      </c>
      <c r="J1982" t="e">
        <f>LOG(Table1[[#This Row],[Flux in RT / glucose uptake ($mmol/mmol\ glc$)]])</f>
        <v>#NUM!</v>
      </c>
    </row>
    <row r="1983" spans="1:10" x14ac:dyDescent="0.2">
      <c r="A1983" t="s">
        <v>1986</v>
      </c>
      <c r="B1983" t="s">
        <v>3174</v>
      </c>
      <c r="C1983">
        <v>0</v>
      </c>
      <c r="D1983">
        <v>0</v>
      </c>
      <c r="E1983">
        <f>ABS(Table1[[#This Row],[Flux in SC / glucose uptake ($mmol/mmol\ glc$)]]-Table1[[#This Row],[Flux in RT / glucose uptake ($mmol/mmol\ glc$)]])/SQRT(2)</f>
        <v>0</v>
      </c>
      <c r="F1983">
        <f>Table1[[#This Row],[distance from 45-degree line]]/MAX(Table1[[Flux in SC / glucose uptake ($mmol/mmol\ glc$)]:[Flux in RT / glucose uptake ($mmol/mmol\ glc$)]])</f>
        <v>0</v>
      </c>
      <c r="G1983">
        <f>_xlfn.RANK.AVG(Table1[[#This Row],[Flux in SC / glucose uptake ($mmol/mmol\ glc$)]],Table1[Flux in SC / glucose uptake ($mmol/mmol\ glc$)])</f>
        <v>1310.5</v>
      </c>
      <c r="H1983">
        <f>_xlfn.RANK.AVG(Table1[[#This Row],[Flux in RT / glucose uptake ($mmol/mmol\ glc$)]],Table1[Flux in RT / glucose uptake ($mmol/mmol\ glc$)])</f>
        <v>1290.5</v>
      </c>
      <c r="I1983" t="e">
        <f>LOG(Table1[[#This Row],[Flux in SC / glucose uptake ($mmol/mmol\ glc$)]])</f>
        <v>#NUM!</v>
      </c>
      <c r="J1983" t="e">
        <f>LOG(Table1[[#This Row],[Flux in RT / glucose uptake ($mmol/mmol\ glc$)]])</f>
        <v>#NUM!</v>
      </c>
    </row>
    <row r="1984" spans="1:10" x14ac:dyDescent="0.2">
      <c r="A1984" t="s">
        <v>1987</v>
      </c>
      <c r="B1984" t="s">
        <v>3174</v>
      </c>
      <c r="C1984">
        <v>0</v>
      </c>
      <c r="D1984">
        <v>0</v>
      </c>
      <c r="E1984">
        <f>ABS(Table1[[#This Row],[Flux in SC / glucose uptake ($mmol/mmol\ glc$)]]-Table1[[#This Row],[Flux in RT / glucose uptake ($mmol/mmol\ glc$)]])/SQRT(2)</f>
        <v>0</v>
      </c>
      <c r="F1984">
        <f>Table1[[#This Row],[distance from 45-degree line]]/MAX(Table1[[Flux in SC / glucose uptake ($mmol/mmol\ glc$)]:[Flux in RT / glucose uptake ($mmol/mmol\ glc$)]])</f>
        <v>0</v>
      </c>
      <c r="G1984">
        <f>_xlfn.RANK.AVG(Table1[[#This Row],[Flux in SC / glucose uptake ($mmol/mmol\ glc$)]],Table1[Flux in SC / glucose uptake ($mmol/mmol\ glc$)])</f>
        <v>1310.5</v>
      </c>
      <c r="H1984">
        <f>_xlfn.RANK.AVG(Table1[[#This Row],[Flux in RT / glucose uptake ($mmol/mmol\ glc$)]],Table1[Flux in RT / glucose uptake ($mmol/mmol\ glc$)])</f>
        <v>1290.5</v>
      </c>
      <c r="I1984" t="e">
        <f>LOG(Table1[[#This Row],[Flux in SC / glucose uptake ($mmol/mmol\ glc$)]])</f>
        <v>#NUM!</v>
      </c>
      <c r="J1984" t="e">
        <f>LOG(Table1[[#This Row],[Flux in RT / glucose uptake ($mmol/mmol\ glc$)]])</f>
        <v>#NUM!</v>
      </c>
    </row>
    <row r="1985" spans="1:10" x14ac:dyDescent="0.2">
      <c r="A1985" t="s">
        <v>1988</v>
      </c>
      <c r="B1985" t="s">
        <v>3180</v>
      </c>
      <c r="C1985">
        <v>0</v>
      </c>
      <c r="D1985">
        <v>0</v>
      </c>
      <c r="E1985">
        <f>ABS(Table1[[#This Row],[Flux in SC / glucose uptake ($mmol/mmol\ glc$)]]-Table1[[#This Row],[Flux in RT / glucose uptake ($mmol/mmol\ glc$)]])/SQRT(2)</f>
        <v>0</v>
      </c>
      <c r="F1985">
        <f>Table1[[#This Row],[distance from 45-degree line]]/MAX(Table1[[Flux in SC / glucose uptake ($mmol/mmol\ glc$)]:[Flux in RT / glucose uptake ($mmol/mmol\ glc$)]])</f>
        <v>0</v>
      </c>
      <c r="G1985">
        <f>_xlfn.RANK.AVG(Table1[[#This Row],[Flux in SC / glucose uptake ($mmol/mmol\ glc$)]],Table1[Flux in SC / glucose uptake ($mmol/mmol\ glc$)])</f>
        <v>1310.5</v>
      </c>
      <c r="H1985">
        <f>_xlfn.RANK.AVG(Table1[[#This Row],[Flux in RT / glucose uptake ($mmol/mmol\ glc$)]],Table1[Flux in RT / glucose uptake ($mmol/mmol\ glc$)])</f>
        <v>1290.5</v>
      </c>
      <c r="I1985" t="e">
        <f>LOG(Table1[[#This Row],[Flux in SC / glucose uptake ($mmol/mmol\ glc$)]])</f>
        <v>#NUM!</v>
      </c>
      <c r="J1985" t="e">
        <f>LOG(Table1[[#This Row],[Flux in RT / glucose uptake ($mmol/mmol\ glc$)]])</f>
        <v>#NUM!</v>
      </c>
    </row>
    <row r="1986" spans="1:10" x14ac:dyDescent="0.2">
      <c r="A1986" t="s">
        <v>1989</v>
      </c>
      <c r="B1986" t="s">
        <v>3143</v>
      </c>
      <c r="C1986">
        <v>3.6110321147682783E-9</v>
      </c>
      <c r="D1986">
        <v>0</v>
      </c>
      <c r="E1986">
        <f>ABS(Table1[[#This Row],[Flux in SC / glucose uptake ($mmol/mmol\ glc$)]]-Table1[[#This Row],[Flux in RT / glucose uptake ($mmol/mmol\ glc$)]])/SQRT(2)</f>
        <v>2.5533852954350489E-9</v>
      </c>
      <c r="F1986">
        <f>Table1[[#This Row],[distance from 45-degree line]]/MAX(Table1[[Flux in SC / glucose uptake ($mmol/mmol\ glc$)]:[Flux in RT / glucose uptake ($mmol/mmol\ glc$)]])</f>
        <v>1.376245538429589E-10</v>
      </c>
      <c r="G1986">
        <f>_xlfn.RANK.AVG(Table1[[#This Row],[Flux in SC / glucose uptake ($mmol/mmol\ glc$)]],Table1[Flux in SC / glucose uptake ($mmol/mmol\ glc$)])</f>
        <v>310</v>
      </c>
      <c r="H1986">
        <f>_xlfn.RANK.AVG(Table1[[#This Row],[Flux in RT / glucose uptake ($mmol/mmol\ glc$)]],Table1[Flux in RT / glucose uptake ($mmol/mmol\ glc$)])</f>
        <v>1290.5</v>
      </c>
      <c r="I1986">
        <f>LOG(Table1[[#This Row],[Flux in SC / glucose uptake ($mmol/mmol\ glc$)]])</f>
        <v>-8.4423686491515095</v>
      </c>
      <c r="J1986" t="e">
        <f>LOG(Table1[[#This Row],[Flux in RT / glucose uptake ($mmol/mmol\ glc$)]])</f>
        <v>#NUM!</v>
      </c>
    </row>
    <row r="1987" spans="1:10" x14ac:dyDescent="0.2">
      <c r="A1987" t="s">
        <v>1990</v>
      </c>
      <c r="B1987" t="s">
        <v>3150</v>
      </c>
      <c r="C1987">
        <v>0</v>
      </c>
      <c r="D1987">
        <v>0</v>
      </c>
      <c r="E1987">
        <f>ABS(Table1[[#This Row],[Flux in SC / glucose uptake ($mmol/mmol\ glc$)]]-Table1[[#This Row],[Flux in RT / glucose uptake ($mmol/mmol\ glc$)]])/SQRT(2)</f>
        <v>0</v>
      </c>
      <c r="F1987">
        <f>Table1[[#This Row],[distance from 45-degree line]]/MAX(Table1[[Flux in SC / glucose uptake ($mmol/mmol\ glc$)]:[Flux in RT / glucose uptake ($mmol/mmol\ glc$)]])</f>
        <v>0</v>
      </c>
      <c r="G1987">
        <f>_xlfn.RANK.AVG(Table1[[#This Row],[Flux in SC / glucose uptake ($mmol/mmol\ glc$)]],Table1[Flux in SC / glucose uptake ($mmol/mmol\ glc$)])</f>
        <v>1310.5</v>
      </c>
      <c r="H1987">
        <f>_xlfn.RANK.AVG(Table1[[#This Row],[Flux in RT / glucose uptake ($mmol/mmol\ glc$)]],Table1[Flux in RT / glucose uptake ($mmol/mmol\ glc$)])</f>
        <v>1290.5</v>
      </c>
      <c r="I1987" t="e">
        <f>LOG(Table1[[#This Row],[Flux in SC / glucose uptake ($mmol/mmol\ glc$)]])</f>
        <v>#NUM!</v>
      </c>
      <c r="J1987" t="e">
        <f>LOG(Table1[[#This Row],[Flux in RT / glucose uptake ($mmol/mmol\ glc$)]])</f>
        <v>#NUM!</v>
      </c>
    </row>
    <row r="1988" spans="1:10" x14ac:dyDescent="0.2">
      <c r="A1988" t="s">
        <v>1991</v>
      </c>
      <c r="B1988" t="s">
        <v>3114</v>
      </c>
      <c r="C1988">
        <v>0</v>
      </c>
      <c r="D1988">
        <v>0</v>
      </c>
      <c r="E1988">
        <f>ABS(Table1[[#This Row],[Flux in SC / glucose uptake ($mmol/mmol\ glc$)]]-Table1[[#This Row],[Flux in RT / glucose uptake ($mmol/mmol\ glc$)]])/SQRT(2)</f>
        <v>0</v>
      </c>
      <c r="F1988">
        <f>Table1[[#This Row],[distance from 45-degree line]]/MAX(Table1[[Flux in SC / glucose uptake ($mmol/mmol\ glc$)]:[Flux in RT / glucose uptake ($mmol/mmol\ glc$)]])</f>
        <v>0</v>
      </c>
      <c r="G1988">
        <f>_xlfn.RANK.AVG(Table1[[#This Row],[Flux in SC / glucose uptake ($mmol/mmol\ glc$)]],Table1[Flux in SC / glucose uptake ($mmol/mmol\ glc$)])</f>
        <v>1310.5</v>
      </c>
      <c r="H1988">
        <f>_xlfn.RANK.AVG(Table1[[#This Row],[Flux in RT / glucose uptake ($mmol/mmol\ glc$)]],Table1[Flux in RT / glucose uptake ($mmol/mmol\ glc$)])</f>
        <v>1290.5</v>
      </c>
      <c r="I1988" t="e">
        <f>LOG(Table1[[#This Row],[Flux in SC / glucose uptake ($mmol/mmol\ glc$)]])</f>
        <v>#NUM!</v>
      </c>
      <c r="J1988" t="e">
        <f>LOG(Table1[[#This Row],[Flux in RT / glucose uptake ($mmol/mmol\ glc$)]])</f>
        <v>#NUM!</v>
      </c>
    </row>
    <row r="1989" spans="1:10" x14ac:dyDescent="0.2">
      <c r="A1989" t="s">
        <v>1992</v>
      </c>
      <c r="B1989" t="s">
        <v>3114</v>
      </c>
      <c r="C1989">
        <v>0.15495776996016564</v>
      </c>
      <c r="D1989">
        <v>0</v>
      </c>
      <c r="E1989">
        <f>ABS(Table1[[#This Row],[Flux in SC / glucose uptake ($mmol/mmol\ glc$)]]-Table1[[#This Row],[Flux in RT / glucose uptake ($mmol/mmol\ glc$)]])/SQRT(2)</f>
        <v>0.1095716899363782</v>
      </c>
      <c r="F1989">
        <f>Table1[[#This Row],[distance from 45-degree line]]/MAX(Table1[[Flux in SC / glucose uptake ($mmol/mmol\ glc$)]:[Flux in RT / glucose uptake ($mmol/mmol\ glc$)]])</f>
        <v>5.9057890590474994E-3</v>
      </c>
      <c r="G1989">
        <f>_xlfn.RANK.AVG(Table1[[#This Row],[Flux in SC / glucose uptake ($mmol/mmol\ glc$)]],Table1[Flux in SC / glucose uptake ($mmol/mmol\ glc$)])</f>
        <v>30</v>
      </c>
      <c r="H1989">
        <f>_xlfn.RANK.AVG(Table1[[#This Row],[Flux in RT / glucose uptake ($mmol/mmol\ glc$)]],Table1[Flux in RT / glucose uptake ($mmol/mmol\ glc$)])</f>
        <v>1290.5</v>
      </c>
      <c r="I1989">
        <f>LOG(Table1[[#This Row],[Flux in SC / glucose uptake ($mmol/mmol\ glc$)]])</f>
        <v>-0.80978664229516262</v>
      </c>
      <c r="J1989" t="e">
        <f>LOG(Table1[[#This Row],[Flux in RT / glucose uptake ($mmol/mmol\ glc$)]])</f>
        <v>#NUM!</v>
      </c>
    </row>
    <row r="1990" spans="1:10" x14ac:dyDescent="0.2">
      <c r="A1990" t="s">
        <v>1993</v>
      </c>
      <c r="B1990" t="s">
        <v>3114</v>
      </c>
      <c r="C1990">
        <v>0</v>
      </c>
      <c r="D1990">
        <v>0</v>
      </c>
      <c r="E1990">
        <f>ABS(Table1[[#This Row],[Flux in SC / glucose uptake ($mmol/mmol\ glc$)]]-Table1[[#This Row],[Flux in RT / glucose uptake ($mmol/mmol\ glc$)]])/SQRT(2)</f>
        <v>0</v>
      </c>
      <c r="F1990">
        <f>Table1[[#This Row],[distance from 45-degree line]]/MAX(Table1[[Flux in SC / glucose uptake ($mmol/mmol\ glc$)]:[Flux in RT / glucose uptake ($mmol/mmol\ glc$)]])</f>
        <v>0</v>
      </c>
      <c r="G1990">
        <f>_xlfn.RANK.AVG(Table1[[#This Row],[Flux in SC / glucose uptake ($mmol/mmol\ glc$)]],Table1[Flux in SC / glucose uptake ($mmol/mmol\ glc$)])</f>
        <v>1310.5</v>
      </c>
      <c r="H1990">
        <f>_xlfn.RANK.AVG(Table1[[#This Row],[Flux in RT / glucose uptake ($mmol/mmol\ glc$)]],Table1[Flux in RT / glucose uptake ($mmol/mmol\ glc$)])</f>
        <v>1290.5</v>
      </c>
      <c r="I1990" t="e">
        <f>LOG(Table1[[#This Row],[Flux in SC / glucose uptake ($mmol/mmol\ glc$)]])</f>
        <v>#NUM!</v>
      </c>
      <c r="J1990" t="e">
        <f>LOG(Table1[[#This Row],[Flux in RT / glucose uptake ($mmol/mmol\ glc$)]])</f>
        <v>#NUM!</v>
      </c>
    </row>
    <row r="1991" spans="1:10" x14ac:dyDescent="0.2">
      <c r="A1991" t="s">
        <v>1994</v>
      </c>
      <c r="B1991" t="s">
        <v>3114</v>
      </c>
      <c r="C1991">
        <v>0</v>
      </c>
      <c r="D1991">
        <v>0</v>
      </c>
      <c r="E1991">
        <f>ABS(Table1[[#This Row],[Flux in SC / glucose uptake ($mmol/mmol\ glc$)]]-Table1[[#This Row],[Flux in RT / glucose uptake ($mmol/mmol\ glc$)]])/SQRT(2)</f>
        <v>0</v>
      </c>
      <c r="F1991">
        <f>Table1[[#This Row],[distance from 45-degree line]]/MAX(Table1[[Flux in SC / glucose uptake ($mmol/mmol\ glc$)]:[Flux in RT / glucose uptake ($mmol/mmol\ glc$)]])</f>
        <v>0</v>
      </c>
      <c r="G1991">
        <f>_xlfn.RANK.AVG(Table1[[#This Row],[Flux in SC / glucose uptake ($mmol/mmol\ glc$)]],Table1[Flux in SC / glucose uptake ($mmol/mmol\ glc$)])</f>
        <v>1310.5</v>
      </c>
      <c r="H1991">
        <f>_xlfn.RANK.AVG(Table1[[#This Row],[Flux in RT / glucose uptake ($mmol/mmol\ glc$)]],Table1[Flux in RT / glucose uptake ($mmol/mmol\ glc$)])</f>
        <v>1290.5</v>
      </c>
      <c r="I1991" t="e">
        <f>LOG(Table1[[#This Row],[Flux in SC / glucose uptake ($mmol/mmol\ glc$)]])</f>
        <v>#NUM!</v>
      </c>
      <c r="J1991" t="e">
        <f>LOG(Table1[[#This Row],[Flux in RT / glucose uptake ($mmol/mmol\ glc$)]])</f>
        <v>#NUM!</v>
      </c>
    </row>
    <row r="1992" spans="1:10" x14ac:dyDescent="0.2">
      <c r="A1992" t="s">
        <v>1995</v>
      </c>
      <c r="B1992" t="s">
        <v>3114</v>
      </c>
      <c r="C1992">
        <v>0</v>
      </c>
      <c r="D1992">
        <v>0</v>
      </c>
      <c r="E1992">
        <f>ABS(Table1[[#This Row],[Flux in SC / glucose uptake ($mmol/mmol\ glc$)]]-Table1[[#This Row],[Flux in RT / glucose uptake ($mmol/mmol\ glc$)]])/SQRT(2)</f>
        <v>0</v>
      </c>
      <c r="F1992">
        <f>Table1[[#This Row],[distance from 45-degree line]]/MAX(Table1[[Flux in SC / glucose uptake ($mmol/mmol\ glc$)]:[Flux in RT / glucose uptake ($mmol/mmol\ glc$)]])</f>
        <v>0</v>
      </c>
      <c r="G1992">
        <f>_xlfn.RANK.AVG(Table1[[#This Row],[Flux in SC / glucose uptake ($mmol/mmol\ glc$)]],Table1[Flux in SC / glucose uptake ($mmol/mmol\ glc$)])</f>
        <v>1310.5</v>
      </c>
      <c r="H1992">
        <f>_xlfn.RANK.AVG(Table1[[#This Row],[Flux in RT / glucose uptake ($mmol/mmol\ glc$)]],Table1[Flux in RT / glucose uptake ($mmol/mmol\ glc$)])</f>
        <v>1290.5</v>
      </c>
      <c r="I1992" t="e">
        <f>LOG(Table1[[#This Row],[Flux in SC / glucose uptake ($mmol/mmol\ glc$)]])</f>
        <v>#NUM!</v>
      </c>
      <c r="J1992" t="e">
        <f>LOG(Table1[[#This Row],[Flux in RT / glucose uptake ($mmol/mmol\ glc$)]])</f>
        <v>#NUM!</v>
      </c>
    </row>
    <row r="1993" spans="1:10" x14ac:dyDescent="0.2">
      <c r="A1993" t="s">
        <v>1996</v>
      </c>
      <c r="B1993" t="s">
        <v>3181</v>
      </c>
      <c r="C1993">
        <v>0</v>
      </c>
      <c r="D1993">
        <v>0</v>
      </c>
      <c r="E1993">
        <f>ABS(Table1[[#This Row],[Flux in SC / glucose uptake ($mmol/mmol\ glc$)]]-Table1[[#This Row],[Flux in RT / glucose uptake ($mmol/mmol\ glc$)]])/SQRT(2)</f>
        <v>0</v>
      </c>
      <c r="F1993">
        <f>Table1[[#This Row],[distance from 45-degree line]]/MAX(Table1[[Flux in SC / glucose uptake ($mmol/mmol\ glc$)]:[Flux in RT / glucose uptake ($mmol/mmol\ glc$)]])</f>
        <v>0</v>
      </c>
      <c r="G1993">
        <f>_xlfn.RANK.AVG(Table1[[#This Row],[Flux in SC / glucose uptake ($mmol/mmol\ glc$)]],Table1[Flux in SC / glucose uptake ($mmol/mmol\ glc$)])</f>
        <v>1310.5</v>
      </c>
      <c r="H1993">
        <f>_xlfn.RANK.AVG(Table1[[#This Row],[Flux in RT / glucose uptake ($mmol/mmol\ glc$)]],Table1[Flux in RT / glucose uptake ($mmol/mmol\ glc$)])</f>
        <v>1290.5</v>
      </c>
      <c r="I1993" t="e">
        <f>LOG(Table1[[#This Row],[Flux in SC / glucose uptake ($mmol/mmol\ glc$)]])</f>
        <v>#NUM!</v>
      </c>
      <c r="J1993" t="e">
        <f>LOG(Table1[[#This Row],[Flux in RT / glucose uptake ($mmol/mmol\ glc$)]])</f>
        <v>#NUM!</v>
      </c>
    </row>
    <row r="1994" spans="1:10" x14ac:dyDescent="0.2">
      <c r="A1994" t="s">
        <v>1997</v>
      </c>
      <c r="B1994" t="s">
        <v>3180</v>
      </c>
      <c r="C1994">
        <v>0</v>
      </c>
      <c r="D1994">
        <v>0</v>
      </c>
      <c r="E1994">
        <f>ABS(Table1[[#This Row],[Flux in SC / glucose uptake ($mmol/mmol\ glc$)]]-Table1[[#This Row],[Flux in RT / glucose uptake ($mmol/mmol\ glc$)]])/SQRT(2)</f>
        <v>0</v>
      </c>
      <c r="F1994">
        <f>Table1[[#This Row],[distance from 45-degree line]]/MAX(Table1[[Flux in SC / glucose uptake ($mmol/mmol\ glc$)]:[Flux in RT / glucose uptake ($mmol/mmol\ glc$)]])</f>
        <v>0</v>
      </c>
      <c r="G1994">
        <f>_xlfn.RANK.AVG(Table1[[#This Row],[Flux in SC / glucose uptake ($mmol/mmol\ glc$)]],Table1[Flux in SC / glucose uptake ($mmol/mmol\ glc$)])</f>
        <v>1310.5</v>
      </c>
      <c r="H1994">
        <f>_xlfn.RANK.AVG(Table1[[#This Row],[Flux in RT / glucose uptake ($mmol/mmol\ glc$)]],Table1[Flux in RT / glucose uptake ($mmol/mmol\ glc$)])</f>
        <v>1290.5</v>
      </c>
      <c r="I1994" t="e">
        <f>LOG(Table1[[#This Row],[Flux in SC / glucose uptake ($mmol/mmol\ glc$)]])</f>
        <v>#NUM!</v>
      </c>
      <c r="J1994" t="e">
        <f>LOG(Table1[[#This Row],[Flux in RT / glucose uptake ($mmol/mmol\ glc$)]])</f>
        <v>#NUM!</v>
      </c>
    </row>
    <row r="1995" spans="1:10" x14ac:dyDescent="0.2">
      <c r="A1995" t="s">
        <v>1998</v>
      </c>
      <c r="B1995" t="s">
        <v>3120</v>
      </c>
      <c r="C1995">
        <v>1.304471097935263E-3</v>
      </c>
      <c r="D1995">
        <v>5.9039993335216288E-3</v>
      </c>
      <c r="E1995">
        <f>ABS(Table1[[#This Row],[Flux in SC / glucose uptake ($mmol/mmol\ glc$)]]-Table1[[#This Row],[Flux in RT / glucose uptake ($mmol/mmol\ glc$)]])/SQRT(2)</f>
        <v>3.252357605642115E-3</v>
      </c>
      <c r="F1995">
        <f>Table1[[#This Row],[distance from 45-degree line]]/MAX(Table1[[Flux in SC / glucose uptake ($mmol/mmol\ glc$)]:[Flux in RT / glucose uptake ($mmol/mmol\ glc$)]])</f>
        <v>1.7529836378962416E-4</v>
      </c>
      <c r="G1995">
        <f>_xlfn.RANK.AVG(Table1[[#This Row],[Flux in SC / glucose uptake ($mmol/mmol\ glc$)]],Table1[Flux in SC / glucose uptake ($mmol/mmol\ glc$)])</f>
        <v>201.5</v>
      </c>
      <c r="H1995">
        <f>_xlfn.RANK.AVG(Table1[[#This Row],[Flux in RT / glucose uptake ($mmol/mmol\ glc$)]],Table1[Flux in RT / glucose uptake ($mmol/mmol\ glc$)])</f>
        <v>212.5</v>
      </c>
      <c r="I1995">
        <f>LOG(Table1[[#This Row],[Flux in SC / glucose uptake ($mmol/mmol\ glc$)]])</f>
        <v>-2.8845655387533213</v>
      </c>
      <c r="J1995">
        <f>LOG(Table1[[#This Row],[Flux in RT / glucose uptake ($mmol/mmol\ glc$)]])</f>
        <v>-2.2288537002107423</v>
      </c>
    </row>
    <row r="1996" spans="1:10" x14ac:dyDescent="0.2">
      <c r="A1996" t="s">
        <v>1999</v>
      </c>
      <c r="B1996" t="s">
        <v>3120</v>
      </c>
      <c r="C1996">
        <v>2.502450725078115E-3</v>
      </c>
      <c r="D1996">
        <v>1.132605285516137E-2</v>
      </c>
      <c r="E1996">
        <f>ABS(Table1[[#This Row],[Flux in SC / glucose uptake ($mmol/mmol\ glc$)]]-Table1[[#This Row],[Flux in RT / glucose uptake ($mmol/mmol\ glc$)]])/SQRT(2)</f>
        <v>6.2392289006739342E-3</v>
      </c>
      <c r="F1996">
        <f>Table1[[#This Row],[distance from 45-degree line]]/MAX(Table1[[Flux in SC / glucose uptake ($mmol/mmol\ glc$)]:[Flux in RT / glucose uptake ($mmol/mmol\ glc$)]])</f>
        <v>3.3628731837473971E-4</v>
      </c>
      <c r="G1996">
        <f>_xlfn.RANK.AVG(Table1[[#This Row],[Flux in SC / glucose uptake ($mmol/mmol\ glc$)]],Table1[Flux in SC / glucose uptake ($mmol/mmol\ glc$)])</f>
        <v>186.5</v>
      </c>
      <c r="H1996">
        <f>_xlfn.RANK.AVG(Table1[[#This Row],[Flux in RT / glucose uptake ($mmol/mmol\ glc$)]],Table1[Flux in RT / glucose uptake ($mmol/mmol\ glc$)])</f>
        <v>191.5</v>
      </c>
      <c r="I1996">
        <f>LOG(Table1[[#This Row],[Flux in SC / glucose uptake ($mmol/mmol\ glc$)]])</f>
        <v>-2.6016344653121233</v>
      </c>
      <c r="J1996">
        <f>LOG(Table1[[#This Row],[Flux in RT / glucose uptake ($mmol/mmol\ glc$)]])</f>
        <v>-1.9459214159876672</v>
      </c>
    </row>
    <row r="1997" spans="1:10" x14ac:dyDescent="0.2">
      <c r="A1997" t="s">
        <v>2000</v>
      </c>
      <c r="B1997" t="s">
        <v>3114</v>
      </c>
      <c r="C1997">
        <v>0</v>
      </c>
      <c r="D1997">
        <v>0</v>
      </c>
      <c r="E1997">
        <f>ABS(Table1[[#This Row],[Flux in SC / glucose uptake ($mmol/mmol\ glc$)]]-Table1[[#This Row],[Flux in RT / glucose uptake ($mmol/mmol\ glc$)]])/SQRT(2)</f>
        <v>0</v>
      </c>
      <c r="F1997">
        <f>Table1[[#This Row],[distance from 45-degree line]]/MAX(Table1[[Flux in SC / glucose uptake ($mmol/mmol\ glc$)]:[Flux in RT / glucose uptake ($mmol/mmol\ glc$)]])</f>
        <v>0</v>
      </c>
      <c r="G1997">
        <f>_xlfn.RANK.AVG(Table1[[#This Row],[Flux in SC / glucose uptake ($mmol/mmol\ glc$)]],Table1[Flux in SC / glucose uptake ($mmol/mmol\ glc$)])</f>
        <v>1310.5</v>
      </c>
      <c r="H1997">
        <f>_xlfn.RANK.AVG(Table1[[#This Row],[Flux in RT / glucose uptake ($mmol/mmol\ glc$)]],Table1[Flux in RT / glucose uptake ($mmol/mmol\ glc$)])</f>
        <v>1290.5</v>
      </c>
      <c r="I1997" t="e">
        <f>LOG(Table1[[#This Row],[Flux in SC / glucose uptake ($mmol/mmol\ glc$)]])</f>
        <v>#NUM!</v>
      </c>
      <c r="J1997" t="e">
        <f>LOG(Table1[[#This Row],[Flux in RT / glucose uptake ($mmol/mmol\ glc$)]])</f>
        <v>#NUM!</v>
      </c>
    </row>
    <row r="1998" spans="1:10" x14ac:dyDescent="0.2">
      <c r="A1998" t="s">
        <v>2001</v>
      </c>
      <c r="B1998" t="s">
        <v>3174</v>
      </c>
      <c r="C1998">
        <v>0</v>
      </c>
      <c r="D1998">
        <v>0</v>
      </c>
      <c r="E1998">
        <f>ABS(Table1[[#This Row],[Flux in SC / glucose uptake ($mmol/mmol\ glc$)]]-Table1[[#This Row],[Flux in RT / glucose uptake ($mmol/mmol\ glc$)]])/SQRT(2)</f>
        <v>0</v>
      </c>
      <c r="F1998">
        <f>Table1[[#This Row],[distance from 45-degree line]]/MAX(Table1[[Flux in SC / glucose uptake ($mmol/mmol\ glc$)]:[Flux in RT / glucose uptake ($mmol/mmol\ glc$)]])</f>
        <v>0</v>
      </c>
      <c r="G1998">
        <f>_xlfn.RANK.AVG(Table1[[#This Row],[Flux in SC / glucose uptake ($mmol/mmol\ glc$)]],Table1[Flux in SC / glucose uptake ($mmol/mmol\ glc$)])</f>
        <v>1310.5</v>
      </c>
      <c r="H1998">
        <f>_xlfn.RANK.AVG(Table1[[#This Row],[Flux in RT / glucose uptake ($mmol/mmol\ glc$)]],Table1[Flux in RT / glucose uptake ($mmol/mmol\ glc$)])</f>
        <v>1290.5</v>
      </c>
      <c r="I1998" t="e">
        <f>LOG(Table1[[#This Row],[Flux in SC / glucose uptake ($mmol/mmol\ glc$)]])</f>
        <v>#NUM!</v>
      </c>
      <c r="J1998" t="e">
        <f>LOG(Table1[[#This Row],[Flux in RT / glucose uptake ($mmol/mmol\ glc$)]])</f>
        <v>#NUM!</v>
      </c>
    </row>
    <row r="1999" spans="1:10" x14ac:dyDescent="0.2">
      <c r="A1999" t="s">
        <v>2002</v>
      </c>
      <c r="B1999" t="s">
        <v>3136</v>
      </c>
      <c r="C1999">
        <v>0</v>
      </c>
      <c r="D1999">
        <v>0</v>
      </c>
      <c r="E1999">
        <f>ABS(Table1[[#This Row],[Flux in SC / glucose uptake ($mmol/mmol\ glc$)]]-Table1[[#This Row],[Flux in RT / glucose uptake ($mmol/mmol\ glc$)]])/SQRT(2)</f>
        <v>0</v>
      </c>
      <c r="F1999">
        <f>Table1[[#This Row],[distance from 45-degree line]]/MAX(Table1[[Flux in SC / glucose uptake ($mmol/mmol\ glc$)]:[Flux in RT / glucose uptake ($mmol/mmol\ glc$)]])</f>
        <v>0</v>
      </c>
      <c r="G1999">
        <f>_xlfn.RANK.AVG(Table1[[#This Row],[Flux in SC / glucose uptake ($mmol/mmol\ glc$)]],Table1[Flux in SC / glucose uptake ($mmol/mmol\ glc$)])</f>
        <v>1310.5</v>
      </c>
      <c r="H1999">
        <f>_xlfn.RANK.AVG(Table1[[#This Row],[Flux in RT / glucose uptake ($mmol/mmol\ glc$)]],Table1[Flux in RT / glucose uptake ($mmol/mmol\ glc$)])</f>
        <v>1290.5</v>
      </c>
      <c r="I1999" t="e">
        <f>LOG(Table1[[#This Row],[Flux in SC / glucose uptake ($mmol/mmol\ glc$)]])</f>
        <v>#NUM!</v>
      </c>
      <c r="J1999" t="e">
        <f>LOG(Table1[[#This Row],[Flux in RT / glucose uptake ($mmol/mmol\ glc$)]])</f>
        <v>#NUM!</v>
      </c>
    </row>
    <row r="2000" spans="1:10" x14ac:dyDescent="0.2">
      <c r="A2000" t="s">
        <v>2003</v>
      </c>
      <c r="B2000" t="s">
        <v>3136</v>
      </c>
      <c r="C2000">
        <v>0</v>
      </c>
      <c r="D2000">
        <v>0</v>
      </c>
      <c r="E2000">
        <f>ABS(Table1[[#This Row],[Flux in SC / glucose uptake ($mmol/mmol\ glc$)]]-Table1[[#This Row],[Flux in RT / glucose uptake ($mmol/mmol\ glc$)]])/SQRT(2)</f>
        <v>0</v>
      </c>
      <c r="F2000">
        <f>Table1[[#This Row],[distance from 45-degree line]]/MAX(Table1[[Flux in SC / glucose uptake ($mmol/mmol\ glc$)]:[Flux in RT / glucose uptake ($mmol/mmol\ glc$)]])</f>
        <v>0</v>
      </c>
      <c r="G2000">
        <f>_xlfn.RANK.AVG(Table1[[#This Row],[Flux in SC / glucose uptake ($mmol/mmol\ glc$)]],Table1[Flux in SC / glucose uptake ($mmol/mmol\ glc$)])</f>
        <v>1310.5</v>
      </c>
      <c r="H2000">
        <f>_xlfn.RANK.AVG(Table1[[#This Row],[Flux in RT / glucose uptake ($mmol/mmol\ glc$)]],Table1[Flux in RT / glucose uptake ($mmol/mmol\ glc$)])</f>
        <v>1290.5</v>
      </c>
      <c r="I2000" t="e">
        <f>LOG(Table1[[#This Row],[Flux in SC / glucose uptake ($mmol/mmol\ glc$)]])</f>
        <v>#NUM!</v>
      </c>
      <c r="J2000" t="e">
        <f>LOG(Table1[[#This Row],[Flux in RT / glucose uptake ($mmol/mmol\ glc$)]])</f>
        <v>#NUM!</v>
      </c>
    </row>
    <row r="2001" spans="1:10" x14ac:dyDescent="0.2">
      <c r="A2001" t="s">
        <v>2004</v>
      </c>
      <c r="B2001" t="s">
        <v>3150</v>
      </c>
      <c r="C2001">
        <v>2.8177315592484149E-3</v>
      </c>
      <c r="D2001">
        <v>1.3650598384232542E-2</v>
      </c>
      <c r="E2001">
        <f>ABS(Table1[[#This Row],[Flux in SC / glucose uptake ($mmol/mmol\ glc$)]]-Table1[[#This Row],[Flux in RT / glucose uptake ($mmol/mmol\ glc$)]])/SQRT(2)</f>
        <v>7.65999359163706E-3</v>
      </c>
      <c r="F2001">
        <f>Table1[[#This Row],[distance from 45-degree line]]/MAX(Table1[[Flux in SC / glucose uptake ($mmol/mmol\ glc$)]:[Flux in RT / glucose uptake ($mmol/mmol\ glc$)]])</f>
        <v>4.1286491403145576E-4</v>
      </c>
      <c r="G2001">
        <f>_xlfn.RANK.AVG(Table1[[#This Row],[Flux in SC / glucose uptake ($mmol/mmol\ glc$)]],Table1[Flux in SC / glucose uptake ($mmol/mmol\ glc$)])</f>
        <v>170.5</v>
      </c>
      <c r="H2001">
        <f>_xlfn.RANK.AVG(Table1[[#This Row],[Flux in RT / glucose uptake ($mmol/mmol\ glc$)]],Table1[Flux in RT / glucose uptake ($mmol/mmol\ glc$)])</f>
        <v>177.5</v>
      </c>
      <c r="I2001">
        <f>LOG(Table1[[#This Row],[Flux in SC / glucose uptake ($mmol/mmol\ glc$)]])</f>
        <v>-2.5501003837924046</v>
      </c>
      <c r="J2001">
        <f>LOG(Table1[[#This Row],[Flux in RT / glucose uptake ($mmol/mmol\ glc$)]])</f>
        <v>-1.8648483105811549</v>
      </c>
    </row>
    <row r="2002" spans="1:10" x14ac:dyDescent="0.2">
      <c r="A2002" t="s">
        <v>2005</v>
      </c>
      <c r="B2002" t="s">
        <v>3120</v>
      </c>
      <c r="C2002">
        <v>6.164020986813107E-3</v>
      </c>
      <c r="D2002">
        <v>0.11195094677362048</v>
      </c>
      <c r="E2002">
        <f>ABS(Table1[[#This Row],[Flux in SC / glucose uptake ($mmol/mmol\ glc$)]]-Table1[[#This Row],[Flux in RT / glucose uptake ($mmol/mmol\ glc$)]])/SQRT(2)</f>
        <v>7.480265258472954E-2</v>
      </c>
      <c r="F2002">
        <f>Table1[[#This Row],[distance from 45-degree line]]/MAX(Table1[[Flux in SC / glucose uptake ($mmol/mmol\ glc$)]:[Flux in RT / glucose uptake ($mmol/mmol\ glc$)]])</f>
        <v>4.0317776195578975E-3</v>
      </c>
      <c r="G2002">
        <f>_xlfn.RANK.AVG(Table1[[#This Row],[Flux in SC / glucose uptake ($mmol/mmol\ glc$)]],Table1[Flux in SC / glucose uptake ($mmol/mmol\ glc$)])</f>
        <v>99.5</v>
      </c>
      <c r="H2002">
        <f>_xlfn.RANK.AVG(Table1[[#This Row],[Flux in RT / glucose uptake ($mmol/mmol\ glc$)]],Table1[Flux in RT / glucose uptake ($mmol/mmol\ glc$)])</f>
        <v>78.5</v>
      </c>
      <c r="I2002">
        <f>LOG(Table1[[#This Row],[Flux in SC / glucose uptake ($mmol/mmol\ glc$)]])</f>
        <v>-2.2101358912966407</v>
      </c>
      <c r="J2002">
        <f>LOG(Table1[[#This Row],[Flux in RT / glucose uptake ($mmol/mmol\ glc$)]])</f>
        <v>-0.95097222922367086</v>
      </c>
    </row>
    <row r="2003" spans="1:10" x14ac:dyDescent="0.2">
      <c r="A2003" t="s">
        <v>2006</v>
      </c>
      <c r="B2003" t="s">
        <v>3150</v>
      </c>
      <c r="C2003">
        <v>2.8177315592484149E-3</v>
      </c>
      <c r="D2003">
        <v>1.3650598384232542E-2</v>
      </c>
      <c r="E2003">
        <f>ABS(Table1[[#This Row],[Flux in SC / glucose uptake ($mmol/mmol\ glc$)]]-Table1[[#This Row],[Flux in RT / glucose uptake ($mmol/mmol\ glc$)]])/SQRT(2)</f>
        <v>7.65999359163706E-3</v>
      </c>
      <c r="F2003">
        <f>Table1[[#This Row],[distance from 45-degree line]]/MAX(Table1[[Flux in SC / glucose uptake ($mmol/mmol\ glc$)]:[Flux in RT / glucose uptake ($mmol/mmol\ glc$)]])</f>
        <v>4.1286491403145576E-4</v>
      </c>
      <c r="G2003">
        <f>_xlfn.RANK.AVG(Table1[[#This Row],[Flux in SC / glucose uptake ($mmol/mmol\ glc$)]],Table1[Flux in SC / glucose uptake ($mmol/mmol\ glc$)])</f>
        <v>170.5</v>
      </c>
      <c r="H2003">
        <f>_xlfn.RANK.AVG(Table1[[#This Row],[Flux in RT / glucose uptake ($mmol/mmol\ glc$)]],Table1[Flux in RT / glucose uptake ($mmol/mmol\ glc$)])</f>
        <v>177.5</v>
      </c>
      <c r="I2003">
        <f>LOG(Table1[[#This Row],[Flux in SC / glucose uptake ($mmol/mmol\ glc$)]])</f>
        <v>-2.5501003837924046</v>
      </c>
      <c r="J2003">
        <f>LOG(Table1[[#This Row],[Flux in RT / glucose uptake ($mmol/mmol\ glc$)]])</f>
        <v>-1.8648483105811549</v>
      </c>
    </row>
    <row r="2004" spans="1:10" x14ac:dyDescent="0.2">
      <c r="A2004" t="s">
        <v>2007</v>
      </c>
      <c r="B2004" t="s">
        <v>3159</v>
      </c>
      <c r="C2004">
        <v>1.2845057121356784E-3</v>
      </c>
      <c r="D2004">
        <v>5.8136571518449575E-3</v>
      </c>
      <c r="E2004">
        <f>ABS(Table1[[#This Row],[Flux in SC / glucose uptake ($mmol/mmol\ glc$)]]-Table1[[#This Row],[Flux in RT / glucose uptake ($mmol/mmol\ glc$)]])/SQRT(2)</f>
        <v>3.2025936960392454E-3</v>
      </c>
      <c r="F2004">
        <f>Table1[[#This Row],[distance from 45-degree line]]/MAX(Table1[[Flux in SC / glucose uptake ($mmol/mmol\ glc$)]:[Flux in RT / glucose uptake ($mmol/mmol\ glc$)]])</f>
        <v>1.7261614584593174E-4</v>
      </c>
      <c r="G2004">
        <f>_xlfn.RANK.AVG(Table1[[#This Row],[Flux in SC / glucose uptake ($mmol/mmol\ glc$)]],Table1[Flux in SC / glucose uptake ($mmol/mmol\ glc$)])</f>
        <v>209</v>
      </c>
      <c r="H2004">
        <f>_xlfn.RANK.AVG(Table1[[#This Row],[Flux in RT / glucose uptake ($mmol/mmol\ glc$)]],Table1[Flux in RT / glucose uptake ($mmol/mmol\ glc$)])</f>
        <v>218</v>
      </c>
      <c r="I2004">
        <f>LOG(Table1[[#This Row],[Flux in SC / glucose uptake ($mmol/mmol\ glc$)]])</f>
        <v>-2.8912639601064796</v>
      </c>
      <c r="J2004">
        <f>LOG(Table1[[#This Row],[Flux in RT / glucose uptake ($mmol/mmol\ glc$)]])</f>
        <v>-2.235550583410487</v>
      </c>
    </row>
    <row r="2005" spans="1:10" x14ac:dyDescent="0.2">
      <c r="A2005" t="s">
        <v>2008</v>
      </c>
      <c r="B2005" t="s">
        <v>3150</v>
      </c>
      <c r="C2005">
        <v>2.8177315592484149E-3</v>
      </c>
      <c r="D2005">
        <v>1.3650598384232542E-2</v>
      </c>
      <c r="E2005">
        <f>ABS(Table1[[#This Row],[Flux in SC / glucose uptake ($mmol/mmol\ glc$)]]-Table1[[#This Row],[Flux in RT / glucose uptake ($mmol/mmol\ glc$)]])/SQRT(2)</f>
        <v>7.65999359163706E-3</v>
      </c>
      <c r="F2005">
        <f>Table1[[#This Row],[distance from 45-degree line]]/MAX(Table1[[Flux in SC / glucose uptake ($mmol/mmol\ glc$)]:[Flux in RT / glucose uptake ($mmol/mmol\ glc$)]])</f>
        <v>4.1286491403145576E-4</v>
      </c>
      <c r="G2005">
        <f>_xlfn.RANK.AVG(Table1[[#This Row],[Flux in SC / glucose uptake ($mmol/mmol\ glc$)]],Table1[Flux in SC / glucose uptake ($mmol/mmol\ glc$)])</f>
        <v>170.5</v>
      </c>
      <c r="H2005">
        <f>_xlfn.RANK.AVG(Table1[[#This Row],[Flux in RT / glucose uptake ($mmol/mmol\ glc$)]],Table1[Flux in RT / glucose uptake ($mmol/mmol\ glc$)])</f>
        <v>177.5</v>
      </c>
      <c r="I2005">
        <f>LOG(Table1[[#This Row],[Flux in SC / glucose uptake ($mmol/mmol\ glc$)]])</f>
        <v>-2.5501003837924046</v>
      </c>
      <c r="J2005">
        <f>LOG(Table1[[#This Row],[Flux in RT / glucose uptake ($mmol/mmol\ glc$)]])</f>
        <v>-1.8648483105811549</v>
      </c>
    </row>
    <row r="2006" spans="1:10" x14ac:dyDescent="0.2">
      <c r="A2006" t="s">
        <v>2009</v>
      </c>
      <c r="B2006" t="s">
        <v>3159</v>
      </c>
      <c r="C2006">
        <v>1.2845057121356784E-3</v>
      </c>
      <c r="D2006">
        <v>5.8136571518449575E-3</v>
      </c>
      <c r="E2006">
        <f>ABS(Table1[[#This Row],[Flux in SC / glucose uptake ($mmol/mmol\ glc$)]]-Table1[[#This Row],[Flux in RT / glucose uptake ($mmol/mmol\ glc$)]])/SQRT(2)</f>
        <v>3.2025936960392454E-3</v>
      </c>
      <c r="F2006">
        <f>Table1[[#This Row],[distance from 45-degree line]]/MAX(Table1[[Flux in SC / glucose uptake ($mmol/mmol\ glc$)]:[Flux in RT / glucose uptake ($mmol/mmol\ glc$)]])</f>
        <v>1.7261614584593174E-4</v>
      </c>
      <c r="G2006">
        <f>_xlfn.RANK.AVG(Table1[[#This Row],[Flux in SC / glucose uptake ($mmol/mmol\ glc$)]],Table1[Flux in SC / glucose uptake ($mmol/mmol\ glc$)])</f>
        <v>209</v>
      </c>
      <c r="H2006">
        <f>_xlfn.RANK.AVG(Table1[[#This Row],[Flux in RT / glucose uptake ($mmol/mmol\ glc$)]],Table1[Flux in RT / glucose uptake ($mmol/mmol\ glc$)])</f>
        <v>218</v>
      </c>
      <c r="I2006">
        <f>LOG(Table1[[#This Row],[Flux in SC / glucose uptake ($mmol/mmol\ glc$)]])</f>
        <v>-2.8912639601064796</v>
      </c>
      <c r="J2006">
        <f>LOG(Table1[[#This Row],[Flux in RT / glucose uptake ($mmol/mmol\ glc$)]])</f>
        <v>-2.235550583410487</v>
      </c>
    </row>
    <row r="2007" spans="1:10" x14ac:dyDescent="0.2">
      <c r="A2007" t="s">
        <v>2010</v>
      </c>
      <c r="B2007" t="s">
        <v>3114</v>
      </c>
      <c r="C2007">
        <v>0</v>
      </c>
      <c r="D2007">
        <v>0</v>
      </c>
      <c r="E2007">
        <f>ABS(Table1[[#This Row],[Flux in SC / glucose uptake ($mmol/mmol\ glc$)]]-Table1[[#This Row],[Flux in RT / glucose uptake ($mmol/mmol\ glc$)]])/SQRT(2)</f>
        <v>0</v>
      </c>
      <c r="F2007">
        <f>Table1[[#This Row],[distance from 45-degree line]]/MAX(Table1[[Flux in SC / glucose uptake ($mmol/mmol\ glc$)]:[Flux in RT / glucose uptake ($mmol/mmol\ glc$)]])</f>
        <v>0</v>
      </c>
      <c r="G2007">
        <f>_xlfn.RANK.AVG(Table1[[#This Row],[Flux in SC / glucose uptake ($mmol/mmol\ glc$)]],Table1[Flux in SC / glucose uptake ($mmol/mmol\ glc$)])</f>
        <v>1310.5</v>
      </c>
      <c r="H2007">
        <f>_xlfn.RANK.AVG(Table1[[#This Row],[Flux in RT / glucose uptake ($mmol/mmol\ glc$)]],Table1[Flux in RT / glucose uptake ($mmol/mmol\ glc$)])</f>
        <v>1290.5</v>
      </c>
      <c r="I2007" t="e">
        <f>LOG(Table1[[#This Row],[Flux in SC / glucose uptake ($mmol/mmol\ glc$)]])</f>
        <v>#NUM!</v>
      </c>
      <c r="J2007" t="e">
        <f>LOG(Table1[[#This Row],[Flux in RT / glucose uptake ($mmol/mmol\ glc$)]])</f>
        <v>#NUM!</v>
      </c>
    </row>
    <row r="2008" spans="1:10" x14ac:dyDescent="0.2">
      <c r="A2008" t="s">
        <v>2011</v>
      </c>
      <c r="B2008" t="s">
        <v>3114</v>
      </c>
      <c r="C2008">
        <v>0</v>
      </c>
      <c r="D2008">
        <v>0</v>
      </c>
      <c r="E2008">
        <f>ABS(Table1[[#This Row],[Flux in SC / glucose uptake ($mmol/mmol\ glc$)]]-Table1[[#This Row],[Flux in RT / glucose uptake ($mmol/mmol\ glc$)]])/SQRT(2)</f>
        <v>0</v>
      </c>
      <c r="F2008">
        <f>Table1[[#This Row],[distance from 45-degree line]]/MAX(Table1[[Flux in SC / glucose uptake ($mmol/mmol\ glc$)]:[Flux in RT / glucose uptake ($mmol/mmol\ glc$)]])</f>
        <v>0</v>
      </c>
      <c r="G2008">
        <f>_xlfn.RANK.AVG(Table1[[#This Row],[Flux in SC / glucose uptake ($mmol/mmol\ glc$)]],Table1[Flux in SC / glucose uptake ($mmol/mmol\ glc$)])</f>
        <v>1310.5</v>
      </c>
      <c r="H2008">
        <f>_xlfn.RANK.AVG(Table1[[#This Row],[Flux in RT / glucose uptake ($mmol/mmol\ glc$)]],Table1[Flux in RT / glucose uptake ($mmol/mmol\ glc$)])</f>
        <v>1290.5</v>
      </c>
      <c r="I2008" t="e">
        <f>LOG(Table1[[#This Row],[Flux in SC / glucose uptake ($mmol/mmol\ glc$)]])</f>
        <v>#NUM!</v>
      </c>
      <c r="J2008" t="e">
        <f>LOG(Table1[[#This Row],[Flux in RT / glucose uptake ($mmol/mmol\ glc$)]])</f>
        <v>#NUM!</v>
      </c>
    </row>
    <row r="2009" spans="1:10" x14ac:dyDescent="0.2">
      <c r="A2009" t="s">
        <v>2012</v>
      </c>
      <c r="B2009" t="s">
        <v>3136</v>
      </c>
      <c r="C2009">
        <v>0</v>
      </c>
      <c r="D2009">
        <v>0</v>
      </c>
      <c r="E2009">
        <f>ABS(Table1[[#This Row],[Flux in SC / glucose uptake ($mmol/mmol\ glc$)]]-Table1[[#This Row],[Flux in RT / glucose uptake ($mmol/mmol\ glc$)]])/SQRT(2)</f>
        <v>0</v>
      </c>
      <c r="F2009">
        <f>Table1[[#This Row],[distance from 45-degree line]]/MAX(Table1[[Flux in SC / glucose uptake ($mmol/mmol\ glc$)]:[Flux in RT / glucose uptake ($mmol/mmol\ glc$)]])</f>
        <v>0</v>
      </c>
      <c r="G2009">
        <f>_xlfn.RANK.AVG(Table1[[#This Row],[Flux in SC / glucose uptake ($mmol/mmol\ glc$)]],Table1[Flux in SC / glucose uptake ($mmol/mmol\ glc$)])</f>
        <v>1310.5</v>
      </c>
      <c r="H2009">
        <f>_xlfn.RANK.AVG(Table1[[#This Row],[Flux in RT / glucose uptake ($mmol/mmol\ glc$)]],Table1[Flux in RT / glucose uptake ($mmol/mmol\ glc$)])</f>
        <v>1290.5</v>
      </c>
      <c r="I2009" t="e">
        <f>LOG(Table1[[#This Row],[Flux in SC / glucose uptake ($mmol/mmol\ glc$)]])</f>
        <v>#NUM!</v>
      </c>
      <c r="J2009" t="e">
        <f>LOG(Table1[[#This Row],[Flux in RT / glucose uptake ($mmol/mmol\ glc$)]])</f>
        <v>#NUM!</v>
      </c>
    </row>
    <row r="2010" spans="1:10" x14ac:dyDescent="0.2">
      <c r="A2010" t="s">
        <v>2013</v>
      </c>
      <c r="B2010" t="s">
        <v>3136</v>
      </c>
      <c r="C2010">
        <v>0</v>
      </c>
      <c r="D2010">
        <v>0</v>
      </c>
      <c r="E2010">
        <f>ABS(Table1[[#This Row],[Flux in SC / glucose uptake ($mmol/mmol\ glc$)]]-Table1[[#This Row],[Flux in RT / glucose uptake ($mmol/mmol\ glc$)]])/SQRT(2)</f>
        <v>0</v>
      </c>
      <c r="F2010">
        <f>Table1[[#This Row],[distance from 45-degree line]]/MAX(Table1[[Flux in SC / glucose uptake ($mmol/mmol\ glc$)]:[Flux in RT / glucose uptake ($mmol/mmol\ glc$)]])</f>
        <v>0</v>
      </c>
      <c r="G2010">
        <f>_xlfn.RANK.AVG(Table1[[#This Row],[Flux in SC / glucose uptake ($mmol/mmol\ glc$)]],Table1[Flux in SC / glucose uptake ($mmol/mmol\ glc$)])</f>
        <v>1310.5</v>
      </c>
      <c r="H2010">
        <f>_xlfn.RANK.AVG(Table1[[#This Row],[Flux in RT / glucose uptake ($mmol/mmol\ glc$)]],Table1[Flux in RT / glucose uptake ($mmol/mmol\ glc$)])</f>
        <v>1290.5</v>
      </c>
      <c r="I2010" t="e">
        <f>LOG(Table1[[#This Row],[Flux in SC / glucose uptake ($mmol/mmol\ glc$)]])</f>
        <v>#NUM!</v>
      </c>
      <c r="J2010" t="e">
        <f>LOG(Table1[[#This Row],[Flux in RT / glucose uptake ($mmol/mmol\ glc$)]])</f>
        <v>#NUM!</v>
      </c>
    </row>
    <row r="2011" spans="1:10" x14ac:dyDescent="0.2">
      <c r="A2011" t="s">
        <v>2014</v>
      </c>
      <c r="B2011" t="s">
        <v>3136</v>
      </c>
      <c r="C2011">
        <v>0</v>
      </c>
      <c r="D2011">
        <v>0</v>
      </c>
      <c r="E2011">
        <f>ABS(Table1[[#This Row],[Flux in SC / glucose uptake ($mmol/mmol\ glc$)]]-Table1[[#This Row],[Flux in RT / glucose uptake ($mmol/mmol\ glc$)]])/SQRT(2)</f>
        <v>0</v>
      </c>
      <c r="F2011">
        <f>Table1[[#This Row],[distance from 45-degree line]]/MAX(Table1[[Flux in SC / glucose uptake ($mmol/mmol\ glc$)]:[Flux in RT / glucose uptake ($mmol/mmol\ glc$)]])</f>
        <v>0</v>
      </c>
      <c r="G2011">
        <f>_xlfn.RANK.AVG(Table1[[#This Row],[Flux in SC / glucose uptake ($mmol/mmol\ glc$)]],Table1[Flux in SC / glucose uptake ($mmol/mmol\ glc$)])</f>
        <v>1310.5</v>
      </c>
      <c r="H2011">
        <f>_xlfn.RANK.AVG(Table1[[#This Row],[Flux in RT / glucose uptake ($mmol/mmol\ glc$)]],Table1[Flux in RT / glucose uptake ($mmol/mmol\ glc$)])</f>
        <v>1290.5</v>
      </c>
      <c r="I2011" t="e">
        <f>LOG(Table1[[#This Row],[Flux in SC / glucose uptake ($mmol/mmol\ glc$)]])</f>
        <v>#NUM!</v>
      </c>
      <c r="J2011" t="e">
        <f>LOG(Table1[[#This Row],[Flux in RT / glucose uptake ($mmol/mmol\ glc$)]])</f>
        <v>#NUM!</v>
      </c>
    </row>
    <row r="2012" spans="1:10" x14ac:dyDescent="0.2">
      <c r="A2012" t="s">
        <v>2015</v>
      </c>
      <c r="B2012" t="s">
        <v>3136</v>
      </c>
      <c r="C2012">
        <v>0</v>
      </c>
      <c r="D2012">
        <v>0</v>
      </c>
      <c r="E2012">
        <f>ABS(Table1[[#This Row],[Flux in SC / glucose uptake ($mmol/mmol\ glc$)]]-Table1[[#This Row],[Flux in RT / glucose uptake ($mmol/mmol\ glc$)]])/SQRT(2)</f>
        <v>0</v>
      </c>
      <c r="F2012">
        <f>Table1[[#This Row],[distance from 45-degree line]]/MAX(Table1[[Flux in SC / glucose uptake ($mmol/mmol\ glc$)]:[Flux in RT / glucose uptake ($mmol/mmol\ glc$)]])</f>
        <v>0</v>
      </c>
      <c r="G2012">
        <f>_xlfn.RANK.AVG(Table1[[#This Row],[Flux in SC / glucose uptake ($mmol/mmol\ glc$)]],Table1[Flux in SC / glucose uptake ($mmol/mmol\ glc$)])</f>
        <v>1310.5</v>
      </c>
      <c r="H2012">
        <f>_xlfn.RANK.AVG(Table1[[#This Row],[Flux in RT / glucose uptake ($mmol/mmol\ glc$)]],Table1[Flux in RT / glucose uptake ($mmol/mmol\ glc$)])</f>
        <v>1290.5</v>
      </c>
      <c r="I2012" t="e">
        <f>LOG(Table1[[#This Row],[Flux in SC / glucose uptake ($mmol/mmol\ glc$)]])</f>
        <v>#NUM!</v>
      </c>
      <c r="J2012" t="e">
        <f>LOG(Table1[[#This Row],[Flux in RT / glucose uptake ($mmol/mmol\ glc$)]])</f>
        <v>#NUM!</v>
      </c>
    </row>
    <row r="2013" spans="1:10" x14ac:dyDescent="0.2">
      <c r="A2013" t="s">
        <v>2016</v>
      </c>
      <c r="B2013" t="s">
        <v>3136</v>
      </c>
      <c r="C2013">
        <v>0</v>
      </c>
      <c r="D2013">
        <v>0</v>
      </c>
      <c r="E2013">
        <f>ABS(Table1[[#This Row],[Flux in SC / glucose uptake ($mmol/mmol\ glc$)]]-Table1[[#This Row],[Flux in RT / glucose uptake ($mmol/mmol\ glc$)]])/SQRT(2)</f>
        <v>0</v>
      </c>
      <c r="F2013">
        <f>Table1[[#This Row],[distance from 45-degree line]]/MAX(Table1[[Flux in SC / glucose uptake ($mmol/mmol\ glc$)]:[Flux in RT / glucose uptake ($mmol/mmol\ glc$)]])</f>
        <v>0</v>
      </c>
      <c r="G2013">
        <f>_xlfn.RANK.AVG(Table1[[#This Row],[Flux in SC / glucose uptake ($mmol/mmol\ glc$)]],Table1[Flux in SC / glucose uptake ($mmol/mmol\ glc$)])</f>
        <v>1310.5</v>
      </c>
      <c r="H2013">
        <f>_xlfn.RANK.AVG(Table1[[#This Row],[Flux in RT / glucose uptake ($mmol/mmol\ glc$)]],Table1[Flux in RT / glucose uptake ($mmol/mmol\ glc$)])</f>
        <v>1290.5</v>
      </c>
      <c r="I2013" t="e">
        <f>LOG(Table1[[#This Row],[Flux in SC / glucose uptake ($mmol/mmol\ glc$)]])</f>
        <v>#NUM!</v>
      </c>
      <c r="J2013" t="e">
        <f>LOG(Table1[[#This Row],[Flux in RT / glucose uptake ($mmol/mmol\ glc$)]])</f>
        <v>#NUM!</v>
      </c>
    </row>
    <row r="2014" spans="1:10" x14ac:dyDescent="0.2">
      <c r="A2014" t="s">
        <v>2017</v>
      </c>
      <c r="B2014" t="s">
        <v>3136</v>
      </c>
      <c r="C2014">
        <v>0</v>
      </c>
      <c r="D2014">
        <v>0</v>
      </c>
      <c r="E2014">
        <f>ABS(Table1[[#This Row],[Flux in SC / glucose uptake ($mmol/mmol\ glc$)]]-Table1[[#This Row],[Flux in RT / glucose uptake ($mmol/mmol\ glc$)]])/SQRT(2)</f>
        <v>0</v>
      </c>
      <c r="F2014">
        <f>Table1[[#This Row],[distance from 45-degree line]]/MAX(Table1[[Flux in SC / glucose uptake ($mmol/mmol\ glc$)]:[Flux in RT / glucose uptake ($mmol/mmol\ glc$)]])</f>
        <v>0</v>
      </c>
      <c r="G2014">
        <f>_xlfn.RANK.AVG(Table1[[#This Row],[Flux in SC / glucose uptake ($mmol/mmol\ glc$)]],Table1[Flux in SC / glucose uptake ($mmol/mmol\ glc$)])</f>
        <v>1310.5</v>
      </c>
      <c r="H2014">
        <f>_xlfn.RANK.AVG(Table1[[#This Row],[Flux in RT / glucose uptake ($mmol/mmol\ glc$)]],Table1[Flux in RT / glucose uptake ($mmol/mmol\ glc$)])</f>
        <v>1290.5</v>
      </c>
      <c r="I2014" t="e">
        <f>LOG(Table1[[#This Row],[Flux in SC / glucose uptake ($mmol/mmol\ glc$)]])</f>
        <v>#NUM!</v>
      </c>
      <c r="J2014" t="e">
        <f>LOG(Table1[[#This Row],[Flux in RT / glucose uptake ($mmol/mmol\ glc$)]])</f>
        <v>#NUM!</v>
      </c>
    </row>
    <row r="2015" spans="1:10" x14ac:dyDescent="0.2">
      <c r="A2015" t="s">
        <v>2018</v>
      </c>
      <c r="B2015" t="s">
        <v>3136</v>
      </c>
      <c r="C2015">
        <v>0</v>
      </c>
      <c r="D2015">
        <v>0</v>
      </c>
      <c r="E2015">
        <f>ABS(Table1[[#This Row],[Flux in SC / glucose uptake ($mmol/mmol\ glc$)]]-Table1[[#This Row],[Flux in RT / glucose uptake ($mmol/mmol\ glc$)]])/SQRT(2)</f>
        <v>0</v>
      </c>
      <c r="F2015">
        <f>Table1[[#This Row],[distance from 45-degree line]]/MAX(Table1[[Flux in SC / glucose uptake ($mmol/mmol\ glc$)]:[Flux in RT / glucose uptake ($mmol/mmol\ glc$)]])</f>
        <v>0</v>
      </c>
      <c r="G2015">
        <f>_xlfn.RANK.AVG(Table1[[#This Row],[Flux in SC / glucose uptake ($mmol/mmol\ glc$)]],Table1[Flux in SC / glucose uptake ($mmol/mmol\ glc$)])</f>
        <v>1310.5</v>
      </c>
      <c r="H2015">
        <f>_xlfn.RANK.AVG(Table1[[#This Row],[Flux in RT / glucose uptake ($mmol/mmol\ glc$)]],Table1[Flux in RT / glucose uptake ($mmol/mmol\ glc$)])</f>
        <v>1290.5</v>
      </c>
      <c r="I2015" t="e">
        <f>LOG(Table1[[#This Row],[Flux in SC / glucose uptake ($mmol/mmol\ glc$)]])</f>
        <v>#NUM!</v>
      </c>
      <c r="J2015" t="e">
        <f>LOG(Table1[[#This Row],[Flux in RT / glucose uptake ($mmol/mmol\ glc$)]])</f>
        <v>#NUM!</v>
      </c>
    </row>
    <row r="2016" spans="1:10" x14ac:dyDescent="0.2">
      <c r="A2016" t="s">
        <v>2019</v>
      </c>
      <c r="B2016" t="s">
        <v>3136</v>
      </c>
      <c r="C2016">
        <v>0</v>
      </c>
      <c r="D2016">
        <v>0</v>
      </c>
      <c r="E2016">
        <f>ABS(Table1[[#This Row],[Flux in SC / glucose uptake ($mmol/mmol\ glc$)]]-Table1[[#This Row],[Flux in RT / glucose uptake ($mmol/mmol\ glc$)]])/SQRT(2)</f>
        <v>0</v>
      </c>
      <c r="F2016">
        <f>Table1[[#This Row],[distance from 45-degree line]]/MAX(Table1[[Flux in SC / glucose uptake ($mmol/mmol\ glc$)]:[Flux in RT / glucose uptake ($mmol/mmol\ glc$)]])</f>
        <v>0</v>
      </c>
      <c r="G2016">
        <f>_xlfn.RANK.AVG(Table1[[#This Row],[Flux in SC / glucose uptake ($mmol/mmol\ glc$)]],Table1[Flux in SC / glucose uptake ($mmol/mmol\ glc$)])</f>
        <v>1310.5</v>
      </c>
      <c r="H2016">
        <f>_xlfn.RANK.AVG(Table1[[#This Row],[Flux in RT / glucose uptake ($mmol/mmol\ glc$)]],Table1[Flux in RT / glucose uptake ($mmol/mmol\ glc$)])</f>
        <v>1290.5</v>
      </c>
      <c r="I2016" t="e">
        <f>LOG(Table1[[#This Row],[Flux in SC / glucose uptake ($mmol/mmol\ glc$)]])</f>
        <v>#NUM!</v>
      </c>
      <c r="J2016" t="e">
        <f>LOG(Table1[[#This Row],[Flux in RT / glucose uptake ($mmol/mmol\ glc$)]])</f>
        <v>#NUM!</v>
      </c>
    </row>
    <row r="2017" spans="1:10" x14ac:dyDescent="0.2">
      <c r="A2017" t="s">
        <v>2020</v>
      </c>
      <c r="B2017" t="s">
        <v>3136</v>
      </c>
      <c r="C2017">
        <v>0</v>
      </c>
      <c r="D2017">
        <v>0</v>
      </c>
      <c r="E2017">
        <f>ABS(Table1[[#This Row],[Flux in SC / glucose uptake ($mmol/mmol\ glc$)]]-Table1[[#This Row],[Flux in RT / glucose uptake ($mmol/mmol\ glc$)]])/SQRT(2)</f>
        <v>0</v>
      </c>
      <c r="F2017">
        <f>Table1[[#This Row],[distance from 45-degree line]]/MAX(Table1[[Flux in SC / glucose uptake ($mmol/mmol\ glc$)]:[Flux in RT / glucose uptake ($mmol/mmol\ glc$)]])</f>
        <v>0</v>
      </c>
      <c r="G2017">
        <f>_xlfn.RANK.AVG(Table1[[#This Row],[Flux in SC / glucose uptake ($mmol/mmol\ glc$)]],Table1[Flux in SC / glucose uptake ($mmol/mmol\ glc$)])</f>
        <v>1310.5</v>
      </c>
      <c r="H2017">
        <f>_xlfn.RANK.AVG(Table1[[#This Row],[Flux in RT / glucose uptake ($mmol/mmol\ glc$)]],Table1[Flux in RT / glucose uptake ($mmol/mmol\ glc$)])</f>
        <v>1290.5</v>
      </c>
      <c r="I2017" t="e">
        <f>LOG(Table1[[#This Row],[Flux in SC / glucose uptake ($mmol/mmol\ glc$)]])</f>
        <v>#NUM!</v>
      </c>
      <c r="J2017" t="e">
        <f>LOG(Table1[[#This Row],[Flux in RT / glucose uptake ($mmol/mmol\ glc$)]])</f>
        <v>#NUM!</v>
      </c>
    </row>
    <row r="2018" spans="1:10" x14ac:dyDescent="0.2">
      <c r="A2018" t="s">
        <v>2021</v>
      </c>
      <c r="B2018" t="s">
        <v>3136</v>
      </c>
      <c r="C2018">
        <v>0</v>
      </c>
      <c r="D2018">
        <v>0</v>
      </c>
      <c r="E2018">
        <f>ABS(Table1[[#This Row],[Flux in SC / glucose uptake ($mmol/mmol\ glc$)]]-Table1[[#This Row],[Flux in RT / glucose uptake ($mmol/mmol\ glc$)]])/SQRT(2)</f>
        <v>0</v>
      </c>
      <c r="F2018">
        <f>Table1[[#This Row],[distance from 45-degree line]]/MAX(Table1[[Flux in SC / glucose uptake ($mmol/mmol\ glc$)]:[Flux in RT / glucose uptake ($mmol/mmol\ glc$)]])</f>
        <v>0</v>
      </c>
      <c r="G2018">
        <f>_xlfn.RANK.AVG(Table1[[#This Row],[Flux in SC / glucose uptake ($mmol/mmol\ glc$)]],Table1[Flux in SC / glucose uptake ($mmol/mmol\ glc$)])</f>
        <v>1310.5</v>
      </c>
      <c r="H2018">
        <f>_xlfn.RANK.AVG(Table1[[#This Row],[Flux in RT / glucose uptake ($mmol/mmol\ glc$)]],Table1[Flux in RT / glucose uptake ($mmol/mmol\ glc$)])</f>
        <v>1290.5</v>
      </c>
      <c r="I2018" t="e">
        <f>LOG(Table1[[#This Row],[Flux in SC / glucose uptake ($mmol/mmol\ glc$)]])</f>
        <v>#NUM!</v>
      </c>
      <c r="J2018" t="e">
        <f>LOG(Table1[[#This Row],[Flux in RT / glucose uptake ($mmol/mmol\ glc$)]])</f>
        <v>#NUM!</v>
      </c>
    </row>
    <row r="2019" spans="1:10" x14ac:dyDescent="0.2">
      <c r="A2019" t="s">
        <v>2022</v>
      </c>
      <c r="B2019" t="s">
        <v>3136</v>
      </c>
      <c r="C2019">
        <v>0</v>
      </c>
      <c r="D2019">
        <v>0</v>
      </c>
      <c r="E2019">
        <f>ABS(Table1[[#This Row],[Flux in SC / glucose uptake ($mmol/mmol\ glc$)]]-Table1[[#This Row],[Flux in RT / glucose uptake ($mmol/mmol\ glc$)]])/SQRT(2)</f>
        <v>0</v>
      </c>
      <c r="F2019">
        <f>Table1[[#This Row],[distance from 45-degree line]]/MAX(Table1[[Flux in SC / glucose uptake ($mmol/mmol\ glc$)]:[Flux in RT / glucose uptake ($mmol/mmol\ glc$)]])</f>
        <v>0</v>
      </c>
      <c r="G2019">
        <f>_xlfn.RANK.AVG(Table1[[#This Row],[Flux in SC / glucose uptake ($mmol/mmol\ glc$)]],Table1[Flux in SC / glucose uptake ($mmol/mmol\ glc$)])</f>
        <v>1310.5</v>
      </c>
      <c r="H2019">
        <f>_xlfn.RANK.AVG(Table1[[#This Row],[Flux in RT / glucose uptake ($mmol/mmol\ glc$)]],Table1[Flux in RT / glucose uptake ($mmol/mmol\ glc$)])</f>
        <v>1290.5</v>
      </c>
      <c r="I2019" t="e">
        <f>LOG(Table1[[#This Row],[Flux in SC / glucose uptake ($mmol/mmol\ glc$)]])</f>
        <v>#NUM!</v>
      </c>
      <c r="J2019" t="e">
        <f>LOG(Table1[[#This Row],[Flux in RT / glucose uptake ($mmol/mmol\ glc$)]])</f>
        <v>#NUM!</v>
      </c>
    </row>
    <row r="2020" spans="1:10" x14ac:dyDescent="0.2">
      <c r="A2020" t="s">
        <v>2023</v>
      </c>
      <c r="B2020" t="s">
        <v>3136</v>
      </c>
      <c r="C2020">
        <v>0</v>
      </c>
      <c r="D2020">
        <v>0</v>
      </c>
      <c r="E2020">
        <f>ABS(Table1[[#This Row],[Flux in SC / glucose uptake ($mmol/mmol\ glc$)]]-Table1[[#This Row],[Flux in RT / glucose uptake ($mmol/mmol\ glc$)]])/SQRT(2)</f>
        <v>0</v>
      </c>
      <c r="F2020">
        <f>Table1[[#This Row],[distance from 45-degree line]]/MAX(Table1[[Flux in SC / glucose uptake ($mmol/mmol\ glc$)]:[Flux in RT / glucose uptake ($mmol/mmol\ glc$)]])</f>
        <v>0</v>
      </c>
      <c r="G2020">
        <f>_xlfn.RANK.AVG(Table1[[#This Row],[Flux in SC / glucose uptake ($mmol/mmol\ glc$)]],Table1[Flux in SC / glucose uptake ($mmol/mmol\ glc$)])</f>
        <v>1310.5</v>
      </c>
      <c r="H2020">
        <f>_xlfn.RANK.AVG(Table1[[#This Row],[Flux in RT / glucose uptake ($mmol/mmol\ glc$)]],Table1[Flux in RT / glucose uptake ($mmol/mmol\ glc$)])</f>
        <v>1290.5</v>
      </c>
      <c r="I2020" t="e">
        <f>LOG(Table1[[#This Row],[Flux in SC / glucose uptake ($mmol/mmol\ glc$)]])</f>
        <v>#NUM!</v>
      </c>
      <c r="J2020" t="e">
        <f>LOG(Table1[[#This Row],[Flux in RT / glucose uptake ($mmol/mmol\ glc$)]])</f>
        <v>#NUM!</v>
      </c>
    </row>
    <row r="2021" spans="1:10" x14ac:dyDescent="0.2">
      <c r="A2021" t="s">
        <v>2024</v>
      </c>
      <c r="B2021" t="s">
        <v>3136</v>
      </c>
      <c r="C2021">
        <v>0</v>
      </c>
      <c r="D2021">
        <v>0</v>
      </c>
      <c r="E2021">
        <f>ABS(Table1[[#This Row],[Flux in SC / glucose uptake ($mmol/mmol\ glc$)]]-Table1[[#This Row],[Flux in RT / glucose uptake ($mmol/mmol\ glc$)]])/SQRT(2)</f>
        <v>0</v>
      </c>
      <c r="F2021">
        <f>Table1[[#This Row],[distance from 45-degree line]]/MAX(Table1[[Flux in SC / glucose uptake ($mmol/mmol\ glc$)]:[Flux in RT / glucose uptake ($mmol/mmol\ glc$)]])</f>
        <v>0</v>
      </c>
      <c r="G2021">
        <f>_xlfn.RANK.AVG(Table1[[#This Row],[Flux in SC / glucose uptake ($mmol/mmol\ glc$)]],Table1[Flux in SC / glucose uptake ($mmol/mmol\ glc$)])</f>
        <v>1310.5</v>
      </c>
      <c r="H2021">
        <f>_xlfn.RANK.AVG(Table1[[#This Row],[Flux in RT / glucose uptake ($mmol/mmol\ glc$)]],Table1[Flux in RT / glucose uptake ($mmol/mmol\ glc$)])</f>
        <v>1290.5</v>
      </c>
      <c r="I2021" t="e">
        <f>LOG(Table1[[#This Row],[Flux in SC / glucose uptake ($mmol/mmol\ glc$)]])</f>
        <v>#NUM!</v>
      </c>
      <c r="J2021" t="e">
        <f>LOG(Table1[[#This Row],[Flux in RT / glucose uptake ($mmol/mmol\ glc$)]])</f>
        <v>#NUM!</v>
      </c>
    </row>
    <row r="2022" spans="1:10" x14ac:dyDescent="0.2">
      <c r="A2022" t="s">
        <v>2025</v>
      </c>
      <c r="B2022" t="s">
        <v>3136</v>
      </c>
      <c r="C2022">
        <v>0</v>
      </c>
      <c r="D2022">
        <v>0</v>
      </c>
      <c r="E2022">
        <f>ABS(Table1[[#This Row],[Flux in SC / glucose uptake ($mmol/mmol\ glc$)]]-Table1[[#This Row],[Flux in RT / glucose uptake ($mmol/mmol\ glc$)]])/SQRT(2)</f>
        <v>0</v>
      </c>
      <c r="F2022">
        <f>Table1[[#This Row],[distance from 45-degree line]]/MAX(Table1[[Flux in SC / glucose uptake ($mmol/mmol\ glc$)]:[Flux in RT / glucose uptake ($mmol/mmol\ glc$)]])</f>
        <v>0</v>
      </c>
      <c r="G2022">
        <f>_xlfn.RANK.AVG(Table1[[#This Row],[Flux in SC / glucose uptake ($mmol/mmol\ glc$)]],Table1[Flux in SC / glucose uptake ($mmol/mmol\ glc$)])</f>
        <v>1310.5</v>
      </c>
      <c r="H2022">
        <f>_xlfn.RANK.AVG(Table1[[#This Row],[Flux in RT / glucose uptake ($mmol/mmol\ glc$)]],Table1[Flux in RT / glucose uptake ($mmol/mmol\ glc$)])</f>
        <v>1290.5</v>
      </c>
      <c r="I2022" t="e">
        <f>LOG(Table1[[#This Row],[Flux in SC / glucose uptake ($mmol/mmol\ glc$)]])</f>
        <v>#NUM!</v>
      </c>
      <c r="J2022" t="e">
        <f>LOG(Table1[[#This Row],[Flux in RT / glucose uptake ($mmol/mmol\ glc$)]])</f>
        <v>#NUM!</v>
      </c>
    </row>
    <row r="2023" spans="1:10" x14ac:dyDescent="0.2">
      <c r="A2023" t="s">
        <v>2026</v>
      </c>
      <c r="B2023" t="s">
        <v>3136</v>
      </c>
      <c r="C2023">
        <v>0</v>
      </c>
      <c r="D2023">
        <v>0</v>
      </c>
      <c r="E2023">
        <f>ABS(Table1[[#This Row],[Flux in SC / glucose uptake ($mmol/mmol\ glc$)]]-Table1[[#This Row],[Flux in RT / glucose uptake ($mmol/mmol\ glc$)]])/SQRT(2)</f>
        <v>0</v>
      </c>
      <c r="F2023">
        <f>Table1[[#This Row],[distance from 45-degree line]]/MAX(Table1[[Flux in SC / glucose uptake ($mmol/mmol\ glc$)]:[Flux in RT / glucose uptake ($mmol/mmol\ glc$)]])</f>
        <v>0</v>
      </c>
      <c r="G2023">
        <f>_xlfn.RANK.AVG(Table1[[#This Row],[Flux in SC / glucose uptake ($mmol/mmol\ glc$)]],Table1[Flux in SC / glucose uptake ($mmol/mmol\ glc$)])</f>
        <v>1310.5</v>
      </c>
      <c r="H2023">
        <f>_xlfn.RANK.AVG(Table1[[#This Row],[Flux in RT / glucose uptake ($mmol/mmol\ glc$)]],Table1[Flux in RT / glucose uptake ($mmol/mmol\ glc$)])</f>
        <v>1290.5</v>
      </c>
      <c r="I2023" t="e">
        <f>LOG(Table1[[#This Row],[Flux in SC / glucose uptake ($mmol/mmol\ glc$)]])</f>
        <v>#NUM!</v>
      </c>
      <c r="J2023" t="e">
        <f>LOG(Table1[[#This Row],[Flux in RT / glucose uptake ($mmol/mmol\ glc$)]])</f>
        <v>#NUM!</v>
      </c>
    </row>
    <row r="2024" spans="1:10" x14ac:dyDescent="0.2">
      <c r="A2024" t="s">
        <v>2027</v>
      </c>
      <c r="B2024" t="s">
        <v>3136</v>
      </c>
      <c r="C2024">
        <v>0</v>
      </c>
      <c r="D2024">
        <v>0</v>
      </c>
      <c r="E2024">
        <f>ABS(Table1[[#This Row],[Flux in SC / glucose uptake ($mmol/mmol\ glc$)]]-Table1[[#This Row],[Flux in RT / glucose uptake ($mmol/mmol\ glc$)]])/SQRT(2)</f>
        <v>0</v>
      </c>
      <c r="F2024">
        <f>Table1[[#This Row],[distance from 45-degree line]]/MAX(Table1[[Flux in SC / glucose uptake ($mmol/mmol\ glc$)]:[Flux in RT / glucose uptake ($mmol/mmol\ glc$)]])</f>
        <v>0</v>
      </c>
      <c r="G2024">
        <f>_xlfn.RANK.AVG(Table1[[#This Row],[Flux in SC / glucose uptake ($mmol/mmol\ glc$)]],Table1[Flux in SC / glucose uptake ($mmol/mmol\ glc$)])</f>
        <v>1310.5</v>
      </c>
      <c r="H2024">
        <f>_xlfn.RANK.AVG(Table1[[#This Row],[Flux in RT / glucose uptake ($mmol/mmol\ glc$)]],Table1[Flux in RT / glucose uptake ($mmol/mmol\ glc$)])</f>
        <v>1290.5</v>
      </c>
      <c r="I2024" t="e">
        <f>LOG(Table1[[#This Row],[Flux in SC / glucose uptake ($mmol/mmol\ glc$)]])</f>
        <v>#NUM!</v>
      </c>
      <c r="J2024" t="e">
        <f>LOG(Table1[[#This Row],[Flux in RT / glucose uptake ($mmol/mmol\ glc$)]])</f>
        <v>#NUM!</v>
      </c>
    </row>
    <row r="2025" spans="1:10" x14ac:dyDescent="0.2">
      <c r="A2025" t="s">
        <v>2028</v>
      </c>
      <c r="B2025" t="s">
        <v>3150</v>
      </c>
      <c r="C2025">
        <v>2.8177315592484149E-3</v>
      </c>
      <c r="D2025">
        <v>1.3650598384232542E-2</v>
      </c>
      <c r="E2025">
        <f>ABS(Table1[[#This Row],[Flux in SC / glucose uptake ($mmol/mmol\ glc$)]]-Table1[[#This Row],[Flux in RT / glucose uptake ($mmol/mmol\ glc$)]])/SQRT(2)</f>
        <v>7.65999359163706E-3</v>
      </c>
      <c r="F2025">
        <f>Table1[[#This Row],[distance from 45-degree line]]/MAX(Table1[[Flux in SC / glucose uptake ($mmol/mmol\ glc$)]:[Flux in RT / glucose uptake ($mmol/mmol\ glc$)]])</f>
        <v>4.1286491403145576E-4</v>
      </c>
      <c r="G2025">
        <f>_xlfn.RANK.AVG(Table1[[#This Row],[Flux in SC / glucose uptake ($mmol/mmol\ glc$)]],Table1[Flux in SC / glucose uptake ($mmol/mmol\ glc$)])</f>
        <v>170.5</v>
      </c>
      <c r="H2025">
        <f>_xlfn.RANK.AVG(Table1[[#This Row],[Flux in RT / glucose uptake ($mmol/mmol\ glc$)]],Table1[Flux in RT / glucose uptake ($mmol/mmol\ glc$)])</f>
        <v>177.5</v>
      </c>
      <c r="I2025">
        <f>LOG(Table1[[#This Row],[Flux in SC / glucose uptake ($mmol/mmol\ glc$)]])</f>
        <v>-2.5501003837924046</v>
      </c>
      <c r="J2025">
        <f>LOG(Table1[[#This Row],[Flux in RT / glucose uptake ($mmol/mmol\ glc$)]])</f>
        <v>-1.8648483105811549</v>
      </c>
    </row>
    <row r="2026" spans="1:10" x14ac:dyDescent="0.2">
      <c r="A2026" t="s">
        <v>2029</v>
      </c>
      <c r="B2026" t="s">
        <v>3159</v>
      </c>
      <c r="C2026">
        <v>1.2845057121356784E-3</v>
      </c>
      <c r="D2026">
        <v>5.8136571518449575E-3</v>
      </c>
      <c r="E2026">
        <f>ABS(Table1[[#This Row],[Flux in SC / glucose uptake ($mmol/mmol\ glc$)]]-Table1[[#This Row],[Flux in RT / glucose uptake ($mmol/mmol\ glc$)]])/SQRT(2)</f>
        <v>3.2025936960392454E-3</v>
      </c>
      <c r="F2026">
        <f>Table1[[#This Row],[distance from 45-degree line]]/MAX(Table1[[Flux in SC / glucose uptake ($mmol/mmol\ glc$)]:[Flux in RT / glucose uptake ($mmol/mmol\ glc$)]])</f>
        <v>1.7261614584593174E-4</v>
      </c>
      <c r="G2026">
        <f>_xlfn.RANK.AVG(Table1[[#This Row],[Flux in SC / glucose uptake ($mmol/mmol\ glc$)]],Table1[Flux in SC / glucose uptake ($mmol/mmol\ glc$)])</f>
        <v>209</v>
      </c>
      <c r="H2026">
        <f>_xlfn.RANK.AVG(Table1[[#This Row],[Flux in RT / glucose uptake ($mmol/mmol\ glc$)]],Table1[Flux in RT / glucose uptake ($mmol/mmol\ glc$)])</f>
        <v>218</v>
      </c>
      <c r="I2026">
        <f>LOG(Table1[[#This Row],[Flux in SC / glucose uptake ($mmol/mmol\ glc$)]])</f>
        <v>-2.8912639601064796</v>
      </c>
      <c r="J2026">
        <f>LOG(Table1[[#This Row],[Flux in RT / glucose uptake ($mmol/mmol\ glc$)]])</f>
        <v>-2.235550583410487</v>
      </c>
    </row>
    <row r="2027" spans="1:10" x14ac:dyDescent="0.2">
      <c r="A2027" t="s">
        <v>2030</v>
      </c>
      <c r="B2027" t="s">
        <v>3134</v>
      </c>
      <c r="C2027">
        <v>7.1863872322426461E-4</v>
      </c>
      <c r="D2027">
        <v>8.260576411240525E-2</v>
      </c>
      <c r="E2027">
        <f>ABS(Table1[[#This Row],[Flux in SC / glucose uptake ($mmol/mmol\ glc$)]]-Table1[[#This Row],[Flux in RT / glucose uptake ($mmol/mmol\ glc$)]])/SQRT(2)</f>
        <v>5.7902941654562973E-2</v>
      </c>
      <c r="F2027">
        <f>Table1[[#This Row],[distance from 45-degree line]]/MAX(Table1[[Flux in SC / glucose uptake ($mmol/mmol\ glc$)]:[Flux in RT / glucose uptake ($mmol/mmol\ glc$)]])</f>
        <v>3.1209024841064438E-3</v>
      </c>
      <c r="G2027">
        <f>_xlfn.RANK.AVG(Table1[[#This Row],[Flux in SC / glucose uptake ($mmol/mmol\ glc$)]],Table1[Flux in SC / glucose uptake ($mmol/mmol\ glc$)])</f>
        <v>232.5</v>
      </c>
      <c r="H2027">
        <f>_xlfn.RANK.AVG(Table1[[#This Row],[Flux in RT / glucose uptake ($mmol/mmol\ glc$)]],Table1[Flux in RT / glucose uptake ($mmol/mmol\ glc$)])</f>
        <v>95</v>
      </c>
      <c r="I2027">
        <f>LOG(Table1[[#This Row],[Flux in SC / glucose uptake ($mmol/mmol\ glc$)]])</f>
        <v>-3.1434893849194028</v>
      </c>
      <c r="J2027">
        <f>LOG(Table1[[#This Row],[Flux in RT / glucose uptake ($mmol/mmol\ glc$)]])</f>
        <v>-1.0829896471727229</v>
      </c>
    </row>
    <row r="2028" spans="1:10" x14ac:dyDescent="0.2">
      <c r="A2028" t="s">
        <v>2031</v>
      </c>
      <c r="B2028" t="s">
        <v>3114</v>
      </c>
      <c r="C2028">
        <v>7.1863872322426461E-4</v>
      </c>
      <c r="D2028">
        <v>0</v>
      </c>
      <c r="E2028">
        <f>ABS(Table1[[#This Row],[Flux in SC / glucose uptake ($mmol/mmol\ glc$)]]-Table1[[#This Row],[Flux in RT / glucose uptake ($mmol/mmol\ glc$)]])/SQRT(2)</f>
        <v>5.0815431441511994E-4</v>
      </c>
      <c r="F2028">
        <f>Table1[[#This Row],[distance from 45-degree line]]/MAX(Table1[[Flux in SC / glucose uptake ($mmol/mmol\ glc$)]:[Flux in RT / glucose uptake ($mmol/mmol\ glc$)]])</f>
        <v>2.7388937709394938E-5</v>
      </c>
      <c r="G2028">
        <f>_xlfn.RANK.AVG(Table1[[#This Row],[Flux in SC / glucose uptake ($mmol/mmol\ glc$)]],Table1[Flux in SC / glucose uptake ($mmol/mmol\ glc$)])</f>
        <v>232.5</v>
      </c>
      <c r="H2028">
        <f>_xlfn.RANK.AVG(Table1[[#This Row],[Flux in RT / glucose uptake ($mmol/mmol\ glc$)]],Table1[Flux in RT / glucose uptake ($mmol/mmol\ glc$)])</f>
        <v>1290.5</v>
      </c>
      <c r="I2028">
        <f>LOG(Table1[[#This Row],[Flux in SC / glucose uptake ($mmol/mmol\ glc$)]])</f>
        <v>-3.1434893849194028</v>
      </c>
      <c r="J2028" t="e">
        <f>LOG(Table1[[#This Row],[Flux in RT / glucose uptake ($mmol/mmol\ glc$)]])</f>
        <v>#NUM!</v>
      </c>
    </row>
    <row r="2029" spans="1:10" x14ac:dyDescent="0.2">
      <c r="A2029" t="s">
        <v>2032</v>
      </c>
      <c r="B2029" t="s">
        <v>3114</v>
      </c>
      <c r="C2029">
        <v>0</v>
      </c>
      <c r="D2029">
        <v>0</v>
      </c>
      <c r="E2029">
        <f>ABS(Table1[[#This Row],[Flux in SC / glucose uptake ($mmol/mmol\ glc$)]]-Table1[[#This Row],[Flux in RT / glucose uptake ($mmol/mmol\ glc$)]])/SQRT(2)</f>
        <v>0</v>
      </c>
      <c r="F2029">
        <f>Table1[[#This Row],[distance from 45-degree line]]/MAX(Table1[[Flux in SC / glucose uptake ($mmol/mmol\ glc$)]:[Flux in RT / glucose uptake ($mmol/mmol\ glc$)]])</f>
        <v>0</v>
      </c>
      <c r="G2029">
        <f>_xlfn.RANK.AVG(Table1[[#This Row],[Flux in SC / glucose uptake ($mmol/mmol\ glc$)]],Table1[Flux in SC / glucose uptake ($mmol/mmol\ glc$)])</f>
        <v>1310.5</v>
      </c>
      <c r="H2029">
        <f>_xlfn.RANK.AVG(Table1[[#This Row],[Flux in RT / glucose uptake ($mmol/mmol\ glc$)]],Table1[Flux in RT / glucose uptake ($mmol/mmol\ glc$)])</f>
        <v>1290.5</v>
      </c>
      <c r="I2029" t="e">
        <f>LOG(Table1[[#This Row],[Flux in SC / glucose uptake ($mmol/mmol\ glc$)]])</f>
        <v>#NUM!</v>
      </c>
      <c r="J2029" t="e">
        <f>LOG(Table1[[#This Row],[Flux in RT / glucose uptake ($mmol/mmol\ glc$)]])</f>
        <v>#NUM!</v>
      </c>
    </row>
    <row r="2030" spans="1:10" x14ac:dyDescent="0.2">
      <c r="A2030" t="s">
        <v>2033</v>
      </c>
      <c r="B2030" t="s">
        <v>3154</v>
      </c>
      <c r="C2030">
        <v>0</v>
      </c>
      <c r="D2030">
        <v>0</v>
      </c>
      <c r="E2030">
        <f>ABS(Table1[[#This Row],[Flux in SC / glucose uptake ($mmol/mmol\ glc$)]]-Table1[[#This Row],[Flux in RT / glucose uptake ($mmol/mmol\ glc$)]])/SQRT(2)</f>
        <v>0</v>
      </c>
      <c r="F2030">
        <f>Table1[[#This Row],[distance from 45-degree line]]/MAX(Table1[[Flux in SC / glucose uptake ($mmol/mmol\ glc$)]:[Flux in RT / glucose uptake ($mmol/mmol\ glc$)]])</f>
        <v>0</v>
      </c>
      <c r="G2030">
        <f>_xlfn.RANK.AVG(Table1[[#This Row],[Flux in SC / glucose uptake ($mmol/mmol\ glc$)]],Table1[Flux in SC / glucose uptake ($mmol/mmol\ glc$)])</f>
        <v>1310.5</v>
      </c>
      <c r="H2030">
        <f>_xlfn.RANK.AVG(Table1[[#This Row],[Flux in RT / glucose uptake ($mmol/mmol\ glc$)]],Table1[Flux in RT / glucose uptake ($mmol/mmol\ glc$)])</f>
        <v>1290.5</v>
      </c>
      <c r="I2030" t="e">
        <f>LOG(Table1[[#This Row],[Flux in SC / glucose uptake ($mmol/mmol\ glc$)]])</f>
        <v>#NUM!</v>
      </c>
      <c r="J2030" t="e">
        <f>LOG(Table1[[#This Row],[Flux in RT / glucose uptake ($mmol/mmol\ glc$)]])</f>
        <v>#NUM!</v>
      </c>
    </row>
    <row r="2031" spans="1:10" x14ac:dyDescent="0.2">
      <c r="A2031" t="s">
        <v>2034</v>
      </c>
      <c r="B2031" t="s">
        <v>3159</v>
      </c>
      <c r="C2031">
        <v>1.3457077079810933E-2</v>
      </c>
      <c r="D2031">
        <v>0.14571529658381097</v>
      </c>
      <c r="E2031">
        <f>ABS(Table1[[#This Row],[Flux in SC / glucose uptake ($mmol/mmol\ glc$)]]-Table1[[#This Row],[Flux in RT / glucose uptake ($mmol/mmol\ glc$)]])/SQRT(2)</f>
        <v>9.3520683878937305E-2</v>
      </c>
      <c r="F2031">
        <f>Table1[[#This Row],[distance from 45-degree line]]/MAX(Table1[[Flux in SC / glucose uptake ($mmol/mmol\ glc$)]:[Flux in RT / glucose uptake ($mmol/mmol\ glc$)]])</f>
        <v>5.0406581478077373E-3</v>
      </c>
      <c r="G2031">
        <f>_xlfn.RANK.AVG(Table1[[#This Row],[Flux in SC / glucose uptake ($mmol/mmol\ glc$)]],Table1[Flux in SC / glucose uptake ($mmol/mmol\ glc$)])</f>
        <v>74</v>
      </c>
      <c r="H2031">
        <f>_xlfn.RANK.AVG(Table1[[#This Row],[Flux in RT / glucose uptake ($mmol/mmol\ glc$)]],Table1[Flux in RT / glucose uptake ($mmol/mmol\ glc$)])</f>
        <v>74</v>
      </c>
      <c r="I2031">
        <f>LOG(Table1[[#This Row],[Flux in SC / glucose uptake ($mmol/mmol\ glc$)]])</f>
        <v>-1.8710492600198374</v>
      </c>
      <c r="J2031">
        <f>LOG(Table1[[#This Row],[Flux in RT / glucose uptake ($mmol/mmol\ glc$)]])</f>
        <v>-0.83649485541436119</v>
      </c>
    </row>
    <row r="2032" spans="1:10" x14ac:dyDescent="0.2">
      <c r="A2032" t="s">
        <v>2035</v>
      </c>
      <c r="B2032" t="s">
        <v>3114</v>
      </c>
      <c r="C2032">
        <v>0</v>
      </c>
      <c r="D2032">
        <v>0</v>
      </c>
      <c r="E2032">
        <f>ABS(Table1[[#This Row],[Flux in SC / glucose uptake ($mmol/mmol\ glc$)]]-Table1[[#This Row],[Flux in RT / glucose uptake ($mmol/mmol\ glc$)]])/SQRT(2)</f>
        <v>0</v>
      </c>
      <c r="F2032">
        <f>Table1[[#This Row],[distance from 45-degree line]]/MAX(Table1[[Flux in SC / glucose uptake ($mmol/mmol\ glc$)]:[Flux in RT / glucose uptake ($mmol/mmol\ glc$)]])</f>
        <v>0</v>
      </c>
      <c r="G2032">
        <f>_xlfn.RANK.AVG(Table1[[#This Row],[Flux in SC / glucose uptake ($mmol/mmol\ glc$)]],Table1[Flux in SC / glucose uptake ($mmol/mmol\ glc$)])</f>
        <v>1310.5</v>
      </c>
      <c r="H2032">
        <f>_xlfn.RANK.AVG(Table1[[#This Row],[Flux in RT / glucose uptake ($mmol/mmol\ glc$)]],Table1[Flux in RT / glucose uptake ($mmol/mmol\ glc$)])</f>
        <v>1290.5</v>
      </c>
      <c r="I2032" t="e">
        <f>LOG(Table1[[#This Row],[Flux in SC / glucose uptake ($mmol/mmol\ glc$)]])</f>
        <v>#NUM!</v>
      </c>
      <c r="J2032" t="e">
        <f>LOG(Table1[[#This Row],[Flux in RT / glucose uptake ($mmol/mmol\ glc$)]])</f>
        <v>#NUM!</v>
      </c>
    </row>
    <row r="2033" spans="1:10" x14ac:dyDescent="0.2">
      <c r="A2033" t="s">
        <v>2036</v>
      </c>
      <c r="B2033" t="s">
        <v>3120</v>
      </c>
      <c r="C2033">
        <v>4.2395240083936388E-3</v>
      </c>
      <c r="D2033">
        <v>1.9187997833945303E-2</v>
      </c>
      <c r="E2033">
        <f>ABS(Table1[[#This Row],[Flux in SC / glucose uptake ($mmol/mmol\ glc$)]]-Table1[[#This Row],[Flux in RT / glucose uptake ($mmol/mmol\ glc$)]])/SQRT(2)</f>
        <v>1.0570167210437194E-2</v>
      </c>
      <c r="F2033">
        <f>Table1[[#This Row],[distance from 45-degree line]]/MAX(Table1[[Flux in SC / glucose uptake ($mmol/mmol\ glc$)]:[Flux in RT / glucose uptake ($mmol/mmol\ glc$)]])</f>
        <v>5.6971995138478942E-4</v>
      </c>
      <c r="G2033">
        <f>_xlfn.RANK.AVG(Table1[[#This Row],[Flux in SC / glucose uptake ($mmol/mmol\ glc$)]],Table1[Flux in SC / glucose uptake ($mmol/mmol\ glc$)])</f>
        <v>133</v>
      </c>
      <c r="H2033">
        <f>_xlfn.RANK.AVG(Table1[[#This Row],[Flux in RT / glucose uptake ($mmol/mmol\ glc$)]],Table1[Flux in RT / glucose uptake ($mmol/mmol\ glc$)])</f>
        <v>153</v>
      </c>
      <c r="I2033">
        <f>LOG(Table1[[#This Row],[Flux in SC / glucose uptake ($mmol/mmol\ glc$)]])</f>
        <v>-2.3726829009856614</v>
      </c>
      <c r="J2033">
        <f>LOG(Table1[[#This Row],[Flux in RT / glucose uptake ($mmol/mmol\ glc$)]])</f>
        <v>-1.7169703392318678</v>
      </c>
    </row>
    <row r="2034" spans="1:10" x14ac:dyDescent="0.2">
      <c r="A2034" t="s">
        <v>2037</v>
      </c>
      <c r="B2034" t="s">
        <v>3141</v>
      </c>
      <c r="C2034">
        <v>0</v>
      </c>
      <c r="D2034">
        <v>0</v>
      </c>
      <c r="E2034">
        <f>ABS(Table1[[#This Row],[Flux in SC / glucose uptake ($mmol/mmol\ glc$)]]-Table1[[#This Row],[Flux in RT / glucose uptake ($mmol/mmol\ glc$)]])/SQRT(2)</f>
        <v>0</v>
      </c>
      <c r="F2034">
        <f>Table1[[#This Row],[distance from 45-degree line]]/MAX(Table1[[Flux in SC / glucose uptake ($mmol/mmol\ glc$)]:[Flux in RT / glucose uptake ($mmol/mmol\ glc$)]])</f>
        <v>0</v>
      </c>
      <c r="G2034">
        <f>_xlfn.RANK.AVG(Table1[[#This Row],[Flux in SC / glucose uptake ($mmol/mmol\ glc$)]],Table1[Flux in SC / glucose uptake ($mmol/mmol\ glc$)])</f>
        <v>1310.5</v>
      </c>
      <c r="H2034">
        <f>_xlfn.RANK.AVG(Table1[[#This Row],[Flux in RT / glucose uptake ($mmol/mmol\ glc$)]],Table1[Flux in RT / glucose uptake ($mmol/mmol\ glc$)])</f>
        <v>1290.5</v>
      </c>
      <c r="I2034" t="e">
        <f>LOG(Table1[[#This Row],[Flux in SC / glucose uptake ($mmol/mmol\ glc$)]])</f>
        <v>#NUM!</v>
      </c>
      <c r="J2034" t="e">
        <f>LOG(Table1[[#This Row],[Flux in RT / glucose uptake ($mmol/mmol\ glc$)]])</f>
        <v>#NUM!</v>
      </c>
    </row>
    <row r="2035" spans="1:10" x14ac:dyDescent="0.2">
      <c r="A2035" t="s">
        <v>2038</v>
      </c>
      <c r="B2035" t="s">
        <v>3141</v>
      </c>
      <c r="C2035">
        <v>0</v>
      </c>
      <c r="D2035">
        <v>0</v>
      </c>
      <c r="E2035">
        <f>ABS(Table1[[#This Row],[Flux in SC / glucose uptake ($mmol/mmol\ glc$)]]-Table1[[#This Row],[Flux in RT / glucose uptake ($mmol/mmol\ glc$)]])/SQRT(2)</f>
        <v>0</v>
      </c>
      <c r="F2035">
        <f>Table1[[#This Row],[distance from 45-degree line]]/MAX(Table1[[Flux in SC / glucose uptake ($mmol/mmol\ glc$)]:[Flux in RT / glucose uptake ($mmol/mmol\ glc$)]])</f>
        <v>0</v>
      </c>
      <c r="G2035">
        <f>_xlfn.RANK.AVG(Table1[[#This Row],[Flux in SC / glucose uptake ($mmol/mmol\ glc$)]],Table1[Flux in SC / glucose uptake ($mmol/mmol\ glc$)])</f>
        <v>1310.5</v>
      </c>
      <c r="H2035">
        <f>_xlfn.RANK.AVG(Table1[[#This Row],[Flux in RT / glucose uptake ($mmol/mmol\ glc$)]],Table1[Flux in RT / glucose uptake ($mmol/mmol\ glc$)])</f>
        <v>1290.5</v>
      </c>
      <c r="I2035" t="e">
        <f>LOG(Table1[[#This Row],[Flux in SC / glucose uptake ($mmol/mmol\ glc$)]])</f>
        <v>#NUM!</v>
      </c>
      <c r="J2035" t="e">
        <f>LOG(Table1[[#This Row],[Flux in RT / glucose uptake ($mmol/mmol\ glc$)]])</f>
        <v>#NUM!</v>
      </c>
    </row>
    <row r="2036" spans="1:10" x14ac:dyDescent="0.2">
      <c r="A2036" t="s">
        <v>2039</v>
      </c>
      <c r="B2036" t="s">
        <v>3141</v>
      </c>
      <c r="C2036">
        <v>0</v>
      </c>
      <c r="D2036">
        <v>0</v>
      </c>
      <c r="E2036">
        <f>ABS(Table1[[#This Row],[Flux in SC / glucose uptake ($mmol/mmol\ glc$)]]-Table1[[#This Row],[Flux in RT / glucose uptake ($mmol/mmol\ glc$)]])/SQRT(2)</f>
        <v>0</v>
      </c>
      <c r="F2036">
        <f>Table1[[#This Row],[distance from 45-degree line]]/MAX(Table1[[Flux in SC / glucose uptake ($mmol/mmol\ glc$)]:[Flux in RT / glucose uptake ($mmol/mmol\ glc$)]])</f>
        <v>0</v>
      </c>
      <c r="G2036">
        <f>_xlfn.RANK.AVG(Table1[[#This Row],[Flux in SC / glucose uptake ($mmol/mmol\ glc$)]],Table1[Flux in SC / glucose uptake ($mmol/mmol\ glc$)])</f>
        <v>1310.5</v>
      </c>
      <c r="H2036">
        <f>_xlfn.RANK.AVG(Table1[[#This Row],[Flux in RT / glucose uptake ($mmol/mmol\ glc$)]],Table1[Flux in RT / glucose uptake ($mmol/mmol\ glc$)])</f>
        <v>1290.5</v>
      </c>
      <c r="I2036" t="e">
        <f>LOG(Table1[[#This Row],[Flux in SC / glucose uptake ($mmol/mmol\ glc$)]])</f>
        <v>#NUM!</v>
      </c>
      <c r="J2036" t="e">
        <f>LOG(Table1[[#This Row],[Flux in RT / glucose uptake ($mmol/mmol\ glc$)]])</f>
        <v>#NUM!</v>
      </c>
    </row>
    <row r="2037" spans="1:10" x14ac:dyDescent="0.2">
      <c r="A2037" t="s">
        <v>2040</v>
      </c>
      <c r="B2037" t="s">
        <v>3131</v>
      </c>
      <c r="C2037">
        <v>6.4032053564496969E-2</v>
      </c>
      <c r="D2037">
        <v>0.55950547336825407</v>
      </c>
      <c r="E2037">
        <f>ABS(Table1[[#This Row],[Flux in SC / glucose uptake ($mmol/mmol\ glc$)]]-Table1[[#This Row],[Flux in RT / glucose uptake ($mmol/mmol\ glc$)]])/SQRT(2)</f>
        <v>0.35035261504092563</v>
      </c>
      <c r="F2037">
        <f>Table1[[#This Row],[distance from 45-degree line]]/MAX(Table1[[Flux in SC / glucose uptake ($mmol/mmol\ glc$)]:[Flux in RT / glucose uptake ($mmol/mmol\ glc$)]])</f>
        <v>1.8883606175270164E-2</v>
      </c>
      <c r="G2037">
        <f>_xlfn.RANK.AVG(Table1[[#This Row],[Flux in SC / glucose uptake ($mmol/mmol\ glc$)]],Table1[Flux in SC / glucose uptake ($mmol/mmol\ glc$)])</f>
        <v>45</v>
      </c>
      <c r="H2037">
        <f>_xlfn.RANK.AVG(Table1[[#This Row],[Flux in RT / glucose uptake ($mmol/mmol\ glc$)]],Table1[Flux in RT / glucose uptake ($mmol/mmol\ glc$)])</f>
        <v>36</v>
      </c>
      <c r="I2037">
        <f>LOG(Table1[[#This Row],[Flux in SC / glucose uptake ($mmol/mmol\ glc$)]])</f>
        <v>-1.1936025697449737</v>
      </c>
      <c r="J2037">
        <f>LOG(Table1[[#This Row],[Flux in RT / glucose uptake ($mmol/mmol\ glc$)]])</f>
        <v>-0.25219566062445448</v>
      </c>
    </row>
    <row r="2038" spans="1:10" x14ac:dyDescent="0.2">
      <c r="A2038" t="s">
        <v>2041</v>
      </c>
      <c r="B2038" t="s">
        <v>3131</v>
      </c>
      <c r="C2038">
        <v>6.4032053564496969E-2</v>
      </c>
      <c r="D2038">
        <v>0.55950547336825407</v>
      </c>
      <c r="E2038">
        <f>ABS(Table1[[#This Row],[Flux in SC / glucose uptake ($mmol/mmol\ glc$)]]-Table1[[#This Row],[Flux in RT / glucose uptake ($mmol/mmol\ glc$)]])/SQRT(2)</f>
        <v>0.35035261504092563</v>
      </c>
      <c r="F2038">
        <f>Table1[[#This Row],[distance from 45-degree line]]/MAX(Table1[[Flux in SC / glucose uptake ($mmol/mmol\ glc$)]:[Flux in RT / glucose uptake ($mmol/mmol\ glc$)]])</f>
        <v>1.8883606175270164E-2</v>
      </c>
      <c r="G2038">
        <f>_xlfn.RANK.AVG(Table1[[#This Row],[Flux in SC / glucose uptake ($mmol/mmol\ glc$)]],Table1[Flux in SC / glucose uptake ($mmol/mmol\ glc$)])</f>
        <v>45</v>
      </c>
      <c r="H2038">
        <f>_xlfn.RANK.AVG(Table1[[#This Row],[Flux in RT / glucose uptake ($mmol/mmol\ glc$)]],Table1[Flux in RT / glucose uptake ($mmol/mmol\ glc$)])</f>
        <v>36</v>
      </c>
      <c r="I2038">
        <f>LOG(Table1[[#This Row],[Flux in SC / glucose uptake ($mmol/mmol\ glc$)]])</f>
        <v>-1.1936025697449737</v>
      </c>
      <c r="J2038">
        <f>LOG(Table1[[#This Row],[Flux in RT / glucose uptake ($mmol/mmol\ glc$)]])</f>
        <v>-0.25219566062445448</v>
      </c>
    </row>
    <row r="2039" spans="1:10" x14ac:dyDescent="0.2">
      <c r="A2039" t="s">
        <v>2042</v>
      </c>
      <c r="B2039" t="s">
        <v>3205</v>
      </c>
      <c r="C2039">
        <v>0</v>
      </c>
      <c r="D2039">
        <v>0</v>
      </c>
      <c r="E2039">
        <f>ABS(Table1[[#This Row],[Flux in SC / glucose uptake ($mmol/mmol\ glc$)]]-Table1[[#This Row],[Flux in RT / glucose uptake ($mmol/mmol\ glc$)]])/SQRT(2)</f>
        <v>0</v>
      </c>
      <c r="F2039">
        <f>Table1[[#This Row],[distance from 45-degree line]]/MAX(Table1[[Flux in SC / glucose uptake ($mmol/mmol\ glc$)]:[Flux in RT / glucose uptake ($mmol/mmol\ glc$)]])</f>
        <v>0</v>
      </c>
      <c r="G2039">
        <f>_xlfn.RANK.AVG(Table1[[#This Row],[Flux in SC / glucose uptake ($mmol/mmol\ glc$)]],Table1[Flux in SC / glucose uptake ($mmol/mmol\ glc$)])</f>
        <v>1310.5</v>
      </c>
      <c r="H2039">
        <f>_xlfn.RANK.AVG(Table1[[#This Row],[Flux in RT / glucose uptake ($mmol/mmol\ glc$)]],Table1[Flux in RT / glucose uptake ($mmol/mmol\ glc$)])</f>
        <v>1290.5</v>
      </c>
      <c r="I2039" t="e">
        <f>LOG(Table1[[#This Row],[Flux in SC / glucose uptake ($mmol/mmol\ glc$)]])</f>
        <v>#NUM!</v>
      </c>
      <c r="J2039" t="e">
        <f>LOG(Table1[[#This Row],[Flux in RT / glucose uptake ($mmol/mmol\ glc$)]])</f>
        <v>#NUM!</v>
      </c>
    </row>
    <row r="2040" spans="1:10" x14ac:dyDescent="0.2">
      <c r="A2040" t="s">
        <v>2043</v>
      </c>
      <c r="B2040" t="s">
        <v>3121</v>
      </c>
      <c r="C2040">
        <v>0</v>
      </c>
      <c r="D2040">
        <v>0</v>
      </c>
      <c r="E2040">
        <f>ABS(Table1[[#This Row],[Flux in SC / glucose uptake ($mmol/mmol\ glc$)]]-Table1[[#This Row],[Flux in RT / glucose uptake ($mmol/mmol\ glc$)]])/SQRT(2)</f>
        <v>0</v>
      </c>
      <c r="F2040">
        <f>Table1[[#This Row],[distance from 45-degree line]]/MAX(Table1[[Flux in SC / glucose uptake ($mmol/mmol\ glc$)]:[Flux in RT / glucose uptake ($mmol/mmol\ glc$)]])</f>
        <v>0</v>
      </c>
      <c r="G2040">
        <f>_xlfn.RANK.AVG(Table1[[#This Row],[Flux in SC / glucose uptake ($mmol/mmol\ glc$)]],Table1[Flux in SC / glucose uptake ($mmol/mmol\ glc$)])</f>
        <v>1310.5</v>
      </c>
      <c r="H2040">
        <f>_xlfn.RANK.AVG(Table1[[#This Row],[Flux in RT / glucose uptake ($mmol/mmol\ glc$)]],Table1[Flux in RT / glucose uptake ($mmol/mmol\ glc$)])</f>
        <v>1290.5</v>
      </c>
      <c r="I2040" t="e">
        <f>LOG(Table1[[#This Row],[Flux in SC / glucose uptake ($mmol/mmol\ glc$)]])</f>
        <v>#NUM!</v>
      </c>
      <c r="J2040" t="e">
        <f>LOG(Table1[[#This Row],[Flux in RT / glucose uptake ($mmol/mmol\ glc$)]])</f>
        <v>#NUM!</v>
      </c>
    </row>
    <row r="2041" spans="1:10" x14ac:dyDescent="0.2">
      <c r="A2041" t="s">
        <v>2044</v>
      </c>
      <c r="B2041" t="s">
        <v>3117</v>
      </c>
      <c r="C2041">
        <v>0</v>
      </c>
      <c r="D2041">
        <v>0</v>
      </c>
      <c r="E2041">
        <f>ABS(Table1[[#This Row],[Flux in SC / glucose uptake ($mmol/mmol\ glc$)]]-Table1[[#This Row],[Flux in RT / glucose uptake ($mmol/mmol\ glc$)]])/SQRT(2)</f>
        <v>0</v>
      </c>
      <c r="F2041">
        <f>Table1[[#This Row],[distance from 45-degree line]]/MAX(Table1[[Flux in SC / glucose uptake ($mmol/mmol\ glc$)]:[Flux in RT / glucose uptake ($mmol/mmol\ glc$)]])</f>
        <v>0</v>
      </c>
      <c r="G2041">
        <f>_xlfn.RANK.AVG(Table1[[#This Row],[Flux in SC / glucose uptake ($mmol/mmol\ glc$)]],Table1[Flux in SC / glucose uptake ($mmol/mmol\ glc$)])</f>
        <v>1310.5</v>
      </c>
      <c r="H2041">
        <f>_xlfn.RANK.AVG(Table1[[#This Row],[Flux in RT / glucose uptake ($mmol/mmol\ glc$)]],Table1[Flux in RT / glucose uptake ($mmol/mmol\ glc$)])</f>
        <v>1290.5</v>
      </c>
      <c r="I2041" t="e">
        <f>LOG(Table1[[#This Row],[Flux in SC / glucose uptake ($mmol/mmol\ glc$)]])</f>
        <v>#NUM!</v>
      </c>
      <c r="J2041" t="e">
        <f>LOG(Table1[[#This Row],[Flux in RT / glucose uptake ($mmol/mmol\ glc$)]])</f>
        <v>#NUM!</v>
      </c>
    </row>
    <row r="2042" spans="1:10" x14ac:dyDescent="0.2">
      <c r="A2042" t="s">
        <v>2045</v>
      </c>
      <c r="B2042" t="s">
        <v>3114</v>
      </c>
      <c r="C2042">
        <v>0</v>
      </c>
      <c r="D2042">
        <v>0</v>
      </c>
      <c r="E2042">
        <f>ABS(Table1[[#This Row],[Flux in SC / glucose uptake ($mmol/mmol\ glc$)]]-Table1[[#This Row],[Flux in RT / glucose uptake ($mmol/mmol\ glc$)]])/SQRT(2)</f>
        <v>0</v>
      </c>
      <c r="F2042">
        <f>Table1[[#This Row],[distance from 45-degree line]]/MAX(Table1[[Flux in SC / glucose uptake ($mmol/mmol\ glc$)]:[Flux in RT / glucose uptake ($mmol/mmol\ glc$)]])</f>
        <v>0</v>
      </c>
      <c r="G2042">
        <f>_xlfn.RANK.AVG(Table1[[#This Row],[Flux in SC / glucose uptake ($mmol/mmol\ glc$)]],Table1[Flux in SC / glucose uptake ($mmol/mmol\ glc$)])</f>
        <v>1310.5</v>
      </c>
      <c r="H2042">
        <f>_xlfn.RANK.AVG(Table1[[#This Row],[Flux in RT / glucose uptake ($mmol/mmol\ glc$)]],Table1[Flux in RT / glucose uptake ($mmol/mmol\ glc$)])</f>
        <v>1290.5</v>
      </c>
      <c r="I2042" t="e">
        <f>LOG(Table1[[#This Row],[Flux in SC / glucose uptake ($mmol/mmol\ glc$)]])</f>
        <v>#NUM!</v>
      </c>
      <c r="J2042" t="e">
        <f>LOG(Table1[[#This Row],[Flux in RT / glucose uptake ($mmol/mmol\ glc$)]])</f>
        <v>#NUM!</v>
      </c>
    </row>
    <row r="2043" spans="1:10" x14ac:dyDescent="0.2">
      <c r="A2043" t="s">
        <v>2046</v>
      </c>
      <c r="B2043" t="s">
        <v>3114</v>
      </c>
      <c r="C2043">
        <v>0</v>
      </c>
      <c r="D2043">
        <v>0</v>
      </c>
      <c r="E2043">
        <f>ABS(Table1[[#This Row],[Flux in SC / glucose uptake ($mmol/mmol\ glc$)]]-Table1[[#This Row],[Flux in RT / glucose uptake ($mmol/mmol\ glc$)]])/SQRT(2)</f>
        <v>0</v>
      </c>
      <c r="F2043">
        <f>Table1[[#This Row],[distance from 45-degree line]]/MAX(Table1[[Flux in SC / glucose uptake ($mmol/mmol\ glc$)]:[Flux in RT / glucose uptake ($mmol/mmol\ glc$)]])</f>
        <v>0</v>
      </c>
      <c r="G2043">
        <f>_xlfn.RANK.AVG(Table1[[#This Row],[Flux in SC / glucose uptake ($mmol/mmol\ glc$)]],Table1[Flux in SC / glucose uptake ($mmol/mmol\ glc$)])</f>
        <v>1310.5</v>
      </c>
      <c r="H2043">
        <f>_xlfn.RANK.AVG(Table1[[#This Row],[Flux in RT / glucose uptake ($mmol/mmol\ glc$)]],Table1[Flux in RT / glucose uptake ($mmol/mmol\ glc$)])</f>
        <v>1290.5</v>
      </c>
      <c r="I2043" t="e">
        <f>LOG(Table1[[#This Row],[Flux in SC / glucose uptake ($mmol/mmol\ glc$)]])</f>
        <v>#NUM!</v>
      </c>
      <c r="J2043" t="e">
        <f>LOG(Table1[[#This Row],[Flux in RT / glucose uptake ($mmol/mmol\ glc$)]])</f>
        <v>#NUM!</v>
      </c>
    </row>
    <row r="2044" spans="1:10" x14ac:dyDescent="0.2">
      <c r="A2044" t="s">
        <v>2047</v>
      </c>
      <c r="B2044" t="s">
        <v>3114</v>
      </c>
      <c r="C2044">
        <v>0</v>
      </c>
      <c r="D2044">
        <v>0</v>
      </c>
      <c r="E2044">
        <f>ABS(Table1[[#This Row],[Flux in SC / glucose uptake ($mmol/mmol\ glc$)]]-Table1[[#This Row],[Flux in RT / glucose uptake ($mmol/mmol\ glc$)]])/SQRT(2)</f>
        <v>0</v>
      </c>
      <c r="F2044">
        <f>Table1[[#This Row],[distance from 45-degree line]]/MAX(Table1[[Flux in SC / glucose uptake ($mmol/mmol\ glc$)]:[Flux in RT / glucose uptake ($mmol/mmol\ glc$)]])</f>
        <v>0</v>
      </c>
      <c r="G2044">
        <f>_xlfn.RANK.AVG(Table1[[#This Row],[Flux in SC / glucose uptake ($mmol/mmol\ glc$)]],Table1[Flux in SC / glucose uptake ($mmol/mmol\ glc$)])</f>
        <v>1310.5</v>
      </c>
      <c r="H2044">
        <f>_xlfn.RANK.AVG(Table1[[#This Row],[Flux in RT / glucose uptake ($mmol/mmol\ glc$)]],Table1[Flux in RT / glucose uptake ($mmol/mmol\ glc$)])</f>
        <v>1290.5</v>
      </c>
      <c r="I2044" t="e">
        <f>LOG(Table1[[#This Row],[Flux in SC / glucose uptake ($mmol/mmol\ glc$)]])</f>
        <v>#NUM!</v>
      </c>
      <c r="J2044" t="e">
        <f>LOG(Table1[[#This Row],[Flux in RT / glucose uptake ($mmol/mmol\ glc$)]])</f>
        <v>#NUM!</v>
      </c>
    </row>
    <row r="2045" spans="1:10" x14ac:dyDescent="0.2">
      <c r="A2045" t="s">
        <v>2048</v>
      </c>
      <c r="B2045" t="s">
        <v>3114</v>
      </c>
      <c r="C2045">
        <v>0</v>
      </c>
      <c r="D2045">
        <v>0</v>
      </c>
      <c r="E2045">
        <f>ABS(Table1[[#This Row],[Flux in SC / glucose uptake ($mmol/mmol\ glc$)]]-Table1[[#This Row],[Flux in RT / glucose uptake ($mmol/mmol\ glc$)]])/SQRT(2)</f>
        <v>0</v>
      </c>
      <c r="F2045">
        <f>Table1[[#This Row],[distance from 45-degree line]]/MAX(Table1[[Flux in SC / glucose uptake ($mmol/mmol\ glc$)]:[Flux in RT / glucose uptake ($mmol/mmol\ glc$)]])</f>
        <v>0</v>
      </c>
      <c r="G2045">
        <f>_xlfn.RANK.AVG(Table1[[#This Row],[Flux in SC / glucose uptake ($mmol/mmol\ glc$)]],Table1[Flux in SC / glucose uptake ($mmol/mmol\ glc$)])</f>
        <v>1310.5</v>
      </c>
      <c r="H2045">
        <f>_xlfn.RANK.AVG(Table1[[#This Row],[Flux in RT / glucose uptake ($mmol/mmol\ glc$)]],Table1[Flux in RT / glucose uptake ($mmol/mmol\ glc$)])</f>
        <v>1290.5</v>
      </c>
      <c r="I2045" t="e">
        <f>LOG(Table1[[#This Row],[Flux in SC / glucose uptake ($mmol/mmol\ glc$)]])</f>
        <v>#NUM!</v>
      </c>
      <c r="J2045" t="e">
        <f>LOG(Table1[[#This Row],[Flux in RT / glucose uptake ($mmol/mmol\ glc$)]])</f>
        <v>#NUM!</v>
      </c>
    </row>
    <row r="2046" spans="1:10" x14ac:dyDescent="0.2">
      <c r="A2046" t="s">
        <v>2049</v>
      </c>
      <c r="B2046" t="s">
        <v>3114</v>
      </c>
      <c r="C2046">
        <v>0</v>
      </c>
      <c r="D2046">
        <v>0</v>
      </c>
      <c r="E2046">
        <f>ABS(Table1[[#This Row],[Flux in SC / glucose uptake ($mmol/mmol\ glc$)]]-Table1[[#This Row],[Flux in RT / glucose uptake ($mmol/mmol\ glc$)]])/SQRT(2)</f>
        <v>0</v>
      </c>
      <c r="F2046">
        <f>Table1[[#This Row],[distance from 45-degree line]]/MAX(Table1[[Flux in SC / glucose uptake ($mmol/mmol\ glc$)]:[Flux in RT / glucose uptake ($mmol/mmol\ glc$)]])</f>
        <v>0</v>
      </c>
      <c r="G2046">
        <f>_xlfn.RANK.AVG(Table1[[#This Row],[Flux in SC / glucose uptake ($mmol/mmol\ glc$)]],Table1[Flux in SC / glucose uptake ($mmol/mmol\ glc$)])</f>
        <v>1310.5</v>
      </c>
      <c r="H2046">
        <f>_xlfn.RANK.AVG(Table1[[#This Row],[Flux in RT / glucose uptake ($mmol/mmol\ glc$)]],Table1[Flux in RT / glucose uptake ($mmol/mmol\ glc$)])</f>
        <v>1290.5</v>
      </c>
      <c r="I2046" t="e">
        <f>LOG(Table1[[#This Row],[Flux in SC / glucose uptake ($mmol/mmol\ glc$)]])</f>
        <v>#NUM!</v>
      </c>
      <c r="J2046" t="e">
        <f>LOG(Table1[[#This Row],[Flux in RT / glucose uptake ($mmol/mmol\ glc$)]])</f>
        <v>#NUM!</v>
      </c>
    </row>
    <row r="2047" spans="1:10" x14ac:dyDescent="0.2">
      <c r="A2047" t="s">
        <v>2050</v>
      </c>
      <c r="B2047" t="s">
        <v>3114</v>
      </c>
      <c r="C2047">
        <v>0</v>
      </c>
      <c r="D2047">
        <v>0</v>
      </c>
      <c r="E2047">
        <f>ABS(Table1[[#This Row],[Flux in SC / glucose uptake ($mmol/mmol\ glc$)]]-Table1[[#This Row],[Flux in RT / glucose uptake ($mmol/mmol\ glc$)]])/SQRT(2)</f>
        <v>0</v>
      </c>
      <c r="F2047">
        <f>Table1[[#This Row],[distance from 45-degree line]]/MAX(Table1[[Flux in SC / glucose uptake ($mmol/mmol\ glc$)]:[Flux in RT / glucose uptake ($mmol/mmol\ glc$)]])</f>
        <v>0</v>
      </c>
      <c r="G2047">
        <f>_xlfn.RANK.AVG(Table1[[#This Row],[Flux in SC / glucose uptake ($mmol/mmol\ glc$)]],Table1[Flux in SC / glucose uptake ($mmol/mmol\ glc$)])</f>
        <v>1310.5</v>
      </c>
      <c r="H2047">
        <f>_xlfn.RANK.AVG(Table1[[#This Row],[Flux in RT / glucose uptake ($mmol/mmol\ glc$)]],Table1[Flux in RT / glucose uptake ($mmol/mmol\ glc$)])</f>
        <v>1290.5</v>
      </c>
      <c r="I2047" t="e">
        <f>LOG(Table1[[#This Row],[Flux in SC / glucose uptake ($mmol/mmol\ glc$)]])</f>
        <v>#NUM!</v>
      </c>
      <c r="J2047" t="e">
        <f>LOG(Table1[[#This Row],[Flux in RT / glucose uptake ($mmol/mmol\ glc$)]])</f>
        <v>#NUM!</v>
      </c>
    </row>
    <row r="2048" spans="1:10" x14ac:dyDescent="0.2">
      <c r="A2048" t="s">
        <v>2051</v>
      </c>
      <c r="B2048" t="s">
        <v>3180</v>
      </c>
      <c r="C2048">
        <v>0</v>
      </c>
      <c r="D2048">
        <v>0</v>
      </c>
      <c r="E2048">
        <f>ABS(Table1[[#This Row],[Flux in SC / glucose uptake ($mmol/mmol\ glc$)]]-Table1[[#This Row],[Flux in RT / glucose uptake ($mmol/mmol\ glc$)]])/SQRT(2)</f>
        <v>0</v>
      </c>
      <c r="F2048">
        <f>Table1[[#This Row],[distance from 45-degree line]]/MAX(Table1[[Flux in SC / glucose uptake ($mmol/mmol\ glc$)]:[Flux in RT / glucose uptake ($mmol/mmol\ glc$)]])</f>
        <v>0</v>
      </c>
      <c r="G2048">
        <f>_xlfn.RANK.AVG(Table1[[#This Row],[Flux in SC / glucose uptake ($mmol/mmol\ glc$)]],Table1[Flux in SC / glucose uptake ($mmol/mmol\ glc$)])</f>
        <v>1310.5</v>
      </c>
      <c r="H2048">
        <f>_xlfn.RANK.AVG(Table1[[#This Row],[Flux in RT / glucose uptake ($mmol/mmol\ glc$)]],Table1[Flux in RT / glucose uptake ($mmol/mmol\ glc$)])</f>
        <v>1290.5</v>
      </c>
      <c r="I2048" t="e">
        <f>LOG(Table1[[#This Row],[Flux in SC / glucose uptake ($mmol/mmol\ glc$)]])</f>
        <v>#NUM!</v>
      </c>
      <c r="J2048" t="e">
        <f>LOG(Table1[[#This Row],[Flux in RT / glucose uptake ($mmol/mmol\ glc$)]])</f>
        <v>#NUM!</v>
      </c>
    </row>
    <row r="2049" spans="1:10" x14ac:dyDescent="0.2">
      <c r="A2049" t="s">
        <v>2052</v>
      </c>
      <c r="B2049" t="s">
        <v>3134</v>
      </c>
      <c r="C2049">
        <v>0</v>
      </c>
      <c r="D2049">
        <v>0</v>
      </c>
      <c r="E2049">
        <f>ABS(Table1[[#This Row],[Flux in SC / glucose uptake ($mmol/mmol\ glc$)]]-Table1[[#This Row],[Flux in RT / glucose uptake ($mmol/mmol\ glc$)]])/SQRT(2)</f>
        <v>0</v>
      </c>
      <c r="F2049">
        <f>Table1[[#This Row],[distance from 45-degree line]]/MAX(Table1[[Flux in SC / glucose uptake ($mmol/mmol\ glc$)]:[Flux in RT / glucose uptake ($mmol/mmol\ glc$)]])</f>
        <v>0</v>
      </c>
      <c r="G2049">
        <f>_xlfn.RANK.AVG(Table1[[#This Row],[Flux in SC / glucose uptake ($mmol/mmol\ glc$)]],Table1[Flux in SC / glucose uptake ($mmol/mmol\ glc$)])</f>
        <v>1310.5</v>
      </c>
      <c r="H2049">
        <f>_xlfn.RANK.AVG(Table1[[#This Row],[Flux in RT / glucose uptake ($mmol/mmol\ glc$)]],Table1[Flux in RT / glucose uptake ($mmol/mmol\ glc$)])</f>
        <v>1290.5</v>
      </c>
      <c r="I2049" t="e">
        <f>LOG(Table1[[#This Row],[Flux in SC / glucose uptake ($mmol/mmol\ glc$)]])</f>
        <v>#NUM!</v>
      </c>
      <c r="J2049" t="e">
        <f>LOG(Table1[[#This Row],[Flux in RT / glucose uptake ($mmol/mmol\ glc$)]])</f>
        <v>#NUM!</v>
      </c>
    </row>
    <row r="2050" spans="1:10" x14ac:dyDescent="0.2">
      <c r="A2050" t="s">
        <v>2053</v>
      </c>
      <c r="B2050" t="s">
        <v>3114</v>
      </c>
      <c r="C2050">
        <v>0</v>
      </c>
      <c r="D2050">
        <v>0</v>
      </c>
      <c r="E2050">
        <f>ABS(Table1[[#This Row],[Flux in SC / glucose uptake ($mmol/mmol\ glc$)]]-Table1[[#This Row],[Flux in RT / glucose uptake ($mmol/mmol\ glc$)]])/SQRT(2)</f>
        <v>0</v>
      </c>
      <c r="F2050">
        <f>Table1[[#This Row],[distance from 45-degree line]]/MAX(Table1[[Flux in SC / glucose uptake ($mmol/mmol\ glc$)]:[Flux in RT / glucose uptake ($mmol/mmol\ glc$)]])</f>
        <v>0</v>
      </c>
      <c r="G2050">
        <f>_xlfn.RANK.AVG(Table1[[#This Row],[Flux in SC / glucose uptake ($mmol/mmol\ glc$)]],Table1[Flux in SC / glucose uptake ($mmol/mmol\ glc$)])</f>
        <v>1310.5</v>
      </c>
      <c r="H2050">
        <f>_xlfn.RANK.AVG(Table1[[#This Row],[Flux in RT / glucose uptake ($mmol/mmol\ glc$)]],Table1[Flux in RT / glucose uptake ($mmol/mmol\ glc$)])</f>
        <v>1290.5</v>
      </c>
      <c r="I2050" t="e">
        <f>LOG(Table1[[#This Row],[Flux in SC / glucose uptake ($mmol/mmol\ glc$)]])</f>
        <v>#NUM!</v>
      </c>
      <c r="J2050" t="e">
        <f>LOG(Table1[[#This Row],[Flux in RT / glucose uptake ($mmol/mmol\ glc$)]])</f>
        <v>#NUM!</v>
      </c>
    </row>
    <row r="2051" spans="1:10" x14ac:dyDescent="0.2">
      <c r="A2051" t="s">
        <v>2054</v>
      </c>
      <c r="B2051" t="s">
        <v>3114</v>
      </c>
      <c r="C2051">
        <v>0</v>
      </c>
      <c r="D2051">
        <v>0</v>
      </c>
      <c r="E2051">
        <f>ABS(Table1[[#This Row],[Flux in SC / glucose uptake ($mmol/mmol\ glc$)]]-Table1[[#This Row],[Flux in RT / glucose uptake ($mmol/mmol\ glc$)]])/SQRT(2)</f>
        <v>0</v>
      </c>
      <c r="F2051">
        <f>Table1[[#This Row],[distance from 45-degree line]]/MAX(Table1[[Flux in SC / glucose uptake ($mmol/mmol\ glc$)]:[Flux in RT / glucose uptake ($mmol/mmol\ glc$)]])</f>
        <v>0</v>
      </c>
      <c r="G2051">
        <f>_xlfn.RANK.AVG(Table1[[#This Row],[Flux in SC / glucose uptake ($mmol/mmol\ glc$)]],Table1[Flux in SC / glucose uptake ($mmol/mmol\ glc$)])</f>
        <v>1310.5</v>
      </c>
      <c r="H2051">
        <f>_xlfn.RANK.AVG(Table1[[#This Row],[Flux in RT / glucose uptake ($mmol/mmol\ glc$)]],Table1[Flux in RT / glucose uptake ($mmol/mmol\ glc$)])</f>
        <v>1290.5</v>
      </c>
      <c r="I2051" t="e">
        <f>LOG(Table1[[#This Row],[Flux in SC / glucose uptake ($mmol/mmol\ glc$)]])</f>
        <v>#NUM!</v>
      </c>
      <c r="J2051" t="e">
        <f>LOG(Table1[[#This Row],[Flux in RT / glucose uptake ($mmol/mmol\ glc$)]])</f>
        <v>#NUM!</v>
      </c>
    </row>
    <row r="2052" spans="1:10" x14ac:dyDescent="0.2">
      <c r="A2052" t="s">
        <v>2055</v>
      </c>
      <c r="B2052" t="s">
        <v>3150</v>
      </c>
      <c r="C2052">
        <v>0</v>
      </c>
      <c r="D2052">
        <v>0</v>
      </c>
      <c r="E2052">
        <f>ABS(Table1[[#This Row],[Flux in SC / glucose uptake ($mmol/mmol\ glc$)]]-Table1[[#This Row],[Flux in RT / glucose uptake ($mmol/mmol\ glc$)]])/SQRT(2)</f>
        <v>0</v>
      </c>
      <c r="F2052">
        <f>Table1[[#This Row],[distance from 45-degree line]]/MAX(Table1[[Flux in SC / glucose uptake ($mmol/mmol\ glc$)]:[Flux in RT / glucose uptake ($mmol/mmol\ glc$)]])</f>
        <v>0</v>
      </c>
      <c r="G2052">
        <f>_xlfn.RANK.AVG(Table1[[#This Row],[Flux in SC / glucose uptake ($mmol/mmol\ glc$)]],Table1[Flux in SC / glucose uptake ($mmol/mmol\ glc$)])</f>
        <v>1310.5</v>
      </c>
      <c r="H2052">
        <f>_xlfn.RANK.AVG(Table1[[#This Row],[Flux in RT / glucose uptake ($mmol/mmol\ glc$)]],Table1[Flux in RT / glucose uptake ($mmol/mmol\ glc$)])</f>
        <v>1290.5</v>
      </c>
      <c r="I2052" t="e">
        <f>LOG(Table1[[#This Row],[Flux in SC / glucose uptake ($mmol/mmol\ glc$)]])</f>
        <v>#NUM!</v>
      </c>
      <c r="J2052" t="e">
        <f>LOG(Table1[[#This Row],[Flux in RT / glucose uptake ($mmol/mmol\ glc$)]])</f>
        <v>#NUM!</v>
      </c>
    </row>
    <row r="2053" spans="1:10" x14ac:dyDescent="0.2">
      <c r="A2053" t="s">
        <v>2056</v>
      </c>
      <c r="B2053" t="s">
        <v>3150</v>
      </c>
      <c r="C2053">
        <v>0</v>
      </c>
      <c r="D2053">
        <v>0</v>
      </c>
      <c r="E2053">
        <f>ABS(Table1[[#This Row],[Flux in SC / glucose uptake ($mmol/mmol\ glc$)]]-Table1[[#This Row],[Flux in RT / glucose uptake ($mmol/mmol\ glc$)]])/SQRT(2)</f>
        <v>0</v>
      </c>
      <c r="F2053">
        <f>Table1[[#This Row],[distance from 45-degree line]]/MAX(Table1[[Flux in SC / glucose uptake ($mmol/mmol\ glc$)]:[Flux in RT / glucose uptake ($mmol/mmol\ glc$)]])</f>
        <v>0</v>
      </c>
      <c r="G2053">
        <f>_xlfn.RANK.AVG(Table1[[#This Row],[Flux in SC / glucose uptake ($mmol/mmol\ glc$)]],Table1[Flux in SC / glucose uptake ($mmol/mmol\ glc$)])</f>
        <v>1310.5</v>
      </c>
      <c r="H2053">
        <f>_xlfn.RANK.AVG(Table1[[#This Row],[Flux in RT / glucose uptake ($mmol/mmol\ glc$)]],Table1[Flux in RT / glucose uptake ($mmol/mmol\ glc$)])</f>
        <v>1290.5</v>
      </c>
      <c r="I2053" t="e">
        <f>LOG(Table1[[#This Row],[Flux in SC / glucose uptake ($mmol/mmol\ glc$)]])</f>
        <v>#NUM!</v>
      </c>
      <c r="J2053" t="e">
        <f>LOG(Table1[[#This Row],[Flux in RT / glucose uptake ($mmol/mmol\ glc$)]])</f>
        <v>#NUM!</v>
      </c>
    </row>
    <row r="2054" spans="1:10" x14ac:dyDescent="0.2">
      <c r="A2054" t="s">
        <v>2057</v>
      </c>
      <c r="B2054" t="s">
        <v>3150</v>
      </c>
      <c r="C2054">
        <v>0</v>
      </c>
      <c r="D2054">
        <v>0</v>
      </c>
      <c r="E2054">
        <f>ABS(Table1[[#This Row],[Flux in SC / glucose uptake ($mmol/mmol\ glc$)]]-Table1[[#This Row],[Flux in RT / glucose uptake ($mmol/mmol\ glc$)]])/SQRT(2)</f>
        <v>0</v>
      </c>
      <c r="F2054">
        <f>Table1[[#This Row],[distance from 45-degree line]]/MAX(Table1[[Flux in SC / glucose uptake ($mmol/mmol\ glc$)]:[Flux in RT / glucose uptake ($mmol/mmol\ glc$)]])</f>
        <v>0</v>
      </c>
      <c r="G2054">
        <f>_xlfn.RANK.AVG(Table1[[#This Row],[Flux in SC / glucose uptake ($mmol/mmol\ glc$)]],Table1[Flux in SC / glucose uptake ($mmol/mmol\ glc$)])</f>
        <v>1310.5</v>
      </c>
      <c r="H2054">
        <f>_xlfn.RANK.AVG(Table1[[#This Row],[Flux in RT / glucose uptake ($mmol/mmol\ glc$)]],Table1[Flux in RT / glucose uptake ($mmol/mmol\ glc$)])</f>
        <v>1290.5</v>
      </c>
      <c r="I2054" t="e">
        <f>LOG(Table1[[#This Row],[Flux in SC / glucose uptake ($mmol/mmol\ glc$)]])</f>
        <v>#NUM!</v>
      </c>
      <c r="J2054" t="e">
        <f>LOG(Table1[[#This Row],[Flux in RT / glucose uptake ($mmol/mmol\ glc$)]])</f>
        <v>#NUM!</v>
      </c>
    </row>
    <row r="2055" spans="1:10" x14ac:dyDescent="0.2">
      <c r="A2055" t="s">
        <v>2058</v>
      </c>
      <c r="B2055" t="s">
        <v>3196</v>
      </c>
      <c r="C2055">
        <v>0</v>
      </c>
      <c r="D2055">
        <v>0</v>
      </c>
      <c r="E2055">
        <f>ABS(Table1[[#This Row],[Flux in SC / glucose uptake ($mmol/mmol\ glc$)]]-Table1[[#This Row],[Flux in RT / glucose uptake ($mmol/mmol\ glc$)]])/SQRT(2)</f>
        <v>0</v>
      </c>
      <c r="F2055">
        <f>Table1[[#This Row],[distance from 45-degree line]]/MAX(Table1[[Flux in SC / glucose uptake ($mmol/mmol\ glc$)]:[Flux in RT / glucose uptake ($mmol/mmol\ glc$)]])</f>
        <v>0</v>
      </c>
      <c r="G2055">
        <f>_xlfn.RANK.AVG(Table1[[#This Row],[Flux in SC / glucose uptake ($mmol/mmol\ glc$)]],Table1[Flux in SC / glucose uptake ($mmol/mmol\ glc$)])</f>
        <v>1310.5</v>
      </c>
      <c r="H2055">
        <f>_xlfn.RANK.AVG(Table1[[#This Row],[Flux in RT / glucose uptake ($mmol/mmol\ glc$)]],Table1[Flux in RT / glucose uptake ($mmol/mmol\ glc$)])</f>
        <v>1290.5</v>
      </c>
      <c r="I2055" t="e">
        <f>LOG(Table1[[#This Row],[Flux in SC / glucose uptake ($mmol/mmol\ glc$)]])</f>
        <v>#NUM!</v>
      </c>
      <c r="J2055" t="e">
        <f>LOG(Table1[[#This Row],[Flux in RT / glucose uptake ($mmol/mmol\ glc$)]])</f>
        <v>#NUM!</v>
      </c>
    </row>
    <row r="2056" spans="1:10" x14ac:dyDescent="0.2">
      <c r="A2056" t="s">
        <v>2059</v>
      </c>
      <c r="B2056" t="s">
        <v>3196</v>
      </c>
      <c r="C2056">
        <v>0</v>
      </c>
      <c r="D2056">
        <v>0</v>
      </c>
      <c r="E2056">
        <f>ABS(Table1[[#This Row],[Flux in SC / glucose uptake ($mmol/mmol\ glc$)]]-Table1[[#This Row],[Flux in RT / glucose uptake ($mmol/mmol\ glc$)]])/SQRT(2)</f>
        <v>0</v>
      </c>
      <c r="F2056">
        <f>Table1[[#This Row],[distance from 45-degree line]]/MAX(Table1[[Flux in SC / glucose uptake ($mmol/mmol\ glc$)]:[Flux in RT / glucose uptake ($mmol/mmol\ glc$)]])</f>
        <v>0</v>
      </c>
      <c r="G2056">
        <f>_xlfn.RANK.AVG(Table1[[#This Row],[Flux in SC / glucose uptake ($mmol/mmol\ glc$)]],Table1[Flux in SC / glucose uptake ($mmol/mmol\ glc$)])</f>
        <v>1310.5</v>
      </c>
      <c r="H2056">
        <f>_xlfn.RANK.AVG(Table1[[#This Row],[Flux in RT / glucose uptake ($mmol/mmol\ glc$)]],Table1[Flux in RT / glucose uptake ($mmol/mmol\ glc$)])</f>
        <v>1290.5</v>
      </c>
      <c r="I2056" t="e">
        <f>LOG(Table1[[#This Row],[Flux in SC / glucose uptake ($mmol/mmol\ glc$)]])</f>
        <v>#NUM!</v>
      </c>
      <c r="J2056" t="e">
        <f>LOG(Table1[[#This Row],[Flux in RT / glucose uptake ($mmol/mmol\ glc$)]])</f>
        <v>#NUM!</v>
      </c>
    </row>
    <row r="2057" spans="1:10" x14ac:dyDescent="0.2">
      <c r="A2057" t="s">
        <v>2060</v>
      </c>
      <c r="B2057" t="s">
        <v>3196</v>
      </c>
      <c r="C2057">
        <v>0</v>
      </c>
      <c r="D2057">
        <v>0</v>
      </c>
      <c r="E2057">
        <f>ABS(Table1[[#This Row],[Flux in SC / glucose uptake ($mmol/mmol\ glc$)]]-Table1[[#This Row],[Flux in RT / glucose uptake ($mmol/mmol\ glc$)]])/SQRT(2)</f>
        <v>0</v>
      </c>
      <c r="F2057">
        <f>Table1[[#This Row],[distance from 45-degree line]]/MAX(Table1[[Flux in SC / glucose uptake ($mmol/mmol\ glc$)]:[Flux in RT / glucose uptake ($mmol/mmol\ glc$)]])</f>
        <v>0</v>
      </c>
      <c r="G2057">
        <f>_xlfn.RANK.AVG(Table1[[#This Row],[Flux in SC / glucose uptake ($mmol/mmol\ glc$)]],Table1[Flux in SC / glucose uptake ($mmol/mmol\ glc$)])</f>
        <v>1310.5</v>
      </c>
      <c r="H2057">
        <f>_xlfn.RANK.AVG(Table1[[#This Row],[Flux in RT / glucose uptake ($mmol/mmol\ glc$)]],Table1[Flux in RT / glucose uptake ($mmol/mmol\ glc$)])</f>
        <v>1290.5</v>
      </c>
      <c r="I2057" t="e">
        <f>LOG(Table1[[#This Row],[Flux in SC / glucose uptake ($mmol/mmol\ glc$)]])</f>
        <v>#NUM!</v>
      </c>
      <c r="J2057" t="e">
        <f>LOG(Table1[[#This Row],[Flux in RT / glucose uptake ($mmol/mmol\ glc$)]])</f>
        <v>#NUM!</v>
      </c>
    </row>
    <row r="2058" spans="1:10" x14ac:dyDescent="0.2">
      <c r="A2058" t="s">
        <v>2061</v>
      </c>
      <c r="B2058" t="s">
        <v>3114</v>
      </c>
      <c r="C2058">
        <v>0</v>
      </c>
      <c r="D2058">
        <v>0</v>
      </c>
      <c r="E2058">
        <f>ABS(Table1[[#This Row],[Flux in SC / glucose uptake ($mmol/mmol\ glc$)]]-Table1[[#This Row],[Flux in RT / glucose uptake ($mmol/mmol\ glc$)]])/SQRT(2)</f>
        <v>0</v>
      </c>
      <c r="F2058">
        <f>Table1[[#This Row],[distance from 45-degree line]]/MAX(Table1[[Flux in SC / glucose uptake ($mmol/mmol\ glc$)]:[Flux in RT / glucose uptake ($mmol/mmol\ glc$)]])</f>
        <v>0</v>
      </c>
      <c r="G2058">
        <f>_xlfn.RANK.AVG(Table1[[#This Row],[Flux in SC / glucose uptake ($mmol/mmol\ glc$)]],Table1[Flux in SC / glucose uptake ($mmol/mmol\ glc$)])</f>
        <v>1310.5</v>
      </c>
      <c r="H2058">
        <f>_xlfn.RANK.AVG(Table1[[#This Row],[Flux in RT / glucose uptake ($mmol/mmol\ glc$)]],Table1[Flux in RT / glucose uptake ($mmol/mmol\ glc$)])</f>
        <v>1290.5</v>
      </c>
      <c r="I2058" t="e">
        <f>LOG(Table1[[#This Row],[Flux in SC / glucose uptake ($mmol/mmol\ glc$)]])</f>
        <v>#NUM!</v>
      </c>
      <c r="J2058" t="e">
        <f>LOG(Table1[[#This Row],[Flux in RT / glucose uptake ($mmol/mmol\ glc$)]])</f>
        <v>#NUM!</v>
      </c>
    </row>
    <row r="2059" spans="1:10" x14ac:dyDescent="0.2">
      <c r="A2059" t="s">
        <v>2062</v>
      </c>
      <c r="B2059" t="s">
        <v>3196</v>
      </c>
      <c r="C2059">
        <v>0</v>
      </c>
      <c r="D2059">
        <v>0</v>
      </c>
      <c r="E2059">
        <f>ABS(Table1[[#This Row],[Flux in SC / glucose uptake ($mmol/mmol\ glc$)]]-Table1[[#This Row],[Flux in RT / glucose uptake ($mmol/mmol\ glc$)]])/SQRT(2)</f>
        <v>0</v>
      </c>
      <c r="F2059">
        <f>Table1[[#This Row],[distance from 45-degree line]]/MAX(Table1[[Flux in SC / glucose uptake ($mmol/mmol\ glc$)]:[Flux in RT / glucose uptake ($mmol/mmol\ glc$)]])</f>
        <v>0</v>
      </c>
      <c r="G2059">
        <f>_xlfn.RANK.AVG(Table1[[#This Row],[Flux in SC / glucose uptake ($mmol/mmol\ glc$)]],Table1[Flux in SC / glucose uptake ($mmol/mmol\ glc$)])</f>
        <v>1310.5</v>
      </c>
      <c r="H2059">
        <f>_xlfn.RANK.AVG(Table1[[#This Row],[Flux in RT / glucose uptake ($mmol/mmol\ glc$)]],Table1[Flux in RT / glucose uptake ($mmol/mmol\ glc$)])</f>
        <v>1290.5</v>
      </c>
      <c r="I2059" t="e">
        <f>LOG(Table1[[#This Row],[Flux in SC / glucose uptake ($mmol/mmol\ glc$)]])</f>
        <v>#NUM!</v>
      </c>
      <c r="J2059" t="e">
        <f>LOG(Table1[[#This Row],[Flux in RT / glucose uptake ($mmol/mmol\ glc$)]])</f>
        <v>#NUM!</v>
      </c>
    </row>
    <row r="2060" spans="1:10" x14ac:dyDescent="0.2">
      <c r="A2060" t="s">
        <v>2063</v>
      </c>
      <c r="B2060" t="s">
        <v>3196</v>
      </c>
      <c r="C2060">
        <v>0</v>
      </c>
      <c r="D2060">
        <v>0</v>
      </c>
      <c r="E2060">
        <f>ABS(Table1[[#This Row],[Flux in SC / glucose uptake ($mmol/mmol\ glc$)]]-Table1[[#This Row],[Flux in RT / glucose uptake ($mmol/mmol\ glc$)]])/SQRT(2)</f>
        <v>0</v>
      </c>
      <c r="F2060">
        <f>Table1[[#This Row],[distance from 45-degree line]]/MAX(Table1[[Flux in SC / glucose uptake ($mmol/mmol\ glc$)]:[Flux in RT / glucose uptake ($mmol/mmol\ glc$)]])</f>
        <v>0</v>
      </c>
      <c r="G2060">
        <f>_xlfn.RANK.AVG(Table1[[#This Row],[Flux in SC / glucose uptake ($mmol/mmol\ glc$)]],Table1[Flux in SC / glucose uptake ($mmol/mmol\ glc$)])</f>
        <v>1310.5</v>
      </c>
      <c r="H2060">
        <f>_xlfn.RANK.AVG(Table1[[#This Row],[Flux in RT / glucose uptake ($mmol/mmol\ glc$)]],Table1[Flux in RT / glucose uptake ($mmol/mmol\ glc$)])</f>
        <v>1290.5</v>
      </c>
      <c r="I2060" t="e">
        <f>LOG(Table1[[#This Row],[Flux in SC / glucose uptake ($mmol/mmol\ glc$)]])</f>
        <v>#NUM!</v>
      </c>
      <c r="J2060" t="e">
        <f>LOG(Table1[[#This Row],[Flux in RT / glucose uptake ($mmol/mmol\ glc$)]])</f>
        <v>#NUM!</v>
      </c>
    </row>
    <row r="2061" spans="1:10" x14ac:dyDescent="0.2">
      <c r="A2061" t="s">
        <v>2064</v>
      </c>
      <c r="B2061" t="s">
        <v>3196</v>
      </c>
      <c r="C2061">
        <v>0</v>
      </c>
      <c r="D2061">
        <v>0</v>
      </c>
      <c r="E2061">
        <f>ABS(Table1[[#This Row],[Flux in SC / glucose uptake ($mmol/mmol\ glc$)]]-Table1[[#This Row],[Flux in RT / glucose uptake ($mmol/mmol\ glc$)]])/SQRT(2)</f>
        <v>0</v>
      </c>
      <c r="F2061">
        <f>Table1[[#This Row],[distance from 45-degree line]]/MAX(Table1[[Flux in SC / glucose uptake ($mmol/mmol\ glc$)]:[Flux in RT / glucose uptake ($mmol/mmol\ glc$)]])</f>
        <v>0</v>
      </c>
      <c r="G2061">
        <f>_xlfn.RANK.AVG(Table1[[#This Row],[Flux in SC / glucose uptake ($mmol/mmol\ glc$)]],Table1[Flux in SC / glucose uptake ($mmol/mmol\ glc$)])</f>
        <v>1310.5</v>
      </c>
      <c r="H2061">
        <f>_xlfn.RANK.AVG(Table1[[#This Row],[Flux in RT / glucose uptake ($mmol/mmol\ glc$)]],Table1[Flux in RT / glucose uptake ($mmol/mmol\ glc$)])</f>
        <v>1290.5</v>
      </c>
      <c r="I2061" t="e">
        <f>LOG(Table1[[#This Row],[Flux in SC / glucose uptake ($mmol/mmol\ glc$)]])</f>
        <v>#NUM!</v>
      </c>
      <c r="J2061" t="e">
        <f>LOG(Table1[[#This Row],[Flux in RT / glucose uptake ($mmol/mmol\ glc$)]])</f>
        <v>#NUM!</v>
      </c>
    </row>
    <row r="2062" spans="1:10" x14ac:dyDescent="0.2">
      <c r="A2062" t="s">
        <v>2065</v>
      </c>
      <c r="B2062" t="s">
        <v>3196</v>
      </c>
      <c r="C2062">
        <v>0</v>
      </c>
      <c r="D2062">
        <v>0</v>
      </c>
      <c r="E2062">
        <f>ABS(Table1[[#This Row],[Flux in SC / glucose uptake ($mmol/mmol\ glc$)]]-Table1[[#This Row],[Flux in RT / glucose uptake ($mmol/mmol\ glc$)]])/SQRT(2)</f>
        <v>0</v>
      </c>
      <c r="F2062">
        <f>Table1[[#This Row],[distance from 45-degree line]]/MAX(Table1[[Flux in SC / glucose uptake ($mmol/mmol\ glc$)]:[Flux in RT / glucose uptake ($mmol/mmol\ glc$)]])</f>
        <v>0</v>
      </c>
      <c r="G2062">
        <f>_xlfn.RANK.AVG(Table1[[#This Row],[Flux in SC / glucose uptake ($mmol/mmol\ glc$)]],Table1[Flux in SC / glucose uptake ($mmol/mmol\ glc$)])</f>
        <v>1310.5</v>
      </c>
      <c r="H2062">
        <f>_xlfn.RANK.AVG(Table1[[#This Row],[Flux in RT / glucose uptake ($mmol/mmol\ glc$)]],Table1[Flux in RT / glucose uptake ($mmol/mmol\ glc$)])</f>
        <v>1290.5</v>
      </c>
      <c r="I2062" t="e">
        <f>LOG(Table1[[#This Row],[Flux in SC / glucose uptake ($mmol/mmol\ glc$)]])</f>
        <v>#NUM!</v>
      </c>
      <c r="J2062" t="e">
        <f>LOG(Table1[[#This Row],[Flux in RT / glucose uptake ($mmol/mmol\ glc$)]])</f>
        <v>#NUM!</v>
      </c>
    </row>
    <row r="2063" spans="1:10" x14ac:dyDescent="0.2">
      <c r="A2063" t="s">
        <v>2066</v>
      </c>
      <c r="B2063" t="s">
        <v>3196</v>
      </c>
      <c r="C2063">
        <v>0</v>
      </c>
      <c r="D2063">
        <v>0</v>
      </c>
      <c r="E2063">
        <f>ABS(Table1[[#This Row],[Flux in SC / glucose uptake ($mmol/mmol\ glc$)]]-Table1[[#This Row],[Flux in RT / glucose uptake ($mmol/mmol\ glc$)]])/SQRT(2)</f>
        <v>0</v>
      </c>
      <c r="F2063">
        <f>Table1[[#This Row],[distance from 45-degree line]]/MAX(Table1[[Flux in SC / glucose uptake ($mmol/mmol\ glc$)]:[Flux in RT / glucose uptake ($mmol/mmol\ glc$)]])</f>
        <v>0</v>
      </c>
      <c r="G2063">
        <f>_xlfn.RANK.AVG(Table1[[#This Row],[Flux in SC / glucose uptake ($mmol/mmol\ glc$)]],Table1[Flux in SC / glucose uptake ($mmol/mmol\ glc$)])</f>
        <v>1310.5</v>
      </c>
      <c r="H2063">
        <f>_xlfn.RANK.AVG(Table1[[#This Row],[Flux in RT / glucose uptake ($mmol/mmol\ glc$)]],Table1[Flux in RT / glucose uptake ($mmol/mmol\ glc$)])</f>
        <v>1290.5</v>
      </c>
      <c r="I2063" t="e">
        <f>LOG(Table1[[#This Row],[Flux in SC / glucose uptake ($mmol/mmol\ glc$)]])</f>
        <v>#NUM!</v>
      </c>
      <c r="J2063" t="e">
        <f>LOG(Table1[[#This Row],[Flux in RT / glucose uptake ($mmol/mmol\ glc$)]])</f>
        <v>#NUM!</v>
      </c>
    </row>
    <row r="2064" spans="1:10" x14ac:dyDescent="0.2">
      <c r="A2064" t="s">
        <v>2067</v>
      </c>
      <c r="B2064" t="s">
        <v>3181</v>
      </c>
      <c r="C2064">
        <v>1.777963493994253</v>
      </c>
      <c r="D2064">
        <v>0.73222559699283918</v>
      </c>
      <c r="E2064">
        <f>ABS(Table1[[#This Row],[Flux in SC / glucose uptake ($mmol/mmol\ glc$)]]-Table1[[#This Row],[Flux in RT / glucose uptake ($mmol/mmol\ glc$)]])/SQRT(2)</f>
        <v>0.73944835831345912</v>
      </c>
      <c r="F2064">
        <f>Table1[[#This Row],[distance from 45-degree line]]/MAX(Table1[[Flux in SC / glucose uptake ($mmol/mmol\ glc$)]:[Flux in RT / glucose uptake ($mmol/mmol\ glc$)]])</f>
        <v>3.9855422753759986E-2</v>
      </c>
      <c r="G2064">
        <f>_xlfn.RANK.AVG(Table1[[#This Row],[Flux in SC / glucose uptake ($mmol/mmol\ glc$)]],Table1[Flux in SC / glucose uptake ($mmol/mmol\ glc$)])</f>
        <v>7</v>
      </c>
      <c r="H2064">
        <f>_xlfn.RANK.AVG(Table1[[#This Row],[Flux in RT / glucose uptake ($mmol/mmol\ glc$)]],Table1[Flux in RT / glucose uptake ($mmol/mmol\ glc$)])</f>
        <v>26</v>
      </c>
      <c r="I2064">
        <f>LOG(Table1[[#This Row],[Flux in SC / glucose uptake ($mmol/mmol\ glc$)]])</f>
        <v>0.2499228395815426</v>
      </c>
      <c r="J2064">
        <f>LOG(Table1[[#This Row],[Flux in RT / glucose uptake ($mmol/mmol\ glc$)]])</f>
        <v>-0.13535509321133748</v>
      </c>
    </row>
    <row r="2065" spans="1:10" x14ac:dyDescent="0.2">
      <c r="A2065" t="s">
        <v>2068</v>
      </c>
      <c r="B2065" t="s">
        <v>3162</v>
      </c>
      <c r="C2065">
        <v>0</v>
      </c>
      <c r="D2065">
        <v>0</v>
      </c>
      <c r="E2065">
        <f>ABS(Table1[[#This Row],[Flux in SC / glucose uptake ($mmol/mmol\ glc$)]]-Table1[[#This Row],[Flux in RT / glucose uptake ($mmol/mmol\ glc$)]])/SQRT(2)</f>
        <v>0</v>
      </c>
      <c r="F2065">
        <f>Table1[[#This Row],[distance from 45-degree line]]/MAX(Table1[[Flux in SC / glucose uptake ($mmol/mmol\ glc$)]:[Flux in RT / glucose uptake ($mmol/mmol\ glc$)]])</f>
        <v>0</v>
      </c>
      <c r="G2065">
        <f>_xlfn.RANK.AVG(Table1[[#This Row],[Flux in SC / glucose uptake ($mmol/mmol\ glc$)]],Table1[Flux in SC / glucose uptake ($mmol/mmol\ glc$)])</f>
        <v>1310.5</v>
      </c>
      <c r="H2065">
        <f>_xlfn.RANK.AVG(Table1[[#This Row],[Flux in RT / glucose uptake ($mmol/mmol\ glc$)]],Table1[Flux in RT / glucose uptake ($mmol/mmol\ glc$)])</f>
        <v>1290.5</v>
      </c>
      <c r="I2065" t="e">
        <f>LOG(Table1[[#This Row],[Flux in SC / glucose uptake ($mmol/mmol\ glc$)]])</f>
        <v>#NUM!</v>
      </c>
      <c r="J2065" t="e">
        <f>LOG(Table1[[#This Row],[Flux in RT / glucose uptake ($mmol/mmol\ glc$)]])</f>
        <v>#NUM!</v>
      </c>
    </row>
    <row r="2066" spans="1:10" x14ac:dyDescent="0.2">
      <c r="A2066" t="s">
        <v>2069</v>
      </c>
      <c r="B2066" t="s">
        <v>3143</v>
      </c>
      <c r="C2066">
        <v>1.686319779856678</v>
      </c>
      <c r="D2066">
        <v>1.7515270938509794E-8</v>
      </c>
      <c r="E2066">
        <f>ABS(Table1[[#This Row],[Flux in SC / glucose uptake ($mmol/mmol\ glc$)]]-Table1[[#This Row],[Flux in RT / glucose uptake ($mmol/mmol\ glc$)]])/SQRT(2)</f>
        <v>1.1924081392004959</v>
      </c>
      <c r="F2066">
        <f>Table1[[#This Row],[distance from 45-degree line]]/MAX(Table1[[Flux in SC / glucose uptake ($mmol/mmol\ glc$)]:[Flux in RT / glucose uptake ($mmol/mmol\ glc$)]])</f>
        <v>6.4269438086593481E-2</v>
      </c>
      <c r="G2066">
        <f>_xlfn.RANK.AVG(Table1[[#This Row],[Flux in SC / glucose uptake ($mmol/mmol\ glc$)]],Table1[Flux in SC / glucose uptake ($mmol/mmol\ glc$)])</f>
        <v>8</v>
      </c>
      <c r="H2066">
        <f>_xlfn.RANK.AVG(Table1[[#This Row],[Flux in RT / glucose uptake ($mmol/mmol\ glc$)]],Table1[Flux in RT / glucose uptake ($mmol/mmol\ glc$)])</f>
        <v>287</v>
      </c>
      <c r="I2066">
        <f>LOG(Table1[[#This Row],[Flux in SC / glucose uptake ($mmol/mmol\ glc$)]])</f>
        <v>0.22693993414307972</v>
      </c>
      <c r="J2066">
        <f>LOG(Table1[[#This Row],[Flux in RT / glucose uptake ($mmol/mmol\ glc$)]])</f>
        <v>-7.7565831403223289</v>
      </c>
    </row>
    <row r="2067" spans="1:10" x14ac:dyDescent="0.2">
      <c r="A2067" t="s">
        <v>2070</v>
      </c>
      <c r="B2067" t="s">
        <v>3143</v>
      </c>
      <c r="C2067">
        <v>0</v>
      </c>
      <c r="D2067">
        <v>0</v>
      </c>
      <c r="E2067">
        <f>ABS(Table1[[#This Row],[Flux in SC / glucose uptake ($mmol/mmol\ glc$)]]-Table1[[#This Row],[Flux in RT / glucose uptake ($mmol/mmol\ glc$)]])/SQRT(2)</f>
        <v>0</v>
      </c>
      <c r="F2067">
        <f>Table1[[#This Row],[distance from 45-degree line]]/MAX(Table1[[Flux in SC / glucose uptake ($mmol/mmol\ glc$)]:[Flux in RT / glucose uptake ($mmol/mmol\ glc$)]])</f>
        <v>0</v>
      </c>
      <c r="G2067">
        <f>_xlfn.RANK.AVG(Table1[[#This Row],[Flux in SC / glucose uptake ($mmol/mmol\ glc$)]],Table1[Flux in SC / glucose uptake ($mmol/mmol\ glc$)])</f>
        <v>1310.5</v>
      </c>
      <c r="H2067">
        <f>_xlfn.RANK.AVG(Table1[[#This Row],[Flux in RT / glucose uptake ($mmol/mmol\ glc$)]],Table1[Flux in RT / glucose uptake ($mmol/mmol\ glc$)])</f>
        <v>1290.5</v>
      </c>
      <c r="I2067" t="e">
        <f>LOG(Table1[[#This Row],[Flux in SC / glucose uptake ($mmol/mmol\ glc$)]])</f>
        <v>#NUM!</v>
      </c>
      <c r="J2067" t="e">
        <f>LOG(Table1[[#This Row],[Flux in RT / glucose uptake ($mmol/mmol\ glc$)]])</f>
        <v>#NUM!</v>
      </c>
    </row>
    <row r="2068" spans="1:10" x14ac:dyDescent="0.2">
      <c r="A2068" t="s">
        <v>2071</v>
      </c>
      <c r="B2068" t="s">
        <v>3114</v>
      </c>
      <c r="C2068">
        <v>0</v>
      </c>
      <c r="D2068">
        <v>0</v>
      </c>
      <c r="E2068">
        <f>ABS(Table1[[#This Row],[Flux in SC / glucose uptake ($mmol/mmol\ glc$)]]-Table1[[#This Row],[Flux in RT / glucose uptake ($mmol/mmol\ glc$)]])/SQRT(2)</f>
        <v>0</v>
      </c>
      <c r="F2068">
        <f>Table1[[#This Row],[distance from 45-degree line]]/MAX(Table1[[Flux in SC / glucose uptake ($mmol/mmol\ glc$)]:[Flux in RT / glucose uptake ($mmol/mmol\ glc$)]])</f>
        <v>0</v>
      </c>
      <c r="G2068">
        <f>_xlfn.RANK.AVG(Table1[[#This Row],[Flux in SC / glucose uptake ($mmol/mmol\ glc$)]],Table1[Flux in SC / glucose uptake ($mmol/mmol\ glc$)])</f>
        <v>1310.5</v>
      </c>
      <c r="H2068">
        <f>_xlfn.RANK.AVG(Table1[[#This Row],[Flux in RT / glucose uptake ($mmol/mmol\ glc$)]],Table1[Flux in RT / glucose uptake ($mmol/mmol\ glc$)])</f>
        <v>1290.5</v>
      </c>
      <c r="I2068" t="e">
        <f>LOG(Table1[[#This Row],[Flux in SC / glucose uptake ($mmol/mmol\ glc$)]])</f>
        <v>#NUM!</v>
      </c>
      <c r="J2068" t="e">
        <f>LOG(Table1[[#This Row],[Flux in RT / glucose uptake ($mmol/mmol\ glc$)]])</f>
        <v>#NUM!</v>
      </c>
    </row>
    <row r="2069" spans="1:10" x14ac:dyDescent="0.2">
      <c r="A2069" t="s">
        <v>2072</v>
      </c>
      <c r="B2069" t="s">
        <v>3114</v>
      </c>
      <c r="C2069">
        <v>1.1291371664951703E-2</v>
      </c>
      <c r="D2069">
        <v>0.4890390515795513</v>
      </c>
      <c r="E2069">
        <f>ABS(Table1[[#This Row],[Flux in SC / glucose uptake ($mmol/mmol\ glc$)]]-Table1[[#This Row],[Flux in RT / glucose uptake ($mmol/mmol\ glc$)]])/SQRT(2)</f>
        <v>0.33781862416375352</v>
      </c>
      <c r="F2069">
        <f>Table1[[#This Row],[distance from 45-degree line]]/MAX(Table1[[Flux in SC / glucose uptake ($mmol/mmol\ glc$)]:[Flux in RT / glucose uptake ($mmol/mmol\ glc$)]])</f>
        <v>1.8208038369100659E-2</v>
      </c>
      <c r="G2069">
        <f>_xlfn.RANK.AVG(Table1[[#This Row],[Flux in SC / glucose uptake ($mmol/mmol\ glc$)]],Table1[Flux in SC / glucose uptake ($mmol/mmol\ glc$)])</f>
        <v>77</v>
      </c>
      <c r="H2069">
        <f>_xlfn.RANK.AVG(Table1[[#This Row],[Flux in RT / glucose uptake ($mmol/mmol\ glc$)]],Table1[Flux in RT / glucose uptake ($mmol/mmol\ glc$)])</f>
        <v>45</v>
      </c>
      <c r="I2069">
        <f>LOG(Table1[[#This Row],[Flux in SC / glucose uptake ($mmol/mmol\ glc$)]])</f>
        <v>-1.9472532971950363</v>
      </c>
      <c r="J2069">
        <f>LOG(Table1[[#This Row],[Flux in RT / glucose uptake ($mmol/mmol\ glc$)]])</f>
        <v>-0.31065645946873993</v>
      </c>
    </row>
    <row r="2070" spans="1:10" x14ac:dyDescent="0.2">
      <c r="A2070" t="s">
        <v>2073</v>
      </c>
      <c r="B2070" t="s">
        <v>3114</v>
      </c>
      <c r="C2070">
        <v>0</v>
      </c>
      <c r="D2070">
        <v>0</v>
      </c>
      <c r="E2070">
        <f>ABS(Table1[[#This Row],[Flux in SC / glucose uptake ($mmol/mmol\ glc$)]]-Table1[[#This Row],[Flux in RT / glucose uptake ($mmol/mmol\ glc$)]])/SQRT(2)</f>
        <v>0</v>
      </c>
      <c r="F2070">
        <f>Table1[[#This Row],[distance from 45-degree line]]/MAX(Table1[[Flux in SC / glucose uptake ($mmol/mmol\ glc$)]:[Flux in RT / glucose uptake ($mmol/mmol\ glc$)]])</f>
        <v>0</v>
      </c>
      <c r="G2070">
        <f>_xlfn.RANK.AVG(Table1[[#This Row],[Flux in SC / glucose uptake ($mmol/mmol\ glc$)]],Table1[Flux in SC / glucose uptake ($mmol/mmol\ glc$)])</f>
        <v>1310.5</v>
      </c>
      <c r="H2070">
        <f>_xlfn.RANK.AVG(Table1[[#This Row],[Flux in RT / glucose uptake ($mmol/mmol\ glc$)]],Table1[Flux in RT / glucose uptake ($mmol/mmol\ glc$)])</f>
        <v>1290.5</v>
      </c>
      <c r="I2070" t="e">
        <f>LOG(Table1[[#This Row],[Flux in SC / glucose uptake ($mmol/mmol\ glc$)]])</f>
        <v>#NUM!</v>
      </c>
      <c r="J2070" t="e">
        <f>LOG(Table1[[#This Row],[Flux in RT / glucose uptake ($mmol/mmol\ glc$)]])</f>
        <v>#NUM!</v>
      </c>
    </row>
    <row r="2071" spans="1:10" x14ac:dyDescent="0.2">
      <c r="A2071" t="s">
        <v>2074</v>
      </c>
      <c r="B2071" t="s">
        <v>3114</v>
      </c>
      <c r="C2071">
        <v>0</v>
      </c>
      <c r="D2071">
        <v>0</v>
      </c>
      <c r="E2071">
        <f>ABS(Table1[[#This Row],[Flux in SC / glucose uptake ($mmol/mmol\ glc$)]]-Table1[[#This Row],[Flux in RT / glucose uptake ($mmol/mmol\ glc$)]])/SQRT(2)</f>
        <v>0</v>
      </c>
      <c r="F2071">
        <f>Table1[[#This Row],[distance from 45-degree line]]/MAX(Table1[[Flux in SC / glucose uptake ($mmol/mmol\ glc$)]:[Flux in RT / glucose uptake ($mmol/mmol\ glc$)]])</f>
        <v>0</v>
      </c>
      <c r="G2071">
        <f>_xlfn.RANK.AVG(Table1[[#This Row],[Flux in SC / glucose uptake ($mmol/mmol\ glc$)]],Table1[Flux in SC / glucose uptake ($mmol/mmol\ glc$)])</f>
        <v>1310.5</v>
      </c>
      <c r="H2071">
        <f>_xlfn.RANK.AVG(Table1[[#This Row],[Flux in RT / glucose uptake ($mmol/mmol\ glc$)]],Table1[Flux in RT / glucose uptake ($mmol/mmol\ glc$)])</f>
        <v>1290.5</v>
      </c>
      <c r="I2071" t="e">
        <f>LOG(Table1[[#This Row],[Flux in SC / glucose uptake ($mmol/mmol\ glc$)]])</f>
        <v>#NUM!</v>
      </c>
      <c r="J2071" t="e">
        <f>LOG(Table1[[#This Row],[Flux in RT / glucose uptake ($mmol/mmol\ glc$)]])</f>
        <v>#NUM!</v>
      </c>
    </row>
    <row r="2072" spans="1:10" x14ac:dyDescent="0.2">
      <c r="A2072" t="s">
        <v>2075</v>
      </c>
      <c r="B2072" t="s">
        <v>3127</v>
      </c>
      <c r="C2072">
        <v>0</v>
      </c>
      <c r="D2072">
        <v>0</v>
      </c>
      <c r="E2072">
        <f>ABS(Table1[[#This Row],[Flux in SC / glucose uptake ($mmol/mmol\ glc$)]]-Table1[[#This Row],[Flux in RT / glucose uptake ($mmol/mmol\ glc$)]])/SQRT(2)</f>
        <v>0</v>
      </c>
      <c r="F2072">
        <f>Table1[[#This Row],[distance from 45-degree line]]/MAX(Table1[[Flux in SC / glucose uptake ($mmol/mmol\ glc$)]:[Flux in RT / glucose uptake ($mmol/mmol\ glc$)]])</f>
        <v>0</v>
      </c>
      <c r="G2072">
        <f>_xlfn.RANK.AVG(Table1[[#This Row],[Flux in SC / glucose uptake ($mmol/mmol\ glc$)]],Table1[Flux in SC / glucose uptake ($mmol/mmol\ glc$)])</f>
        <v>1310.5</v>
      </c>
      <c r="H2072">
        <f>_xlfn.RANK.AVG(Table1[[#This Row],[Flux in RT / glucose uptake ($mmol/mmol\ glc$)]],Table1[Flux in RT / glucose uptake ($mmol/mmol\ glc$)])</f>
        <v>1290.5</v>
      </c>
      <c r="I2072" t="e">
        <f>LOG(Table1[[#This Row],[Flux in SC / glucose uptake ($mmol/mmol\ glc$)]])</f>
        <v>#NUM!</v>
      </c>
      <c r="J2072" t="e">
        <f>LOG(Table1[[#This Row],[Flux in RT / glucose uptake ($mmol/mmol\ glc$)]])</f>
        <v>#NUM!</v>
      </c>
    </row>
    <row r="2073" spans="1:10" x14ac:dyDescent="0.2">
      <c r="A2073" t="s">
        <v>2076</v>
      </c>
      <c r="B2073" t="s">
        <v>3127</v>
      </c>
      <c r="C2073">
        <v>0</v>
      </c>
      <c r="D2073">
        <v>0</v>
      </c>
      <c r="E2073">
        <f>ABS(Table1[[#This Row],[Flux in SC / glucose uptake ($mmol/mmol\ glc$)]]-Table1[[#This Row],[Flux in RT / glucose uptake ($mmol/mmol\ glc$)]])/SQRT(2)</f>
        <v>0</v>
      </c>
      <c r="F2073">
        <f>Table1[[#This Row],[distance from 45-degree line]]/MAX(Table1[[Flux in SC / glucose uptake ($mmol/mmol\ glc$)]:[Flux in RT / glucose uptake ($mmol/mmol\ glc$)]])</f>
        <v>0</v>
      </c>
      <c r="G2073">
        <f>_xlfn.RANK.AVG(Table1[[#This Row],[Flux in SC / glucose uptake ($mmol/mmol\ glc$)]],Table1[Flux in SC / glucose uptake ($mmol/mmol\ glc$)])</f>
        <v>1310.5</v>
      </c>
      <c r="H2073">
        <f>_xlfn.RANK.AVG(Table1[[#This Row],[Flux in RT / glucose uptake ($mmol/mmol\ glc$)]],Table1[Flux in RT / glucose uptake ($mmol/mmol\ glc$)])</f>
        <v>1290.5</v>
      </c>
      <c r="I2073" t="e">
        <f>LOG(Table1[[#This Row],[Flux in SC / glucose uptake ($mmol/mmol\ glc$)]])</f>
        <v>#NUM!</v>
      </c>
      <c r="J2073" t="e">
        <f>LOG(Table1[[#This Row],[Flux in RT / glucose uptake ($mmol/mmol\ glc$)]])</f>
        <v>#NUM!</v>
      </c>
    </row>
    <row r="2074" spans="1:10" x14ac:dyDescent="0.2">
      <c r="A2074" t="s">
        <v>2077</v>
      </c>
      <c r="B2074" t="s">
        <v>3127</v>
      </c>
      <c r="C2074">
        <v>0</v>
      </c>
      <c r="D2074">
        <v>0</v>
      </c>
      <c r="E2074">
        <f>ABS(Table1[[#This Row],[Flux in SC / glucose uptake ($mmol/mmol\ glc$)]]-Table1[[#This Row],[Flux in RT / glucose uptake ($mmol/mmol\ glc$)]])/SQRT(2)</f>
        <v>0</v>
      </c>
      <c r="F2074">
        <f>Table1[[#This Row],[distance from 45-degree line]]/MAX(Table1[[Flux in SC / glucose uptake ($mmol/mmol\ glc$)]:[Flux in RT / glucose uptake ($mmol/mmol\ glc$)]])</f>
        <v>0</v>
      </c>
      <c r="G2074">
        <f>_xlfn.RANK.AVG(Table1[[#This Row],[Flux in SC / glucose uptake ($mmol/mmol\ glc$)]],Table1[Flux in SC / glucose uptake ($mmol/mmol\ glc$)])</f>
        <v>1310.5</v>
      </c>
      <c r="H2074">
        <f>_xlfn.RANK.AVG(Table1[[#This Row],[Flux in RT / glucose uptake ($mmol/mmol\ glc$)]],Table1[Flux in RT / glucose uptake ($mmol/mmol\ glc$)])</f>
        <v>1290.5</v>
      </c>
      <c r="I2074" t="e">
        <f>LOG(Table1[[#This Row],[Flux in SC / glucose uptake ($mmol/mmol\ glc$)]])</f>
        <v>#NUM!</v>
      </c>
      <c r="J2074" t="e">
        <f>LOG(Table1[[#This Row],[Flux in RT / glucose uptake ($mmol/mmol\ glc$)]])</f>
        <v>#NUM!</v>
      </c>
    </row>
    <row r="2075" spans="1:10" x14ac:dyDescent="0.2">
      <c r="A2075" t="s">
        <v>2078</v>
      </c>
      <c r="B2075" t="s">
        <v>3127</v>
      </c>
      <c r="C2075">
        <v>0</v>
      </c>
      <c r="D2075">
        <v>0</v>
      </c>
      <c r="E2075">
        <f>ABS(Table1[[#This Row],[Flux in SC / glucose uptake ($mmol/mmol\ glc$)]]-Table1[[#This Row],[Flux in RT / glucose uptake ($mmol/mmol\ glc$)]])/SQRT(2)</f>
        <v>0</v>
      </c>
      <c r="F2075">
        <f>Table1[[#This Row],[distance from 45-degree line]]/MAX(Table1[[Flux in SC / glucose uptake ($mmol/mmol\ glc$)]:[Flux in RT / glucose uptake ($mmol/mmol\ glc$)]])</f>
        <v>0</v>
      </c>
      <c r="G2075">
        <f>_xlfn.RANK.AVG(Table1[[#This Row],[Flux in SC / glucose uptake ($mmol/mmol\ glc$)]],Table1[Flux in SC / glucose uptake ($mmol/mmol\ glc$)])</f>
        <v>1310.5</v>
      </c>
      <c r="H2075">
        <f>_xlfn.RANK.AVG(Table1[[#This Row],[Flux in RT / glucose uptake ($mmol/mmol\ glc$)]],Table1[Flux in RT / glucose uptake ($mmol/mmol\ glc$)])</f>
        <v>1290.5</v>
      </c>
      <c r="I2075" t="e">
        <f>LOG(Table1[[#This Row],[Flux in SC / glucose uptake ($mmol/mmol\ glc$)]])</f>
        <v>#NUM!</v>
      </c>
      <c r="J2075" t="e">
        <f>LOG(Table1[[#This Row],[Flux in RT / glucose uptake ($mmol/mmol\ glc$)]])</f>
        <v>#NUM!</v>
      </c>
    </row>
    <row r="2076" spans="1:10" x14ac:dyDescent="0.2">
      <c r="A2076" t="s">
        <v>2079</v>
      </c>
      <c r="B2076" t="s">
        <v>3124</v>
      </c>
      <c r="C2076">
        <v>0</v>
      </c>
      <c r="D2076">
        <v>0</v>
      </c>
      <c r="E2076">
        <f>ABS(Table1[[#This Row],[Flux in SC / glucose uptake ($mmol/mmol\ glc$)]]-Table1[[#This Row],[Flux in RT / glucose uptake ($mmol/mmol\ glc$)]])/SQRT(2)</f>
        <v>0</v>
      </c>
      <c r="F2076">
        <f>Table1[[#This Row],[distance from 45-degree line]]/MAX(Table1[[Flux in SC / glucose uptake ($mmol/mmol\ glc$)]:[Flux in RT / glucose uptake ($mmol/mmol\ glc$)]])</f>
        <v>0</v>
      </c>
      <c r="G2076">
        <f>_xlfn.RANK.AVG(Table1[[#This Row],[Flux in SC / glucose uptake ($mmol/mmol\ glc$)]],Table1[Flux in SC / glucose uptake ($mmol/mmol\ glc$)])</f>
        <v>1310.5</v>
      </c>
      <c r="H2076">
        <f>_xlfn.RANK.AVG(Table1[[#This Row],[Flux in RT / glucose uptake ($mmol/mmol\ glc$)]],Table1[Flux in RT / glucose uptake ($mmol/mmol\ glc$)])</f>
        <v>1290.5</v>
      </c>
      <c r="I2076" t="e">
        <f>LOG(Table1[[#This Row],[Flux in SC / glucose uptake ($mmol/mmol\ glc$)]])</f>
        <v>#NUM!</v>
      </c>
      <c r="J2076" t="e">
        <f>LOG(Table1[[#This Row],[Flux in RT / glucose uptake ($mmol/mmol\ glc$)]])</f>
        <v>#NUM!</v>
      </c>
    </row>
    <row r="2077" spans="1:10" x14ac:dyDescent="0.2">
      <c r="A2077" t="s">
        <v>2080</v>
      </c>
      <c r="B2077" t="s">
        <v>3120</v>
      </c>
      <c r="C2077">
        <v>0</v>
      </c>
      <c r="D2077">
        <v>0</v>
      </c>
      <c r="E2077">
        <f>ABS(Table1[[#This Row],[Flux in SC / glucose uptake ($mmol/mmol\ glc$)]]-Table1[[#This Row],[Flux in RT / glucose uptake ($mmol/mmol\ glc$)]])/SQRT(2)</f>
        <v>0</v>
      </c>
      <c r="F2077">
        <f>Table1[[#This Row],[distance from 45-degree line]]/MAX(Table1[[Flux in SC / glucose uptake ($mmol/mmol\ glc$)]:[Flux in RT / glucose uptake ($mmol/mmol\ glc$)]])</f>
        <v>0</v>
      </c>
      <c r="G2077">
        <f>_xlfn.RANK.AVG(Table1[[#This Row],[Flux in SC / glucose uptake ($mmol/mmol\ glc$)]],Table1[Flux in SC / glucose uptake ($mmol/mmol\ glc$)])</f>
        <v>1310.5</v>
      </c>
      <c r="H2077">
        <f>_xlfn.RANK.AVG(Table1[[#This Row],[Flux in RT / glucose uptake ($mmol/mmol\ glc$)]],Table1[Flux in RT / glucose uptake ($mmol/mmol\ glc$)])</f>
        <v>1290.5</v>
      </c>
      <c r="I2077" t="e">
        <f>LOG(Table1[[#This Row],[Flux in SC / glucose uptake ($mmol/mmol\ glc$)]])</f>
        <v>#NUM!</v>
      </c>
      <c r="J2077" t="e">
        <f>LOG(Table1[[#This Row],[Flux in RT / glucose uptake ($mmol/mmol\ glc$)]])</f>
        <v>#NUM!</v>
      </c>
    </row>
    <row r="2078" spans="1:10" x14ac:dyDescent="0.2">
      <c r="A2078" t="s">
        <v>2081</v>
      </c>
      <c r="B2078" t="s">
        <v>3114</v>
      </c>
      <c r="C2078">
        <v>0</v>
      </c>
      <c r="D2078">
        <v>0</v>
      </c>
      <c r="E2078">
        <f>ABS(Table1[[#This Row],[Flux in SC / glucose uptake ($mmol/mmol\ glc$)]]-Table1[[#This Row],[Flux in RT / glucose uptake ($mmol/mmol\ glc$)]])/SQRT(2)</f>
        <v>0</v>
      </c>
      <c r="F2078">
        <f>Table1[[#This Row],[distance from 45-degree line]]/MAX(Table1[[Flux in SC / glucose uptake ($mmol/mmol\ glc$)]:[Flux in RT / glucose uptake ($mmol/mmol\ glc$)]])</f>
        <v>0</v>
      </c>
      <c r="G2078">
        <f>_xlfn.RANK.AVG(Table1[[#This Row],[Flux in SC / glucose uptake ($mmol/mmol\ glc$)]],Table1[Flux in SC / glucose uptake ($mmol/mmol\ glc$)])</f>
        <v>1310.5</v>
      </c>
      <c r="H2078">
        <f>_xlfn.RANK.AVG(Table1[[#This Row],[Flux in RT / glucose uptake ($mmol/mmol\ glc$)]],Table1[Flux in RT / glucose uptake ($mmol/mmol\ glc$)])</f>
        <v>1290.5</v>
      </c>
      <c r="I2078" t="e">
        <f>LOG(Table1[[#This Row],[Flux in SC / glucose uptake ($mmol/mmol\ glc$)]])</f>
        <v>#NUM!</v>
      </c>
      <c r="J2078" t="e">
        <f>LOG(Table1[[#This Row],[Flux in RT / glucose uptake ($mmol/mmol\ glc$)]])</f>
        <v>#NUM!</v>
      </c>
    </row>
    <row r="2079" spans="1:10" x14ac:dyDescent="0.2">
      <c r="A2079" t="s">
        <v>2082</v>
      </c>
      <c r="B2079" t="s">
        <v>3114</v>
      </c>
      <c r="C2079">
        <v>0</v>
      </c>
      <c r="D2079">
        <v>0</v>
      </c>
      <c r="E2079">
        <f>ABS(Table1[[#This Row],[Flux in SC / glucose uptake ($mmol/mmol\ glc$)]]-Table1[[#This Row],[Flux in RT / glucose uptake ($mmol/mmol\ glc$)]])/SQRT(2)</f>
        <v>0</v>
      </c>
      <c r="F2079">
        <f>Table1[[#This Row],[distance from 45-degree line]]/MAX(Table1[[Flux in SC / glucose uptake ($mmol/mmol\ glc$)]:[Flux in RT / glucose uptake ($mmol/mmol\ glc$)]])</f>
        <v>0</v>
      </c>
      <c r="G2079">
        <f>_xlfn.RANK.AVG(Table1[[#This Row],[Flux in SC / glucose uptake ($mmol/mmol\ glc$)]],Table1[Flux in SC / glucose uptake ($mmol/mmol\ glc$)])</f>
        <v>1310.5</v>
      </c>
      <c r="H2079">
        <f>_xlfn.RANK.AVG(Table1[[#This Row],[Flux in RT / glucose uptake ($mmol/mmol\ glc$)]],Table1[Flux in RT / glucose uptake ($mmol/mmol\ glc$)])</f>
        <v>1290.5</v>
      </c>
      <c r="I2079" t="e">
        <f>LOG(Table1[[#This Row],[Flux in SC / glucose uptake ($mmol/mmol\ glc$)]])</f>
        <v>#NUM!</v>
      </c>
      <c r="J2079" t="e">
        <f>LOG(Table1[[#This Row],[Flux in RT / glucose uptake ($mmol/mmol\ glc$)]])</f>
        <v>#NUM!</v>
      </c>
    </row>
    <row r="2080" spans="1:10" x14ac:dyDescent="0.2">
      <c r="A2080" t="s">
        <v>2083</v>
      </c>
      <c r="B2080" t="s">
        <v>3206</v>
      </c>
      <c r="C2080">
        <v>0</v>
      </c>
      <c r="D2080">
        <v>0</v>
      </c>
      <c r="E2080">
        <f>ABS(Table1[[#This Row],[Flux in SC / glucose uptake ($mmol/mmol\ glc$)]]-Table1[[#This Row],[Flux in RT / glucose uptake ($mmol/mmol\ glc$)]])/SQRT(2)</f>
        <v>0</v>
      </c>
      <c r="F2080">
        <f>Table1[[#This Row],[distance from 45-degree line]]/MAX(Table1[[Flux in SC / glucose uptake ($mmol/mmol\ glc$)]:[Flux in RT / glucose uptake ($mmol/mmol\ glc$)]])</f>
        <v>0</v>
      </c>
      <c r="G2080">
        <f>_xlfn.RANK.AVG(Table1[[#This Row],[Flux in SC / glucose uptake ($mmol/mmol\ glc$)]],Table1[Flux in SC / glucose uptake ($mmol/mmol\ glc$)])</f>
        <v>1310.5</v>
      </c>
      <c r="H2080">
        <f>_xlfn.RANK.AVG(Table1[[#This Row],[Flux in RT / glucose uptake ($mmol/mmol\ glc$)]],Table1[Flux in RT / glucose uptake ($mmol/mmol\ glc$)])</f>
        <v>1290.5</v>
      </c>
      <c r="I2080" t="e">
        <f>LOG(Table1[[#This Row],[Flux in SC / glucose uptake ($mmol/mmol\ glc$)]])</f>
        <v>#NUM!</v>
      </c>
      <c r="J2080" t="e">
        <f>LOG(Table1[[#This Row],[Flux in RT / glucose uptake ($mmol/mmol\ glc$)]])</f>
        <v>#NUM!</v>
      </c>
    </row>
    <row r="2081" spans="1:10" x14ac:dyDescent="0.2">
      <c r="A2081" t="s">
        <v>2084</v>
      </c>
      <c r="B2081" t="s">
        <v>3191</v>
      </c>
      <c r="C2081">
        <v>0</v>
      </c>
      <c r="D2081">
        <v>0</v>
      </c>
      <c r="E2081">
        <f>ABS(Table1[[#This Row],[Flux in SC / glucose uptake ($mmol/mmol\ glc$)]]-Table1[[#This Row],[Flux in RT / glucose uptake ($mmol/mmol\ glc$)]])/SQRT(2)</f>
        <v>0</v>
      </c>
      <c r="F2081">
        <f>Table1[[#This Row],[distance from 45-degree line]]/MAX(Table1[[Flux in SC / glucose uptake ($mmol/mmol\ glc$)]:[Flux in RT / glucose uptake ($mmol/mmol\ glc$)]])</f>
        <v>0</v>
      </c>
      <c r="G2081">
        <f>_xlfn.RANK.AVG(Table1[[#This Row],[Flux in SC / glucose uptake ($mmol/mmol\ glc$)]],Table1[Flux in SC / glucose uptake ($mmol/mmol\ glc$)])</f>
        <v>1310.5</v>
      </c>
      <c r="H2081">
        <f>_xlfn.RANK.AVG(Table1[[#This Row],[Flux in RT / glucose uptake ($mmol/mmol\ glc$)]],Table1[Flux in RT / glucose uptake ($mmol/mmol\ glc$)])</f>
        <v>1290.5</v>
      </c>
      <c r="I2081" t="e">
        <f>LOG(Table1[[#This Row],[Flux in SC / glucose uptake ($mmol/mmol\ glc$)]])</f>
        <v>#NUM!</v>
      </c>
      <c r="J2081" t="e">
        <f>LOG(Table1[[#This Row],[Flux in RT / glucose uptake ($mmol/mmol\ glc$)]])</f>
        <v>#NUM!</v>
      </c>
    </row>
    <row r="2082" spans="1:10" x14ac:dyDescent="0.2">
      <c r="A2082" t="s">
        <v>2085</v>
      </c>
      <c r="B2082" t="s">
        <v>3147</v>
      </c>
      <c r="C2082">
        <v>0</v>
      </c>
      <c r="D2082">
        <v>0</v>
      </c>
      <c r="E2082">
        <f>ABS(Table1[[#This Row],[Flux in SC / glucose uptake ($mmol/mmol\ glc$)]]-Table1[[#This Row],[Flux in RT / glucose uptake ($mmol/mmol\ glc$)]])/SQRT(2)</f>
        <v>0</v>
      </c>
      <c r="F2082">
        <f>Table1[[#This Row],[distance from 45-degree line]]/MAX(Table1[[Flux in SC / glucose uptake ($mmol/mmol\ glc$)]:[Flux in RT / glucose uptake ($mmol/mmol\ glc$)]])</f>
        <v>0</v>
      </c>
      <c r="G2082">
        <f>_xlfn.RANK.AVG(Table1[[#This Row],[Flux in SC / glucose uptake ($mmol/mmol\ glc$)]],Table1[Flux in SC / glucose uptake ($mmol/mmol\ glc$)])</f>
        <v>1310.5</v>
      </c>
      <c r="H2082">
        <f>_xlfn.RANK.AVG(Table1[[#This Row],[Flux in RT / glucose uptake ($mmol/mmol\ glc$)]],Table1[Flux in RT / glucose uptake ($mmol/mmol\ glc$)])</f>
        <v>1290.5</v>
      </c>
      <c r="I2082" t="e">
        <f>LOG(Table1[[#This Row],[Flux in SC / glucose uptake ($mmol/mmol\ glc$)]])</f>
        <v>#NUM!</v>
      </c>
      <c r="J2082" t="e">
        <f>LOG(Table1[[#This Row],[Flux in RT / glucose uptake ($mmol/mmol\ glc$)]])</f>
        <v>#NUM!</v>
      </c>
    </row>
    <row r="2083" spans="1:10" x14ac:dyDescent="0.2">
      <c r="A2083" t="s">
        <v>2086</v>
      </c>
      <c r="B2083" t="s">
        <v>3147</v>
      </c>
      <c r="C2083">
        <v>0</v>
      </c>
      <c r="D2083">
        <v>0</v>
      </c>
      <c r="E2083">
        <f>ABS(Table1[[#This Row],[Flux in SC / glucose uptake ($mmol/mmol\ glc$)]]-Table1[[#This Row],[Flux in RT / glucose uptake ($mmol/mmol\ glc$)]])/SQRT(2)</f>
        <v>0</v>
      </c>
      <c r="F2083">
        <f>Table1[[#This Row],[distance from 45-degree line]]/MAX(Table1[[Flux in SC / glucose uptake ($mmol/mmol\ glc$)]:[Flux in RT / glucose uptake ($mmol/mmol\ glc$)]])</f>
        <v>0</v>
      </c>
      <c r="G2083">
        <f>_xlfn.RANK.AVG(Table1[[#This Row],[Flux in SC / glucose uptake ($mmol/mmol\ glc$)]],Table1[Flux in SC / glucose uptake ($mmol/mmol\ glc$)])</f>
        <v>1310.5</v>
      </c>
      <c r="H2083">
        <f>_xlfn.RANK.AVG(Table1[[#This Row],[Flux in RT / glucose uptake ($mmol/mmol\ glc$)]],Table1[Flux in RT / glucose uptake ($mmol/mmol\ glc$)])</f>
        <v>1290.5</v>
      </c>
      <c r="I2083" t="e">
        <f>LOG(Table1[[#This Row],[Flux in SC / glucose uptake ($mmol/mmol\ glc$)]])</f>
        <v>#NUM!</v>
      </c>
      <c r="J2083" t="e">
        <f>LOG(Table1[[#This Row],[Flux in RT / glucose uptake ($mmol/mmol\ glc$)]])</f>
        <v>#NUM!</v>
      </c>
    </row>
    <row r="2084" spans="1:10" x14ac:dyDescent="0.2">
      <c r="A2084" t="s">
        <v>2087</v>
      </c>
      <c r="B2084" t="s">
        <v>3147</v>
      </c>
      <c r="C2084">
        <v>0</v>
      </c>
      <c r="D2084">
        <v>0</v>
      </c>
      <c r="E2084">
        <f>ABS(Table1[[#This Row],[Flux in SC / glucose uptake ($mmol/mmol\ glc$)]]-Table1[[#This Row],[Flux in RT / glucose uptake ($mmol/mmol\ glc$)]])/SQRT(2)</f>
        <v>0</v>
      </c>
      <c r="F2084">
        <f>Table1[[#This Row],[distance from 45-degree line]]/MAX(Table1[[Flux in SC / glucose uptake ($mmol/mmol\ glc$)]:[Flux in RT / glucose uptake ($mmol/mmol\ glc$)]])</f>
        <v>0</v>
      </c>
      <c r="G2084">
        <f>_xlfn.RANK.AVG(Table1[[#This Row],[Flux in SC / glucose uptake ($mmol/mmol\ glc$)]],Table1[Flux in SC / glucose uptake ($mmol/mmol\ glc$)])</f>
        <v>1310.5</v>
      </c>
      <c r="H2084">
        <f>_xlfn.RANK.AVG(Table1[[#This Row],[Flux in RT / glucose uptake ($mmol/mmol\ glc$)]],Table1[Flux in RT / glucose uptake ($mmol/mmol\ glc$)])</f>
        <v>1290.5</v>
      </c>
      <c r="I2084" t="e">
        <f>LOG(Table1[[#This Row],[Flux in SC / glucose uptake ($mmol/mmol\ glc$)]])</f>
        <v>#NUM!</v>
      </c>
      <c r="J2084" t="e">
        <f>LOG(Table1[[#This Row],[Flux in RT / glucose uptake ($mmol/mmol\ glc$)]])</f>
        <v>#NUM!</v>
      </c>
    </row>
    <row r="2085" spans="1:10" x14ac:dyDescent="0.2">
      <c r="A2085" t="s">
        <v>2088</v>
      </c>
      <c r="B2085" t="s">
        <v>3147</v>
      </c>
      <c r="C2085">
        <v>0</v>
      </c>
      <c r="D2085">
        <v>0</v>
      </c>
      <c r="E2085">
        <f>ABS(Table1[[#This Row],[Flux in SC / glucose uptake ($mmol/mmol\ glc$)]]-Table1[[#This Row],[Flux in RT / glucose uptake ($mmol/mmol\ glc$)]])/SQRT(2)</f>
        <v>0</v>
      </c>
      <c r="F2085">
        <f>Table1[[#This Row],[distance from 45-degree line]]/MAX(Table1[[Flux in SC / glucose uptake ($mmol/mmol\ glc$)]:[Flux in RT / glucose uptake ($mmol/mmol\ glc$)]])</f>
        <v>0</v>
      </c>
      <c r="G2085">
        <f>_xlfn.RANK.AVG(Table1[[#This Row],[Flux in SC / glucose uptake ($mmol/mmol\ glc$)]],Table1[Flux in SC / glucose uptake ($mmol/mmol\ glc$)])</f>
        <v>1310.5</v>
      </c>
      <c r="H2085">
        <f>_xlfn.RANK.AVG(Table1[[#This Row],[Flux in RT / glucose uptake ($mmol/mmol\ glc$)]],Table1[Flux in RT / glucose uptake ($mmol/mmol\ glc$)])</f>
        <v>1290.5</v>
      </c>
      <c r="I2085" t="e">
        <f>LOG(Table1[[#This Row],[Flux in SC / glucose uptake ($mmol/mmol\ glc$)]])</f>
        <v>#NUM!</v>
      </c>
      <c r="J2085" t="e">
        <f>LOG(Table1[[#This Row],[Flux in RT / glucose uptake ($mmol/mmol\ glc$)]])</f>
        <v>#NUM!</v>
      </c>
    </row>
    <row r="2086" spans="1:10" x14ac:dyDescent="0.2">
      <c r="A2086" t="s">
        <v>2089</v>
      </c>
      <c r="B2086" t="s">
        <v>3182</v>
      </c>
      <c r="C2086">
        <v>0</v>
      </c>
      <c r="D2086">
        <v>0</v>
      </c>
      <c r="E2086">
        <f>ABS(Table1[[#This Row],[Flux in SC / glucose uptake ($mmol/mmol\ glc$)]]-Table1[[#This Row],[Flux in RT / glucose uptake ($mmol/mmol\ glc$)]])/SQRT(2)</f>
        <v>0</v>
      </c>
      <c r="F2086">
        <f>Table1[[#This Row],[distance from 45-degree line]]/MAX(Table1[[Flux in SC / glucose uptake ($mmol/mmol\ glc$)]:[Flux in RT / glucose uptake ($mmol/mmol\ glc$)]])</f>
        <v>0</v>
      </c>
      <c r="G2086">
        <f>_xlfn.RANK.AVG(Table1[[#This Row],[Flux in SC / glucose uptake ($mmol/mmol\ glc$)]],Table1[Flux in SC / glucose uptake ($mmol/mmol\ glc$)])</f>
        <v>1310.5</v>
      </c>
      <c r="H2086">
        <f>_xlfn.RANK.AVG(Table1[[#This Row],[Flux in RT / glucose uptake ($mmol/mmol\ glc$)]],Table1[Flux in RT / glucose uptake ($mmol/mmol\ glc$)])</f>
        <v>1290.5</v>
      </c>
      <c r="I2086" t="e">
        <f>LOG(Table1[[#This Row],[Flux in SC / glucose uptake ($mmol/mmol\ glc$)]])</f>
        <v>#NUM!</v>
      </c>
      <c r="J2086" t="e">
        <f>LOG(Table1[[#This Row],[Flux in RT / glucose uptake ($mmol/mmol\ glc$)]])</f>
        <v>#NUM!</v>
      </c>
    </row>
    <row r="2087" spans="1:10" x14ac:dyDescent="0.2">
      <c r="A2087" t="s">
        <v>2090</v>
      </c>
      <c r="B2087" t="s">
        <v>3118</v>
      </c>
      <c r="C2087">
        <v>0</v>
      </c>
      <c r="D2087">
        <v>0</v>
      </c>
      <c r="E2087">
        <f>ABS(Table1[[#This Row],[Flux in SC / glucose uptake ($mmol/mmol\ glc$)]]-Table1[[#This Row],[Flux in RT / glucose uptake ($mmol/mmol\ glc$)]])/SQRT(2)</f>
        <v>0</v>
      </c>
      <c r="F2087">
        <f>Table1[[#This Row],[distance from 45-degree line]]/MAX(Table1[[Flux in SC / glucose uptake ($mmol/mmol\ glc$)]:[Flux in RT / glucose uptake ($mmol/mmol\ glc$)]])</f>
        <v>0</v>
      </c>
      <c r="G2087">
        <f>_xlfn.RANK.AVG(Table1[[#This Row],[Flux in SC / glucose uptake ($mmol/mmol\ glc$)]],Table1[Flux in SC / glucose uptake ($mmol/mmol\ glc$)])</f>
        <v>1310.5</v>
      </c>
      <c r="H2087">
        <f>_xlfn.RANK.AVG(Table1[[#This Row],[Flux in RT / glucose uptake ($mmol/mmol\ glc$)]],Table1[Flux in RT / glucose uptake ($mmol/mmol\ glc$)])</f>
        <v>1290.5</v>
      </c>
      <c r="I2087" t="e">
        <f>LOG(Table1[[#This Row],[Flux in SC / glucose uptake ($mmol/mmol\ glc$)]])</f>
        <v>#NUM!</v>
      </c>
      <c r="J2087" t="e">
        <f>LOG(Table1[[#This Row],[Flux in RT / glucose uptake ($mmol/mmol\ glc$)]])</f>
        <v>#NUM!</v>
      </c>
    </row>
    <row r="2088" spans="1:10" x14ac:dyDescent="0.2">
      <c r="A2088" t="s">
        <v>2091</v>
      </c>
      <c r="B2088" t="s">
        <v>3118</v>
      </c>
      <c r="C2088">
        <v>0</v>
      </c>
      <c r="D2088">
        <v>0</v>
      </c>
      <c r="E2088">
        <f>ABS(Table1[[#This Row],[Flux in SC / glucose uptake ($mmol/mmol\ glc$)]]-Table1[[#This Row],[Flux in RT / glucose uptake ($mmol/mmol\ glc$)]])/SQRT(2)</f>
        <v>0</v>
      </c>
      <c r="F2088">
        <f>Table1[[#This Row],[distance from 45-degree line]]/MAX(Table1[[Flux in SC / glucose uptake ($mmol/mmol\ glc$)]:[Flux in RT / glucose uptake ($mmol/mmol\ glc$)]])</f>
        <v>0</v>
      </c>
      <c r="G2088">
        <f>_xlfn.RANK.AVG(Table1[[#This Row],[Flux in SC / glucose uptake ($mmol/mmol\ glc$)]],Table1[Flux in SC / glucose uptake ($mmol/mmol\ glc$)])</f>
        <v>1310.5</v>
      </c>
      <c r="H2088">
        <f>_xlfn.RANK.AVG(Table1[[#This Row],[Flux in RT / glucose uptake ($mmol/mmol\ glc$)]],Table1[Flux in RT / glucose uptake ($mmol/mmol\ glc$)])</f>
        <v>1290.5</v>
      </c>
      <c r="I2088" t="e">
        <f>LOG(Table1[[#This Row],[Flux in SC / glucose uptake ($mmol/mmol\ glc$)]])</f>
        <v>#NUM!</v>
      </c>
      <c r="J2088" t="e">
        <f>LOG(Table1[[#This Row],[Flux in RT / glucose uptake ($mmol/mmol\ glc$)]])</f>
        <v>#NUM!</v>
      </c>
    </row>
    <row r="2089" spans="1:10" x14ac:dyDescent="0.2">
      <c r="A2089" t="s">
        <v>2092</v>
      </c>
      <c r="B2089" t="s">
        <v>3118</v>
      </c>
      <c r="C2089">
        <v>0</v>
      </c>
      <c r="D2089">
        <v>0</v>
      </c>
      <c r="E2089">
        <f>ABS(Table1[[#This Row],[Flux in SC / glucose uptake ($mmol/mmol\ glc$)]]-Table1[[#This Row],[Flux in RT / glucose uptake ($mmol/mmol\ glc$)]])/SQRT(2)</f>
        <v>0</v>
      </c>
      <c r="F2089">
        <f>Table1[[#This Row],[distance from 45-degree line]]/MAX(Table1[[Flux in SC / glucose uptake ($mmol/mmol\ glc$)]:[Flux in RT / glucose uptake ($mmol/mmol\ glc$)]])</f>
        <v>0</v>
      </c>
      <c r="G2089">
        <f>_xlfn.RANK.AVG(Table1[[#This Row],[Flux in SC / glucose uptake ($mmol/mmol\ glc$)]],Table1[Flux in SC / glucose uptake ($mmol/mmol\ glc$)])</f>
        <v>1310.5</v>
      </c>
      <c r="H2089">
        <f>_xlfn.RANK.AVG(Table1[[#This Row],[Flux in RT / glucose uptake ($mmol/mmol\ glc$)]],Table1[Flux in RT / glucose uptake ($mmol/mmol\ glc$)])</f>
        <v>1290.5</v>
      </c>
      <c r="I2089" t="e">
        <f>LOG(Table1[[#This Row],[Flux in SC / glucose uptake ($mmol/mmol\ glc$)]])</f>
        <v>#NUM!</v>
      </c>
      <c r="J2089" t="e">
        <f>LOG(Table1[[#This Row],[Flux in RT / glucose uptake ($mmol/mmol\ glc$)]])</f>
        <v>#NUM!</v>
      </c>
    </row>
    <row r="2090" spans="1:10" x14ac:dyDescent="0.2">
      <c r="A2090" t="s">
        <v>2093</v>
      </c>
      <c r="B2090" t="s">
        <v>3114</v>
      </c>
      <c r="C2090">
        <v>0</v>
      </c>
      <c r="D2090">
        <v>0</v>
      </c>
      <c r="E2090">
        <f>ABS(Table1[[#This Row],[Flux in SC / glucose uptake ($mmol/mmol\ glc$)]]-Table1[[#This Row],[Flux in RT / glucose uptake ($mmol/mmol\ glc$)]])/SQRT(2)</f>
        <v>0</v>
      </c>
      <c r="F2090">
        <f>Table1[[#This Row],[distance from 45-degree line]]/MAX(Table1[[Flux in SC / glucose uptake ($mmol/mmol\ glc$)]:[Flux in RT / glucose uptake ($mmol/mmol\ glc$)]])</f>
        <v>0</v>
      </c>
      <c r="G2090">
        <f>_xlfn.RANK.AVG(Table1[[#This Row],[Flux in SC / glucose uptake ($mmol/mmol\ glc$)]],Table1[Flux in SC / glucose uptake ($mmol/mmol\ glc$)])</f>
        <v>1310.5</v>
      </c>
      <c r="H2090">
        <f>_xlfn.RANK.AVG(Table1[[#This Row],[Flux in RT / glucose uptake ($mmol/mmol\ glc$)]],Table1[Flux in RT / glucose uptake ($mmol/mmol\ glc$)])</f>
        <v>1290.5</v>
      </c>
      <c r="I2090" t="e">
        <f>LOG(Table1[[#This Row],[Flux in SC / glucose uptake ($mmol/mmol\ glc$)]])</f>
        <v>#NUM!</v>
      </c>
      <c r="J2090" t="e">
        <f>LOG(Table1[[#This Row],[Flux in RT / glucose uptake ($mmol/mmol\ glc$)]])</f>
        <v>#NUM!</v>
      </c>
    </row>
    <row r="2091" spans="1:10" x14ac:dyDescent="0.2">
      <c r="A2091" t="s">
        <v>2094</v>
      </c>
      <c r="B2091" t="s">
        <v>3114</v>
      </c>
      <c r="C2091">
        <v>0</v>
      </c>
      <c r="D2091">
        <v>0</v>
      </c>
      <c r="E2091">
        <f>ABS(Table1[[#This Row],[Flux in SC / glucose uptake ($mmol/mmol\ glc$)]]-Table1[[#This Row],[Flux in RT / glucose uptake ($mmol/mmol\ glc$)]])/SQRT(2)</f>
        <v>0</v>
      </c>
      <c r="F2091">
        <f>Table1[[#This Row],[distance from 45-degree line]]/MAX(Table1[[Flux in SC / glucose uptake ($mmol/mmol\ glc$)]:[Flux in RT / glucose uptake ($mmol/mmol\ glc$)]])</f>
        <v>0</v>
      </c>
      <c r="G2091">
        <f>_xlfn.RANK.AVG(Table1[[#This Row],[Flux in SC / glucose uptake ($mmol/mmol\ glc$)]],Table1[Flux in SC / glucose uptake ($mmol/mmol\ glc$)])</f>
        <v>1310.5</v>
      </c>
      <c r="H2091">
        <f>_xlfn.RANK.AVG(Table1[[#This Row],[Flux in RT / glucose uptake ($mmol/mmol\ glc$)]],Table1[Flux in RT / glucose uptake ($mmol/mmol\ glc$)])</f>
        <v>1290.5</v>
      </c>
      <c r="I2091" t="e">
        <f>LOG(Table1[[#This Row],[Flux in SC / glucose uptake ($mmol/mmol\ glc$)]])</f>
        <v>#NUM!</v>
      </c>
      <c r="J2091" t="e">
        <f>LOG(Table1[[#This Row],[Flux in RT / glucose uptake ($mmol/mmol\ glc$)]])</f>
        <v>#NUM!</v>
      </c>
    </row>
    <row r="2092" spans="1:10" x14ac:dyDescent="0.2">
      <c r="A2092" t="s">
        <v>2095</v>
      </c>
      <c r="B2092" t="s">
        <v>3132</v>
      </c>
      <c r="C2092">
        <v>0</v>
      </c>
      <c r="D2092">
        <v>0</v>
      </c>
      <c r="E2092">
        <f>ABS(Table1[[#This Row],[Flux in SC / glucose uptake ($mmol/mmol\ glc$)]]-Table1[[#This Row],[Flux in RT / glucose uptake ($mmol/mmol\ glc$)]])/SQRT(2)</f>
        <v>0</v>
      </c>
      <c r="F2092">
        <f>Table1[[#This Row],[distance from 45-degree line]]/MAX(Table1[[Flux in SC / glucose uptake ($mmol/mmol\ glc$)]:[Flux in RT / glucose uptake ($mmol/mmol\ glc$)]])</f>
        <v>0</v>
      </c>
      <c r="G2092">
        <f>_xlfn.RANK.AVG(Table1[[#This Row],[Flux in SC / glucose uptake ($mmol/mmol\ glc$)]],Table1[Flux in SC / glucose uptake ($mmol/mmol\ glc$)])</f>
        <v>1310.5</v>
      </c>
      <c r="H2092">
        <f>_xlfn.RANK.AVG(Table1[[#This Row],[Flux in RT / glucose uptake ($mmol/mmol\ glc$)]],Table1[Flux in RT / glucose uptake ($mmol/mmol\ glc$)])</f>
        <v>1290.5</v>
      </c>
      <c r="I2092" t="e">
        <f>LOG(Table1[[#This Row],[Flux in SC / glucose uptake ($mmol/mmol\ glc$)]])</f>
        <v>#NUM!</v>
      </c>
      <c r="J2092" t="e">
        <f>LOG(Table1[[#This Row],[Flux in RT / glucose uptake ($mmol/mmol\ glc$)]])</f>
        <v>#NUM!</v>
      </c>
    </row>
    <row r="2093" spans="1:10" x14ac:dyDescent="0.2">
      <c r="A2093" t="s">
        <v>2096</v>
      </c>
      <c r="B2093" t="s">
        <v>3143</v>
      </c>
      <c r="C2093">
        <v>0</v>
      </c>
      <c r="D2093">
        <v>0</v>
      </c>
      <c r="E2093">
        <f>ABS(Table1[[#This Row],[Flux in SC / glucose uptake ($mmol/mmol\ glc$)]]-Table1[[#This Row],[Flux in RT / glucose uptake ($mmol/mmol\ glc$)]])/SQRT(2)</f>
        <v>0</v>
      </c>
      <c r="F2093">
        <f>Table1[[#This Row],[distance from 45-degree line]]/MAX(Table1[[Flux in SC / glucose uptake ($mmol/mmol\ glc$)]:[Flux in RT / glucose uptake ($mmol/mmol\ glc$)]])</f>
        <v>0</v>
      </c>
      <c r="G2093">
        <f>_xlfn.RANK.AVG(Table1[[#This Row],[Flux in SC / glucose uptake ($mmol/mmol\ glc$)]],Table1[Flux in SC / glucose uptake ($mmol/mmol\ glc$)])</f>
        <v>1310.5</v>
      </c>
      <c r="H2093">
        <f>_xlfn.RANK.AVG(Table1[[#This Row],[Flux in RT / glucose uptake ($mmol/mmol\ glc$)]],Table1[Flux in RT / glucose uptake ($mmol/mmol\ glc$)])</f>
        <v>1290.5</v>
      </c>
      <c r="I2093" t="e">
        <f>LOG(Table1[[#This Row],[Flux in SC / glucose uptake ($mmol/mmol\ glc$)]])</f>
        <v>#NUM!</v>
      </c>
      <c r="J2093" t="e">
        <f>LOG(Table1[[#This Row],[Flux in RT / glucose uptake ($mmol/mmol\ glc$)]])</f>
        <v>#NUM!</v>
      </c>
    </row>
    <row r="2094" spans="1:10" x14ac:dyDescent="0.2">
      <c r="A2094" t="s">
        <v>2097</v>
      </c>
      <c r="B2094" t="s">
        <v>3150</v>
      </c>
      <c r="C2094">
        <v>5.5815537528825745E-5</v>
      </c>
      <c r="D2094">
        <v>4.3568713458676944E-4</v>
      </c>
      <c r="E2094">
        <f>ABS(Table1[[#This Row],[Flux in SC / glucose uptake ($mmol/mmol\ glc$)]]-Table1[[#This Row],[Flux in RT / glucose uptake ($mmol/mmol\ glc$)]])/SQRT(2)</f>
        <v>2.6860978225983574E-4</v>
      </c>
      <c r="F2094">
        <f>Table1[[#This Row],[distance from 45-degree line]]/MAX(Table1[[Flux in SC / glucose uptake ($mmol/mmol\ glc$)]:[Flux in RT / glucose uptake ($mmol/mmol\ glc$)]])</f>
        <v>1.4477760762331678E-5</v>
      </c>
      <c r="G2094">
        <f>_xlfn.RANK.AVG(Table1[[#This Row],[Flux in SC / glucose uptake ($mmol/mmol\ glc$)]],Table1[Flux in SC / glucose uptake ($mmol/mmol\ glc$)])</f>
        <v>270</v>
      </c>
      <c r="H2094">
        <f>_xlfn.RANK.AVG(Table1[[#This Row],[Flux in RT / glucose uptake ($mmol/mmol\ glc$)]],Table1[Flux in RT / glucose uptake ($mmol/mmol\ glc$)])</f>
        <v>267.5</v>
      </c>
      <c r="I2094">
        <f>LOG(Table1[[#This Row],[Flux in SC / glucose uptake ($mmol/mmol\ glc$)]])</f>
        <v>-4.2532448884507108</v>
      </c>
      <c r="J2094">
        <f>LOG(Table1[[#This Row],[Flux in RT / glucose uptake ($mmol/mmol\ glc$)]])</f>
        <v>-3.36082526416447</v>
      </c>
    </row>
    <row r="2095" spans="1:10" x14ac:dyDescent="0.2">
      <c r="A2095" t="s">
        <v>2098</v>
      </c>
      <c r="B2095" t="s">
        <v>3150</v>
      </c>
      <c r="C2095">
        <v>0</v>
      </c>
      <c r="D2095">
        <v>0</v>
      </c>
      <c r="E2095">
        <f>ABS(Table1[[#This Row],[Flux in SC / glucose uptake ($mmol/mmol\ glc$)]]-Table1[[#This Row],[Flux in RT / glucose uptake ($mmol/mmol\ glc$)]])/SQRT(2)</f>
        <v>0</v>
      </c>
      <c r="F2095">
        <f>Table1[[#This Row],[distance from 45-degree line]]/MAX(Table1[[Flux in SC / glucose uptake ($mmol/mmol\ glc$)]:[Flux in RT / glucose uptake ($mmol/mmol\ glc$)]])</f>
        <v>0</v>
      </c>
      <c r="G2095">
        <f>_xlfn.RANK.AVG(Table1[[#This Row],[Flux in SC / glucose uptake ($mmol/mmol\ glc$)]],Table1[Flux in SC / glucose uptake ($mmol/mmol\ glc$)])</f>
        <v>1310.5</v>
      </c>
      <c r="H2095">
        <f>_xlfn.RANK.AVG(Table1[[#This Row],[Flux in RT / glucose uptake ($mmol/mmol\ glc$)]],Table1[Flux in RT / glucose uptake ($mmol/mmol\ glc$)])</f>
        <v>1290.5</v>
      </c>
      <c r="I2095" t="e">
        <f>LOG(Table1[[#This Row],[Flux in SC / glucose uptake ($mmol/mmol\ glc$)]])</f>
        <v>#NUM!</v>
      </c>
      <c r="J2095" t="e">
        <f>LOG(Table1[[#This Row],[Flux in RT / glucose uptake ($mmol/mmol\ glc$)]])</f>
        <v>#NUM!</v>
      </c>
    </row>
    <row r="2096" spans="1:10" x14ac:dyDescent="0.2">
      <c r="A2096" t="s">
        <v>2099</v>
      </c>
      <c r="B2096" t="s">
        <v>3162</v>
      </c>
      <c r="C2096">
        <v>3.7671604889174589E-5</v>
      </c>
      <c r="D2096">
        <v>6.8003155854373632E-4</v>
      </c>
      <c r="E2096">
        <f>ABS(Table1[[#This Row],[Flux in SC / glucose uptake ($mmol/mmol\ glc$)]]-Table1[[#This Row],[Flux in RT / glucose uptake ($mmol/mmol\ glc$)]])/SQRT(2)</f>
        <v>4.5421707919181693E-4</v>
      </c>
      <c r="F2096">
        <f>Table1[[#This Row],[distance from 45-degree line]]/MAX(Table1[[Flux in SC / glucose uptake ($mmol/mmol\ glc$)]:[Flux in RT / glucose uptake ($mmol/mmol\ glc$)]])</f>
        <v>2.4481782276800871E-5</v>
      </c>
      <c r="G2096">
        <f>_xlfn.RANK.AVG(Table1[[#This Row],[Flux in SC / glucose uptake ($mmol/mmol\ glc$)]],Table1[Flux in SC / glucose uptake ($mmol/mmol\ glc$)])</f>
        <v>276.5</v>
      </c>
      <c r="H2096">
        <f>_xlfn.RANK.AVG(Table1[[#This Row],[Flux in RT / glucose uptake ($mmol/mmol\ glc$)]],Table1[Flux in RT / glucose uptake ($mmol/mmol\ glc$)])</f>
        <v>260.5</v>
      </c>
      <c r="I2096">
        <f>LOG(Table1[[#This Row],[Flux in SC / glucose uptake ($mmol/mmol\ glc$)]])</f>
        <v>-4.4239858775491703</v>
      </c>
      <c r="J2096">
        <f>LOG(Table1[[#This Row],[Flux in RT / glucose uptake ($mmol/mmol\ glc$)]])</f>
        <v>-3.1674709323182149</v>
      </c>
    </row>
    <row r="2097" spans="1:10" x14ac:dyDescent="0.2">
      <c r="A2097" t="s">
        <v>2100</v>
      </c>
      <c r="B2097" t="s">
        <v>3150</v>
      </c>
      <c r="C2097">
        <v>0</v>
      </c>
      <c r="D2097">
        <v>0</v>
      </c>
      <c r="E2097">
        <f>ABS(Table1[[#This Row],[Flux in SC / glucose uptake ($mmol/mmol\ glc$)]]-Table1[[#This Row],[Flux in RT / glucose uptake ($mmol/mmol\ glc$)]])/SQRT(2)</f>
        <v>0</v>
      </c>
      <c r="F2097">
        <f>Table1[[#This Row],[distance from 45-degree line]]/MAX(Table1[[Flux in SC / glucose uptake ($mmol/mmol\ glc$)]:[Flux in RT / glucose uptake ($mmol/mmol\ glc$)]])</f>
        <v>0</v>
      </c>
      <c r="G2097">
        <f>_xlfn.RANK.AVG(Table1[[#This Row],[Flux in SC / glucose uptake ($mmol/mmol\ glc$)]],Table1[Flux in SC / glucose uptake ($mmol/mmol\ glc$)])</f>
        <v>1310.5</v>
      </c>
      <c r="H2097">
        <f>_xlfn.RANK.AVG(Table1[[#This Row],[Flux in RT / glucose uptake ($mmol/mmol\ glc$)]],Table1[Flux in RT / glucose uptake ($mmol/mmol\ glc$)])</f>
        <v>1290.5</v>
      </c>
      <c r="I2097" t="e">
        <f>LOG(Table1[[#This Row],[Flux in SC / glucose uptake ($mmol/mmol\ glc$)]])</f>
        <v>#NUM!</v>
      </c>
      <c r="J2097" t="e">
        <f>LOG(Table1[[#This Row],[Flux in RT / glucose uptake ($mmol/mmol\ glc$)]])</f>
        <v>#NUM!</v>
      </c>
    </row>
    <row r="2098" spans="1:10" x14ac:dyDescent="0.2">
      <c r="A2098" t="s">
        <v>2101</v>
      </c>
      <c r="B2098" t="s">
        <v>3150</v>
      </c>
      <c r="C2098">
        <v>3.7671604889174589E-5</v>
      </c>
      <c r="D2098">
        <v>6.8003155854373632E-4</v>
      </c>
      <c r="E2098">
        <f>ABS(Table1[[#This Row],[Flux in SC / glucose uptake ($mmol/mmol\ glc$)]]-Table1[[#This Row],[Flux in RT / glucose uptake ($mmol/mmol\ glc$)]])/SQRT(2)</f>
        <v>4.5421707919181693E-4</v>
      </c>
      <c r="F2098">
        <f>Table1[[#This Row],[distance from 45-degree line]]/MAX(Table1[[Flux in SC / glucose uptake ($mmol/mmol\ glc$)]:[Flux in RT / glucose uptake ($mmol/mmol\ glc$)]])</f>
        <v>2.4481782276800871E-5</v>
      </c>
      <c r="G2098">
        <f>_xlfn.RANK.AVG(Table1[[#This Row],[Flux in SC / glucose uptake ($mmol/mmol\ glc$)]],Table1[Flux in SC / glucose uptake ($mmol/mmol\ glc$)])</f>
        <v>276.5</v>
      </c>
      <c r="H2098">
        <f>_xlfn.RANK.AVG(Table1[[#This Row],[Flux in RT / glucose uptake ($mmol/mmol\ glc$)]],Table1[Flux in RT / glucose uptake ($mmol/mmol\ glc$)])</f>
        <v>260.5</v>
      </c>
      <c r="I2098">
        <f>LOG(Table1[[#This Row],[Flux in SC / glucose uptake ($mmol/mmol\ glc$)]])</f>
        <v>-4.4239858775491703</v>
      </c>
      <c r="J2098">
        <f>LOG(Table1[[#This Row],[Flux in RT / glucose uptake ($mmol/mmol\ glc$)]])</f>
        <v>-3.1674709323182149</v>
      </c>
    </row>
    <row r="2099" spans="1:10" x14ac:dyDescent="0.2">
      <c r="A2099" t="s">
        <v>2102</v>
      </c>
      <c r="B2099" t="s">
        <v>3150</v>
      </c>
      <c r="C2099">
        <v>0</v>
      </c>
      <c r="D2099">
        <v>0</v>
      </c>
      <c r="E2099">
        <f>ABS(Table1[[#This Row],[Flux in SC / glucose uptake ($mmol/mmol\ glc$)]]-Table1[[#This Row],[Flux in RT / glucose uptake ($mmol/mmol\ glc$)]])/SQRT(2)</f>
        <v>0</v>
      </c>
      <c r="F2099">
        <f>Table1[[#This Row],[distance from 45-degree line]]/MAX(Table1[[Flux in SC / glucose uptake ($mmol/mmol\ glc$)]:[Flux in RT / glucose uptake ($mmol/mmol\ glc$)]])</f>
        <v>0</v>
      </c>
      <c r="G2099">
        <f>_xlfn.RANK.AVG(Table1[[#This Row],[Flux in SC / glucose uptake ($mmol/mmol\ glc$)]],Table1[Flux in SC / glucose uptake ($mmol/mmol\ glc$)])</f>
        <v>1310.5</v>
      </c>
      <c r="H2099">
        <f>_xlfn.RANK.AVG(Table1[[#This Row],[Flux in RT / glucose uptake ($mmol/mmol\ glc$)]],Table1[Flux in RT / glucose uptake ($mmol/mmol\ glc$)])</f>
        <v>1290.5</v>
      </c>
      <c r="I2099" t="e">
        <f>LOG(Table1[[#This Row],[Flux in SC / glucose uptake ($mmol/mmol\ glc$)]])</f>
        <v>#NUM!</v>
      </c>
      <c r="J2099" t="e">
        <f>LOG(Table1[[#This Row],[Flux in RT / glucose uptake ($mmol/mmol\ glc$)]])</f>
        <v>#NUM!</v>
      </c>
    </row>
    <row r="2100" spans="1:10" x14ac:dyDescent="0.2">
      <c r="A2100" t="s">
        <v>2103</v>
      </c>
      <c r="B2100" t="s">
        <v>3162</v>
      </c>
      <c r="C2100">
        <v>5.5815537528825745E-5</v>
      </c>
      <c r="D2100">
        <v>4.3568713458676944E-4</v>
      </c>
      <c r="E2100">
        <f>ABS(Table1[[#This Row],[Flux in SC / glucose uptake ($mmol/mmol\ glc$)]]-Table1[[#This Row],[Flux in RT / glucose uptake ($mmol/mmol\ glc$)]])/SQRT(2)</f>
        <v>2.6860978225983574E-4</v>
      </c>
      <c r="F2100">
        <f>Table1[[#This Row],[distance from 45-degree line]]/MAX(Table1[[Flux in SC / glucose uptake ($mmol/mmol\ glc$)]:[Flux in RT / glucose uptake ($mmol/mmol\ glc$)]])</f>
        <v>1.4477760762331678E-5</v>
      </c>
      <c r="G2100">
        <f>_xlfn.RANK.AVG(Table1[[#This Row],[Flux in SC / glucose uptake ($mmol/mmol\ glc$)]],Table1[Flux in SC / glucose uptake ($mmol/mmol\ glc$)])</f>
        <v>270</v>
      </c>
      <c r="H2100">
        <f>_xlfn.RANK.AVG(Table1[[#This Row],[Flux in RT / glucose uptake ($mmol/mmol\ glc$)]],Table1[Flux in RT / glucose uptake ($mmol/mmol\ glc$)])</f>
        <v>267.5</v>
      </c>
      <c r="I2100">
        <f>LOG(Table1[[#This Row],[Flux in SC / glucose uptake ($mmol/mmol\ glc$)]])</f>
        <v>-4.2532448884507108</v>
      </c>
      <c r="J2100">
        <f>LOG(Table1[[#This Row],[Flux in RT / glucose uptake ($mmol/mmol\ glc$)]])</f>
        <v>-3.36082526416447</v>
      </c>
    </row>
    <row r="2101" spans="1:10" x14ac:dyDescent="0.2">
      <c r="A2101" t="s">
        <v>2104</v>
      </c>
      <c r="B2101" t="s">
        <v>3162</v>
      </c>
      <c r="C2101">
        <v>0</v>
      </c>
      <c r="D2101">
        <v>0</v>
      </c>
      <c r="E2101">
        <f>ABS(Table1[[#This Row],[Flux in SC / glucose uptake ($mmol/mmol\ glc$)]]-Table1[[#This Row],[Flux in RT / glucose uptake ($mmol/mmol\ glc$)]])/SQRT(2)</f>
        <v>0</v>
      </c>
      <c r="F2101">
        <f>Table1[[#This Row],[distance from 45-degree line]]/MAX(Table1[[Flux in SC / glucose uptake ($mmol/mmol\ glc$)]:[Flux in RT / glucose uptake ($mmol/mmol\ glc$)]])</f>
        <v>0</v>
      </c>
      <c r="G2101">
        <f>_xlfn.RANK.AVG(Table1[[#This Row],[Flux in SC / glucose uptake ($mmol/mmol\ glc$)]],Table1[Flux in SC / glucose uptake ($mmol/mmol\ glc$)])</f>
        <v>1310.5</v>
      </c>
      <c r="H2101">
        <f>_xlfn.RANK.AVG(Table1[[#This Row],[Flux in RT / glucose uptake ($mmol/mmol\ glc$)]],Table1[Flux in RT / glucose uptake ($mmol/mmol\ glc$)])</f>
        <v>1290.5</v>
      </c>
      <c r="I2101" t="e">
        <f>LOG(Table1[[#This Row],[Flux in SC / glucose uptake ($mmol/mmol\ glc$)]])</f>
        <v>#NUM!</v>
      </c>
      <c r="J2101" t="e">
        <f>LOG(Table1[[#This Row],[Flux in RT / glucose uptake ($mmol/mmol\ glc$)]])</f>
        <v>#NUM!</v>
      </c>
    </row>
    <row r="2102" spans="1:10" x14ac:dyDescent="0.2">
      <c r="A2102" t="s">
        <v>2105</v>
      </c>
      <c r="B2102" t="s">
        <v>3158</v>
      </c>
      <c r="C2102">
        <v>0</v>
      </c>
      <c r="D2102">
        <v>0</v>
      </c>
      <c r="E2102">
        <f>ABS(Table1[[#This Row],[Flux in SC / glucose uptake ($mmol/mmol\ glc$)]]-Table1[[#This Row],[Flux in RT / glucose uptake ($mmol/mmol\ glc$)]])/SQRT(2)</f>
        <v>0</v>
      </c>
      <c r="F2102">
        <f>Table1[[#This Row],[distance from 45-degree line]]/MAX(Table1[[Flux in SC / glucose uptake ($mmol/mmol\ glc$)]:[Flux in RT / glucose uptake ($mmol/mmol\ glc$)]])</f>
        <v>0</v>
      </c>
      <c r="G2102">
        <f>_xlfn.RANK.AVG(Table1[[#This Row],[Flux in SC / glucose uptake ($mmol/mmol\ glc$)]],Table1[Flux in SC / glucose uptake ($mmol/mmol\ glc$)])</f>
        <v>1310.5</v>
      </c>
      <c r="H2102">
        <f>_xlfn.RANK.AVG(Table1[[#This Row],[Flux in RT / glucose uptake ($mmol/mmol\ glc$)]],Table1[Flux in RT / glucose uptake ($mmol/mmol\ glc$)])</f>
        <v>1290.5</v>
      </c>
      <c r="I2102" t="e">
        <f>LOG(Table1[[#This Row],[Flux in SC / glucose uptake ($mmol/mmol\ glc$)]])</f>
        <v>#NUM!</v>
      </c>
      <c r="J2102" t="e">
        <f>LOG(Table1[[#This Row],[Flux in RT / glucose uptake ($mmol/mmol\ glc$)]])</f>
        <v>#NUM!</v>
      </c>
    </row>
    <row r="2103" spans="1:10" x14ac:dyDescent="0.2">
      <c r="A2103" t="s">
        <v>2106</v>
      </c>
      <c r="B2103" t="s">
        <v>3182</v>
      </c>
      <c r="C2103">
        <v>1.2293928021921859E-2</v>
      </c>
      <c r="D2103">
        <v>0.31978827138319027</v>
      </c>
      <c r="E2103">
        <f>ABS(Table1[[#This Row],[Flux in SC / glucose uptake ($mmol/mmol\ glc$)]]-Table1[[#This Row],[Flux in RT / glucose uptake ($mmol/mmol\ glc$)]])/SQRT(2)</f>
        <v>0.21743133536725751</v>
      </c>
      <c r="F2103">
        <f>Table1[[#This Row],[distance from 45-degree line]]/MAX(Table1[[Flux in SC / glucose uptake ($mmol/mmol\ glc$)]:[Flux in RT / glucose uptake ($mmol/mmol\ glc$)]])</f>
        <v>1.171930087280428E-2</v>
      </c>
      <c r="G2103">
        <f>_xlfn.RANK.AVG(Table1[[#This Row],[Flux in SC / glucose uptake ($mmol/mmol\ glc$)]],Table1[Flux in SC / glucose uptake ($mmol/mmol\ glc$)])</f>
        <v>76</v>
      </c>
      <c r="H2103">
        <f>_xlfn.RANK.AVG(Table1[[#This Row],[Flux in RT / glucose uptake ($mmol/mmol\ glc$)]],Table1[Flux in RT / glucose uptake ($mmol/mmol\ glc$)])</f>
        <v>55</v>
      </c>
      <c r="I2103">
        <f>LOG(Table1[[#This Row],[Flux in SC / glucose uptake ($mmol/mmol\ glc$)]])</f>
        <v>-1.9103093339005091</v>
      </c>
      <c r="J2103">
        <f>LOG(Table1[[#This Row],[Flux in RT / glucose uptake ($mmol/mmol\ glc$)]])</f>
        <v>-0.49513746856654445</v>
      </c>
    </row>
    <row r="2104" spans="1:10" x14ac:dyDescent="0.2">
      <c r="A2104" t="s">
        <v>2107</v>
      </c>
      <c r="B2104" t="s">
        <v>3182</v>
      </c>
      <c r="C2104">
        <v>2.1723803094968682E-2</v>
      </c>
      <c r="D2104">
        <v>0.31520343975643439</v>
      </c>
      <c r="E2104">
        <f>ABS(Table1[[#This Row],[Flux in SC / glucose uptake ($mmol/mmol\ glc$)]]-Table1[[#This Row],[Flux in RT / glucose uptake ($mmol/mmol\ glc$)]])/SQRT(2)</f>
        <v>0.20752144122348648</v>
      </c>
      <c r="F2104">
        <f>Table1[[#This Row],[distance from 45-degree line]]/MAX(Table1[[Flux in SC / glucose uptake ($mmol/mmol\ glc$)]:[Flux in RT / glucose uptake ($mmol/mmol\ glc$)]])</f>
        <v>1.118516888629769E-2</v>
      </c>
      <c r="G2104">
        <f>_xlfn.RANK.AVG(Table1[[#This Row],[Flux in SC / glucose uptake ($mmol/mmol\ glc$)]],Table1[Flux in SC / glucose uptake ($mmol/mmol\ glc$)])</f>
        <v>64</v>
      </c>
      <c r="H2104">
        <f>_xlfn.RANK.AVG(Table1[[#This Row],[Flux in RT / glucose uptake ($mmol/mmol\ glc$)]],Table1[Flux in RT / glucose uptake ($mmol/mmol\ glc$)])</f>
        <v>56</v>
      </c>
      <c r="I2104">
        <f>LOG(Table1[[#This Row],[Flux in SC / glucose uptake ($mmol/mmol\ glc$)]])</f>
        <v>-1.6630641423163515</v>
      </c>
      <c r="J2104">
        <f>LOG(Table1[[#This Row],[Flux in RT / glucose uptake ($mmol/mmol\ glc$)]])</f>
        <v>-0.50140905178182438</v>
      </c>
    </row>
    <row r="2105" spans="1:10" x14ac:dyDescent="0.2">
      <c r="A2105" t="s">
        <v>2108</v>
      </c>
      <c r="B2105" t="s">
        <v>3133</v>
      </c>
      <c r="C2105">
        <v>4.3726454067801205E-3</v>
      </c>
      <c r="D2105">
        <v>1.9790448225238604E-2</v>
      </c>
      <c r="E2105">
        <f>ABS(Table1[[#This Row],[Flux in SC / glucose uptake ($mmol/mmol\ glc$)]]-Table1[[#This Row],[Flux in RT / glucose uptake ($mmol/mmol\ glc$)]])/SQRT(2)</f>
        <v>1.0902032923929057E-2</v>
      </c>
      <c r="F2105">
        <f>Table1[[#This Row],[distance from 45-degree line]]/MAX(Table1[[Flux in SC / glucose uptake ($mmol/mmol\ glc$)]:[Flux in RT / glucose uptake ($mmol/mmol\ glc$)]])</f>
        <v>5.876071346613388E-4</v>
      </c>
      <c r="G2105">
        <f>_xlfn.RANK.AVG(Table1[[#This Row],[Flux in SC / glucose uptake ($mmol/mmol\ glc$)]],Table1[Flux in SC / glucose uptake ($mmol/mmol\ glc$)])</f>
        <v>124</v>
      </c>
      <c r="H2105">
        <f>_xlfn.RANK.AVG(Table1[[#This Row],[Flux in RT / glucose uptake ($mmol/mmol\ glc$)]],Table1[Flux in RT / glucose uptake ($mmol/mmol\ glc$)])</f>
        <v>143</v>
      </c>
      <c r="I2105">
        <f>LOG(Table1[[#This Row],[Flux in SC / glucose uptake ($mmol/mmol\ glc$)]])</f>
        <v>-2.3592557396966845</v>
      </c>
      <c r="J2105">
        <f>LOG(Table1[[#This Row],[Flux in RT / glucose uptake ($mmol/mmol\ glc$)]])</f>
        <v>-1.7035443695357284</v>
      </c>
    </row>
    <row r="2106" spans="1:10" x14ac:dyDescent="0.2">
      <c r="A2106" t="s">
        <v>2109</v>
      </c>
      <c r="B2106" t="s">
        <v>3133</v>
      </c>
      <c r="C2106">
        <v>4.3726454067801205E-3</v>
      </c>
      <c r="D2106">
        <v>1.9790448225238604E-2</v>
      </c>
      <c r="E2106">
        <f>ABS(Table1[[#This Row],[Flux in SC / glucose uptake ($mmol/mmol\ glc$)]]-Table1[[#This Row],[Flux in RT / glucose uptake ($mmol/mmol\ glc$)]])/SQRT(2)</f>
        <v>1.0902032923929057E-2</v>
      </c>
      <c r="F2106">
        <f>Table1[[#This Row],[distance from 45-degree line]]/MAX(Table1[[Flux in SC / glucose uptake ($mmol/mmol\ glc$)]:[Flux in RT / glucose uptake ($mmol/mmol\ glc$)]])</f>
        <v>5.876071346613388E-4</v>
      </c>
      <c r="G2106">
        <f>_xlfn.RANK.AVG(Table1[[#This Row],[Flux in SC / glucose uptake ($mmol/mmol\ glc$)]],Table1[Flux in SC / glucose uptake ($mmol/mmol\ glc$)])</f>
        <v>124</v>
      </c>
      <c r="H2106">
        <f>_xlfn.RANK.AVG(Table1[[#This Row],[Flux in RT / glucose uptake ($mmol/mmol\ glc$)]],Table1[Flux in RT / glucose uptake ($mmol/mmol\ glc$)])</f>
        <v>143</v>
      </c>
      <c r="I2106">
        <f>LOG(Table1[[#This Row],[Flux in SC / glucose uptake ($mmol/mmol\ glc$)]])</f>
        <v>-2.3592557396966845</v>
      </c>
      <c r="J2106">
        <f>LOG(Table1[[#This Row],[Flux in RT / glucose uptake ($mmol/mmol\ glc$)]])</f>
        <v>-1.7035443695357284</v>
      </c>
    </row>
    <row r="2107" spans="1:10" x14ac:dyDescent="0.2">
      <c r="A2107" t="s">
        <v>2110</v>
      </c>
      <c r="B2107" t="s">
        <v>3150</v>
      </c>
      <c r="C2107">
        <v>8.5189991572330451E-4</v>
      </c>
      <c r="D2107">
        <v>3.8556390008188785E-3</v>
      </c>
      <c r="E2107">
        <f>ABS(Table1[[#This Row],[Flux in SC / glucose uptake ($mmol/mmol\ glc$)]]-Table1[[#This Row],[Flux in RT / glucose uptake ($mmol/mmol\ glc$)]])/SQRT(2)</f>
        <v>2.1239642759861561E-3</v>
      </c>
      <c r="F2107">
        <f>Table1[[#This Row],[distance from 45-degree line]]/MAX(Table1[[Flux in SC / glucose uptake ($mmol/mmol\ glc$)]:[Flux in RT / glucose uptake ($mmol/mmol\ glc$)]])</f>
        <v>1.1447925089236244E-4</v>
      </c>
      <c r="G2107">
        <f>_xlfn.RANK.AVG(Table1[[#This Row],[Flux in SC / glucose uptake ($mmol/mmol\ glc$)]],Table1[Flux in SC / glucose uptake ($mmol/mmol\ glc$)])</f>
        <v>226.5</v>
      </c>
      <c r="H2107">
        <f>_xlfn.RANK.AVG(Table1[[#This Row],[Flux in RT / glucose uptake ($mmol/mmol\ glc$)]],Table1[Flux in RT / glucose uptake ($mmol/mmol\ glc$)])</f>
        <v>245</v>
      </c>
      <c r="I2107">
        <f>LOG(Table1[[#This Row],[Flux in SC / glucose uptake ($mmol/mmol\ glc$)]])</f>
        <v>-3.0696114247195303</v>
      </c>
      <c r="J2107">
        <f>LOG(Table1[[#This Row],[Flux in RT / glucose uptake ($mmol/mmol\ glc$)]])</f>
        <v>-2.413903635373893</v>
      </c>
    </row>
    <row r="2108" spans="1:10" x14ac:dyDescent="0.2">
      <c r="A2108" t="s">
        <v>2111</v>
      </c>
      <c r="B2108" t="s">
        <v>3207</v>
      </c>
      <c r="C2108">
        <v>0</v>
      </c>
      <c r="D2108">
        <v>0</v>
      </c>
      <c r="E2108">
        <f>ABS(Table1[[#This Row],[Flux in SC / glucose uptake ($mmol/mmol\ glc$)]]-Table1[[#This Row],[Flux in RT / glucose uptake ($mmol/mmol\ glc$)]])/SQRT(2)</f>
        <v>0</v>
      </c>
      <c r="F2108">
        <f>Table1[[#This Row],[distance from 45-degree line]]/MAX(Table1[[Flux in SC / glucose uptake ($mmol/mmol\ glc$)]:[Flux in RT / glucose uptake ($mmol/mmol\ glc$)]])</f>
        <v>0</v>
      </c>
      <c r="G2108">
        <f>_xlfn.RANK.AVG(Table1[[#This Row],[Flux in SC / glucose uptake ($mmol/mmol\ glc$)]],Table1[Flux in SC / glucose uptake ($mmol/mmol\ glc$)])</f>
        <v>1310.5</v>
      </c>
      <c r="H2108">
        <f>_xlfn.RANK.AVG(Table1[[#This Row],[Flux in RT / glucose uptake ($mmol/mmol\ glc$)]],Table1[Flux in RT / glucose uptake ($mmol/mmol\ glc$)])</f>
        <v>1290.5</v>
      </c>
      <c r="I2108" t="e">
        <f>LOG(Table1[[#This Row],[Flux in SC / glucose uptake ($mmol/mmol\ glc$)]])</f>
        <v>#NUM!</v>
      </c>
      <c r="J2108" t="e">
        <f>LOG(Table1[[#This Row],[Flux in RT / glucose uptake ($mmol/mmol\ glc$)]])</f>
        <v>#NUM!</v>
      </c>
    </row>
    <row r="2109" spans="1:10" x14ac:dyDescent="0.2">
      <c r="A2109" t="s">
        <v>2112</v>
      </c>
      <c r="B2109" t="s">
        <v>3167</v>
      </c>
      <c r="C2109">
        <v>4.6952544129674761E-4</v>
      </c>
      <c r="D2109">
        <v>3.8791354599756874E-3</v>
      </c>
      <c r="E2109">
        <f>ABS(Table1[[#This Row],[Flux in SC / glucose uptake ($mmol/mmol\ glc$)]]-Table1[[#This Row],[Flux in RT / glucose uptake ($mmol/mmol\ glc$)]])/SQRT(2)</f>
        <v>2.4109583654094691E-3</v>
      </c>
      <c r="F2109">
        <f>Table1[[#This Row],[distance from 45-degree line]]/MAX(Table1[[Flux in SC / glucose uptake ($mmol/mmol\ glc$)]:[Flux in RT / glucose uptake ($mmol/mmol\ glc$)]])</f>
        <v>1.2994790483309882E-4</v>
      </c>
      <c r="G2109">
        <f>_xlfn.RANK.AVG(Table1[[#This Row],[Flux in SC / glucose uptake ($mmol/mmol\ glc$)]],Table1[Flux in SC / glucose uptake ($mmol/mmol\ glc$)])</f>
        <v>243.5</v>
      </c>
      <c r="H2109">
        <f>_xlfn.RANK.AVG(Table1[[#This Row],[Flux in RT / glucose uptake ($mmol/mmol\ glc$)]],Table1[Flux in RT / glucose uptake ($mmol/mmol\ glc$)])</f>
        <v>232.5</v>
      </c>
      <c r="I2109">
        <f>LOG(Table1[[#This Row],[Flux in SC / glucose uptake ($mmol/mmol\ glc$)]])</f>
        <v>-3.3283408704576396</v>
      </c>
      <c r="J2109">
        <f>LOG(Table1[[#This Row],[Flux in RT / glucose uptake ($mmol/mmol\ glc$)]])</f>
        <v>-2.4112650545085335</v>
      </c>
    </row>
    <row r="2110" spans="1:10" x14ac:dyDescent="0.2">
      <c r="A2110" t="s">
        <v>2113</v>
      </c>
      <c r="B2110" t="s">
        <v>3182</v>
      </c>
      <c r="C2110">
        <v>3.6110321147682783E-9</v>
      </c>
      <c r="D2110">
        <v>0</v>
      </c>
      <c r="E2110">
        <f>ABS(Table1[[#This Row],[Flux in SC / glucose uptake ($mmol/mmol\ glc$)]]-Table1[[#This Row],[Flux in RT / glucose uptake ($mmol/mmol\ glc$)]])/SQRT(2)</f>
        <v>2.5533852954350489E-9</v>
      </c>
      <c r="F2110">
        <f>Table1[[#This Row],[distance from 45-degree line]]/MAX(Table1[[Flux in SC / glucose uptake ($mmol/mmol\ glc$)]:[Flux in RT / glucose uptake ($mmol/mmol\ glc$)]])</f>
        <v>1.376245538429589E-10</v>
      </c>
      <c r="G2110">
        <f>_xlfn.RANK.AVG(Table1[[#This Row],[Flux in SC / glucose uptake ($mmol/mmol\ glc$)]],Table1[Flux in SC / glucose uptake ($mmol/mmol\ glc$)])</f>
        <v>310</v>
      </c>
      <c r="H2110">
        <f>_xlfn.RANK.AVG(Table1[[#This Row],[Flux in RT / glucose uptake ($mmol/mmol\ glc$)]],Table1[Flux in RT / glucose uptake ($mmol/mmol\ glc$)])</f>
        <v>1290.5</v>
      </c>
      <c r="I2110">
        <f>LOG(Table1[[#This Row],[Flux in SC / glucose uptake ($mmol/mmol\ glc$)]])</f>
        <v>-8.4423686491515095</v>
      </c>
      <c r="J2110" t="e">
        <f>LOG(Table1[[#This Row],[Flux in RT / glucose uptake ($mmol/mmol\ glc$)]])</f>
        <v>#NUM!</v>
      </c>
    </row>
    <row r="2111" spans="1:10" x14ac:dyDescent="0.2">
      <c r="A2111" t="s">
        <v>2114</v>
      </c>
      <c r="B2111" t="s">
        <v>3178</v>
      </c>
      <c r="C2111">
        <v>0</v>
      </c>
      <c r="D2111">
        <v>0</v>
      </c>
      <c r="E2111">
        <f>ABS(Table1[[#This Row],[Flux in SC / glucose uptake ($mmol/mmol\ glc$)]]-Table1[[#This Row],[Flux in RT / glucose uptake ($mmol/mmol\ glc$)]])/SQRT(2)</f>
        <v>0</v>
      </c>
      <c r="F2111">
        <f>Table1[[#This Row],[distance from 45-degree line]]/MAX(Table1[[Flux in SC / glucose uptake ($mmol/mmol\ glc$)]:[Flux in RT / glucose uptake ($mmol/mmol\ glc$)]])</f>
        <v>0</v>
      </c>
      <c r="G2111">
        <f>_xlfn.RANK.AVG(Table1[[#This Row],[Flux in SC / glucose uptake ($mmol/mmol\ glc$)]],Table1[Flux in SC / glucose uptake ($mmol/mmol\ glc$)])</f>
        <v>1310.5</v>
      </c>
      <c r="H2111">
        <f>_xlfn.RANK.AVG(Table1[[#This Row],[Flux in RT / glucose uptake ($mmol/mmol\ glc$)]],Table1[Flux in RT / glucose uptake ($mmol/mmol\ glc$)])</f>
        <v>1290.5</v>
      </c>
      <c r="I2111" t="e">
        <f>LOG(Table1[[#This Row],[Flux in SC / glucose uptake ($mmol/mmol\ glc$)]])</f>
        <v>#NUM!</v>
      </c>
      <c r="J2111" t="e">
        <f>LOG(Table1[[#This Row],[Flux in RT / glucose uptake ($mmol/mmol\ glc$)]])</f>
        <v>#NUM!</v>
      </c>
    </row>
    <row r="2112" spans="1:10" x14ac:dyDescent="0.2">
      <c r="A2112" t="s">
        <v>2115</v>
      </c>
      <c r="B2112" t="s">
        <v>3208</v>
      </c>
      <c r="C2112">
        <v>0</v>
      </c>
      <c r="D2112">
        <v>0</v>
      </c>
      <c r="E2112">
        <f>ABS(Table1[[#This Row],[Flux in SC / glucose uptake ($mmol/mmol\ glc$)]]-Table1[[#This Row],[Flux in RT / glucose uptake ($mmol/mmol\ glc$)]])/SQRT(2)</f>
        <v>0</v>
      </c>
      <c r="F2112">
        <f>Table1[[#This Row],[distance from 45-degree line]]/MAX(Table1[[Flux in SC / glucose uptake ($mmol/mmol\ glc$)]:[Flux in RT / glucose uptake ($mmol/mmol\ glc$)]])</f>
        <v>0</v>
      </c>
      <c r="G2112">
        <f>_xlfn.RANK.AVG(Table1[[#This Row],[Flux in SC / glucose uptake ($mmol/mmol\ glc$)]],Table1[Flux in SC / glucose uptake ($mmol/mmol\ glc$)])</f>
        <v>1310.5</v>
      </c>
      <c r="H2112">
        <f>_xlfn.RANK.AVG(Table1[[#This Row],[Flux in RT / glucose uptake ($mmol/mmol\ glc$)]],Table1[Flux in RT / glucose uptake ($mmol/mmol\ glc$)])</f>
        <v>1290.5</v>
      </c>
      <c r="I2112" t="e">
        <f>LOG(Table1[[#This Row],[Flux in SC / glucose uptake ($mmol/mmol\ glc$)]])</f>
        <v>#NUM!</v>
      </c>
      <c r="J2112" t="e">
        <f>LOG(Table1[[#This Row],[Flux in RT / glucose uptake ($mmol/mmol\ glc$)]])</f>
        <v>#NUM!</v>
      </c>
    </row>
    <row r="2113" spans="1:10" x14ac:dyDescent="0.2">
      <c r="A2113" t="s">
        <v>2116</v>
      </c>
      <c r="B2113" t="s">
        <v>3155</v>
      </c>
      <c r="C2113">
        <v>0</v>
      </c>
      <c r="D2113">
        <v>0</v>
      </c>
      <c r="E2113">
        <f>ABS(Table1[[#This Row],[Flux in SC / glucose uptake ($mmol/mmol\ glc$)]]-Table1[[#This Row],[Flux in RT / glucose uptake ($mmol/mmol\ glc$)]])/SQRT(2)</f>
        <v>0</v>
      </c>
      <c r="F2113">
        <f>Table1[[#This Row],[distance from 45-degree line]]/MAX(Table1[[Flux in SC / glucose uptake ($mmol/mmol\ glc$)]:[Flux in RT / glucose uptake ($mmol/mmol\ glc$)]])</f>
        <v>0</v>
      </c>
      <c r="G2113">
        <f>_xlfn.RANK.AVG(Table1[[#This Row],[Flux in SC / glucose uptake ($mmol/mmol\ glc$)]],Table1[Flux in SC / glucose uptake ($mmol/mmol\ glc$)])</f>
        <v>1310.5</v>
      </c>
      <c r="H2113">
        <f>_xlfn.RANK.AVG(Table1[[#This Row],[Flux in RT / glucose uptake ($mmol/mmol\ glc$)]],Table1[Flux in RT / glucose uptake ($mmol/mmol\ glc$)])</f>
        <v>1290.5</v>
      </c>
      <c r="I2113" t="e">
        <f>LOG(Table1[[#This Row],[Flux in SC / glucose uptake ($mmol/mmol\ glc$)]])</f>
        <v>#NUM!</v>
      </c>
      <c r="J2113" t="e">
        <f>LOG(Table1[[#This Row],[Flux in RT / glucose uptake ($mmol/mmol\ glc$)]])</f>
        <v>#NUM!</v>
      </c>
    </row>
    <row r="2114" spans="1:10" x14ac:dyDescent="0.2">
      <c r="A2114" t="s">
        <v>2117</v>
      </c>
      <c r="B2114" t="s">
        <v>3155</v>
      </c>
      <c r="C2114">
        <v>0</v>
      </c>
      <c r="D2114">
        <v>0</v>
      </c>
      <c r="E2114">
        <f>ABS(Table1[[#This Row],[Flux in SC / glucose uptake ($mmol/mmol\ glc$)]]-Table1[[#This Row],[Flux in RT / glucose uptake ($mmol/mmol\ glc$)]])/SQRT(2)</f>
        <v>0</v>
      </c>
      <c r="F2114">
        <f>Table1[[#This Row],[distance from 45-degree line]]/MAX(Table1[[Flux in SC / glucose uptake ($mmol/mmol\ glc$)]:[Flux in RT / glucose uptake ($mmol/mmol\ glc$)]])</f>
        <v>0</v>
      </c>
      <c r="G2114">
        <f>_xlfn.RANK.AVG(Table1[[#This Row],[Flux in SC / glucose uptake ($mmol/mmol\ glc$)]],Table1[Flux in SC / glucose uptake ($mmol/mmol\ glc$)])</f>
        <v>1310.5</v>
      </c>
      <c r="H2114">
        <f>_xlfn.RANK.AVG(Table1[[#This Row],[Flux in RT / glucose uptake ($mmol/mmol\ glc$)]],Table1[Flux in RT / glucose uptake ($mmol/mmol\ glc$)])</f>
        <v>1290.5</v>
      </c>
      <c r="I2114" t="e">
        <f>LOG(Table1[[#This Row],[Flux in SC / glucose uptake ($mmol/mmol\ glc$)]])</f>
        <v>#NUM!</v>
      </c>
      <c r="J2114" t="e">
        <f>LOG(Table1[[#This Row],[Flux in RT / glucose uptake ($mmol/mmol\ glc$)]])</f>
        <v>#NUM!</v>
      </c>
    </row>
    <row r="2115" spans="1:10" x14ac:dyDescent="0.2">
      <c r="A2115" t="s">
        <v>2118</v>
      </c>
      <c r="B2115" t="s">
        <v>3114</v>
      </c>
      <c r="C2115">
        <v>0</v>
      </c>
      <c r="D2115">
        <v>0</v>
      </c>
      <c r="E2115">
        <f>ABS(Table1[[#This Row],[Flux in SC / glucose uptake ($mmol/mmol\ glc$)]]-Table1[[#This Row],[Flux in RT / glucose uptake ($mmol/mmol\ glc$)]])/SQRT(2)</f>
        <v>0</v>
      </c>
      <c r="F2115">
        <f>Table1[[#This Row],[distance from 45-degree line]]/MAX(Table1[[Flux in SC / glucose uptake ($mmol/mmol\ glc$)]:[Flux in RT / glucose uptake ($mmol/mmol\ glc$)]])</f>
        <v>0</v>
      </c>
      <c r="G2115">
        <f>_xlfn.RANK.AVG(Table1[[#This Row],[Flux in SC / glucose uptake ($mmol/mmol\ glc$)]],Table1[Flux in SC / glucose uptake ($mmol/mmol\ glc$)])</f>
        <v>1310.5</v>
      </c>
      <c r="H2115">
        <f>_xlfn.RANK.AVG(Table1[[#This Row],[Flux in RT / glucose uptake ($mmol/mmol\ glc$)]],Table1[Flux in RT / glucose uptake ($mmol/mmol\ glc$)])</f>
        <v>1290.5</v>
      </c>
      <c r="I2115" t="e">
        <f>LOG(Table1[[#This Row],[Flux in SC / glucose uptake ($mmol/mmol\ glc$)]])</f>
        <v>#NUM!</v>
      </c>
      <c r="J2115" t="e">
        <f>LOG(Table1[[#This Row],[Flux in RT / glucose uptake ($mmol/mmol\ glc$)]])</f>
        <v>#NUM!</v>
      </c>
    </row>
    <row r="2116" spans="1:10" x14ac:dyDescent="0.2">
      <c r="A2116" t="s">
        <v>2119</v>
      </c>
      <c r="B2116" t="s">
        <v>3114</v>
      </c>
      <c r="C2116">
        <v>0</v>
      </c>
      <c r="D2116">
        <v>0</v>
      </c>
      <c r="E2116">
        <f>ABS(Table1[[#This Row],[Flux in SC / glucose uptake ($mmol/mmol\ glc$)]]-Table1[[#This Row],[Flux in RT / glucose uptake ($mmol/mmol\ glc$)]])/SQRT(2)</f>
        <v>0</v>
      </c>
      <c r="F2116">
        <f>Table1[[#This Row],[distance from 45-degree line]]/MAX(Table1[[Flux in SC / glucose uptake ($mmol/mmol\ glc$)]:[Flux in RT / glucose uptake ($mmol/mmol\ glc$)]])</f>
        <v>0</v>
      </c>
      <c r="G2116">
        <f>_xlfn.RANK.AVG(Table1[[#This Row],[Flux in SC / glucose uptake ($mmol/mmol\ glc$)]],Table1[Flux in SC / glucose uptake ($mmol/mmol\ glc$)])</f>
        <v>1310.5</v>
      </c>
      <c r="H2116">
        <f>_xlfn.RANK.AVG(Table1[[#This Row],[Flux in RT / glucose uptake ($mmol/mmol\ glc$)]],Table1[Flux in RT / glucose uptake ($mmol/mmol\ glc$)])</f>
        <v>1290.5</v>
      </c>
      <c r="I2116" t="e">
        <f>LOG(Table1[[#This Row],[Flux in SC / glucose uptake ($mmol/mmol\ glc$)]])</f>
        <v>#NUM!</v>
      </c>
      <c r="J2116" t="e">
        <f>LOG(Table1[[#This Row],[Flux in RT / glucose uptake ($mmol/mmol\ glc$)]])</f>
        <v>#NUM!</v>
      </c>
    </row>
    <row r="2117" spans="1:10" x14ac:dyDescent="0.2">
      <c r="A2117" t="s">
        <v>2120</v>
      </c>
      <c r="B2117" t="s">
        <v>3133</v>
      </c>
      <c r="C2117">
        <v>0</v>
      </c>
      <c r="D2117">
        <v>0</v>
      </c>
      <c r="E2117">
        <f>ABS(Table1[[#This Row],[Flux in SC / glucose uptake ($mmol/mmol\ glc$)]]-Table1[[#This Row],[Flux in RT / glucose uptake ($mmol/mmol\ glc$)]])/SQRT(2)</f>
        <v>0</v>
      </c>
      <c r="F2117">
        <f>Table1[[#This Row],[distance from 45-degree line]]/MAX(Table1[[Flux in SC / glucose uptake ($mmol/mmol\ glc$)]:[Flux in RT / glucose uptake ($mmol/mmol\ glc$)]])</f>
        <v>0</v>
      </c>
      <c r="G2117">
        <f>_xlfn.RANK.AVG(Table1[[#This Row],[Flux in SC / glucose uptake ($mmol/mmol\ glc$)]],Table1[Flux in SC / glucose uptake ($mmol/mmol\ glc$)])</f>
        <v>1310.5</v>
      </c>
      <c r="H2117">
        <f>_xlfn.RANK.AVG(Table1[[#This Row],[Flux in RT / glucose uptake ($mmol/mmol\ glc$)]],Table1[Flux in RT / glucose uptake ($mmol/mmol\ glc$)])</f>
        <v>1290.5</v>
      </c>
      <c r="I2117" t="e">
        <f>LOG(Table1[[#This Row],[Flux in SC / glucose uptake ($mmol/mmol\ glc$)]])</f>
        <v>#NUM!</v>
      </c>
      <c r="J2117" t="e">
        <f>LOG(Table1[[#This Row],[Flux in RT / glucose uptake ($mmol/mmol\ glc$)]])</f>
        <v>#NUM!</v>
      </c>
    </row>
    <row r="2118" spans="1:10" x14ac:dyDescent="0.2">
      <c r="A2118" t="s">
        <v>2121</v>
      </c>
      <c r="B2118" t="s">
        <v>3148</v>
      </c>
      <c r="C2118">
        <v>3.6110321147682783E-9</v>
      </c>
      <c r="D2118">
        <v>0</v>
      </c>
      <c r="E2118">
        <f>ABS(Table1[[#This Row],[Flux in SC / glucose uptake ($mmol/mmol\ glc$)]]-Table1[[#This Row],[Flux in RT / glucose uptake ($mmol/mmol\ glc$)]])/SQRT(2)</f>
        <v>2.5533852954350489E-9</v>
      </c>
      <c r="F2118">
        <f>Table1[[#This Row],[distance from 45-degree line]]/MAX(Table1[[Flux in SC / glucose uptake ($mmol/mmol\ glc$)]:[Flux in RT / glucose uptake ($mmol/mmol\ glc$)]])</f>
        <v>1.376245538429589E-10</v>
      </c>
      <c r="G2118">
        <f>_xlfn.RANK.AVG(Table1[[#This Row],[Flux in SC / glucose uptake ($mmol/mmol\ glc$)]],Table1[Flux in SC / glucose uptake ($mmol/mmol\ glc$)])</f>
        <v>310</v>
      </c>
      <c r="H2118">
        <f>_xlfn.RANK.AVG(Table1[[#This Row],[Flux in RT / glucose uptake ($mmol/mmol\ glc$)]],Table1[Flux in RT / glucose uptake ($mmol/mmol\ glc$)])</f>
        <v>1290.5</v>
      </c>
      <c r="I2118">
        <f>LOG(Table1[[#This Row],[Flux in SC / glucose uptake ($mmol/mmol\ glc$)]])</f>
        <v>-8.4423686491515095</v>
      </c>
      <c r="J2118" t="e">
        <f>LOG(Table1[[#This Row],[Flux in RT / glucose uptake ($mmol/mmol\ glc$)]])</f>
        <v>#NUM!</v>
      </c>
    </row>
    <row r="2119" spans="1:10" x14ac:dyDescent="0.2">
      <c r="A2119" t="s">
        <v>2122</v>
      </c>
      <c r="B2119" t="s">
        <v>3131</v>
      </c>
      <c r="C2119">
        <v>-1.5888541304980424E-7</v>
      </c>
      <c r="D2119">
        <v>0</v>
      </c>
      <c r="E2119">
        <f>ABS(Table1[[#This Row],[Flux in SC / glucose uptake ($mmol/mmol\ glc$)]]-Table1[[#This Row],[Flux in RT / glucose uptake ($mmol/mmol\ glc$)]])/SQRT(2)</f>
        <v>1.1234895299914214E-7</v>
      </c>
      <c r="F2119">
        <f>Table1[[#This Row],[distance from 45-degree line]]/MAX(Table1[[Flux in SC / glucose uptake ($mmol/mmol\ glc$)]:[Flux in RT / glucose uptake ($mmol/mmol\ glc$)]])</f>
        <v>6.0554803690901907E-9</v>
      </c>
      <c r="G2119">
        <f>_xlfn.RANK.AVG(Table1[[#This Row],[Flux in SC / glucose uptake ($mmol/mmol\ glc$)]],Table1[Flux in SC / glucose uptake ($mmol/mmol\ glc$)])</f>
        <v>2298</v>
      </c>
      <c r="H2119">
        <f>_xlfn.RANK.AVG(Table1[[#This Row],[Flux in RT / glucose uptake ($mmol/mmol\ glc$)]],Table1[Flux in RT / glucose uptake ($mmol/mmol\ glc$)])</f>
        <v>1290.5</v>
      </c>
      <c r="I2119" t="e">
        <f>LOG(Table1[[#This Row],[Flux in SC / glucose uptake ($mmol/mmol\ glc$)]])</f>
        <v>#NUM!</v>
      </c>
      <c r="J2119" t="e">
        <f>LOG(Table1[[#This Row],[Flux in RT / glucose uptake ($mmol/mmol\ glc$)]])</f>
        <v>#NUM!</v>
      </c>
    </row>
    <row r="2120" spans="1:10" x14ac:dyDescent="0.2">
      <c r="A2120" t="s">
        <v>2123</v>
      </c>
      <c r="B2120" t="s">
        <v>3121</v>
      </c>
      <c r="C2120">
        <v>0</v>
      </c>
      <c r="D2120">
        <v>0</v>
      </c>
      <c r="E2120">
        <f>ABS(Table1[[#This Row],[Flux in SC / glucose uptake ($mmol/mmol\ glc$)]]-Table1[[#This Row],[Flux in RT / glucose uptake ($mmol/mmol\ glc$)]])/SQRT(2)</f>
        <v>0</v>
      </c>
      <c r="F2120">
        <f>Table1[[#This Row],[distance from 45-degree line]]/MAX(Table1[[Flux in SC / glucose uptake ($mmol/mmol\ glc$)]:[Flux in RT / glucose uptake ($mmol/mmol\ glc$)]])</f>
        <v>0</v>
      </c>
      <c r="G2120">
        <f>_xlfn.RANK.AVG(Table1[[#This Row],[Flux in SC / glucose uptake ($mmol/mmol\ glc$)]],Table1[Flux in SC / glucose uptake ($mmol/mmol\ glc$)])</f>
        <v>1310.5</v>
      </c>
      <c r="H2120">
        <f>_xlfn.RANK.AVG(Table1[[#This Row],[Flux in RT / glucose uptake ($mmol/mmol\ glc$)]],Table1[Flux in RT / glucose uptake ($mmol/mmol\ glc$)])</f>
        <v>1290.5</v>
      </c>
      <c r="I2120" t="e">
        <f>LOG(Table1[[#This Row],[Flux in SC / glucose uptake ($mmol/mmol\ glc$)]])</f>
        <v>#NUM!</v>
      </c>
      <c r="J2120" t="e">
        <f>LOG(Table1[[#This Row],[Flux in RT / glucose uptake ($mmol/mmol\ glc$)]])</f>
        <v>#NUM!</v>
      </c>
    </row>
    <row r="2121" spans="1:10" x14ac:dyDescent="0.2">
      <c r="A2121" t="s">
        <v>2124</v>
      </c>
      <c r="B2121" t="s">
        <v>3114</v>
      </c>
      <c r="C2121">
        <v>-2.7170108810897643E-2</v>
      </c>
      <c r="D2121">
        <v>-0.21625042591489821</v>
      </c>
      <c r="E2121">
        <f>ABS(Table1[[#This Row],[Flux in SC / glucose uptake ($mmol/mmol\ glc$)]]-Table1[[#This Row],[Flux in RT / glucose uptake ($mmol/mmol\ glc$)]])/SQRT(2)</f>
        <v>0.13369997441314152</v>
      </c>
      <c r="F2121">
        <f>Table1[[#This Row],[distance from 45-degree line]]/MAX(Table1[[Flux in SC / glucose uptake ($mmol/mmol\ glc$)]:[Flux in RT / glucose uptake ($mmol/mmol\ glc$)]])</f>
        <v>7.2062760603814552E-3</v>
      </c>
      <c r="G2121">
        <f>_xlfn.RANK.AVG(Table1[[#This Row],[Flux in SC / glucose uptake ($mmol/mmol\ glc$)]],Table1[Flux in SC / glucose uptake ($mmol/mmol\ glc$)])</f>
        <v>2304.5</v>
      </c>
      <c r="H2121">
        <f>_xlfn.RANK.AVG(Table1[[#This Row],[Flux in RT / glucose uptake ($mmol/mmol\ glc$)]],Table1[Flux in RT / glucose uptake ($mmol/mmol\ glc$)])</f>
        <v>2303.5</v>
      </c>
      <c r="I2121" t="e">
        <f>LOG(Table1[[#This Row],[Flux in SC / glucose uptake ($mmol/mmol\ glc$)]])</f>
        <v>#NUM!</v>
      </c>
      <c r="J2121" t="e">
        <f>LOG(Table1[[#This Row],[Flux in RT / glucose uptake ($mmol/mmol\ glc$)]])</f>
        <v>#NUM!</v>
      </c>
    </row>
    <row r="2122" spans="1:10" x14ac:dyDescent="0.2">
      <c r="A2122" t="s">
        <v>2125</v>
      </c>
      <c r="B2122" t="s">
        <v>3114</v>
      </c>
      <c r="C2122">
        <v>0</v>
      </c>
      <c r="D2122">
        <v>0</v>
      </c>
      <c r="E2122">
        <f>ABS(Table1[[#This Row],[Flux in SC / glucose uptake ($mmol/mmol\ glc$)]]-Table1[[#This Row],[Flux in RT / glucose uptake ($mmol/mmol\ glc$)]])/SQRT(2)</f>
        <v>0</v>
      </c>
      <c r="F2122">
        <f>Table1[[#This Row],[distance from 45-degree line]]/MAX(Table1[[Flux in SC / glucose uptake ($mmol/mmol\ glc$)]:[Flux in RT / glucose uptake ($mmol/mmol\ glc$)]])</f>
        <v>0</v>
      </c>
      <c r="G2122">
        <f>_xlfn.RANK.AVG(Table1[[#This Row],[Flux in SC / glucose uptake ($mmol/mmol\ glc$)]],Table1[Flux in SC / glucose uptake ($mmol/mmol\ glc$)])</f>
        <v>1310.5</v>
      </c>
      <c r="H2122">
        <f>_xlfn.RANK.AVG(Table1[[#This Row],[Flux in RT / glucose uptake ($mmol/mmol\ glc$)]],Table1[Flux in RT / glucose uptake ($mmol/mmol\ glc$)])</f>
        <v>1290.5</v>
      </c>
      <c r="I2122" t="e">
        <f>LOG(Table1[[#This Row],[Flux in SC / glucose uptake ($mmol/mmol\ glc$)]])</f>
        <v>#NUM!</v>
      </c>
      <c r="J2122" t="e">
        <f>LOG(Table1[[#This Row],[Flux in RT / glucose uptake ($mmol/mmol\ glc$)]])</f>
        <v>#NUM!</v>
      </c>
    </row>
    <row r="2123" spans="1:10" x14ac:dyDescent="0.2">
      <c r="A2123" t="s">
        <v>2126</v>
      </c>
      <c r="B2123" t="s">
        <v>3114</v>
      </c>
      <c r="C2123">
        <v>0</v>
      </c>
      <c r="D2123">
        <v>0</v>
      </c>
      <c r="E2123">
        <f>ABS(Table1[[#This Row],[Flux in SC / glucose uptake ($mmol/mmol\ glc$)]]-Table1[[#This Row],[Flux in RT / glucose uptake ($mmol/mmol\ glc$)]])/SQRT(2)</f>
        <v>0</v>
      </c>
      <c r="F2123">
        <f>Table1[[#This Row],[distance from 45-degree line]]/MAX(Table1[[Flux in SC / glucose uptake ($mmol/mmol\ glc$)]:[Flux in RT / glucose uptake ($mmol/mmol\ glc$)]])</f>
        <v>0</v>
      </c>
      <c r="G2123">
        <f>_xlfn.RANK.AVG(Table1[[#This Row],[Flux in SC / glucose uptake ($mmol/mmol\ glc$)]],Table1[Flux in SC / glucose uptake ($mmol/mmol\ glc$)])</f>
        <v>1310.5</v>
      </c>
      <c r="H2123">
        <f>_xlfn.RANK.AVG(Table1[[#This Row],[Flux in RT / glucose uptake ($mmol/mmol\ glc$)]],Table1[Flux in RT / glucose uptake ($mmol/mmol\ glc$)])</f>
        <v>1290.5</v>
      </c>
      <c r="I2123" t="e">
        <f>LOG(Table1[[#This Row],[Flux in SC / glucose uptake ($mmol/mmol\ glc$)]])</f>
        <v>#NUM!</v>
      </c>
      <c r="J2123" t="e">
        <f>LOG(Table1[[#This Row],[Flux in RT / glucose uptake ($mmol/mmol\ glc$)]])</f>
        <v>#NUM!</v>
      </c>
    </row>
    <row r="2124" spans="1:10" x14ac:dyDescent="0.2">
      <c r="A2124" t="s">
        <v>2127</v>
      </c>
      <c r="B2124" t="s">
        <v>3114</v>
      </c>
      <c r="C2124">
        <v>0</v>
      </c>
      <c r="D2124">
        <v>0</v>
      </c>
      <c r="E2124">
        <f>ABS(Table1[[#This Row],[Flux in SC / glucose uptake ($mmol/mmol\ glc$)]]-Table1[[#This Row],[Flux in RT / glucose uptake ($mmol/mmol\ glc$)]])/SQRT(2)</f>
        <v>0</v>
      </c>
      <c r="F2124">
        <f>Table1[[#This Row],[distance from 45-degree line]]/MAX(Table1[[Flux in SC / glucose uptake ($mmol/mmol\ glc$)]:[Flux in RT / glucose uptake ($mmol/mmol\ glc$)]])</f>
        <v>0</v>
      </c>
      <c r="G2124">
        <f>_xlfn.RANK.AVG(Table1[[#This Row],[Flux in SC / glucose uptake ($mmol/mmol\ glc$)]],Table1[Flux in SC / glucose uptake ($mmol/mmol\ glc$)])</f>
        <v>1310.5</v>
      </c>
      <c r="H2124">
        <f>_xlfn.RANK.AVG(Table1[[#This Row],[Flux in RT / glucose uptake ($mmol/mmol\ glc$)]],Table1[Flux in RT / glucose uptake ($mmol/mmol\ glc$)])</f>
        <v>1290.5</v>
      </c>
      <c r="I2124" t="e">
        <f>LOG(Table1[[#This Row],[Flux in SC / glucose uptake ($mmol/mmol\ glc$)]])</f>
        <v>#NUM!</v>
      </c>
      <c r="J2124" t="e">
        <f>LOG(Table1[[#This Row],[Flux in RT / glucose uptake ($mmol/mmol\ glc$)]])</f>
        <v>#NUM!</v>
      </c>
    </row>
    <row r="2125" spans="1:10" x14ac:dyDescent="0.2">
      <c r="A2125" t="s">
        <v>2128</v>
      </c>
      <c r="B2125" t="s">
        <v>3154</v>
      </c>
      <c r="C2125">
        <v>0</v>
      </c>
      <c r="D2125">
        <v>0</v>
      </c>
      <c r="E2125">
        <f>ABS(Table1[[#This Row],[Flux in SC / glucose uptake ($mmol/mmol\ glc$)]]-Table1[[#This Row],[Flux in RT / glucose uptake ($mmol/mmol\ glc$)]])/SQRT(2)</f>
        <v>0</v>
      </c>
      <c r="F2125">
        <f>Table1[[#This Row],[distance from 45-degree line]]/MAX(Table1[[Flux in SC / glucose uptake ($mmol/mmol\ glc$)]:[Flux in RT / glucose uptake ($mmol/mmol\ glc$)]])</f>
        <v>0</v>
      </c>
      <c r="G2125">
        <f>_xlfn.RANK.AVG(Table1[[#This Row],[Flux in SC / glucose uptake ($mmol/mmol\ glc$)]],Table1[Flux in SC / glucose uptake ($mmol/mmol\ glc$)])</f>
        <v>1310.5</v>
      </c>
      <c r="H2125">
        <f>_xlfn.RANK.AVG(Table1[[#This Row],[Flux in RT / glucose uptake ($mmol/mmol\ glc$)]],Table1[Flux in RT / glucose uptake ($mmol/mmol\ glc$)])</f>
        <v>1290.5</v>
      </c>
      <c r="I2125" t="e">
        <f>LOG(Table1[[#This Row],[Flux in SC / glucose uptake ($mmol/mmol\ glc$)]])</f>
        <v>#NUM!</v>
      </c>
      <c r="J2125" t="e">
        <f>LOG(Table1[[#This Row],[Flux in RT / glucose uptake ($mmol/mmol\ glc$)]])</f>
        <v>#NUM!</v>
      </c>
    </row>
    <row r="2126" spans="1:10" x14ac:dyDescent="0.2">
      <c r="A2126" t="s">
        <v>2129</v>
      </c>
      <c r="B2126" t="s">
        <v>3185</v>
      </c>
      <c r="C2126">
        <v>0</v>
      </c>
      <c r="D2126">
        <v>0</v>
      </c>
      <c r="E2126">
        <f>ABS(Table1[[#This Row],[Flux in SC / glucose uptake ($mmol/mmol\ glc$)]]-Table1[[#This Row],[Flux in RT / glucose uptake ($mmol/mmol\ glc$)]])/SQRT(2)</f>
        <v>0</v>
      </c>
      <c r="F2126">
        <f>Table1[[#This Row],[distance from 45-degree line]]/MAX(Table1[[Flux in SC / glucose uptake ($mmol/mmol\ glc$)]:[Flux in RT / glucose uptake ($mmol/mmol\ glc$)]])</f>
        <v>0</v>
      </c>
      <c r="G2126">
        <f>_xlfn.RANK.AVG(Table1[[#This Row],[Flux in SC / glucose uptake ($mmol/mmol\ glc$)]],Table1[Flux in SC / glucose uptake ($mmol/mmol\ glc$)])</f>
        <v>1310.5</v>
      </c>
      <c r="H2126">
        <f>_xlfn.RANK.AVG(Table1[[#This Row],[Flux in RT / glucose uptake ($mmol/mmol\ glc$)]],Table1[Flux in RT / glucose uptake ($mmol/mmol\ glc$)])</f>
        <v>1290.5</v>
      </c>
      <c r="I2126" t="e">
        <f>LOG(Table1[[#This Row],[Flux in SC / glucose uptake ($mmol/mmol\ glc$)]])</f>
        <v>#NUM!</v>
      </c>
      <c r="J2126" t="e">
        <f>LOG(Table1[[#This Row],[Flux in RT / glucose uptake ($mmol/mmol\ glc$)]])</f>
        <v>#NUM!</v>
      </c>
    </row>
    <row r="2127" spans="1:10" x14ac:dyDescent="0.2">
      <c r="A2127" t="s">
        <v>2130</v>
      </c>
      <c r="B2127" t="s">
        <v>3174</v>
      </c>
      <c r="C2127">
        <v>0</v>
      </c>
      <c r="D2127">
        <v>0</v>
      </c>
      <c r="E2127">
        <f>ABS(Table1[[#This Row],[Flux in SC / glucose uptake ($mmol/mmol\ glc$)]]-Table1[[#This Row],[Flux in RT / glucose uptake ($mmol/mmol\ glc$)]])/SQRT(2)</f>
        <v>0</v>
      </c>
      <c r="F2127">
        <f>Table1[[#This Row],[distance from 45-degree line]]/MAX(Table1[[Flux in SC / glucose uptake ($mmol/mmol\ glc$)]:[Flux in RT / glucose uptake ($mmol/mmol\ glc$)]])</f>
        <v>0</v>
      </c>
      <c r="G2127">
        <f>_xlfn.RANK.AVG(Table1[[#This Row],[Flux in SC / glucose uptake ($mmol/mmol\ glc$)]],Table1[Flux in SC / glucose uptake ($mmol/mmol\ glc$)])</f>
        <v>1310.5</v>
      </c>
      <c r="H2127">
        <f>_xlfn.RANK.AVG(Table1[[#This Row],[Flux in RT / glucose uptake ($mmol/mmol\ glc$)]],Table1[Flux in RT / glucose uptake ($mmol/mmol\ glc$)])</f>
        <v>1290.5</v>
      </c>
      <c r="I2127" t="e">
        <f>LOG(Table1[[#This Row],[Flux in SC / glucose uptake ($mmol/mmol\ glc$)]])</f>
        <v>#NUM!</v>
      </c>
      <c r="J2127" t="e">
        <f>LOG(Table1[[#This Row],[Flux in RT / glucose uptake ($mmol/mmol\ glc$)]])</f>
        <v>#NUM!</v>
      </c>
    </row>
    <row r="2128" spans="1:10" x14ac:dyDescent="0.2">
      <c r="A2128" t="s">
        <v>2131</v>
      </c>
      <c r="B2128" t="s">
        <v>3174</v>
      </c>
      <c r="C2128">
        <v>0</v>
      </c>
      <c r="D2128">
        <v>0</v>
      </c>
      <c r="E2128">
        <f>ABS(Table1[[#This Row],[Flux in SC / glucose uptake ($mmol/mmol\ glc$)]]-Table1[[#This Row],[Flux in RT / glucose uptake ($mmol/mmol\ glc$)]])/SQRT(2)</f>
        <v>0</v>
      </c>
      <c r="F2128">
        <f>Table1[[#This Row],[distance from 45-degree line]]/MAX(Table1[[Flux in SC / glucose uptake ($mmol/mmol\ glc$)]:[Flux in RT / glucose uptake ($mmol/mmol\ glc$)]])</f>
        <v>0</v>
      </c>
      <c r="G2128">
        <f>_xlfn.RANK.AVG(Table1[[#This Row],[Flux in SC / glucose uptake ($mmol/mmol\ glc$)]],Table1[Flux in SC / glucose uptake ($mmol/mmol\ glc$)])</f>
        <v>1310.5</v>
      </c>
      <c r="H2128">
        <f>_xlfn.RANK.AVG(Table1[[#This Row],[Flux in RT / glucose uptake ($mmol/mmol\ glc$)]],Table1[Flux in RT / glucose uptake ($mmol/mmol\ glc$)])</f>
        <v>1290.5</v>
      </c>
      <c r="I2128" t="e">
        <f>LOG(Table1[[#This Row],[Flux in SC / glucose uptake ($mmol/mmol\ glc$)]])</f>
        <v>#NUM!</v>
      </c>
      <c r="J2128" t="e">
        <f>LOG(Table1[[#This Row],[Flux in RT / glucose uptake ($mmol/mmol\ glc$)]])</f>
        <v>#NUM!</v>
      </c>
    </row>
    <row r="2129" spans="1:10" x14ac:dyDescent="0.2">
      <c r="A2129" t="s">
        <v>2132</v>
      </c>
      <c r="B2129" t="s">
        <v>3120</v>
      </c>
      <c r="C2129">
        <v>4.2395240083936388E-3</v>
      </c>
      <c r="D2129">
        <v>1.9187997833945303E-2</v>
      </c>
      <c r="E2129">
        <f>ABS(Table1[[#This Row],[Flux in SC / glucose uptake ($mmol/mmol\ glc$)]]-Table1[[#This Row],[Flux in RT / glucose uptake ($mmol/mmol\ glc$)]])/SQRT(2)</f>
        <v>1.0570167210437194E-2</v>
      </c>
      <c r="F2129">
        <f>Table1[[#This Row],[distance from 45-degree line]]/MAX(Table1[[Flux in SC / glucose uptake ($mmol/mmol\ glc$)]:[Flux in RT / glucose uptake ($mmol/mmol\ glc$)]])</f>
        <v>5.6971995138478942E-4</v>
      </c>
      <c r="G2129">
        <f>_xlfn.RANK.AVG(Table1[[#This Row],[Flux in SC / glucose uptake ($mmol/mmol\ glc$)]],Table1[Flux in SC / glucose uptake ($mmol/mmol\ glc$)])</f>
        <v>133</v>
      </c>
      <c r="H2129">
        <f>_xlfn.RANK.AVG(Table1[[#This Row],[Flux in RT / glucose uptake ($mmol/mmol\ glc$)]],Table1[Flux in RT / glucose uptake ($mmol/mmol\ glc$)])</f>
        <v>153</v>
      </c>
      <c r="I2129">
        <f>LOG(Table1[[#This Row],[Flux in SC / glucose uptake ($mmol/mmol\ glc$)]])</f>
        <v>-2.3726829009856614</v>
      </c>
      <c r="J2129">
        <f>LOG(Table1[[#This Row],[Flux in RT / glucose uptake ($mmol/mmol\ glc$)]])</f>
        <v>-1.7169703392318678</v>
      </c>
    </row>
    <row r="2130" spans="1:10" x14ac:dyDescent="0.2">
      <c r="A2130" t="s">
        <v>2133</v>
      </c>
      <c r="B2130" t="s">
        <v>3120</v>
      </c>
      <c r="C2130">
        <v>4.2395240083936388E-3</v>
      </c>
      <c r="D2130">
        <v>1.9187997833945303E-2</v>
      </c>
      <c r="E2130">
        <f>ABS(Table1[[#This Row],[Flux in SC / glucose uptake ($mmol/mmol\ glc$)]]-Table1[[#This Row],[Flux in RT / glucose uptake ($mmol/mmol\ glc$)]])/SQRT(2)</f>
        <v>1.0570167210437194E-2</v>
      </c>
      <c r="F2130">
        <f>Table1[[#This Row],[distance from 45-degree line]]/MAX(Table1[[Flux in SC / glucose uptake ($mmol/mmol\ glc$)]:[Flux in RT / glucose uptake ($mmol/mmol\ glc$)]])</f>
        <v>5.6971995138478942E-4</v>
      </c>
      <c r="G2130">
        <f>_xlfn.RANK.AVG(Table1[[#This Row],[Flux in SC / glucose uptake ($mmol/mmol\ glc$)]],Table1[Flux in SC / glucose uptake ($mmol/mmol\ glc$)])</f>
        <v>133</v>
      </c>
      <c r="H2130">
        <f>_xlfn.RANK.AVG(Table1[[#This Row],[Flux in RT / glucose uptake ($mmol/mmol\ glc$)]],Table1[Flux in RT / glucose uptake ($mmol/mmol\ glc$)])</f>
        <v>153</v>
      </c>
      <c r="I2130">
        <f>LOG(Table1[[#This Row],[Flux in SC / glucose uptake ($mmol/mmol\ glc$)]])</f>
        <v>-2.3726829009856614</v>
      </c>
      <c r="J2130">
        <f>LOG(Table1[[#This Row],[Flux in RT / glucose uptake ($mmol/mmol\ glc$)]])</f>
        <v>-1.7169703392318678</v>
      </c>
    </row>
    <row r="2131" spans="1:10" x14ac:dyDescent="0.2">
      <c r="A2131" t="s">
        <v>2134</v>
      </c>
      <c r="B2131" t="s">
        <v>3148</v>
      </c>
      <c r="C2131">
        <v>0</v>
      </c>
      <c r="D2131">
        <v>0</v>
      </c>
      <c r="E2131">
        <f>ABS(Table1[[#This Row],[Flux in SC / glucose uptake ($mmol/mmol\ glc$)]]-Table1[[#This Row],[Flux in RT / glucose uptake ($mmol/mmol\ glc$)]])/SQRT(2)</f>
        <v>0</v>
      </c>
      <c r="F2131">
        <f>Table1[[#This Row],[distance from 45-degree line]]/MAX(Table1[[Flux in SC / glucose uptake ($mmol/mmol\ glc$)]:[Flux in RT / glucose uptake ($mmol/mmol\ glc$)]])</f>
        <v>0</v>
      </c>
      <c r="G2131">
        <f>_xlfn.RANK.AVG(Table1[[#This Row],[Flux in SC / glucose uptake ($mmol/mmol\ glc$)]],Table1[Flux in SC / glucose uptake ($mmol/mmol\ glc$)])</f>
        <v>1310.5</v>
      </c>
      <c r="H2131">
        <f>_xlfn.RANK.AVG(Table1[[#This Row],[Flux in RT / glucose uptake ($mmol/mmol\ glc$)]],Table1[Flux in RT / glucose uptake ($mmol/mmol\ glc$)])</f>
        <v>1290.5</v>
      </c>
      <c r="I2131" t="e">
        <f>LOG(Table1[[#This Row],[Flux in SC / glucose uptake ($mmol/mmol\ glc$)]])</f>
        <v>#NUM!</v>
      </c>
      <c r="J2131" t="e">
        <f>LOG(Table1[[#This Row],[Flux in RT / glucose uptake ($mmol/mmol\ glc$)]])</f>
        <v>#NUM!</v>
      </c>
    </row>
    <row r="2132" spans="1:10" x14ac:dyDescent="0.2">
      <c r="A2132" t="s">
        <v>2135</v>
      </c>
      <c r="B2132" t="s">
        <v>3205</v>
      </c>
      <c r="C2132">
        <v>0</v>
      </c>
      <c r="D2132">
        <v>0</v>
      </c>
      <c r="E2132">
        <f>ABS(Table1[[#This Row],[Flux in SC / glucose uptake ($mmol/mmol\ glc$)]]-Table1[[#This Row],[Flux in RT / glucose uptake ($mmol/mmol\ glc$)]])/SQRT(2)</f>
        <v>0</v>
      </c>
      <c r="F2132">
        <f>Table1[[#This Row],[distance from 45-degree line]]/MAX(Table1[[Flux in SC / glucose uptake ($mmol/mmol\ glc$)]:[Flux in RT / glucose uptake ($mmol/mmol\ glc$)]])</f>
        <v>0</v>
      </c>
      <c r="G2132">
        <f>_xlfn.RANK.AVG(Table1[[#This Row],[Flux in SC / glucose uptake ($mmol/mmol\ glc$)]],Table1[Flux in SC / glucose uptake ($mmol/mmol\ glc$)])</f>
        <v>1310.5</v>
      </c>
      <c r="H2132">
        <f>_xlfn.RANK.AVG(Table1[[#This Row],[Flux in RT / glucose uptake ($mmol/mmol\ glc$)]],Table1[Flux in RT / glucose uptake ($mmol/mmol\ glc$)])</f>
        <v>1290.5</v>
      </c>
      <c r="I2132" t="e">
        <f>LOG(Table1[[#This Row],[Flux in SC / glucose uptake ($mmol/mmol\ glc$)]])</f>
        <v>#NUM!</v>
      </c>
      <c r="J2132" t="e">
        <f>LOG(Table1[[#This Row],[Flux in RT / glucose uptake ($mmol/mmol\ glc$)]])</f>
        <v>#NUM!</v>
      </c>
    </row>
    <row r="2133" spans="1:10" x14ac:dyDescent="0.2">
      <c r="A2133" t="s">
        <v>2136</v>
      </c>
      <c r="B2133" t="s">
        <v>3166</v>
      </c>
      <c r="C2133">
        <v>8.5190352675541922E-4</v>
      </c>
      <c r="D2133">
        <v>3.8556390008188785E-3</v>
      </c>
      <c r="E2133">
        <f>ABS(Table1[[#This Row],[Flux in SC / glucose uptake ($mmol/mmol\ glc$)]]-Table1[[#This Row],[Flux in RT / glucose uptake ($mmol/mmol\ glc$)]])/SQRT(2)</f>
        <v>2.1239617226008608E-3</v>
      </c>
      <c r="F2133">
        <f>Table1[[#This Row],[distance from 45-degree line]]/MAX(Table1[[Flux in SC / glucose uptake ($mmol/mmol\ glc$)]:[Flux in RT / glucose uptake ($mmol/mmol\ glc$)]])</f>
        <v>1.1447911326780861E-4</v>
      </c>
      <c r="G2133">
        <f>_xlfn.RANK.AVG(Table1[[#This Row],[Flux in SC / glucose uptake ($mmol/mmol\ glc$)]],Table1[Flux in SC / glucose uptake ($mmol/mmol\ glc$)])</f>
        <v>223</v>
      </c>
      <c r="H2133">
        <f>_xlfn.RANK.AVG(Table1[[#This Row],[Flux in RT / glucose uptake ($mmol/mmol\ glc$)]],Table1[Flux in RT / glucose uptake ($mmol/mmol\ glc$)])</f>
        <v>245</v>
      </c>
      <c r="I2133">
        <f>LOG(Table1[[#This Row],[Flux in SC / glucose uptake ($mmol/mmol\ glc$)]])</f>
        <v>-3.0696095838366184</v>
      </c>
      <c r="J2133">
        <f>LOG(Table1[[#This Row],[Flux in RT / glucose uptake ($mmol/mmol\ glc$)]])</f>
        <v>-2.413903635373893</v>
      </c>
    </row>
    <row r="2134" spans="1:10" x14ac:dyDescent="0.2">
      <c r="A2134" t="s">
        <v>2137</v>
      </c>
      <c r="B2134" t="s">
        <v>3114</v>
      </c>
      <c r="C2134">
        <v>0</v>
      </c>
      <c r="D2134">
        <v>0</v>
      </c>
      <c r="E2134">
        <f>ABS(Table1[[#This Row],[Flux in SC / glucose uptake ($mmol/mmol\ glc$)]]-Table1[[#This Row],[Flux in RT / glucose uptake ($mmol/mmol\ glc$)]])/SQRT(2)</f>
        <v>0</v>
      </c>
      <c r="F2134">
        <f>Table1[[#This Row],[distance from 45-degree line]]/MAX(Table1[[Flux in SC / glucose uptake ($mmol/mmol\ glc$)]:[Flux in RT / glucose uptake ($mmol/mmol\ glc$)]])</f>
        <v>0</v>
      </c>
      <c r="G2134">
        <f>_xlfn.RANK.AVG(Table1[[#This Row],[Flux in SC / glucose uptake ($mmol/mmol\ glc$)]],Table1[Flux in SC / glucose uptake ($mmol/mmol\ glc$)])</f>
        <v>1310.5</v>
      </c>
      <c r="H2134">
        <f>_xlfn.RANK.AVG(Table1[[#This Row],[Flux in RT / glucose uptake ($mmol/mmol\ glc$)]],Table1[Flux in RT / glucose uptake ($mmol/mmol\ glc$)])</f>
        <v>1290.5</v>
      </c>
      <c r="I2134" t="e">
        <f>LOG(Table1[[#This Row],[Flux in SC / glucose uptake ($mmol/mmol\ glc$)]])</f>
        <v>#NUM!</v>
      </c>
      <c r="J2134" t="e">
        <f>LOG(Table1[[#This Row],[Flux in RT / glucose uptake ($mmol/mmol\ glc$)]])</f>
        <v>#NUM!</v>
      </c>
    </row>
    <row r="2135" spans="1:10" x14ac:dyDescent="0.2">
      <c r="A2135" t="s">
        <v>2138</v>
      </c>
      <c r="B2135" t="s">
        <v>3114</v>
      </c>
      <c r="C2135">
        <v>1.2927657904190993E-3</v>
      </c>
      <c r="D2135">
        <v>6.1194864634919865E-3</v>
      </c>
      <c r="E2135">
        <f>ABS(Table1[[#This Row],[Flux in SC / glucose uptake ($mmol/mmol\ glc$)]]-Table1[[#This Row],[Flux in RT / glucose uptake ($mmol/mmol\ glc$)]])/SQRT(2)</f>
        <v>3.4130069188231349E-3</v>
      </c>
      <c r="F2135">
        <f>Table1[[#This Row],[distance from 45-degree line]]/MAX(Table1[[Flux in SC / glucose uptake ($mmol/mmol\ glc$)]:[Flux in RT / glucose uptake ($mmol/mmol\ glc$)]])</f>
        <v>1.8395717845862171E-4</v>
      </c>
      <c r="G2135">
        <f>_xlfn.RANK.AVG(Table1[[#This Row],[Flux in SC / glucose uptake ($mmol/mmol\ glc$)]],Table1[Flux in SC / glucose uptake ($mmol/mmol\ glc$)])</f>
        <v>203.5</v>
      </c>
      <c r="H2135">
        <f>_xlfn.RANK.AVG(Table1[[#This Row],[Flux in RT / glucose uptake ($mmol/mmol\ glc$)]],Table1[Flux in RT / glucose uptake ($mmol/mmol\ glc$)])</f>
        <v>209.5</v>
      </c>
      <c r="I2135">
        <f>LOG(Table1[[#This Row],[Flux in SC / glucose uptake ($mmol/mmol\ glc$)]])</f>
        <v>-2.8884801488566079</v>
      </c>
      <c r="J2135">
        <f>LOG(Table1[[#This Row],[Flux in RT / glucose uptake ($mmol/mmol\ glc$)]])</f>
        <v>-2.2132850215520534</v>
      </c>
    </row>
    <row r="2136" spans="1:10" x14ac:dyDescent="0.2">
      <c r="A2136" t="s">
        <v>2139</v>
      </c>
      <c r="B2136" t="s">
        <v>3208</v>
      </c>
      <c r="C2136">
        <v>0</v>
      </c>
      <c r="D2136">
        <v>0</v>
      </c>
      <c r="E2136">
        <f>ABS(Table1[[#This Row],[Flux in SC / glucose uptake ($mmol/mmol\ glc$)]]-Table1[[#This Row],[Flux in RT / glucose uptake ($mmol/mmol\ glc$)]])/SQRT(2)</f>
        <v>0</v>
      </c>
      <c r="F2136">
        <f>Table1[[#This Row],[distance from 45-degree line]]/MAX(Table1[[Flux in SC / glucose uptake ($mmol/mmol\ glc$)]:[Flux in RT / glucose uptake ($mmol/mmol\ glc$)]])</f>
        <v>0</v>
      </c>
      <c r="G2136">
        <f>_xlfn.RANK.AVG(Table1[[#This Row],[Flux in SC / glucose uptake ($mmol/mmol\ glc$)]],Table1[Flux in SC / glucose uptake ($mmol/mmol\ glc$)])</f>
        <v>1310.5</v>
      </c>
      <c r="H2136">
        <f>_xlfn.RANK.AVG(Table1[[#This Row],[Flux in RT / glucose uptake ($mmol/mmol\ glc$)]],Table1[Flux in RT / glucose uptake ($mmol/mmol\ glc$)])</f>
        <v>1290.5</v>
      </c>
      <c r="I2136" t="e">
        <f>LOG(Table1[[#This Row],[Flux in SC / glucose uptake ($mmol/mmol\ glc$)]])</f>
        <v>#NUM!</v>
      </c>
      <c r="J2136" t="e">
        <f>LOG(Table1[[#This Row],[Flux in RT / glucose uptake ($mmol/mmol\ glc$)]])</f>
        <v>#NUM!</v>
      </c>
    </row>
    <row r="2137" spans="1:10" x14ac:dyDescent="0.2">
      <c r="A2137" t="s">
        <v>2140</v>
      </c>
      <c r="B2137" t="s">
        <v>3205</v>
      </c>
      <c r="C2137">
        <v>0</v>
      </c>
      <c r="D2137">
        <v>0</v>
      </c>
      <c r="E2137">
        <f>ABS(Table1[[#This Row],[Flux in SC / glucose uptake ($mmol/mmol\ glc$)]]-Table1[[#This Row],[Flux in RT / glucose uptake ($mmol/mmol\ glc$)]])/SQRT(2)</f>
        <v>0</v>
      </c>
      <c r="F2137">
        <f>Table1[[#This Row],[distance from 45-degree line]]/MAX(Table1[[Flux in SC / glucose uptake ($mmol/mmol\ glc$)]:[Flux in RT / glucose uptake ($mmol/mmol\ glc$)]])</f>
        <v>0</v>
      </c>
      <c r="G2137">
        <f>_xlfn.RANK.AVG(Table1[[#This Row],[Flux in SC / glucose uptake ($mmol/mmol\ glc$)]],Table1[Flux in SC / glucose uptake ($mmol/mmol\ glc$)])</f>
        <v>1310.5</v>
      </c>
      <c r="H2137">
        <f>_xlfn.RANK.AVG(Table1[[#This Row],[Flux in RT / glucose uptake ($mmol/mmol\ glc$)]],Table1[Flux in RT / glucose uptake ($mmol/mmol\ glc$)])</f>
        <v>1290.5</v>
      </c>
      <c r="I2137" t="e">
        <f>LOG(Table1[[#This Row],[Flux in SC / glucose uptake ($mmol/mmol\ glc$)]])</f>
        <v>#NUM!</v>
      </c>
      <c r="J2137" t="e">
        <f>LOG(Table1[[#This Row],[Flux in RT / glucose uptake ($mmol/mmol\ glc$)]])</f>
        <v>#NUM!</v>
      </c>
    </row>
    <row r="2138" spans="1:10" x14ac:dyDescent="0.2">
      <c r="A2138" t="s">
        <v>2141</v>
      </c>
      <c r="B2138" t="s">
        <v>3114</v>
      </c>
      <c r="C2138">
        <v>0</v>
      </c>
      <c r="D2138">
        <v>0</v>
      </c>
      <c r="E2138">
        <f>ABS(Table1[[#This Row],[Flux in SC / glucose uptake ($mmol/mmol\ glc$)]]-Table1[[#This Row],[Flux in RT / glucose uptake ($mmol/mmol\ glc$)]])/SQRT(2)</f>
        <v>0</v>
      </c>
      <c r="F2138">
        <f>Table1[[#This Row],[distance from 45-degree line]]/MAX(Table1[[Flux in SC / glucose uptake ($mmol/mmol\ glc$)]:[Flux in RT / glucose uptake ($mmol/mmol\ glc$)]])</f>
        <v>0</v>
      </c>
      <c r="G2138">
        <f>_xlfn.RANK.AVG(Table1[[#This Row],[Flux in SC / glucose uptake ($mmol/mmol\ glc$)]],Table1[Flux in SC / glucose uptake ($mmol/mmol\ glc$)])</f>
        <v>1310.5</v>
      </c>
      <c r="H2138">
        <f>_xlfn.RANK.AVG(Table1[[#This Row],[Flux in RT / glucose uptake ($mmol/mmol\ glc$)]],Table1[Flux in RT / glucose uptake ($mmol/mmol\ glc$)])</f>
        <v>1290.5</v>
      </c>
      <c r="I2138" t="e">
        <f>LOG(Table1[[#This Row],[Flux in SC / glucose uptake ($mmol/mmol\ glc$)]])</f>
        <v>#NUM!</v>
      </c>
      <c r="J2138" t="e">
        <f>LOG(Table1[[#This Row],[Flux in RT / glucose uptake ($mmol/mmol\ glc$)]])</f>
        <v>#NUM!</v>
      </c>
    </row>
    <row r="2139" spans="1:10" x14ac:dyDescent="0.2">
      <c r="A2139" t="s">
        <v>2142</v>
      </c>
      <c r="B2139" t="s">
        <v>3205</v>
      </c>
      <c r="C2139">
        <v>0</v>
      </c>
      <c r="D2139">
        <v>0</v>
      </c>
      <c r="E2139">
        <f>ABS(Table1[[#This Row],[Flux in SC / glucose uptake ($mmol/mmol\ glc$)]]-Table1[[#This Row],[Flux in RT / glucose uptake ($mmol/mmol\ glc$)]])/SQRT(2)</f>
        <v>0</v>
      </c>
      <c r="F2139">
        <f>Table1[[#This Row],[distance from 45-degree line]]/MAX(Table1[[Flux in SC / glucose uptake ($mmol/mmol\ glc$)]:[Flux in RT / glucose uptake ($mmol/mmol\ glc$)]])</f>
        <v>0</v>
      </c>
      <c r="G2139">
        <f>_xlfn.RANK.AVG(Table1[[#This Row],[Flux in SC / glucose uptake ($mmol/mmol\ glc$)]],Table1[Flux in SC / glucose uptake ($mmol/mmol\ glc$)])</f>
        <v>1310.5</v>
      </c>
      <c r="H2139">
        <f>_xlfn.RANK.AVG(Table1[[#This Row],[Flux in RT / glucose uptake ($mmol/mmol\ glc$)]],Table1[Flux in RT / glucose uptake ($mmol/mmol\ glc$)])</f>
        <v>1290.5</v>
      </c>
      <c r="I2139" t="e">
        <f>LOG(Table1[[#This Row],[Flux in SC / glucose uptake ($mmol/mmol\ glc$)]])</f>
        <v>#NUM!</v>
      </c>
      <c r="J2139" t="e">
        <f>LOG(Table1[[#This Row],[Flux in RT / glucose uptake ($mmol/mmol\ glc$)]])</f>
        <v>#NUM!</v>
      </c>
    </row>
    <row r="2140" spans="1:10" x14ac:dyDescent="0.2">
      <c r="A2140" t="s">
        <v>2143</v>
      </c>
      <c r="B2140" t="s">
        <v>3134</v>
      </c>
      <c r="C2140">
        <v>0</v>
      </c>
      <c r="D2140">
        <v>0</v>
      </c>
      <c r="E2140">
        <f>ABS(Table1[[#This Row],[Flux in SC / glucose uptake ($mmol/mmol\ glc$)]]-Table1[[#This Row],[Flux in RT / glucose uptake ($mmol/mmol\ glc$)]])/SQRT(2)</f>
        <v>0</v>
      </c>
      <c r="F2140">
        <f>Table1[[#This Row],[distance from 45-degree line]]/MAX(Table1[[Flux in SC / glucose uptake ($mmol/mmol\ glc$)]:[Flux in RT / glucose uptake ($mmol/mmol\ glc$)]])</f>
        <v>0</v>
      </c>
      <c r="G2140">
        <f>_xlfn.RANK.AVG(Table1[[#This Row],[Flux in SC / glucose uptake ($mmol/mmol\ glc$)]],Table1[Flux in SC / glucose uptake ($mmol/mmol\ glc$)])</f>
        <v>1310.5</v>
      </c>
      <c r="H2140">
        <f>_xlfn.RANK.AVG(Table1[[#This Row],[Flux in RT / glucose uptake ($mmol/mmol\ glc$)]],Table1[Flux in RT / glucose uptake ($mmol/mmol\ glc$)])</f>
        <v>1290.5</v>
      </c>
      <c r="I2140" t="e">
        <f>LOG(Table1[[#This Row],[Flux in SC / glucose uptake ($mmol/mmol\ glc$)]])</f>
        <v>#NUM!</v>
      </c>
      <c r="J2140" t="e">
        <f>LOG(Table1[[#This Row],[Flux in RT / glucose uptake ($mmol/mmol\ glc$)]])</f>
        <v>#NUM!</v>
      </c>
    </row>
    <row r="2141" spans="1:10" x14ac:dyDescent="0.2">
      <c r="A2141" t="s">
        <v>2144</v>
      </c>
      <c r="B2141" t="s">
        <v>3114</v>
      </c>
      <c r="C2141">
        <v>0</v>
      </c>
      <c r="D2141">
        <v>0</v>
      </c>
      <c r="E2141">
        <f>ABS(Table1[[#This Row],[Flux in SC / glucose uptake ($mmol/mmol\ glc$)]]-Table1[[#This Row],[Flux in RT / glucose uptake ($mmol/mmol\ glc$)]])/SQRT(2)</f>
        <v>0</v>
      </c>
      <c r="F2141">
        <f>Table1[[#This Row],[distance from 45-degree line]]/MAX(Table1[[Flux in SC / glucose uptake ($mmol/mmol\ glc$)]:[Flux in RT / glucose uptake ($mmol/mmol\ glc$)]])</f>
        <v>0</v>
      </c>
      <c r="G2141">
        <f>_xlfn.RANK.AVG(Table1[[#This Row],[Flux in SC / glucose uptake ($mmol/mmol\ glc$)]],Table1[Flux in SC / glucose uptake ($mmol/mmol\ glc$)])</f>
        <v>1310.5</v>
      </c>
      <c r="H2141">
        <f>_xlfn.RANK.AVG(Table1[[#This Row],[Flux in RT / glucose uptake ($mmol/mmol\ glc$)]],Table1[Flux in RT / glucose uptake ($mmol/mmol\ glc$)])</f>
        <v>1290.5</v>
      </c>
      <c r="I2141" t="e">
        <f>LOG(Table1[[#This Row],[Flux in SC / glucose uptake ($mmol/mmol\ glc$)]])</f>
        <v>#NUM!</v>
      </c>
      <c r="J2141" t="e">
        <f>LOG(Table1[[#This Row],[Flux in RT / glucose uptake ($mmol/mmol\ glc$)]])</f>
        <v>#NUM!</v>
      </c>
    </row>
    <row r="2142" spans="1:10" x14ac:dyDescent="0.2">
      <c r="A2142" t="s">
        <v>2145</v>
      </c>
      <c r="B2142" t="s">
        <v>3114</v>
      </c>
      <c r="C2142">
        <v>0</v>
      </c>
      <c r="D2142">
        <v>0</v>
      </c>
      <c r="E2142">
        <f>ABS(Table1[[#This Row],[Flux in SC / glucose uptake ($mmol/mmol\ glc$)]]-Table1[[#This Row],[Flux in RT / glucose uptake ($mmol/mmol\ glc$)]])/SQRT(2)</f>
        <v>0</v>
      </c>
      <c r="F2142">
        <f>Table1[[#This Row],[distance from 45-degree line]]/MAX(Table1[[Flux in SC / glucose uptake ($mmol/mmol\ glc$)]:[Flux in RT / glucose uptake ($mmol/mmol\ glc$)]])</f>
        <v>0</v>
      </c>
      <c r="G2142">
        <f>_xlfn.RANK.AVG(Table1[[#This Row],[Flux in SC / glucose uptake ($mmol/mmol\ glc$)]],Table1[Flux in SC / glucose uptake ($mmol/mmol\ glc$)])</f>
        <v>1310.5</v>
      </c>
      <c r="H2142">
        <f>_xlfn.RANK.AVG(Table1[[#This Row],[Flux in RT / glucose uptake ($mmol/mmol\ glc$)]],Table1[Flux in RT / glucose uptake ($mmol/mmol\ glc$)])</f>
        <v>1290.5</v>
      </c>
      <c r="I2142" t="e">
        <f>LOG(Table1[[#This Row],[Flux in SC / glucose uptake ($mmol/mmol\ glc$)]])</f>
        <v>#NUM!</v>
      </c>
      <c r="J2142" t="e">
        <f>LOG(Table1[[#This Row],[Flux in RT / glucose uptake ($mmol/mmol\ glc$)]])</f>
        <v>#NUM!</v>
      </c>
    </row>
    <row r="2143" spans="1:10" x14ac:dyDescent="0.2">
      <c r="A2143" t="s">
        <v>2146</v>
      </c>
      <c r="B2143" t="s">
        <v>3187</v>
      </c>
      <c r="C2143">
        <v>0</v>
      </c>
      <c r="D2143">
        <v>0</v>
      </c>
      <c r="E2143">
        <f>ABS(Table1[[#This Row],[Flux in SC / glucose uptake ($mmol/mmol\ glc$)]]-Table1[[#This Row],[Flux in RT / glucose uptake ($mmol/mmol\ glc$)]])/SQRT(2)</f>
        <v>0</v>
      </c>
      <c r="F2143">
        <f>Table1[[#This Row],[distance from 45-degree line]]/MAX(Table1[[Flux in SC / glucose uptake ($mmol/mmol\ glc$)]:[Flux in RT / glucose uptake ($mmol/mmol\ glc$)]])</f>
        <v>0</v>
      </c>
      <c r="G2143">
        <f>_xlfn.RANK.AVG(Table1[[#This Row],[Flux in SC / glucose uptake ($mmol/mmol\ glc$)]],Table1[Flux in SC / glucose uptake ($mmol/mmol\ glc$)])</f>
        <v>1310.5</v>
      </c>
      <c r="H2143">
        <f>_xlfn.RANK.AVG(Table1[[#This Row],[Flux in RT / glucose uptake ($mmol/mmol\ glc$)]],Table1[Flux in RT / glucose uptake ($mmol/mmol\ glc$)])</f>
        <v>1290.5</v>
      </c>
      <c r="I2143" t="e">
        <f>LOG(Table1[[#This Row],[Flux in SC / glucose uptake ($mmol/mmol\ glc$)]])</f>
        <v>#NUM!</v>
      </c>
      <c r="J2143" t="e">
        <f>LOG(Table1[[#This Row],[Flux in RT / glucose uptake ($mmol/mmol\ glc$)]])</f>
        <v>#NUM!</v>
      </c>
    </row>
    <row r="2144" spans="1:10" x14ac:dyDescent="0.2">
      <c r="A2144" t="s">
        <v>2147</v>
      </c>
      <c r="B2144" t="s">
        <v>3134</v>
      </c>
      <c r="C2144">
        <v>0</v>
      </c>
      <c r="D2144">
        <v>0</v>
      </c>
      <c r="E2144">
        <f>ABS(Table1[[#This Row],[Flux in SC / glucose uptake ($mmol/mmol\ glc$)]]-Table1[[#This Row],[Flux in RT / glucose uptake ($mmol/mmol\ glc$)]])/SQRT(2)</f>
        <v>0</v>
      </c>
      <c r="F2144">
        <f>Table1[[#This Row],[distance from 45-degree line]]/MAX(Table1[[Flux in SC / glucose uptake ($mmol/mmol\ glc$)]:[Flux in RT / glucose uptake ($mmol/mmol\ glc$)]])</f>
        <v>0</v>
      </c>
      <c r="G2144">
        <f>_xlfn.RANK.AVG(Table1[[#This Row],[Flux in SC / glucose uptake ($mmol/mmol\ glc$)]],Table1[Flux in SC / glucose uptake ($mmol/mmol\ glc$)])</f>
        <v>1310.5</v>
      </c>
      <c r="H2144">
        <f>_xlfn.RANK.AVG(Table1[[#This Row],[Flux in RT / glucose uptake ($mmol/mmol\ glc$)]],Table1[Flux in RT / glucose uptake ($mmol/mmol\ glc$)])</f>
        <v>1290.5</v>
      </c>
      <c r="I2144" t="e">
        <f>LOG(Table1[[#This Row],[Flux in SC / glucose uptake ($mmol/mmol\ glc$)]])</f>
        <v>#NUM!</v>
      </c>
      <c r="J2144" t="e">
        <f>LOG(Table1[[#This Row],[Flux in RT / glucose uptake ($mmol/mmol\ glc$)]])</f>
        <v>#NUM!</v>
      </c>
    </row>
    <row r="2145" spans="1:10" x14ac:dyDescent="0.2">
      <c r="A2145" t="s">
        <v>2148</v>
      </c>
      <c r="B2145" t="s">
        <v>3187</v>
      </c>
      <c r="C2145">
        <v>0</v>
      </c>
      <c r="D2145">
        <v>0</v>
      </c>
      <c r="E2145">
        <f>ABS(Table1[[#This Row],[Flux in SC / glucose uptake ($mmol/mmol\ glc$)]]-Table1[[#This Row],[Flux in RT / glucose uptake ($mmol/mmol\ glc$)]])/SQRT(2)</f>
        <v>0</v>
      </c>
      <c r="F2145">
        <f>Table1[[#This Row],[distance from 45-degree line]]/MAX(Table1[[Flux in SC / glucose uptake ($mmol/mmol\ glc$)]:[Flux in RT / glucose uptake ($mmol/mmol\ glc$)]])</f>
        <v>0</v>
      </c>
      <c r="G2145">
        <f>_xlfn.RANK.AVG(Table1[[#This Row],[Flux in SC / glucose uptake ($mmol/mmol\ glc$)]],Table1[Flux in SC / glucose uptake ($mmol/mmol\ glc$)])</f>
        <v>1310.5</v>
      </c>
      <c r="H2145">
        <f>_xlfn.RANK.AVG(Table1[[#This Row],[Flux in RT / glucose uptake ($mmol/mmol\ glc$)]],Table1[Flux in RT / glucose uptake ($mmol/mmol\ glc$)])</f>
        <v>1290.5</v>
      </c>
      <c r="I2145" t="e">
        <f>LOG(Table1[[#This Row],[Flux in SC / glucose uptake ($mmol/mmol\ glc$)]])</f>
        <v>#NUM!</v>
      </c>
      <c r="J2145" t="e">
        <f>LOG(Table1[[#This Row],[Flux in RT / glucose uptake ($mmol/mmol\ glc$)]])</f>
        <v>#NUM!</v>
      </c>
    </row>
    <row r="2146" spans="1:10" x14ac:dyDescent="0.2">
      <c r="A2146" t="s">
        <v>2149</v>
      </c>
      <c r="B2146" t="s">
        <v>3114</v>
      </c>
      <c r="C2146">
        <v>0</v>
      </c>
      <c r="D2146">
        <v>0</v>
      </c>
      <c r="E2146">
        <f>ABS(Table1[[#This Row],[Flux in SC / glucose uptake ($mmol/mmol\ glc$)]]-Table1[[#This Row],[Flux in RT / glucose uptake ($mmol/mmol\ glc$)]])/SQRT(2)</f>
        <v>0</v>
      </c>
      <c r="F2146">
        <f>Table1[[#This Row],[distance from 45-degree line]]/MAX(Table1[[Flux in SC / glucose uptake ($mmol/mmol\ glc$)]:[Flux in RT / glucose uptake ($mmol/mmol\ glc$)]])</f>
        <v>0</v>
      </c>
      <c r="G2146">
        <f>_xlfn.RANK.AVG(Table1[[#This Row],[Flux in SC / glucose uptake ($mmol/mmol\ glc$)]],Table1[Flux in SC / glucose uptake ($mmol/mmol\ glc$)])</f>
        <v>1310.5</v>
      </c>
      <c r="H2146">
        <f>_xlfn.RANK.AVG(Table1[[#This Row],[Flux in RT / glucose uptake ($mmol/mmol\ glc$)]],Table1[Flux in RT / glucose uptake ($mmol/mmol\ glc$)])</f>
        <v>1290.5</v>
      </c>
      <c r="I2146" t="e">
        <f>LOG(Table1[[#This Row],[Flux in SC / glucose uptake ($mmol/mmol\ glc$)]])</f>
        <v>#NUM!</v>
      </c>
      <c r="J2146" t="e">
        <f>LOG(Table1[[#This Row],[Flux in RT / glucose uptake ($mmol/mmol\ glc$)]])</f>
        <v>#NUM!</v>
      </c>
    </row>
    <row r="2147" spans="1:10" x14ac:dyDescent="0.2">
      <c r="A2147" t="s">
        <v>2150</v>
      </c>
      <c r="B2147" t="s">
        <v>3114</v>
      </c>
      <c r="C2147">
        <v>0</v>
      </c>
      <c r="D2147">
        <v>0</v>
      </c>
      <c r="E2147">
        <f>ABS(Table1[[#This Row],[Flux in SC / glucose uptake ($mmol/mmol\ glc$)]]-Table1[[#This Row],[Flux in RT / glucose uptake ($mmol/mmol\ glc$)]])/SQRT(2)</f>
        <v>0</v>
      </c>
      <c r="F2147">
        <f>Table1[[#This Row],[distance from 45-degree line]]/MAX(Table1[[Flux in SC / glucose uptake ($mmol/mmol\ glc$)]:[Flux in RT / glucose uptake ($mmol/mmol\ glc$)]])</f>
        <v>0</v>
      </c>
      <c r="G2147">
        <f>_xlfn.RANK.AVG(Table1[[#This Row],[Flux in SC / glucose uptake ($mmol/mmol\ glc$)]],Table1[Flux in SC / glucose uptake ($mmol/mmol\ glc$)])</f>
        <v>1310.5</v>
      </c>
      <c r="H2147">
        <f>_xlfn.RANK.AVG(Table1[[#This Row],[Flux in RT / glucose uptake ($mmol/mmol\ glc$)]],Table1[Flux in RT / glucose uptake ($mmol/mmol\ glc$)])</f>
        <v>1290.5</v>
      </c>
      <c r="I2147" t="e">
        <f>LOG(Table1[[#This Row],[Flux in SC / glucose uptake ($mmol/mmol\ glc$)]])</f>
        <v>#NUM!</v>
      </c>
      <c r="J2147" t="e">
        <f>LOG(Table1[[#This Row],[Flux in RT / glucose uptake ($mmol/mmol\ glc$)]])</f>
        <v>#NUM!</v>
      </c>
    </row>
    <row r="2148" spans="1:10" x14ac:dyDescent="0.2">
      <c r="A2148" t="s">
        <v>2151</v>
      </c>
      <c r="B2148" t="s">
        <v>3167</v>
      </c>
      <c r="C2148">
        <v>0</v>
      </c>
      <c r="D2148">
        <v>0</v>
      </c>
      <c r="E2148">
        <f>ABS(Table1[[#This Row],[Flux in SC / glucose uptake ($mmol/mmol\ glc$)]]-Table1[[#This Row],[Flux in RT / glucose uptake ($mmol/mmol\ glc$)]])/SQRT(2)</f>
        <v>0</v>
      </c>
      <c r="F2148">
        <f>Table1[[#This Row],[distance from 45-degree line]]/MAX(Table1[[Flux in SC / glucose uptake ($mmol/mmol\ glc$)]:[Flux in RT / glucose uptake ($mmol/mmol\ glc$)]])</f>
        <v>0</v>
      </c>
      <c r="G2148">
        <f>_xlfn.RANK.AVG(Table1[[#This Row],[Flux in SC / glucose uptake ($mmol/mmol\ glc$)]],Table1[Flux in SC / glucose uptake ($mmol/mmol\ glc$)])</f>
        <v>1310.5</v>
      </c>
      <c r="H2148">
        <f>_xlfn.RANK.AVG(Table1[[#This Row],[Flux in RT / glucose uptake ($mmol/mmol\ glc$)]],Table1[Flux in RT / glucose uptake ($mmol/mmol\ glc$)])</f>
        <v>1290.5</v>
      </c>
      <c r="I2148" t="e">
        <f>LOG(Table1[[#This Row],[Flux in SC / glucose uptake ($mmol/mmol\ glc$)]])</f>
        <v>#NUM!</v>
      </c>
      <c r="J2148" t="e">
        <f>LOG(Table1[[#This Row],[Flux in RT / glucose uptake ($mmol/mmol\ glc$)]])</f>
        <v>#NUM!</v>
      </c>
    </row>
    <row r="2149" spans="1:10" x14ac:dyDescent="0.2">
      <c r="A2149" t="s">
        <v>2152</v>
      </c>
      <c r="B2149" t="s">
        <v>3167</v>
      </c>
      <c r="C2149">
        <v>0</v>
      </c>
      <c r="D2149">
        <v>0</v>
      </c>
      <c r="E2149">
        <f>ABS(Table1[[#This Row],[Flux in SC / glucose uptake ($mmol/mmol\ glc$)]]-Table1[[#This Row],[Flux in RT / glucose uptake ($mmol/mmol\ glc$)]])/SQRT(2)</f>
        <v>0</v>
      </c>
      <c r="F2149">
        <f>Table1[[#This Row],[distance from 45-degree line]]/MAX(Table1[[Flux in SC / glucose uptake ($mmol/mmol\ glc$)]:[Flux in RT / glucose uptake ($mmol/mmol\ glc$)]])</f>
        <v>0</v>
      </c>
      <c r="G2149">
        <f>_xlfn.RANK.AVG(Table1[[#This Row],[Flux in SC / glucose uptake ($mmol/mmol\ glc$)]],Table1[Flux in SC / glucose uptake ($mmol/mmol\ glc$)])</f>
        <v>1310.5</v>
      </c>
      <c r="H2149">
        <f>_xlfn.RANK.AVG(Table1[[#This Row],[Flux in RT / glucose uptake ($mmol/mmol\ glc$)]],Table1[Flux in RT / glucose uptake ($mmol/mmol\ glc$)])</f>
        <v>1290.5</v>
      </c>
      <c r="I2149" t="e">
        <f>LOG(Table1[[#This Row],[Flux in SC / glucose uptake ($mmol/mmol\ glc$)]])</f>
        <v>#NUM!</v>
      </c>
      <c r="J2149" t="e">
        <f>LOG(Table1[[#This Row],[Flux in RT / glucose uptake ($mmol/mmol\ glc$)]])</f>
        <v>#NUM!</v>
      </c>
    </row>
    <row r="2150" spans="1:10" x14ac:dyDescent="0.2">
      <c r="A2150" t="s">
        <v>2153</v>
      </c>
      <c r="B2150" t="s">
        <v>3167</v>
      </c>
      <c r="C2150">
        <v>4.6952544129674761E-4</v>
      </c>
      <c r="D2150">
        <v>3.8791354599756874E-3</v>
      </c>
      <c r="E2150">
        <f>ABS(Table1[[#This Row],[Flux in SC / glucose uptake ($mmol/mmol\ glc$)]]-Table1[[#This Row],[Flux in RT / glucose uptake ($mmol/mmol\ glc$)]])/SQRT(2)</f>
        <v>2.4109583654094691E-3</v>
      </c>
      <c r="F2150">
        <f>Table1[[#This Row],[distance from 45-degree line]]/MAX(Table1[[Flux in SC / glucose uptake ($mmol/mmol\ glc$)]:[Flux in RT / glucose uptake ($mmol/mmol\ glc$)]])</f>
        <v>1.2994790483309882E-4</v>
      </c>
      <c r="G2150">
        <f>_xlfn.RANK.AVG(Table1[[#This Row],[Flux in SC / glucose uptake ($mmol/mmol\ glc$)]],Table1[Flux in SC / glucose uptake ($mmol/mmol\ glc$)])</f>
        <v>243.5</v>
      </c>
      <c r="H2150">
        <f>_xlfn.RANK.AVG(Table1[[#This Row],[Flux in RT / glucose uptake ($mmol/mmol\ glc$)]],Table1[Flux in RT / glucose uptake ($mmol/mmol\ glc$)])</f>
        <v>232.5</v>
      </c>
      <c r="I2150">
        <f>LOG(Table1[[#This Row],[Flux in SC / glucose uptake ($mmol/mmol\ glc$)]])</f>
        <v>-3.3283408704576396</v>
      </c>
      <c r="J2150">
        <f>LOG(Table1[[#This Row],[Flux in RT / glucose uptake ($mmol/mmol\ glc$)]])</f>
        <v>-2.4112650545085335</v>
      </c>
    </row>
    <row r="2151" spans="1:10" x14ac:dyDescent="0.2">
      <c r="A2151" t="s">
        <v>2154</v>
      </c>
      <c r="B2151" t="s">
        <v>3114</v>
      </c>
      <c r="C2151">
        <v>0</v>
      </c>
      <c r="D2151">
        <v>0</v>
      </c>
      <c r="E2151">
        <f>ABS(Table1[[#This Row],[Flux in SC / glucose uptake ($mmol/mmol\ glc$)]]-Table1[[#This Row],[Flux in RT / glucose uptake ($mmol/mmol\ glc$)]])/SQRT(2)</f>
        <v>0</v>
      </c>
      <c r="F2151">
        <f>Table1[[#This Row],[distance from 45-degree line]]/MAX(Table1[[Flux in SC / glucose uptake ($mmol/mmol\ glc$)]:[Flux in RT / glucose uptake ($mmol/mmol\ glc$)]])</f>
        <v>0</v>
      </c>
      <c r="G2151">
        <f>_xlfn.RANK.AVG(Table1[[#This Row],[Flux in SC / glucose uptake ($mmol/mmol\ glc$)]],Table1[Flux in SC / glucose uptake ($mmol/mmol\ glc$)])</f>
        <v>1310.5</v>
      </c>
      <c r="H2151">
        <f>_xlfn.RANK.AVG(Table1[[#This Row],[Flux in RT / glucose uptake ($mmol/mmol\ glc$)]],Table1[Flux in RT / glucose uptake ($mmol/mmol\ glc$)])</f>
        <v>1290.5</v>
      </c>
      <c r="I2151" t="e">
        <f>LOG(Table1[[#This Row],[Flux in SC / glucose uptake ($mmol/mmol\ glc$)]])</f>
        <v>#NUM!</v>
      </c>
      <c r="J2151" t="e">
        <f>LOG(Table1[[#This Row],[Flux in RT / glucose uptake ($mmol/mmol\ glc$)]])</f>
        <v>#NUM!</v>
      </c>
    </row>
    <row r="2152" spans="1:10" x14ac:dyDescent="0.2">
      <c r="A2152" t="s">
        <v>2155</v>
      </c>
      <c r="B2152" t="s">
        <v>3114</v>
      </c>
      <c r="C2152">
        <v>0</v>
      </c>
      <c r="D2152">
        <v>0</v>
      </c>
      <c r="E2152">
        <f>ABS(Table1[[#This Row],[Flux in SC / glucose uptake ($mmol/mmol\ glc$)]]-Table1[[#This Row],[Flux in RT / glucose uptake ($mmol/mmol\ glc$)]])/SQRT(2)</f>
        <v>0</v>
      </c>
      <c r="F2152">
        <f>Table1[[#This Row],[distance from 45-degree line]]/MAX(Table1[[Flux in SC / glucose uptake ($mmol/mmol\ glc$)]:[Flux in RT / glucose uptake ($mmol/mmol\ glc$)]])</f>
        <v>0</v>
      </c>
      <c r="G2152">
        <f>_xlfn.RANK.AVG(Table1[[#This Row],[Flux in SC / glucose uptake ($mmol/mmol\ glc$)]],Table1[Flux in SC / glucose uptake ($mmol/mmol\ glc$)])</f>
        <v>1310.5</v>
      </c>
      <c r="H2152">
        <f>_xlfn.RANK.AVG(Table1[[#This Row],[Flux in RT / glucose uptake ($mmol/mmol\ glc$)]],Table1[Flux in RT / glucose uptake ($mmol/mmol\ glc$)])</f>
        <v>1290.5</v>
      </c>
      <c r="I2152" t="e">
        <f>LOG(Table1[[#This Row],[Flux in SC / glucose uptake ($mmol/mmol\ glc$)]])</f>
        <v>#NUM!</v>
      </c>
      <c r="J2152" t="e">
        <f>LOG(Table1[[#This Row],[Flux in RT / glucose uptake ($mmol/mmol\ glc$)]])</f>
        <v>#NUM!</v>
      </c>
    </row>
    <row r="2153" spans="1:10" x14ac:dyDescent="0.2">
      <c r="A2153" t="s">
        <v>2156</v>
      </c>
      <c r="B2153" t="s">
        <v>3119</v>
      </c>
      <c r="C2153">
        <v>3.9635209639998512E-3</v>
      </c>
      <c r="D2153">
        <v>0</v>
      </c>
      <c r="E2153">
        <f>ABS(Table1[[#This Row],[Flux in SC / glucose uptake ($mmol/mmol\ glc$)]]-Table1[[#This Row],[Flux in RT / glucose uptake ($mmol/mmol\ glc$)]])/SQRT(2)</f>
        <v>2.8026325510193363E-3</v>
      </c>
      <c r="F2153">
        <f>Table1[[#This Row],[distance from 45-degree line]]/MAX(Table1[[Flux in SC / glucose uptake ($mmol/mmol\ glc$)]:[Flux in RT / glucose uptake ($mmol/mmol\ glc$)]])</f>
        <v>1.510586965113982E-4</v>
      </c>
      <c r="G2153">
        <f>_xlfn.RANK.AVG(Table1[[#This Row],[Flux in SC / glucose uptake ($mmol/mmol\ glc$)]],Table1[Flux in SC / glucose uptake ($mmol/mmol\ glc$)])</f>
        <v>142</v>
      </c>
      <c r="H2153">
        <f>_xlfn.RANK.AVG(Table1[[#This Row],[Flux in RT / glucose uptake ($mmol/mmol\ glc$)]],Table1[Flux in RT / glucose uptake ($mmol/mmol\ glc$)])</f>
        <v>1290.5</v>
      </c>
      <c r="I2153">
        <f>LOG(Table1[[#This Row],[Flux in SC / glucose uptake ($mmol/mmol\ glc$)]])</f>
        <v>-2.4019188403782703</v>
      </c>
      <c r="J2153" t="e">
        <f>LOG(Table1[[#This Row],[Flux in RT / glucose uptake ($mmol/mmol\ glc$)]])</f>
        <v>#NUM!</v>
      </c>
    </row>
    <row r="2154" spans="1:10" x14ac:dyDescent="0.2">
      <c r="A2154" t="s">
        <v>2157</v>
      </c>
      <c r="B2154" t="s">
        <v>3114</v>
      </c>
      <c r="C2154">
        <v>0</v>
      </c>
      <c r="D2154">
        <v>0</v>
      </c>
      <c r="E2154">
        <f>ABS(Table1[[#This Row],[Flux in SC / glucose uptake ($mmol/mmol\ glc$)]]-Table1[[#This Row],[Flux in RT / glucose uptake ($mmol/mmol\ glc$)]])/SQRT(2)</f>
        <v>0</v>
      </c>
      <c r="F2154">
        <f>Table1[[#This Row],[distance from 45-degree line]]/MAX(Table1[[Flux in SC / glucose uptake ($mmol/mmol\ glc$)]:[Flux in RT / glucose uptake ($mmol/mmol\ glc$)]])</f>
        <v>0</v>
      </c>
      <c r="G2154">
        <f>_xlfn.RANK.AVG(Table1[[#This Row],[Flux in SC / glucose uptake ($mmol/mmol\ glc$)]],Table1[Flux in SC / glucose uptake ($mmol/mmol\ glc$)])</f>
        <v>1310.5</v>
      </c>
      <c r="H2154">
        <f>_xlfn.RANK.AVG(Table1[[#This Row],[Flux in RT / glucose uptake ($mmol/mmol\ glc$)]],Table1[Flux in RT / glucose uptake ($mmol/mmol\ glc$)])</f>
        <v>1290.5</v>
      </c>
      <c r="I2154" t="e">
        <f>LOG(Table1[[#This Row],[Flux in SC / glucose uptake ($mmol/mmol\ glc$)]])</f>
        <v>#NUM!</v>
      </c>
      <c r="J2154" t="e">
        <f>LOG(Table1[[#This Row],[Flux in RT / glucose uptake ($mmol/mmol\ glc$)]])</f>
        <v>#NUM!</v>
      </c>
    </row>
    <row r="2155" spans="1:10" x14ac:dyDescent="0.2">
      <c r="A2155" t="s">
        <v>2158</v>
      </c>
      <c r="B2155" t="s">
        <v>3167</v>
      </c>
      <c r="C2155">
        <v>0</v>
      </c>
      <c r="D2155">
        <v>0</v>
      </c>
      <c r="E2155">
        <f>ABS(Table1[[#This Row],[Flux in SC / glucose uptake ($mmol/mmol\ glc$)]]-Table1[[#This Row],[Flux in RT / glucose uptake ($mmol/mmol\ glc$)]])/SQRT(2)</f>
        <v>0</v>
      </c>
      <c r="F2155">
        <f>Table1[[#This Row],[distance from 45-degree line]]/MAX(Table1[[Flux in SC / glucose uptake ($mmol/mmol\ glc$)]:[Flux in RT / glucose uptake ($mmol/mmol\ glc$)]])</f>
        <v>0</v>
      </c>
      <c r="G2155">
        <f>_xlfn.RANK.AVG(Table1[[#This Row],[Flux in SC / glucose uptake ($mmol/mmol\ glc$)]],Table1[Flux in SC / glucose uptake ($mmol/mmol\ glc$)])</f>
        <v>1310.5</v>
      </c>
      <c r="H2155">
        <f>_xlfn.RANK.AVG(Table1[[#This Row],[Flux in RT / glucose uptake ($mmol/mmol\ glc$)]],Table1[Flux in RT / glucose uptake ($mmol/mmol\ glc$)])</f>
        <v>1290.5</v>
      </c>
      <c r="I2155" t="e">
        <f>LOG(Table1[[#This Row],[Flux in SC / glucose uptake ($mmol/mmol\ glc$)]])</f>
        <v>#NUM!</v>
      </c>
      <c r="J2155" t="e">
        <f>LOG(Table1[[#This Row],[Flux in RT / glucose uptake ($mmol/mmol\ glc$)]])</f>
        <v>#NUM!</v>
      </c>
    </row>
    <row r="2156" spans="1:10" x14ac:dyDescent="0.2">
      <c r="A2156" t="s">
        <v>2159</v>
      </c>
      <c r="B2156" t="s">
        <v>3114</v>
      </c>
      <c r="C2156">
        <v>0</v>
      </c>
      <c r="D2156">
        <v>0</v>
      </c>
      <c r="E2156">
        <f>ABS(Table1[[#This Row],[Flux in SC / glucose uptake ($mmol/mmol\ glc$)]]-Table1[[#This Row],[Flux in RT / glucose uptake ($mmol/mmol\ glc$)]])/SQRT(2)</f>
        <v>0</v>
      </c>
      <c r="F2156">
        <f>Table1[[#This Row],[distance from 45-degree line]]/MAX(Table1[[Flux in SC / glucose uptake ($mmol/mmol\ glc$)]:[Flux in RT / glucose uptake ($mmol/mmol\ glc$)]])</f>
        <v>0</v>
      </c>
      <c r="G2156">
        <f>_xlfn.RANK.AVG(Table1[[#This Row],[Flux in SC / glucose uptake ($mmol/mmol\ glc$)]],Table1[Flux in SC / glucose uptake ($mmol/mmol\ glc$)])</f>
        <v>1310.5</v>
      </c>
      <c r="H2156">
        <f>_xlfn.RANK.AVG(Table1[[#This Row],[Flux in RT / glucose uptake ($mmol/mmol\ glc$)]],Table1[Flux in RT / glucose uptake ($mmol/mmol\ glc$)])</f>
        <v>1290.5</v>
      </c>
      <c r="I2156" t="e">
        <f>LOG(Table1[[#This Row],[Flux in SC / glucose uptake ($mmol/mmol\ glc$)]])</f>
        <v>#NUM!</v>
      </c>
      <c r="J2156" t="e">
        <f>LOG(Table1[[#This Row],[Flux in RT / glucose uptake ($mmol/mmol\ glc$)]])</f>
        <v>#NUM!</v>
      </c>
    </row>
    <row r="2157" spans="1:10" x14ac:dyDescent="0.2">
      <c r="A2157" t="s">
        <v>2160</v>
      </c>
      <c r="B2157" t="s">
        <v>3114</v>
      </c>
      <c r="C2157">
        <v>0</v>
      </c>
      <c r="D2157">
        <v>0</v>
      </c>
      <c r="E2157">
        <f>ABS(Table1[[#This Row],[Flux in SC / glucose uptake ($mmol/mmol\ glc$)]]-Table1[[#This Row],[Flux in RT / glucose uptake ($mmol/mmol\ glc$)]])/SQRT(2)</f>
        <v>0</v>
      </c>
      <c r="F2157">
        <f>Table1[[#This Row],[distance from 45-degree line]]/MAX(Table1[[Flux in SC / glucose uptake ($mmol/mmol\ glc$)]:[Flux in RT / glucose uptake ($mmol/mmol\ glc$)]])</f>
        <v>0</v>
      </c>
      <c r="G2157">
        <f>_xlfn.RANK.AVG(Table1[[#This Row],[Flux in SC / glucose uptake ($mmol/mmol\ glc$)]],Table1[Flux in SC / glucose uptake ($mmol/mmol\ glc$)])</f>
        <v>1310.5</v>
      </c>
      <c r="H2157">
        <f>_xlfn.RANK.AVG(Table1[[#This Row],[Flux in RT / glucose uptake ($mmol/mmol\ glc$)]],Table1[Flux in RT / glucose uptake ($mmol/mmol\ glc$)])</f>
        <v>1290.5</v>
      </c>
      <c r="I2157" t="e">
        <f>LOG(Table1[[#This Row],[Flux in SC / glucose uptake ($mmol/mmol\ glc$)]])</f>
        <v>#NUM!</v>
      </c>
      <c r="J2157" t="e">
        <f>LOG(Table1[[#This Row],[Flux in RT / glucose uptake ($mmol/mmol\ glc$)]])</f>
        <v>#NUM!</v>
      </c>
    </row>
    <row r="2158" spans="1:10" x14ac:dyDescent="0.2">
      <c r="A2158" t="s">
        <v>2161</v>
      </c>
      <c r="B2158" t="s">
        <v>3171</v>
      </c>
      <c r="C2158">
        <v>0</v>
      </c>
      <c r="D2158">
        <v>0</v>
      </c>
      <c r="E2158">
        <f>ABS(Table1[[#This Row],[Flux in SC / glucose uptake ($mmol/mmol\ glc$)]]-Table1[[#This Row],[Flux in RT / glucose uptake ($mmol/mmol\ glc$)]])/SQRT(2)</f>
        <v>0</v>
      </c>
      <c r="F2158">
        <f>Table1[[#This Row],[distance from 45-degree line]]/MAX(Table1[[Flux in SC / glucose uptake ($mmol/mmol\ glc$)]:[Flux in RT / glucose uptake ($mmol/mmol\ glc$)]])</f>
        <v>0</v>
      </c>
      <c r="G2158">
        <f>_xlfn.RANK.AVG(Table1[[#This Row],[Flux in SC / glucose uptake ($mmol/mmol\ glc$)]],Table1[Flux in SC / glucose uptake ($mmol/mmol\ glc$)])</f>
        <v>1310.5</v>
      </c>
      <c r="H2158">
        <f>_xlfn.RANK.AVG(Table1[[#This Row],[Flux in RT / glucose uptake ($mmol/mmol\ glc$)]],Table1[Flux in RT / glucose uptake ($mmol/mmol\ glc$)])</f>
        <v>1290.5</v>
      </c>
      <c r="I2158" t="e">
        <f>LOG(Table1[[#This Row],[Flux in SC / glucose uptake ($mmol/mmol\ glc$)]])</f>
        <v>#NUM!</v>
      </c>
      <c r="J2158" t="e">
        <f>LOG(Table1[[#This Row],[Flux in RT / glucose uptake ($mmol/mmol\ glc$)]])</f>
        <v>#NUM!</v>
      </c>
    </row>
    <row r="2159" spans="1:10" x14ac:dyDescent="0.2">
      <c r="A2159" t="s">
        <v>2162</v>
      </c>
      <c r="B2159" t="s">
        <v>3208</v>
      </c>
      <c r="C2159">
        <v>0</v>
      </c>
      <c r="D2159">
        <v>0</v>
      </c>
      <c r="E2159">
        <f>ABS(Table1[[#This Row],[Flux in SC / glucose uptake ($mmol/mmol\ glc$)]]-Table1[[#This Row],[Flux in RT / glucose uptake ($mmol/mmol\ glc$)]])/SQRT(2)</f>
        <v>0</v>
      </c>
      <c r="F2159">
        <f>Table1[[#This Row],[distance from 45-degree line]]/MAX(Table1[[Flux in SC / glucose uptake ($mmol/mmol\ glc$)]:[Flux in RT / glucose uptake ($mmol/mmol\ glc$)]])</f>
        <v>0</v>
      </c>
      <c r="G2159">
        <f>_xlfn.RANK.AVG(Table1[[#This Row],[Flux in SC / glucose uptake ($mmol/mmol\ glc$)]],Table1[Flux in SC / glucose uptake ($mmol/mmol\ glc$)])</f>
        <v>1310.5</v>
      </c>
      <c r="H2159">
        <f>_xlfn.RANK.AVG(Table1[[#This Row],[Flux in RT / glucose uptake ($mmol/mmol\ glc$)]],Table1[Flux in RT / glucose uptake ($mmol/mmol\ glc$)])</f>
        <v>1290.5</v>
      </c>
      <c r="I2159" t="e">
        <f>LOG(Table1[[#This Row],[Flux in SC / glucose uptake ($mmol/mmol\ glc$)]])</f>
        <v>#NUM!</v>
      </c>
      <c r="J2159" t="e">
        <f>LOG(Table1[[#This Row],[Flux in RT / glucose uptake ($mmol/mmol\ glc$)]])</f>
        <v>#NUM!</v>
      </c>
    </row>
    <row r="2160" spans="1:10" x14ac:dyDescent="0.2">
      <c r="A2160" t="s">
        <v>2163</v>
      </c>
      <c r="B2160" t="s">
        <v>3171</v>
      </c>
      <c r="C2160">
        <v>0</v>
      </c>
      <c r="D2160">
        <v>0</v>
      </c>
      <c r="E2160">
        <f>ABS(Table1[[#This Row],[Flux in SC / glucose uptake ($mmol/mmol\ glc$)]]-Table1[[#This Row],[Flux in RT / glucose uptake ($mmol/mmol\ glc$)]])/SQRT(2)</f>
        <v>0</v>
      </c>
      <c r="F2160">
        <f>Table1[[#This Row],[distance from 45-degree line]]/MAX(Table1[[Flux in SC / glucose uptake ($mmol/mmol\ glc$)]:[Flux in RT / glucose uptake ($mmol/mmol\ glc$)]])</f>
        <v>0</v>
      </c>
      <c r="G2160">
        <f>_xlfn.RANK.AVG(Table1[[#This Row],[Flux in SC / glucose uptake ($mmol/mmol\ glc$)]],Table1[Flux in SC / glucose uptake ($mmol/mmol\ glc$)])</f>
        <v>1310.5</v>
      </c>
      <c r="H2160">
        <f>_xlfn.RANK.AVG(Table1[[#This Row],[Flux in RT / glucose uptake ($mmol/mmol\ glc$)]],Table1[Flux in RT / glucose uptake ($mmol/mmol\ glc$)])</f>
        <v>1290.5</v>
      </c>
      <c r="I2160" t="e">
        <f>LOG(Table1[[#This Row],[Flux in SC / glucose uptake ($mmol/mmol\ glc$)]])</f>
        <v>#NUM!</v>
      </c>
      <c r="J2160" t="e">
        <f>LOG(Table1[[#This Row],[Flux in RT / glucose uptake ($mmol/mmol\ glc$)]])</f>
        <v>#NUM!</v>
      </c>
    </row>
    <row r="2161" spans="1:10" x14ac:dyDescent="0.2">
      <c r="A2161" t="s">
        <v>2164</v>
      </c>
      <c r="B2161" t="s">
        <v>3208</v>
      </c>
      <c r="C2161">
        <v>0</v>
      </c>
      <c r="D2161">
        <v>0</v>
      </c>
      <c r="E2161">
        <f>ABS(Table1[[#This Row],[Flux in SC / glucose uptake ($mmol/mmol\ glc$)]]-Table1[[#This Row],[Flux in RT / glucose uptake ($mmol/mmol\ glc$)]])/SQRT(2)</f>
        <v>0</v>
      </c>
      <c r="F2161">
        <f>Table1[[#This Row],[distance from 45-degree line]]/MAX(Table1[[Flux in SC / glucose uptake ($mmol/mmol\ glc$)]:[Flux in RT / glucose uptake ($mmol/mmol\ glc$)]])</f>
        <v>0</v>
      </c>
      <c r="G2161">
        <f>_xlfn.RANK.AVG(Table1[[#This Row],[Flux in SC / glucose uptake ($mmol/mmol\ glc$)]],Table1[Flux in SC / glucose uptake ($mmol/mmol\ glc$)])</f>
        <v>1310.5</v>
      </c>
      <c r="H2161">
        <f>_xlfn.RANK.AVG(Table1[[#This Row],[Flux in RT / glucose uptake ($mmol/mmol\ glc$)]],Table1[Flux in RT / glucose uptake ($mmol/mmol\ glc$)])</f>
        <v>1290.5</v>
      </c>
      <c r="I2161" t="e">
        <f>LOG(Table1[[#This Row],[Flux in SC / glucose uptake ($mmol/mmol\ glc$)]])</f>
        <v>#NUM!</v>
      </c>
      <c r="J2161" t="e">
        <f>LOG(Table1[[#This Row],[Flux in RT / glucose uptake ($mmol/mmol\ glc$)]])</f>
        <v>#NUM!</v>
      </c>
    </row>
    <row r="2162" spans="1:10" x14ac:dyDescent="0.2">
      <c r="A2162" t="s">
        <v>2165</v>
      </c>
      <c r="B2162" t="s">
        <v>3114</v>
      </c>
      <c r="C2162">
        <v>0</v>
      </c>
      <c r="D2162">
        <v>0</v>
      </c>
      <c r="E2162">
        <f>ABS(Table1[[#This Row],[Flux in SC / glucose uptake ($mmol/mmol\ glc$)]]-Table1[[#This Row],[Flux in RT / glucose uptake ($mmol/mmol\ glc$)]])/SQRT(2)</f>
        <v>0</v>
      </c>
      <c r="F2162">
        <f>Table1[[#This Row],[distance from 45-degree line]]/MAX(Table1[[Flux in SC / glucose uptake ($mmol/mmol\ glc$)]:[Flux in RT / glucose uptake ($mmol/mmol\ glc$)]])</f>
        <v>0</v>
      </c>
      <c r="G2162">
        <f>_xlfn.RANK.AVG(Table1[[#This Row],[Flux in SC / glucose uptake ($mmol/mmol\ glc$)]],Table1[Flux in SC / glucose uptake ($mmol/mmol\ glc$)])</f>
        <v>1310.5</v>
      </c>
      <c r="H2162">
        <f>_xlfn.RANK.AVG(Table1[[#This Row],[Flux in RT / glucose uptake ($mmol/mmol\ glc$)]],Table1[Flux in RT / glucose uptake ($mmol/mmol\ glc$)])</f>
        <v>1290.5</v>
      </c>
      <c r="I2162" t="e">
        <f>LOG(Table1[[#This Row],[Flux in SC / glucose uptake ($mmol/mmol\ glc$)]])</f>
        <v>#NUM!</v>
      </c>
      <c r="J2162" t="e">
        <f>LOG(Table1[[#This Row],[Flux in RT / glucose uptake ($mmol/mmol\ glc$)]])</f>
        <v>#NUM!</v>
      </c>
    </row>
    <row r="2163" spans="1:10" x14ac:dyDescent="0.2">
      <c r="A2163" t="s">
        <v>2166</v>
      </c>
      <c r="B2163" t="s">
        <v>3114</v>
      </c>
      <c r="C2163">
        <v>4.3077432367932978E-3</v>
      </c>
      <c r="D2163">
        <v>0</v>
      </c>
      <c r="E2163">
        <f>ABS(Table1[[#This Row],[Flux in SC / glucose uptake ($mmol/mmol\ glc$)]]-Table1[[#This Row],[Flux in RT / glucose uptake ($mmol/mmol\ glc$)]])/SQRT(2)</f>
        <v>3.0460344543470283E-3</v>
      </c>
      <c r="F2163">
        <f>Table1[[#This Row],[distance from 45-degree line]]/MAX(Table1[[Flux in SC / glucose uptake ($mmol/mmol\ glc$)]:[Flux in RT / glucose uptake ($mmol/mmol\ glc$)]])</f>
        <v>1.6417778136313939E-4</v>
      </c>
      <c r="G2163">
        <f>_xlfn.RANK.AVG(Table1[[#This Row],[Flux in SC / glucose uptake ($mmol/mmol\ glc$)]],Table1[Flux in SC / glucose uptake ($mmol/mmol\ glc$)])</f>
        <v>129</v>
      </c>
      <c r="H2163">
        <f>_xlfn.RANK.AVG(Table1[[#This Row],[Flux in RT / glucose uptake ($mmol/mmol\ glc$)]],Table1[Flux in RT / glucose uptake ($mmol/mmol\ glc$)])</f>
        <v>1290.5</v>
      </c>
      <c r="I2163">
        <f>LOG(Table1[[#This Row],[Flux in SC / glucose uptake ($mmol/mmol\ glc$)]])</f>
        <v>-2.3657501907424554</v>
      </c>
      <c r="J2163" t="e">
        <f>LOG(Table1[[#This Row],[Flux in RT / glucose uptake ($mmol/mmol\ glc$)]])</f>
        <v>#NUM!</v>
      </c>
    </row>
    <row r="2164" spans="1:10" x14ac:dyDescent="0.2">
      <c r="A2164" t="s">
        <v>2167</v>
      </c>
      <c r="B2164" t="s">
        <v>3146</v>
      </c>
      <c r="C2164">
        <v>0</v>
      </c>
      <c r="D2164">
        <v>0.26187103528656891</v>
      </c>
      <c r="E2164">
        <f>ABS(Table1[[#This Row],[Flux in SC / glucose uptake ($mmol/mmol\ glc$)]]-Table1[[#This Row],[Flux in RT / glucose uptake ($mmol/mmol\ glc$)]])/SQRT(2)</f>
        <v>0.18517078484747454</v>
      </c>
      <c r="F2164">
        <f>Table1[[#This Row],[distance from 45-degree line]]/MAX(Table1[[Flux in SC / glucose uptake ($mmol/mmol\ glc$)]:[Flux in RT / glucose uptake ($mmol/mmol\ glc$)]])</f>
        <v>9.9804940112033572E-3</v>
      </c>
      <c r="G2164">
        <f>_xlfn.RANK.AVG(Table1[[#This Row],[Flux in SC / glucose uptake ($mmol/mmol\ glc$)]],Table1[Flux in SC / glucose uptake ($mmol/mmol\ glc$)])</f>
        <v>1310.5</v>
      </c>
      <c r="H2164">
        <f>_xlfn.RANK.AVG(Table1[[#This Row],[Flux in RT / glucose uptake ($mmol/mmol\ glc$)]],Table1[Flux in RT / glucose uptake ($mmol/mmol\ glc$)])</f>
        <v>59</v>
      </c>
      <c r="I2164" t="e">
        <f>LOG(Table1[[#This Row],[Flux in SC / glucose uptake ($mmol/mmol\ glc$)]])</f>
        <v>#NUM!</v>
      </c>
      <c r="J2164">
        <f>LOG(Table1[[#This Row],[Flux in RT / glucose uptake ($mmol/mmol\ glc$)]])</f>
        <v>-0.58191253483502237</v>
      </c>
    </row>
    <row r="2165" spans="1:10" x14ac:dyDescent="0.2">
      <c r="A2165" t="s">
        <v>2168</v>
      </c>
      <c r="B2165" t="s">
        <v>3114</v>
      </c>
      <c r="C2165">
        <v>2.8466146039808635E-3</v>
      </c>
      <c r="D2165">
        <v>1.430009427411298E-2</v>
      </c>
      <c r="E2165">
        <f>ABS(Table1[[#This Row],[Flux in SC / glucose uptake ($mmol/mmol\ glc$)]]-Table1[[#This Row],[Flux in RT / glucose uptake ($mmol/mmol\ glc$)]])/SQRT(2)</f>
        <v>8.0988331429326793E-3</v>
      </c>
      <c r="F2165">
        <f>Table1[[#This Row],[distance from 45-degree line]]/MAX(Table1[[Flux in SC / glucose uptake ($mmol/mmol\ glc$)]:[Flux in RT / glucose uptake ($mmol/mmol\ glc$)]])</f>
        <v>4.3651786510142489E-4</v>
      </c>
      <c r="G2165">
        <f>_xlfn.RANK.AVG(Table1[[#This Row],[Flux in SC / glucose uptake ($mmol/mmol\ glc$)]],Table1[Flux in SC / glucose uptake ($mmol/mmol\ glc$)])</f>
        <v>166</v>
      </c>
      <c r="H2165">
        <f>_xlfn.RANK.AVG(Table1[[#This Row],[Flux in RT / glucose uptake ($mmol/mmol\ glc$)]],Table1[Flux in RT / glucose uptake ($mmol/mmol\ glc$)])</f>
        <v>169</v>
      </c>
      <c r="I2165">
        <f>LOG(Table1[[#This Row],[Flux in SC / glucose uptake ($mmol/mmol\ glc$)]])</f>
        <v>-2.5456713269149391</v>
      </c>
      <c r="J2165">
        <f>LOG(Table1[[#This Row],[Flux in RT / glucose uptake ($mmol/mmol\ glc$)]])</f>
        <v>-1.8446610994166099</v>
      </c>
    </row>
    <row r="2166" spans="1:10" x14ac:dyDescent="0.2">
      <c r="A2166" t="s">
        <v>2169</v>
      </c>
      <c r="B2166" t="s">
        <v>3146</v>
      </c>
      <c r="C2166">
        <v>7.7116982159616972E-4</v>
      </c>
      <c r="D2166">
        <v>0.24757094101245591</v>
      </c>
      <c r="E2166">
        <f>ABS(Table1[[#This Row],[Flux in SC / glucose uptake ($mmol/mmol\ glc$)]]-Table1[[#This Row],[Flux in RT / glucose uptake ($mmol/mmol\ glc$)]])/SQRT(2)</f>
        <v>0.17451379180434526</v>
      </c>
      <c r="F2166">
        <f>Table1[[#This Row],[distance from 45-degree line]]/MAX(Table1[[Flux in SC / glucose uptake ($mmol/mmol\ glc$)]:[Flux in RT / glucose uptake ($mmol/mmol\ glc$)]])</f>
        <v>9.4060942465104633E-3</v>
      </c>
      <c r="G2166">
        <f>_xlfn.RANK.AVG(Table1[[#This Row],[Flux in SC / glucose uptake ($mmol/mmol\ glc$)]],Table1[Flux in SC / glucose uptake ($mmol/mmol\ glc$)])</f>
        <v>228.5</v>
      </c>
      <c r="H2166">
        <f>_xlfn.RANK.AVG(Table1[[#This Row],[Flux in RT / glucose uptake ($mmol/mmol\ glc$)]],Table1[Flux in RT / glucose uptake ($mmol/mmol\ glc$)])</f>
        <v>62</v>
      </c>
      <c r="I2166">
        <f>LOG(Table1[[#This Row],[Flux in SC / glucose uptake ($mmol/mmol\ glc$)]])</f>
        <v>-3.1128499741398463</v>
      </c>
      <c r="J2166">
        <f>LOG(Table1[[#This Row],[Flux in RT / glucose uptake ($mmol/mmol\ glc$)]])</f>
        <v>-0.60630033258635219</v>
      </c>
    </row>
    <row r="2167" spans="1:10" x14ac:dyDescent="0.2">
      <c r="A2167" t="s">
        <v>2170</v>
      </c>
      <c r="B2167" t="s">
        <v>3191</v>
      </c>
      <c r="C2167">
        <v>0</v>
      </c>
      <c r="D2167">
        <v>0</v>
      </c>
      <c r="E2167">
        <f>ABS(Table1[[#This Row],[Flux in SC / glucose uptake ($mmol/mmol\ glc$)]]-Table1[[#This Row],[Flux in RT / glucose uptake ($mmol/mmol\ glc$)]])/SQRT(2)</f>
        <v>0</v>
      </c>
      <c r="F2167">
        <f>Table1[[#This Row],[distance from 45-degree line]]/MAX(Table1[[Flux in SC / glucose uptake ($mmol/mmol\ glc$)]:[Flux in RT / glucose uptake ($mmol/mmol\ glc$)]])</f>
        <v>0</v>
      </c>
      <c r="G2167">
        <f>_xlfn.RANK.AVG(Table1[[#This Row],[Flux in SC / glucose uptake ($mmol/mmol\ glc$)]],Table1[Flux in SC / glucose uptake ($mmol/mmol\ glc$)])</f>
        <v>1310.5</v>
      </c>
      <c r="H2167">
        <f>_xlfn.RANK.AVG(Table1[[#This Row],[Flux in RT / glucose uptake ($mmol/mmol\ glc$)]],Table1[Flux in RT / glucose uptake ($mmol/mmol\ glc$)])</f>
        <v>1290.5</v>
      </c>
      <c r="I2167" t="e">
        <f>LOG(Table1[[#This Row],[Flux in SC / glucose uptake ($mmol/mmol\ glc$)]])</f>
        <v>#NUM!</v>
      </c>
      <c r="J2167" t="e">
        <f>LOG(Table1[[#This Row],[Flux in RT / glucose uptake ($mmol/mmol\ glc$)]])</f>
        <v>#NUM!</v>
      </c>
    </row>
    <row r="2168" spans="1:10" x14ac:dyDescent="0.2">
      <c r="A2168" t="s">
        <v>2171</v>
      </c>
      <c r="B2168" t="s">
        <v>3166</v>
      </c>
      <c r="C2168">
        <v>0</v>
      </c>
      <c r="D2168">
        <v>0</v>
      </c>
      <c r="E2168">
        <f>ABS(Table1[[#This Row],[Flux in SC / glucose uptake ($mmol/mmol\ glc$)]]-Table1[[#This Row],[Flux in RT / glucose uptake ($mmol/mmol\ glc$)]])/SQRT(2)</f>
        <v>0</v>
      </c>
      <c r="F2168">
        <f>Table1[[#This Row],[distance from 45-degree line]]/MAX(Table1[[Flux in SC / glucose uptake ($mmol/mmol\ glc$)]:[Flux in RT / glucose uptake ($mmol/mmol\ glc$)]])</f>
        <v>0</v>
      </c>
      <c r="G2168">
        <f>_xlfn.RANK.AVG(Table1[[#This Row],[Flux in SC / glucose uptake ($mmol/mmol\ glc$)]],Table1[Flux in SC / glucose uptake ($mmol/mmol\ glc$)])</f>
        <v>1310.5</v>
      </c>
      <c r="H2168">
        <f>_xlfn.RANK.AVG(Table1[[#This Row],[Flux in RT / glucose uptake ($mmol/mmol\ glc$)]],Table1[Flux in RT / glucose uptake ($mmol/mmol\ glc$)])</f>
        <v>1290.5</v>
      </c>
      <c r="I2168" t="e">
        <f>LOG(Table1[[#This Row],[Flux in SC / glucose uptake ($mmol/mmol\ glc$)]])</f>
        <v>#NUM!</v>
      </c>
      <c r="J2168" t="e">
        <f>LOG(Table1[[#This Row],[Flux in RT / glucose uptake ($mmol/mmol\ glc$)]])</f>
        <v>#NUM!</v>
      </c>
    </row>
    <row r="2169" spans="1:10" x14ac:dyDescent="0.2">
      <c r="A2169" t="s">
        <v>2172</v>
      </c>
      <c r="B2169" t="s">
        <v>3175</v>
      </c>
      <c r="C2169">
        <v>0</v>
      </c>
      <c r="D2169">
        <v>0</v>
      </c>
      <c r="E2169">
        <f>ABS(Table1[[#This Row],[Flux in SC / glucose uptake ($mmol/mmol\ glc$)]]-Table1[[#This Row],[Flux in RT / glucose uptake ($mmol/mmol\ glc$)]])/SQRT(2)</f>
        <v>0</v>
      </c>
      <c r="F2169">
        <f>Table1[[#This Row],[distance from 45-degree line]]/MAX(Table1[[Flux in SC / glucose uptake ($mmol/mmol\ glc$)]:[Flux in RT / glucose uptake ($mmol/mmol\ glc$)]])</f>
        <v>0</v>
      </c>
      <c r="G2169">
        <f>_xlfn.RANK.AVG(Table1[[#This Row],[Flux in SC / glucose uptake ($mmol/mmol\ glc$)]],Table1[Flux in SC / glucose uptake ($mmol/mmol\ glc$)])</f>
        <v>1310.5</v>
      </c>
      <c r="H2169">
        <f>_xlfn.RANK.AVG(Table1[[#This Row],[Flux in RT / glucose uptake ($mmol/mmol\ glc$)]],Table1[Flux in RT / glucose uptake ($mmol/mmol\ glc$)])</f>
        <v>1290.5</v>
      </c>
      <c r="I2169" t="e">
        <f>LOG(Table1[[#This Row],[Flux in SC / glucose uptake ($mmol/mmol\ glc$)]])</f>
        <v>#NUM!</v>
      </c>
      <c r="J2169" t="e">
        <f>LOG(Table1[[#This Row],[Flux in RT / glucose uptake ($mmol/mmol\ glc$)]])</f>
        <v>#NUM!</v>
      </c>
    </row>
    <row r="2170" spans="1:10" x14ac:dyDescent="0.2">
      <c r="A2170" t="s">
        <v>2173</v>
      </c>
      <c r="B2170" t="s">
        <v>3175</v>
      </c>
      <c r="C2170">
        <v>0</v>
      </c>
      <c r="D2170">
        <v>0</v>
      </c>
      <c r="E2170">
        <f>ABS(Table1[[#This Row],[Flux in SC / glucose uptake ($mmol/mmol\ glc$)]]-Table1[[#This Row],[Flux in RT / glucose uptake ($mmol/mmol\ glc$)]])/SQRT(2)</f>
        <v>0</v>
      </c>
      <c r="F2170">
        <f>Table1[[#This Row],[distance from 45-degree line]]/MAX(Table1[[Flux in SC / glucose uptake ($mmol/mmol\ glc$)]:[Flux in RT / glucose uptake ($mmol/mmol\ glc$)]])</f>
        <v>0</v>
      </c>
      <c r="G2170">
        <f>_xlfn.RANK.AVG(Table1[[#This Row],[Flux in SC / glucose uptake ($mmol/mmol\ glc$)]],Table1[Flux in SC / glucose uptake ($mmol/mmol\ glc$)])</f>
        <v>1310.5</v>
      </c>
      <c r="H2170">
        <f>_xlfn.RANK.AVG(Table1[[#This Row],[Flux in RT / glucose uptake ($mmol/mmol\ glc$)]],Table1[Flux in RT / glucose uptake ($mmol/mmol\ glc$)])</f>
        <v>1290.5</v>
      </c>
      <c r="I2170" t="e">
        <f>LOG(Table1[[#This Row],[Flux in SC / glucose uptake ($mmol/mmol\ glc$)]])</f>
        <v>#NUM!</v>
      </c>
      <c r="J2170" t="e">
        <f>LOG(Table1[[#This Row],[Flux in RT / glucose uptake ($mmol/mmol\ glc$)]])</f>
        <v>#NUM!</v>
      </c>
    </row>
    <row r="2171" spans="1:10" x14ac:dyDescent="0.2">
      <c r="A2171" t="s">
        <v>2174</v>
      </c>
      <c r="B2171" t="s">
        <v>3114</v>
      </c>
      <c r="C2171">
        <v>0</v>
      </c>
      <c r="D2171">
        <v>0</v>
      </c>
      <c r="E2171">
        <f>ABS(Table1[[#This Row],[Flux in SC / glucose uptake ($mmol/mmol\ glc$)]]-Table1[[#This Row],[Flux in RT / glucose uptake ($mmol/mmol\ glc$)]])/SQRT(2)</f>
        <v>0</v>
      </c>
      <c r="F2171">
        <f>Table1[[#This Row],[distance from 45-degree line]]/MAX(Table1[[Flux in SC / glucose uptake ($mmol/mmol\ glc$)]:[Flux in RT / glucose uptake ($mmol/mmol\ glc$)]])</f>
        <v>0</v>
      </c>
      <c r="G2171">
        <f>_xlfn.RANK.AVG(Table1[[#This Row],[Flux in SC / glucose uptake ($mmol/mmol\ glc$)]],Table1[Flux in SC / glucose uptake ($mmol/mmol\ glc$)])</f>
        <v>1310.5</v>
      </c>
      <c r="H2171">
        <f>_xlfn.RANK.AVG(Table1[[#This Row],[Flux in RT / glucose uptake ($mmol/mmol\ glc$)]],Table1[Flux in RT / glucose uptake ($mmol/mmol\ glc$)])</f>
        <v>1290.5</v>
      </c>
      <c r="I2171" t="e">
        <f>LOG(Table1[[#This Row],[Flux in SC / glucose uptake ($mmol/mmol\ glc$)]])</f>
        <v>#NUM!</v>
      </c>
      <c r="J2171" t="e">
        <f>LOG(Table1[[#This Row],[Flux in RT / glucose uptake ($mmol/mmol\ glc$)]])</f>
        <v>#NUM!</v>
      </c>
    </row>
    <row r="2172" spans="1:10" x14ac:dyDescent="0.2">
      <c r="A2172" t="s">
        <v>2175</v>
      </c>
      <c r="B2172" t="s">
        <v>3114</v>
      </c>
      <c r="C2172">
        <v>0</v>
      </c>
      <c r="D2172">
        <v>0</v>
      </c>
      <c r="E2172">
        <f>ABS(Table1[[#This Row],[Flux in SC / glucose uptake ($mmol/mmol\ glc$)]]-Table1[[#This Row],[Flux in RT / glucose uptake ($mmol/mmol\ glc$)]])/SQRT(2)</f>
        <v>0</v>
      </c>
      <c r="F2172">
        <f>Table1[[#This Row],[distance from 45-degree line]]/MAX(Table1[[Flux in SC / glucose uptake ($mmol/mmol\ glc$)]:[Flux in RT / glucose uptake ($mmol/mmol\ glc$)]])</f>
        <v>0</v>
      </c>
      <c r="G2172">
        <f>_xlfn.RANK.AVG(Table1[[#This Row],[Flux in SC / glucose uptake ($mmol/mmol\ glc$)]],Table1[Flux in SC / glucose uptake ($mmol/mmol\ glc$)])</f>
        <v>1310.5</v>
      </c>
      <c r="H2172">
        <f>_xlfn.RANK.AVG(Table1[[#This Row],[Flux in RT / glucose uptake ($mmol/mmol\ glc$)]],Table1[Flux in RT / glucose uptake ($mmol/mmol\ glc$)])</f>
        <v>1290.5</v>
      </c>
      <c r="I2172" t="e">
        <f>LOG(Table1[[#This Row],[Flux in SC / glucose uptake ($mmol/mmol\ glc$)]])</f>
        <v>#NUM!</v>
      </c>
      <c r="J2172" t="e">
        <f>LOG(Table1[[#This Row],[Flux in RT / glucose uptake ($mmol/mmol\ glc$)]])</f>
        <v>#NUM!</v>
      </c>
    </row>
    <row r="2173" spans="1:10" x14ac:dyDescent="0.2">
      <c r="A2173" t="s">
        <v>2176</v>
      </c>
      <c r="B2173" t="s">
        <v>3114</v>
      </c>
      <c r="C2173">
        <v>0</v>
      </c>
      <c r="D2173">
        <v>0</v>
      </c>
      <c r="E2173">
        <f>ABS(Table1[[#This Row],[Flux in SC / glucose uptake ($mmol/mmol\ glc$)]]-Table1[[#This Row],[Flux in RT / glucose uptake ($mmol/mmol\ glc$)]])/SQRT(2)</f>
        <v>0</v>
      </c>
      <c r="F2173">
        <f>Table1[[#This Row],[distance from 45-degree line]]/MAX(Table1[[Flux in SC / glucose uptake ($mmol/mmol\ glc$)]:[Flux in RT / glucose uptake ($mmol/mmol\ glc$)]])</f>
        <v>0</v>
      </c>
      <c r="G2173">
        <f>_xlfn.RANK.AVG(Table1[[#This Row],[Flux in SC / glucose uptake ($mmol/mmol\ glc$)]],Table1[Flux in SC / glucose uptake ($mmol/mmol\ glc$)])</f>
        <v>1310.5</v>
      </c>
      <c r="H2173">
        <f>_xlfn.RANK.AVG(Table1[[#This Row],[Flux in RT / glucose uptake ($mmol/mmol\ glc$)]],Table1[Flux in RT / glucose uptake ($mmol/mmol\ glc$)])</f>
        <v>1290.5</v>
      </c>
      <c r="I2173" t="e">
        <f>LOG(Table1[[#This Row],[Flux in SC / glucose uptake ($mmol/mmol\ glc$)]])</f>
        <v>#NUM!</v>
      </c>
      <c r="J2173" t="e">
        <f>LOG(Table1[[#This Row],[Flux in RT / glucose uptake ($mmol/mmol\ glc$)]])</f>
        <v>#NUM!</v>
      </c>
    </row>
    <row r="2174" spans="1:10" x14ac:dyDescent="0.2">
      <c r="A2174" t="s">
        <v>2177</v>
      </c>
      <c r="B2174" t="s">
        <v>3182</v>
      </c>
      <c r="C2174">
        <v>8.2667296261898626E-3</v>
      </c>
      <c r="D2174">
        <v>0.16948814317262334</v>
      </c>
      <c r="E2174">
        <f>ABS(Table1[[#This Row],[Flux in SC / glucose uptake ($mmol/mmol\ glc$)]]-Table1[[#This Row],[Flux in RT / glucose uptake ($mmol/mmol\ glc$)]])/SQRT(2)</f>
        <v>0.11400075479116382</v>
      </c>
      <c r="F2174">
        <f>Table1[[#This Row],[distance from 45-degree line]]/MAX(Table1[[Flux in SC / glucose uptake ($mmol/mmol\ glc$)]:[Flux in RT / glucose uptake ($mmol/mmol\ glc$)]])</f>
        <v>6.1445106008653971E-3</v>
      </c>
      <c r="G2174">
        <f>_xlfn.RANK.AVG(Table1[[#This Row],[Flux in SC / glucose uptake ($mmol/mmol\ glc$)]],Table1[Flux in SC / glucose uptake ($mmol/mmol\ glc$)])</f>
        <v>91</v>
      </c>
      <c r="H2174">
        <f>_xlfn.RANK.AVG(Table1[[#This Row],[Flux in RT / glucose uptake ($mmol/mmol\ glc$)]],Table1[Flux in RT / glucose uptake ($mmol/mmol\ glc$)])</f>
        <v>71.5</v>
      </c>
      <c r="I2174">
        <f>LOG(Table1[[#This Row],[Flux in SC / glucose uptake ($mmol/mmol\ glc$)]])</f>
        <v>-2.0826662662882787</v>
      </c>
      <c r="J2174">
        <f>LOG(Table1[[#This Row],[Flux in RT / glucose uptake ($mmol/mmol\ glc$)]])</f>
        <v>-0.77086067819726622</v>
      </c>
    </row>
    <row r="2175" spans="1:10" x14ac:dyDescent="0.2">
      <c r="A2175" t="s">
        <v>2178</v>
      </c>
      <c r="B2175" t="s">
        <v>3195</v>
      </c>
      <c r="C2175">
        <v>0</v>
      </c>
      <c r="D2175">
        <v>0</v>
      </c>
      <c r="E2175">
        <f>ABS(Table1[[#This Row],[Flux in SC / glucose uptake ($mmol/mmol\ glc$)]]-Table1[[#This Row],[Flux in RT / glucose uptake ($mmol/mmol\ glc$)]])/SQRT(2)</f>
        <v>0</v>
      </c>
      <c r="F2175">
        <f>Table1[[#This Row],[distance from 45-degree line]]/MAX(Table1[[Flux in SC / glucose uptake ($mmol/mmol\ glc$)]:[Flux in RT / glucose uptake ($mmol/mmol\ glc$)]])</f>
        <v>0</v>
      </c>
      <c r="G2175">
        <f>_xlfn.RANK.AVG(Table1[[#This Row],[Flux in SC / glucose uptake ($mmol/mmol\ glc$)]],Table1[Flux in SC / glucose uptake ($mmol/mmol\ glc$)])</f>
        <v>1310.5</v>
      </c>
      <c r="H2175">
        <f>_xlfn.RANK.AVG(Table1[[#This Row],[Flux in RT / glucose uptake ($mmol/mmol\ glc$)]],Table1[Flux in RT / glucose uptake ($mmol/mmol\ glc$)])</f>
        <v>1290.5</v>
      </c>
      <c r="I2175" t="e">
        <f>LOG(Table1[[#This Row],[Flux in SC / glucose uptake ($mmol/mmol\ glc$)]])</f>
        <v>#NUM!</v>
      </c>
      <c r="J2175" t="e">
        <f>LOG(Table1[[#This Row],[Flux in RT / glucose uptake ($mmol/mmol\ glc$)]])</f>
        <v>#NUM!</v>
      </c>
    </row>
    <row r="2176" spans="1:10" x14ac:dyDescent="0.2">
      <c r="A2176" t="s">
        <v>2179</v>
      </c>
      <c r="B2176" t="s">
        <v>3114</v>
      </c>
      <c r="C2176">
        <v>0</v>
      </c>
      <c r="D2176">
        <v>0</v>
      </c>
      <c r="E2176">
        <f>ABS(Table1[[#This Row],[Flux in SC / glucose uptake ($mmol/mmol\ glc$)]]-Table1[[#This Row],[Flux in RT / glucose uptake ($mmol/mmol\ glc$)]])/SQRT(2)</f>
        <v>0</v>
      </c>
      <c r="F2176">
        <f>Table1[[#This Row],[distance from 45-degree line]]/MAX(Table1[[Flux in SC / glucose uptake ($mmol/mmol\ glc$)]:[Flux in RT / glucose uptake ($mmol/mmol\ glc$)]])</f>
        <v>0</v>
      </c>
      <c r="G2176">
        <f>_xlfn.RANK.AVG(Table1[[#This Row],[Flux in SC / glucose uptake ($mmol/mmol\ glc$)]],Table1[Flux in SC / glucose uptake ($mmol/mmol\ glc$)])</f>
        <v>1310.5</v>
      </c>
      <c r="H2176">
        <f>_xlfn.RANK.AVG(Table1[[#This Row],[Flux in RT / glucose uptake ($mmol/mmol\ glc$)]],Table1[Flux in RT / glucose uptake ($mmol/mmol\ glc$)])</f>
        <v>1290.5</v>
      </c>
      <c r="I2176" t="e">
        <f>LOG(Table1[[#This Row],[Flux in SC / glucose uptake ($mmol/mmol\ glc$)]])</f>
        <v>#NUM!</v>
      </c>
      <c r="J2176" t="e">
        <f>LOG(Table1[[#This Row],[Flux in RT / glucose uptake ($mmol/mmol\ glc$)]])</f>
        <v>#NUM!</v>
      </c>
    </row>
    <row r="2177" spans="1:10" x14ac:dyDescent="0.2">
      <c r="A2177" t="s">
        <v>2180</v>
      </c>
      <c r="B2177" t="s">
        <v>3114</v>
      </c>
      <c r="C2177">
        <v>0</v>
      </c>
      <c r="D2177">
        <v>0</v>
      </c>
      <c r="E2177">
        <f>ABS(Table1[[#This Row],[Flux in SC / glucose uptake ($mmol/mmol\ glc$)]]-Table1[[#This Row],[Flux in RT / glucose uptake ($mmol/mmol\ glc$)]])/SQRT(2)</f>
        <v>0</v>
      </c>
      <c r="F2177">
        <f>Table1[[#This Row],[distance from 45-degree line]]/MAX(Table1[[Flux in SC / glucose uptake ($mmol/mmol\ glc$)]:[Flux in RT / glucose uptake ($mmol/mmol\ glc$)]])</f>
        <v>0</v>
      </c>
      <c r="G2177">
        <f>_xlfn.RANK.AVG(Table1[[#This Row],[Flux in SC / glucose uptake ($mmol/mmol\ glc$)]],Table1[Flux in SC / glucose uptake ($mmol/mmol\ glc$)])</f>
        <v>1310.5</v>
      </c>
      <c r="H2177">
        <f>_xlfn.RANK.AVG(Table1[[#This Row],[Flux in RT / glucose uptake ($mmol/mmol\ glc$)]],Table1[Flux in RT / glucose uptake ($mmol/mmol\ glc$)])</f>
        <v>1290.5</v>
      </c>
      <c r="I2177" t="e">
        <f>LOG(Table1[[#This Row],[Flux in SC / glucose uptake ($mmol/mmol\ glc$)]])</f>
        <v>#NUM!</v>
      </c>
      <c r="J2177" t="e">
        <f>LOG(Table1[[#This Row],[Flux in RT / glucose uptake ($mmol/mmol\ glc$)]])</f>
        <v>#NUM!</v>
      </c>
    </row>
    <row r="2178" spans="1:10" x14ac:dyDescent="0.2">
      <c r="A2178" t="s">
        <v>2181</v>
      </c>
      <c r="B2178" t="s">
        <v>3114</v>
      </c>
      <c r="C2178">
        <v>0</v>
      </c>
      <c r="D2178">
        <v>0</v>
      </c>
      <c r="E2178">
        <f>ABS(Table1[[#This Row],[Flux in SC / glucose uptake ($mmol/mmol\ glc$)]]-Table1[[#This Row],[Flux in RT / glucose uptake ($mmol/mmol\ glc$)]])/SQRT(2)</f>
        <v>0</v>
      </c>
      <c r="F2178">
        <f>Table1[[#This Row],[distance from 45-degree line]]/MAX(Table1[[Flux in SC / glucose uptake ($mmol/mmol\ glc$)]:[Flux in RT / glucose uptake ($mmol/mmol\ glc$)]])</f>
        <v>0</v>
      </c>
      <c r="G2178">
        <f>_xlfn.RANK.AVG(Table1[[#This Row],[Flux in SC / glucose uptake ($mmol/mmol\ glc$)]],Table1[Flux in SC / glucose uptake ($mmol/mmol\ glc$)])</f>
        <v>1310.5</v>
      </c>
      <c r="H2178">
        <f>_xlfn.RANK.AVG(Table1[[#This Row],[Flux in RT / glucose uptake ($mmol/mmol\ glc$)]],Table1[Flux in RT / glucose uptake ($mmol/mmol\ glc$)])</f>
        <v>1290.5</v>
      </c>
      <c r="I2178" t="e">
        <f>LOG(Table1[[#This Row],[Flux in SC / glucose uptake ($mmol/mmol\ glc$)]])</f>
        <v>#NUM!</v>
      </c>
      <c r="J2178" t="e">
        <f>LOG(Table1[[#This Row],[Flux in RT / glucose uptake ($mmol/mmol\ glc$)]])</f>
        <v>#NUM!</v>
      </c>
    </row>
    <row r="2179" spans="1:10" x14ac:dyDescent="0.2">
      <c r="A2179" t="s">
        <v>2182</v>
      </c>
      <c r="B2179" t="s">
        <v>3114</v>
      </c>
      <c r="C2179">
        <v>0</v>
      </c>
      <c r="D2179">
        <v>0</v>
      </c>
      <c r="E2179">
        <f>ABS(Table1[[#This Row],[Flux in SC / glucose uptake ($mmol/mmol\ glc$)]]-Table1[[#This Row],[Flux in RT / glucose uptake ($mmol/mmol\ glc$)]])/SQRT(2)</f>
        <v>0</v>
      </c>
      <c r="F2179">
        <f>Table1[[#This Row],[distance from 45-degree line]]/MAX(Table1[[Flux in SC / glucose uptake ($mmol/mmol\ glc$)]:[Flux in RT / glucose uptake ($mmol/mmol\ glc$)]])</f>
        <v>0</v>
      </c>
      <c r="G2179">
        <f>_xlfn.RANK.AVG(Table1[[#This Row],[Flux in SC / glucose uptake ($mmol/mmol\ glc$)]],Table1[Flux in SC / glucose uptake ($mmol/mmol\ glc$)])</f>
        <v>1310.5</v>
      </c>
      <c r="H2179">
        <f>_xlfn.RANK.AVG(Table1[[#This Row],[Flux in RT / glucose uptake ($mmol/mmol\ glc$)]],Table1[Flux in RT / glucose uptake ($mmol/mmol\ glc$)])</f>
        <v>1290.5</v>
      </c>
      <c r="I2179" t="e">
        <f>LOG(Table1[[#This Row],[Flux in SC / glucose uptake ($mmol/mmol\ glc$)]])</f>
        <v>#NUM!</v>
      </c>
      <c r="J2179" t="e">
        <f>LOG(Table1[[#This Row],[Flux in RT / glucose uptake ($mmol/mmol\ glc$)]])</f>
        <v>#NUM!</v>
      </c>
    </row>
    <row r="2180" spans="1:10" x14ac:dyDescent="0.2">
      <c r="A2180" t="s">
        <v>2183</v>
      </c>
      <c r="B2180" t="s">
        <v>3209</v>
      </c>
      <c r="C2180">
        <v>0</v>
      </c>
      <c r="D2180">
        <v>0</v>
      </c>
      <c r="E2180">
        <f>ABS(Table1[[#This Row],[Flux in SC / glucose uptake ($mmol/mmol\ glc$)]]-Table1[[#This Row],[Flux in RT / glucose uptake ($mmol/mmol\ glc$)]])/SQRT(2)</f>
        <v>0</v>
      </c>
      <c r="F2180">
        <f>Table1[[#This Row],[distance from 45-degree line]]/MAX(Table1[[Flux in SC / glucose uptake ($mmol/mmol\ glc$)]:[Flux in RT / glucose uptake ($mmol/mmol\ glc$)]])</f>
        <v>0</v>
      </c>
      <c r="G2180">
        <f>_xlfn.RANK.AVG(Table1[[#This Row],[Flux in SC / glucose uptake ($mmol/mmol\ glc$)]],Table1[Flux in SC / glucose uptake ($mmol/mmol\ glc$)])</f>
        <v>1310.5</v>
      </c>
      <c r="H2180">
        <f>_xlfn.RANK.AVG(Table1[[#This Row],[Flux in RT / glucose uptake ($mmol/mmol\ glc$)]],Table1[Flux in RT / glucose uptake ($mmol/mmol\ glc$)])</f>
        <v>1290.5</v>
      </c>
      <c r="I2180" t="e">
        <f>LOG(Table1[[#This Row],[Flux in SC / glucose uptake ($mmol/mmol\ glc$)]])</f>
        <v>#NUM!</v>
      </c>
      <c r="J2180" t="e">
        <f>LOG(Table1[[#This Row],[Flux in RT / glucose uptake ($mmol/mmol\ glc$)]])</f>
        <v>#NUM!</v>
      </c>
    </row>
    <row r="2181" spans="1:10" x14ac:dyDescent="0.2">
      <c r="A2181" t="s">
        <v>2184</v>
      </c>
      <c r="B2181" t="s">
        <v>3210</v>
      </c>
      <c r="C2181">
        <v>0</v>
      </c>
      <c r="D2181">
        <v>0</v>
      </c>
      <c r="E2181">
        <f>ABS(Table1[[#This Row],[Flux in SC / glucose uptake ($mmol/mmol\ glc$)]]-Table1[[#This Row],[Flux in RT / glucose uptake ($mmol/mmol\ glc$)]])/SQRT(2)</f>
        <v>0</v>
      </c>
      <c r="F2181">
        <f>Table1[[#This Row],[distance from 45-degree line]]/MAX(Table1[[Flux in SC / glucose uptake ($mmol/mmol\ glc$)]:[Flux in RT / glucose uptake ($mmol/mmol\ glc$)]])</f>
        <v>0</v>
      </c>
      <c r="G2181">
        <f>_xlfn.RANK.AVG(Table1[[#This Row],[Flux in SC / glucose uptake ($mmol/mmol\ glc$)]],Table1[Flux in SC / glucose uptake ($mmol/mmol\ glc$)])</f>
        <v>1310.5</v>
      </c>
      <c r="H2181">
        <f>_xlfn.RANK.AVG(Table1[[#This Row],[Flux in RT / glucose uptake ($mmol/mmol\ glc$)]],Table1[Flux in RT / glucose uptake ($mmol/mmol\ glc$)])</f>
        <v>1290.5</v>
      </c>
      <c r="I2181" t="e">
        <f>LOG(Table1[[#This Row],[Flux in SC / glucose uptake ($mmol/mmol\ glc$)]])</f>
        <v>#NUM!</v>
      </c>
      <c r="J2181" t="e">
        <f>LOG(Table1[[#This Row],[Flux in RT / glucose uptake ($mmol/mmol\ glc$)]])</f>
        <v>#NUM!</v>
      </c>
    </row>
    <row r="2182" spans="1:10" x14ac:dyDescent="0.2">
      <c r="A2182" t="s">
        <v>2185</v>
      </c>
      <c r="B2182" t="s">
        <v>3151</v>
      </c>
      <c r="C2182">
        <v>0</v>
      </c>
      <c r="D2182">
        <v>0</v>
      </c>
      <c r="E2182">
        <f>ABS(Table1[[#This Row],[Flux in SC / glucose uptake ($mmol/mmol\ glc$)]]-Table1[[#This Row],[Flux in RT / glucose uptake ($mmol/mmol\ glc$)]])/SQRT(2)</f>
        <v>0</v>
      </c>
      <c r="F2182">
        <f>Table1[[#This Row],[distance from 45-degree line]]/MAX(Table1[[Flux in SC / glucose uptake ($mmol/mmol\ glc$)]:[Flux in RT / glucose uptake ($mmol/mmol\ glc$)]])</f>
        <v>0</v>
      </c>
      <c r="G2182">
        <f>_xlfn.RANK.AVG(Table1[[#This Row],[Flux in SC / glucose uptake ($mmol/mmol\ glc$)]],Table1[Flux in SC / glucose uptake ($mmol/mmol\ glc$)])</f>
        <v>1310.5</v>
      </c>
      <c r="H2182">
        <f>_xlfn.RANK.AVG(Table1[[#This Row],[Flux in RT / glucose uptake ($mmol/mmol\ glc$)]],Table1[Flux in RT / glucose uptake ($mmol/mmol\ glc$)])</f>
        <v>1290.5</v>
      </c>
      <c r="I2182" t="e">
        <f>LOG(Table1[[#This Row],[Flux in SC / glucose uptake ($mmol/mmol\ glc$)]])</f>
        <v>#NUM!</v>
      </c>
      <c r="J2182" t="e">
        <f>LOG(Table1[[#This Row],[Flux in RT / glucose uptake ($mmol/mmol\ glc$)]])</f>
        <v>#NUM!</v>
      </c>
    </row>
    <row r="2183" spans="1:10" x14ac:dyDescent="0.2">
      <c r="A2183" t="s">
        <v>2186</v>
      </c>
      <c r="B2183" t="s">
        <v>3194</v>
      </c>
      <c r="C2183">
        <v>0</v>
      </c>
      <c r="D2183">
        <v>0</v>
      </c>
      <c r="E2183">
        <f>ABS(Table1[[#This Row],[Flux in SC / glucose uptake ($mmol/mmol\ glc$)]]-Table1[[#This Row],[Flux in RT / glucose uptake ($mmol/mmol\ glc$)]])/SQRT(2)</f>
        <v>0</v>
      </c>
      <c r="F2183">
        <f>Table1[[#This Row],[distance from 45-degree line]]/MAX(Table1[[Flux in SC / glucose uptake ($mmol/mmol\ glc$)]:[Flux in RT / glucose uptake ($mmol/mmol\ glc$)]])</f>
        <v>0</v>
      </c>
      <c r="G2183">
        <f>_xlfn.RANK.AVG(Table1[[#This Row],[Flux in SC / glucose uptake ($mmol/mmol\ glc$)]],Table1[Flux in SC / glucose uptake ($mmol/mmol\ glc$)])</f>
        <v>1310.5</v>
      </c>
      <c r="H2183">
        <f>_xlfn.RANK.AVG(Table1[[#This Row],[Flux in RT / glucose uptake ($mmol/mmol\ glc$)]],Table1[Flux in RT / glucose uptake ($mmol/mmol\ glc$)])</f>
        <v>1290.5</v>
      </c>
      <c r="I2183" t="e">
        <f>LOG(Table1[[#This Row],[Flux in SC / glucose uptake ($mmol/mmol\ glc$)]])</f>
        <v>#NUM!</v>
      </c>
      <c r="J2183" t="e">
        <f>LOG(Table1[[#This Row],[Flux in RT / glucose uptake ($mmol/mmol\ glc$)]])</f>
        <v>#NUM!</v>
      </c>
    </row>
    <row r="2184" spans="1:10" x14ac:dyDescent="0.2">
      <c r="A2184" t="s">
        <v>2187</v>
      </c>
      <c r="B2184" t="s">
        <v>3194</v>
      </c>
      <c r="C2184">
        <v>0</v>
      </c>
      <c r="D2184">
        <v>0</v>
      </c>
      <c r="E2184">
        <f>ABS(Table1[[#This Row],[Flux in SC / glucose uptake ($mmol/mmol\ glc$)]]-Table1[[#This Row],[Flux in RT / glucose uptake ($mmol/mmol\ glc$)]])/SQRT(2)</f>
        <v>0</v>
      </c>
      <c r="F2184">
        <f>Table1[[#This Row],[distance from 45-degree line]]/MAX(Table1[[Flux in SC / glucose uptake ($mmol/mmol\ glc$)]:[Flux in RT / glucose uptake ($mmol/mmol\ glc$)]])</f>
        <v>0</v>
      </c>
      <c r="G2184">
        <f>_xlfn.RANK.AVG(Table1[[#This Row],[Flux in SC / glucose uptake ($mmol/mmol\ glc$)]],Table1[Flux in SC / glucose uptake ($mmol/mmol\ glc$)])</f>
        <v>1310.5</v>
      </c>
      <c r="H2184">
        <f>_xlfn.RANK.AVG(Table1[[#This Row],[Flux in RT / glucose uptake ($mmol/mmol\ glc$)]],Table1[Flux in RT / glucose uptake ($mmol/mmol\ glc$)])</f>
        <v>1290.5</v>
      </c>
      <c r="I2184" t="e">
        <f>LOG(Table1[[#This Row],[Flux in SC / glucose uptake ($mmol/mmol\ glc$)]])</f>
        <v>#NUM!</v>
      </c>
      <c r="J2184" t="e">
        <f>LOG(Table1[[#This Row],[Flux in RT / glucose uptake ($mmol/mmol\ glc$)]])</f>
        <v>#NUM!</v>
      </c>
    </row>
    <row r="2185" spans="1:10" x14ac:dyDescent="0.2">
      <c r="A2185" t="s">
        <v>2188</v>
      </c>
      <c r="B2185" t="s">
        <v>3194</v>
      </c>
      <c r="C2185">
        <v>0</v>
      </c>
      <c r="D2185">
        <v>0</v>
      </c>
      <c r="E2185">
        <f>ABS(Table1[[#This Row],[Flux in SC / glucose uptake ($mmol/mmol\ glc$)]]-Table1[[#This Row],[Flux in RT / glucose uptake ($mmol/mmol\ glc$)]])/SQRT(2)</f>
        <v>0</v>
      </c>
      <c r="F2185">
        <f>Table1[[#This Row],[distance from 45-degree line]]/MAX(Table1[[Flux in SC / glucose uptake ($mmol/mmol\ glc$)]:[Flux in RT / glucose uptake ($mmol/mmol\ glc$)]])</f>
        <v>0</v>
      </c>
      <c r="G2185">
        <f>_xlfn.RANK.AVG(Table1[[#This Row],[Flux in SC / glucose uptake ($mmol/mmol\ glc$)]],Table1[Flux in SC / glucose uptake ($mmol/mmol\ glc$)])</f>
        <v>1310.5</v>
      </c>
      <c r="H2185">
        <f>_xlfn.RANK.AVG(Table1[[#This Row],[Flux in RT / glucose uptake ($mmol/mmol\ glc$)]],Table1[Flux in RT / glucose uptake ($mmol/mmol\ glc$)])</f>
        <v>1290.5</v>
      </c>
      <c r="I2185" t="e">
        <f>LOG(Table1[[#This Row],[Flux in SC / glucose uptake ($mmol/mmol\ glc$)]])</f>
        <v>#NUM!</v>
      </c>
      <c r="J2185" t="e">
        <f>LOG(Table1[[#This Row],[Flux in RT / glucose uptake ($mmol/mmol\ glc$)]])</f>
        <v>#NUM!</v>
      </c>
    </row>
    <row r="2186" spans="1:10" x14ac:dyDescent="0.2">
      <c r="A2186" t="s">
        <v>2189</v>
      </c>
      <c r="B2186" t="s">
        <v>3151</v>
      </c>
      <c r="C2186">
        <v>0</v>
      </c>
      <c r="D2186">
        <v>0</v>
      </c>
      <c r="E2186">
        <f>ABS(Table1[[#This Row],[Flux in SC / glucose uptake ($mmol/mmol\ glc$)]]-Table1[[#This Row],[Flux in RT / glucose uptake ($mmol/mmol\ glc$)]])/SQRT(2)</f>
        <v>0</v>
      </c>
      <c r="F2186">
        <f>Table1[[#This Row],[distance from 45-degree line]]/MAX(Table1[[Flux in SC / glucose uptake ($mmol/mmol\ glc$)]:[Flux in RT / glucose uptake ($mmol/mmol\ glc$)]])</f>
        <v>0</v>
      </c>
      <c r="G2186">
        <f>_xlfn.RANK.AVG(Table1[[#This Row],[Flux in SC / glucose uptake ($mmol/mmol\ glc$)]],Table1[Flux in SC / glucose uptake ($mmol/mmol\ glc$)])</f>
        <v>1310.5</v>
      </c>
      <c r="H2186">
        <f>_xlfn.RANK.AVG(Table1[[#This Row],[Flux in RT / glucose uptake ($mmol/mmol\ glc$)]],Table1[Flux in RT / glucose uptake ($mmol/mmol\ glc$)])</f>
        <v>1290.5</v>
      </c>
      <c r="I2186" t="e">
        <f>LOG(Table1[[#This Row],[Flux in SC / glucose uptake ($mmol/mmol\ glc$)]])</f>
        <v>#NUM!</v>
      </c>
      <c r="J2186" t="e">
        <f>LOG(Table1[[#This Row],[Flux in RT / glucose uptake ($mmol/mmol\ glc$)]])</f>
        <v>#NUM!</v>
      </c>
    </row>
    <row r="2187" spans="1:10" x14ac:dyDescent="0.2">
      <c r="A2187" t="s">
        <v>2190</v>
      </c>
      <c r="B2187" t="s">
        <v>3114</v>
      </c>
      <c r="C2187">
        <v>0</v>
      </c>
      <c r="D2187">
        <v>0</v>
      </c>
      <c r="E2187">
        <f>ABS(Table1[[#This Row],[Flux in SC / glucose uptake ($mmol/mmol\ glc$)]]-Table1[[#This Row],[Flux in RT / glucose uptake ($mmol/mmol\ glc$)]])/SQRT(2)</f>
        <v>0</v>
      </c>
      <c r="F2187">
        <f>Table1[[#This Row],[distance from 45-degree line]]/MAX(Table1[[Flux in SC / glucose uptake ($mmol/mmol\ glc$)]:[Flux in RT / glucose uptake ($mmol/mmol\ glc$)]])</f>
        <v>0</v>
      </c>
      <c r="G2187">
        <f>_xlfn.RANK.AVG(Table1[[#This Row],[Flux in SC / glucose uptake ($mmol/mmol\ glc$)]],Table1[Flux in SC / glucose uptake ($mmol/mmol\ glc$)])</f>
        <v>1310.5</v>
      </c>
      <c r="H2187">
        <f>_xlfn.RANK.AVG(Table1[[#This Row],[Flux in RT / glucose uptake ($mmol/mmol\ glc$)]],Table1[Flux in RT / glucose uptake ($mmol/mmol\ glc$)])</f>
        <v>1290.5</v>
      </c>
      <c r="I2187" t="e">
        <f>LOG(Table1[[#This Row],[Flux in SC / glucose uptake ($mmol/mmol\ glc$)]])</f>
        <v>#NUM!</v>
      </c>
      <c r="J2187" t="e">
        <f>LOG(Table1[[#This Row],[Flux in RT / glucose uptake ($mmol/mmol\ glc$)]])</f>
        <v>#NUM!</v>
      </c>
    </row>
    <row r="2188" spans="1:10" x14ac:dyDescent="0.2">
      <c r="A2188" t="s">
        <v>2191</v>
      </c>
      <c r="B2188" t="s">
        <v>3131</v>
      </c>
      <c r="C2188">
        <v>3.6110321147682783E-9</v>
      </c>
      <c r="D2188">
        <v>-1.7515270938509794E-8</v>
      </c>
      <c r="E2188">
        <f>ABS(Table1[[#This Row],[Flux in SC / glucose uptake ($mmol/mmol\ glc$)]]-Table1[[#This Row],[Flux in RT / glucose uptake ($mmol/mmol\ glc$)]])/SQRT(2)</f>
        <v>1.4938552150374988E-8</v>
      </c>
      <c r="F2188">
        <f>Table1[[#This Row],[distance from 45-degree line]]/MAX(Table1[[Flux in SC / glucose uptake ($mmol/mmol\ glc$)]:[Flux in RT / glucose uptake ($mmol/mmol\ glc$)]])</f>
        <v>8.0517091503217233E-10</v>
      </c>
      <c r="G2188">
        <f>_xlfn.RANK.AVG(Table1[[#This Row],[Flux in SC / glucose uptake ($mmol/mmol\ glc$)]],Table1[Flux in SC / glucose uptake ($mmol/mmol\ glc$)])</f>
        <v>310</v>
      </c>
      <c r="H2188">
        <f>_xlfn.RANK.AVG(Table1[[#This Row],[Flux in RT / glucose uptake ($mmol/mmol\ glc$)]],Table1[Flux in RT / glucose uptake ($mmol/mmol\ glc$)])</f>
        <v>2299</v>
      </c>
      <c r="I2188">
        <f>LOG(Table1[[#This Row],[Flux in SC / glucose uptake ($mmol/mmol\ glc$)]])</f>
        <v>-8.4423686491515095</v>
      </c>
      <c r="J2188" t="e">
        <f>LOG(Table1[[#This Row],[Flux in RT / glucose uptake ($mmol/mmol\ glc$)]])</f>
        <v>#NUM!</v>
      </c>
    </row>
    <row r="2189" spans="1:10" x14ac:dyDescent="0.2">
      <c r="A2189" t="s">
        <v>2192</v>
      </c>
      <c r="B2189" t="s">
        <v>3131</v>
      </c>
      <c r="C2189">
        <v>0</v>
      </c>
      <c r="D2189">
        <v>0</v>
      </c>
      <c r="E2189">
        <f>ABS(Table1[[#This Row],[Flux in SC / glucose uptake ($mmol/mmol\ glc$)]]-Table1[[#This Row],[Flux in RT / glucose uptake ($mmol/mmol\ glc$)]])/SQRT(2)</f>
        <v>0</v>
      </c>
      <c r="F2189">
        <f>Table1[[#This Row],[distance from 45-degree line]]/MAX(Table1[[Flux in SC / glucose uptake ($mmol/mmol\ glc$)]:[Flux in RT / glucose uptake ($mmol/mmol\ glc$)]])</f>
        <v>0</v>
      </c>
      <c r="G2189">
        <f>_xlfn.RANK.AVG(Table1[[#This Row],[Flux in SC / glucose uptake ($mmol/mmol\ glc$)]],Table1[Flux in SC / glucose uptake ($mmol/mmol\ glc$)])</f>
        <v>1310.5</v>
      </c>
      <c r="H2189">
        <f>_xlfn.RANK.AVG(Table1[[#This Row],[Flux in RT / glucose uptake ($mmol/mmol\ glc$)]],Table1[Flux in RT / glucose uptake ($mmol/mmol\ glc$)])</f>
        <v>1290.5</v>
      </c>
      <c r="I2189" t="e">
        <f>LOG(Table1[[#This Row],[Flux in SC / glucose uptake ($mmol/mmol\ glc$)]])</f>
        <v>#NUM!</v>
      </c>
      <c r="J2189" t="e">
        <f>LOG(Table1[[#This Row],[Flux in RT / glucose uptake ($mmol/mmol\ glc$)]])</f>
        <v>#NUM!</v>
      </c>
    </row>
    <row r="2190" spans="1:10" x14ac:dyDescent="0.2">
      <c r="A2190" t="s">
        <v>2193</v>
      </c>
      <c r="B2190" t="s">
        <v>3131</v>
      </c>
      <c r="C2190">
        <v>3.8268872088129623E-3</v>
      </c>
      <c r="D2190">
        <v>1.7320394370359669E-2</v>
      </c>
      <c r="E2190">
        <f>ABS(Table1[[#This Row],[Flux in SC / glucose uptake ($mmol/mmol\ glc$)]]-Table1[[#This Row],[Flux in RT / glucose uptake ($mmol/mmol\ glc$)]])/SQRT(2)</f>
        <v>9.5413504159189179E-3</v>
      </c>
      <c r="F2190">
        <f>Table1[[#This Row],[distance from 45-degree line]]/MAX(Table1[[Flux in SC / glucose uptake ($mmol/mmol\ glc$)]:[Flux in RT / glucose uptake ($mmol/mmol\ glc$)]])</f>
        <v>5.1426790010805623E-4</v>
      </c>
      <c r="G2190">
        <f>_xlfn.RANK.AVG(Table1[[#This Row],[Flux in SC / glucose uptake ($mmol/mmol\ glc$)]],Table1[Flux in SC / glucose uptake ($mmol/mmol\ glc$)])</f>
        <v>149.5</v>
      </c>
      <c r="H2190">
        <f>_xlfn.RANK.AVG(Table1[[#This Row],[Flux in RT / glucose uptake ($mmol/mmol\ glc$)]],Table1[Flux in RT / glucose uptake ($mmol/mmol\ glc$)])</f>
        <v>162.5</v>
      </c>
      <c r="I2190">
        <f>LOG(Table1[[#This Row],[Flux in SC / glucose uptake ($mmol/mmol\ glc$)]])</f>
        <v>-2.417154337700246</v>
      </c>
      <c r="J2190">
        <f>LOG(Table1[[#This Row],[Flux in RT / glucose uptake ($mmol/mmol\ glc$)]])</f>
        <v>-1.7614422236973588</v>
      </c>
    </row>
    <row r="2191" spans="1:10" x14ac:dyDescent="0.2">
      <c r="A2191" t="s">
        <v>2194</v>
      </c>
      <c r="B2191" t="s">
        <v>3131</v>
      </c>
      <c r="C2191">
        <v>7.5339857138605332E-3</v>
      </c>
      <c r="D2191">
        <v>3.4098573123860804E-2</v>
      </c>
      <c r="E2191">
        <f>ABS(Table1[[#This Row],[Flux in SC / glucose uptake ($mmol/mmol\ glc$)]]-Table1[[#This Row],[Flux in RT / glucose uptake ($mmol/mmol\ glc$)]])/SQRT(2)</f>
        <v>1.8783999897033974E-2</v>
      </c>
      <c r="F2191">
        <f>Table1[[#This Row],[distance from 45-degree line]]/MAX(Table1[[Flux in SC / glucose uptake ($mmol/mmol\ glc$)]:[Flux in RT / glucose uptake ($mmol/mmol\ glc$)]])</f>
        <v>1.012436160667647E-3</v>
      </c>
      <c r="G2191">
        <f>_xlfn.RANK.AVG(Table1[[#This Row],[Flux in SC / glucose uptake ($mmol/mmol\ glc$)]],Table1[Flux in SC / glucose uptake ($mmol/mmol\ glc$)])</f>
        <v>96.5</v>
      </c>
      <c r="H2191">
        <f>_xlfn.RANK.AVG(Table1[[#This Row],[Flux in RT / glucose uptake ($mmol/mmol\ glc$)]],Table1[Flux in RT / glucose uptake ($mmol/mmol\ glc$)])</f>
        <v>118.5</v>
      </c>
      <c r="I2191">
        <f>LOG(Table1[[#This Row],[Flux in SC / glucose uptake ($mmol/mmol\ glc$)]])</f>
        <v>-2.1229752076524511</v>
      </c>
      <c r="J2191">
        <f>LOG(Table1[[#This Row],[Flux in RT / glucose uptake ($mmol/mmol\ glc$)]])</f>
        <v>-1.4672637939517537</v>
      </c>
    </row>
    <row r="2192" spans="1:10" x14ac:dyDescent="0.2">
      <c r="A2192" t="s">
        <v>2195</v>
      </c>
      <c r="B2192" t="s">
        <v>3114</v>
      </c>
      <c r="C2192">
        <v>3.8268872088129623E-3</v>
      </c>
      <c r="D2192">
        <v>1.7320394370359669E-2</v>
      </c>
      <c r="E2192">
        <f>ABS(Table1[[#This Row],[Flux in SC / glucose uptake ($mmol/mmol\ glc$)]]-Table1[[#This Row],[Flux in RT / glucose uptake ($mmol/mmol\ glc$)]])/SQRT(2)</f>
        <v>9.5413504159189179E-3</v>
      </c>
      <c r="F2192">
        <f>Table1[[#This Row],[distance from 45-degree line]]/MAX(Table1[[Flux in SC / glucose uptake ($mmol/mmol\ glc$)]:[Flux in RT / glucose uptake ($mmol/mmol\ glc$)]])</f>
        <v>5.1426790010805623E-4</v>
      </c>
      <c r="G2192">
        <f>_xlfn.RANK.AVG(Table1[[#This Row],[Flux in SC / glucose uptake ($mmol/mmol\ glc$)]],Table1[Flux in SC / glucose uptake ($mmol/mmol\ glc$)])</f>
        <v>149.5</v>
      </c>
      <c r="H2192">
        <f>_xlfn.RANK.AVG(Table1[[#This Row],[Flux in RT / glucose uptake ($mmol/mmol\ glc$)]],Table1[Flux in RT / glucose uptake ($mmol/mmol\ glc$)])</f>
        <v>162.5</v>
      </c>
      <c r="I2192">
        <f>LOG(Table1[[#This Row],[Flux in SC / glucose uptake ($mmol/mmol\ glc$)]])</f>
        <v>-2.417154337700246</v>
      </c>
      <c r="J2192">
        <f>LOG(Table1[[#This Row],[Flux in RT / glucose uptake ($mmol/mmol\ glc$)]])</f>
        <v>-1.7614422236973588</v>
      </c>
    </row>
    <row r="2193" spans="1:10" x14ac:dyDescent="0.2">
      <c r="A2193" t="s">
        <v>2196</v>
      </c>
      <c r="B2193" t="s">
        <v>3114</v>
      </c>
      <c r="C2193">
        <v>0</v>
      </c>
      <c r="D2193">
        <v>0</v>
      </c>
      <c r="E2193">
        <f>ABS(Table1[[#This Row],[Flux in SC / glucose uptake ($mmol/mmol\ glc$)]]-Table1[[#This Row],[Flux in RT / glucose uptake ($mmol/mmol\ glc$)]])/SQRT(2)</f>
        <v>0</v>
      </c>
      <c r="F2193">
        <f>Table1[[#This Row],[distance from 45-degree line]]/MAX(Table1[[Flux in SC / glucose uptake ($mmol/mmol\ glc$)]:[Flux in RT / glucose uptake ($mmol/mmol\ glc$)]])</f>
        <v>0</v>
      </c>
      <c r="G2193">
        <f>_xlfn.RANK.AVG(Table1[[#This Row],[Flux in SC / glucose uptake ($mmol/mmol\ glc$)]],Table1[Flux in SC / glucose uptake ($mmol/mmol\ glc$)])</f>
        <v>1310.5</v>
      </c>
      <c r="H2193">
        <f>_xlfn.RANK.AVG(Table1[[#This Row],[Flux in RT / glucose uptake ($mmol/mmol\ glc$)]],Table1[Flux in RT / glucose uptake ($mmol/mmol\ glc$)])</f>
        <v>1290.5</v>
      </c>
      <c r="I2193" t="e">
        <f>LOG(Table1[[#This Row],[Flux in SC / glucose uptake ($mmol/mmol\ glc$)]])</f>
        <v>#NUM!</v>
      </c>
      <c r="J2193" t="e">
        <f>LOG(Table1[[#This Row],[Flux in RT / glucose uptake ($mmol/mmol\ glc$)]])</f>
        <v>#NUM!</v>
      </c>
    </row>
    <row r="2194" spans="1:10" x14ac:dyDescent="0.2">
      <c r="A2194" t="s">
        <v>2197</v>
      </c>
      <c r="B2194" t="s">
        <v>3154</v>
      </c>
      <c r="C2194">
        <v>0</v>
      </c>
      <c r="D2194">
        <v>0</v>
      </c>
      <c r="E2194">
        <f>ABS(Table1[[#This Row],[Flux in SC / glucose uptake ($mmol/mmol\ glc$)]]-Table1[[#This Row],[Flux in RT / glucose uptake ($mmol/mmol\ glc$)]])/SQRT(2)</f>
        <v>0</v>
      </c>
      <c r="F2194">
        <f>Table1[[#This Row],[distance from 45-degree line]]/MAX(Table1[[Flux in SC / glucose uptake ($mmol/mmol\ glc$)]:[Flux in RT / glucose uptake ($mmol/mmol\ glc$)]])</f>
        <v>0</v>
      </c>
      <c r="G2194">
        <f>_xlfn.RANK.AVG(Table1[[#This Row],[Flux in SC / glucose uptake ($mmol/mmol\ glc$)]],Table1[Flux in SC / glucose uptake ($mmol/mmol\ glc$)])</f>
        <v>1310.5</v>
      </c>
      <c r="H2194">
        <f>_xlfn.RANK.AVG(Table1[[#This Row],[Flux in RT / glucose uptake ($mmol/mmol\ glc$)]],Table1[Flux in RT / glucose uptake ($mmol/mmol\ glc$)])</f>
        <v>1290.5</v>
      </c>
      <c r="I2194" t="e">
        <f>LOG(Table1[[#This Row],[Flux in SC / glucose uptake ($mmol/mmol\ glc$)]])</f>
        <v>#NUM!</v>
      </c>
      <c r="J2194" t="e">
        <f>LOG(Table1[[#This Row],[Flux in RT / glucose uptake ($mmol/mmol\ glc$)]])</f>
        <v>#NUM!</v>
      </c>
    </row>
    <row r="2195" spans="1:10" x14ac:dyDescent="0.2">
      <c r="A2195" t="s">
        <v>2198</v>
      </c>
      <c r="B2195" t="s">
        <v>3114</v>
      </c>
      <c r="C2195">
        <v>0</v>
      </c>
      <c r="D2195">
        <v>0</v>
      </c>
      <c r="E2195">
        <f>ABS(Table1[[#This Row],[Flux in SC / glucose uptake ($mmol/mmol\ glc$)]]-Table1[[#This Row],[Flux in RT / glucose uptake ($mmol/mmol\ glc$)]])/SQRT(2)</f>
        <v>0</v>
      </c>
      <c r="F2195">
        <f>Table1[[#This Row],[distance from 45-degree line]]/MAX(Table1[[Flux in SC / glucose uptake ($mmol/mmol\ glc$)]:[Flux in RT / glucose uptake ($mmol/mmol\ glc$)]])</f>
        <v>0</v>
      </c>
      <c r="G2195">
        <f>_xlfn.RANK.AVG(Table1[[#This Row],[Flux in SC / glucose uptake ($mmol/mmol\ glc$)]],Table1[Flux in SC / glucose uptake ($mmol/mmol\ glc$)])</f>
        <v>1310.5</v>
      </c>
      <c r="H2195">
        <f>_xlfn.RANK.AVG(Table1[[#This Row],[Flux in RT / glucose uptake ($mmol/mmol\ glc$)]],Table1[Flux in RT / glucose uptake ($mmol/mmol\ glc$)])</f>
        <v>1290.5</v>
      </c>
      <c r="I2195" t="e">
        <f>LOG(Table1[[#This Row],[Flux in SC / glucose uptake ($mmol/mmol\ glc$)]])</f>
        <v>#NUM!</v>
      </c>
      <c r="J2195" t="e">
        <f>LOG(Table1[[#This Row],[Flux in RT / glucose uptake ($mmol/mmol\ glc$)]])</f>
        <v>#NUM!</v>
      </c>
    </row>
    <row r="2196" spans="1:10" x14ac:dyDescent="0.2">
      <c r="A2196" t="s">
        <v>2199</v>
      </c>
      <c r="B2196" t="s">
        <v>3129</v>
      </c>
      <c r="C2196">
        <v>0</v>
      </c>
      <c r="D2196">
        <v>0</v>
      </c>
      <c r="E2196">
        <f>ABS(Table1[[#This Row],[Flux in SC / glucose uptake ($mmol/mmol\ glc$)]]-Table1[[#This Row],[Flux in RT / glucose uptake ($mmol/mmol\ glc$)]])/SQRT(2)</f>
        <v>0</v>
      </c>
      <c r="F2196">
        <f>Table1[[#This Row],[distance from 45-degree line]]/MAX(Table1[[Flux in SC / glucose uptake ($mmol/mmol\ glc$)]:[Flux in RT / glucose uptake ($mmol/mmol\ glc$)]])</f>
        <v>0</v>
      </c>
      <c r="G2196">
        <f>_xlfn.RANK.AVG(Table1[[#This Row],[Flux in SC / glucose uptake ($mmol/mmol\ glc$)]],Table1[Flux in SC / glucose uptake ($mmol/mmol\ glc$)])</f>
        <v>1310.5</v>
      </c>
      <c r="H2196">
        <f>_xlfn.RANK.AVG(Table1[[#This Row],[Flux in RT / glucose uptake ($mmol/mmol\ glc$)]],Table1[Flux in RT / glucose uptake ($mmol/mmol\ glc$)])</f>
        <v>1290.5</v>
      </c>
      <c r="I2196" t="e">
        <f>LOG(Table1[[#This Row],[Flux in SC / glucose uptake ($mmol/mmol\ glc$)]])</f>
        <v>#NUM!</v>
      </c>
      <c r="J2196" t="e">
        <f>LOG(Table1[[#This Row],[Flux in RT / glucose uptake ($mmol/mmol\ glc$)]])</f>
        <v>#NUM!</v>
      </c>
    </row>
    <row r="2197" spans="1:10" x14ac:dyDescent="0.2">
      <c r="A2197" t="s">
        <v>2200</v>
      </c>
      <c r="B2197" t="s">
        <v>3129</v>
      </c>
      <c r="C2197">
        <v>0</v>
      </c>
      <c r="D2197">
        <v>0</v>
      </c>
      <c r="E2197">
        <f>ABS(Table1[[#This Row],[Flux in SC / glucose uptake ($mmol/mmol\ glc$)]]-Table1[[#This Row],[Flux in RT / glucose uptake ($mmol/mmol\ glc$)]])/SQRT(2)</f>
        <v>0</v>
      </c>
      <c r="F2197">
        <f>Table1[[#This Row],[distance from 45-degree line]]/MAX(Table1[[Flux in SC / glucose uptake ($mmol/mmol\ glc$)]:[Flux in RT / glucose uptake ($mmol/mmol\ glc$)]])</f>
        <v>0</v>
      </c>
      <c r="G2197">
        <f>_xlfn.RANK.AVG(Table1[[#This Row],[Flux in SC / glucose uptake ($mmol/mmol\ glc$)]],Table1[Flux in SC / glucose uptake ($mmol/mmol\ glc$)])</f>
        <v>1310.5</v>
      </c>
      <c r="H2197">
        <f>_xlfn.RANK.AVG(Table1[[#This Row],[Flux in RT / glucose uptake ($mmol/mmol\ glc$)]],Table1[Flux in RT / glucose uptake ($mmol/mmol\ glc$)])</f>
        <v>1290.5</v>
      </c>
      <c r="I2197" t="e">
        <f>LOG(Table1[[#This Row],[Flux in SC / glucose uptake ($mmol/mmol\ glc$)]])</f>
        <v>#NUM!</v>
      </c>
      <c r="J2197" t="e">
        <f>LOG(Table1[[#This Row],[Flux in RT / glucose uptake ($mmol/mmol\ glc$)]])</f>
        <v>#NUM!</v>
      </c>
    </row>
    <row r="2198" spans="1:10" x14ac:dyDescent="0.2">
      <c r="A2198" t="s">
        <v>2201</v>
      </c>
      <c r="B2198" t="s">
        <v>3182</v>
      </c>
      <c r="C2198">
        <v>8.2667260151577486E-3</v>
      </c>
      <c r="D2198">
        <v>0.16948814317262334</v>
      </c>
      <c r="E2198">
        <f>ABS(Table1[[#This Row],[Flux in SC / glucose uptake ($mmol/mmol\ glc$)]]-Table1[[#This Row],[Flux in RT / glucose uptake ($mmol/mmol\ glc$)]])/SQRT(2)</f>
        <v>0.11400075734454912</v>
      </c>
      <c r="F2198">
        <f>Table1[[#This Row],[distance from 45-degree line]]/MAX(Table1[[Flux in SC / glucose uptake ($mmol/mmol\ glc$)]:[Flux in RT / glucose uptake ($mmol/mmol\ glc$)]])</f>
        <v>6.1445107384899503E-3</v>
      </c>
      <c r="G2198">
        <f>_xlfn.RANK.AVG(Table1[[#This Row],[Flux in SC / glucose uptake ($mmol/mmol\ glc$)]],Table1[Flux in SC / glucose uptake ($mmol/mmol\ glc$)])</f>
        <v>92</v>
      </c>
      <c r="H2198">
        <f>_xlfn.RANK.AVG(Table1[[#This Row],[Flux in RT / glucose uptake ($mmol/mmol\ glc$)]],Table1[Flux in RT / glucose uptake ($mmol/mmol\ glc$)])</f>
        <v>71.5</v>
      </c>
      <c r="I2198">
        <f>LOG(Table1[[#This Row],[Flux in SC / glucose uptake ($mmol/mmol\ glc$)]])</f>
        <v>-2.0826664559946964</v>
      </c>
      <c r="J2198">
        <f>LOG(Table1[[#This Row],[Flux in RT / glucose uptake ($mmol/mmol\ glc$)]])</f>
        <v>-0.77086067819726622</v>
      </c>
    </row>
    <row r="2199" spans="1:10" x14ac:dyDescent="0.2">
      <c r="A2199" t="s">
        <v>2202</v>
      </c>
      <c r="B2199" t="s">
        <v>3182</v>
      </c>
      <c r="C2199">
        <v>4.0272020067641098E-3</v>
      </c>
      <c r="D2199">
        <v>0.15030014533867805</v>
      </c>
      <c r="E2199">
        <f>ABS(Table1[[#This Row],[Flux in SC / glucose uptake ($mmol/mmol\ glc$)]]-Table1[[#This Row],[Flux in RT / glucose uptake ($mmol/mmol\ glc$)]])/SQRT(2)</f>
        <v>0.10343059013411195</v>
      </c>
      <c r="F2199">
        <f>Table1[[#This Row],[distance from 45-degree line]]/MAX(Table1[[Flux in SC / glucose uptake ($mmol/mmol\ glc$)]:[Flux in RT / glucose uptake ($mmol/mmol\ glc$)]])</f>
        <v>5.5747907871051619E-3</v>
      </c>
      <c r="G2199">
        <f>_xlfn.RANK.AVG(Table1[[#This Row],[Flux in SC / glucose uptake ($mmol/mmol\ glc$)]],Table1[Flux in SC / glucose uptake ($mmol/mmol\ glc$)])</f>
        <v>140</v>
      </c>
      <c r="H2199">
        <f>_xlfn.RANK.AVG(Table1[[#This Row],[Flux in RT / glucose uptake ($mmol/mmol\ glc$)]],Table1[Flux in RT / glucose uptake ($mmol/mmol\ glc$)])</f>
        <v>73</v>
      </c>
      <c r="I2199">
        <f>LOG(Table1[[#This Row],[Flux in SC / glucose uptake ($mmol/mmol\ glc$)]])</f>
        <v>-2.39499658538571</v>
      </c>
      <c r="J2199">
        <f>LOG(Table1[[#This Row],[Flux in RT / glucose uptake ($mmol/mmol\ glc$)]])</f>
        <v>-0.82304059945463959</v>
      </c>
    </row>
    <row r="2200" spans="1:10" x14ac:dyDescent="0.2">
      <c r="A2200" t="s">
        <v>2203</v>
      </c>
      <c r="B2200" t="s">
        <v>3164</v>
      </c>
      <c r="C2200">
        <v>0</v>
      </c>
      <c r="D2200">
        <v>0</v>
      </c>
      <c r="E2200">
        <f>ABS(Table1[[#This Row],[Flux in SC / glucose uptake ($mmol/mmol\ glc$)]]-Table1[[#This Row],[Flux in RT / glucose uptake ($mmol/mmol\ glc$)]])/SQRT(2)</f>
        <v>0</v>
      </c>
      <c r="F2200">
        <f>Table1[[#This Row],[distance from 45-degree line]]/MAX(Table1[[Flux in SC / glucose uptake ($mmol/mmol\ glc$)]:[Flux in RT / glucose uptake ($mmol/mmol\ glc$)]])</f>
        <v>0</v>
      </c>
      <c r="G2200">
        <f>_xlfn.RANK.AVG(Table1[[#This Row],[Flux in SC / glucose uptake ($mmol/mmol\ glc$)]],Table1[Flux in SC / glucose uptake ($mmol/mmol\ glc$)])</f>
        <v>1310.5</v>
      </c>
      <c r="H2200">
        <f>_xlfn.RANK.AVG(Table1[[#This Row],[Flux in RT / glucose uptake ($mmol/mmol\ glc$)]],Table1[Flux in RT / glucose uptake ($mmol/mmol\ glc$)])</f>
        <v>1290.5</v>
      </c>
      <c r="I2200" t="e">
        <f>LOG(Table1[[#This Row],[Flux in SC / glucose uptake ($mmol/mmol\ glc$)]])</f>
        <v>#NUM!</v>
      </c>
      <c r="J2200" t="e">
        <f>LOG(Table1[[#This Row],[Flux in RT / glucose uptake ($mmol/mmol\ glc$)]])</f>
        <v>#NUM!</v>
      </c>
    </row>
    <row r="2201" spans="1:10" x14ac:dyDescent="0.2">
      <c r="A2201" t="s">
        <v>2204</v>
      </c>
      <c r="B2201" t="s">
        <v>3162</v>
      </c>
      <c r="C2201">
        <v>0</v>
      </c>
      <c r="D2201">
        <v>0</v>
      </c>
      <c r="E2201">
        <f>ABS(Table1[[#This Row],[Flux in SC / glucose uptake ($mmol/mmol\ glc$)]]-Table1[[#This Row],[Flux in RT / glucose uptake ($mmol/mmol\ glc$)]])/SQRT(2)</f>
        <v>0</v>
      </c>
      <c r="F2201">
        <f>Table1[[#This Row],[distance from 45-degree line]]/MAX(Table1[[Flux in SC / glucose uptake ($mmol/mmol\ glc$)]:[Flux in RT / glucose uptake ($mmol/mmol\ glc$)]])</f>
        <v>0</v>
      </c>
      <c r="G2201">
        <f>_xlfn.RANK.AVG(Table1[[#This Row],[Flux in SC / glucose uptake ($mmol/mmol\ glc$)]],Table1[Flux in SC / glucose uptake ($mmol/mmol\ glc$)])</f>
        <v>1310.5</v>
      </c>
      <c r="H2201">
        <f>_xlfn.RANK.AVG(Table1[[#This Row],[Flux in RT / glucose uptake ($mmol/mmol\ glc$)]],Table1[Flux in RT / glucose uptake ($mmol/mmol\ glc$)])</f>
        <v>1290.5</v>
      </c>
      <c r="I2201" t="e">
        <f>LOG(Table1[[#This Row],[Flux in SC / glucose uptake ($mmol/mmol\ glc$)]])</f>
        <v>#NUM!</v>
      </c>
      <c r="J2201" t="e">
        <f>LOG(Table1[[#This Row],[Flux in RT / glucose uptake ($mmol/mmol\ glc$)]])</f>
        <v>#NUM!</v>
      </c>
    </row>
    <row r="2202" spans="1:10" x14ac:dyDescent="0.2">
      <c r="A2202" t="s">
        <v>2205</v>
      </c>
      <c r="B2202" t="s">
        <v>3129</v>
      </c>
      <c r="C2202">
        <v>0</v>
      </c>
      <c r="D2202">
        <v>0</v>
      </c>
      <c r="E2202">
        <f>ABS(Table1[[#This Row],[Flux in SC / glucose uptake ($mmol/mmol\ glc$)]]-Table1[[#This Row],[Flux in RT / glucose uptake ($mmol/mmol\ glc$)]])/SQRT(2)</f>
        <v>0</v>
      </c>
      <c r="F2202">
        <f>Table1[[#This Row],[distance from 45-degree line]]/MAX(Table1[[Flux in SC / glucose uptake ($mmol/mmol\ glc$)]:[Flux in RT / glucose uptake ($mmol/mmol\ glc$)]])</f>
        <v>0</v>
      </c>
      <c r="G2202">
        <f>_xlfn.RANK.AVG(Table1[[#This Row],[Flux in SC / glucose uptake ($mmol/mmol\ glc$)]],Table1[Flux in SC / glucose uptake ($mmol/mmol\ glc$)])</f>
        <v>1310.5</v>
      </c>
      <c r="H2202">
        <f>_xlfn.RANK.AVG(Table1[[#This Row],[Flux in RT / glucose uptake ($mmol/mmol\ glc$)]],Table1[Flux in RT / glucose uptake ($mmol/mmol\ glc$)])</f>
        <v>1290.5</v>
      </c>
      <c r="I2202" t="e">
        <f>LOG(Table1[[#This Row],[Flux in SC / glucose uptake ($mmol/mmol\ glc$)]])</f>
        <v>#NUM!</v>
      </c>
      <c r="J2202" t="e">
        <f>LOG(Table1[[#This Row],[Flux in RT / glucose uptake ($mmol/mmol\ glc$)]])</f>
        <v>#NUM!</v>
      </c>
    </row>
    <row r="2203" spans="1:10" x14ac:dyDescent="0.2">
      <c r="A2203" t="s">
        <v>2206</v>
      </c>
      <c r="B2203" t="s">
        <v>3129</v>
      </c>
      <c r="C2203">
        <v>0</v>
      </c>
      <c r="D2203">
        <v>0</v>
      </c>
      <c r="E2203">
        <f>ABS(Table1[[#This Row],[Flux in SC / glucose uptake ($mmol/mmol\ glc$)]]-Table1[[#This Row],[Flux in RT / glucose uptake ($mmol/mmol\ glc$)]])/SQRT(2)</f>
        <v>0</v>
      </c>
      <c r="F2203">
        <f>Table1[[#This Row],[distance from 45-degree line]]/MAX(Table1[[Flux in SC / glucose uptake ($mmol/mmol\ glc$)]:[Flux in RT / glucose uptake ($mmol/mmol\ glc$)]])</f>
        <v>0</v>
      </c>
      <c r="G2203">
        <f>_xlfn.RANK.AVG(Table1[[#This Row],[Flux in SC / glucose uptake ($mmol/mmol\ glc$)]],Table1[Flux in SC / glucose uptake ($mmol/mmol\ glc$)])</f>
        <v>1310.5</v>
      </c>
      <c r="H2203">
        <f>_xlfn.RANK.AVG(Table1[[#This Row],[Flux in RT / glucose uptake ($mmol/mmol\ glc$)]],Table1[Flux in RT / glucose uptake ($mmol/mmol\ glc$)])</f>
        <v>1290.5</v>
      </c>
      <c r="I2203" t="e">
        <f>LOG(Table1[[#This Row],[Flux in SC / glucose uptake ($mmol/mmol\ glc$)]])</f>
        <v>#NUM!</v>
      </c>
      <c r="J2203" t="e">
        <f>LOG(Table1[[#This Row],[Flux in RT / glucose uptake ($mmol/mmol\ glc$)]])</f>
        <v>#NUM!</v>
      </c>
    </row>
    <row r="2204" spans="1:10" x14ac:dyDescent="0.2">
      <c r="A2204" t="s">
        <v>2207</v>
      </c>
      <c r="B2204" t="s">
        <v>3162</v>
      </c>
      <c r="C2204">
        <v>5.5815537528825745E-5</v>
      </c>
      <c r="D2204">
        <v>4.3568713458676944E-4</v>
      </c>
      <c r="E2204">
        <f>ABS(Table1[[#This Row],[Flux in SC / glucose uptake ($mmol/mmol\ glc$)]]-Table1[[#This Row],[Flux in RT / glucose uptake ($mmol/mmol\ glc$)]])/SQRT(2)</f>
        <v>2.6860978225983574E-4</v>
      </c>
      <c r="F2204">
        <f>Table1[[#This Row],[distance from 45-degree line]]/MAX(Table1[[Flux in SC / glucose uptake ($mmol/mmol\ glc$)]:[Flux in RT / glucose uptake ($mmol/mmol\ glc$)]])</f>
        <v>1.4477760762331678E-5</v>
      </c>
      <c r="G2204">
        <f>_xlfn.RANK.AVG(Table1[[#This Row],[Flux in SC / glucose uptake ($mmol/mmol\ glc$)]],Table1[Flux in SC / glucose uptake ($mmol/mmol\ glc$)])</f>
        <v>270</v>
      </c>
      <c r="H2204">
        <f>_xlfn.RANK.AVG(Table1[[#This Row],[Flux in RT / glucose uptake ($mmol/mmol\ glc$)]],Table1[Flux in RT / glucose uptake ($mmol/mmol\ glc$)])</f>
        <v>267.5</v>
      </c>
      <c r="I2204">
        <f>LOG(Table1[[#This Row],[Flux in SC / glucose uptake ($mmol/mmol\ glc$)]])</f>
        <v>-4.2532448884507108</v>
      </c>
      <c r="J2204">
        <f>LOG(Table1[[#This Row],[Flux in RT / glucose uptake ($mmol/mmol\ glc$)]])</f>
        <v>-3.36082526416447</v>
      </c>
    </row>
    <row r="2205" spans="1:10" x14ac:dyDescent="0.2">
      <c r="A2205" t="s">
        <v>2208</v>
      </c>
      <c r="B2205" t="s">
        <v>3164</v>
      </c>
      <c r="C2205">
        <v>0</v>
      </c>
      <c r="D2205">
        <v>0</v>
      </c>
      <c r="E2205">
        <f>ABS(Table1[[#This Row],[Flux in SC / glucose uptake ($mmol/mmol\ glc$)]]-Table1[[#This Row],[Flux in RT / glucose uptake ($mmol/mmol\ glc$)]])/SQRT(2)</f>
        <v>0</v>
      </c>
      <c r="F2205">
        <f>Table1[[#This Row],[distance from 45-degree line]]/MAX(Table1[[Flux in SC / glucose uptake ($mmol/mmol\ glc$)]:[Flux in RT / glucose uptake ($mmol/mmol\ glc$)]])</f>
        <v>0</v>
      </c>
      <c r="G2205">
        <f>_xlfn.RANK.AVG(Table1[[#This Row],[Flux in SC / glucose uptake ($mmol/mmol\ glc$)]],Table1[Flux in SC / glucose uptake ($mmol/mmol\ glc$)])</f>
        <v>1310.5</v>
      </c>
      <c r="H2205">
        <f>_xlfn.RANK.AVG(Table1[[#This Row],[Flux in RT / glucose uptake ($mmol/mmol\ glc$)]],Table1[Flux in RT / glucose uptake ($mmol/mmol\ glc$)])</f>
        <v>1290.5</v>
      </c>
      <c r="I2205" t="e">
        <f>LOG(Table1[[#This Row],[Flux in SC / glucose uptake ($mmol/mmol\ glc$)]])</f>
        <v>#NUM!</v>
      </c>
      <c r="J2205" t="e">
        <f>LOG(Table1[[#This Row],[Flux in RT / glucose uptake ($mmol/mmol\ glc$)]])</f>
        <v>#NUM!</v>
      </c>
    </row>
    <row r="2206" spans="1:10" x14ac:dyDescent="0.2">
      <c r="A2206" t="s">
        <v>2209</v>
      </c>
      <c r="B2206" t="s">
        <v>3129</v>
      </c>
      <c r="C2206">
        <v>0</v>
      </c>
      <c r="D2206">
        <v>0</v>
      </c>
      <c r="E2206">
        <f>ABS(Table1[[#This Row],[Flux in SC / glucose uptake ($mmol/mmol\ glc$)]]-Table1[[#This Row],[Flux in RT / glucose uptake ($mmol/mmol\ glc$)]])/SQRT(2)</f>
        <v>0</v>
      </c>
      <c r="F2206">
        <f>Table1[[#This Row],[distance from 45-degree line]]/MAX(Table1[[Flux in SC / glucose uptake ($mmol/mmol\ glc$)]:[Flux in RT / glucose uptake ($mmol/mmol\ glc$)]])</f>
        <v>0</v>
      </c>
      <c r="G2206">
        <f>_xlfn.RANK.AVG(Table1[[#This Row],[Flux in SC / glucose uptake ($mmol/mmol\ glc$)]],Table1[Flux in SC / glucose uptake ($mmol/mmol\ glc$)])</f>
        <v>1310.5</v>
      </c>
      <c r="H2206">
        <f>_xlfn.RANK.AVG(Table1[[#This Row],[Flux in RT / glucose uptake ($mmol/mmol\ glc$)]],Table1[Flux in RT / glucose uptake ($mmol/mmol\ glc$)])</f>
        <v>1290.5</v>
      </c>
      <c r="I2206" t="e">
        <f>LOG(Table1[[#This Row],[Flux in SC / glucose uptake ($mmol/mmol\ glc$)]])</f>
        <v>#NUM!</v>
      </c>
      <c r="J2206" t="e">
        <f>LOG(Table1[[#This Row],[Flux in RT / glucose uptake ($mmol/mmol\ glc$)]])</f>
        <v>#NUM!</v>
      </c>
    </row>
    <row r="2207" spans="1:10" x14ac:dyDescent="0.2">
      <c r="A2207" t="s">
        <v>2210</v>
      </c>
      <c r="B2207" t="s">
        <v>3129</v>
      </c>
      <c r="C2207">
        <v>0</v>
      </c>
      <c r="D2207">
        <v>0</v>
      </c>
      <c r="E2207">
        <f>ABS(Table1[[#This Row],[Flux in SC / glucose uptake ($mmol/mmol\ glc$)]]-Table1[[#This Row],[Flux in RT / glucose uptake ($mmol/mmol\ glc$)]])/SQRT(2)</f>
        <v>0</v>
      </c>
      <c r="F2207">
        <f>Table1[[#This Row],[distance from 45-degree line]]/MAX(Table1[[Flux in SC / glucose uptake ($mmol/mmol\ glc$)]:[Flux in RT / glucose uptake ($mmol/mmol\ glc$)]])</f>
        <v>0</v>
      </c>
      <c r="G2207">
        <f>_xlfn.RANK.AVG(Table1[[#This Row],[Flux in SC / glucose uptake ($mmol/mmol\ glc$)]],Table1[Flux in SC / glucose uptake ($mmol/mmol\ glc$)])</f>
        <v>1310.5</v>
      </c>
      <c r="H2207">
        <f>_xlfn.RANK.AVG(Table1[[#This Row],[Flux in RT / glucose uptake ($mmol/mmol\ glc$)]],Table1[Flux in RT / glucose uptake ($mmol/mmol\ glc$)])</f>
        <v>1290.5</v>
      </c>
      <c r="I2207" t="e">
        <f>LOG(Table1[[#This Row],[Flux in SC / glucose uptake ($mmol/mmol\ glc$)]])</f>
        <v>#NUM!</v>
      </c>
      <c r="J2207" t="e">
        <f>LOG(Table1[[#This Row],[Flux in RT / glucose uptake ($mmol/mmol\ glc$)]])</f>
        <v>#NUM!</v>
      </c>
    </row>
    <row r="2208" spans="1:10" x14ac:dyDescent="0.2">
      <c r="A2208" t="s">
        <v>2211</v>
      </c>
      <c r="B2208" t="s">
        <v>3129</v>
      </c>
      <c r="C2208">
        <v>0</v>
      </c>
      <c r="D2208">
        <v>0</v>
      </c>
      <c r="E2208">
        <f>ABS(Table1[[#This Row],[Flux in SC / glucose uptake ($mmol/mmol\ glc$)]]-Table1[[#This Row],[Flux in RT / glucose uptake ($mmol/mmol\ glc$)]])/SQRT(2)</f>
        <v>0</v>
      </c>
      <c r="F2208">
        <f>Table1[[#This Row],[distance from 45-degree line]]/MAX(Table1[[Flux in SC / glucose uptake ($mmol/mmol\ glc$)]:[Flux in RT / glucose uptake ($mmol/mmol\ glc$)]])</f>
        <v>0</v>
      </c>
      <c r="G2208">
        <f>_xlfn.RANK.AVG(Table1[[#This Row],[Flux in SC / glucose uptake ($mmol/mmol\ glc$)]],Table1[Flux in SC / glucose uptake ($mmol/mmol\ glc$)])</f>
        <v>1310.5</v>
      </c>
      <c r="H2208">
        <f>_xlfn.RANK.AVG(Table1[[#This Row],[Flux in RT / glucose uptake ($mmol/mmol\ glc$)]],Table1[Flux in RT / glucose uptake ($mmol/mmol\ glc$)])</f>
        <v>1290.5</v>
      </c>
      <c r="I2208" t="e">
        <f>LOG(Table1[[#This Row],[Flux in SC / glucose uptake ($mmol/mmol\ glc$)]])</f>
        <v>#NUM!</v>
      </c>
      <c r="J2208" t="e">
        <f>LOG(Table1[[#This Row],[Flux in RT / glucose uptake ($mmol/mmol\ glc$)]])</f>
        <v>#NUM!</v>
      </c>
    </row>
    <row r="2209" spans="1:10" x14ac:dyDescent="0.2">
      <c r="A2209" t="s">
        <v>2212</v>
      </c>
      <c r="B2209" t="s">
        <v>3181</v>
      </c>
      <c r="C2209">
        <v>0.88288274789335541</v>
      </c>
      <c r="D2209">
        <v>0.52039729567773874</v>
      </c>
      <c r="E2209">
        <f>ABS(Table1[[#This Row],[Flux in SC / glucose uptake ($mmol/mmol\ glc$)]]-Table1[[#This Row],[Flux in RT / glucose uptake ($mmol/mmol\ glc$)]])/SQRT(2)</f>
        <v>0.25631592134313474</v>
      </c>
      <c r="F2209">
        <f>Table1[[#This Row],[distance from 45-degree line]]/MAX(Table1[[Flux in SC / glucose uptake ($mmol/mmol\ glc$)]:[Flux in RT / glucose uptake ($mmol/mmol\ glc$)]])</f>
        <v>1.3815135687027448E-2</v>
      </c>
      <c r="G2209">
        <f>_xlfn.RANK.AVG(Table1[[#This Row],[Flux in SC / glucose uptake ($mmol/mmol\ glc$)]],Table1[Flux in SC / glucose uptake ($mmol/mmol\ glc$)])</f>
        <v>18</v>
      </c>
      <c r="H2209">
        <f>_xlfn.RANK.AVG(Table1[[#This Row],[Flux in RT / glucose uptake ($mmol/mmol\ glc$)]],Table1[Flux in RT / glucose uptake ($mmol/mmol\ glc$)])</f>
        <v>42</v>
      </c>
      <c r="I2209">
        <f>LOG(Table1[[#This Row],[Flux in SC / glucose uptake ($mmol/mmol\ glc$)]])</f>
        <v>-5.4096969496187711E-2</v>
      </c>
      <c r="J2209">
        <f>LOG(Table1[[#This Row],[Flux in RT / glucose uptake ($mmol/mmol\ glc$)]])</f>
        <v>-0.28366496898071847</v>
      </c>
    </row>
    <row r="2210" spans="1:10" x14ac:dyDescent="0.2">
      <c r="A2210" t="s">
        <v>2213</v>
      </c>
      <c r="B2210">
        <v>0</v>
      </c>
      <c r="C2210">
        <v>0</v>
      </c>
      <c r="D2210">
        <v>0</v>
      </c>
      <c r="E2210">
        <f>ABS(Table1[[#This Row],[Flux in SC / glucose uptake ($mmol/mmol\ glc$)]]-Table1[[#This Row],[Flux in RT / glucose uptake ($mmol/mmol\ glc$)]])/SQRT(2)</f>
        <v>0</v>
      </c>
      <c r="F2210">
        <f>Table1[[#This Row],[distance from 45-degree line]]/MAX(Table1[[Flux in SC / glucose uptake ($mmol/mmol\ glc$)]:[Flux in RT / glucose uptake ($mmol/mmol\ glc$)]])</f>
        <v>0</v>
      </c>
      <c r="G2210">
        <f>_xlfn.RANK.AVG(Table1[[#This Row],[Flux in SC / glucose uptake ($mmol/mmol\ glc$)]],Table1[Flux in SC / glucose uptake ($mmol/mmol\ glc$)])</f>
        <v>1310.5</v>
      </c>
      <c r="H2210">
        <f>_xlfn.RANK.AVG(Table1[[#This Row],[Flux in RT / glucose uptake ($mmol/mmol\ glc$)]],Table1[Flux in RT / glucose uptake ($mmol/mmol\ glc$)])</f>
        <v>1290.5</v>
      </c>
      <c r="I2210" t="e">
        <f>LOG(Table1[[#This Row],[Flux in SC / glucose uptake ($mmol/mmol\ glc$)]])</f>
        <v>#NUM!</v>
      </c>
      <c r="J2210" t="e">
        <f>LOG(Table1[[#This Row],[Flux in RT / glucose uptake ($mmol/mmol\ glc$)]])</f>
        <v>#NUM!</v>
      </c>
    </row>
    <row r="2211" spans="1:10" x14ac:dyDescent="0.2">
      <c r="A2211" t="s">
        <v>2214</v>
      </c>
      <c r="B2211" t="s">
        <v>3114</v>
      </c>
      <c r="C2211">
        <v>0</v>
      </c>
      <c r="D2211">
        <v>0</v>
      </c>
      <c r="E2211">
        <f>ABS(Table1[[#This Row],[Flux in SC / glucose uptake ($mmol/mmol\ glc$)]]-Table1[[#This Row],[Flux in RT / glucose uptake ($mmol/mmol\ glc$)]])/SQRT(2)</f>
        <v>0</v>
      </c>
      <c r="F2211">
        <f>Table1[[#This Row],[distance from 45-degree line]]/MAX(Table1[[Flux in SC / glucose uptake ($mmol/mmol\ glc$)]:[Flux in RT / glucose uptake ($mmol/mmol\ glc$)]])</f>
        <v>0</v>
      </c>
      <c r="G2211">
        <f>_xlfn.RANK.AVG(Table1[[#This Row],[Flux in SC / glucose uptake ($mmol/mmol\ glc$)]],Table1[Flux in SC / glucose uptake ($mmol/mmol\ glc$)])</f>
        <v>1310.5</v>
      </c>
      <c r="H2211">
        <f>_xlfn.RANK.AVG(Table1[[#This Row],[Flux in RT / glucose uptake ($mmol/mmol\ glc$)]],Table1[Flux in RT / glucose uptake ($mmol/mmol\ glc$)])</f>
        <v>1290.5</v>
      </c>
      <c r="I2211" t="e">
        <f>LOG(Table1[[#This Row],[Flux in SC / glucose uptake ($mmol/mmol\ glc$)]])</f>
        <v>#NUM!</v>
      </c>
      <c r="J2211" t="e">
        <f>LOG(Table1[[#This Row],[Flux in RT / glucose uptake ($mmol/mmol\ glc$)]])</f>
        <v>#NUM!</v>
      </c>
    </row>
    <row r="2212" spans="1:10" x14ac:dyDescent="0.2">
      <c r="A2212" t="s">
        <v>2215</v>
      </c>
      <c r="B2212" t="s">
        <v>3125</v>
      </c>
      <c r="C2212">
        <v>1.0388778115914201E-3</v>
      </c>
      <c r="D2212">
        <v>6.0870763870798901E-3</v>
      </c>
      <c r="E2212">
        <f>ABS(Table1[[#This Row],[Flux in SC / glucose uptake ($mmol/mmol\ glc$)]]-Table1[[#This Row],[Flux in RT / glucose uptake ($mmol/mmol\ glc$)]])/SQRT(2)</f>
        <v>3.5696154455041661E-3</v>
      </c>
      <c r="F2212">
        <f>Table1[[#This Row],[distance from 45-degree line]]/MAX(Table1[[Flux in SC / glucose uptake ($mmol/mmol\ glc$)]:[Flux in RT / glucose uptake ($mmol/mmol\ glc$)]])</f>
        <v>1.923981993460737E-4</v>
      </c>
      <c r="G2212">
        <f>_xlfn.RANK.AVG(Table1[[#This Row],[Flux in SC / glucose uptake ($mmol/mmol\ glc$)]],Table1[Flux in SC / glucose uptake ($mmol/mmol\ glc$)])</f>
        <v>214</v>
      </c>
      <c r="H2212">
        <f>_xlfn.RANK.AVG(Table1[[#This Row],[Flux in RT / glucose uptake ($mmol/mmol\ glc$)]],Table1[Flux in RT / glucose uptake ($mmol/mmol\ glc$)])</f>
        <v>211</v>
      </c>
      <c r="I2212">
        <f>LOG(Table1[[#This Row],[Flux in SC / glucose uptake ($mmol/mmol\ glc$)]])</f>
        <v>-2.9834355293168948</v>
      </c>
      <c r="J2212">
        <f>LOG(Table1[[#This Row],[Flux in RT / glucose uptake ($mmol/mmol\ glc$)]])</f>
        <v>-2.2155912482257776</v>
      </c>
    </row>
    <row r="2213" spans="1:10" x14ac:dyDescent="0.2">
      <c r="A2213" t="s">
        <v>2216</v>
      </c>
      <c r="B2213" t="s">
        <v>3125</v>
      </c>
      <c r="C2213">
        <v>0</v>
      </c>
      <c r="D2213">
        <v>0</v>
      </c>
      <c r="E2213">
        <f>ABS(Table1[[#This Row],[Flux in SC / glucose uptake ($mmol/mmol\ glc$)]]-Table1[[#This Row],[Flux in RT / glucose uptake ($mmol/mmol\ glc$)]])/SQRT(2)</f>
        <v>0</v>
      </c>
      <c r="F2213">
        <f>Table1[[#This Row],[distance from 45-degree line]]/MAX(Table1[[Flux in SC / glucose uptake ($mmol/mmol\ glc$)]:[Flux in RT / glucose uptake ($mmol/mmol\ glc$)]])</f>
        <v>0</v>
      </c>
      <c r="G2213">
        <f>_xlfn.RANK.AVG(Table1[[#This Row],[Flux in SC / glucose uptake ($mmol/mmol\ glc$)]],Table1[Flux in SC / glucose uptake ($mmol/mmol\ glc$)])</f>
        <v>1310.5</v>
      </c>
      <c r="H2213">
        <f>_xlfn.RANK.AVG(Table1[[#This Row],[Flux in RT / glucose uptake ($mmol/mmol\ glc$)]],Table1[Flux in RT / glucose uptake ($mmol/mmol\ glc$)])</f>
        <v>1290.5</v>
      </c>
      <c r="I2213" t="e">
        <f>LOG(Table1[[#This Row],[Flux in SC / glucose uptake ($mmol/mmol\ glc$)]])</f>
        <v>#NUM!</v>
      </c>
      <c r="J2213" t="e">
        <f>LOG(Table1[[#This Row],[Flux in RT / glucose uptake ($mmol/mmol\ glc$)]])</f>
        <v>#NUM!</v>
      </c>
    </row>
    <row r="2214" spans="1:10" x14ac:dyDescent="0.2">
      <c r="A2214" t="s">
        <v>2217</v>
      </c>
      <c r="B2214" t="s">
        <v>3114</v>
      </c>
      <c r="C2214">
        <v>0</v>
      </c>
      <c r="D2214">
        <v>0</v>
      </c>
      <c r="E2214">
        <f>ABS(Table1[[#This Row],[Flux in SC / glucose uptake ($mmol/mmol\ glc$)]]-Table1[[#This Row],[Flux in RT / glucose uptake ($mmol/mmol\ glc$)]])/SQRT(2)</f>
        <v>0</v>
      </c>
      <c r="F2214">
        <f>Table1[[#This Row],[distance from 45-degree line]]/MAX(Table1[[Flux in SC / glucose uptake ($mmol/mmol\ glc$)]:[Flux in RT / glucose uptake ($mmol/mmol\ glc$)]])</f>
        <v>0</v>
      </c>
      <c r="G2214">
        <f>_xlfn.RANK.AVG(Table1[[#This Row],[Flux in SC / glucose uptake ($mmol/mmol\ glc$)]],Table1[Flux in SC / glucose uptake ($mmol/mmol\ glc$)])</f>
        <v>1310.5</v>
      </c>
      <c r="H2214">
        <f>_xlfn.RANK.AVG(Table1[[#This Row],[Flux in RT / glucose uptake ($mmol/mmol\ glc$)]],Table1[Flux in RT / glucose uptake ($mmol/mmol\ glc$)])</f>
        <v>1290.5</v>
      </c>
      <c r="I2214" t="e">
        <f>LOG(Table1[[#This Row],[Flux in SC / glucose uptake ($mmol/mmol\ glc$)]])</f>
        <v>#NUM!</v>
      </c>
      <c r="J2214" t="e">
        <f>LOG(Table1[[#This Row],[Flux in RT / glucose uptake ($mmol/mmol\ glc$)]])</f>
        <v>#NUM!</v>
      </c>
    </row>
    <row r="2215" spans="1:10" x14ac:dyDescent="0.2">
      <c r="A2215" t="s">
        <v>2218</v>
      </c>
      <c r="B2215" t="s">
        <v>3115</v>
      </c>
      <c r="C2215">
        <v>2.034520820270302E-4</v>
      </c>
      <c r="D2215">
        <v>9.9845512136029733E-3</v>
      </c>
      <c r="E2215">
        <f>ABS(Table1[[#This Row],[Flux in SC / glucose uptake ($mmol/mmol\ glc$)]]-Table1[[#This Row],[Flux in RT / glucose uptake ($mmol/mmol\ glc$)]])/SQRT(2)</f>
        <v>6.9162815233951994E-3</v>
      </c>
      <c r="F2215">
        <f>Table1[[#This Row],[distance from 45-degree line]]/MAX(Table1[[Flux in SC / glucose uptake ($mmol/mmol\ glc$)]:[Flux in RT / glucose uptake ($mmol/mmol\ glc$)]])</f>
        <v>3.7277968217772908E-4</v>
      </c>
      <c r="G2215">
        <f>_xlfn.RANK.AVG(Table1[[#This Row],[Flux in SC / glucose uptake ($mmol/mmol\ glc$)]],Table1[Flux in SC / glucose uptake ($mmol/mmol\ glc$)])</f>
        <v>254.5</v>
      </c>
      <c r="H2215">
        <f>_xlfn.RANK.AVG(Table1[[#This Row],[Flux in RT / glucose uptake ($mmol/mmol\ glc$)]],Table1[Flux in RT / glucose uptake ($mmol/mmol\ glc$)])</f>
        <v>199.5</v>
      </c>
      <c r="I2215">
        <f>LOG(Table1[[#This Row],[Flux in SC / glucose uptake ($mmol/mmol\ glc$)]])</f>
        <v>-3.6915378614350569</v>
      </c>
      <c r="J2215">
        <f>LOG(Table1[[#This Row],[Flux in RT / glucose uptake ($mmol/mmol\ glc$)]])</f>
        <v>-2.0006714510572774</v>
      </c>
    </row>
    <row r="2216" spans="1:10" x14ac:dyDescent="0.2">
      <c r="A2216" t="s">
        <v>2219</v>
      </c>
      <c r="B2216" t="s">
        <v>3115</v>
      </c>
      <c r="C2216">
        <v>2.034520820270302E-4</v>
      </c>
      <c r="D2216">
        <v>9.9845512136029733E-3</v>
      </c>
      <c r="E2216">
        <f>ABS(Table1[[#This Row],[Flux in SC / glucose uptake ($mmol/mmol\ glc$)]]-Table1[[#This Row],[Flux in RT / glucose uptake ($mmol/mmol\ glc$)]])/SQRT(2)</f>
        <v>6.9162815233951994E-3</v>
      </c>
      <c r="F2216">
        <f>Table1[[#This Row],[distance from 45-degree line]]/MAX(Table1[[Flux in SC / glucose uptake ($mmol/mmol\ glc$)]:[Flux in RT / glucose uptake ($mmol/mmol\ glc$)]])</f>
        <v>3.7277968217772908E-4</v>
      </c>
      <c r="G2216">
        <f>_xlfn.RANK.AVG(Table1[[#This Row],[Flux in SC / glucose uptake ($mmol/mmol\ glc$)]],Table1[Flux in SC / glucose uptake ($mmol/mmol\ glc$)])</f>
        <v>254.5</v>
      </c>
      <c r="H2216">
        <f>_xlfn.RANK.AVG(Table1[[#This Row],[Flux in RT / glucose uptake ($mmol/mmol\ glc$)]],Table1[Flux in RT / glucose uptake ($mmol/mmol\ glc$)])</f>
        <v>199.5</v>
      </c>
      <c r="I2216">
        <f>LOG(Table1[[#This Row],[Flux in SC / glucose uptake ($mmol/mmol\ glc$)]])</f>
        <v>-3.6915378614350569</v>
      </c>
      <c r="J2216">
        <f>LOG(Table1[[#This Row],[Flux in RT / glucose uptake ($mmol/mmol\ glc$)]])</f>
        <v>-2.0006714510572774</v>
      </c>
    </row>
    <row r="2217" spans="1:10" x14ac:dyDescent="0.2">
      <c r="A2217" t="s">
        <v>2220</v>
      </c>
      <c r="B2217" t="s">
        <v>3115</v>
      </c>
      <c r="C2217">
        <v>0</v>
      </c>
      <c r="D2217">
        <v>0</v>
      </c>
      <c r="E2217">
        <f>ABS(Table1[[#This Row],[Flux in SC / glucose uptake ($mmol/mmol\ glc$)]]-Table1[[#This Row],[Flux in RT / glucose uptake ($mmol/mmol\ glc$)]])/SQRT(2)</f>
        <v>0</v>
      </c>
      <c r="F2217">
        <f>Table1[[#This Row],[distance from 45-degree line]]/MAX(Table1[[Flux in SC / glucose uptake ($mmol/mmol\ glc$)]:[Flux in RT / glucose uptake ($mmol/mmol\ glc$)]])</f>
        <v>0</v>
      </c>
      <c r="G2217">
        <f>_xlfn.RANK.AVG(Table1[[#This Row],[Flux in SC / glucose uptake ($mmol/mmol\ glc$)]],Table1[Flux in SC / glucose uptake ($mmol/mmol\ glc$)])</f>
        <v>1310.5</v>
      </c>
      <c r="H2217">
        <f>_xlfn.RANK.AVG(Table1[[#This Row],[Flux in RT / glucose uptake ($mmol/mmol\ glc$)]],Table1[Flux in RT / glucose uptake ($mmol/mmol\ glc$)])</f>
        <v>1290.5</v>
      </c>
      <c r="I2217" t="e">
        <f>LOG(Table1[[#This Row],[Flux in SC / glucose uptake ($mmol/mmol\ glc$)]])</f>
        <v>#NUM!</v>
      </c>
      <c r="J2217" t="e">
        <f>LOG(Table1[[#This Row],[Flux in RT / glucose uptake ($mmol/mmol\ glc$)]])</f>
        <v>#NUM!</v>
      </c>
    </row>
    <row r="2218" spans="1:10" x14ac:dyDescent="0.2">
      <c r="A2218" t="s">
        <v>2221</v>
      </c>
      <c r="B2218" t="s">
        <v>3114</v>
      </c>
      <c r="C2218">
        <v>0</v>
      </c>
      <c r="D2218">
        <v>0</v>
      </c>
      <c r="E2218">
        <f>ABS(Table1[[#This Row],[Flux in SC / glucose uptake ($mmol/mmol\ glc$)]]-Table1[[#This Row],[Flux in RT / glucose uptake ($mmol/mmol\ glc$)]])/SQRT(2)</f>
        <v>0</v>
      </c>
      <c r="F2218">
        <f>Table1[[#This Row],[distance from 45-degree line]]/MAX(Table1[[Flux in SC / glucose uptake ($mmol/mmol\ glc$)]:[Flux in RT / glucose uptake ($mmol/mmol\ glc$)]])</f>
        <v>0</v>
      </c>
      <c r="G2218">
        <f>_xlfn.RANK.AVG(Table1[[#This Row],[Flux in SC / glucose uptake ($mmol/mmol\ glc$)]],Table1[Flux in SC / glucose uptake ($mmol/mmol\ glc$)])</f>
        <v>1310.5</v>
      </c>
      <c r="H2218">
        <f>_xlfn.RANK.AVG(Table1[[#This Row],[Flux in RT / glucose uptake ($mmol/mmol\ glc$)]],Table1[Flux in RT / glucose uptake ($mmol/mmol\ glc$)])</f>
        <v>1290.5</v>
      </c>
      <c r="I2218" t="e">
        <f>LOG(Table1[[#This Row],[Flux in SC / glucose uptake ($mmol/mmol\ glc$)]])</f>
        <v>#NUM!</v>
      </c>
      <c r="J2218" t="e">
        <f>LOG(Table1[[#This Row],[Flux in RT / glucose uptake ($mmol/mmol\ glc$)]])</f>
        <v>#NUM!</v>
      </c>
    </row>
    <row r="2219" spans="1:10" x14ac:dyDescent="0.2">
      <c r="A2219" t="s">
        <v>2222</v>
      </c>
      <c r="B2219" t="s">
        <v>3114</v>
      </c>
      <c r="C2219">
        <v>0</v>
      </c>
      <c r="D2219">
        <v>0</v>
      </c>
      <c r="E2219">
        <f>ABS(Table1[[#This Row],[Flux in SC / glucose uptake ($mmol/mmol\ glc$)]]-Table1[[#This Row],[Flux in RT / glucose uptake ($mmol/mmol\ glc$)]])/SQRT(2)</f>
        <v>0</v>
      </c>
      <c r="F2219">
        <f>Table1[[#This Row],[distance from 45-degree line]]/MAX(Table1[[Flux in SC / glucose uptake ($mmol/mmol\ glc$)]:[Flux in RT / glucose uptake ($mmol/mmol\ glc$)]])</f>
        <v>0</v>
      </c>
      <c r="G2219">
        <f>_xlfn.RANK.AVG(Table1[[#This Row],[Flux in SC / glucose uptake ($mmol/mmol\ glc$)]],Table1[Flux in SC / glucose uptake ($mmol/mmol\ glc$)])</f>
        <v>1310.5</v>
      </c>
      <c r="H2219">
        <f>_xlfn.RANK.AVG(Table1[[#This Row],[Flux in RT / glucose uptake ($mmol/mmol\ glc$)]],Table1[Flux in RT / glucose uptake ($mmol/mmol\ glc$)])</f>
        <v>1290.5</v>
      </c>
      <c r="I2219" t="e">
        <f>LOG(Table1[[#This Row],[Flux in SC / glucose uptake ($mmol/mmol\ glc$)]])</f>
        <v>#NUM!</v>
      </c>
      <c r="J2219" t="e">
        <f>LOG(Table1[[#This Row],[Flux in RT / glucose uptake ($mmol/mmol\ glc$)]])</f>
        <v>#NUM!</v>
      </c>
    </row>
    <row r="2220" spans="1:10" x14ac:dyDescent="0.2">
      <c r="A2220" t="s">
        <v>2223</v>
      </c>
      <c r="B2220" t="s">
        <v>3211</v>
      </c>
      <c r="C2220">
        <v>0</v>
      </c>
      <c r="D2220">
        <v>0</v>
      </c>
      <c r="E2220">
        <f>ABS(Table1[[#This Row],[Flux in SC / glucose uptake ($mmol/mmol\ glc$)]]-Table1[[#This Row],[Flux in RT / glucose uptake ($mmol/mmol\ glc$)]])/SQRT(2)</f>
        <v>0</v>
      </c>
      <c r="F2220">
        <f>Table1[[#This Row],[distance from 45-degree line]]/MAX(Table1[[Flux in SC / glucose uptake ($mmol/mmol\ glc$)]:[Flux in RT / glucose uptake ($mmol/mmol\ glc$)]])</f>
        <v>0</v>
      </c>
      <c r="G2220">
        <f>_xlfn.RANK.AVG(Table1[[#This Row],[Flux in SC / glucose uptake ($mmol/mmol\ glc$)]],Table1[Flux in SC / glucose uptake ($mmol/mmol\ glc$)])</f>
        <v>1310.5</v>
      </c>
      <c r="H2220">
        <f>_xlfn.RANK.AVG(Table1[[#This Row],[Flux in RT / glucose uptake ($mmol/mmol\ glc$)]],Table1[Flux in RT / glucose uptake ($mmol/mmol\ glc$)])</f>
        <v>1290.5</v>
      </c>
      <c r="I2220" t="e">
        <f>LOG(Table1[[#This Row],[Flux in SC / glucose uptake ($mmol/mmol\ glc$)]])</f>
        <v>#NUM!</v>
      </c>
      <c r="J2220" t="e">
        <f>LOG(Table1[[#This Row],[Flux in RT / glucose uptake ($mmol/mmol\ glc$)]])</f>
        <v>#NUM!</v>
      </c>
    </row>
    <row r="2221" spans="1:10" x14ac:dyDescent="0.2">
      <c r="A2221" t="s">
        <v>2224</v>
      </c>
      <c r="B2221" t="s">
        <v>3124</v>
      </c>
      <c r="C2221">
        <v>0</v>
      </c>
      <c r="D2221">
        <v>0</v>
      </c>
      <c r="E2221">
        <f>ABS(Table1[[#This Row],[Flux in SC / glucose uptake ($mmol/mmol\ glc$)]]-Table1[[#This Row],[Flux in RT / glucose uptake ($mmol/mmol\ glc$)]])/SQRT(2)</f>
        <v>0</v>
      </c>
      <c r="F2221">
        <f>Table1[[#This Row],[distance from 45-degree line]]/MAX(Table1[[Flux in SC / glucose uptake ($mmol/mmol\ glc$)]:[Flux in RT / glucose uptake ($mmol/mmol\ glc$)]])</f>
        <v>0</v>
      </c>
      <c r="G2221">
        <f>_xlfn.RANK.AVG(Table1[[#This Row],[Flux in SC / glucose uptake ($mmol/mmol\ glc$)]],Table1[Flux in SC / glucose uptake ($mmol/mmol\ glc$)])</f>
        <v>1310.5</v>
      </c>
      <c r="H2221">
        <f>_xlfn.RANK.AVG(Table1[[#This Row],[Flux in RT / glucose uptake ($mmol/mmol\ glc$)]],Table1[Flux in RT / glucose uptake ($mmol/mmol\ glc$)])</f>
        <v>1290.5</v>
      </c>
      <c r="I2221" t="e">
        <f>LOG(Table1[[#This Row],[Flux in SC / glucose uptake ($mmol/mmol\ glc$)]])</f>
        <v>#NUM!</v>
      </c>
      <c r="J2221" t="e">
        <f>LOG(Table1[[#This Row],[Flux in RT / glucose uptake ($mmol/mmol\ glc$)]])</f>
        <v>#NUM!</v>
      </c>
    </row>
    <row r="2222" spans="1:10" x14ac:dyDescent="0.2">
      <c r="A2222" t="s">
        <v>2225</v>
      </c>
      <c r="B2222" t="s">
        <v>3124</v>
      </c>
      <c r="C2222">
        <v>5.7314188014328466E-3</v>
      </c>
      <c r="D2222">
        <v>0.10999300112835821</v>
      </c>
      <c r="E2222">
        <f>ABS(Table1[[#This Row],[Flux in SC / glucose uptake ($mmol/mmol\ glc$)]]-Table1[[#This Row],[Flux in RT / glucose uptake ($mmol/mmol\ glc$)]])/SQRT(2)</f>
        <v>7.3724071880608408E-2</v>
      </c>
      <c r="F2222">
        <f>Table1[[#This Row],[distance from 45-degree line]]/MAX(Table1[[Flux in SC / glucose uptake ($mmol/mmol\ glc$)]:[Flux in RT / glucose uptake ($mmol/mmol\ glc$)]])</f>
        <v>3.9736433503374724E-3</v>
      </c>
      <c r="G2222">
        <f>_xlfn.RANK.AVG(Table1[[#This Row],[Flux in SC / glucose uptake ($mmol/mmol\ glc$)]],Table1[Flux in SC / glucose uptake ($mmol/mmol\ glc$)])</f>
        <v>104</v>
      </c>
      <c r="H2222">
        <f>_xlfn.RANK.AVG(Table1[[#This Row],[Flux in RT / glucose uptake ($mmol/mmol\ glc$)]],Table1[Flux in RT / glucose uptake ($mmol/mmol\ glc$)])</f>
        <v>82</v>
      </c>
      <c r="I2222">
        <f>LOG(Table1[[#This Row],[Flux in SC / glucose uptake ($mmol/mmol\ glc$)]])</f>
        <v>-2.2417378559802317</v>
      </c>
      <c r="J2222">
        <f>LOG(Table1[[#This Row],[Flux in RT / glucose uptake ($mmol/mmol\ glc$)]])</f>
        <v>-0.95863494818755424</v>
      </c>
    </row>
    <row r="2223" spans="1:10" x14ac:dyDescent="0.2">
      <c r="A2223" t="s">
        <v>2226</v>
      </c>
      <c r="B2223" t="s">
        <v>3131</v>
      </c>
      <c r="C2223">
        <v>6.164020986813107E-3</v>
      </c>
      <c r="D2223">
        <v>0.11195094677362048</v>
      </c>
      <c r="E2223">
        <f>ABS(Table1[[#This Row],[Flux in SC / glucose uptake ($mmol/mmol\ glc$)]]-Table1[[#This Row],[Flux in RT / glucose uptake ($mmol/mmol\ glc$)]])/SQRT(2)</f>
        <v>7.480265258472954E-2</v>
      </c>
      <c r="F2223">
        <f>Table1[[#This Row],[distance from 45-degree line]]/MAX(Table1[[Flux in SC / glucose uptake ($mmol/mmol\ glc$)]:[Flux in RT / glucose uptake ($mmol/mmol\ glc$)]])</f>
        <v>4.0317776195578975E-3</v>
      </c>
      <c r="G2223">
        <f>_xlfn.RANK.AVG(Table1[[#This Row],[Flux in SC / glucose uptake ($mmol/mmol\ glc$)]],Table1[Flux in SC / glucose uptake ($mmol/mmol\ glc$)])</f>
        <v>99.5</v>
      </c>
      <c r="H2223">
        <f>_xlfn.RANK.AVG(Table1[[#This Row],[Flux in RT / glucose uptake ($mmol/mmol\ glc$)]],Table1[Flux in RT / glucose uptake ($mmol/mmol\ glc$)])</f>
        <v>78.5</v>
      </c>
      <c r="I2223">
        <f>LOG(Table1[[#This Row],[Flux in SC / glucose uptake ($mmol/mmol\ glc$)]])</f>
        <v>-2.2101358912966407</v>
      </c>
      <c r="J2223">
        <f>LOG(Table1[[#This Row],[Flux in RT / glucose uptake ($mmol/mmol\ glc$)]])</f>
        <v>-0.95097222922367086</v>
      </c>
    </row>
    <row r="2224" spans="1:10" x14ac:dyDescent="0.2">
      <c r="A2224" t="s">
        <v>2227</v>
      </c>
      <c r="B2224" t="s">
        <v>3114</v>
      </c>
      <c r="C2224">
        <v>0</v>
      </c>
      <c r="D2224">
        <v>0</v>
      </c>
      <c r="E2224">
        <f>ABS(Table1[[#This Row],[Flux in SC / glucose uptake ($mmol/mmol\ glc$)]]-Table1[[#This Row],[Flux in RT / glucose uptake ($mmol/mmol\ glc$)]])/SQRT(2)</f>
        <v>0</v>
      </c>
      <c r="F2224">
        <f>Table1[[#This Row],[distance from 45-degree line]]/MAX(Table1[[Flux in SC / glucose uptake ($mmol/mmol\ glc$)]:[Flux in RT / glucose uptake ($mmol/mmol\ glc$)]])</f>
        <v>0</v>
      </c>
      <c r="G2224">
        <f>_xlfn.RANK.AVG(Table1[[#This Row],[Flux in SC / glucose uptake ($mmol/mmol\ glc$)]],Table1[Flux in SC / glucose uptake ($mmol/mmol\ glc$)])</f>
        <v>1310.5</v>
      </c>
      <c r="H2224">
        <f>_xlfn.RANK.AVG(Table1[[#This Row],[Flux in RT / glucose uptake ($mmol/mmol\ glc$)]],Table1[Flux in RT / glucose uptake ($mmol/mmol\ glc$)])</f>
        <v>1290.5</v>
      </c>
      <c r="I2224" t="e">
        <f>LOG(Table1[[#This Row],[Flux in SC / glucose uptake ($mmol/mmol\ glc$)]])</f>
        <v>#NUM!</v>
      </c>
      <c r="J2224" t="e">
        <f>LOG(Table1[[#This Row],[Flux in RT / glucose uptake ($mmol/mmol\ glc$)]])</f>
        <v>#NUM!</v>
      </c>
    </row>
    <row r="2225" spans="1:10" x14ac:dyDescent="0.2">
      <c r="A2225" t="s">
        <v>2228</v>
      </c>
      <c r="B2225" t="s">
        <v>3124</v>
      </c>
      <c r="C2225">
        <v>0</v>
      </c>
      <c r="D2225">
        <v>0</v>
      </c>
      <c r="E2225">
        <f>ABS(Table1[[#This Row],[Flux in SC / glucose uptake ($mmol/mmol\ glc$)]]-Table1[[#This Row],[Flux in RT / glucose uptake ($mmol/mmol\ glc$)]])/SQRT(2)</f>
        <v>0</v>
      </c>
      <c r="F2225">
        <f>Table1[[#This Row],[distance from 45-degree line]]/MAX(Table1[[Flux in SC / glucose uptake ($mmol/mmol\ glc$)]:[Flux in RT / glucose uptake ($mmol/mmol\ glc$)]])</f>
        <v>0</v>
      </c>
      <c r="G2225">
        <f>_xlfn.RANK.AVG(Table1[[#This Row],[Flux in SC / glucose uptake ($mmol/mmol\ glc$)]],Table1[Flux in SC / glucose uptake ($mmol/mmol\ glc$)])</f>
        <v>1310.5</v>
      </c>
      <c r="H2225">
        <f>_xlfn.RANK.AVG(Table1[[#This Row],[Flux in RT / glucose uptake ($mmol/mmol\ glc$)]],Table1[Flux in RT / glucose uptake ($mmol/mmol\ glc$)])</f>
        <v>1290.5</v>
      </c>
      <c r="I2225" t="e">
        <f>LOG(Table1[[#This Row],[Flux in SC / glucose uptake ($mmol/mmol\ glc$)]])</f>
        <v>#NUM!</v>
      </c>
      <c r="J2225" t="e">
        <f>LOG(Table1[[#This Row],[Flux in RT / glucose uptake ($mmol/mmol\ glc$)]])</f>
        <v>#NUM!</v>
      </c>
    </row>
    <row r="2226" spans="1:10" x14ac:dyDescent="0.2">
      <c r="A2226" t="s">
        <v>2229</v>
      </c>
      <c r="B2226" t="s">
        <v>3154</v>
      </c>
      <c r="C2226">
        <v>0</v>
      </c>
      <c r="D2226">
        <v>0</v>
      </c>
      <c r="E2226">
        <f>ABS(Table1[[#This Row],[Flux in SC / glucose uptake ($mmol/mmol\ glc$)]]-Table1[[#This Row],[Flux in RT / glucose uptake ($mmol/mmol\ glc$)]])/SQRT(2)</f>
        <v>0</v>
      </c>
      <c r="F2226">
        <f>Table1[[#This Row],[distance from 45-degree line]]/MAX(Table1[[Flux in SC / glucose uptake ($mmol/mmol\ glc$)]:[Flux in RT / glucose uptake ($mmol/mmol\ glc$)]])</f>
        <v>0</v>
      </c>
      <c r="G2226">
        <f>_xlfn.RANK.AVG(Table1[[#This Row],[Flux in SC / glucose uptake ($mmol/mmol\ glc$)]],Table1[Flux in SC / glucose uptake ($mmol/mmol\ glc$)])</f>
        <v>1310.5</v>
      </c>
      <c r="H2226">
        <f>_xlfn.RANK.AVG(Table1[[#This Row],[Flux in RT / glucose uptake ($mmol/mmol\ glc$)]],Table1[Flux in RT / glucose uptake ($mmol/mmol\ glc$)])</f>
        <v>1290.5</v>
      </c>
      <c r="I2226" t="e">
        <f>LOG(Table1[[#This Row],[Flux in SC / glucose uptake ($mmol/mmol\ glc$)]])</f>
        <v>#NUM!</v>
      </c>
      <c r="J2226" t="e">
        <f>LOG(Table1[[#This Row],[Flux in RT / glucose uptake ($mmol/mmol\ glc$)]])</f>
        <v>#NUM!</v>
      </c>
    </row>
    <row r="2227" spans="1:10" x14ac:dyDescent="0.2">
      <c r="A2227" t="s">
        <v>2230</v>
      </c>
      <c r="B2227" t="s">
        <v>3154</v>
      </c>
      <c r="C2227">
        <v>0</v>
      </c>
      <c r="D2227">
        <v>0</v>
      </c>
      <c r="E2227">
        <f>ABS(Table1[[#This Row],[Flux in SC / glucose uptake ($mmol/mmol\ glc$)]]-Table1[[#This Row],[Flux in RT / glucose uptake ($mmol/mmol\ glc$)]])/SQRT(2)</f>
        <v>0</v>
      </c>
      <c r="F2227">
        <f>Table1[[#This Row],[distance from 45-degree line]]/MAX(Table1[[Flux in SC / glucose uptake ($mmol/mmol\ glc$)]:[Flux in RT / glucose uptake ($mmol/mmol\ glc$)]])</f>
        <v>0</v>
      </c>
      <c r="G2227">
        <f>_xlfn.RANK.AVG(Table1[[#This Row],[Flux in SC / glucose uptake ($mmol/mmol\ glc$)]],Table1[Flux in SC / glucose uptake ($mmol/mmol\ glc$)])</f>
        <v>1310.5</v>
      </c>
      <c r="H2227">
        <f>_xlfn.RANK.AVG(Table1[[#This Row],[Flux in RT / glucose uptake ($mmol/mmol\ glc$)]],Table1[Flux in RT / glucose uptake ($mmol/mmol\ glc$)])</f>
        <v>1290.5</v>
      </c>
      <c r="I2227" t="e">
        <f>LOG(Table1[[#This Row],[Flux in SC / glucose uptake ($mmol/mmol\ glc$)]])</f>
        <v>#NUM!</v>
      </c>
      <c r="J2227" t="e">
        <f>LOG(Table1[[#This Row],[Flux in RT / glucose uptake ($mmol/mmol\ glc$)]])</f>
        <v>#NUM!</v>
      </c>
    </row>
    <row r="2228" spans="1:10" x14ac:dyDescent="0.2">
      <c r="A2228" t="s">
        <v>2231</v>
      </c>
      <c r="B2228" t="s">
        <v>3114</v>
      </c>
      <c r="C2228">
        <v>0</v>
      </c>
      <c r="D2228">
        <v>0</v>
      </c>
      <c r="E2228">
        <f>ABS(Table1[[#This Row],[Flux in SC / glucose uptake ($mmol/mmol\ glc$)]]-Table1[[#This Row],[Flux in RT / glucose uptake ($mmol/mmol\ glc$)]])/SQRT(2)</f>
        <v>0</v>
      </c>
      <c r="F2228">
        <f>Table1[[#This Row],[distance from 45-degree line]]/MAX(Table1[[Flux in SC / glucose uptake ($mmol/mmol\ glc$)]:[Flux in RT / glucose uptake ($mmol/mmol\ glc$)]])</f>
        <v>0</v>
      </c>
      <c r="G2228">
        <f>_xlfn.RANK.AVG(Table1[[#This Row],[Flux in SC / glucose uptake ($mmol/mmol\ glc$)]],Table1[Flux in SC / glucose uptake ($mmol/mmol\ glc$)])</f>
        <v>1310.5</v>
      </c>
      <c r="H2228">
        <f>_xlfn.RANK.AVG(Table1[[#This Row],[Flux in RT / glucose uptake ($mmol/mmol\ glc$)]],Table1[Flux in RT / glucose uptake ($mmol/mmol\ glc$)])</f>
        <v>1290.5</v>
      </c>
      <c r="I2228" t="e">
        <f>LOG(Table1[[#This Row],[Flux in SC / glucose uptake ($mmol/mmol\ glc$)]])</f>
        <v>#NUM!</v>
      </c>
      <c r="J2228" t="e">
        <f>LOG(Table1[[#This Row],[Flux in RT / glucose uptake ($mmol/mmol\ glc$)]])</f>
        <v>#NUM!</v>
      </c>
    </row>
    <row r="2229" spans="1:10" x14ac:dyDescent="0.2">
      <c r="A2229" t="s">
        <v>2232</v>
      </c>
      <c r="B2229" t="s">
        <v>3114</v>
      </c>
      <c r="C2229">
        <v>0</v>
      </c>
      <c r="D2229">
        <v>0</v>
      </c>
      <c r="E2229">
        <f>ABS(Table1[[#This Row],[Flux in SC / glucose uptake ($mmol/mmol\ glc$)]]-Table1[[#This Row],[Flux in RT / glucose uptake ($mmol/mmol\ glc$)]])/SQRT(2)</f>
        <v>0</v>
      </c>
      <c r="F2229">
        <f>Table1[[#This Row],[distance from 45-degree line]]/MAX(Table1[[Flux in SC / glucose uptake ($mmol/mmol\ glc$)]:[Flux in RT / glucose uptake ($mmol/mmol\ glc$)]])</f>
        <v>0</v>
      </c>
      <c r="G2229">
        <f>_xlfn.RANK.AVG(Table1[[#This Row],[Flux in SC / glucose uptake ($mmol/mmol\ glc$)]],Table1[Flux in SC / glucose uptake ($mmol/mmol\ glc$)])</f>
        <v>1310.5</v>
      </c>
      <c r="H2229">
        <f>_xlfn.RANK.AVG(Table1[[#This Row],[Flux in RT / glucose uptake ($mmol/mmol\ glc$)]],Table1[Flux in RT / glucose uptake ($mmol/mmol\ glc$)])</f>
        <v>1290.5</v>
      </c>
      <c r="I2229" t="e">
        <f>LOG(Table1[[#This Row],[Flux in SC / glucose uptake ($mmol/mmol\ glc$)]])</f>
        <v>#NUM!</v>
      </c>
      <c r="J2229" t="e">
        <f>LOG(Table1[[#This Row],[Flux in RT / glucose uptake ($mmol/mmol\ glc$)]])</f>
        <v>#NUM!</v>
      </c>
    </row>
    <row r="2230" spans="1:10" x14ac:dyDescent="0.2">
      <c r="A2230" t="s">
        <v>2233</v>
      </c>
      <c r="B2230" t="s">
        <v>3114</v>
      </c>
      <c r="C2230">
        <v>0</v>
      </c>
      <c r="D2230">
        <v>0</v>
      </c>
      <c r="E2230">
        <f>ABS(Table1[[#This Row],[Flux in SC / glucose uptake ($mmol/mmol\ glc$)]]-Table1[[#This Row],[Flux in RT / glucose uptake ($mmol/mmol\ glc$)]])/SQRT(2)</f>
        <v>0</v>
      </c>
      <c r="F2230">
        <f>Table1[[#This Row],[distance from 45-degree line]]/MAX(Table1[[Flux in SC / glucose uptake ($mmol/mmol\ glc$)]:[Flux in RT / glucose uptake ($mmol/mmol\ glc$)]])</f>
        <v>0</v>
      </c>
      <c r="G2230">
        <f>_xlfn.RANK.AVG(Table1[[#This Row],[Flux in SC / glucose uptake ($mmol/mmol\ glc$)]],Table1[Flux in SC / glucose uptake ($mmol/mmol\ glc$)])</f>
        <v>1310.5</v>
      </c>
      <c r="H2230">
        <f>_xlfn.RANK.AVG(Table1[[#This Row],[Flux in RT / glucose uptake ($mmol/mmol\ glc$)]],Table1[Flux in RT / glucose uptake ($mmol/mmol\ glc$)])</f>
        <v>1290.5</v>
      </c>
      <c r="I2230" t="e">
        <f>LOG(Table1[[#This Row],[Flux in SC / glucose uptake ($mmol/mmol\ glc$)]])</f>
        <v>#NUM!</v>
      </c>
      <c r="J2230" t="e">
        <f>LOG(Table1[[#This Row],[Flux in RT / glucose uptake ($mmol/mmol\ glc$)]])</f>
        <v>#NUM!</v>
      </c>
    </row>
    <row r="2231" spans="1:10" x14ac:dyDescent="0.2">
      <c r="A2231" t="s">
        <v>2234</v>
      </c>
      <c r="B2231" t="s">
        <v>3114</v>
      </c>
      <c r="C2231">
        <v>0</v>
      </c>
      <c r="D2231">
        <v>0</v>
      </c>
      <c r="E2231">
        <f>ABS(Table1[[#This Row],[Flux in SC / glucose uptake ($mmol/mmol\ glc$)]]-Table1[[#This Row],[Flux in RT / glucose uptake ($mmol/mmol\ glc$)]])/SQRT(2)</f>
        <v>0</v>
      </c>
      <c r="F2231">
        <f>Table1[[#This Row],[distance from 45-degree line]]/MAX(Table1[[Flux in SC / glucose uptake ($mmol/mmol\ glc$)]:[Flux in RT / glucose uptake ($mmol/mmol\ glc$)]])</f>
        <v>0</v>
      </c>
      <c r="G2231">
        <f>_xlfn.RANK.AVG(Table1[[#This Row],[Flux in SC / glucose uptake ($mmol/mmol\ glc$)]],Table1[Flux in SC / glucose uptake ($mmol/mmol\ glc$)])</f>
        <v>1310.5</v>
      </c>
      <c r="H2231">
        <f>_xlfn.RANK.AVG(Table1[[#This Row],[Flux in RT / glucose uptake ($mmol/mmol\ glc$)]],Table1[Flux in RT / glucose uptake ($mmol/mmol\ glc$)])</f>
        <v>1290.5</v>
      </c>
      <c r="I2231" t="e">
        <f>LOG(Table1[[#This Row],[Flux in SC / glucose uptake ($mmol/mmol\ glc$)]])</f>
        <v>#NUM!</v>
      </c>
      <c r="J2231" t="e">
        <f>LOG(Table1[[#This Row],[Flux in RT / glucose uptake ($mmol/mmol\ glc$)]])</f>
        <v>#NUM!</v>
      </c>
    </row>
    <row r="2232" spans="1:10" x14ac:dyDescent="0.2">
      <c r="A2232" t="s">
        <v>2235</v>
      </c>
      <c r="B2232" t="s">
        <v>3114</v>
      </c>
      <c r="C2232">
        <v>0</v>
      </c>
      <c r="D2232">
        <v>0</v>
      </c>
      <c r="E2232">
        <f>ABS(Table1[[#This Row],[Flux in SC / glucose uptake ($mmol/mmol\ glc$)]]-Table1[[#This Row],[Flux in RT / glucose uptake ($mmol/mmol\ glc$)]])/SQRT(2)</f>
        <v>0</v>
      </c>
      <c r="F2232">
        <f>Table1[[#This Row],[distance from 45-degree line]]/MAX(Table1[[Flux in SC / glucose uptake ($mmol/mmol\ glc$)]:[Flux in RT / glucose uptake ($mmol/mmol\ glc$)]])</f>
        <v>0</v>
      </c>
      <c r="G2232">
        <f>_xlfn.RANK.AVG(Table1[[#This Row],[Flux in SC / glucose uptake ($mmol/mmol\ glc$)]],Table1[Flux in SC / glucose uptake ($mmol/mmol\ glc$)])</f>
        <v>1310.5</v>
      </c>
      <c r="H2232">
        <f>_xlfn.RANK.AVG(Table1[[#This Row],[Flux in RT / glucose uptake ($mmol/mmol\ glc$)]],Table1[Flux in RT / glucose uptake ($mmol/mmol\ glc$)])</f>
        <v>1290.5</v>
      </c>
      <c r="I2232" t="e">
        <f>LOG(Table1[[#This Row],[Flux in SC / glucose uptake ($mmol/mmol\ glc$)]])</f>
        <v>#NUM!</v>
      </c>
      <c r="J2232" t="e">
        <f>LOG(Table1[[#This Row],[Flux in RT / glucose uptake ($mmol/mmol\ glc$)]])</f>
        <v>#NUM!</v>
      </c>
    </row>
    <row r="2233" spans="1:10" x14ac:dyDescent="0.2">
      <c r="A2233" t="s">
        <v>2236</v>
      </c>
      <c r="B2233" t="s">
        <v>3114</v>
      </c>
      <c r="C2233">
        <v>0</v>
      </c>
      <c r="D2233">
        <v>0</v>
      </c>
      <c r="E2233">
        <f>ABS(Table1[[#This Row],[Flux in SC / glucose uptake ($mmol/mmol\ glc$)]]-Table1[[#This Row],[Flux in RT / glucose uptake ($mmol/mmol\ glc$)]])/SQRT(2)</f>
        <v>0</v>
      </c>
      <c r="F2233">
        <f>Table1[[#This Row],[distance from 45-degree line]]/MAX(Table1[[Flux in SC / glucose uptake ($mmol/mmol\ glc$)]:[Flux in RT / glucose uptake ($mmol/mmol\ glc$)]])</f>
        <v>0</v>
      </c>
      <c r="G2233">
        <f>_xlfn.RANK.AVG(Table1[[#This Row],[Flux in SC / glucose uptake ($mmol/mmol\ glc$)]],Table1[Flux in SC / glucose uptake ($mmol/mmol\ glc$)])</f>
        <v>1310.5</v>
      </c>
      <c r="H2233">
        <f>_xlfn.RANK.AVG(Table1[[#This Row],[Flux in RT / glucose uptake ($mmol/mmol\ glc$)]],Table1[Flux in RT / glucose uptake ($mmol/mmol\ glc$)])</f>
        <v>1290.5</v>
      </c>
      <c r="I2233" t="e">
        <f>LOG(Table1[[#This Row],[Flux in SC / glucose uptake ($mmol/mmol\ glc$)]])</f>
        <v>#NUM!</v>
      </c>
      <c r="J2233" t="e">
        <f>LOG(Table1[[#This Row],[Flux in RT / glucose uptake ($mmol/mmol\ glc$)]])</f>
        <v>#NUM!</v>
      </c>
    </row>
    <row r="2234" spans="1:10" x14ac:dyDescent="0.2">
      <c r="A2234" t="s">
        <v>2237</v>
      </c>
      <c r="B2234" t="s">
        <v>3114</v>
      </c>
      <c r="C2234">
        <v>0</v>
      </c>
      <c r="D2234">
        <v>0</v>
      </c>
      <c r="E2234">
        <f>ABS(Table1[[#This Row],[Flux in SC / glucose uptake ($mmol/mmol\ glc$)]]-Table1[[#This Row],[Flux in RT / glucose uptake ($mmol/mmol\ glc$)]])/SQRT(2)</f>
        <v>0</v>
      </c>
      <c r="F2234">
        <f>Table1[[#This Row],[distance from 45-degree line]]/MAX(Table1[[Flux in SC / glucose uptake ($mmol/mmol\ glc$)]:[Flux in RT / glucose uptake ($mmol/mmol\ glc$)]])</f>
        <v>0</v>
      </c>
      <c r="G2234">
        <f>_xlfn.RANK.AVG(Table1[[#This Row],[Flux in SC / glucose uptake ($mmol/mmol\ glc$)]],Table1[Flux in SC / glucose uptake ($mmol/mmol\ glc$)])</f>
        <v>1310.5</v>
      </c>
      <c r="H2234">
        <f>_xlfn.RANK.AVG(Table1[[#This Row],[Flux in RT / glucose uptake ($mmol/mmol\ glc$)]],Table1[Flux in RT / glucose uptake ($mmol/mmol\ glc$)])</f>
        <v>1290.5</v>
      </c>
      <c r="I2234" t="e">
        <f>LOG(Table1[[#This Row],[Flux in SC / glucose uptake ($mmol/mmol\ glc$)]])</f>
        <v>#NUM!</v>
      </c>
      <c r="J2234" t="e">
        <f>LOG(Table1[[#This Row],[Flux in RT / glucose uptake ($mmol/mmol\ glc$)]])</f>
        <v>#NUM!</v>
      </c>
    </row>
    <row r="2235" spans="1:10" x14ac:dyDescent="0.2">
      <c r="A2235" t="s">
        <v>2238</v>
      </c>
      <c r="B2235" t="s">
        <v>3114</v>
      </c>
      <c r="C2235">
        <v>0</v>
      </c>
      <c r="D2235">
        <v>0</v>
      </c>
      <c r="E2235">
        <f>ABS(Table1[[#This Row],[Flux in SC / glucose uptake ($mmol/mmol\ glc$)]]-Table1[[#This Row],[Flux in RT / glucose uptake ($mmol/mmol\ glc$)]])/SQRT(2)</f>
        <v>0</v>
      </c>
      <c r="F2235">
        <f>Table1[[#This Row],[distance from 45-degree line]]/MAX(Table1[[Flux in SC / glucose uptake ($mmol/mmol\ glc$)]:[Flux in RT / glucose uptake ($mmol/mmol\ glc$)]])</f>
        <v>0</v>
      </c>
      <c r="G2235">
        <f>_xlfn.RANK.AVG(Table1[[#This Row],[Flux in SC / glucose uptake ($mmol/mmol\ glc$)]],Table1[Flux in SC / glucose uptake ($mmol/mmol\ glc$)])</f>
        <v>1310.5</v>
      </c>
      <c r="H2235">
        <f>_xlfn.RANK.AVG(Table1[[#This Row],[Flux in RT / glucose uptake ($mmol/mmol\ glc$)]],Table1[Flux in RT / glucose uptake ($mmol/mmol\ glc$)])</f>
        <v>1290.5</v>
      </c>
      <c r="I2235" t="e">
        <f>LOG(Table1[[#This Row],[Flux in SC / glucose uptake ($mmol/mmol\ glc$)]])</f>
        <v>#NUM!</v>
      </c>
      <c r="J2235" t="e">
        <f>LOG(Table1[[#This Row],[Flux in RT / glucose uptake ($mmol/mmol\ glc$)]])</f>
        <v>#NUM!</v>
      </c>
    </row>
    <row r="2236" spans="1:10" x14ac:dyDescent="0.2">
      <c r="A2236" t="s">
        <v>2239</v>
      </c>
      <c r="B2236" t="s">
        <v>3114</v>
      </c>
      <c r="C2236">
        <v>0</v>
      </c>
      <c r="D2236">
        <v>0</v>
      </c>
      <c r="E2236">
        <f>ABS(Table1[[#This Row],[Flux in SC / glucose uptake ($mmol/mmol\ glc$)]]-Table1[[#This Row],[Flux in RT / glucose uptake ($mmol/mmol\ glc$)]])/SQRT(2)</f>
        <v>0</v>
      </c>
      <c r="F2236">
        <f>Table1[[#This Row],[distance from 45-degree line]]/MAX(Table1[[Flux in SC / glucose uptake ($mmol/mmol\ glc$)]:[Flux in RT / glucose uptake ($mmol/mmol\ glc$)]])</f>
        <v>0</v>
      </c>
      <c r="G2236">
        <f>_xlfn.RANK.AVG(Table1[[#This Row],[Flux in SC / glucose uptake ($mmol/mmol\ glc$)]],Table1[Flux in SC / glucose uptake ($mmol/mmol\ glc$)])</f>
        <v>1310.5</v>
      </c>
      <c r="H2236">
        <f>_xlfn.RANK.AVG(Table1[[#This Row],[Flux in RT / glucose uptake ($mmol/mmol\ glc$)]],Table1[Flux in RT / glucose uptake ($mmol/mmol\ glc$)])</f>
        <v>1290.5</v>
      </c>
      <c r="I2236" t="e">
        <f>LOG(Table1[[#This Row],[Flux in SC / glucose uptake ($mmol/mmol\ glc$)]])</f>
        <v>#NUM!</v>
      </c>
      <c r="J2236" t="e">
        <f>LOG(Table1[[#This Row],[Flux in RT / glucose uptake ($mmol/mmol\ glc$)]])</f>
        <v>#NUM!</v>
      </c>
    </row>
    <row r="2237" spans="1:10" x14ac:dyDescent="0.2">
      <c r="A2237" t="s">
        <v>2240</v>
      </c>
      <c r="B2237" t="s">
        <v>3114</v>
      </c>
      <c r="C2237">
        <v>0</v>
      </c>
      <c r="D2237">
        <v>0</v>
      </c>
      <c r="E2237">
        <f>ABS(Table1[[#This Row],[Flux in SC / glucose uptake ($mmol/mmol\ glc$)]]-Table1[[#This Row],[Flux in RT / glucose uptake ($mmol/mmol\ glc$)]])/SQRT(2)</f>
        <v>0</v>
      </c>
      <c r="F2237">
        <f>Table1[[#This Row],[distance from 45-degree line]]/MAX(Table1[[Flux in SC / glucose uptake ($mmol/mmol\ glc$)]:[Flux in RT / glucose uptake ($mmol/mmol\ glc$)]])</f>
        <v>0</v>
      </c>
      <c r="G2237">
        <f>_xlfn.RANK.AVG(Table1[[#This Row],[Flux in SC / glucose uptake ($mmol/mmol\ glc$)]],Table1[Flux in SC / glucose uptake ($mmol/mmol\ glc$)])</f>
        <v>1310.5</v>
      </c>
      <c r="H2237">
        <f>_xlfn.RANK.AVG(Table1[[#This Row],[Flux in RT / glucose uptake ($mmol/mmol\ glc$)]],Table1[Flux in RT / glucose uptake ($mmol/mmol\ glc$)])</f>
        <v>1290.5</v>
      </c>
      <c r="I2237" t="e">
        <f>LOG(Table1[[#This Row],[Flux in SC / glucose uptake ($mmol/mmol\ glc$)]])</f>
        <v>#NUM!</v>
      </c>
      <c r="J2237" t="e">
        <f>LOG(Table1[[#This Row],[Flux in RT / glucose uptake ($mmol/mmol\ glc$)]])</f>
        <v>#NUM!</v>
      </c>
    </row>
    <row r="2238" spans="1:10" x14ac:dyDescent="0.2">
      <c r="A2238" t="s">
        <v>2241</v>
      </c>
      <c r="B2238" t="s">
        <v>3114</v>
      </c>
      <c r="C2238">
        <v>0</v>
      </c>
      <c r="D2238">
        <v>0</v>
      </c>
      <c r="E2238">
        <f>ABS(Table1[[#This Row],[Flux in SC / glucose uptake ($mmol/mmol\ glc$)]]-Table1[[#This Row],[Flux in RT / glucose uptake ($mmol/mmol\ glc$)]])/SQRT(2)</f>
        <v>0</v>
      </c>
      <c r="F2238">
        <f>Table1[[#This Row],[distance from 45-degree line]]/MAX(Table1[[Flux in SC / glucose uptake ($mmol/mmol\ glc$)]:[Flux in RT / glucose uptake ($mmol/mmol\ glc$)]])</f>
        <v>0</v>
      </c>
      <c r="G2238">
        <f>_xlfn.RANK.AVG(Table1[[#This Row],[Flux in SC / glucose uptake ($mmol/mmol\ glc$)]],Table1[Flux in SC / glucose uptake ($mmol/mmol\ glc$)])</f>
        <v>1310.5</v>
      </c>
      <c r="H2238">
        <f>_xlfn.RANK.AVG(Table1[[#This Row],[Flux in RT / glucose uptake ($mmol/mmol\ glc$)]],Table1[Flux in RT / glucose uptake ($mmol/mmol\ glc$)])</f>
        <v>1290.5</v>
      </c>
      <c r="I2238" t="e">
        <f>LOG(Table1[[#This Row],[Flux in SC / glucose uptake ($mmol/mmol\ glc$)]])</f>
        <v>#NUM!</v>
      </c>
      <c r="J2238" t="e">
        <f>LOG(Table1[[#This Row],[Flux in RT / glucose uptake ($mmol/mmol\ glc$)]])</f>
        <v>#NUM!</v>
      </c>
    </row>
    <row r="2239" spans="1:10" x14ac:dyDescent="0.2">
      <c r="A2239" t="s">
        <v>2242</v>
      </c>
      <c r="B2239" t="s">
        <v>3130</v>
      </c>
      <c r="C2239">
        <v>0</v>
      </c>
      <c r="D2239">
        <v>0</v>
      </c>
      <c r="E2239">
        <f>ABS(Table1[[#This Row],[Flux in SC / glucose uptake ($mmol/mmol\ glc$)]]-Table1[[#This Row],[Flux in RT / glucose uptake ($mmol/mmol\ glc$)]])/SQRT(2)</f>
        <v>0</v>
      </c>
      <c r="F2239">
        <f>Table1[[#This Row],[distance from 45-degree line]]/MAX(Table1[[Flux in SC / glucose uptake ($mmol/mmol\ glc$)]:[Flux in RT / glucose uptake ($mmol/mmol\ glc$)]])</f>
        <v>0</v>
      </c>
      <c r="G2239">
        <f>_xlfn.RANK.AVG(Table1[[#This Row],[Flux in SC / glucose uptake ($mmol/mmol\ glc$)]],Table1[Flux in SC / glucose uptake ($mmol/mmol\ glc$)])</f>
        <v>1310.5</v>
      </c>
      <c r="H2239">
        <f>_xlfn.RANK.AVG(Table1[[#This Row],[Flux in RT / glucose uptake ($mmol/mmol\ glc$)]],Table1[Flux in RT / glucose uptake ($mmol/mmol\ glc$)])</f>
        <v>1290.5</v>
      </c>
      <c r="I2239" t="e">
        <f>LOG(Table1[[#This Row],[Flux in SC / glucose uptake ($mmol/mmol\ glc$)]])</f>
        <v>#NUM!</v>
      </c>
      <c r="J2239" t="e">
        <f>LOG(Table1[[#This Row],[Flux in RT / glucose uptake ($mmol/mmol\ glc$)]])</f>
        <v>#NUM!</v>
      </c>
    </row>
    <row r="2240" spans="1:10" x14ac:dyDescent="0.2">
      <c r="A2240" t="s">
        <v>2243</v>
      </c>
      <c r="B2240" t="s">
        <v>3114</v>
      </c>
      <c r="C2240">
        <v>0</v>
      </c>
      <c r="D2240">
        <v>0</v>
      </c>
      <c r="E2240">
        <f>ABS(Table1[[#This Row],[Flux in SC / glucose uptake ($mmol/mmol\ glc$)]]-Table1[[#This Row],[Flux in RT / glucose uptake ($mmol/mmol\ glc$)]])/SQRT(2)</f>
        <v>0</v>
      </c>
      <c r="F2240">
        <f>Table1[[#This Row],[distance from 45-degree line]]/MAX(Table1[[Flux in SC / glucose uptake ($mmol/mmol\ glc$)]:[Flux in RT / glucose uptake ($mmol/mmol\ glc$)]])</f>
        <v>0</v>
      </c>
      <c r="G2240">
        <f>_xlfn.RANK.AVG(Table1[[#This Row],[Flux in SC / glucose uptake ($mmol/mmol\ glc$)]],Table1[Flux in SC / glucose uptake ($mmol/mmol\ glc$)])</f>
        <v>1310.5</v>
      </c>
      <c r="H2240">
        <f>_xlfn.RANK.AVG(Table1[[#This Row],[Flux in RT / glucose uptake ($mmol/mmol\ glc$)]],Table1[Flux in RT / glucose uptake ($mmol/mmol\ glc$)])</f>
        <v>1290.5</v>
      </c>
      <c r="I2240" t="e">
        <f>LOG(Table1[[#This Row],[Flux in SC / glucose uptake ($mmol/mmol\ glc$)]])</f>
        <v>#NUM!</v>
      </c>
      <c r="J2240" t="e">
        <f>LOG(Table1[[#This Row],[Flux in RT / glucose uptake ($mmol/mmol\ glc$)]])</f>
        <v>#NUM!</v>
      </c>
    </row>
    <row r="2241" spans="1:10" x14ac:dyDescent="0.2">
      <c r="A2241" t="s">
        <v>2244</v>
      </c>
      <c r="B2241" t="s">
        <v>3114</v>
      </c>
      <c r="C2241">
        <v>0</v>
      </c>
      <c r="D2241">
        <v>0</v>
      </c>
      <c r="E2241">
        <f>ABS(Table1[[#This Row],[Flux in SC / glucose uptake ($mmol/mmol\ glc$)]]-Table1[[#This Row],[Flux in RT / glucose uptake ($mmol/mmol\ glc$)]])/SQRT(2)</f>
        <v>0</v>
      </c>
      <c r="F2241">
        <f>Table1[[#This Row],[distance from 45-degree line]]/MAX(Table1[[Flux in SC / glucose uptake ($mmol/mmol\ glc$)]:[Flux in RT / glucose uptake ($mmol/mmol\ glc$)]])</f>
        <v>0</v>
      </c>
      <c r="G2241">
        <f>_xlfn.RANK.AVG(Table1[[#This Row],[Flux in SC / glucose uptake ($mmol/mmol\ glc$)]],Table1[Flux in SC / glucose uptake ($mmol/mmol\ glc$)])</f>
        <v>1310.5</v>
      </c>
      <c r="H2241">
        <f>_xlfn.RANK.AVG(Table1[[#This Row],[Flux in RT / glucose uptake ($mmol/mmol\ glc$)]],Table1[Flux in RT / glucose uptake ($mmol/mmol\ glc$)])</f>
        <v>1290.5</v>
      </c>
      <c r="I2241" t="e">
        <f>LOG(Table1[[#This Row],[Flux in SC / glucose uptake ($mmol/mmol\ glc$)]])</f>
        <v>#NUM!</v>
      </c>
      <c r="J2241" t="e">
        <f>LOG(Table1[[#This Row],[Flux in RT / glucose uptake ($mmol/mmol\ glc$)]])</f>
        <v>#NUM!</v>
      </c>
    </row>
    <row r="2242" spans="1:10" x14ac:dyDescent="0.2">
      <c r="A2242" t="s">
        <v>2245</v>
      </c>
      <c r="B2242" t="s">
        <v>3114</v>
      </c>
      <c r="C2242">
        <v>0</v>
      </c>
      <c r="D2242">
        <v>0</v>
      </c>
      <c r="E2242">
        <f>ABS(Table1[[#This Row],[Flux in SC / glucose uptake ($mmol/mmol\ glc$)]]-Table1[[#This Row],[Flux in RT / glucose uptake ($mmol/mmol\ glc$)]])/SQRT(2)</f>
        <v>0</v>
      </c>
      <c r="F2242">
        <f>Table1[[#This Row],[distance from 45-degree line]]/MAX(Table1[[Flux in SC / glucose uptake ($mmol/mmol\ glc$)]:[Flux in RT / glucose uptake ($mmol/mmol\ glc$)]])</f>
        <v>0</v>
      </c>
      <c r="G2242">
        <f>_xlfn.RANK.AVG(Table1[[#This Row],[Flux in SC / glucose uptake ($mmol/mmol\ glc$)]],Table1[Flux in SC / glucose uptake ($mmol/mmol\ glc$)])</f>
        <v>1310.5</v>
      </c>
      <c r="H2242">
        <f>_xlfn.RANK.AVG(Table1[[#This Row],[Flux in RT / glucose uptake ($mmol/mmol\ glc$)]],Table1[Flux in RT / glucose uptake ($mmol/mmol\ glc$)])</f>
        <v>1290.5</v>
      </c>
      <c r="I2242" t="e">
        <f>LOG(Table1[[#This Row],[Flux in SC / glucose uptake ($mmol/mmol\ glc$)]])</f>
        <v>#NUM!</v>
      </c>
      <c r="J2242" t="e">
        <f>LOG(Table1[[#This Row],[Flux in RT / glucose uptake ($mmol/mmol\ glc$)]])</f>
        <v>#NUM!</v>
      </c>
    </row>
    <row r="2243" spans="1:10" x14ac:dyDescent="0.2">
      <c r="A2243" t="s">
        <v>2246</v>
      </c>
      <c r="B2243" t="s">
        <v>3134</v>
      </c>
      <c r="C2243">
        <v>1.304471097935263E-3</v>
      </c>
      <c r="D2243">
        <v>5.9039993335216288E-3</v>
      </c>
      <c r="E2243">
        <f>ABS(Table1[[#This Row],[Flux in SC / glucose uptake ($mmol/mmol\ glc$)]]-Table1[[#This Row],[Flux in RT / glucose uptake ($mmol/mmol\ glc$)]])/SQRT(2)</f>
        <v>3.252357605642115E-3</v>
      </c>
      <c r="F2243">
        <f>Table1[[#This Row],[distance from 45-degree line]]/MAX(Table1[[Flux in SC / glucose uptake ($mmol/mmol\ glc$)]:[Flux in RT / glucose uptake ($mmol/mmol\ glc$)]])</f>
        <v>1.7529836378962416E-4</v>
      </c>
      <c r="G2243">
        <f>_xlfn.RANK.AVG(Table1[[#This Row],[Flux in SC / glucose uptake ($mmol/mmol\ glc$)]],Table1[Flux in SC / glucose uptake ($mmol/mmol\ glc$)])</f>
        <v>201.5</v>
      </c>
      <c r="H2243">
        <f>_xlfn.RANK.AVG(Table1[[#This Row],[Flux in RT / glucose uptake ($mmol/mmol\ glc$)]],Table1[Flux in RT / glucose uptake ($mmol/mmol\ glc$)])</f>
        <v>212.5</v>
      </c>
      <c r="I2243">
        <f>LOG(Table1[[#This Row],[Flux in SC / glucose uptake ($mmol/mmol\ glc$)]])</f>
        <v>-2.8845655387533213</v>
      </c>
      <c r="J2243">
        <f>LOG(Table1[[#This Row],[Flux in RT / glucose uptake ($mmol/mmol\ glc$)]])</f>
        <v>-2.2288537002107423</v>
      </c>
    </row>
    <row r="2244" spans="1:10" x14ac:dyDescent="0.2">
      <c r="A2244" t="s">
        <v>2247</v>
      </c>
      <c r="B2244" t="s">
        <v>3120</v>
      </c>
      <c r="C2244">
        <v>0</v>
      </c>
      <c r="D2244">
        <v>0</v>
      </c>
      <c r="E2244">
        <f>ABS(Table1[[#This Row],[Flux in SC / glucose uptake ($mmol/mmol\ glc$)]]-Table1[[#This Row],[Flux in RT / glucose uptake ($mmol/mmol\ glc$)]])/SQRT(2)</f>
        <v>0</v>
      </c>
      <c r="F2244">
        <f>Table1[[#This Row],[distance from 45-degree line]]/MAX(Table1[[Flux in SC / glucose uptake ($mmol/mmol\ glc$)]:[Flux in RT / glucose uptake ($mmol/mmol\ glc$)]])</f>
        <v>0</v>
      </c>
      <c r="G2244">
        <f>_xlfn.RANK.AVG(Table1[[#This Row],[Flux in SC / glucose uptake ($mmol/mmol\ glc$)]],Table1[Flux in SC / glucose uptake ($mmol/mmol\ glc$)])</f>
        <v>1310.5</v>
      </c>
      <c r="H2244">
        <f>_xlfn.RANK.AVG(Table1[[#This Row],[Flux in RT / glucose uptake ($mmol/mmol\ glc$)]],Table1[Flux in RT / glucose uptake ($mmol/mmol\ glc$)])</f>
        <v>1290.5</v>
      </c>
      <c r="I2244" t="e">
        <f>LOG(Table1[[#This Row],[Flux in SC / glucose uptake ($mmol/mmol\ glc$)]])</f>
        <v>#NUM!</v>
      </c>
      <c r="J2244" t="e">
        <f>LOG(Table1[[#This Row],[Flux in RT / glucose uptake ($mmol/mmol\ glc$)]])</f>
        <v>#NUM!</v>
      </c>
    </row>
    <row r="2245" spans="1:10" x14ac:dyDescent="0.2">
      <c r="A2245" t="s">
        <v>2248</v>
      </c>
      <c r="B2245" t="s">
        <v>3134</v>
      </c>
      <c r="C2245">
        <v>0</v>
      </c>
      <c r="D2245">
        <v>0</v>
      </c>
      <c r="E2245">
        <f>ABS(Table1[[#This Row],[Flux in SC / glucose uptake ($mmol/mmol\ glc$)]]-Table1[[#This Row],[Flux in RT / glucose uptake ($mmol/mmol\ glc$)]])/SQRT(2)</f>
        <v>0</v>
      </c>
      <c r="F2245">
        <f>Table1[[#This Row],[distance from 45-degree line]]/MAX(Table1[[Flux in SC / glucose uptake ($mmol/mmol\ glc$)]:[Flux in RT / glucose uptake ($mmol/mmol\ glc$)]])</f>
        <v>0</v>
      </c>
      <c r="G2245">
        <f>_xlfn.RANK.AVG(Table1[[#This Row],[Flux in SC / glucose uptake ($mmol/mmol\ glc$)]],Table1[Flux in SC / glucose uptake ($mmol/mmol\ glc$)])</f>
        <v>1310.5</v>
      </c>
      <c r="H2245">
        <f>_xlfn.RANK.AVG(Table1[[#This Row],[Flux in RT / glucose uptake ($mmol/mmol\ glc$)]],Table1[Flux in RT / glucose uptake ($mmol/mmol\ glc$)])</f>
        <v>1290.5</v>
      </c>
      <c r="I2245" t="e">
        <f>LOG(Table1[[#This Row],[Flux in SC / glucose uptake ($mmol/mmol\ glc$)]])</f>
        <v>#NUM!</v>
      </c>
      <c r="J2245" t="e">
        <f>LOG(Table1[[#This Row],[Flux in RT / glucose uptake ($mmol/mmol\ glc$)]])</f>
        <v>#NUM!</v>
      </c>
    </row>
    <row r="2246" spans="1:10" x14ac:dyDescent="0.2">
      <c r="A2246" t="s">
        <v>2249</v>
      </c>
      <c r="B2246" t="s">
        <v>3114</v>
      </c>
      <c r="C2246">
        <v>0</v>
      </c>
      <c r="D2246">
        <v>0</v>
      </c>
      <c r="E2246">
        <f>ABS(Table1[[#This Row],[Flux in SC / glucose uptake ($mmol/mmol\ glc$)]]-Table1[[#This Row],[Flux in RT / glucose uptake ($mmol/mmol\ glc$)]])/SQRT(2)</f>
        <v>0</v>
      </c>
      <c r="F2246">
        <f>Table1[[#This Row],[distance from 45-degree line]]/MAX(Table1[[Flux in SC / glucose uptake ($mmol/mmol\ glc$)]:[Flux in RT / glucose uptake ($mmol/mmol\ glc$)]])</f>
        <v>0</v>
      </c>
      <c r="G2246">
        <f>_xlfn.RANK.AVG(Table1[[#This Row],[Flux in SC / glucose uptake ($mmol/mmol\ glc$)]],Table1[Flux in SC / glucose uptake ($mmol/mmol\ glc$)])</f>
        <v>1310.5</v>
      </c>
      <c r="H2246">
        <f>_xlfn.RANK.AVG(Table1[[#This Row],[Flux in RT / glucose uptake ($mmol/mmol\ glc$)]],Table1[Flux in RT / glucose uptake ($mmol/mmol\ glc$)])</f>
        <v>1290.5</v>
      </c>
      <c r="I2246" t="e">
        <f>LOG(Table1[[#This Row],[Flux in SC / glucose uptake ($mmol/mmol\ glc$)]])</f>
        <v>#NUM!</v>
      </c>
      <c r="J2246" t="e">
        <f>LOG(Table1[[#This Row],[Flux in RT / glucose uptake ($mmol/mmol\ glc$)]])</f>
        <v>#NUM!</v>
      </c>
    </row>
    <row r="2247" spans="1:10" x14ac:dyDescent="0.2">
      <c r="A2247" t="s">
        <v>2250</v>
      </c>
      <c r="B2247" t="s">
        <v>3114</v>
      </c>
      <c r="C2247">
        <v>0</v>
      </c>
      <c r="D2247">
        <v>0</v>
      </c>
      <c r="E2247">
        <f>ABS(Table1[[#This Row],[Flux in SC / glucose uptake ($mmol/mmol\ glc$)]]-Table1[[#This Row],[Flux in RT / glucose uptake ($mmol/mmol\ glc$)]])/SQRT(2)</f>
        <v>0</v>
      </c>
      <c r="F2247">
        <f>Table1[[#This Row],[distance from 45-degree line]]/MAX(Table1[[Flux in SC / glucose uptake ($mmol/mmol\ glc$)]:[Flux in RT / glucose uptake ($mmol/mmol\ glc$)]])</f>
        <v>0</v>
      </c>
      <c r="G2247">
        <f>_xlfn.RANK.AVG(Table1[[#This Row],[Flux in SC / glucose uptake ($mmol/mmol\ glc$)]],Table1[Flux in SC / glucose uptake ($mmol/mmol\ glc$)])</f>
        <v>1310.5</v>
      </c>
      <c r="H2247">
        <f>_xlfn.RANK.AVG(Table1[[#This Row],[Flux in RT / glucose uptake ($mmol/mmol\ glc$)]],Table1[Flux in RT / glucose uptake ($mmol/mmol\ glc$)])</f>
        <v>1290.5</v>
      </c>
      <c r="I2247" t="e">
        <f>LOG(Table1[[#This Row],[Flux in SC / glucose uptake ($mmol/mmol\ glc$)]])</f>
        <v>#NUM!</v>
      </c>
      <c r="J2247" t="e">
        <f>LOG(Table1[[#This Row],[Flux in RT / glucose uptake ($mmol/mmol\ glc$)]])</f>
        <v>#NUM!</v>
      </c>
    </row>
    <row r="2248" spans="1:10" x14ac:dyDescent="0.2">
      <c r="A2248" t="s">
        <v>2251</v>
      </c>
      <c r="B2248" t="s">
        <v>3154</v>
      </c>
      <c r="C2248">
        <v>0</v>
      </c>
      <c r="D2248">
        <v>0</v>
      </c>
      <c r="E2248">
        <f>ABS(Table1[[#This Row],[Flux in SC / glucose uptake ($mmol/mmol\ glc$)]]-Table1[[#This Row],[Flux in RT / glucose uptake ($mmol/mmol\ glc$)]])/SQRT(2)</f>
        <v>0</v>
      </c>
      <c r="F2248">
        <f>Table1[[#This Row],[distance from 45-degree line]]/MAX(Table1[[Flux in SC / glucose uptake ($mmol/mmol\ glc$)]:[Flux in RT / glucose uptake ($mmol/mmol\ glc$)]])</f>
        <v>0</v>
      </c>
      <c r="G2248">
        <f>_xlfn.RANK.AVG(Table1[[#This Row],[Flux in SC / glucose uptake ($mmol/mmol\ glc$)]],Table1[Flux in SC / glucose uptake ($mmol/mmol\ glc$)])</f>
        <v>1310.5</v>
      </c>
      <c r="H2248">
        <f>_xlfn.RANK.AVG(Table1[[#This Row],[Flux in RT / glucose uptake ($mmol/mmol\ glc$)]],Table1[Flux in RT / glucose uptake ($mmol/mmol\ glc$)])</f>
        <v>1290.5</v>
      </c>
      <c r="I2248" t="e">
        <f>LOG(Table1[[#This Row],[Flux in SC / glucose uptake ($mmol/mmol\ glc$)]])</f>
        <v>#NUM!</v>
      </c>
      <c r="J2248" t="e">
        <f>LOG(Table1[[#This Row],[Flux in RT / glucose uptake ($mmol/mmol\ glc$)]])</f>
        <v>#NUM!</v>
      </c>
    </row>
    <row r="2249" spans="1:10" x14ac:dyDescent="0.2">
      <c r="A2249" t="s">
        <v>2252</v>
      </c>
      <c r="B2249" t="s">
        <v>3154</v>
      </c>
      <c r="C2249">
        <v>0</v>
      </c>
      <c r="D2249">
        <v>0</v>
      </c>
      <c r="E2249">
        <f>ABS(Table1[[#This Row],[Flux in SC / glucose uptake ($mmol/mmol\ glc$)]]-Table1[[#This Row],[Flux in RT / glucose uptake ($mmol/mmol\ glc$)]])/SQRT(2)</f>
        <v>0</v>
      </c>
      <c r="F2249">
        <f>Table1[[#This Row],[distance from 45-degree line]]/MAX(Table1[[Flux in SC / glucose uptake ($mmol/mmol\ glc$)]:[Flux in RT / glucose uptake ($mmol/mmol\ glc$)]])</f>
        <v>0</v>
      </c>
      <c r="G2249">
        <f>_xlfn.RANK.AVG(Table1[[#This Row],[Flux in SC / glucose uptake ($mmol/mmol\ glc$)]],Table1[Flux in SC / glucose uptake ($mmol/mmol\ glc$)])</f>
        <v>1310.5</v>
      </c>
      <c r="H2249">
        <f>_xlfn.RANK.AVG(Table1[[#This Row],[Flux in RT / glucose uptake ($mmol/mmol\ glc$)]],Table1[Flux in RT / glucose uptake ($mmol/mmol\ glc$)])</f>
        <v>1290.5</v>
      </c>
      <c r="I2249" t="e">
        <f>LOG(Table1[[#This Row],[Flux in SC / glucose uptake ($mmol/mmol\ glc$)]])</f>
        <v>#NUM!</v>
      </c>
      <c r="J2249" t="e">
        <f>LOG(Table1[[#This Row],[Flux in RT / glucose uptake ($mmol/mmol\ glc$)]])</f>
        <v>#NUM!</v>
      </c>
    </row>
    <row r="2250" spans="1:10" x14ac:dyDescent="0.2">
      <c r="A2250" t="s">
        <v>2253</v>
      </c>
      <c r="B2250" t="s">
        <v>3139</v>
      </c>
      <c r="C2250">
        <v>1.9904670694253902E-4</v>
      </c>
      <c r="D2250">
        <v>1.1734332811037241E-3</v>
      </c>
      <c r="E2250">
        <f>ABS(Table1[[#This Row],[Flux in SC / glucose uptake ($mmol/mmol\ glc$)]]-Table1[[#This Row],[Flux in RT / glucose uptake ($mmol/mmol\ glc$)]])/SQRT(2)</f>
        <v>6.8899535408650271E-4</v>
      </c>
      <c r="F2250">
        <f>Table1[[#This Row],[distance from 45-degree line]]/MAX(Table1[[Flux in SC / glucose uptake ($mmol/mmol\ glc$)]:[Flux in RT / glucose uptake ($mmol/mmol\ glc$)]])</f>
        <v>3.7136063396131692E-5</v>
      </c>
      <c r="G2250">
        <f>_xlfn.RANK.AVG(Table1[[#This Row],[Flux in SC / glucose uptake ($mmol/mmol\ glc$)]],Table1[Flux in SC / glucose uptake ($mmol/mmol\ glc$)])</f>
        <v>258</v>
      </c>
      <c r="H2250">
        <f>_xlfn.RANK.AVG(Table1[[#This Row],[Flux in RT / glucose uptake ($mmol/mmol\ glc$)]],Table1[Flux in RT / glucose uptake ($mmol/mmol\ glc$)])</f>
        <v>254</v>
      </c>
      <c r="I2250">
        <f>LOG(Table1[[#This Row],[Flux in SC / glucose uptake ($mmol/mmol\ glc$)]])</f>
        <v>-3.7010450030510671</v>
      </c>
      <c r="J2250">
        <f>LOG(Table1[[#This Row],[Flux in RT / glucose uptake ($mmol/mmol\ glc$)]])</f>
        <v>-2.9305415984149601</v>
      </c>
    </row>
    <row r="2251" spans="1:10" x14ac:dyDescent="0.2">
      <c r="A2251" t="s">
        <v>2254</v>
      </c>
      <c r="B2251" t="s">
        <v>3191</v>
      </c>
      <c r="C2251">
        <v>0</v>
      </c>
      <c r="D2251">
        <v>0</v>
      </c>
      <c r="E2251">
        <f>ABS(Table1[[#This Row],[Flux in SC / glucose uptake ($mmol/mmol\ glc$)]]-Table1[[#This Row],[Flux in RT / glucose uptake ($mmol/mmol\ glc$)]])/SQRT(2)</f>
        <v>0</v>
      </c>
      <c r="F2251">
        <f>Table1[[#This Row],[distance from 45-degree line]]/MAX(Table1[[Flux in SC / glucose uptake ($mmol/mmol\ glc$)]:[Flux in RT / glucose uptake ($mmol/mmol\ glc$)]])</f>
        <v>0</v>
      </c>
      <c r="G2251">
        <f>_xlfn.RANK.AVG(Table1[[#This Row],[Flux in SC / glucose uptake ($mmol/mmol\ glc$)]],Table1[Flux in SC / glucose uptake ($mmol/mmol\ glc$)])</f>
        <v>1310.5</v>
      </c>
      <c r="H2251">
        <f>_xlfn.RANK.AVG(Table1[[#This Row],[Flux in RT / glucose uptake ($mmol/mmol\ glc$)]],Table1[Flux in RT / glucose uptake ($mmol/mmol\ glc$)])</f>
        <v>1290.5</v>
      </c>
      <c r="I2251" t="e">
        <f>LOG(Table1[[#This Row],[Flux in SC / glucose uptake ($mmol/mmol\ glc$)]])</f>
        <v>#NUM!</v>
      </c>
      <c r="J2251" t="e">
        <f>LOG(Table1[[#This Row],[Flux in RT / glucose uptake ($mmol/mmol\ glc$)]])</f>
        <v>#NUM!</v>
      </c>
    </row>
    <row r="2252" spans="1:10" x14ac:dyDescent="0.2">
      <c r="A2252" t="s">
        <v>2255</v>
      </c>
      <c r="B2252" t="s">
        <v>3114</v>
      </c>
      <c r="C2252">
        <v>0</v>
      </c>
      <c r="D2252">
        <v>0</v>
      </c>
      <c r="E2252">
        <f>ABS(Table1[[#This Row],[Flux in SC / glucose uptake ($mmol/mmol\ glc$)]]-Table1[[#This Row],[Flux in RT / glucose uptake ($mmol/mmol\ glc$)]])/SQRT(2)</f>
        <v>0</v>
      </c>
      <c r="F2252">
        <f>Table1[[#This Row],[distance from 45-degree line]]/MAX(Table1[[Flux in SC / glucose uptake ($mmol/mmol\ glc$)]:[Flux in RT / glucose uptake ($mmol/mmol\ glc$)]])</f>
        <v>0</v>
      </c>
      <c r="G2252">
        <f>_xlfn.RANK.AVG(Table1[[#This Row],[Flux in SC / glucose uptake ($mmol/mmol\ glc$)]],Table1[Flux in SC / glucose uptake ($mmol/mmol\ glc$)])</f>
        <v>1310.5</v>
      </c>
      <c r="H2252">
        <f>_xlfn.RANK.AVG(Table1[[#This Row],[Flux in RT / glucose uptake ($mmol/mmol\ glc$)]],Table1[Flux in RT / glucose uptake ($mmol/mmol\ glc$)])</f>
        <v>1290.5</v>
      </c>
      <c r="I2252" t="e">
        <f>LOG(Table1[[#This Row],[Flux in SC / glucose uptake ($mmol/mmol\ glc$)]])</f>
        <v>#NUM!</v>
      </c>
      <c r="J2252" t="e">
        <f>LOG(Table1[[#This Row],[Flux in RT / glucose uptake ($mmol/mmol\ glc$)]])</f>
        <v>#NUM!</v>
      </c>
    </row>
    <row r="2253" spans="1:10" x14ac:dyDescent="0.2">
      <c r="A2253" t="s">
        <v>2256</v>
      </c>
      <c r="B2253" t="s">
        <v>3155</v>
      </c>
      <c r="C2253">
        <v>0</v>
      </c>
      <c r="D2253">
        <v>0</v>
      </c>
      <c r="E2253">
        <f>ABS(Table1[[#This Row],[Flux in SC / glucose uptake ($mmol/mmol\ glc$)]]-Table1[[#This Row],[Flux in RT / glucose uptake ($mmol/mmol\ glc$)]])/SQRT(2)</f>
        <v>0</v>
      </c>
      <c r="F2253">
        <f>Table1[[#This Row],[distance from 45-degree line]]/MAX(Table1[[Flux in SC / glucose uptake ($mmol/mmol\ glc$)]:[Flux in RT / glucose uptake ($mmol/mmol\ glc$)]])</f>
        <v>0</v>
      </c>
      <c r="G2253">
        <f>_xlfn.RANK.AVG(Table1[[#This Row],[Flux in SC / glucose uptake ($mmol/mmol\ glc$)]],Table1[Flux in SC / glucose uptake ($mmol/mmol\ glc$)])</f>
        <v>1310.5</v>
      </c>
      <c r="H2253">
        <f>_xlfn.RANK.AVG(Table1[[#This Row],[Flux in RT / glucose uptake ($mmol/mmol\ glc$)]],Table1[Flux in RT / glucose uptake ($mmol/mmol\ glc$)])</f>
        <v>1290.5</v>
      </c>
      <c r="I2253" t="e">
        <f>LOG(Table1[[#This Row],[Flux in SC / glucose uptake ($mmol/mmol\ glc$)]])</f>
        <v>#NUM!</v>
      </c>
      <c r="J2253" t="e">
        <f>LOG(Table1[[#This Row],[Flux in RT / glucose uptake ($mmol/mmol\ glc$)]])</f>
        <v>#NUM!</v>
      </c>
    </row>
    <row r="2254" spans="1:10" x14ac:dyDescent="0.2">
      <c r="A2254" t="s">
        <v>2257</v>
      </c>
      <c r="B2254" t="s">
        <v>3139</v>
      </c>
      <c r="C2254">
        <v>0</v>
      </c>
      <c r="D2254">
        <v>0</v>
      </c>
      <c r="E2254">
        <f>ABS(Table1[[#This Row],[Flux in SC / glucose uptake ($mmol/mmol\ glc$)]]-Table1[[#This Row],[Flux in RT / glucose uptake ($mmol/mmol\ glc$)]])/SQRT(2)</f>
        <v>0</v>
      </c>
      <c r="F2254">
        <f>Table1[[#This Row],[distance from 45-degree line]]/MAX(Table1[[Flux in SC / glucose uptake ($mmol/mmol\ glc$)]:[Flux in RT / glucose uptake ($mmol/mmol\ glc$)]])</f>
        <v>0</v>
      </c>
      <c r="G2254">
        <f>_xlfn.RANK.AVG(Table1[[#This Row],[Flux in SC / glucose uptake ($mmol/mmol\ glc$)]],Table1[Flux in SC / glucose uptake ($mmol/mmol\ glc$)])</f>
        <v>1310.5</v>
      </c>
      <c r="H2254">
        <f>_xlfn.RANK.AVG(Table1[[#This Row],[Flux in RT / glucose uptake ($mmol/mmol\ glc$)]],Table1[Flux in RT / glucose uptake ($mmol/mmol\ glc$)])</f>
        <v>1290.5</v>
      </c>
      <c r="I2254" t="e">
        <f>LOG(Table1[[#This Row],[Flux in SC / glucose uptake ($mmol/mmol\ glc$)]])</f>
        <v>#NUM!</v>
      </c>
      <c r="J2254" t="e">
        <f>LOG(Table1[[#This Row],[Flux in RT / glucose uptake ($mmol/mmol\ glc$)]])</f>
        <v>#NUM!</v>
      </c>
    </row>
    <row r="2255" spans="1:10" x14ac:dyDescent="0.2">
      <c r="A2255" t="s">
        <v>2258</v>
      </c>
      <c r="B2255" t="s">
        <v>3191</v>
      </c>
      <c r="C2255">
        <v>0</v>
      </c>
      <c r="D2255">
        <v>0</v>
      </c>
      <c r="E2255">
        <f>ABS(Table1[[#This Row],[Flux in SC / glucose uptake ($mmol/mmol\ glc$)]]-Table1[[#This Row],[Flux in RT / glucose uptake ($mmol/mmol\ glc$)]])/SQRT(2)</f>
        <v>0</v>
      </c>
      <c r="F2255">
        <f>Table1[[#This Row],[distance from 45-degree line]]/MAX(Table1[[Flux in SC / glucose uptake ($mmol/mmol\ glc$)]:[Flux in RT / glucose uptake ($mmol/mmol\ glc$)]])</f>
        <v>0</v>
      </c>
      <c r="G2255">
        <f>_xlfn.RANK.AVG(Table1[[#This Row],[Flux in SC / glucose uptake ($mmol/mmol\ glc$)]],Table1[Flux in SC / glucose uptake ($mmol/mmol\ glc$)])</f>
        <v>1310.5</v>
      </c>
      <c r="H2255">
        <f>_xlfn.RANK.AVG(Table1[[#This Row],[Flux in RT / glucose uptake ($mmol/mmol\ glc$)]],Table1[Flux in RT / glucose uptake ($mmol/mmol\ glc$)])</f>
        <v>1290.5</v>
      </c>
      <c r="I2255" t="e">
        <f>LOG(Table1[[#This Row],[Flux in SC / glucose uptake ($mmol/mmol\ glc$)]])</f>
        <v>#NUM!</v>
      </c>
      <c r="J2255" t="e">
        <f>LOG(Table1[[#This Row],[Flux in RT / glucose uptake ($mmol/mmol\ glc$)]])</f>
        <v>#NUM!</v>
      </c>
    </row>
    <row r="2256" spans="1:10" x14ac:dyDescent="0.2">
      <c r="A2256" t="s">
        <v>2259</v>
      </c>
      <c r="B2256" t="s">
        <v>3162</v>
      </c>
      <c r="C2256">
        <v>3.190818821613736E-3</v>
      </c>
      <c r="D2256">
        <v>1.430009427411298E-2</v>
      </c>
      <c r="E2256">
        <f>ABS(Table1[[#This Row],[Flux in SC / glucose uptake ($mmol/mmol\ glc$)]]-Table1[[#This Row],[Flux in RT / glucose uptake ($mmol/mmol\ glc$)]])/SQRT(2)</f>
        <v>7.855444006531466E-3</v>
      </c>
      <c r="F2256">
        <f>Table1[[#This Row],[distance from 45-degree line]]/MAX(Table1[[Flux in SC / glucose uptake ($mmol/mmol\ glc$)]:[Flux in RT / glucose uptake ($mmol/mmol\ glc$)]])</f>
        <v>4.2339946837245299E-4</v>
      </c>
      <c r="G2256">
        <f>_xlfn.RANK.AVG(Table1[[#This Row],[Flux in SC / glucose uptake ($mmol/mmol\ glc$)]],Table1[Flux in SC / glucose uptake ($mmol/mmol\ glc$)])</f>
        <v>161.5</v>
      </c>
      <c r="H2256">
        <f>_xlfn.RANK.AVG(Table1[[#This Row],[Flux in RT / glucose uptake ($mmol/mmol\ glc$)]],Table1[Flux in RT / glucose uptake ($mmol/mmol\ glc$)])</f>
        <v>169</v>
      </c>
      <c r="I2256">
        <f>LOG(Table1[[#This Row],[Flux in SC / glucose uptake ($mmol/mmol\ glc$)]])</f>
        <v>-2.4960978548498174</v>
      </c>
      <c r="J2256">
        <f>LOG(Table1[[#This Row],[Flux in RT / glucose uptake ($mmol/mmol\ glc$)]])</f>
        <v>-1.8446610994166099</v>
      </c>
    </row>
    <row r="2257" spans="1:10" x14ac:dyDescent="0.2">
      <c r="A2257" t="s">
        <v>2260</v>
      </c>
      <c r="B2257" t="s">
        <v>3199</v>
      </c>
      <c r="C2257">
        <v>0</v>
      </c>
      <c r="D2257">
        <v>0</v>
      </c>
      <c r="E2257">
        <f>ABS(Table1[[#This Row],[Flux in SC / glucose uptake ($mmol/mmol\ glc$)]]-Table1[[#This Row],[Flux in RT / glucose uptake ($mmol/mmol\ glc$)]])/SQRT(2)</f>
        <v>0</v>
      </c>
      <c r="F2257">
        <f>Table1[[#This Row],[distance from 45-degree line]]/MAX(Table1[[Flux in SC / glucose uptake ($mmol/mmol\ glc$)]:[Flux in RT / glucose uptake ($mmol/mmol\ glc$)]])</f>
        <v>0</v>
      </c>
      <c r="G2257">
        <f>_xlfn.RANK.AVG(Table1[[#This Row],[Flux in SC / glucose uptake ($mmol/mmol\ glc$)]],Table1[Flux in SC / glucose uptake ($mmol/mmol\ glc$)])</f>
        <v>1310.5</v>
      </c>
      <c r="H2257">
        <f>_xlfn.RANK.AVG(Table1[[#This Row],[Flux in RT / glucose uptake ($mmol/mmol\ glc$)]],Table1[Flux in RT / glucose uptake ($mmol/mmol\ glc$)])</f>
        <v>1290.5</v>
      </c>
      <c r="I2257" t="e">
        <f>LOG(Table1[[#This Row],[Flux in SC / glucose uptake ($mmol/mmol\ glc$)]])</f>
        <v>#NUM!</v>
      </c>
      <c r="J2257" t="e">
        <f>LOG(Table1[[#This Row],[Flux in RT / glucose uptake ($mmol/mmol\ glc$)]])</f>
        <v>#NUM!</v>
      </c>
    </row>
    <row r="2258" spans="1:10" x14ac:dyDescent="0.2">
      <c r="A2258" t="s">
        <v>2261</v>
      </c>
      <c r="B2258" t="s">
        <v>3114</v>
      </c>
      <c r="C2258">
        <v>0</v>
      </c>
      <c r="D2258">
        <v>0</v>
      </c>
      <c r="E2258">
        <f>ABS(Table1[[#This Row],[Flux in SC / glucose uptake ($mmol/mmol\ glc$)]]-Table1[[#This Row],[Flux in RT / glucose uptake ($mmol/mmol\ glc$)]])/SQRT(2)</f>
        <v>0</v>
      </c>
      <c r="F2258">
        <f>Table1[[#This Row],[distance from 45-degree line]]/MAX(Table1[[Flux in SC / glucose uptake ($mmol/mmol\ glc$)]:[Flux in RT / glucose uptake ($mmol/mmol\ glc$)]])</f>
        <v>0</v>
      </c>
      <c r="G2258">
        <f>_xlfn.RANK.AVG(Table1[[#This Row],[Flux in SC / glucose uptake ($mmol/mmol\ glc$)]],Table1[Flux in SC / glucose uptake ($mmol/mmol\ glc$)])</f>
        <v>1310.5</v>
      </c>
      <c r="H2258">
        <f>_xlfn.RANK.AVG(Table1[[#This Row],[Flux in RT / glucose uptake ($mmol/mmol\ glc$)]],Table1[Flux in RT / glucose uptake ($mmol/mmol\ glc$)])</f>
        <v>1290.5</v>
      </c>
      <c r="I2258" t="e">
        <f>LOG(Table1[[#This Row],[Flux in SC / glucose uptake ($mmol/mmol\ glc$)]])</f>
        <v>#NUM!</v>
      </c>
      <c r="J2258" t="e">
        <f>LOG(Table1[[#This Row],[Flux in RT / glucose uptake ($mmol/mmol\ glc$)]])</f>
        <v>#NUM!</v>
      </c>
    </row>
    <row r="2259" spans="1:10" x14ac:dyDescent="0.2">
      <c r="A2259" t="s">
        <v>2262</v>
      </c>
      <c r="B2259" t="s">
        <v>3165</v>
      </c>
      <c r="C2259">
        <v>0</v>
      </c>
      <c r="D2259">
        <v>0</v>
      </c>
      <c r="E2259">
        <f>ABS(Table1[[#This Row],[Flux in SC / glucose uptake ($mmol/mmol\ glc$)]]-Table1[[#This Row],[Flux in RT / glucose uptake ($mmol/mmol\ glc$)]])/SQRT(2)</f>
        <v>0</v>
      </c>
      <c r="F2259">
        <f>Table1[[#This Row],[distance from 45-degree line]]/MAX(Table1[[Flux in SC / glucose uptake ($mmol/mmol\ glc$)]:[Flux in RT / glucose uptake ($mmol/mmol\ glc$)]])</f>
        <v>0</v>
      </c>
      <c r="G2259">
        <f>_xlfn.RANK.AVG(Table1[[#This Row],[Flux in SC / glucose uptake ($mmol/mmol\ glc$)]],Table1[Flux in SC / glucose uptake ($mmol/mmol\ glc$)])</f>
        <v>1310.5</v>
      </c>
      <c r="H2259">
        <f>_xlfn.RANK.AVG(Table1[[#This Row],[Flux in RT / glucose uptake ($mmol/mmol\ glc$)]],Table1[Flux in RT / glucose uptake ($mmol/mmol\ glc$)])</f>
        <v>1290.5</v>
      </c>
      <c r="I2259" t="e">
        <f>LOG(Table1[[#This Row],[Flux in SC / glucose uptake ($mmol/mmol\ glc$)]])</f>
        <v>#NUM!</v>
      </c>
      <c r="J2259" t="e">
        <f>LOG(Table1[[#This Row],[Flux in RT / glucose uptake ($mmol/mmol\ glc$)]])</f>
        <v>#NUM!</v>
      </c>
    </row>
    <row r="2260" spans="1:10" x14ac:dyDescent="0.2">
      <c r="A2260" t="s">
        <v>2263</v>
      </c>
      <c r="B2260" t="s">
        <v>3148</v>
      </c>
      <c r="C2260">
        <v>0</v>
      </c>
      <c r="D2260">
        <v>0</v>
      </c>
      <c r="E2260">
        <f>ABS(Table1[[#This Row],[Flux in SC / glucose uptake ($mmol/mmol\ glc$)]]-Table1[[#This Row],[Flux in RT / glucose uptake ($mmol/mmol\ glc$)]])/SQRT(2)</f>
        <v>0</v>
      </c>
      <c r="F2260">
        <f>Table1[[#This Row],[distance from 45-degree line]]/MAX(Table1[[Flux in SC / glucose uptake ($mmol/mmol\ glc$)]:[Flux in RT / glucose uptake ($mmol/mmol\ glc$)]])</f>
        <v>0</v>
      </c>
      <c r="G2260">
        <f>_xlfn.RANK.AVG(Table1[[#This Row],[Flux in SC / glucose uptake ($mmol/mmol\ glc$)]],Table1[Flux in SC / glucose uptake ($mmol/mmol\ glc$)])</f>
        <v>1310.5</v>
      </c>
      <c r="H2260">
        <f>_xlfn.RANK.AVG(Table1[[#This Row],[Flux in RT / glucose uptake ($mmol/mmol\ glc$)]],Table1[Flux in RT / glucose uptake ($mmol/mmol\ glc$)])</f>
        <v>1290.5</v>
      </c>
      <c r="I2260" t="e">
        <f>LOG(Table1[[#This Row],[Flux in SC / glucose uptake ($mmol/mmol\ glc$)]])</f>
        <v>#NUM!</v>
      </c>
      <c r="J2260" t="e">
        <f>LOG(Table1[[#This Row],[Flux in RT / glucose uptake ($mmol/mmol\ glc$)]])</f>
        <v>#NUM!</v>
      </c>
    </row>
    <row r="2261" spans="1:10" x14ac:dyDescent="0.2">
      <c r="A2261" t="s">
        <v>2264</v>
      </c>
      <c r="B2261" t="s">
        <v>3174</v>
      </c>
      <c r="C2261">
        <v>0</v>
      </c>
      <c r="D2261">
        <v>0</v>
      </c>
      <c r="E2261">
        <f>ABS(Table1[[#This Row],[Flux in SC / glucose uptake ($mmol/mmol\ glc$)]]-Table1[[#This Row],[Flux in RT / glucose uptake ($mmol/mmol\ glc$)]])/SQRT(2)</f>
        <v>0</v>
      </c>
      <c r="F2261">
        <f>Table1[[#This Row],[distance from 45-degree line]]/MAX(Table1[[Flux in SC / glucose uptake ($mmol/mmol\ glc$)]:[Flux in RT / glucose uptake ($mmol/mmol\ glc$)]])</f>
        <v>0</v>
      </c>
      <c r="G2261">
        <f>_xlfn.RANK.AVG(Table1[[#This Row],[Flux in SC / glucose uptake ($mmol/mmol\ glc$)]],Table1[Flux in SC / glucose uptake ($mmol/mmol\ glc$)])</f>
        <v>1310.5</v>
      </c>
      <c r="H2261">
        <f>_xlfn.RANK.AVG(Table1[[#This Row],[Flux in RT / glucose uptake ($mmol/mmol\ glc$)]],Table1[Flux in RT / glucose uptake ($mmol/mmol\ glc$)])</f>
        <v>1290.5</v>
      </c>
      <c r="I2261" t="e">
        <f>LOG(Table1[[#This Row],[Flux in SC / glucose uptake ($mmol/mmol\ glc$)]])</f>
        <v>#NUM!</v>
      </c>
      <c r="J2261" t="e">
        <f>LOG(Table1[[#This Row],[Flux in RT / glucose uptake ($mmol/mmol\ glc$)]])</f>
        <v>#NUM!</v>
      </c>
    </row>
    <row r="2262" spans="1:10" x14ac:dyDescent="0.2">
      <c r="A2262" t="s">
        <v>2265</v>
      </c>
      <c r="B2262" t="s">
        <v>3174</v>
      </c>
      <c r="C2262">
        <v>0</v>
      </c>
      <c r="D2262">
        <v>0</v>
      </c>
      <c r="E2262">
        <f>ABS(Table1[[#This Row],[Flux in SC / glucose uptake ($mmol/mmol\ glc$)]]-Table1[[#This Row],[Flux in RT / glucose uptake ($mmol/mmol\ glc$)]])/SQRT(2)</f>
        <v>0</v>
      </c>
      <c r="F2262">
        <f>Table1[[#This Row],[distance from 45-degree line]]/MAX(Table1[[Flux in SC / glucose uptake ($mmol/mmol\ glc$)]:[Flux in RT / glucose uptake ($mmol/mmol\ glc$)]])</f>
        <v>0</v>
      </c>
      <c r="G2262">
        <f>_xlfn.RANK.AVG(Table1[[#This Row],[Flux in SC / glucose uptake ($mmol/mmol\ glc$)]],Table1[Flux in SC / glucose uptake ($mmol/mmol\ glc$)])</f>
        <v>1310.5</v>
      </c>
      <c r="H2262">
        <f>_xlfn.RANK.AVG(Table1[[#This Row],[Flux in RT / glucose uptake ($mmol/mmol\ glc$)]],Table1[Flux in RT / glucose uptake ($mmol/mmol\ glc$)])</f>
        <v>1290.5</v>
      </c>
      <c r="I2262" t="e">
        <f>LOG(Table1[[#This Row],[Flux in SC / glucose uptake ($mmol/mmol\ glc$)]])</f>
        <v>#NUM!</v>
      </c>
      <c r="J2262" t="e">
        <f>LOG(Table1[[#This Row],[Flux in RT / glucose uptake ($mmol/mmol\ glc$)]])</f>
        <v>#NUM!</v>
      </c>
    </row>
    <row r="2263" spans="1:10" x14ac:dyDescent="0.2">
      <c r="A2263" t="s">
        <v>2266</v>
      </c>
      <c r="B2263" t="s">
        <v>3174</v>
      </c>
      <c r="C2263">
        <v>0</v>
      </c>
      <c r="D2263">
        <v>0</v>
      </c>
      <c r="E2263">
        <f>ABS(Table1[[#This Row],[Flux in SC / glucose uptake ($mmol/mmol\ glc$)]]-Table1[[#This Row],[Flux in RT / glucose uptake ($mmol/mmol\ glc$)]])/SQRT(2)</f>
        <v>0</v>
      </c>
      <c r="F2263">
        <f>Table1[[#This Row],[distance from 45-degree line]]/MAX(Table1[[Flux in SC / glucose uptake ($mmol/mmol\ glc$)]:[Flux in RT / glucose uptake ($mmol/mmol\ glc$)]])</f>
        <v>0</v>
      </c>
      <c r="G2263">
        <f>_xlfn.RANK.AVG(Table1[[#This Row],[Flux in SC / glucose uptake ($mmol/mmol\ glc$)]],Table1[Flux in SC / glucose uptake ($mmol/mmol\ glc$)])</f>
        <v>1310.5</v>
      </c>
      <c r="H2263">
        <f>_xlfn.RANK.AVG(Table1[[#This Row],[Flux in RT / glucose uptake ($mmol/mmol\ glc$)]],Table1[Flux in RT / glucose uptake ($mmol/mmol\ glc$)])</f>
        <v>1290.5</v>
      </c>
      <c r="I2263" t="e">
        <f>LOG(Table1[[#This Row],[Flux in SC / glucose uptake ($mmol/mmol\ glc$)]])</f>
        <v>#NUM!</v>
      </c>
      <c r="J2263" t="e">
        <f>LOG(Table1[[#This Row],[Flux in RT / glucose uptake ($mmol/mmol\ glc$)]])</f>
        <v>#NUM!</v>
      </c>
    </row>
    <row r="2264" spans="1:10" x14ac:dyDescent="0.2">
      <c r="A2264" t="s">
        <v>2267</v>
      </c>
      <c r="B2264" t="s">
        <v>3162</v>
      </c>
      <c r="C2264">
        <v>0</v>
      </c>
      <c r="D2264">
        <v>0</v>
      </c>
      <c r="E2264">
        <f>ABS(Table1[[#This Row],[Flux in SC / glucose uptake ($mmol/mmol\ glc$)]]-Table1[[#This Row],[Flux in RT / glucose uptake ($mmol/mmol\ glc$)]])/SQRT(2)</f>
        <v>0</v>
      </c>
      <c r="F2264">
        <f>Table1[[#This Row],[distance from 45-degree line]]/MAX(Table1[[Flux in SC / glucose uptake ($mmol/mmol\ glc$)]:[Flux in RT / glucose uptake ($mmol/mmol\ glc$)]])</f>
        <v>0</v>
      </c>
      <c r="G2264">
        <f>_xlfn.RANK.AVG(Table1[[#This Row],[Flux in SC / glucose uptake ($mmol/mmol\ glc$)]],Table1[Flux in SC / glucose uptake ($mmol/mmol\ glc$)])</f>
        <v>1310.5</v>
      </c>
      <c r="H2264">
        <f>_xlfn.RANK.AVG(Table1[[#This Row],[Flux in RT / glucose uptake ($mmol/mmol\ glc$)]],Table1[Flux in RT / glucose uptake ($mmol/mmol\ glc$)])</f>
        <v>1290.5</v>
      </c>
      <c r="I2264" t="e">
        <f>LOG(Table1[[#This Row],[Flux in SC / glucose uptake ($mmol/mmol\ glc$)]])</f>
        <v>#NUM!</v>
      </c>
      <c r="J2264" t="e">
        <f>LOG(Table1[[#This Row],[Flux in RT / glucose uptake ($mmol/mmol\ glc$)]])</f>
        <v>#NUM!</v>
      </c>
    </row>
    <row r="2265" spans="1:10" x14ac:dyDescent="0.2">
      <c r="A2265" t="s">
        <v>2268</v>
      </c>
      <c r="B2265" t="s">
        <v>3114</v>
      </c>
      <c r="C2265">
        <v>0</v>
      </c>
      <c r="D2265">
        <v>0</v>
      </c>
      <c r="E2265">
        <f>ABS(Table1[[#This Row],[Flux in SC / glucose uptake ($mmol/mmol\ glc$)]]-Table1[[#This Row],[Flux in RT / glucose uptake ($mmol/mmol\ glc$)]])/SQRT(2)</f>
        <v>0</v>
      </c>
      <c r="F2265">
        <f>Table1[[#This Row],[distance from 45-degree line]]/MAX(Table1[[Flux in SC / glucose uptake ($mmol/mmol\ glc$)]:[Flux in RT / glucose uptake ($mmol/mmol\ glc$)]])</f>
        <v>0</v>
      </c>
      <c r="G2265">
        <f>_xlfn.RANK.AVG(Table1[[#This Row],[Flux in SC / glucose uptake ($mmol/mmol\ glc$)]],Table1[Flux in SC / glucose uptake ($mmol/mmol\ glc$)])</f>
        <v>1310.5</v>
      </c>
      <c r="H2265">
        <f>_xlfn.RANK.AVG(Table1[[#This Row],[Flux in RT / glucose uptake ($mmol/mmol\ glc$)]],Table1[Flux in RT / glucose uptake ($mmol/mmol\ glc$)])</f>
        <v>1290.5</v>
      </c>
      <c r="I2265" t="e">
        <f>LOG(Table1[[#This Row],[Flux in SC / glucose uptake ($mmol/mmol\ glc$)]])</f>
        <v>#NUM!</v>
      </c>
      <c r="J2265" t="e">
        <f>LOG(Table1[[#This Row],[Flux in RT / glucose uptake ($mmol/mmol\ glc$)]])</f>
        <v>#NUM!</v>
      </c>
    </row>
    <row r="2266" spans="1:10" x14ac:dyDescent="0.2">
      <c r="A2266" t="s">
        <v>2269</v>
      </c>
      <c r="B2266" t="s">
        <v>3134</v>
      </c>
      <c r="C2266">
        <v>0</v>
      </c>
      <c r="D2266">
        <v>-1.4363345673642822E-8</v>
      </c>
      <c r="E2266">
        <f>ABS(Table1[[#This Row],[Flux in SC / glucose uptake ($mmol/mmol\ glc$)]]-Table1[[#This Row],[Flux in RT / glucose uptake ($mmol/mmol\ glc$)]])/SQRT(2)</f>
        <v>1.0156419126359298E-8</v>
      </c>
      <c r="F2266">
        <f>Table1[[#This Row],[distance from 45-degree line]]/MAX(Table1[[Flux in SC / glucose uptake ($mmol/mmol\ glc$)]:[Flux in RT / glucose uptake ($mmol/mmol\ glc$)]])</f>
        <v>5.4741940176683698E-10</v>
      </c>
      <c r="G2266">
        <f>_xlfn.RANK.AVG(Table1[[#This Row],[Flux in SC / glucose uptake ($mmol/mmol\ glc$)]],Table1[Flux in SC / glucose uptake ($mmol/mmol\ glc$)])</f>
        <v>1310.5</v>
      </c>
      <c r="H2266">
        <f>_xlfn.RANK.AVG(Table1[[#This Row],[Flux in RT / glucose uptake ($mmol/mmol\ glc$)]],Table1[Flux in RT / glucose uptake ($mmol/mmol\ glc$)])</f>
        <v>2295.5</v>
      </c>
      <c r="I2266" t="e">
        <f>LOG(Table1[[#This Row],[Flux in SC / glucose uptake ($mmol/mmol\ glc$)]])</f>
        <v>#NUM!</v>
      </c>
      <c r="J2266" t="e">
        <f>LOG(Table1[[#This Row],[Flux in RT / glucose uptake ($mmol/mmol\ glc$)]])</f>
        <v>#NUM!</v>
      </c>
    </row>
    <row r="2267" spans="1:10" x14ac:dyDescent="0.2">
      <c r="A2267" t="s">
        <v>2270</v>
      </c>
      <c r="B2267" t="s">
        <v>3134</v>
      </c>
      <c r="C2267">
        <v>-3.1235427792745608E-6</v>
      </c>
      <c r="D2267">
        <v>0</v>
      </c>
      <c r="E2267">
        <f>ABS(Table1[[#This Row],[Flux in SC / glucose uptake ($mmol/mmol\ glc$)]]-Table1[[#This Row],[Flux in RT / glucose uptake ($mmol/mmol\ glc$)]])/SQRT(2)</f>
        <v>2.2086782805513173E-6</v>
      </c>
      <c r="F2267">
        <f>Table1[[#This Row],[distance from 45-degree line]]/MAX(Table1[[Flux in SC / glucose uptake ($mmol/mmol\ glc$)]:[Flux in RT / glucose uptake ($mmol/mmol\ glc$)]])</f>
        <v>1.1904523907415945E-7</v>
      </c>
      <c r="G2267">
        <f>_xlfn.RANK.AVG(Table1[[#This Row],[Flux in SC / glucose uptake ($mmol/mmol\ glc$)]],Table1[Flux in SC / glucose uptake ($mmol/mmol\ glc$)])</f>
        <v>2300</v>
      </c>
      <c r="H2267">
        <f>_xlfn.RANK.AVG(Table1[[#This Row],[Flux in RT / glucose uptake ($mmol/mmol\ glc$)]],Table1[Flux in RT / glucose uptake ($mmol/mmol\ glc$)])</f>
        <v>1290.5</v>
      </c>
      <c r="I2267" t="e">
        <f>LOG(Table1[[#This Row],[Flux in SC / glucose uptake ($mmol/mmol\ glc$)]])</f>
        <v>#NUM!</v>
      </c>
      <c r="J2267" t="e">
        <f>LOG(Table1[[#This Row],[Flux in RT / glucose uptake ($mmol/mmol\ glc$)]])</f>
        <v>#NUM!</v>
      </c>
    </row>
    <row r="2268" spans="1:10" x14ac:dyDescent="0.2">
      <c r="A2268" t="s">
        <v>2271</v>
      </c>
      <c r="B2268" t="s">
        <v>3114</v>
      </c>
      <c r="C2268">
        <v>0</v>
      </c>
      <c r="D2268">
        <v>0</v>
      </c>
      <c r="E2268">
        <f>ABS(Table1[[#This Row],[Flux in SC / glucose uptake ($mmol/mmol\ glc$)]]-Table1[[#This Row],[Flux in RT / glucose uptake ($mmol/mmol\ glc$)]])/SQRT(2)</f>
        <v>0</v>
      </c>
      <c r="F2268">
        <f>Table1[[#This Row],[distance from 45-degree line]]/MAX(Table1[[Flux in SC / glucose uptake ($mmol/mmol\ glc$)]:[Flux in RT / glucose uptake ($mmol/mmol\ glc$)]])</f>
        <v>0</v>
      </c>
      <c r="G2268">
        <f>_xlfn.RANK.AVG(Table1[[#This Row],[Flux in SC / glucose uptake ($mmol/mmol\ glc$)]],Table1[Flux in SC / glucose uptake ($mmol/mmol\ glc$)])</f>
        <v>1310.5</v>
      </c>
      <c r="H2268">
        <f>_xlfn.RANK.AVG(Table1[[#This Row],[Flux in RT / glucose uptake ($mmol/mmol\ glc$)]],Table1[Flux in RT / glucose uptake ($mmol/mmol\ glc$)])</f>
        <v>1290.5</v>
      </c>
      <c r="I2268" t="e">
        <f>LOG(Table1[[#This Row],[Flux in SC / glucose uptake ($mmol/mmol\ glc$)]])</f>
        <v>#NUM!</v>
      </c>
      <c r="J2268" t="e">
        <f>LOG(Table1[[#This Row],[Flux in RT / glucose uptake ($mmol/mmol\ glc$)]])</f>
        <v>#NUM!</v>
      </c>
    </row>
    <row r="2269" spans="1:10" x14ac:dyDescent="0.2">
      <c r="A2269" t="s">
        <v>2272</v>
      </c>
      <c r="B2269" t="s">
        <v>3162</v>
      </c>
      <c r="C2269">
        <v>0</v>
      </c>
      <c r="D2269">
        <v>0</v>
      </c>
      <c r="E2269">
        <f>ABS(Table1[[#This Row],[Flux in SC / glucose uptake ($mmol/mmol\ glc$)]]-Table1[[#This Row],[Flux in RT / glucose uptake ($mmol/mmol\ glc$)]])/SQRT(2)</f>
        <v>0</v>
      </c>
      <c r="F2269">
        <f>Table1[[#This Row],[distance from 45-degree line]]/MAX(Table1[[Flux in SC / glucose uptake ($mmol/mmol\ glc$)]:[Flux in RT / glucose uptake ($mmol/mmol\ glc$)]])</f>
        <v>0</v>
      </c>
      <c r="G2269">
        <f>_xlfn.RANK.AVG(Table1[[#This Row],[Flux in SC / glucose uptake ($mmol/mmol\ glc$)]],Table1[Flux in SC / glucose uptake ($mmol/mmol\ glc$)])</f>
        <v>1310.5</v>
      </c>
      <c r="H2269">
        <f>_xlfn.RANK.AVG(Table1[[#This Row],[Flux in RT / glucose uptake ($mmol/mmol\ glc$)]],Table1[Flux in RT / glucose uptake ($mmol/mmol\ glc$)])</f>
        <v>1290.5</v>
      </c>
      <c r="I2269" t="e">
        <f>LOG(Table1[[#This Row],[Flux in SC / glucose uptake ($mmol/mmol\ glc$)]])</f>
        <v>#NUM!</v>
      </c>
      <c r="J2269" t="e">
        <f>LOG(Table1[[#This Row],[Flux in RT / glucose uptake ($mmol/mmol\ glc$)]])</f>
        <v>#NUM!</v>
      </c>
    </row>
    <row r="2270" spans="1:10" x14ac:dyDescent="0.2">
      <c r="A2270" t="s">
        <v>2273</v>
      </c>
      <c r="B2270" t="s">
        <v>3162</v>
      </c>
      <c r="C2270">
        <v>0</v>
      </c>
      <c r="D2270">
        <v>0</v>
      </c>
      <c r="E2270">
        <f>ABS(Table1[[#This Row],[Flux in SC / glucose uptake ($mmol/mmol\ glc$)]]-Table1[[#This Row],[Flux in RT / glucose uptake ($mmol/mmol\ glc$)]])/SQRT(2)</f>
        <v>0</v>
      </c>
      <c r="F2270">
        <f>Table1[[#This Row],[distance from 45-degree line]]/MAX(Table1[[Flux in SC / glucose uptake ($mmol/mmol\ glc$)]:[Flux in RT / glucose uptake ($mmol/mmol\ glc$)]])</f>
        <v>0</v>
      </c>
      <c r="G2270">
        <f>_xlfn.RANK.AVG(Table1[[#This Row],[Flux in SC / glucose uptake ($mmol/mmol\ glc$)]],Table1[Flux in SC / glucose uptake ($mmol/mmol\ glc$)])</f>
        <v>1310.5</v>
      </c>
      <c r="H2270">
        <f>_xlfn.RANK.AVG(Table1[[#This Row],[Flux in RT / glucose uptake ($mmol/mmol\ glc$)]],Table1[Flux in RT / glucose uptake ($mmol/mmol\ glc$)])</f>
        <v>1290.5</v>
      </c>
      <c r="I2270" t="e">
        <f>LOG(Table1[[#This Row],[Flux in SC / glucose uptake ($mmol/mmol\ glc$)]])</f>
        <v>#NUM!</v>
      </c>
      <c r="J2270" t="e">
        <f>LOG(Table1[[#This Row],[Flux in RT / glucose uptake ($mmol/mmol\ glc$)]])</f>
        <v>#NUM!</v>
      </c>
    </row>
    <row r="2271" spans="1:10" x14ac:dyDescent="0.2">
      <c r="A2271" t="s">
        <v>2274</v>
      </c>
      <c r="B2271" t="s">
        <v>3162</v>
      </c>
      <c r="C2271">
        <v>0</v>
      </c>
      <c r="D2271">
        <v>0</v>
      </c>
      <c r="E2271">
        <f>ABS(Table1[[#This Row],[Flux in SC / glucose uptake ($mmol/mmol\ glc$)]]-Table1[[#This Row],[Flux in RT / glucose uptake ($mmol/mmol\ glc$)]])/SQRT(2)</f>
        <v>0</v>
      </c>
      <c r="F2271">
        <f>Table1[[#This Row],[distance from 45-degree line]]/MAX(Table1[[Flux in SC / glucose uptake ($mmol/mmol\ glc$)]:[Flux in RT / glucose uptake ($mmol/mmol\ glc$)]])</f>
        <v>0</v>
      </c>
      <c r="G2271">
        <f>_xlfn.RANK.AVG(Table1[[#This Row],[Flux in SC / glucose uptake ($mmol/mmol\ glc$)]],Table1[Flux in SC / glucose uptake ($mmol/mmol\ glc$)])</f>
        <v>1310.5</v>
      </c>
      <c r="H2271">
        <f>_xlfn.RANK.AVG(Table1[[#This Row],[Flux in RT / glucose uptake ($mmol/mmol\ glc$)]],Table1[Flux in RT / glucose uptake ($mmol/mmol\ glc$)])</f>
        <v>1290.5</v>
      </c>
      <c r="I2271" t="e">
        <f>LOG(Table1[[#This Row],[Flux in SC / glucose uptake ($mmol/mmol\ glc$)]])</f>
        <v>#NUM!</v>
      </c>
      <c r="J2271" t="e">
        <f>LOG(Table1[[#This Row],[Flux in RT / glucose uptake ($mmol/mmol\ glc$)]])</f>
        <v>#NUM!</v>
      </c>
    </row>
    <row r="2272" spans="1:10" x14ac:dyDescent="0.2">
      <c r="A2272" t="s">
        <v>2275</v>
      </c>
      <c r="B2272" t="s">
        <v>3162</v>
      </c>
      <c r="C2272">
        <v>0</v>
      </c>
      <c r="D2272">
        <v>0</v>
      </c>
      <c r="E2272">
        <f>ABS(Table1[[#This Row],[Flux in SC / glucose uptake ($mmol/mmol\ glc$)]]-Table1[[#This Row],[Flux in RT / glucose uptake ($mmol/mmol\ glc$)]])/SQRT(2)</f>
        <v>0</v>
      </c>
      <c r="F2272">
        <f>Table1[[#This Row],[distance from 45-degree line]]/MAX(Table1[[Flux in SC / glucose uptake ($mmol/mmol\ glc$)]:[Flux in RT / glucose uptake ($mmol/mmol\ glc$)]])</f>
        <v>0</v>
      </c>
      <c r="G2272">
        <f>_xlfn.RANK.AVG(Table1[[#This Row],[Flux in SC / glucose uptake ($mmol/mmol\ glc$)]],Table1[Flux in SC / glucose uptake ($mmol/mmol\ glc$)])</f>
        <v>1310.5</v>
      </c>
      <c r="H2272">
        <f>_xlfn.RANK.AVG(Table1[[#This Row],[Flux in RT / glucose uptake ($mmol/mmol\ glc$)]],Table1[Flux in RT / glucose uptake ($mmol/mmol\ glc$)])</f>
        <v>1290.5</v>
      </c>
      <c r="I2272" t="e">
        <f>LOG(Table1[[#This Row],[Flux in SC / glucose uptake ($mmol/mmol\ glc$)]])</f>
        <v>#NUM!</v>
      </c>
      <c r="J2272" t="e">
        <f>LOG(Table1[[#This Row],[Flux in RT / glucose uptake ($mmol/mmol\ glc$)]])</f>
        <v>#NUM!</v>
      </c>
    </row>
    <row r="2273" spans="1:10" x14ac:dyDescent="0.2">
      <c r="A2273" t="s">
        <v>2276</v>
      </c>
      <c r="B2273" t="s">
        <v>3162</v>
      </c>
      <c r="C2273">
        <v>0</v>
      </c>
      <c r="D2273">
        <v>0</v>
      </c>
      <c r="E2273">
        <f>ABS(Table1[[#This Row],[Flux in SC / glucose uptake ($mmol/mmol\ glc$)]]-Table1[[#This Row],[Flux in RT / glucose uptake ($mmol/mmol\ glc$)]])/SQRT(2)</f>
        <v>0</v>
      </c>
      <c r="F2273">
        <f>Table1[[#This Row],[distance from 45-degree line]]/MAX(Table1[[Flux in SC / glucose uptake ($mmol/mmol\ glc$)]:[Flux in RT / glucose uptake ($mmol/mmol\ glc$)]])</f>
        <v>0</v>
      </c>
      <c r="G2273">
        <f>_xlfn.RANK.AVG(Table1[[#This Row],[Flux in SC / glucose uptake ($mmol/mmol\ glc$)]],Table1[Flux in SC / glucose uptake ($mmol/mmol\ glc$)])</f>
        <v>1310.5</v>
      </c>
      <c r="H2273">
        <f>_xlfn.RANK.AVG(Table1[[#This Row],[Flux in RT / glucose uptake ($mmol/mmol\ glc$)]],Table1[Flux in RT / glucose uptake ($mmol/mmol\ glc$)])</f>
        <v>1290.5</v>
      </c>
      <c r="I2273" t="e">
        <f>LOG(Table1[[#This Row],[Flux in SC / glucose uptake ($mmol/mmol\ glc$)]])</f>
        <v>#NUM!</v>
      </c>
      <c r="J2273" t="e">
        <f>LOG(Table1[[#This Row],[Flux in RT / glucose uptake ($mmol/mmol\ glc$)]])</f>
        <v>#NUM!</v>
      </c>
    </row>
    <row r="2274" spans="1:10" x14ac:dyDescent="0.2">
      <c r="A2274" t="s">
        <v>2277</v>
      </c>
      <c r="B2274" t="s">
        <v>3114</v>
      </c>
      <c r="C2274">
        <v>0</v>
      </c>
      <c r="D2274">
        <v>0</v>
      </c>
      <c r="E2274">
        <f>ABS(Table1[[#This Row],[Flux in SC / glucose uptake ($mmol/mmol\ glc$)]]-Table1[[#This Row],[Flux in RT / glucose uptake ($mmol/mmol\ glc$)]])/SQRT(2)</f>
        <v>0</v>
      </c>
      <c r="F2274">
        <f>Table1[[#This Row],[distance from 45-degree line]]/MAX(Table1[[Flux in SC / glucose uptake ($mmol/mmol\ glc$)]:[Flux in RT / glucose uptake ($mmol/mmol\ glc$)]])</f>
        <v>0</v>
      </c>
      <c r="G2274">
        <f>_xlfn.RANK.AVG(Table1[[#This Row],[Flux in SC / glucose uptake ($mmol/mmol\ glc$)]],Table1[Flux in SC / glucose uptake ($mmol/mmol\ glc$)])</f>
        <v>1310.5</v>
      </c>
      <c r="H2274">
        <f>_xlfn.RANK.AVG(Table1[[#This Row],[Flux in RT / glucose uptake ($mmol/mmol\ glc$)]],Table1[Flux in RT / glucose uptake ($mmol/mmol\ glc$)])</f>
        <v>1290.5</v>
      </c>
      <c r="I2274" t="e">
        <f>LOG(Table1[[#This Row],[Flux in SC / glucose uptake ($mmol/mmol\ glc$)]])</f>
        <v>#NUM!</v>
      </c>
      <c r="J2274" t="e">
        <f>LOG(Table1[[#This Row],[Flux in RT / glucose uptake ($mmol/mmol\ glc$)]])</f>
        <v>#NUM!</v>
      </c>
    </row>
    <row r="2275" spans="1:10" x14ac:dyDescent="0.2">
      <c r="A2275" t="s">
        <v>2278</v>
      </c>
      <c r="B2275" t="s">
        <v>3150</v>
      </c>
      <c r="C2275">
        <v>0</v>
      </c>
      <c r="D2275">
        <v>0</v>
      </c>
      <c r="E2275">
        <f>ABS(Table1[[#This Row],[Flux in SC / glucose uptake ($mmol/mmol\ glc$)]]-Table1[[#This Row],[Flux in RT / glucose uptake ($mmol/mmol\ glc$)]])/SQRT(2)</f>
        <v>0</v>
      </c>
      <c r="F2275">
        <f>Table1[[#This Row],[distance from 45-degree line]]/MAX(Table1[[Flux in SC / glucose uptake ($mmol/mmol\ glc$)]:[Flux in RT / glucose uptake ($mmol/mmol\ glc$)]])</f>
        <v>0</v>
      </c>
      <c r="G2275">
        <f>_xlfn.RANK.AVG(Table1[[#This Row],[Flux in SC / glucose uptake ($mmol/mmol\ glc$)]],Table1[Flux in SC / glucose uptake ($mmol/mmol\ glc$)])</f>
        <v>1310.5</v>
      </c>
      <c r="H2275">
        <f>_xlfn.RANK.AVG(Table1[[#This Row],[Flux in RT / glucose uptake ($mmol/mmol\ glc$)]],Table1[Flux in RT / glucose uptake ($mmol/mmol\ glc$)])</f>
        <v>1290.5</v>
      </c>
      <c r="I2275" t="e">
        <f>LOG(Table1[[#This Row],[Flux in SC / glucose uptake ($mmol/mmol\ glc$)]])</f>
        <v>#NUM!</v>
      </c>
      <c r="J2275" t="e">
        <f>LOG(Table1[[#This Row],[Flux in RT / glucose uptake ($mmol/mmol\ glc$)]])</f>
        <v>#NUM!</v>
      </c>
    </row>
    <row r="2276" spans="1:10" x14ac:dyDescent="0.2">
      <c r="A2276" t="s">
        <v>2279</v>
      </c>
      <c r="B2276" t="s">
        <v>3114</v>
      </c>
      <c r="C2276">
        <v>0</v>
      </c>
      <c r="D2276">
        <v>0</v>
      </c>
      <c r="E2276">
        <f>ABS(Table1[[#This Row],[Flux in SC / glucose uptake ($mmol/mmol\ glc$)]]-Table1[[#This Row],[Flux in RT / glucose uptake ($mmol/mmol\ glc$)]])/SQRT(2)</f>
        <v>0</v>
      </c>
      <c r="F2276">
        <f>Table1[[#This Row],[distance from 45-degree line]]/MAX(Table1[[Flux in SC / glucose uptake ($mmol/mmol\ glc$)]:[Flux in RT / glucose uptake ($mmol/mmol\ glc$)]])</f>
        <v>0</v>
      </c>
      <c r="G2276">
        <f>_xlfn.RANK.AVG(Table1[[#This Row],[Flux in SC / glucose uptake ($mmol/mmol\ glc$)]],Table1[Flux in SC / glucose uptake ($mmol/mmol\ glc$)])</f>
        <v>1310.5</v>
      </c>
      <c r="H2276">
        <f>_xlfn.RANK.AVG(Table1[[#This Row],[Flux in RT / glucose uptake ($mmol/mmol\ glc$)]],Table1[Flux in RT / glucose uptake ($mmol/mmol\ glc$)])</f>
        <v>1290.5</v>
      </c>
      <c r="I2276" t="e">
        <f>LOG(Table1[[#This Row],[Flux in SC / glucose uptake ($mmol/mmol\ glc$)]])</f>
        <v>#NUM!</v>
      </c>
      <c r="J2276" t="e">
        <f>LOG(Table1[[#This Row],[Flux in RT / glucose uptake ($mmol/mmol\ glc$)]])</f>
        <v>#NUM!</v>
      </c>
    </row>
    <row r="2277" spans="1:10" x14ac:dyDescent="0.2">
      <c r="A2277" t="s">
        <v>2280</v>
      </c>
      <c r="B2277" t="s">
        <v>3114</v>
      </c>
      <c r="C2277">
        <v>0</v>
      </c>
      <c r="D2277">
        <v>0</v>
      </c>
      <c r="E2277">
        <f>ABS(Table1[[#This Row],[Flux in SC / glucose uptake ($mmol/mmol\ glc$)]]-Table1[[#This Row],[Flux in RT / glucose uptake ($mmol/mmol\ glc$)]])/SQRT(2)</f>
        <v>0</v>
      </c>
      <c r="F2277">
        <f>Table1[[#This Row],[distance from 45-degree line]]/MAX(Table1[[Flux in SC / glucose uptake ($mmol/mmol\ glc$)]:[Flux in RT / glucose uptake ($mmol/mmol\ glc$)]])</f>
        <v>0</v>
      </c>
      <c r="G2277">
        <f>_xlfn.RANK.AVG(Table1[[#This Row],[Flux in SC / glucose uptake ($mmol/mmol\ glc$)]],Table1[Flux in SC / glucose uptake ($mmol/mmol\ glc$)])</f>
        <v>1310.5</v>
      </c>
      <c r="H2277">
        <f>_xlfn.RANK.AVG(Table1[[#This Row],[Flux in RT / glucose uptake ($mmol/mmol\ glc$)]],Table1[Flux in RT / glucose uptake ($mmol/mmol\ glc$)])</f>
        <v>1290.5</v>
      </c>
      <c r="I2277" t="e">
        <f>LOG(Table1[[#This Row],[Flux in SC / glucose uptake ($mmol/mmol\ glc$)]])</f>
        <v>#NUM!</v>
      </c>
      <c r="J2277" t="e">
        <f>LOG(Table1[[#This Row],[Flux in RT / glucose uptake ($mmol/mmol\ glc$)]])</f>
        <v>#NUM!</v>
      </c>
    </row>
    <row r="2278" spans="1:10" x14ac:dyDescent="0.2">
      <c r="A2278" t="s">
        <v>2281</v>
      </c>
      <c r="B2278" t="s">
        <v>3114</v>
      </c>
      <c r="C2278">
        <v>1.0209484997892187E-2</v>
      </c>
      <c r="D2278">
        <v>4.6207778248939776E-2</v>
      </c>
      <c r="E2278">
        <f>ABS(Table1[[#This Row],[Flux in SC / glucose uptake ($mmol/mmol\ glc$)]]-Table1[[#This Row],[Flux in RT / glucose uptake ($mmol/mmol\ glc$)]])/SQRT(2)</f>
        <v>2.5454637268957674E-2</v>
      </c>
      <c r="F2278">
        <f>Table1[[#This Row],[distance from 45-degree line]]/MAX(Table1[[Flux in SC / glucose uptake ($mmol/mmol\ glc$)]:[Flux in RT / glucose uptake ($mmol/mmol\ glc$)]])</f>
        <v>1.3719759033772368E-3</v>
      </c>
      <c r="G2278">
        <f>_xlfn.RANK.AVG(Table1[[#This Row],[Flux in SC / glucose uptake ($mmol/mmol\ glc$)]],Table1[Flux in SC / glucose uptake ($mmol/mmol\ glc$)])</f>
        <v>80</v>
      </c>
      <c r="H2278">
        <f>_xlfn.RANK.AVG(Table1[[#This Row],[Flux in RT / glucose uptake ($mmol/mmol\ glc$)]],Table1[Flux in RT / glucose uptake ($mmol/mmol\ glc$)])</f>
        <v>103</v>
      </c>
      <c r="I2278">
        <f>LOG(Table1[[#This Row],[Flux in SC / glucose uptake ($mmol/mmol\ glc$)]])</f>
        <v>-1.9909961646921943</v>
      </c>
      <c r="J2278">
        <f>LOG(Table1[[#This Row],[Flux in RT / glucose uptake ($mmol/mmol\ glc$)]])</f>
        <v>-1.3352849126200561</v>
      </c>
    </row>
    <row r="2279" spans="1:10" x14ac:dyDescent="0.2">
      <c r="A2279" t="s">
        <v>2282</v>
      </c>
      <c r="B2279" t="s">
        <v>3142</v>
      </c>
      <c r="C2279">
        <v>5.3310262845360137E-3</v>
      </c>
      <c r="D2279">
        <v>2.4128033037939357E-2</v>
      </c>
      <c r="E2279">
        <f>ABS(Table1[[#This Row],[Flux in SC / glucose uptake ($mmol/mmol\ glc$)]]-Table1[[#This Row],[Flux in RT / glucose uptake ($mmol/mmol\ glc$)]])/SQRT(2)</f>
        <v>1.3291490941340835E-2</v>
      </c>
      <c r="F2279">
        <f>Table1[[#This Row],[distance from 45-degree line]]/MAX(Table1[[Flux in SC / glucose uptake ($mmol/mmol\ glc$)]:[Flux in RT / glucose uptake ($mmol/mmol\ glc$)]])</f>
        <v>7.1639619527067691E-4</v>
      </c>
      <c r="G2279">
        <f>_xlfn.RANK.AVG(Table1[[#This Row],[Flux in SC / glucose uptake ($mmol/mmol\ glc$)]],Table1[Flux in SC / glucose uptake ($mmol/mmol\ glc$)])</f>
        <v>113</v>
      </c>
      <c r="H2279">
        <f>_xlfn.RANK.AVG(Table1[[#This Row],[Flux in RT / glucose uptake ($mmol/mmol\ glc$)]],Table1[Flux in RT / glucose uptake ($mmol/mmol\ glc$)])</f>
        <v>125</v>
      </c>
      <c r="I2279">
        <f>LOG(Table1[[#This Row],[Flux in SC / glucose uptake ($mmol/mmol\ glc$)]])</f>
        <v>-2.2731891761880711</v>
      </c>
      <c r="J2279">
        <f>LOG(Table1[[#This Row],[Flux in RT / glucose uptake ($mmol/mmol\ glc$)]])</f>
        <v>-1.6174780811408516</v>
      </c>
    </row>
    <row r="2280" spans="1:10" x14ac:dyDescent="0.2">
      <c r="A2280" t="s">
        <v>2283</v>
      </c>
      <c r="B2280" t="s">
        <v>3142</v>
      </c>
      <c r="C2280">
        <v>1.0209484997892187E-2</v>
      </c>
      <c r="D2280">
        <v>4.6207778248939776E-2</v>
      </c>
      <c r="E2280">
        <f>ABS(Table1[[#This Row],[Flux in SC / glucose uptake ($mmol/mmol\ glc$)]]-Table1[[#This Row],[Flux in RT / glucose uptake ($mmol/mmol\ glc$)]])/SQRT(2)</f>
        <v>2.5454637268957674E-2</v>
      </c>
      <c r="F2280">
        <f>Table1[[#This Row],[distance from 45-degree line]]/MAX(Table1[[Flux in SC / glucose uptake ($mmol/mmol\ glc$)]:[Flux in RT / glucose uptake ($mmol/mmol\ glc$)]])</f>
        <v>1.3719759033772368E-3</v>
      </c>
      <c r="G2280">
        <f>_xlfn.RANK.AVG(Table1[[#This Row],[Flux in SC / glucose uptake ($mmol/mmol\ glc$)]],Table1[Flux in SC / glucose uptake ($mmol/mmol\ glc$)])</f>
        <v>80</v>
      </c>
      <c r="H2280">
        <f>_xlfn.RANK.AVG(Table1[[#This Row],[Flux in RT / glucose uptake ($mmol/mmol\ glc$)]],Table1[Flux in RT / glucose uptake ($mmol/mmol\ glc$)])</f>
        <v>103</v>
      </c>
      <c r="I2280">
        <f>LOG(Table1[[#This Row],[Flux in SC / glucose uptake ($mmol/mmol\ glc$)]])</f>
        <v>-1.9909961646921943</v>
      </c>
      <c r="J2280">
        <f>LOG(Table1[[#This Row],[Flux in RT / glucose uptake ($mmol/mmol\ glc$)]])</f>
        <v>-1.3352849126200561</v>
      </c>
    </row>
    <row r="2281" spans="1:10" x14ac:dyDescent="0.2">
      <c r="A2281" t="s">
        <v>2284</v>
      </c>
      <c r="B2281" t="s">
        <v>3114</v>
      </c>
      <c r="C2281">
        <v>0</v>
      </c>
      <c r="D2281">
        <v>0</v>
      </c>
      <c r="E2281">
        <f>ABS(Table1[[#This Row],[Flux in SC / glucose uptake ($mmol/mmol\ glc$)]]-Table1[[#This Row],[Flux in RT / glucose uptake ($mmol/mmol\ glc$)]])/SQRT(2)</f>
        <v>0</v>
      </c>
      <c r="F2281">
        <f>Table1[[#This Row],[distance from 45-degree line]]/MAX(Table1[[Flux in SC / glucose uptake ($mmol/mmol\ glc$)]:[Flux in RT / glucose uptake ($mmol/mmol\ glc$)]])</f>
        <v>0</v>
      </c>
      <c r="G2281">
        <f>_xlfn.RANK.AVG(Table1[[#This Row],[Flux in SC / glucose uptake ($mmol/mmol\ glc$)]],Table1[Flux in SC / glucose uptake ($mmol/mmol\ glc$)])</f>
        <v>1310.5</v>
      </c>
      <c r="H2281">
        <f>_xlfn.RANK.AVG(Table1[[#This Row],[Flux in RT / glucose uptake ($mmol/mmol\ glc$)]],Table1[Flux in RT / glucose uptake ($mmol/mmol\ glc$)])</f>
        <v>1290.5</v>
      </c>
      <c r="I2281" t="e">
        <f>LOG(Table1[[#This Row],[Flux in SC / glucose uptake ($mmol/mmol\ glc$)]])</f>
        <v>#NUM!</v>
      </c>
      <c r="J2281" t="e">
        <f>LOG(Table1[[#This Row],[Flux in RT / glucose uptake ($mmol/mmol\ glc$)]])</f>
        <v>#NUM!</v>
      </c>
    </row>
    <row r="2282" spans="1:10" x14ac:dyDescent="0.2">
      <c r="A2282" t="s">
        <v>2285</v>
      </c>
      <c r="B2282" t="s">
        <v>3154</v>
      </c>
      <c r="C2282">
        <v>0</v>
      </c>
      <c r="D2282">
        <v>0</v>
      </c>
      <c r="E2282">
        <f>ABS(Table1[[#This Row],[Flux in SC / glucose uptake ($mmol/mmol\ glc$)]]-Table1[[#This Row],[Flux in RT / glucose uptake ($mmol/mmol\ glc$)]])/SQRT(2)</f>
        <v>0</v>
      </c>
      <c r="F2282">
        <f>Table1[[#This Row],[distance from 45-degree line]]/MAX(Table1[[Flux in SC / glucose uptake ($mmol/mmol\ glc$)]:[Flux in RT / glucose uptake ($mmol/mmol\ glc$)]])</f>
        <v>0</v>
      </c>
      <c r="G2282">
        <f>_xlfn.RANK.AVG(Table1[[#This Row],[Flux in SC / glucose uptake ($mmol/mmol\ glc$)]],Table1[Flux in SC / glucose uptake ($mmol/mmol\ glc$)])</f>
        <v>1310.5</v>
      </c>
      <c r="H2282">
        <f>_xlfn.RANK.AVG(Table1[[#This Row],[Flux in RT / glucose uptake ($mmol/mmol\ glc$)]],Table1[Flux in RT / glucose uptake ($mmol/mmol\ glc$)])</f>
        <v>1290.5</v>
      </c>
      <c r="I2282" t="e">
        <f>LOG(Table1[[#This Row],[Flux in SC / glucose uptake ($mmol/mmol\ glc$)]])</f>
        <v>#NUM!</v>
      </c>
      <c r="J2282" t="e">
        <f>LOG(Table1[[#This Row],[Flux in RT / glucose uptake ($mmol/mmol\ glc$)]])</f>
        <v>#NUM!</v>
      </c>
    </row>
    <row r="2283" spans="1:10" x14ac:dyDescent="0.2">
      <c r="A2283" t="s">
        <v>2286</v>
      </c>
      <c r="B2283" t="s">
        <v>3154</v>
      </c>
      <c r="C2283">
        <v>0</v>
      </c>
      <c r="D2283">
        <v>0</v>
      </c>
      <c r="E2283">
        <f>ABS(Table1[[#This Row],[Flux in SC / glucose uptake ($mmol/mmol\ glc$)]]-Table1[[#This Row],[Flux in RT / glucose uptake ($mmol/mmol\ glc$)]])/SQRT(2)</f>
        <v>0</v>
      </c>
      <c r="F2283">
        <f>Table1[[#This Row],[distance from 45-degree line]]/MAX(Table1[[Flux in SC / glucose uptake ($mmol/mmol\ glc$)]:[Flux in RT / glucose uptake ($mmol/mmol\ glc$)]])</f>
        <v>0</v>
      </c>
      <c r="G2283">
        <f>_xlfn.RANK.AVG(Table1[[#This Row],[Flux in SC / glucose uptake ($mmol/mmol\ glc$)]],Table1[Flux in SC / glucose uptake ($mmol/mmol\ glc$)])</f>
        <v>1310.5</v>
      </c>
      <c r="H2283">
        <f>_xlfn.RANK.AVG(Table1[[#This Row],[Flux in RT / glucose uptake ($mmol/mmol\ glc$)]],Table1[Flux in RT / glucose uptake ($mmol/mmol\ glc$)])</f>
        <v>1290.5</v>
      </c>
      <c r="I2283" t="e">
        <f>LOG(Table1[[#This Row],[Flux in SC / glucose uptake ($mmol/mmol\ glc$)]])</f>
        <v>#NUM!</v>
      </c>
      <c r="J2283" t="e">
        <f>LOG(Table1[[#This Row],[Flux in RT / glucose uptake ($mmol/mmol\ glc$)]])</f>
        <v>#NUM!</v>
      </c>
    </row>
    <row r="2284" spans="1:10" x14ac:dyDescent="0.2">
      <c r="A2284" t="s">
        <v>2287</v>
      </c>
      <c r="B2284" t="s">
        <v>3200</v>
      </c>
      <c r="C2284">
        <v>0</v>
      </c>
      <c r="D2284">
        <v>0</v>
      </c>
      <c r="E2284">
        <f>ABS(Table1[[#This Row],[Flux in SC / glucose uptake ($mmol/mmol\ glc$)]]-Table1[[#This Row],[Flux in RT / glucose uptake ($mmol/mmol\ glc$)]])/SQRT(2)</f>
        <v>0</v>
      </c>
      <c r="F2284">
        <f>Table1[[#This Row],[distance from 45-degree line]]/MAX(Table1[[Flux in SC / glucose uptake ($mmol/mmol\ glc$)]:[Flux in RT / glucose uptake ($mmol/mmol\ glc$)]])</f>
        <v>0</v>
      </c>
      <c r="G2284">
        <f>_xlfn.RANK.AVG(Table1[[#This Row],[Flux in SC / glucose uptake ($mmol/mmol\ glc$)]],Table1[Flux in SC / glucose uptake ($mmol/mmol\ glc$)])</f>
        <v>1310.5</v>
      </c>
      <c r="H2284">
        <f>_xlfn.RANK.AVG(Table1[[#This Row],[Flux in RT / glucose uptake ($mmol/mmol\ glc$)]],Table1[Flux in RT / glucose uptake ($mmol/mmol\ glc$)])</f>
        <v>1290.5</v>
      </c>
      <c r="I2284" t="e">
        <f>LOG(Table1[[#This Row],[Flux in SC / glucose uptake ($mmol/mmol\ glc$)]])</f>
        <v>#NUM!</v>
      </c>
      <c r="J2284" t="e">
        <f>LOG(Table1[[#This Row],[Flux in RT / glucose uptake ($mmol/mmol\ glc$)]])</f>
        <v>#NUM!</v>
      </c>
    </row>
    <row r="2285" spans="1:10" x14ac:dyDescent="0.2">
      <c r="A2285" t="s">
        <v>2288</v>
      </c>
      <c r="B2285" t="s">
        <v>3150</v>
      </c>
      <c r="C2285">
        <v>0</v>
      </c>
      <c r="D2285">
        <v>0</v>
      </c>
      <c r="E2285">
        <f>ABS(Table1[[#This Row],[Flux in SC / glucose uptake ($mmol/mmol\ glc$)]]-Table1[[#This Row],[Flux in RT / glucose uptake ($mmol/mmol\ glc$)]])/SQRT(2)</f>
        <v>0</v>
      </c>
      <c r="F2285">
        <f>Table1[[#This Row],[distance from 45-degree line]]/MAX(Table1[[Flux in SC / glucose uptake ($mmol/mmol\ glc$)]:[Flux in RT / glucose uptake ($mmol/mmol\ glc$)]])</f>
        <v>0</v>
      </c>
      <c r="G2285">
        <f>_xlfn.RANK.AVG(Table1[[#This Row],[Flux in SC / glucose uptake ($mmol/mmol\ glc$)]],Table1[Flux in SC / glucose uptake ($mmol/mmol\ glc$)])</f>
        <v>1310.5</v>
      </c>
      <c r="H2285">
        <f>_xlfn.RANK.AVG(Table1[[#This Row],[Flux in RT / glucose uptake ($mmol/mmol\ glc$)]],Table1[Flux in RT / glucose uptake ($mmol/mmol\ glc$)])</f>
        <v>1290.5</v>
      </c>
      <c r="I2285" t="e">
        <f>LOG(Table1[[#This Row],[Flux in SC / glucose uptake ($mmol/mmol\ glc$)]])</f>
        <v>#NUM!</v>
      </c>
      <c r="J2285" t="e">
        <f>LOG(Table1[[#This Row],[Flux in RT / glucose uptake ($mmol/mmol\ glc$)]])</f>
        <v>#NUM!</v>
      </c>
    </row>
    <row r="2286" spans="1:10" x14ac:dyDescent="0.2">
      <c r="A2286" t="s">
        <v>2289</v>
      </c>
      <c r="B2286" t="s">
        <v>3114</v>
      </c>
      <c r="C2286">
        <v>0</v>
      </c>
      <c r="D2286">
        <v>0</v>
      </c>
      <c r="E2286">
        <f>ABS(Table1[[#This Row],[Flux in SC / glucose uptake ($mmol/mmol\ glc$)]]-Table1[[#This Row],[Flux in RT / glucose uptake ($mmol/mmol\ glc$)]])/SQRT(2)</f>
        <v>0</v>
      </c>
      <c r="F2286">
        <f>Table1[[#This Row],[distance from 45-degree line]]/MAX(Table1[[Flux in SC / glucose uptake ($mmol/mmol\ glc$)]:[Flux in RT / glucose uptake ($mmol/mmol\ glc$)]])</f>
        <v>0</v>
      </c>
      <c r="G2286">
        <f>_xlfn.RANK.AVG(Table1[[#This Row],[Flux in SC / glucose uptake ($mmol/mmol\ glc$)]],Table1[Flux in SC / glucose uptake ($mmol/mmol\ glc$)])</f>
        <v>1310.5</v>
      </c>
      <c r="H2286">
        <f>_xlfn.RANK.AVG(Table1[[#This Row],[Flux in RT / glucose uptake ($mmol/mmol\ glc$)]],Table1[Flux in RT / glucose uptake ($mmol/mmol\ glc$)])</f>
        <v>1290.5</v>
      </c>
      <c r="I2286" t="e">
        <f>LOG(Table1[[#This Row],[Flux in SC / glucose uptake ($mmol/mmol\ glc$)]])</f>
        <v>#NUM!</v>
      </c>
      <c r="J2286" t="e">
        <f>LOG(Table1[[#This Row],[Flux in RT / glucose uptake ($mmol/mmol\ glc$)]])</f>
        <v>#NUM!</v>
      </c>
    </row>
    <row r="2287" spans="1:10" x14ac:dyDescent="0.2">
      <c r="A2287" t="s">
        <v>2290</v>
      </c>
      <c r="B2287" t="s">
        <v>3150</v>
      </c>
      <c r="C2287">
        <v>0</v>
      </c>
      <c r="D2287">
        <v>0</v>
      </c>
      <c r="E2287">
        <f>ABS(Table1[[#This Row],[Flux in SC / glucose uptake ($mmol/mmol\ glc$)]]-Table1[[#This Row],[Flux in RT / glucose uptake ($mmol/mmol\ glc$)]])/SQRT(2)</f>
        <v>0</v>
      </c>
      <c r="F2287">
        <f>Table1[[#This Row],[distance from 45-degree line]]/MAX(Table1[[Flux in SC / glucose uptake ($mmol/mmol\ glc$)]:[Flux in RT / glucose uptake ($mmol/mmol\ glc$)]])</f>
        <v>0</v>
      </c>
      <c r="G2287">
        <f>_xlfn.RANK.AVG(Table1[[#This Row],[Flux in SC / glucose uptake ($mmol/mmol\ glc$)]],Table1[Flux in SC / glucose uptake ($mmol/mmol\ glc$)])</f>
        <v>1310.5</v>
      </c>
      <c r="H2287">
        <f>_xlfn.RANK.AVG(Table1[[#This Row],[Flux in RT / glucose uptake ($mmol/mmol\ glc$)]],Table1[Flux in RT / glucose uptake ($mmol/mmol\ glc$)])</f>
        <v>1290.5</v>
      </c>
      <c r="I2287" t="e">
        <f>LOG(Table1[[#This Row],[Flux in SC / glucose uptake ($mmol/mmol\ glc$)]])</f>
        <v>#NUM!</v>
      </c>
      <c r="J2287" t="e">
        <f>LOG(Table1[[#This Row],[Flux in RT / glucose uptake ($mmol/mmol\ glc$)]])</f>
        <v>#NUM!</v>
      </c>
    </row>
    <row r="2288" spans="1:10" x14ac:dyDescent="0.2">
      <c r="A2288" t="s">
        <v>2291</v>
      </c>
      <c r="B2288" t="s">
        <v>3114</v>
      </c>
      <c r="C2288">
        <v>0</v>
      </c>
      <c r="D2288">
        <v>0</v>
      </c>
      <c r="E2288">
        <f>ABS(Table1[[#This Row],[Flux in SC / glucose uptake ($mmol/mmol\ glc$)]]-Table1[[#This Row],[Flux in RT / glucose uptake ($mmol/mmol\ glc$)]])/SQRT(2)</f>
        <v>0</v>
      </c>
      <c r="F2288">
        <f>Table1[[#This Row],[distance from 45-degree line]]/MAX(Table1[[Flux in SC / glucose uptake ($mmol/mmol\ glc$)]:[Flux in RT / glucose uptake ($mmol/mmol\ glc$)]])</f>
        <v>0</v>
      </c>
      <c r="G2288">
        <f>_xlfn.RANK.AVG(Table1[[#This Row],[Flux in SC / glucose uptake ($mmol/mmol\ glc$)]],Table1[Flux in SC / glucose uptake ($mmol/mmol\ glc$)])</f>
        <v>1310.5</v>
      </c>
      <c r="H2288">
        <f>_xlfn.RANK.AVG(Table1[[#This Row],[Flux in RT / glucose uptake ($mmol/mmol\ glc$)]],Table1[Flux in RT / glucose uptake ($mmol/mmol\ glc$)])</f>
        <v>1290.5</v>
      </c>
      <c r="I2288" t="e">
        <f>LOG(Table1[[#This Row],[Flux in SC / glucose uptake ($mmol/mmol\ glc$)]])</f>
        <v>#NUM!</v>
      </c>
      <c r="J2288" t="e">
        <f>LOG(Table1[[#This Row],[Flux in RT / glucose uptake ($mmol/mmol\ glc$)]])</f>
        <v>#NUM!</v>
      </c>
    </row>
    <row r="2289" spans="1:10" x14ac:dyDescent="0.2">
      <c r="A2289" t="s">
        <v>2292</v>
      </c>
      <c r="B2289" t="s">
        <v>3212</v>
      </c>
      <c r="C2289">
        <v>0</v>
      </c>
      <c r="D2289">
        <v>0</v>
      </c>
      <c r="E2289">
        <f>ABS(Table1[[#This Row],[Flux in SC / glucose uptake ($mmol/mmol\ glc$)]]-Table1[[#This Row],[Flux in RT / glucose uptake ($mmol/mmol\ glc$)]])/SQRT(2)</f>
        <v>0</v>
      </c>
      <c r="F2289">
        <f>Table1[[#This Row],[distance from 45-degree line]]/MAX(Table1[[Flux in SC / glucose uptake ($mmol/mmol\ glc$)]:[Flux in RT / glucose uptake ($mmol/mmol\ glc$)]])</f>
        <v>0</v>
      </c>
      <c r="G2289">
        <f>_xlfn.RANK.AVG(Table1[[#This Row],[Flux in SC / glucose uptake ($mmol/mmol\ glc$)]],Table1[Flux in SC / glucose uptake ($mmol/mmol\ glc$)])</f>
        <v>1310.5</v>
      </c>
      <c r="H2289">
        <f>_xlfn.RANK.AVG(Table1[[#This Row],[Flux in RT / glucose uptake ($mmol/mmol\ glc$)]],Table1[Flux in RT / glucose uptake ($mmol/mmol\ glc$)])</f>
        <v>1290.5</v>
      </c>
      <c r="I2289" t="e">
        <f>LOG(Table1[[#This Row],[Flux in SC / glucose uptake ($mmol/mmol\ glc$)]])</f>
        <v>#NUM!</v>
      </c>
      <c r="J2289" t="e">
        <f>LOG(Table1[[#This Row],[Flux in RT / glucose uptake ($mmol/mmol\ glc$)]])</f>
        <v>#NUM!</v>
      </c>
    </row>
    <row r="2290" spans="1:10" x14ac:dyDescent="0.2">
      <c r="A2290" t="s">
        <v>2293</v>
      </c>
      <c r="B2290" t="s">
        <v>3118</v>
      </c>
      <c r="C2290">
        <v>0</v>
      </c>
      <c r="D2290">
        <v>0</v>
      </c>
      <c r="E2290">
        <f>ABS(Table1[[#This Row],[Flux in SC / glucose uptake ($mmol/mmol\ glc$)]]-Table1[[#This Row],[Flux in RT / glucose uptake ($mmol/mmol\ glc$)]])/SQRT(2)</f>
        <v>0</v>
      </c>
      <c r="F2290">
        <f>Table1[[#This Row],[distance from 45-degree line]]/MAX(Table1[[Flux in SC / glucose uptake ($mmol/mmol\ glc$)]:[Flux in RT / glucose uptake ($mmol/mmol\ glc$)]])</f>
        <v>0</v>
      </c>
      <c r="G2290">
        <f>_xlfn.RANK.AVG(Table1[[#This Row],[Flux in SC / glucose uptake ($mmol/mmol\ glc$)]],Table1[Flux in SC / glucose uptake ($mmol/mmol\ glc$)])</f>
        <v>1310.5</v>
      </c>
      <c r="H2290">
        <f>_xlfn.RANK.AVG(Table1[[#This Row],[Flux in RT / glucose uptake ($mmol/mmol\ glc$)]],Table1[Flux in RT / glucose uptake ($mmol/mmol\ glc$)])</f>
        <v>1290.5</v>
      </c>
      <c r="I2290" t="e">
        <f>LOG(Table1[[#This Row],[Flux in SC / glucose uptake ($mmol/mmol\ glc$)]])</f>
        <v>#NUM!</v>
      </c>
      <c r="J2290" t="e">
        <f>LOG(Table1[[#This Row],[Flux in RT / glucose uptake ($mmol/mmol\ glc$)]])</f>
        <v>#NUM!</v>
      </c>
    </row>
    <row r="2291" spans="1:10" x14ac:dyDescent="0.2">
      <c r="A2291" t="s">
        <v>2294</v>
      </c>
      <c r="B2291" t="s">
        <v>3118</v>
      </c>
      <c r="C2291">
        <v>0</v>
      </c>
      <c r="D2291">
        <v>0</v>
      </c>
      <c r="E2291">
        <f>ABS(Table1[[#This Row],[Flux in SC / glucose uptake ($mmol/mmol\ glc$)]]-Table1[[#This Row],[Flux in RT / glucose uptake ($mmol/mmol\ glc$)]])/SQRT(2)</f>
        <v>0</v>
      </c>
      <c r="F2291">
        <f>Table1[[#This Row],[distance from 45-degree line]]/MAX(Table1[[Flux in SC / glucose uptake ($mmol/mmol\ glc$)]:[Flux in RT / glucose uptake ($mmol/mmol\ glc$)]])</f>
        <v>0</v>
      </c>
      <c r="G2291">
        <f>_xlfn.RANK.AVG(Table1[[#This Row],[Flux in SC / glucose uptake ($mmol/mmol\ glc$)]],Table1[Flux in SC / glucose uptake ($mmol/mmol\ glc$)])</f>
        <v>1310.5</v>
      </c>
      <c r="H2291">
        <f>_xlfn.RANK.AVG(Table1[[#This Row],[Flux in RT / glucose uptake ($mmol/mmol\ glc$)]],Table1[Flux in RT / glucose uptake ($mmol/mmol\ glc$)])</f>
        <v>1290.5</v>
      </c>
      <c r="I2291" t="e">
        <f>LOG(Table1[[#This Row],[Flux in SC / glucose uptake ($mmol/mmol\ glc$)]])</f>
        <v>#NUM!</v>
      </c>
      <c r="J2291" t="e">
        <f>LOG(Table1[[#This Row],[Flux in RT / glucose uptake ($mmol/mmol\ glc$)]])</f>
        <v>#NUM!</v>
      </c>
    </row>
    <row r="2292" spans="1:10" x14ac:dyDescent="0.2">
      <c r="A2292" t="s">
        <v>2295</v>
      </c>
      <c r="B2292" t="s">
        <v>3155</v>
      </c>
      <c r="C2292">
        <v>0</v>
      </c>
      <c r="D2292">
        <v>0</v>
      </c>
      <c r="E2292">
        <f>ABS(Table1[[#This Row],[Flux in SC / glucose uptake ($mmol/mmol\ glc$)]]-Table1[[#This Row],[Flux in RT / glucose uptake ($mmol/mmol\ glc$)]])/SQRT(2)</f>
        <v>0</v>
      </c>
      <c r="F2292">
        <f>Table1[[#This Row],[distance from 45-degree line]]/MAX(Table1[[Flux in SC / glucose uptake ($mmol/mmol\ glc$)]:[Flux in RT / glucose uptake ($mmol/mmol\ glc$)]])</f>
        <v>0</v>
      </c>
      <c r="G2292">
        <f>_xlfn.RANK.AVG(Table1[[#This Row],[Flux in SC / glucose uptake ($mmol/mmol\ glc$)]],Table1[Flux in SC / glucose uptake ($mmol/mmol\ glc$)])</f>
        <v>1310.5</v>
      </c>
      <c r="H2292">
        <f>_xlfn.RANK.AVG(Table1[[#This Row],[Flux in RT / glucose uptake ($mmol/mmol\ glc$)]],Table1[Flux in RT / glucose uptake ($mmol/mmol\ glc$)])</f>
        <v>1290.5</v>
      </c>
      <c r="I2292" t="e">
        <f>LOG(Table1[[#This Row],[Flux in SC / glucose uptake ($mmol/mmol\ glc$)]])</f>
        <v>#NUM!</v>
      </c>
      <c r="J2292" t="e">
        <f>LOG(Table1[[#This Row],[Flux in RT / glucose uptake ($mmol/mmol\ glc$)]])</f>
        <v>#NUM!</v>
      </c>
    </row>
    <row r="2293" spans="1:10" x14ac:dyDescent="0.2">
      <c r="A2293" t="s">
        <v>2296</v>
      </c>
      <c r="B2293" t="s">
        <v>3118</v>
      </c>
      <c r="C2293">
        <v>0</v>
      </c>
      <c r="D2293">
        <v>0</v>
      </c>
      <c r="E2293">
        <f>ABS(Table1[[#This Row],[Flux in SC / glucose uptake ($mmol/mmol\ glc$)]]-Table1[[#This Row],[Flux in RT / glucose uptake ($mmol/mmol\ glc$)]])/SQRT(2)</f>
        <v>0</v>
      </c>
      <c r="F2293">
        <f>Table1[[#This Row],[distance from 45-degree line]]/MAX(Table1[[Flux in SC / glucose uptake ($mmol/mmol\ glc$)]:[Flux in RT / glucose uptake ($mmol/mmol\ glc$)]])</f>
        <v>0</v>
      </c>
      <c r="G2293">
        <f>_xlfn.RANK.AVG(Table1[[#This Row],[Flux in SC / glucose uptake ($mmol/mmol\ glc$)]],Table1[Flux in SC / glucose uptake ($mmol/mmol\ glc$)])</f>
        <v>1310.5</v>
      </c>
      <c r="H2293">
        <f>_xlfn.RANK.AVG(Table1[[#This Row],[Flux in RT / glucose uptake ($mmol/mmol\ glc$)]],Table1[Flux in RT / glucose uptake ($mmol/mmol\ glc$)])</f>
        <v>1290.5</v>
      </c>
      <c r="I2293" t="e">
        <f>LOG(Table1[[#This Row],[Flux in SC / glucose uptake ($mmol/mmol\ glc$)]])</f>
        <v>#NUM!</v>
      </c>
      <c r="J2293" t="e">
        <f>LOG(Table1[[#This Row],[Flux in RT / glucose uptake ($mmol/mmol\ glc$)]])</f>
        <v>#NUM!</v>
      </c>
    </row>
    <row r="2294" spans="1:10" x14ac:dyDescent="0.2">
      <c r="A2294" t="s">
        <v>2297</v>
      </c>
      <c r="B2294" t="s">
        <v>3114</v>
      </c>
      <c r="C2294">
        <v>0</v>
      </c>
      <c r="D2294">
        <v>0</v>
      </c>
      <c r="E2294">
        <f>ABS(Table1[[#This Row],[Flux in SC / glucose uptake ($mmol/mmol\ glc$)]]-Table1[[#This Row],[Flux in RT / glucose uptake ($mmol/mmol\ glc$)]])/SQRT(2)</f>
        <v>0</v>
      </c>
      <c r="F2294">
        <f>Table1[[#This Row],[distance from 45-degree line]]/MAX(Table1[[Flux in SC / glucose uptake ($mmol/mmol\ glc$)]:[Flux in RT / glucose uptake ($mmol/mmol\ glc$)]])</f>
        <v>0</v>
      </c>
      <c r="G2294">
        <f>_xlfn.RANK.AVG(Table1[[#This Row],[Flux in SC / glucose uptake ($mmol/mmol\ glc$)]],Table1[Flux in SC / glucose uptake ($mmol/mmol\ glc$)])</f>
        <v>1310.5</v>
      </c>
      <c r="H2294">
        <f>_xlfn.RANK.AVG(Table1[[#This Row],[Flux in RT / glucose uptake ($mmol/mmol\ glc$)]],Table1[Flux in RT / glucose uptake ($mmol/mmol\ glc$)])</f>
        <v>1290.5</v>
      </c>
      <c r="I2294" t="e">
        <f>LOG(Table1[[#This Row],[Flux in SC / glucose uptake ($mmol/mmol\ glc$)]])</f>
        <v>#NUM!</v>
      </c>
      <c r="J2294" t="e">
        <f>LOG(Table1[[#This Row],[Flux in RT / glucose uptake ($mmol/mmol\ glc$)]])</f>
        <v>#NUM!</v>
      </c>
    </row>
    <row r="2295" spans="1:10" x14ac:dyDescent="0.2">
      <c r="A2295" t="s">
        <v>2298</v>
      </c>
      <c r="B2295" t="s">
        <v>3118</v>
      </c>
      <c r="C2295">
        <v>0</v>
      </c>
      <c r="D2295">
        <v>0</v>
      </c>
      <c r="E2295">
        <f>ABS(Table1[[#This Row],[Flux in SC / glucose uptake ($mmol/mmol\ glc$)]]-Table1[[#This Row],[Flux in RT / glucose uptake ($mmol/mmol\ glc$)]])/SQRT(2)</f>
        <v>0</v>
      </c>
      <c r="F2295">
        <f>Table1[[#This Row],[distance from 45-degree line]]/MAX(Table1[[Flux in SC / glucose uptake ($mmol/mmol\ glc$)]:[Flux in RT / glucose uptake ($mmol/mmol\ glc$)]])</f>
        <v>0</v>
      </c>
      <c r="G2295">
        <f>_xlfn.RANK.AVG(Table1[[#This Row],[Flux in SC / glucose uptake ($mmol/mmol\ glc$)]],Table1[Flux in SC / glucose uptake ($mmol/mmol\ glc$)])</f>
        <v>1310.5</v>
      </c>
      <c r="H2295">
        <f>_xlfn.RANK.AVG(Table1[[#This Row],[Flux in RT / glucose uptake ($mmol/mmol\ glc$)]],Table1[Flux in RT / glucose uptake ($mmol/mmol\ glc$)])</f>
        <v>1290.5</v>
      </c>
      <c r="I2295" t="e">
        <f>LOG(Table1[[#This Row],[Flux in SC / glucose uptake ($mmol/mmol\ glc$)]])</f>
        <v>#NUM!</v>
      </c>
      <c r="J2295" t="e">
        <f>LOG(Table1[[#This Row],[Flux in RT / glucose uptake ($mmol/mmol\ glc$)]])</f>
        <v>#NUM!</v>
      </c>
    </row>
    <row r="2296" spans="1:10" x14ac:dyDescent="0.2">
      <c r="A2296" t="s">
        <v>2299</v>
      </c>
      <c r="B2296" t="s">
        <v>3114</v>
      </c>
      <c r="C2296">
        <v>0</v>
      </c>
      <c r="D2296">
        <v>0</v>
      </c>
      <c r="E2296">
        <f>ABS(Table1[[#This Row],[Flux in SC / glucose uptake ($mmol/mmol\ glc$)]]-Table1[[#This Row],[Flux in RT / glucose uptake ($mmol/mmol\ glc$)]])/SQRT(2)</f>
        <v>0</v>
      </c>
      <c r="F2296">
        <f>Table1[[#This Row],[distance from 45-degree line]]/MAX(Table1[[Flux in SC / glucose uptake ($mmol/mmol\ glc$)]:[Flux in RT / glucose uptake ($mmol/mmol\ glc$)]])</f>
        <v>0</v>
      </c>
      <c r="G2296">
        <f>_xlfn.RANK.AVG(Table1[[#This Row],[Flux in SC / glucose uptake ($mmol/mmol\ glc$)]],Table1[Flux in SC / glucose uptake ($mmol/mmol\ glc$)])</f>
        <v>1310.5</v>
      </c>
      <c r="H2296">
        <f>_xlfn.RANK.AVG(Table1[[#This Row],[Flux in RT / glucose uptake ($mmol/mmol\ glc$)]],Table1[Flux in RT / glucose uptake ($mmol/mmol\ glc$)])</f>
        <v>1290.5</v>
      </c>
      <c r="I2296" t="e">
        <f>LOG(Table1[[#This Row],[Flux in SC / glucose uptake ($mmol/mmol\ glc$)]])</f>
        <v>#NUM!</v>
      </c>
      <c r="J2296" t="e">
        <f>LOG(Table1[[#This Row],[Flux in RT / glucose uptake ($mmol/mmol\ glc$)]])</f>
        <v>#NUM!</v>
      </c>
    </row>
    <row r="2297" spans="1:10" x14ac:dyDescent="0.2">
      <c r="A2297" t="s">
        <v>2300</v>
      </c>
      <c r="B2297" t="s">
        <v>3118</v>
      </c>
      <c r="C2297">
        <v>0</v>
      </c>
      <c r="D2297">
        <v>0</v>
      </c>
      <c r="E2297">
        <f>ABS(Table1[[#This Row],[Flux in SC / glucose uptake ($mmol/mmol\ glc$)]]-Table1[[#This Row],[Flux in RT / glucose uptake ($mmol/mmol\ glc$)]])/SQRT(2)</f>
        <v>0</v>
      </c>
      <c r="F2297">
        <f>Table1[[#This Row],[distance from 45-degree line]]/MAX(Table1[[Flux in SC / glucose uptake ($mmol/mmol\ glc$)]:[Flux in RT / glucose uptake ($mmol/mmol\ glc$)]])</f>
        <v>0</v>
      </c>
      <c r="G2297">
        <f>_xlfn.RANK.AVG(Table1[[#This Row],[Flux in SC / glucose uptake ($mmol/mmol\ glc$)]],Table1[Flux in SC / glucose uptake ($mmol/mmol\ glc$)])</f>
        <v>1310.5</v>
      </c>
      <c r="H2297">
        <f>_xlfn.RANK.AVG(Table1[[#This Row],[Flux in RT / glucose uptake ($mmol/mmol\ glc$)]],Table1[Flux in RT / glucose uptake ($mmol/mmol\ glc$)])</f>
        <v>1290.5</v>
      </c>
      <c r="I2297" t="e">
        <f>LOG(Table1[[#This Row],[Flux in SC / glucose uptake ($mmol/mmol\ glc$)]])</f>
        <v>#NUM!</v>
      </c>
      <c r="J2297" t="e">
        <f>LOG(Table1[[#This Row],[Flux in RT / glucose uptake ($mmol/mmol\ glc$)]])</f>
        <v>#NUM!</v>
      </c>
    </row>
    <row r="2298" spans="1:10" x14ac:dyDescent="0.2">
      <c r="A2298" t="s">
        <v>2301</v>
      </c>
      <c r="B2298" t="s">
        <v>3118</v>
      </c>
      <c r="C2298">
        <v>0</v>
      </c>
      <c r="D2298">
        <v>0</v>
      </c>
      <c r="E2298">
        <f>ABS(Table1[[#This Row],[Flux in SC / glucose uptake ($mmol/mmol\ glc$)]]-Table1[[#This Row],[Flux in RT / glucose uptake ($mmol/mmol\ glc$)]])/SQRT(2)</f>
        <v>0</v>
      </c>
      <c r="F2298">
        <f>Table1[[#This Row],[distance from 45-degree line]]/MAX(Table1[[Flux in SC / glucose uptake ($mmol/mmol\ glc$)]:[Flux in RT / glucose uptake ($mmol/mmol\ glc$)]])</f>
        <v>0</v>
      </c>
      <c r="G2298">
        <f>_xlfn.RANK.AVG(Table1[[#This Row],[Flux in SC / glucose uptake ($mmol/mmol\ glc$)]],Table1[Flux in SC / glucose uptake ($mmol/mmol\ glc$)])</f>
        <v>1310.5</v>
      </c>
      <c r="H2298">
        <f>_xlfn.RANK.AVG(Table1[[#This Row],[Flux in RT / glucose uptake ($mmol/mmol\ glc$)]],Table1[Flux in RT / glucose uptake ($mmol/mmol\ glc$)])</f>
        <v>1290.5</v>
      </c>
      <c r="I2298" t="e">
        <f>LOG(Table1[[#This Row],[Flux in SC / glucose uptake ($mmol/mmol\ glc$)]])</f>
        <v>#NUM!</v>
      </c>
      <c r="J2298" t="e">
        <f>LOG(Table1[[#This Row],[Flux in RT / glucose uptake ($mmol/mmol\ glc$)]])</f>
        <v>#NUM!</v>
      </c>
    </row>
    <row r="2299" spans="1:10" x14ac:dyDescent="0.2">
      <c r="A2299" t="s">
        <v>2302</v>
      </c>
      <c r="B2299" t="s">
        <v>3162</v>
      </c>
      <c r="C2299">
        <v>0</v>
      </c>
      <c r="D2299">
        <v>0</v>
      </c>
      <c r="E2299">
        <f>ABS(Table1[[#This Row],[Flux in SC / glucose uptake ($mmol/mmol\ glc$)]]-Table1[[#This Row],[Flux in RT / glucose uptake ($mmol/mmol\ glc$)]])/SQRT(2)</f>
        <v>0</v>
      </c>
      <c r="F2299">
        <f>Table1[[#This Row],[distance from 45-degree line]]/MAX(Table1[[Flux in SC / glucose uptake ($mmol/mmol\ glc$)]:[Flux in RT / glucose uptake ($mmol/mmol\ glc$)]])</f>
        <v>0</v>
      </c>
      <c r="G2299">
        <f>_xlfn.RANK.AVG(Table1[[#This Row],[Flux in SC / glucose uptake ($mmol/mmol\ glc$)]],Table1[Flux in SC / glucose uptake ($mmol/mmol\ glc$)])</f>
        <v>1310.5</v>
      </c>
      <c r="H2299">
        <f>_xlfn.RANK.AVG(Table1[[#This Row],[Flux in RT / glucose uptake ($mmol/mmol\ glc$)]],Table1[Flux in RT / glucose uptake ($mmol/mmol\ glc$)])</f>
        <v>1290.5</v>
      </c>
      <c r="I2299" t="e">
        <f>LOG(Table1[[#This Row],[Flux in SC / glucose uptake ($mmol/mmol\ glc$)]])</f>
        <v>#NUM!</v>
      </c>
      <c r="J2299" t="e">
        <f>LOG(Table1[[#This Row],[Flux in RT / glucose uptake ($mmol/mmol\ glc$)]])</f>
        <v>#NUM!</v>
      </c>
    </row>
    <row r="2300" spans="1:10" x14ac:dyDescent="0.2">
      <c r="A2300" t="s">
        <v>2303</v>
      </c>
      <c r="B2300" t="s">
        <v>3168</v>
      </c>
      <c r="C2300">
        <v>0</v>
      </c>
      <c r="D2300">
        <v>0</v>
      </c>
      <c r="E2300">
        <f>ABS(Table1[[#This Row],[Flux in SC / glucose uptake ($mmol/mmol\ glc$)]]-Table1[[#This Row],[Flux in RT / glucose uptake ($mmol/mmol\ glc$)]])/SQRT(2)</f>
        <v>0</v>
      </c>
      <c r="F2300">
        <f>Table1[[#This Row],[distance from 45-degree line]]/MAX(Table1[[Flux in SC / glucose uptake ($mmol/mmol\ glc$)]:[Flux in RT / glucose uptake ($mmol/mmol\ glc$)]])</f>
        <v>0</v>
      </c>
      <c r="G2300">
        <f>_xlfn.RANK.AVG(Table1[[#This Row],[Flux in SC / glucose uptake ($mmol/mmol\ glc$)]],Table1[Flux in SC / glucose uptake ($mmol/mmol\ glc$)])</f>
        <v>1310.5</v>
      </c>
      <c r="H2300">
        <f>_xlfn.RANK.AVG(Table1[[#This Row],[Flux in RT / glucose uptake ($mmol/mmol\ glc$)]],Table1[Flux in RT / glucose uptake ($mmol/mmol\ glc$)])</f>
        <v>1290.5</v>
      </c>
      <c r="I2300" t="e">
        <f>LOG(Table1[[#This Row],[Flux in SC / glucose uptake ($mmol/mmol\ glc$)]])</f>
        <v>#NUM!</v>
      </c>
      <c r="J2300" t="e">
        <f>LOG(Table1[[#This Row],[Flux in RT / glucose uptake ($mmol/mmol\ glc$)]])</f>
        <v>#NUM!</v>
      </c>
    </row>
    <row r="2301" spans="1:10" x14ac:dyDescent="0.2">
      <c r="A2301" t="s">
        <v>2304</v>
      </c>
      <c r="B2301" t="s">
        <v>3168</v>
      </c>
      <c r="C2301">
        <v>0</v>
      </c>
      <c r="D2301">
        <v>0</v>
      </c>
      <c r="E2301">
        <f>ABS(Table1[[#This Row],[Flux in SC / glucose uptake ($mmol/mmol\ glc$)]]-Table1[[#This Row],[Flux in RT / glucose uptake ($mmol/mmol\ glc$)]])/SQRT(2)</f>
        <v>0</v>
      </c>
      <c r="F2301">
        <f>Table1[[#This Row],[distance from 45-degree line]]/MAX(Table1[[Flux in SC / glucose uptake ($mmol/mmol\ glc$)]:[Flux in RT / glucose uptake ($mmol/mmol\ glc$)]])</f>
        <v>0</v>
      </c>
      <c r="G2301">
        <f>_xlfn.RANK.AVG(Table1[[#This Row],[Flux in SC / glucose uptake ($mmol/mmol\ glc$)]],Table1[Flux in SC / glucose uptake ($mmol/mmol\ glc$)])</f>
        <v>1310.5</v>
      </c>
      <c r="H2301">
        <f>_xlfn.RANK.AVG(Table1[[#This Row],[Flux in RT / glucose uptake ($mmol/mmol\ glc$)]],Table1[Flux in RT / glucose uptake ($mmol/mmol\ glc$)])</f>
        <v>1290.5</v>
      </c>
      <c r="I2301" t="e">
        <f>LOG(Table1[[#This Row],[Flux in SC / glucose uptake ($mmol/mmol\ glc$)]])</f>
        <v>#NUM!</v>
      </c>
      <c r="J2301" t="e">
        <f>LOG(Table1[[#This Row],[Flux in RT / glucose uptake ($mmol/mmol\ glc$)]])</f>
        <v>#NUM!</v>
      </c>
    </row>
    <row r="2302" spans="1:10" x14ac:dyDescent="0.2">
      <c r="A2302" t="s">
        <v>2305</v>
      </c>
      <c r="B2302" t="s">
        <v>3114</v>
      </c>
      <c r="C2302">
        <v>2.2252792093455449E-5</v>
      </c>
      <c r="D2302">
        <v>1.1426908372586931E-4</v>
      </c>
      <c r="E2302">
        <f>ABS(Table1[[#This Row],[Flux in SC / glucose uptake ($mmol/mmol\ glc$)]]-Table1[[#This Row],[Flux in RT / glucose uptake ($mmol/mmol\ glc$)]])/SQRT(2)</f>
        <v>6.5065343792918804E-5</v>
      </c>
      <c r="F2302">
        <f>Table1[[#This Row],[distance from 45-degree line]]/MAX(Table1[[Flux in SC / glucose uptake ($mmol/mmol\ glc$)]:[Flux in RT / glucose uptake ($mmol/mmol\ glc$)]])</f>
        <v>3.5069477865907002E-6</v>
      </c>
      <c r="G2302">
        <f>_xlfn.RANK.AVG(Table1[[#This Row],[Flux in SC / glucose uptake ($mmol/mmol\ glc$)]],Table1[Flux in SC / glucose uptake ($mmol/mmol\ glc$)])</f>
        <v>279.5</v>
      </c>
      <c r="H2302">
        <f>_xlfn.RANK.AVG(Table1[[#This Row],[Flux in RT / glucose uptake ($mmol/mmol\ glc$)]],Table1[Flux in RT / glucose uptake ($mmol/mmol\ glc$)])</f>
        <v>275.5</v>
      </c>
      <c r="I2302">
        <f>LOG(Table1[[#This Row],[Flux in SC / glucose uptake ($mmol/mmol\ glc$)]])</f>
        <v>-4.6526154896401453</v>
      </c>
      <c r="J2302">
        <f>LOG(Table1[[#This Row],[Flux in RT / glucose uptake ($mmol/mmol\ glc$)]])</f>
        <v>-3.9420712550241719</v>
      </c>
    </row>
    <row r="2303" spans="1:10" x14ac:dyDescent="0.2">
      <c r="A2303" t="s">
        <v>2306</v>
      </c>
      <c r="B2303" t="s">
        <v>3114</v>
      </c>
      <c r="C2303">
        <v>0</v>
      </c>
      <c r="D2303">
        <v>0</v>
      </c>
      <c r="E2303">
        <f>ABS(Table1[[#This Row],[Flux in SC / glucose uptake ($mmol/mmol\ glc$)]]-Table1[[#This Row],[Flux in RT / glucose uptake ($mmol/mmol\ glc$)]])/SQRT(2)</f>
        <v>0</v>
      </c>
      <c r="F2303">
        <f>Table1[[#This Row],[distance from 45-degree line]]/MAX(Table1[[Flux in SC / glucose uptake ($mmol/mmol\ glc$)]:[Flux in RT / glucose uptake ($mmol/mmol\ glc$)]])</f>
        <v>0</v>
      </c>
      <c r="G2303">
        <f>_xlfn.RANK.AVG(Table1[[#This Row],[Flux in SC / glucose uptake ($mmol/mmol\ glc$)]],Table1[Flux in SC / glucose uptake ($mmol/mmol\ glc$)])</f>
        <v>1310.5</v>
      </c>
      <c r="H2303">
        <f>_xlfn.RANK.AVG(Table1[[#This Row],[Flux in RT / glucose uptake ($mmol/mmol\ glc$)]],Table1[Flux in RT / glucose uptake ($mmol/mmol\ glc$)])</f>
        <v>1290.5</v>
      </c>
      <c r="I2303" t="e">
        <f>LOG(Table1[[#This Row],[Flux in SC / glucose uptake ($mmol/mmol\ glc$)]])</f>
        <v>#NUM!</v>
      </c>
      <c r="J2303" t="e">
        <f>LOG(Table1[[#This Row],[Flux in RT / glucose uptake ($mmol/mmol\ glc$)]])</f>
        <v>#NUM!</v>
      </c>
    </row>
    <row r="2304" spans="1:10" x14ac:dyDescent="0.2">
      <c r="A2304" t="s">
        <v>2307</v>
      </c>
      <c r="B2304" t="s">
        <v>3114</v>
      </c>
      <c r="C2304">
        <v>0</v>
      </c>
      <c r="D2304">
        <v>0</v>
      </c>
      <c r="E2304">
        <f>ABS(Table1[[#This Row],[Flux in SC / glucose uptake ($mmol/mmol\ glc$)]]-Table1[[#This Row],[Flux in RT / glucose uptake ($mmol/mmol\ glc$)]])/SQRT(2)</f>
        <v>0</v>
      </c>
      <c r="F2304">
        <f>Table1[[#This Row],[distance from 45-degree line]]/MAX(Table1[[Flux in SC / glucose uptake ($mmol/mmol\ glc$)]:[Flux in RT / glucose uptake ($mmol/mmol\ glc$)]])</f>
        <v>0</v>
      </c>
      <c r="G2304">
        <f>_xlfn.RANK.AVG(Table1[[#This Row],[Flux in SC / glucose uptake ($mmol/mmol\ glc$)]],Table1[Flux in SC / glucose uptake ($mmol/mmol\ glc$)])</f>
        <v>1310.5</v>
      </c>
      <c r="H2304">
        <f>_xlfn.RANK.AVG(Table1[[#This Row],[Flux in RT / glucose uptake ($mmol/mmol\ glc$)]],Table1[Flux in RT / glucose uptake ($mmol/mmol\ glc$)])</f>
        <v>1290.5</v>
      </c>
      <c r="I2304" t="e">
        <f>LOG(Table1[[#This Row],[Flux in SC / glucose uptake ($mmol/mmol\ glc$)]])</f>
        <v>#NUM!</v>
      </c>
      <c r="J2304" t="e">
        <f>LOG(Table1[[#This Row],[Flux in RT / glucose uptake ($mmol/mmol\ glc$)]])</f>
        <v>#NUM!</v>
      </c>
    </row>
    <row r="2305" spans="1:10" x14ac:dyDescent="0.2">
      <c r="A2305" t="s">
        <v>2308</v>
      </c>
      <c r="B2305" t="s">
        <v>3114</v>
      </c>
      <c r="C2305">
        <v>0</v>
      </c>
      <c r="D2305">
        <v>0</v>
      </c>
      <c r="E2305">
        <f>ABS(Table1[[#This Row],[Flux in SC / glucose uptake ($mmol/mmol\ glc$)]]-Table1[[#This Row],[Flux in RT / glucose uptake ($mmol/mmol\ glc$)]])/SQRT(2)</f>
        <v>0</v>
      </c>
      <c r="F2305">
        <f>Table1[[#This Row],[distance from 45-degree line]]/MAX(Table1[[Flux in SC / glucose uptake ($mmol/mmol\ glc$)]:[Flux in RT / glucose uptake ($mmol/mmol\ glc$)]])</f>
        <v>0</v>
      </c>
      <c r="G2305">
        <f>_xlfn.RANK.AVG(Table1[[#This Row],[Flux in SC / glucose uptake ($mmol/mmol\ glc$)]],Table1[Flux in SC / glucose uptake ($mmol/mmol\ glc$)])</f>
        <v>1310.5</v>
      </c>
      <c r="H2305">
        <f>_xlfn.RANK.AVG(Table1[[#This Row],[Flux in RT / glucose uptake ($mmol/mmol\ glc$)]],Table1[Flux in RT / glucose uptake ($mmol/mmol\ glc$)])</f>
        <v>1290.5</v>
      </c>
      <c r="I2305" t="e">
        <f>LOG(Table1[[#This Row],[Flux in SC / glucose uptake ($mmol/mmol\ glc$)]])</f>
        <v>#NUM!</v>
      </c>
      <c r="J2305" t="e">
        <f>LOG(Table1[[#This Row],[Flux in RT / glucose uptake ($mmol/mmol\ glc$)]])</f>
        <v>#NUM!</v>
      </c>
    </row>
    <row r="2306" spans="1:10" x14ac:dyDescent="0.2">
      <c r="A2306" t="s">
        <v>2309</v>
      </c>
      <c r="B2306" t="s">
        <v>3114</v>
      </c>
      <c r="C2306">
        <v>0</v>
      </c>
      <c r="D2306">
        <v>0</v>
      </c>
      <c r="E2306">
        <f>ABS(Table1[[#This Row],[Flux in SC / glucose uptake ($mmol/mmol\ glc$)]]-Table1[[#This Row],[Flux in RT / glucose uptake ($mmol/mmol\ glc$)]])/SQRT(2)</f>
        <v>0</v>
      </c>
      <c r="F2306">
        <f>Table1[[#This Row],[distance from 45-degree line]]/MAX(Table1[[Flux in SC / glucose uptake ($mmol/mmol\ glc$)]:[Flux in RT / glucose uptake ($mmol/mmol\ glc$)]])</f>
        <v>0</v>
      </c>
      <c r="G2306">
        <f>_xlfn.RANK.AVG(Table1[[#This Row],[Flux in SC / glucose uptake ($mmol/mmol\ glc$)]],Table1[Flux in SC / glucose uptake ($mmol/mmol\ glc$)])</f>
        <v>1310.5</v>
      </c>
      <c r="H2306">
        <f>_xlfn.RANK.AVG(Table1[[#This Row],[Flux in RT / glucose uptake ($mmol/mmol\ glc$)]],Table1[Flux in RT / glucose uptake ($mmol/mmol\ glc$)])</f>
        <v>1290.5</v>
      </c>
      <c r="I2306" t="e">
        <f>LOG(Table1[[#This Row],[Flux in SC / glucose uptake ($mmol/mmol\ glc$)]])</f>
        <v>#NUM!</v>
      </c>
      <c r="J2306" t="e">
        <f>LOG(Table1[[#This Row],[Flux in RT / glucose uptake ($mmol/mmol\ glc$)]])</f>
        <v>#NUM!</v>
      </c>
    </row>
    <row r="2307" spans="1:10" x14ac:dyDescent="0.2">
      <c r="A2307" t="s">
        <v>2310</v>
      </c>
      <c r="B2307" t="s">
        <v>3114</v>
      </c>
      <c r="C2307">
        <v>0</v>
      </c>
      <c r="D2307">
        <v>0</v>
      </c>
      <c r="E2307">
        <f>ABS(Table1[[#This Row],[Flux in SC / glucose uptake ($mmol/mmol\ glc$)]]-Table1[[#This Row],[Flux in RT / glucose uptake ($mmol/mmol\ glc$)]])/SQRT(2)</f>
        <v>0</v>
      </c>
      <c r="F2307">
        <f>Table1[[#This Row],[distance from 45-degree line]]/MAX(Table1[[Flux in SC / glucose uptake ($mmol/mmol\ glc$)]:[Flux in RT / glucose uptake ($mmol/mmol\ glc$)]])</f>
        <v>0</v>
      </c>
      <c r="G2307">
        <f>_xlfn.RANK.AVG(Table1[[#This Row],[Flux in SC / glucose uptake ($mmol/mmol\ glc$)]],Table1[Flux in SC / glucose uptake ($mmol/mmol\ glc$)])</f>
        <v>1310.5</v>
      </c>
      <c r="H2307">
        <f>_xlfn.RANK.AVG(Table1[[#This Row],[Flux in RT / glucose uptake ($mmol/mmol\ glc$)]],Table1[Flux in RT / glucose uptake ($mmol/mmol\ glc$)])</f>
        <v>1290.5</v>
      </c>
      <c r="I2307" t="e">
        <f>LOG(Table1[[#This Row],[Flux in SC / glucose uptake ($mmol/mmol\ glc$)]])</f>
        <v>#NUM!</v>
      </c>
      <c r="J2307" t="e">
        <f>LOG(Table1[[#This Row],[Flux in RT / glucose uptake ($mmol/mmol\ glc$)]])</f>
        <v>#NUM!</v>
      </c>
    </row>
    <row r="2308" spans="1:10" x14ac:dyDescent="0.2">
      <c r="A2308" t="s">
        <v>2311</v>
      </c>
      <c r="B2308" t="s">
        <v>3114</v>
      </c>
      <c r="C2308">
        <v>0</v>
      </c>
      <c r="D2308">
        <v>0</v>
      </c>
      <c r="E2308">
        <f>ABS(Table1[[#This Row],[Flux in SC / glucose uptake ($mmol/mmol\ glc$)]]-Table1[[#This Row],[Flux in RT / glucose uptake ($mmol/mmol\ glc$)]])/SQRT(2)</f>
        <v>0</v>
      </c>
      <c r="F2308">
        <f>Table1[[#This Row],[distance from 45-degree line]]/MAX(Table1[[Flux in SC / glucose uptake ($mmol/mmol\ glc$)]:[Flux in RT / glucose uptake ($mmol/mmol\ glc$)]])</f>
        <v>0</v>
      </c>
      <c r="G2308">
        <f>_xlfn.RANK.AVG(Table1[[#This Row],[Flux in SC / glucose uptake ($mmol/mmol\ glc$)]],Table1[Flux in SC / glucose uptake ($mmol/mmol\ glc$)])</f>
        <v>1310.5</v>
      </c>
      <c r="H2308">
        <f>_xlfn.RANK.AVG(Table1[[#This Row],[Flux in RT / glucose uptake ($mmol/mmol\ glc$)]],Table1[Flux in RT / glucose uptake ($mmol/mmol\ glc$)])</f>
        <v>1290.5</v>
      </c>
      <c r="I2308" t="e">
        <f>LOG(Table1[[#This Row],[Flux in SC / glucose uptake ($mmol/mmol\ glc$)]])</f>
        <v>#NUM!</v>
      </c>
      <c r="J2308" t="e">
        <f>LOG(Table1[[#This Row],[Flux in RT / glucose uptake ($mmol/mmol\ glc$)]])</f>
        <v>#NUM!</v>
      </c>
    </row>
    <row r="2309" spans="1:10" x14ac:dyDescent="0.2">
      <c r="A2309" t="s">
        <v>2312</v>
      </c>
      <c r="B2309" t="s">
        <v>3114</v>
      </c>
      <c r="C2309">
        <v>0</v>
      </c>
      <c r="D2309">
        <v>0</v>
      </c>
      <c r="E2309">
        <f>ABS(Table1[[#This Row],[Flux in SC / glucose uptake ($mmol/mmol\ glc$)]]-Table1[[#This Row],[Flux in RT / glucose uptake ($mmol/mmol\ glc$)]])/SQRT(2)</f>
        <v>0</v>
      </c>
      <c r="F2309">
        <f>Table1[[#This Row],[distance from 45-degree line]]/MAX(Table1[[Flux in SC / glucose uptake ($mmol/mmol\ glc$)]:[Flux in RT / glucose uptake ($mmol/mmol\ glc$)]])</f>
        <v>0</v>
      </c>
      <c r="G2309">
        <f>_xlfn.RANK.AVG(Table1[[#This Row],[Flux in SC / glucose uptake ($mmol/mmol\ glc$)]],Table1[Flux in SC / glucose uptake ($mmol/mmol\ glc$)])</f>
        <v>1310.5</v>
      </c>
      <c r="H2309">
        <f>_xlfn.RANK.AVG(Table1[[#This Row],[Flux in RT / glucose uptake ($mmol/mmol\ glc$)]],Table1[Flux in RT / glucose uptake ($mmol/mmol\ glc$)])</f>
        <v>1290.5</v>
      </c>
      <c r="I2309" t="e">
        <f>LOG(Table1[[#This Row],[Flux in SC / glucose uptake ($mmol/mmol\ glc$)]])</f>
        <v>#NUM!</v>
      </c>
      <c r="J2309" t="e">
        <f>LOG(Table1[[#This Row],[Flux in RT / glucose uptake ($mmol/mmol\ glc$)]])</f>
        <v>#NUM!</v>
      </c>
    </row>
  </sheetData>
  <phoneticPr fontId="2" type="noConversion"/>
  <pageMargins left="0.75" right="0.75" top="1" bottom="1" header="0.5" footer="0.5"/>
  <pageSetup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3"/>
  <sheetViews>
    <sheetView workbookViewId="0">
      <selection activeCell="D1" sqref="D1"/>
    </sheetView>
  </sheetViews>
  <sheetFormatPr baseColWidth="10" defaultColWidth="8.83203125" defaultRowHeight="15" x14ac:dyDescent="0.2"/>
  <cols>
    <col min="2" max="3" width="36.33203125" customWidth="1"/>
    <col min="4" max="4" width="12.6640625" bestFit="1" customWidth="1"/>
  </cols>
  <sheetData>
    <row r="1" spans="1:11" ht="96" x14ac:dyDescent="0.2">
      <c r="A1" s="2" t="s">
        <v>2</v>
      </c>
      <c r="B1" s="2" t="s">
        <v>2313</v>
      </c>
      <c r="C1" s="2" t="s">
        <v>2314</v>
      </c>
      <c r="D1" s="3" t="s">
        <v>3106</v>
      </c>
      <c r="E1" s="3" t="s">
        <v>3107</v>
      </c>
      <c r="F1" s="2" t="s">
        <v>3108</v>
      </c>
      <c r="G1" s="2" t="s">
        <v>3109</v>
      </c>
      <c r="H1" s="2" t="s">
        <v>3110</v>
      </c>
      <c r="I1" s="2" t="s">
        <v>3111</v>
      </c>
      <c r="K1">
        <f>CORREL(Table2[x rank],Table2[y rank])</f>
        <v>0.67920638709573411</v>
      </c>
    </row>
    <row r="2" spans="1:11" x14ac:dyDescent="0.2">
      <c r="A2" t="s">
        <v>2672</v>
      </c>
      <c r="B2">
        <v>2.9113682098585999E-2</v>
      </c>
      <c r="C2">
        <v>1.74E-4</v>
      </c>
      <c r="D2">
        <f t="shared" ref="D2:D65" si="0">ABS(B2-C2)/SQRT(2)</f>
        <v>2.0463445457293096E-2</v>
      </c>
      <c r="E2">
        <f>Table2[[#This Row],[distance from 45-degree line]]/MAX(Table2[[Abundance in SC (g protein/g all proteins)]:[Abundance in RT (g protein/g all proteins)]])</f>
        <v>0.70288070701599681</v>
      </c>
      <c r="F2">
        <f>_xlfn.RANK.AVG(Table2[[#This Row],[Abundance in SC (g protein/g all proteins)]],Table2[Abundance in SC (g protein/g all proteins)])</f>
        <v>1</v>
      </c>
      <c r="G2">
        <f>_xlfn.RANK.AVG(Table2[[#This Row],[Abundance in RT (g protein/g all proteins)]],Table2[Abundance in RT (g protein/g all proteins)])</f>
        <v>269</v>
      </c>
      <c r="H2">
        <f>LOG(Table2[[#This Row],[Abundance in SC (g protein/g all proteins)]])</f>
        <v>-1.5359028645037893</v>
      </c>
      <c r="I2">
        <f>LOG(Table2[[#This Row],[Abundance in RT (g protein/g all proteins)]])</f>
        <v>-3.7594507517174001</v>
      </c>
    </row>
    <row r="3" spans="1:11" x14ac:dyDescent="0.2">
      <c r="A3" t="s">
        <v>2636</v>
      </c>
      <c r="B3">
        <v>1.53849734932744E-2</v>
      </c>
      <c r="C3">
        <v>3.1099999999999999E-3</v>
      </c>
      <c r="D3">
        <f t="shared" si="0"/>
        <v>8.6797169959794522E-3</v>
      </c>
      <c r="E3">
        <f>Table2[[#This Row],[distance from 45-degree line]]/MAX(Table2[[Abundance in SC (g protein/g all proteins)]:[Abundance in RT (g protein/g all proteins)]])</f>
        <v>0.29813188749495245</v>
      </c>
      <c r="F3">
        <f>_xlfn.RANK.AVG(Table2[[#This Row],[Abundance in SC (g protein/g all proteins)]],Table2[Abundance in SC (g protein/g all proteins)])</f>
        <v>4</v>
      </c>
      <c r="G3">
        <f>_xlfn.RANK.AVG(Table2[[#This Row],[Abundance in RT (g protein/g all proteins)]],Table2[Abundance in RT (g protein/g all proteins)])</f>
        <v>21</v>
      </c>
      <c r="H3">
        <f>LOG(Table2[[#This Row],[Abundance in SC (g protein/g all proteins)]])</f>
        <v>-1.8129032476605642</v>
      </c>
      <c r="I3">
        <f>LOG(Table2[[#This Row],[Abundance in RT (g protein/g all proteins)]])</f>
        <v>-2.5072396109731625</v>
      </c>
    </row>
    <row r="4" spans="1:11" x14ac:dyDescent="0.2">
      <c r="A4" t="s">
        <v>2318</v>
      </c>
      <c r="B4">
        <v>1.6497109652314001E-2</v>
      </c>
      <c r="C4">
        <v>5.359E-3</v>
      </c>
      <c r="D4">
        <f t="shared" si="0"/>
        <v>7.875832864750569E-3</v>
      </c>
      <c r="E4">
        <f>Table2[[#This Row],[distance from 45-degree line]]/MAX(Table2[[Abundance in SC (g protein/g all proteins)]:[Abundance in RT (g protein/g all proteins)]])</f>
        <v>0.27051998569198793</v>
      </c>
      <c r="F4">
        <f>_xlfn.RANK.AVG(Table2[[#This Row],[Abundance in SC (g protein/g all proteins)]],Table2[Abundance in SC (g protein/g all proteins)])</f>
        <v>3</v>
      </c>
      <c r="G4">
        <f>_xlfn.RANK.AVG(Table2[[#This Row],[Abundance in RT (g protein/g all proteins)]],Table2[Abundance in RT (g protein/g all proteins)])</f>
        <v>11</v>
      </c>
      <c r="H4">
        <f>LOG(Table2[[#This Row],[Abundance in SC (g protein/g all proteins)]])</f>
        <v>-1.7825921389380575</v>
      </c>
      <c r="I4">
        <f>LOG(Table2[[#This Row],[Abundance in RT (g protein/g all proteins)]])</f>
        <v>-2.2709162429563881</v>
      </c>
    </row>
    <row r="5" spans="1:11" x14ac:dyDescent="0.2">
      <c r="A5" t="s">
        <v>2377</v>
      </c>
      <c r="B5">
        <v>1.3668072946997E-2</v>
      </c>
      <c r="C5">
        <v>2.748E-3</v>
      </c>
      <c r="D5">
        <f t="shared" si="0"/>
        <v>7.7216576318733443E-3</v>
      </c>
      <c r="E5">
        <f>Table2[[#This Row],[distance from 45-degree line]]/MAX(Table2[[Abundance in SC (g protein/g all proteins)]:[Abundance in RT (g protein/g all proteins)]])</f>
        <v>0.26522435759674562</v>
      </c>
      <c r="F5">
        <f>_xlfn.RANK.AVG(Table2[[#This Row],[Abundance in SC (g protein/g all proteins)]],Table2[Abundance in SC (g protein/g all proteins)])</f>
        <v>5</v>
      </c>
      <c r="G5">
        <f>_xlfn.RANK.AVG(Table2[[#This Row],[Abundance in RT (g protein/g all proteins)]],Table2[Abundance in RT (g protein/g all proteins)])</f>
        <v>24</v>
      </c>
      <c r="H5">
        <f>LOG(Table2[[#This Row],[Abundance in SC (g protein/g all proteins)]])</f>
        <v>-1.8642927120218167</v>
      </c>
      <c r="I5">
        <f>LOG(Table2[[#This Row],[Abundance in RT (g protein/g all proteins)]])</f>
        <v>-2.560983271612487</v>
      </c>
    </row>
    <row r="6" spans="1:11" x14ac:dyDescent="0.2">
      <c r="A6" t="s">
        <v>2770</v>
      </c>
      <c r="B6">
        <v>1.07071028328158E-2</v>
      </c>
      <c r="C6">
        <v>2.0000000000000001E-4</v>
      </c>
      <c r="D6">
        <f t="shared" si="0"/>
        <v>7.4296436637084351E-3</v>
      </c>
      <c r="E6">
        <f>Table2[[#This Row],[distance from 45-degree line]]/MAX(Table2[[Abundance in SC (g protein/g all proteins)]:[Abundance in RT (g protein/g all proteins)]])</f>
        <v>0.25519422924760454</v>
      </c>
      <c r="F6">
        <f>_xlfn.RANK.AVG(Table2[[#This Row],[Abundance in SC (g protein/g all proteins)]],Table2[Abundance in SC (g protein/g all proteins)])</f>
        <v>7</v>
      </c>
      <c r="G6">
        <f>_xlfn.RANK.AVG(Table2[[#This Row],[Abundance in RT (g protein/g all proteins)]],Table2[Abundance in RT (g protein/g all proteins)])</f>
        <v>249</v>
      </c>
      <c r="H6">
        <f>LOG(Table2[[#This Row],[Abundance in SC (g protein/g all proteins)]])</f>
        <v>-1.9703280262674248</v>
      </c>
      <c r="I6">
        <f>LOG(Table2[[#This Row],[Abundance in RT (g protein/g all proteins)]])</f>
        <v>-3.6989700043360187</v>
      </c>
    </row>
    <row r="7" spans="1:11" x14ac:dyDescent="0.2">
      <c r="A7" t="s">
        <v>2690</v>
      </c>
      <c r="B7">
        <v>9.1277196866582002E-3</v>
      </c>
      <c r="C7">
        <v>7.2200000000000003E-6</v>
      </c>
      <c r="D7">
        <f t="shared" si="0"/>
        <v>6.4491671762457944E-3</v>
      </c>
      <c r="E7">
        <f>Table2[[#This Row],[distance from 45-degree line]]/MAX(Table2[[Abundance in SC (g protein/g all proteins)]:[Abundance in RT (g protein/g all proteins)]])</f>
        <v>0.22151671349598956</v>
      </c>
      <c r="F7">
        <f>_xlfn.RANK.AVG(Table2[[#This Row],[Abundance in SC (g protein/g all proteins)]],Table2[Abundance in SC (g protein/g all proteins)])</f>
        <v>8</v>
      </c>
      <c r="G7">
        <f>_xlfn.RANK.AVG(Table2[[#This Row],[Abundance in RT (g protein/g all proteins)]],Table2[Abundance in RT (g protein/g all proteins)])</f>
        <v>539</v>
      </c>
      <c r="H7">
        <f>LOG(Table2[[#This Row],[Abundance in SC (g protein/g all proteins)]])</f>
        <v>-2.0396377056195121</v>
      </c>
      <c r="I7">
        <f>LOG(Table2[[#This Row],[Abundance in RT (g protein/g all proteins)]])</f>
        <v>-5.141462802430361</v>
      </c>
    </row>
    <row r="8" spans="1:11" x14ac:dyDescent="0.2">
      <c r="A8" t="s">
        <v>2325</v>
      </c>
      <c r="B8">
        <v>2.4457745307866E-3</v>
      </c>
      <c r="C8">
        <v>8.6479999999999994E-3</v>
      </c>
      <c r="D8">
        <f t="shared" si="0"/>
        <v>4.3856356877287114E-3</v>
      </c>
      <c r="E8">
        <f>Table2[[#This Row],[distance from 45-degree line]]/MAX(Table2[[Abundance in SC (g protein/g all proteins)]:[Abundance in RT (g protein/g all proteins)]])</f>
        <v>0.15063830376652063</v>
      </c>
      <c r="F8">
        <f>_xlfn.RANK.AVG(Table2[[#This Row],[Abundance in SC (g protein/g all proteins)]],Table2[Abundance in SC (g protein/g all proteins)])</f>
        <v>33</v>
      </c>
      <c r="G8">
        <f>_xlfn.RANK.AVG(Table2[[#This Row],[Abundance in RT (g protein/g all proteins)]],Table2[Abundance in RT (g protein/g all proteins)])</f>
        <v>2</v>
      </c>
      <c r="H8">
        <f>LOG(Table2[[#This Row],[Abundance in SC (g protein/g all proteins)]])</f>
        <v>-2.6115835818657875</v>
      </c>
      <c r="I8">
        <f>LOG(Table2[[#This Row],[Abundance in RT (g protein/g all proteins)]])</f>
        <v>-2.0630843190547461</v>
      </c>
    </row>
    <row r="9" spans="1:11" x14ac:dyDescent="0.2">
      <c r="A9" t="s">
        <v>2481</v>
      </c>
      <c r="B9">
        <v>2.0279602282563099E-2</v>
      </c>
      <c r="C9">
        <v>1.4135E-2</v>
      </c>
      <c r="D9">
        <f t="shared" si="0"/>
        <v>4.3448899416947051E-3</v>
      </c>
      <c r="E9">
        <f>Table2[[#This Row],[distance from 45-degree line]]/MAX(Table2[[Abundance in SC (g protein/g all proteins)]:[Abundance in RT (g protein/g all proteins)]])</f>
        <v>0.1492387643370513</v>
      </c>
      <c r="F9">
        <f>_xlfn.RANK.AVG(Table2[[#This Row],[Abundance in SC (g protein/g all proteins)]],Table2[Abundance in SC (g protein/g all proteins)])</f>
        <v>2</v>
      </c>
      <c r="G9">
        <f>_xlfn.RANK.AVG(Table2[[#This Row],[Abundance in RT (g protein/g all proteins)]],Table2[Abundance in RT (g protein/g all proteins)])</f>
        <v>1</v>
      </c>
      <c r="H9">
        <f>LOG(Table2[[#This Row],[Abundance in SC (g protein/g all proteins)]])</f>
        <v>-1.6929405665074355</v>
      </c>
      <c r="I9">
        <f>LOG(Table2[[#This Row],[Abundance in RT (g protein/g all proteins)]])</f>
        <v>-1.8497041871744617</v>
      </c>
    </row>
    <row r="10" spans="1:11" x14ac:dyDescent="0.2">
      <c r="A10" t="s">
        <v>2331</v>
      </c>
      <c r="B10">
        <v>2.5294900140742302E-3</v>
      </c>
      <c r="C10">
        <v>8.4510000000000002E-3</v>
      </c>
      <c r="D10">
        <f t="shared" si="0"/>
        <v>4.1871398659119692E-3</v>
      </c>
      <c r="E10">
        <f>Table2[[#This Row],[distance from 45-degree line]]/MAX(Table2[[Abundance in SC (g protein/g all proteins)]:[Abundance in RT (g protein/g all proteins)]])</f>
        <v>0.14382034713896019</v>
      </c>
      <c r="F10">
        <f>_xlfn.RANK.AVG(Table2[[#This Row],[Abundance in SC (g protein/g all proteins)]],Table2[Abundance in SC (g protein/g all proteins)])</f>
        <v>30</v>
      </c>
      <c r="G10">
        <f>_xlfn.RANK.AVG(Table2[[#This Row],[Abundance in RT (g protein/g all proteins)]],Table2[Abundance in RT (g protein/g all proteins)])</f>
        <v>3</v>
      </c>
      <c r="H10">
        <f>LOG(Table2[[#This Row],[Abundance in SC (g protein/g all proteins)]])</f>
        <v>-2.5969670307606596</v>
      </c>
      <c r="I10">
        <f>LOG(Table2[[#This Row],[Abundance in RT (g protein/g all proteins)]])</f>
        <v>-2.0730918982945643</v>
      </c>
    </row>
    <row r="11" spans="1:11" x14ac:dyDescent="0.2">
      <c r="A11" t="s">
        <v>2471</v>
      </c>
      <c r="B11">
        <v>7.1769529910267003E-3</v>
      </c>
      <c r="C11">
        <v>1.4679999999999999E-3</v>
      </c>
      <c r="D11">
        <f t="shared" si="0"/>
        <v>4.036839373430203E-3</v>
      </c>
      <c r="E11">
        <f>Table2[[#This Row],[distance from 45-degree line]]/MAX(Table2[[Abundance in SC (g protein/g all proteins)]:[Abundance in RT (g protein/g all proteins)]])</f>
        <v>0.13865780905900135</v>
      </c>
      <c r="F11">
        <f>_xlfn.RANK.AVG(Table2[[#This Row],[Abundance in SC (g protein/g all proteins)]],Table2[Abundance in SC (g protein/g all proteins)])</f>
        <v>10</v>
      </c>
      <c r="G11">
        <f>_xlfn.RANK.AVG(Table2[[#This Row],[Abundance in RT (g protein/g all proteins)]],Table2[Abundance in RT (g protein/g all proteins)])</f>
        <v>55</v>
      </c>
      <c r="H11">
        <f>LOG(Table2[[#This Row],[Abundance in SC (g protein/g all proteins)]])</f>
        <v>-2.1440598983830617</v>
      </c>
      <c r="I11">
        <f>LOG(Table2[[#This Row],[Abundance in RT (g protein/g all proteins)]])</f>
        <v>-2.8332739444199482</v>
      </c>
    </row>
    <row r="12" spans="1:11" x14ac:dyDescent="0.2">
      <c r="A12" t="s">
        <v>2645</v>
      </c>
      <c r="B12">
        <v>7.75177168688227E-3</v>
      </c>
      <c r="C12">
        <v>2.3960000000000001E-3</v>
      </c>
      <c r="D12">
        <f t="shared" si="0"/>
        <v>3.7871024782813677E-3</v>
      </c>
      <c r="E12">
        <f>Table2[[#This Row],[distance from 45-degree line]]/MAX(Table2[[Abundance in SC (g protein/g all proteins)]:[Abundance in RT (g protein/g all proteins)]])</f>
        <v>0.13007981832931056</v>
      </c>
      <c r="F12">
        <f>_xlfn.RANK.AVG(Table2[[#This Row],[Abundance in SC (g protein/g all proteins)]],Table2[Abundance in SC (g protein/g all proteins)])</f>
        <v>9</v>
      </c>
      <c r="G12">
        <f>_xlfn.RANK.AVG(Table2[[#This Row],[Abundance in RT (g protein/g all proteins)]],Table2[Abundance in RT (g protein/g all proteins)])</f>
        <v>31</v>
      </c>
      <c r="H12">
        <f>LOG(Table2[[#This Row],[Abundance in SC (g protein/g all proteins)]])</f>
        <v>-2.1105990270547332</v>
      </c>
      <c r="I12">
        <f>LOG(Table2[[#This Row],[Abundance in RT (g protein/g all proteins)]])</f>
        <v>-2.620513186282726</v>
      </c>
    </row>
    <row r="13" spans="1:11" x14ac:dyDescent="0.2">
      <c r="A13" t="s">
        <v>2411</v>
      </c>
      <c r="B13">
        <v>6.4947185099402897E-3</v>
      </c>
      <c r="C13">
        <v>1.4170000000000001E-3</v>
      </c>
      <c r="D13">
        <f t="shared" si="0"/>
        <v>3.5904891913352303E-3</v>
      </c>
      <c r="E13">
        <f>Table2[[#This Row],[distance from 45-degree line]]/MAX(Table2[[Abundance in SC (g protein/g all proteins)]:[Abundance in RT (g protein/g all proteins)]])</f>
        <v>0.12332652321945956</v>
      </c>
      <c r="F13">
        <f>_xlfn.RANK.AVG(Table2[[#This Row],[Abundance in SC (g protein/g all proteins)]],Table2[Abundance in SC (g protein/g all proteins)])</f>
        <v>12</v>
      </c>
      <c r="G13">
        <f>_xlfn.RANK.AVG(Table2[[#This Row],[Abundance in RT (g protein/g all proteins)]],Table2[Abundance in RT (g protein/g all proteins)])</f>
        <v>58.5</v>
      </c>
      <c r="H13">
        <f>LOG(Table2[[#This Row],[Abundance in SC (g protein/g all proteins)]])</f>
        <v>-2.187439667105016</v>
      </c>
      <c r="I13">
        <f>LOG(Table2[[#This Row],[Abundance in RT (g protein/g all proteins)]])</f>
        <v>-2.8486301497525397</v>
      </c>
    </row>
    <row r="14" spans="1:11" x14ac:dyDescent="0.2">
      <c r="A14" t="s">
        <v>2639</v>
      </c>
      <c r="B14">
        <v>5.6699722185644496E-4</v>
      </c>
      <c r="C14">
        <v>5.4469999999999996E-3</v>
      </c>
      <c r="D14">
        <f t="shared" si="0"/>
        <v>3.4506830566344983E-3</v>
      </c>
      <c r="E14">
        <f>Table2[[#This Row],[distance from 45-degree line]]/MAX(Table2[[Abundance in SC (g protein/g all proteins)]:[Abundance in RT (g protein/g all proteins)]])</f>
        <v>0.11852444651108188</v>
      </c>
      <c r="F14">
        <f>_xlfn.RANK.AVG(Table2[[#This Row],[Abundance in SC (g protein/g all proteins)]],Table2[Abundance in SC (g protein/g all proteins)])</f>
        <v>139</v>
      </c>
      <c r="G14">
        <f>_xlfn.RANK.AVG(Table2[[#This Row],[Abundance in RT (g protein/g all proteins)]],Table2[Abundance in RT (g protein/g all proteins)])</f>
        <v>10</v>
      </c>
      <c r="H14">
        <f>LOG(Table2[[#This Row],[Abundance in SC (g protein/g all proteins)]])</f>
        <v>-3.2464190690354386</v>
      </c>
      <c r="I14">
        <f>LOG(Table2[[#This Row],[Abundance in RT (g protein/g all proteins)]])</f>
        <v>-2.2638426247268679</v>
      </c>
    </row>
    <row r="15" spans="1:11" x14ac:dyDescent="0.2">
      <c r="A15" t="s">
        <v>2542</v>
      </c>
      <c r="B15">
        <v>1.29637831050444E-3</v>
      </c>
      <c r="C15">
        <v>5.8970000000000003E-3</v>
      </c>
      <c r="D15">
        <f t="shared" si="0"/>
        <v>3.2531307943162216E-3</v>
      </c>
      <c r="E15">
        <f>Table2[[#This Row],[distance from 45-degree line]]/MAX(Table2[[Abundance in SC (g protein/g all proteins)]:[Abundance in RT (g protein/g all proteins)]])</f>
        <v>0.11173889937041734</v>
      </c>
      <c r="F15">
        <f>_xlfn.RANK.AVG(Table2[[#This Row],[Abundance in SC (g protein/g all proteins)]],Table2[Abundance in SC (g protein/g all proteins)])</f>
        <v>68</v>
      </c>
      <c r="G15">
        <f>_xlfn.RANK.AVG(Table2[[#This Row],[Abundance in RT (g protein/g all proteins)]],Table2[Abundance in RT (g protein/g all proteins)])</f>
        <v>7</v>
      </c>
      <c r="H15">
        <f>LOG(Table2[[#This Row],[Abundance in SC (g protein/g all proteins)]])</f>
        <v>-2.8872682436896855</v>
      </c>
      <c r="I15">
        <f>LOG(Table2[[#This Row],[Abundance in RT (g protein/g all proteins)]])</f>
        <v>-2.2293688722221936</v>
      </c>
    </row>
    <row r="16" spans="1:11" x14ac:dyDescent="0.2">
      <c r="A16" t="s">
        <v>2473</v>
      </c>
      <c r="B16">
        <v>1.01608771401853E-5</v>
      </c>
      <c r="C16">
        <v>3.6679999999999998E-3</v>
      </c>
      <c r="D16">
        <f t="shared" si="0"/>
        <v>2.5864828482636275E-3</v>
      </c>
      <c r="E16">
        <f>Table2[[#This Row],[distance from 45-degree line]]/MAX(Table2[[Abundance in SC (g protein/g all proteins)]:[Abundance in RT (g protein/g all proteins)]])</f>
        <v>8.8840801362918248E-2</v>
      </c>
      <c r="F16">
        <f>_xlfn.RANK.AVG(Table2[[#This Row],[Abundance in SC (g protein/g all proteins)]],Table2[Abundance in SC (g protein/g all proteins)])</f>
        <v>508</v>
      </c>
      <c r="G16">
        <f>_xlfn.RANK.AVG(Table2[[#This Row],[Abundance in RT (g protein/g all proteins)]],Table2[Abundance in RT (g protein/g all proteins)])</f>
        <v>17</v>
      </c>
      <c r="H16">
        <f>LOG(Table2[[#This Row],[Abundance in SC (g protein/g all proteins)]])</f>
        <v>-4.993068799857256</v>
      </c>
      <c r="I16">
        <f>LOG(Table2[[#This Row],[Abundance in RT (g protein/g all proteins)]])</f>
        <v>-2.4355706730020166</v>
      </c>
    </row>
    <row r="17" spans="1:9" x14ac:dyDescent="0.2">
      <c r="A17" t="s">
        <v>2693</v>
      </c>
      <c r="B17">
        <v>2.2526926640567E-3</v>
      </c>
      <c r="C17">
        <v>5.8560000000000001E-3</v>
      </c>
      <c r="D17">
        <f t="shared" si="0"/>
        <v>2.5479230519447403E-3</v>
      </c>
      <c r="E17">
        <f>Table2[[#This Row],[distance from 45-degree line]]/MAX(Table2[[Abundance in SC (g protein/g all proteins)]:[Abundance in RT (g protein/g all proteins)]])</f>
        <v>8.7516345178079977E-2</v>
      </c>
      <c r="F17">
        <f>_xlfn.RANK.AVG(Table2[[#This Row],[Abundance in SC (g protein/g all proteins)]],Table2[Abundance in SC (g protein/g all proteins)])</f>
        <v>37</v>
      </c>
      <c r="G17">
        <f>_xlfn.RANK.AVG(Table2[[#This Row],[Abundance in RT (g protein/g all proteins)]],Table2[Abundance in RT (g protein/g all proteins)])</f>
        <v>8</v>
      </c>
      <c r="H17">
        <f>LOG(Table2[[#This Row],[Abundance in SC (g protein/g all proteins)]])</f>
        <v>-2.6472980552396992</v>
      </c>
      <c r="I17">
        <f>LOG(Table2[[#This Row],[Abundance in RT (g protein/g all proteins)]])</f>
        <v>-2.2323989319496644</v>
      </c>
    </row>
    <row r="18" spans="1:9" x14ac:dyDescent="0.2">
      <c r="A18" t="s">
        <v>2596</v>
      </c>
      <c r="B18">
        <v>1.0844365483433999E-2</v>
      </c>
      <c r="C18">
        <v>7.424E-3</v>
      </c>
      <c r="D18">
        <f t="shared" si="0"/>
        <v>2.4185636274725846E-3</v>
      </c>
      <c r="E18">
        <f>Table2[[#This Row],[distance from 45-degree line]]/MAX(Table2[[Abundance in SC (g protein/g all proteins)]:[Abundance in RT (g protein/g all proteins)]])</f>
        <v>8.307309323783714E-2</v>
      </c>
      <c r="F18">
        <f>_xlfn.RANK.AVG(Table2[[#This Row],[Abundance in SC (g protein/g all proteins)]],Table2[Abundance in SC (g protein/g all proteins)])</f>
        <v>6</v>
      </c>
      <c r="G18">
        <f>_xlfn.RANK.AVG(Table2[[#This Row],[Abundance in RT (g protein/g all proteins)]],Table2[Abundance in RT (g protein/g all proteins)])</f>
        <v>4</v>
      </c>
      <c r="H18">
        <f>LOG(Table2[[#This Row],[Abundance in SC (g protein/g all proteins)]])</f>
        <v>-1.9647958539868104</v>
      </c>
      <c r="I18">
        <f>LOG(Table2[[#This Row],[Abundance in RT (g protein/g all proteins)]])</f>
        <v>-2.1293620367891943</v>
      </c>
    </row>
    <row r="19" spans="1:9" x14ac:dyDescent="0.2">
      <c r="A19" t="s">
        <v>2544</v>
      </c>
      <c r="B19">
        <v>2.2243676400056202E-3</v>
      </c>
      <c r="C19">
        <v>5.6429999999999996E-3</v>
      </c>
      <c r="D19">
        <f t="shared" si="0"/>
        <v>2.417338124135796E-3</v>
      </c>
      <c r="E19">
        <f>Table2[[#This Row],[distance from 45-degree line]]/MAX(Table2[[Abundance in SC (g protein/g all proteins)]:[Abundance in RT (g protein/g all proteins)]])</f>
        <v>8.3030999512535106E-2</v>
      </c>
      <c r="F19">
        <f>_xlfn.RANK.AVG(Table2[[#This Row],[Abundance in SC (g protein/g all proteins)]],Table2[Abundance in SC (g protein/g all proteins)])</f>
        <v>38</v>
      </c>
      <c r="G19">
        <f>_xlfn.RANK.AVG(Table2[[#This Row],[Abundance in RT (g protein/g all proteins)]],Table2[Abundance in RT (g protein/g all proteins)])</f>
        <v>9</v>
      </c>
      <c r="H19">
        <f>LOG(Table2[[#This Row],[Abundance in SC (g protein/g all proteins)]])</f>
        <v>-2.6527934316445978</v>
      </c>
      <c r="I19">
        <f>LOG(Table2[[#This Row],[Abundance in RT (g protein/g all proteins)]])</f>
        <v>-2.2484899497299589</v>
      </c>
    </row>
    <row r="20" spans="1:9" x14ac:dyDescent="0.2">
      <c r="A20" t="s">
        <v>2362</v>
      </c>
      <c r="B20">
        <v>1.8997403751209699E-3</v>
      </c>
      <c r="C20">
        <v>5.2209999999999999E-3</v>
      </c>
      <c r="D20">
        <f t="shared" si="0"/>
        <v>2.3484852028330511E-3</v>
      </c>
      <c r="E20">
        <f>Table2[[#This Row],[distance from 45-degree line]]/MAX(Table2[[Abundance in SC (g protein/g all proteins)]:[Abundance in RT (g protein/g all proteins)]])</f>
        <v>8.0666031691920992E-2</v>
      </c>
      <c r="F20">
        <f>_xlfn.RANK.AVG(Table2[[#This Row],[Abundance in SC (g protein/g all proteins)]],Table2[Abundance in SC (g protein/g all proteins)])</f>
        <v>47</v>
      </c>
      <c r="G20">
        <f>_xlfn.RANK.AVG(Table2[[#This Row],[Abundance in RT (g protein/g all proteins)]],Table2[Abundance in RT (g protein/g all proteins)])</f>
        <v>12</v>
      </c>
      <c r="H20">
        <f>LOG(Table2[[#This Row],[Abundance in SC (g protein/g all proteins)]])</f>
        <v>-2.721305747129604</v>
      </c>
      <c r="I20">
        <f>LOG(Table2[[#This Row],[Abundance in RT (g protein/g all proteins)]])</f>
        <v>-2.2822463067892844</v>
      </c>
    </row>
    <row r="21" spans="1:9" x14ac:dyDescent="0.2">
      <c r="A21" t="s">
        <v>2605</v>
      </c>
      <c r="B21">
        <v>6.9675940731774898E-3</v>
      </c>
      <c r="C21">
        <v>3.7680000000000001E-3</v>
      </c>
      <c r="D21">
        <f t="shared" si="0"/>
        <v>2.2624546661880896E-3</v>
      </c>
      <c r="E21">
        <f>Table2[[#This Row],[distance from 45-degree line]]/MAX(Table2[[Abundance in SC (g protein/g all proteins)]:[Abundance in RT (g protein/g all proteins)]])</f>
        <v>7.7711045223577996E-2</v>
      </c>
      <c r="F21">
        <f>_xlfn.RANK.AVG(Table2[[#This Row],[Abundance in SC (g protein/g all proteins)]],Table2[Abundance in SC (g protein/g all proteins)])</f>
        <v>11</v>
      </c>
      <c r="G21">
        <f>_xlfn.RANK.AVG(Table2[[#This Row],[Abundance in RT (g protein/g all proteins)]],Table2[Abundance in RT (g protein/g all proteins)])</f>
        <v>15</v>
      </c>
      <c r="H21">
        <f>LOG(Table2[[#This Row],[Abundance in SC (g protein/g all proteins)]])</f>
        <v>-2.1569171589352791</v>
      </c>
      <c r="I21">
        <f>LOG(Table2[[#This Row],[Abundance in RT (g protein/g all proteins)]])</f>
        <v>-2.4238891058791601</v>
      </c>
    </row>
    <row r="22" spans="1:9" x14ac:dyDescent="0.2">
      <c r="A22" t="s">
        <v>2346</v>
      </c>
      <c r="B22">
        <v>5.0394523098188997E-4</v>
      </c>
      <c r="C22">
        <v>3.6849999999999999E-3</v>
      </c>
      <c r="D22">
        <f t="shared" si="0"/>
        <v>2.2493453984985122E-3</v>
      </c>
      <c r="E22">
        <f>Table2[[#This Row],[distance from 45-degree line]]/MAX(Table2[[Abundance in SC (g protein/g all proteins)]:[Abundance in RT (g protein/g all proteins)]])</f>
        <v>7.7260766634796738E-2</v>
      </c>
      <c r="F22">
        <f>_xlfn.RANK.AVG(Table2[[#This Row],[Abundance in SC (g protein/g all proteins)]],Table2[Abundance in SC (g protein/g all proteins)])</f>
        <v>146</v>
      </c>
      <c r="G22">
        <f>_xlfn.RANK.AVG(Table2[[#This Row],[Abundance in RT (g protein/g all proteins)]],Table2[Abundance in RT (g protein/g all proteins)])</f>
        <v>16</v>
      </c>
      <c r="H22">
        <f>LOG(Table2[[#This Row],[Abundance in SC (g protein/g all proteins)]])</f>
        <v>-3.2976166603299277</v>
      </c>
      <c r="I22">
        <f>LOG(Table2[[#This Row],[Abundance in RT (g protein/g all proteins)]])</f>
        <v>-2.4335625078049299</v>
      </c>
    </row>
    <row r="23" spans="1:9" x14ac:dyDescent="0.2">
      <c r="A23" t="s">
        <v>2676</v>
      </c>
      <c r="B23">
        <v>3.2493349257780801E-3</v>
      </c>
      <c r="C23">
        <v>1.93E-4</v>
      </c>
      <c r="D23">
        <f t="shared" si="0"/>
        <v>2.1611551515949637E-3</v>
      </c>
      <c r="E23">
        <f>Table2[[#This Row],[distance from 45-degree line]]/MAX(Table2[[Abundance in SC (g protein/g all proteins)]:[Abundance in RT (g protein/g all proteins)]])</f>
        <v>7.4231598197602333E-2</v>
      </c>
      <c r="F23">
        <f>_xlfn.RANK.AVG(Table2[[#This Row],[Abundance in SC (g protein/g all proteins)]],Table2[Abundance in SC (g protein/g all proteins)])</f>
        <v>22</v>
      </c>
      <c r="G23">
        <f>_xlfn.RANK.AVG(Table2[[#This Row],[Abundance in RT (g protein/g all proteins)]],Table2[Abundance in RT (g protein/g all proteins)])</f>
        <v>254.5</v>
      </c>
      <c r="H23">
        <f>LOG(Table2[[#This Row],[Abundance in SC (g protein/g all proteins)]])</f>
        <v>-2.4882055213664556</v>
      </c>
      <c r="I23">
        <f>LOG(Table2[[#This Row],[Abundance in RT (g protein/g all proteins)]])</f>
        <v>-3.7144426909922261</v>
      </c>
    </row>
    <row r="24" spans="1:9" x14ac:dyDescent="0.2">
      <c r="A24" t="s">
        <v>2621</v>
      </c>
      <c r="B24">
        <v>4.3180721281639804E-3</v>
      </c>
      <c r="C24">
        <v>7.1630000000000001E-3</v>
      </c>
      <c r="D24">
        <f t="shared" si="0"/>
        <v>2.0116677901618626E-3</v>
      </c>
      <c r="E24">
        <f>Table2[[#This Row],[distance from 45-degree line]]/MAX(Table2[[Abundance in SC (g protein/g all proteins)]:[Abundance in RT (g protein/g all proteins)]])</f>
        <v>6.9096989633597936E-2</v>
      </c>
      <c r="F24">
        <f>_xlfn.RANK.AVG(Table2[[#This Row],[Abundance in SC (g protein/g all proteins)]],Table2[Abundance in SC (g protein/g all proteins)])</f>
        <v>18</v>
      </c>
      <c r="G24">
        <f>_xlfn.RANK.AVG(Table2[[#This Row],[Abundance in RT (g protein/g all proteins)]],Table2[Abundance in RT (g protein/g all proteins)])</f>
        <v>5</v>
      </c>
      <c r="H24">
        <f>LOG(Table2[[#This Row],[Abundance in SC (g protein/g all proteins)]])</f>
        <v>-2.3647101075779848</v>
      </c>
      <c r="I24">
        <f>LOG(Table2[[#This Row],[Abundance in RT (g protein/g all proteins)]])</f>
        <v>-2.1449050488413781</v>
      </c>
    </row>
    <row r="25" spans="1:9" x14ac:dyDescent="0.2">
      <c r="A25" t="s">
        <v>2674</v>
      </c>
      <c r="B25">
        <v>6.1745610759091603E-3</v>
      </c>
      <c r="C25">
        <v>3.3519999999999999E-3</v>
      </c>
      <c r="D25">
        <f t="shared" si="0"/>
        <v>1.9958520770885645E-3</v>
      </c>
      <c r="E25">
        <f>Table2[[#This Row],[distance from 45-degree line]]/MAX(Table2[[Abundance in SC (g protein/g all proteins)]:[Abundance in RT (g protein/g all proteins)]])</f>
        <v>6.8553749756905522E-2</v>
      </c>
      <c r="F25">
        <f>_xlfn.RANK.AVG(Table2[[#This Row],[Abundance in SC (g protein/g all proteins)]],Table2[Abundance in SC (g protein/g all proteins)])</f>
        <v>14</v>
      </c>
      <c r="G25">
        <f>_xlfn.RANK.AVG(Table2[[#This Row],[Abundance in RT (g protein/g all proteins)]],Table2[Abundance in RT (g protein/g all proteins)])</f>
        <v>19</v>
      </c>
      <c r="H25">
        <f>LOG(Table2[[#This Row],[Abundance in SC (g protein/g all proteins)]])</f>
        <v>-2.2093939091752994</v>
      </c>
      <c r="I25">
        <f>LOG(Table2[[#This Row],[Abundance in RT (g protein/g all proteins)]])</f>
        <v>-2.4746959900417611</v>
      </c>
    </row>
    <row r="26" spans="1:9" x14ac:dyDescent="0.2">
      <c r="A26" t="s">
        <v>2646</v>
      </c>
      <c r="B26">
        <v>4.2263801417787E-3</v>
      </c>
      <c r="C26">
        <v>1.451E-3</v>
      </c>
      <c r="D26">
        <f t="shared" si="0"/>
        <v>1.9624901186222001E-3</v>
      </c>
      <c r="E26">
        <f>Table2[[#This Row],[distance from 45-degree line]]/MAX(Table2[[Abundance in SC (g protein/g all proteins)]:[Abundance in RT (g protein/g all proteins)]])</f>
        <v>6.740782948638141E-2</v>
      </c>
      <c r="F26">
        <f>_xlfn.RANK.AVG(Table2[[#This Row],[Abundance in SC (g protein/g all proteins)]],Table2[Abundance in SC (g protein/g all proteins)])</f>
        <v>19</v>
      </c>
      <c r="G26">
        <f>_xlfn.RANK.AVG(Table2[[#This Row],[Abundance in RT (g protein/g all proteins)]],Table2[Abundance in RT (g protein/g all proteins)])</f>
        <v>57</v>
      </c>
      <c r="H26">
        <f>LOG(Table2[[#This Row],[Abundance in SC (g protein/g all proteins)]])</f>
        <v>-2.3740314429079503</v>
      </c>
      <c r="I26">
        <f>LOG(Table2[[#This Row],[Abundance in RT (g protein/g all proteins)]])</f>
        <v>-2.838332587562264</v>
      </c>
    </row>
    <row r="27" spans="1:9" x14ac:dyDescent="0.2">
      <c r="A27" t="s">
        <v>2315</v>
      </c>
      <c r="B27">
        <v>2.7978081945237098E-3</v>
      </c>
      <c r="C27">
        <v>3.6600000000000002E-5</v>
      </c>
      <c r="D27">
        <f t="shared" si="0"/>
        <v>1.9524690386155787E-3</v>
      </c>
      <c r="E27">
        <f>Table2[[#This Row],[distance from 45-degree line]]/MAX(Table2[[Abundance in SC (g protein/g all proteins)]:[Abundance in RT (g protein/g all proteins)]])</f>
        <v>6.7063624312584183E-2</v>
      </c>
      <c r="F27">
        <f>_xlfn.RANK.AVG(Table2[[#This Row],[Abundance in SC (g protein/g all proteins)]],Table2[Abundance in SC (g protein/g all proteins)])</f>
        <v>24</v>
      </c>
      <c r="G27">
        <f>_xlfn.RANK.AVG(Table2[[#This Row],[Abundance in RT (g protein/g all proteins)]],Table2[Abundance in RT (g protein/g all proteins)])</f>
        <v>437</v>
      </c>
      <c r="H27">
        <f>LOG(Table2[[#This Row],[Abundance in SC (g protein/g all proteins)]])</f>
        <v>-2.5531820621512784</v>
      </c>
      <c r="I27">
        <f>LOG(Table2[[#This Row],[Abundance in RT (g protein/g all proteins)]])</f>
        <v>-4.436518914605589</v>
      </c>
    </row>
    <row r="28" spans="1:9" x14ac:dyDescent="0.2">
      <c r="A28" t="s">
        <v>2518</v>
      </c>
      <c r="B28">
        <v>4.48312909582193E-3</v>
      </c>
      <c r="C28">
        <v>1.7910000000000001E-3</v>
      </c>
      <c r="D28">
        <f t="shared" si="0"/>
        <v>1.9036227394852953E-3</v>
      </c>
      <c r="E28">
        <f>Table2[[#This Row],[distance from 45-degree line]]/MAX(Table2[[Abundance in SC (g protein/g all proteins)]:[Abundance in RT (g protein/g all proteins)]])</f>
        <v>6.5385846181845578E-2</v>
      </c>
      <c r="F28">
        <f>_xlfn.RANK.AVG(Table2[[#This Row],[Abundance in SC (g protein/g all proteins)]],Table2[Abundance in SC (g protein/g all proteins)])</f>
        <v>17</v>
      </c>
      <c r="G28">
        <f>_xlfn.RANK.AVG(Table2[[#This Row],[Abundance in RT (g protein/g all proteins)]],Table2[Abundance in RT (g protein/g all proteins)])</f>
        <v>43</v>
      </c>
      <c r="H28">
        <f>LOG(Table2[[#This Row],[Abundance in SC (g protein/g all proteins)]])</f>
        <v>-2.3484187550454587</v>
      </c>
      <c r="I28">
        <f>LOG(Table2[[#This Row],[Abundance in RT (g protein/g all proteins)]])</f>
        <v>-2.7469044141509684</v>
      </c>
    </row>
    <row r="29" spans="1:9" x14ac:dyDescent="0.2">
      <c r="A29" t="s">
        <v>2774</v>
      </c>
      <c r="B29">
        <v>7.7904904529080294E-6</v>
      </c>
      <c r="C29">
        <v>2.6949999999999999E-3</v>
      </c>
      <c r="D29">
        <f t="shared" si="0"/>
        <v>1.900144066669725E-3</v>
      </c>
      <c r="E29">
        <f>Table2[[#This Row],[distance from 45-degree line]]/MAX(Table2[[Abundance in SC (g protein/g all proteins)]:[Abundance in RT (g protein/g all proteins)]])</f>
        <v>6.5266360339972657E-2</v>
      </c>
      <c r="F29">
        <f>_xlfn.RANK.AVG(Table2[[#This Row],[Abundance in SC (g protein/g all proteins)]],Table2[Abundance in SC (g protein/g all proteins)])</f>
        <v>526</v>
      </c>
      <c r="G29">
        <f>_xlfn.RANK.AVG(Table2[[#This Row],[Abundance in RT (g protein/g all proteins)]],Table2[Abundance in RT (g protein/g all proteins)])</f>
        <v>25</v>
      </c>
      <c r="H29">
        <f>LOG(Table2[[#This Row],[Abundance in SC (g protein/g all proteins)]])</f>
        <v>-5.1084352003137417</v>
      </c>
      <c r="I29">
        <f>LOG(Table2[[#This Row],[Abundance in RT (g protein/g all proteins)]])</f>
        <v>-2.5694412304772425</v>
      </c>
    </row>
    <row r="30" spans="1:9" x14ac:dyDescent="0.2">
      <c r="A30" t="s">
        <v>2755</v>
      </c>
      <c r="B30">
        <v>5.96442562560881E-4</v>
      </c>
      <c r="C30">
        <v>3.1289999999999998E-3</v>
      </c>
      <c r="D30">
        <f t="shared" si="0"/>
        <v>1.7907885377576264E-3</v>
      </c>
      <c r="E30">
        <f>Table2[[#This Row],[distance from 45-degree line]]/MAX(Table2[[Abundance in SC (g protein/g all proteins)]:[Abundance in RT (g protein/g all proteins)]])</f>
        <v>6.1510204435618325E-2</v>
      </c>
      <c r="F30">
        <f>_xlfn.RANK.AVG(Table2[[#This Row],[Abundance in SC (g protein/g all proteins)]],Table2[Abundance in SC (g protein/g all proteins)])</f>
        <v>136</v>
      </c>
      <c r="G30">
        <f>_xlfn.RANK.AVG(Table2[[#This Row],[Abundance in RT (g protein/g all proteins)]],Table2[Abundance in RT (g protein/g all proteins)])</f>
        <v>20</v>
      </c>
      <c r="H30">
        <f>LOG(Table2[[#This Row],[Abundance in SC (g protein/g all proteins)]])</f>
        <v>-3.2244313725534317</v>
      </c>
      <c r="I30">
        <f>LOG(Table2[[#This Row],[Abundance in RT (g protein/g all proteins)]])</f>
        <v>-2.5045944368538069</v>
      </c>
    </row>
    <row r="31" spans="1:9" x14ac:dyDescent="0.2">
      <c r="A31" t="s">
        <v>2617</v>
      </c>
      <c r="B31">
        <v>2.3299635051752098E-3</v>
      </c>
      <c r="C31">
        <v>8.4600000000000003E-6</v>
      </c>
      <c r="D31">
        <f t="shared" si="0"/>
        <v>1.6415508710577299E-3</v>
      </c>
      <c r="E31">
        <f>Table2[[#This Row],[distance from 45-degree line]]/MAX(Table2[[Abundance in SC (g protein/g all proteins)]:[Abundance in RT (g protein/g all proteins)]])</f>
        <v>5.6384172414160459E-2</v>
      </c>
      <c r="F31">
        <f>_xlfn.RANK.AVG(Table2[[#This Row],[Abundance in SC (g protein/g all proteins)]],Table2[Abundance in SC (g protein/g all proteins)])</f>
        <v>36</v>
      </c>
      <c r="G31">
        <f>_xlfn.RANK.AVG(Table2[[#This Row],[Abundance in RT (g protein/g all proteins)]],Table2[Abundance in RT (g protein/g all proteins)])</f>
        <v>530</v>
      </c>
      <c r="H31">
        <f>LOG(Table2[[#This Row],[Abundance in SC (g protein/g all proteins)]])</f>
        <v>-2.632650881388209</v>
      </c>
      <c r="I31">
        <f>LOG(Table2[[#This Row],[Abundance in RT (g protein/g all proteins)]])</f>
        <v>-5.0726296369609765</v>
      </c>
    </row>
    <row r="32" spans="1:9" x14ac:dyDescent="0.2">
      <c r="A32" t="s">
        <v>2637</v>
      </c>
      <c r="B32">
        <v>2.7395859179489503E-4</v>
      </c>
      <c r="C32">
        <v>2.5119999999999999E-3</v>
      </c>
      <c r="D32">
        <f t="shared" si="0"/>
        <v>1.5825342563181195E-3</v>
      </c>
      <c r="E32">
        <f>Table2[[#This Row],[distance from 45-degree line]]/MAX(Table2[[Abundance in SC (g protein/g all proteins)]:[Abundance in RT (g protein/g all proteins)]])</f>
        <v>5.4357063148497468E-2</v>
      </c>
      <c r="F32">
        <f>_xlfn.RANK.AVG(Table2[[#This Row],[Abundance in SC (g protein/g all proteins)]],Table2[Abundance in SC (g protein/g all proteins)])</f>
        <v>191</v>
      </c>
      <c r="G32">
        <f>_xlfn.RANK.AVG(Table2[[#This Row],[Abundance in RT (g protein/g all proteins)]],Table2[Abundance in RT (g protein/g all proteins)])</f>
        <v>28</v>
      </c>
      <c r="H32">
        <f>LOG(Table2[[#This Row],[Abundance in SC (g protein/g all proteins)]])</f>
        <v>-3.5623150748218944</v>
      </c>
      <c r="I32">
        <f>LOG(Table2[[#This Row],[Abundance in RT (g protein/g all proteins)]])</f>
        <v>-2.5999803649348414</v>
      </c>
    </row>
    <row r="33" spans="1:9" x14ac:dyDescent="0.2">
      <c r="A33" t="s">
        <v>2694</v>
      </c>
      <c r="B33">
        <v>6.1787711526351602E-3</v>
      </c>
      <c r="C33">
        <v>4.0749999999999996E-3</v>
      </c>
      <c r="D33">
        <f t="shared" si="0"/>
        <v>1.4875908480929613E-3</v>
      </c>
      <c r="E33">
        <f>Table2[[#This Row],[distance from 45-degree line]]/MAX(Table2[[Abundance in SC (g protein/g all proteins)]:[Abundance in RT (g protein/g all proteins)]])</f>
        <v>5.1095936372995261E-2</v>
      </c>
      <c r="F33">
        <f>_xlfn.RANK.AVG(Table2[[#This Row],[Abundance in SC (g protein/g all proteins)]],Table2[Abundance in SC (g protein/g all proteins)])</f>
        <v>13</v>
      </c>
      <c r="G33">
        <f>_xlfn.RANK.AVG(Table2[[#This Row],[Abundance in RT (g protein/g all proteins)]],Table2[Abundance in RT (g protein/g all proteins)])</f>
        <v>14</v>
      </c>
      <c r="H33">
        <f>LOG(Table2[[#This Row],[Abundance in SC (g protein/g all proteins)]])</f>
        <v>-2.2090978897487266</v>
      </c>
      <c r="I33">
        <f>LOG(Table2[[#This Row],[Abundance in RT (g protein/g all proteins)]])</f>
        <v>-2.3898723869240048</v>
      </c>
    </row>
    <row r="34" spans="1:9" x14ac:dyDescent="0.2">
      <c r="A34" t="s">
        <v>2612</v>
      </c>
      <c r="B34">
        <v>2.07176361178677E-3</v>
      </c>
      <c r="C34">
        <v>2.6599999999999999E-5</v>
      </c>
      <c r="D34">
        <f t="shared" si="0"/>
        <v>1.4461490585303968E-3</v>
      </c>
      <c r="E34">
        <f>Table2[[#This Row],[distance from 45-degree line]]/MAX(Table2[[Abundance in SC (g protein/g all proteins)]:[Abundance in RT (g protein/g all proteins)]])</f>
        <v>4.967248916277181E-2</v>
      </c>
      <c r="F34">
        <f>_xlfn.RANK.AVG(Table2[[#This Row],[Abundance in SC (g protein/g all proteins)]],Table2[Abundance in SC (g protein/g all proteins)])</f>
        <v>42</v>
      </c>
      <c r="G34">
        <f>_xlfn.RANK.AVG(Table2[[#This Row],[Abundance in RT (g protein/g all proteins)]],Table2[Abundance in RT (g protein/g all proteins)])</f>
        <v>470</v>
      </c>
      <c r="H34">
        <f>LOG(Table2[[#This Row],[Abundance in SC (g protein/g all proteins)]])</f>
        <v>-2.6836597990972884</v>
      </c>
      <c r="I34">
        <f>LOG(Table2[[#This Row],[Abundance in RT (g protein/g all proteins)]])</f>
        <v>-4.575118363368933</v>
      </c>
    </row>
    <row r="35" spans="1:9" x14ac:dyDescent="0.2">
      <c r="A35" t="s">
        <v>2373</v>
      </c>
      <c r="B35">
        <v>2.5538331833353601E-3</v>
      </c>
      <c r="C35">
        <v>5.3399999999999997E-4</v>
      </c>
      <c r="D35">
        <f t="shared" si="0"/>
        <v>1.4282377408020442E-3</v>
      </c>
      <c r="E35">
        <f>Table2[[#This Row],[distance from 45-degree line]]/MAX(Table2[[Abundance in SC (g protein/g all proteins)]:[Abundance in RT (g protein/g all proteins)]])</f>
        <v>4.905726922364833E-2</v>
      </c>
      <c r="F35">
        <f>_xlfn.RANK.AVG(Table2[[#This Row],[Abundance in SC (g protein/g all proteins)]],Table2[Abundance in SC (g protein/g all proteins)])</f>
        <v>28</v>
      </c>
      <c r="G35">
        <f>_xlfn.RANK.AVG(Table2[[#This Row],[Abundance in RT (g protein/g all proteins)]],Table2[Abundance in RT (g protein/g all proteins)])</f>
        <v>141</v>
      </c>
      <c r="H35">
        <f>LOG(Table2[[#This Row],[Abundance in SC (g protein/g all proteins)]])</f>
        <v>-2.5928074743094993</v>
      </c>
      <c r="I35">
        <f>LOG(Table2[[#This Row],[Abundance in RT (g protein/g all proteins)]])</f>
        <v>-3.2724587429714438</v>
      </c>
    </row>
    <row r="36" spans="1:9" x14ac:dyDescent="0.2">
      <c r="A36" t="s">
        <v>2540</v>
      </c>
      <c r="B36">
        <v>2.1863613479165501E-3</v>
      </c>
      <c r="C36">
        <v>2.3800000000000001E-4</v>
      </c>
      <c r="D36">
        <f t="shared" si="0"/>
        <v>1.3776995213135548E-3</v>
      </c>
      <c r="E36">
        <f>Table2[[#This Row],[distance from 45-degree line]]/MAX(Table2[[Abundance in SC (g protein/g all proteins)]:[Abundance in RT (g protein/g all proteins)]])</f>
        <v>4.73213768237329E-2</v>
      </c>
      <c r="F36">
        <f>_xlfn.RANK.AVG(Table2[[#This Row],[Abundance in SC (g protein/g all proteins)]],Table2[Abundance in SC (g protein/g all proteins)])</f>
        <v>40</v>
      </c>
      <c r="G36">
        <f>_xlfn.RANK.AVG(Table2[[#This Row],[Abundance in RT (g protein/g all proteins)]],Table2[Abundance in RT (g protein/g all proteins)])</f>
        <v>229</v>
      </c>
      <c r="H36">
        <f>LOG(Table2[[#This Row],[Abundance in SC (g protein/g all proteins)]])</f>
        <v>-2.6602780590207269</v>
      </c>
      <c r="I36">
        <f>LOG(Table2[[#This Row],[Abundance in RT (g protein/g all proteins)]])</f>
        <v>-3.6234230429434882</v>
      </c>
    </row>
    <row r="37" spans="1:9" x14ac:dyDescent="0.2">
      <c r="A37" t="s">
        <v>2641</v>
      </c>
      <c r="B37">
        <v>3.9324986908283501E-5</v>
      </c>
      <c r="C37">
        <v>1.9689999999999998E-3</v>
      </c>
      <c r="D37">
        <f t="shared" si="0"/>
        <v>1.3644862872433923E-3</v>
      </c>
      <c r="E37">
        <f>Table2[[#This Row],[distance from 45-degree line]]/MAX(Table2[[Abundance in SC (g protein/g all proteins)]:[Abundance in RT (g protein/g all proteins)]])</f>
        <v>4.6867527186115115E-2</v>
      </c>
      <c r="F37">
        <f>_xlfn.RANK.AVG(Table2[[#This Row],[Abundance in SC (g protein/g all proteins)]],Table2[Abundance in SC (g protein/g all proteins)])</f>
        <v>382</v>
      </c>
      <c r="G37">
        <f>_xlfn.RANK.AVG(Table2[[#This Row],[Abundance in RT (g protein/g all proteins)]],Table2[Abundance in RT (g protein/g all proteins)])</f>
        <v>40</v>
      </c>
      <c r="H37">
        <f>LOG(Table2[[#This Row],[Abundance in SC (g protein/g all proteins)]])</f>
        <v>-4.4053314132860155</v>
      </c>
      <c r="I37">
        <f>LOG(Table2[[#This Row],[Abundance in RT (g protein/g all proteins)]])</f>
        <v>-2.7057542838618818</v>
      </c>
    </row>
    <row r="38" spans="1:9" x14ac:dyDescent="0.2">
      <c r="A38" t="s">
        <v>2557</v>
      </c>
      <c r="B38">
        <v>8.4506488869757405E-4</v>
      </c>
      <c r="C38">
        <v>2.7680000000000001E-3</v>
      </c>
      <c r="D38">
        <f t="shared" si="0"/>
        <v>1.3597204569836539E-3</v>
      </c>
      <c r="E38">
        <f>Table2[[#This Row],[distance from 45-degree line]]/MAX(Table2[[Abundance in SC (g protein/g all proteins)]:[Abundance in RT (g protein/g all proteins)]])</f>
        <v>4.6703829916783117E-2</v>
      </c>
      <c r="F38">
        <f>_xlfn.RANK.AVG(Table2[[#This Row],[Abundance in SC (g protein/g all proteins)]],Table2[Abundance in SC (g protein/g all proteins)])</f>
        <v>101</v>
      </c>
      <c r="G38">
        <f>_xlfn.RANK.AVG(Table2[[#This Row],[Abundance in RT (g protein/g all proteins)]],Table2[Abundance in RT (g protein/g all proteins)])</f>
        <v>23</v>
      </c>
      <c r="H38">
        <f>LOG(Table2[[#This Row],[Abundance in SC (g protein/g all proteins)]])</f>
        <v>-3.0731099422676702</v>
      </c>
      <c r="I38">
        <f>LOG(Table2[[#This Row],[Abundance in RT (g protein/g all proteins)]])</f>
        <v>-2.5578339142152799</v>
      </c>
    </row>
    <row r="39" spans="1:9" x14ac:dyDescent="0.2">
      <c r="A39" t="s">
        <v>2828</v>
      </c>
      <c r="B39">
        <v>1.0703815881231399E-5</v>
      </c>
      <c r="C39">
        <v>1.787E-3</v>
      </c>
      <c r="D39">
        <f t="shared" si="0"/>
        <v>1.2560310771861692E-3</v>
      </c>
      <c r="E39">
        <f>Table2[[#This Row],[distance from 45-degree line]]/MAX(Table2[[Abundance in SC (g protein/g all proteins)]:[Abundance in RT (g protein/g all proteins)]])</f>
        <v>4.3142295534207696E-2</v>
      </c>
      <c r="F39">
        <f>_xlfn.RANK.AVG(Table2[[#This Row],[Abundance in SC (g protein/g all proteins)]],Table2[Abundance in SC (g protein/g all proteins)])</f>
        <v>496</v>
      </c>
      <c r="G39">
        <f>_xlfn.RANK.AVG(Table2[[#This Row],[Abundance in RT (g protein/g all proteins)]],Table2[Abundance in RT (g protein/g all proteins)])</f>
        <v>44</v>
      </c>
      <c r="H39">
        <f>LOG(Table2[[#This Row],[Abundance in SC (g protein/g all proteins)]])</f>
        <v>-4.9704613699100468</v>
      </c>
      <c r="I39">
        <f>LOG(Table2[[#This Row],[Abundance in RT (g protein/g all proteins)]])</f>
        <v>-2.7478754474943559</v>
      </c>
    </row>
    <row r="40" spans="1:9" x14ac:dyDescent="0.2">
      <c r="A40" t="s">
        <v>2740</v>
      </c>
      <c r="B40">
        <v>4.5859466507397901E-4</v>
      </c>
      <c r="C40">
        <v>2.166E-3</v>
      </c>
      <c r="D40">
        <f t="shared" si="0"/>
        <v>1.2073178905602777E-3</v>
      </c>
      <c r="E40">
        <f>Table2[[#This Row],[distance from 45-degree line]]/MAX(Table2[[Abundance in SC (g protein/g all proteins)]:[Abundance in RT (g protein/g all proteins)]])</f>
        <v>4.1469089566617032E-2</v>
      </c>
      <c r="F40">
        <f>_xlfn.RANK.AVG(Table2[[#This Row],[Abundance in SC (g protein/g all proteins)]],Table2[Abundance in SC (g protein/g all proteins)])</f>
        <v>156</v>
      </c>
      <c r="G40">
        <f>_xlfn.RANK.AVG(Table2[[#This Row],[Abundance in RT (g protein/g all proteins)]],Table2[Abundance in RT (g protein/g all proteins)])</f>
        <v>32</v>
      </c>
      <c r="H40">
        <f>LOG(Table2[[#This Row],[Abundance in SC (g protein/g all proteins)]])</f>
        <v>-3.3385710018136878</v>
      </c>
      <c r="I40">
        <f>LOG(Table2[[#This Row],[Abundance in RT (g protein/g all proteins)]])</f>
        <v>-2.6643415477106984</v>
      </c>
    </row>
    <row r="41" spans="1:9" x14ac:dyDescent="0.2">
      <c r="A41" t="s">
        <v>2521</v>
      </c>
      <c r="B41">
        <v>2.4753259336672199E-3</v>
      </c>
      <c r="C41">
        <v>8.5499999999999997E-4</v>
      </c>
      <c r="D41">
        <f t="shared" si="0"/>
        <v>1.1457434554285153E-3</v>
      </c>
      <c r="E41">
        <f>Table2[[#This Row],[distance from 45-degree line]]/MAX(Table2[[Abundance in SC (g protein/g all proteins)]:[Abundance in RT (g protein/g all proteins)]])</f>
        <v>3.9354124000830597E-2</v>
      </c>
      <c r="F41">
        <f>_xlfn.RANK.AVG(Table2[[#This Row],[Abundance in SC (g protein/g all proteins)]],Table2[Abundance in SC (g protein/g all proteins)])</f>
        <v>31</v>
      </c>
      <c r="G41">
        <f>_xlfn.RANK.AVG(Table2[[#This Row],[Abundance in RT (g protein/g all proteins)]],Table2[Abundance in RT (g protein/g all proteins)])</f>
        <v>99.5</v>
      </c>
      <c r="H41">
        <f>LOG(Table2[[#This Row],[Abundance in SC (g protein/g all proteins)]])</f>
        <v>-2.6063676080946574</v>
      </c>
      <c r="I41">
        <f>LOG(Table2[[#This Row],[Abundance in RT (g protein/g all proteins)]])</f>
        <v>-3.0680338852718272</v>
      </c>
    </row>
    <row r="42" spans="1:9" x14ac:dyDescent="0.2">
      <c r="A42" t="s">
        <v>2398</v>
      </c>
      <c r="B42">
        <v>2.5426964825641502E-3</v>
      </c>
      <c r="C42">
        <v>9.68E-4</v>
      </c>
      <c r="D42">
        <f t="shared" si="0"/>
        <v>1.1134785611317144E-3</v>
      </c>
      <c r="E42">
        <f>Table2[[#This Row],[distance from 45-degree line]]/MAX(Table2[[Abundance in SC (g protein/g all proteins)]:[Abundance in RT (g protein/g all proteins)]])</f>
        <v>3.8245885812766847E-2</v>
      </c>
      <c r="F42">
        <f>_xlfn.RANK.AVG(Table2[[#This Row],[Abundance in SC (g protein/g all proteins)]],Table2[Abundance in SC (g protein/g all proteins)])</f>
        <v>29</v>
      </c>
      <c r="G42">
        <f>_xlfn.RANK.AVG(Table2[[#This Row],[Abundance in RT (g protein/g all proteins)]],Table2[Abundance in RT (g protein/g all proteins)])</f>
        <v>89</v>
      </c>
      <c r="H42">
        <f>LOG(Table2[[#This Row],[Abundance in SC (g protein/g all proteins)]])</f>
        <v>-2.5947054777380005</v>
      </c>
      <c r="I42">
        <f>LOG(Table2[[#This Row],[Abundance in RT (g protein/g all proteins)]])</f>
        <v>-3.0141246426916064</v>
      </c>
    </row>
    <row r="43" spans="1:9" x14ac:dyDescent="0.2">
      <c r="A43" t="s">
        <v>2388</v>
      </c>
      <c r="B43">
        <v>1.25407360308644E-3</v>
      </c>
      <c r="C43">
        <v>2.82E-3</v>
      </c>
      <c r="D43">
        <f t="shared" si="0"/>
        <v>1.1072771740965953E-3</v>
      </c>
      <c r="E43">
        <f>Table2[[#This Row],[distance from 45-degree line]]/MAX(Table2[[Abundance in SC (g protein/g all proteins)]:[Abundance in RT (g protein/g all proteins)]])</f>
        <v>3.8032879879195146E-2</v>
      </c>
      <c r="F43">
        <f>_xlfn.RANK.AVG(Table2[[#This Row],[Abundance in SC (g protein/g all proteins)]],Table2[Abundance in SC (g protein/g all proteins)])</f>
        <v>69</v>
      </c>
      <c r="G43">
        <f>_xlfn.RANK.AVG(Table2[[#This Row],[Abundance in RT (g protein/g all proteins)]],Table2[Abundance in RT (g protein/g all proteins)])</f>
        <v>22</v>
      </c>
      <c r="H43">
        <f>LOG(Table2[[#This Row],[Abundance in SC (g protein/g all proteins)]])</f>
        <v>-2.9016769734923602</v>
      </c>
      <c r="I43">
        <f>LOG(Table2[[#This Row],[Abundance in RT (g protein/g all proteins)]])</f>
        <v>-2.5497508916806391</v>
      </c>
    </row>
    <row r="44" spans="1:9" x14ac:dyDescent="0.2">
      <c r="A44" t="s">
        <v>2432</v>
      </c>
      <c r="B44">
        <v>5.9697116156084301E-4</v>
      </c>
      <c r="C44">
        <v>2.1489999999999999E-3</v>
      </c>
      <c r="D44">
        <f t="shared" si="0"/>
        <v>1.0974501162574082E-3</v>
      </c>
      <c r="E44">
        <f>Table2[[#This Row],[distance from 45-degree line]]/MAX(Table2[[Abundance in SC (g protein/g all proteins)]:[Abundance in RT (g protein/g all proteins)]])</f>
        <v>3.7695339000445756E-2</v>
      </c>
      <c r="F44">
        <f>_xlfn.RANK.AVG(Table2[[#This Row],[Abundance in SC (g protein/g all proteins)]],Table2[Abundance in SC (g protein/g all proteins)])</f>
        <v>135</v>
      </c>
      <c r="G44">
        <f>_xlfn.RANK.AVG(Table2[[#This Row],[Abundance in RT (g protein/g all proteins)]],Table2[Abundance in RT (g protein/g all proteins)])</f>
        <v>34</v>
      </c>
      <c r="H44">
        <f>LOG(Table2[[#This Row],[Abundance in SC (g protein/g all proteins)]])</f>
        <v>-3.2240466482299293</v>
      </c>
      <c r="I44">
        <f>LOG(Table2[[#This Row],[Abundance in RT (g protein/g all proteins)]])</f>
        <v>-2.6677635845085566</v>
      </c>
    </row>
    <row r="45" spans="1:9" x14ac:dyDescent="0.2">
      <c r="A45" t="s">
        <v>2352</v>
      </c>
      <c r="B45">
        <v>2.09319247534062E-3</v>
      </c>
      <c r="C45">
        <v>5.4799999999999998E-4</v>
      </c>
      <c r="D45">
        <f t="shared" si="0"/>
        <v>1.0926160775517795E-3</v>
      </c>
      <c r="E45">
        <f>Table2[[#This Row],[distance from 45-degree line]]/MAX(Table2[[Abundance in SC (g protein/g all proteins)]:[Abundance in RT (g protein/g all proteins)]])</f>
        <v>3.7529298899806489E-2</v>
      </c>
      <c r="F45">
        <f>_xlfn.RANK.AVG(Table2[[#This Row],[Abundance in SC (g protein/g all proteins)]],Table2[Abundance in SC (g protein/g all proteins)])</f>
        <v>41</v>
      </c>
      <c r="G45">
        <f>_xlfn.RANK.AVG(Table2[[#This Row],[Abundance in RT (g protein/g all proteins)]],Table2[Abundance in RT (g protein/g all proteins)])</f>
        <v>140</v>
      </c>
      <c r="H45">
        <f>LOG(Table2[[#This Row],[Abundance in SC (g protein/g all proteins)]])</f>
        <v>-2.6791908351419655</v>
      </c>
      <c r="I45">
        <f>LOG(Table2[[#This Row],[Abundance in RT (g protein/g all proteins)]])</f>
        <v>-3.2612194415156308</v>
      </c>
    </row>
    <row r="46" spans="1:9" x14ac:dyDescent="0.2">
      <c r="A46" t="s">
        <v>2717</v>
      </c>
      <c r="B46">
        <v>1.6328684699206399E-3</v>
      </c>
      <c r="C46">
        <v>1.18E-4</v>
      </c>
      <c r="D46">
        <f t="shared" si="0"/>
        <v>1.0711737676865739E-3</v>
      </c>
      <c r="E46">
        <f>Table2[[#This Row],[distance from 45-degree line]]/MAX(Table2[[Abundance in SC (g protein/g all proteins)]:[Abundance in RT (g protein/g all proteins)]])</f>
        <v>3.679279604892708E-2</v>
      </c>
      <c r="F46">
        <f>_xlfn.RANK.AVG(Table2[[#This Row],[Abundance in SC (g protein/g all proteins)]],Table2[Abundance in SC (g protein/g all proteins)])</f>
        <v>51</v>
      </c>
      <c r="G46">
        <f>_xlfn.RANK.AVG(Table2[[#This Row],[Abundance in RT (g protein/g all proteins)]],Table2[Abundance in RT (g protein/g all proteins)])</f>
        <v>301.5</v>
      </c>
      <c r="H46">
        <f>LOG(Table2[[#This Row],[Abundance in SC (g protein/g all proteins)]])</f>
        <v>-2.7870487969462916</v>
      </c>
      <c r="I46">
        <f>LOG(Table2[[#This Row],[Abundance in RT (g protein/g all proteins)]])</f>
        <v>-3.9281179926938745</v>
      </c>
    </row>
    <row r="47" spans="1:9" x14ac:dyDescent="0.2">
      <c r="A47" t="s">
        <v>2586</v>
      </c>
      <c r="B47">
        <v>2.9935254532601001E-4</v>
      </c>
      <c r="C47">
        <v>1.7129999999999999E-3</v>
      </c>
      <c r="D47">
        <f t="shared" si="0"/>
        <v>9.9959970140708074E-4</v>
      </c>
      <c r="E47">
        <f>Table2[[#This Row],[distance from 45-degree line]]/MAX(Table2[[Abundance in SC (g protein/g all proteins)]:[Abundance in RT (g protein/g all proteins)]])</f>
        <v>3.4334362037140936E-2</v>
      </c>
      <c r="F47">
        <f>_xlfn.RANK.AVG(Table2[[#This Row],[Abundance in SC (g protein/g all proteins)]],Table2[Abundance in SC (g protein/g all proteins)])</f>
        <v>184</v>
      </c>
      <c r="G47">
        <f>_xlfn.RANK.AVG(Table2[[#This Row],[Abundance in RT (g protein/g all proteins)]],Table2[Abundance in RT (g protein/g all proteins)])</f>
        <v>45</v>
      </c>
      <c r="H47">
        <f>LOG(Table2[[#This Row],[Abundance in SC (g protein/g all proteins)]])</f>
        <v>-3.5238170447962611</v>
      </c>
      <c r="I47">
        <f>LOG(Table2[[#This Row],[Abundance in RT (g protein/g all proteins)]])</f>
        <v>-2.7662426370344897</v>
      </c>
    </row>
    <row r="48" spans="1:9" x14ac:dyDescent="0.2">
      <c r="A48" t="s">
        <v>2489</v>
      </c>
      <c r="B48">
        <v>6.5978288400845295E-4</v>
      </c>
      <c r="C48">
        <v>2.0240000000000002E-3</v>
      </c>
      <c r="D48">
        <f t="shared" si="0"/>
        <v>9.6464717372837772E-4</v>
      </c>
      <c r="E48">
        <f>Table2[[#This Row],[distance from 45-degree line]]/MAX(Table2[[Abundance in SC (g protein/g all proteins)]:[Abundance in RT (g protein/g all proteins)]])</f>
        <v>3.3133808717902738E-2</v>
      </c>
      <c r="F48">
        <f>_xlfn.RANK.AVG(Table2[[#This Row],[Abundance in SC (g protein/g all proteins)]],Table2[Abundance in SC (g protein/g all proteins)])</f>
        <v>124</v>
      </c>
      <c r="G48">
        <f>_xlfn.RANK.AVG(Table2[[#This Row],[Abundance in RT (g protein/g all proteins)]],Table2[Abundance in RT (g protein/g all proteins)])</f>
        <v>38</v>
      </c>
      <c r="H48">
        <f>LOG(Table2[[#This Row],[Abundance in SC (g protein/g all proteins)]])</f>
        <v>-3.1805989550487808</v>
      </c>
      <c r="I48">
        <f>LOG(Table2[[#This Row],[Abundance in RT (g protein/g all proteins)]])</f>
        <v>-2.6937894918322383</v>
      </c>
    </row>
    <row r="49" spans="1:9" x14ac:dyDescent="0.2">
      <c r="A49" t="s">
        <v>2501</v>
      </c>
      <c r="B49">
        <v>2.56416539133336E-3</v>
      </c>
      <c r="C49">
        <v>1.2979999999999999E-3</v>
      </c>
      <c r="D49">
        <f t="shared" si="0"/>
        <v>8.9531413431553756E-4</v>
      </c>
      <c r="E49">
        <f>Table2[[#This Row],[distance from 45-degree line]]/MAX(Table2[[Abundance in SC (g protein/g all proteins)]:[Abundance in RT (g protein/g all proteins)]])</f>
        <v>3.0752349746891734E-2</v>
      </c>
      <c r="F49">
        <f>_xlfn.RANK.AVG(Table2[[#This Row],[Abundance in SC (g protein/g all proteins)]],Table2[Abundance in SC (g protein/g all proteins)])</f>
        <v>27</v>
      </c>
      <c r="G49">
        <f>_xlfn.RANK.AVG(Table2[[#This Row],[Abundance in RT (g protein/g all proteins)]],Table2[Abundance in RT (g protein/g all proteins)])</f>
        <v>64.5</v>
      </c>
      <c r="H49">
        <f>LOG(Table2[[#This Row],[Abundance in SC (g protein/g all proteins)]])</f>
        <v>-2.5910539658042051</v>
      </c>
      <c r="I49">
        <f>LOG(Table2[[#This Row],[Abundance in RT (g protein/g all proteins)]])</f>
        <v>-2.8867253075356496</v>
      </c>
    </row>
    <row r="50" spans="1:9" x14ac:dyDescent="0.2">
      <c r="A50" t="s">
        <v>2634</v>
      </c>
      <c r="B50">
        <v>2.34384337458012E-4</v>
      </c>
      <c r="C50">
        <v>1.4890000000000001E-3</v>
      </c>
      <c r="D50">
        <f t="shared" si="0"/>
        <v>8.8714724276629277E-4</v>
      </c>
      <c r="E50">
        <f>Table2[[#This Row],[distance from 45-degree line]]/MAX(Table2[[Abundance in SC (g protein/g all proteins)]:[Abundance in RT (g protein/g all proteins)]])</f>
        <v>3.0471832445040675E-2</v>
      </c>
      <c r="F50">
        <f>_xlfn.RANK.AVG(Table2[[#This Row],[Abundance in SC (g protein/g all proteins)]],Table2[Abundance in SC (g protein/g all proteins)])</f>
        <v>203</v>
      </c>
      <c r="G50">
        <f>_xlfn.RANK.AVG(Table2[[#This Row],[Abundance in RT (g protein/g all proteins)]],Table2[Abundance in RT (g protein/g all proteins)])</f>
        <v>54</v>
      </c>
      <c r="H50">
        <f>LOG(Table2[[#This Row],[Abundance in SC (g protein/g all proteins)]])</f>
        <v>-3.6300714130584995</v>
      </c>
      <c r="I50">
        <f>LOG(Table2[[#This Row],[Abundance in RT (g protein/g all proteins)]])</f>
        <v>-2.8271053022478236</v>
      </c>
    </row>
    <row r="51" spans="1:9" x14ac:dyDescent="0.2">
      <c r="A51" t="s">
        <v>2625</v>
      </c>
      <c r="B51">
        <v>1.5733616007062301E-3</v>
      </c>
      <c r="C51">
        <v>3.3300000000000002E-4</v>
      </c>
      <c r="D51">
        <f t="shared" si="0"/>
        <v>8.7706809898277602E-4</v>
      </c>
      <c r="E51">
        <f>Table2[[#This Row],[distance from 45-degree line]]/MAX(Table2[[Abundance in SC (g protein/g all proteins)]:[Abundance in RT (g protein/g all proteins)]])</f>
        <v>3.0125632890158325E-2</v>
      </c>
      <c r="F51">
        <f>_xlfn.RANK.AVG(Table2[[#This Row],[Abundance in SC (g protein/g all proteins)]],Table2[Abundance in SC (g protein/g all proteins)])</f>
        <v>54</v>
      </c>
      <c r="G51">
        <f>_xlfn.RANK.AVG(Table2[[#This Row],[Abundance in RT (g protein/g all proteins)]],Table2[Abundance in RT (g protein/g all proteins)])</f>
        <v>184</v>
      </c>
      <c r="H51">
        <f>LOG(Table2[[#This Row],[Abundance in SC (g protein/g all proteins)]])</f>
        <v>-2.8031714533818968</v>
      </c>
      <c r="I51">
        <f>LOG(Table2[[#This Row],[Abundance in RT (g protein/g all proteins)]])</f>
        <v>-3.4775557664936803</v>
      </c>
    </row>
    <row r="52" spans="1:9" x14ac:dyDescent="0.2">
      <c r="A52" t="s">
        <v>2788</v>
      </c>
      <c r="B52">
        <v>3.8792080569551501E-4</v>
      </c>
      <c r="C52">
        <v>1.598E-3</v>
      </c>
      <c r="D52">
        <f t="shared" si="0"/>
        <v>8.5565520406545516E-4</v>
      </c>
      <c r="E52">
        <f>Table2[[#This Row],[distance from 45-degree line]]/MAX(Table2[[Abundance in SC (g protein/g all proteins)]:[Abundance in RT (g protein/g all proteins)]])</f>
        <v>2.9390140387189734E-2</v>
      </c>
      <c r="F52">
        <f>_xlfn.RANK.AVG(Table2[[#This Row],[Abundance in SC (g protein/g all proteins)]],Table2[Abundance in SC (g protein/g all proteins)])</f>
        <v>165</v>
      </c>
      <c r="G52">
        <f>_xlfn.RANK.AVG(Table2[[#This Row],[Abundance in RT (g protein/g all proteins)]],Table2[Abundance in RT (g protein/g all proteins)])</f>
        <v>48.5</v>
      </c>
      <c r="H52">
        <f>LOG(Table2[[#This Row],[Abundance in SC (g protein/g all proteins)]])</f>
        <v>-3.4112569268798674</v>
      </c>
      <c r="I52">
        <f>LOG(Table2[[#This Row],[Abundance in RT (g protein/g all proteins)]])</f>
        <v>-2.7964232250220276</v>
      </c>
    </row>
    <row r="53" spans="1:9" x14ac:dyDescent="0.2">
      <c r="A53" t="s">
        <v>2541</v>
      </c>
      <c r="B53">
        <v>2.5277742467436299E-4</v>
      </c>
      <c r="C53">
        <v>1.382E-3</v>
      </c>
      <c r="D53">
        <f t="shared" si="0"/>
        <v>7.9848094048169487E-4</v>
      </c>
      <c r="E53">
        <f>Table2[[#This Row],[distance from 45-degree line]]/MAX(Table2[[Abundance in SC (g protein/g all proteins)]:[Abundance in RT (g protein/g all proteins)]])</f>
        <v>2.7426312404519787E-2</v>
      </c>
      <c r="F53">
        <f>_xlfn.RANK.AVG(Table2[[#This Row],[Abundance in SC (g protein/g all proteins)]],Table2[Abundance in SC (g protein/g all proteins)])</f>
        <v>199</v>
      </c>
      <c r="G53">
        <f>_xlfn.RANK.AVG(Table2[[#This Row],[Abundance in RT (g protein/g all proteins)]],Table2[Abundance in RT (g protein/g all proteins)])</f>
        <v>61.5</v>
      </c>
      <c r="H53">
        <f>LOG(Table2[[#This Row],[Abundance in SC (g protein/g all proteins)]])</f>
        <v>-3.5972617151093784</v>
      </c>
      <c r="I53">
        <f>LOG(Table2[[#This Row],[Abundance in RT (g protein/g all proteins)]])</f>
        <v>-2.8594919569618202</v>
      </c>
    </row>
    <row r="54" spans="1:9" x14ac:dyDescent="0.2">
      <c r="A54" t="s">
        <v>2834</v>
      </c>
      <c r="B54">
        <v>2.4723844121907201E-3</v>
      </c>
      <c r="C54">
        <v>1.346E-3</v>
      </c>
      <c r="D54">
        <f t="shared" si="0"/>
        <v>7.9647405608288143E-4</v>
      </c>
      <c r="E54">
        <f>Table2[[#This Row],[distance from 45-degree line]]/MAX(Table2[[Abundance in SC (g protein/g all proteins)]:[Abundance in RT (g protein/g all proteins)]])</f>
        <v>2.7357379715345756E-2</v>
      </c>
      <c r="F54">
        <f>_xlfn.RANK.AVG(Table2[[#This Row],[Abundance in SC (g protein/g all proteins)]],Table2[Abundance in SC (g protein/g all proteins)])</f>
        <v>32</v>
      </c>
      <c r="G54">
        <f>_xlfn.RANK.AVG(Table2[[#This Row],[Abundance in RT (g protein/g all proteins)]],Table2[Abundance in RT (g protein/g all proteins)])</f>
        <v>63</v>
      </c>
      <c r="H54">
        <f>LOG(Table2[[#This Row],[Abundance in SC (g protein/g all proteins)]])</f>
        <v>-2.6068840031973841</v>
      </c>
      <c r="I54">
        <f>LOG(Table2[[#This Row],[Abundance in RT (g protein/g all proteins)]])</f>
        <v>-2.8709549401120418</v>
      </c>
    </row>
    <row r="55" spans="1:9" x14ac:dyDescent="0.2">
      <c r="A55" t="s">
        <v>2624</v>
      </c>
      <c r="B55">
        <v>3.5526561699327098E-3</v>
      </c>
      <c r="C55">
        <v>2.4589999999999998E-3</v>
      </c>
      <c r="D55">
        <f t="shared" si="0"/>
        <v>7.7333169404592635E-4</v>
      </c>
      <c r="E55">
        <f>Table2[[#This Row],[distance from 45-degree line]]/MAX(Table2[[Abundance in SC (g protein/g all proteins)]:[Abundance in RT (g protein/g all proteins)]])</f>
        <v>2.6562483282850907E-2</v>
      </c>
      <c r="F55">
        <f>_xlfn.RANK.AVG(Table2[[#This Row],[Abundance in SC (g protein/g all proteins)]],Table2[Abundance in SC (g protein/g all proteins)])</f>
        <v>20</v>
      </c>
      <c r="G55">
        <f>_xlfn.RANK.AVG(Table2[[#This Row],[Abundance in RT (g protein/g all proteins)]],Table2[Abundance in RT (g protein/g all proteins)])</f>
        <v>29</v>
      </c>
      <c r="H55">
        <f>LOG(Table2[[#This Row],[Abundance in SC (g protein/g all proteins)]])</f>
        <v>-2.4494468219862005</v>
      </c>
      <c r="I55">
        <f>LOG(Table2[[#This Row],[Abundance in RT (g protein/g all proteins)]])</f>
        <v>-2.6092414712612828</v>
      </c>
    </row>
    <row r="56" spans="1:9" x14ac:dyDescent="0.2">
      <c r="A56" t="s">
        <v>2619</v>
      </c>
      <c r="B56">
        <v>2.02276211834106E-3</v>
      </c>
      <c r="C56">
        <v>9.5E-4</v>
      </c>
      <c r="D56">
        <f t="shared" si="0"/>
        <v>7.5855736847900922E-4</v>
      </c>
      <c r="E56">
        <f>Table2[[#This Row],[distance from 45-degree line]]/MAX(Table2[[Abundance in SC (g protein/g all proteins)]:[Abundance in RT (g protein/g all proteins)]])</f>
        <v>2.6055013100381798E-2</v>
      </c>
      <c r="F56">
        <f>_xlfn.RANK.AVG(Table2[[#This Row],[Abundance in SC (g protein/g all proteins)]],Table2[Abundance in SC (g protein/g all proteins)])</f>
        <v>44</v>
      </c>
      <c r="G56">
        <f>_xlfn.RANK.AVG(Table2[[#This Row],[Abundance in RT (g protein/g all proteins)]],Table2[Abundance in RT (g protein/g all proteins)])</f>
        <v>90</v>
      </c>
      <c r="H56">
        <f>LOG(Table2[[#This Row],[Abundance in SC (g protein/g all proteins)]])</f>
        <v>-2.6940551882951258</v>
      </c>
      <c r="I56">
        <f>LOG(Table2[[#This Row],[Abundance in RT (g protein/g all proteins)]])</f>
        <v>-3.0222763947111524</v>
      </c>
    </row>
    <row r="57" spans="1:9" x14ac:dyDescent="0.2">
      <c r="A57" t="s">
        <v>2865</v>
      </c>
      <c r="B57">
        <v>1.41997654292559E-3</v>
      </c>
      <c r="C57">
        <v>4.15E-4</v>
      </c>
      <c r="D57">
        <f t="shared" si="0"/>
        <v>7.1062572843609811E-4</v>
      </c>
      <c r="E57">
        <f>Table2[[#This Row],[distance from 45-degree line]]/MAX(Table2[[Abundance in SC (g protein/g all proteins)]:[Abundance in RT (g protein/g all proteins)]])</f>
        <v>2.4408651781995378E-2</v>
      </c>
      <c r="F57">
        <f>_xlfn.RANK.AVG(Table2[[#This Row],[Abundance in SC (g protein/g all proteins)]],Table2[Abundance in SC (g protein/g all proteins)])</f>
        <v>60</v>
      </c>
      <c r="G57">
        <f>_xlfn.RANK.AVG(Table2[[#This Row],[Abundance in RT (g protein/g all proteins)]],Table2[Abundance in RT (g protein/g all proteins)])</f>
        <v>163</v>
      </c>
      <c r="H57">
        <f>LOG(Table2[[#This Row],[Abundance in SC (g protein/g all proteins)]])</f>
        <v>-2.8477188298156202</v>
      </c>
      <c r="I57">
        <f>LOG(Table2[[#This Row],[Abundance in RT (g protein/g all proteins)]])</f>
        <v>-3.3819519032879071</v>
      </c>
    </row>
    <row r="58" spans="1:9" x14ac:dyDescent="0.2">
      <c r="A58" t="s">
        <v>2826</v>
      </c>
      <c r="B58">
        <v>3.8813177443702297E-4</v>
      </c>
      <c r="C58">
        <v>1.387E-3</v>
      </c>
      <c r="D58">
        <f t="shared" si="0"/>
        <v>7.0630649580735499E-4</v>
      </c>
      <c r="E58">
        <f>Table2[[#This Row],[distance from 45-degree line]]/MAX(Table2[[Abundance in SC (g protein/g all proteins)]:[Abundance in RT (g protein/g all proteins)]])</f>
        <v>2.4260294297905351E-2</v>
      </c>
      <c r="F58">
        <f>_xlfn.RANK.AVG(Table2[[#This Row],[Abundance in SC (g protein/g all proteins)]],Table2[Abundance in SC (g protein/g all proteins)])</f>
        <v>164</v>
      </c>
      <c r="G58">
        <f>_xlfn.RANK.AVG(Table2[[#This Row],[Abundance in RT (g protein/g all proteins)]],Table2[Abundance in RT (g protein/g all proteins)])</f>
        <v>60</v>
      </c>
      <c r="H58">
        <f>LOG(Table2[[#This Row],[Abundance in SC (g protein/g all proteins)]])</f>
        <v>-3.4110208022540531</v>
      </c>
      <c r="I58">
        <f>LOG(Table2[[#This Row],[Abundance in RT (g protein/g all proteins)]])</f>
        <v>-2.8579235389267152</v>
      </c>
    </row>
    <row r="59" spans="1:9" x14ac:dyDescent="0.2">
      <c r="A59" t="s">
        <v>2529</v>
      </c>
      <c r="B59">
        <v>1.0833215457136201E-3</v>
      </c>
      <c r="C59">
        <v>2.0439999999999998E-3</v>
      </c>
      <c r="D59">
        <f t="shared" si="0"/>
        <v>6.793022495657098E-4</v>
      </c>
      <c r="E59">
        <f>Table2[[#This Row],[distance from 45-degree line]]/MAX(Table2[[Abundance in SC (g protein/g all proteins)]:[Abundance in RT (g protein/g all proteins)]])</f>
        <v>2.3332749436001513E-2</v>
      </c>
      <c r="F59">
        <f>_xlfn.RANK.AVG(Table2[[#This Row],[Abundance in SC (g protein/g all proteins)]],Table2[Abundance in SC (g protein/g all proteins)])</f>
        <v>79</v>
      </c>
      <c r="G59">
        <f>_xlfn.RANK.AVG(Table2[[#This Row],[Abundance in RT (g protein/g all proteins)]],Table2[Abundance in RT (g protein/g all proteins)])</f>
        <v>36</v>
      </c>
      <c r="H59">
        <f>LOG(Table2[[#This Row],[Abundance in SC (g protein/g all proteins)]])</f>
        <v>-2.9652426192725243</v>
      </c>
      <c r="I59">
        <f>LOG(Table2[[#This Row],[Abundance in RT (g protein/g all proteins)]])</f>
        <v>-2.6895191085373251</v>
      </c>
    </row>
    <row r="60" spans="1:9" x14ac:dyDescent="0.2">
      <c r="A60" t="s">
        <v>2804</v>
      </c>
      <c r="B60">
        <v>1.9212403339961799E-3</v>
      </c>
      <c r="C60">
        <v>9.8400000000000007E-4</v>
      </c>
      <c r="D60">
        <f t="shared" si="0"/>
        <v>6.627289957702434E-4</v>
      </c>
      <c r="E60">
        <f>Table2[[#This Row],[distance from 45-degree line]]/MAX(Table2[[Abundance in SC (g protein/g all proteins)]:[Abundance in RT (g protein/g all proteins)]])</f>
        <v>2.2763489466089588E-2</v>
      </c>
      <c r="F60">
        <f>_xlfn.RANK.AVG(Table2[[#This Row],[Abundance in SC (g protein/g all proteins)]],Table2[Abundance in SC (g protein/g all proteins)])</f>
        <v>46</v>
      </c>
      <c r="G60">
        <f>_xlfn.RANK.AVG(Table2[[#This Row],[Abundance in RT (g protein/g all proteins)]],Table2[Abundance in RT (g protein/g all proteins)])</f>
        <v>88</v>
      </c>
      <c r="H60">
        <f>LOG(Table2[[#This Row],[Abundance in SC (g protein/g all proteins)]])</f>
        <v>-2.7164183044773287</v>
      </c>
      <c r="I60">
        <f>LOG(Table2[[#This Row],[Abundance in RT (g protein/g all proteins)]])</f>
        <v>-3.0070049015686586</v>
      </c>
    </row>
    <row r="61" spans="1:9" x14ac:dyDescent="0.2">
      <c r="A61" t="s">
        <v>2387</v>
      </c>
      <c r="B61">
        <v>2.37170183142515E-3</v>
      </c>
      <c r="C61">
        <v>1.4649999999999999E-3</v>
      </c>
      <c r="D61">
        <f t="shared" si="0"/>
        <v>6.411350135149855E-4</v>
      </c>
      <c r="E61">
        <f>Table2[[#This Row],[distance from 45-degree line]]/MAX(Table2[[Abundance in SC (g protein/g all proteins)]:[Abundance in RT (g protein/g all proteins)]])</f>
        <v>2.2021776955039443E-2</v>
      </c>
      <c r="F61">
        <f>_xlfn.RANK.AVG(Table2[[#This Row],[Abundance in SC (g protein/g all proteins)]],Table2[Abundance in SC (g protein/g all proteins)])</f>
        <v>35</v>
      </c>
      <c r="G61">
        <f>_xlfn.RANK.AVG(Table2[[#This Row],[Abundance in RT (g protein/g all proteins)]],Table2[Abundance in RT (g protein/g all proteins)])</f>
        <v>56</v>
      </c>
      <c r="H61">
        <f>LOG(Table2[[#This Row],[Abundance in SC (g protein/g all proteins)]])</f>
        <v>-2.6249399110524094</v>
      </c>
      <c r="I61">
        <f>LOG(Table2[[#This Row],[Abundance in RT (g protein/g all proteins)]])</f>
        <v>-2.8341623753098717</v>
      </c>
    </row>
    <row r="62" spans="1:9" x14ac:dyDescent="0.2">
      <c r="A62" t="s">
        <v>2485</v>
      </c>
      <c r="B62">
        <v>7.8038060143469502E-4</v>
      </c>
      <c r="C62">
        <v>1.684E-3</v>
      </c>
      <c r="D62">
        <f t="shared" si="0"/>
        <v>6.3895540433723673E-4</v>
      </c>
      <c r="E62">
        <f>Table2[[#This Row],[distance from 45-degree line]]/MAX(Table2[[Abundance in SC (g protein/g all proteins)]:[Abundance in RT (g protein/g all proteins)]])</f>
        <v>2.1946911495893187E-2</v>
      </c>
      <c r="F62">
        <f>_xlfn.RANK.AVG(Table2[[#This Row],[Abundance in SC (g protein/g all proteins)]],Table2[Abundance in SC (g protein/g all proteins)])</f>
        <v>110</v>
      </c>
      <c r="G62">
        <f>_xlfn.RANK.AVG(Table2[[#This Row],[Abundance in RT (g protein/g all proteins)]],Table2[Abundance in RT (g protein/g all proteins)])</f>
        <v>46</v>
      </c>
      <c r="H62">
        <f>LOG(Table2[[#This Row],[Abundance in SC (g protein/g all proteins)]])</f>
        <v>-3.107693534760064</v>
      </c>
      <c r="I62">
        <f>LOG(Table2[[#This Row],[Abundance in RT (g protein/g all proteins)]])</f>
        <v>-2.7736579128363692</v>
      </c>
    </row>
    <row r="63" spans="1:9" x14ac:dyDescent="0.2">
      <c r="A63" t="s">
        <v>2631</v>
      </c>
      <c r="B63">
        <v>2.07007729785834E-4</v>
      </c>
      <c r="C63">
        <v>1.0970000000000001E-3</v>
      </c>
      <c r="D63">
        <f t="shared" si="0"/>
        <v>6.2931956947204692E-4</v>
      </c>
      <c r="E63">
        <f>Table2[[#This Row],[distance from 45-degree line]]/MAX(Table2[[Abundance in SC (g protein/g all proteins)]:[Abundance in RT (g protein/g all proteins)]])</f>
        <v>2.1615938765183258E-2</v>
      </c>
      <c r="F63">
        <f>_xlfn.RANK.AVG(Table2[[#This Row],[Abundance in SC (g protein/g all proteins)]],Table2[Abundance in SC (g protein/g all proteins)])</f>
        <v>214</v>
      </c>
      <c r="G63">
        <f>_xlfn.RANK.AVG(Table2[[#This Row],[Abundance in RT (g protein/g all proteins)]],Table2[Abundance in RT (g protein/g all proteins)])</f>
        <v>78</v>
      </c>
      <c r="H63">
        <f>LOG(Table2[[#This Row],[Abundance in SC (g protein/g all proteins)]])</f>
        <v>-3.684013437438459</v>
      </c>
      <c r="I63">
        <f>LOG(Table2[[#This Row],[Abundance in RT (g protein/g all proteins)]])</f>
        <v>-2.9597933724252887</v>
      </c>
    </row>
    <row r="64" spans="1:9" x14ac:dyDescent="0.2">
      <c r="A64" t="s">
        <v>2815</v>
      </c>
      <c r="B64">
        <v>1.93105558260695E-4</v>
      </c>
      <c r="C64">
        <v>1.083E-3</v>
      </c>
      <c r="D64">
        <f t="shared" si="0"/>
        <v>6.2925039429407952E-4</v>
      </c>
      <c r="E64">
        <f>Table2[[#This Row],[distance from 45-degree line]]/MAX(Table2[[Abundance in SC (g protein/g all proteins)]:[Abundance in RT (g protein/g all proteins)]])</f>
        <v>2.1613562728454782E-2</v>
      </c>
      <c r="F64">
        <f>_xlfn.RANK.AVG(Table2[[#This Row],[Abundance in SC (g protein/g all proteins)]],Table2[Abundance in SC (g protein/g all proteins)])</f>
        <v>225</v>
      </c>
      <c r="G64">
        <f>_xlfn.RANK.AVG(Table2[[#This Row],[Abundance in RT (g protein/g all proteins)]],Table2[Abundance in RT (g protein/g all proteins)])</f>
        <v>79</v>
      </c>
      <c r="H64">
        <f>LOG(Table2[[#This Row],[Abundance in SC (g protein/g all proteins)]])</f>
        <v>-3.7142052255100517</v>
      </c>
      <c r="I64">
        <f>LOG(Table2[[#This Row],[Abundance in RT (g protein/g all proteins)]])</f>
        <v>-2.9653715433746797</v>
      </c>
    </row>
    <row r="65" spans="1:9" x14ac:dyDescent="0.2">
      <c r="A65" t="s">
        <v>2514</v>
      </c>
      <c r="B65">
        <v>9.4382051776904102E-4</v>
      </c>
      <c r="C65">
        <v>7.1199999999999996E-5</v>
      </c>
      <c r="D65">
        <f t="shared" si="0"/>
        <v>6.1703588551700504E-4</v>
      </c>
      <c r="E65">
        <f>Table2[[#This Row],[distance from 45-degree line]]/MAX(Table2[[Abundance in SC (g protein/g all proteins)]:[Abundance in RT (g protein/g all proteins)]])</f>
        <v>2.1194017418599668E-2</v>
      </c>
      <c r="F65">
        <f>_xlfn.RANK.AVG(Table2[[#This Row],[Abundance in SC (g protein/g all proteins)]],Table2[Abundance in SC (g protein/g all proteins)])</f>
        <v>94</v>
      </c>
      <c r="G65">
        <f>_xlfn.RANK.AVG(Table2[[#This Row],[Abundance in RT (g protein/g all proteins)]],Table2[Abundance in RT (g protein/g all proteins)])</f>
        <v>369</v>
      </c>
      <c r="H65">
        <f>LOG(Table2[[#This Row],[Abundance in SC (g protein/g all proteins)]])</f>
        <v>-3.0251105857374867</v>
      </c>
      <c r="I65">
        <f>LOG(Table2[[#This Row],[Abundance in RT (g protein/g all proteins)]])</f>
        <v>-4.1475200063631439</v>
      </c>
    </row>
    <row r="66" spans="1:9" x14ac:dyDescent="0.2">
      <c r="A66" t="s">
        <v>2728</v>
      </c>
      <c r="B66">
        <v>8.9766639673593098E-4</v>
      </c>
      <c r="C66">
        <v>3.2100000000000001E-5</v>
      </c>
      <c r="D66">
        <f t="shared" ref="D66:D129" si="1">ABS(B66-C66)/SQRT(2)</f>
        <v>6.1204786869918236E-4</v>
      </c>
      <c r="E66">
        <f>Table2[[#This Row],[distance from 45-degree line]]/MAX(Table2[[Abundance in SC (g protein/g all proteins)]:[Abundance in RT (g protein/g all proteins)]])</f>
        <v>2.1022688460588381E-2</v>
      </c>
      <c r="F66">
        <f>_xlfn.RANK.AVG(Table2[[#This Row],[Abundance in SC (g protein/g all proteins)]],Table2[Abundance in SC (g protein/g all proteins)])</f>
        <v>96</v>
      </c>
      <c r="G66">
        <f>_xlfn.RANK.AVG(Table2[[#This Row],[Abundance in RT (g protein/g all proteins)]],Table2[Abundance in RT (g protein/g all proteins)])</f>
        <v>448</v>
      </c>
      <c r="H66">
        <f>LOG(Table2[[#This Row],[Abundance in SC (g protein/g all proteins)]])</f>
        <v>-3.0468850319016685</v>
      </c>
      <c r="I66">
        <f>LOG(Table2[[#This Row],[Abundance in RT (g protein/g all proteins)]])</f>
        <v>-4.4934949675951277</v>
      </c>
    </row>
    <row r="67" spans="1:9" x14ac:dyDescent="0.2">
      <c r="A67" t="s">
        <v>2394</v>
      </c>
      <c r="B67">
        <v>7.1567905877867105E-5</v>
      </c>
      <c r="C67">
        <v>9.2800000000000001E-4</v>
      </c>
      <c r="D67">
        <f t="shared" si="1"/>
        <v>6.0558894137955569E-4</v>
      </c>
      <c r="E67">
        <f>Table2[[#This Row],[distance from 45-degree line]]/MAX(Table2[[Abundance in SC (g protein/g all proteins)]:[Abundance in RT (g protein/g all proteins)]])</f>
        <v>2.0800836504598918E-2</v>
      </c>
      <c r="F67">
        <f>_xlfn.RANK.AVG(Table2[[#This Row],[Abundance in SC (g protein/g all proteins)]],Table2[Abundance in SC (g protein/g all proteins)])</f>
        <v>313</v>
      </c>
      <c r="G67">
        <f>_xlfn.RANK.AVG(Table2[[#This Row],[Abundance in RT (g protein/g all proteins)]],Table2[Abundance in RT (g protein/g all proteins)])</f>
        <v>93</v>
      </c>
      <c r="H67">
        <f>LOG(Table2[[#This Row],[Abundance in SC (g protein/g all proteins)]])</f>
        <v>-4.1452816903310126</v>
      </c>
      <c r="I67">
        <f>LOG(Table2[[#This Row],[Abundance in RT (g protein/g all proteins)]])</f>
        <v>-3.0324520237811381</v>
      </c>
    </row>
    <row r="68" spans="1:9" x14ac:dyDescent="0.2">
      <c r="A68" t="s">
        <v>2778</v>
      </c>
      <c r="B68">
        <v>2.58699430225402E-4</v>
      </c>
      <c r="C68">
        <v>1.114E-3</v>
      </c>
      <c r="D68">
        <f t="shared" si="1"/>
        <v>6.0478883284033607E-4</v>
      </c>
      <c r="E68">
        <f>Table2[[#This Row],[distance from 45-degree line]]/MAX(Table2[[Abundance in SC (g protein/g all proteins)]:[Abundance in RT (g protein/g all proteins)]])</f>
        <v>2.0773354287251411E-2</v>
      </c>
      <c r="F68">
        <f>_xlfn.RANK.AVG(Table2[[#This Row],[Abundance in SC (g protein/g all proteins)]],Table2[Abundance in SC (g protein/g all proteins)])</f>
        <v>197</v>
      </c>
      <c r="G68">
        <f>_xlfn.RANK.AVG(Table2[[#This Row],[Abundance in RT (g protein/g all proteins)]],Table2[Abundance in RT (g protein/g all proteins)])</f>
        <v>76</v>
      </c>
      <c r="H68">
        <f>LOG(Table2[[#This Row],[Abundance in SC (g protein/g all proteins)]])</f>
        <v>-3.5872045277977063</v>
      </c>
      <c r="I68">
        <f>LOG(Table2[[#This Row],[Abundance in RT (g protein/g all proteins)]])</f>
        <v>-2.9531148091622899</v>
      </c>
    </row>
    <row r="69" spans="1:9" x14ac:dyDescent="0.2">
      <c r="A69" t="s">
        <v>2695</v>
      </c>
      <c r="B69">
        <v>1.71815783930115E-3</v>
      </c>
      <c r="C69">
        <v>8.7500000000000002E-4</v>
      </c>
      <c r="D69">
        <f t="shared" si="1"/>
        <v>5.9620262578044037E-4</v>
      </c>
      <c r="E69">
        <f>Table2[[#This Row],[distance from 45-degree line]]/MAX(Table2[[Abundance in SC (g protein/g all proteins)]:[Abundance in RT (g protein/g all proteins)]])</f>
        <v>2.0478434289470961E-2</v>
      </c>
      <c r="F69">
        <f>_xlfn.RANK.AVG(Table2[[#This Row],[Abundance in SC (g protein/g all proteins)]],Table2[Abundance in SC (g protein/g all proteins)])</f>
        <v>49</v>
      </c>
      <c r="G69">
        <f>_xlfn.RANK.AVG(Table2[[#This Row],[Abundance in RT (g protein/g all proteins)]],Table2[Abundance in RT (g protein/g all proteins)])</f>
        <v>96</v>
      </c>
      <c r="H69">
        <f>LOG(Table2[[#This Row],[Abundance in SC (g protein/g all proteins)]])</f>
        <v>-2.7649369420246885</v>
      </c>
      <c r="I69">
        <f>LOG(Table2[[#This Row],[Abundance in RT (g protein/g all proteins)]])</f>
        <v>-3.0579919469776868</v>
      </c>
    </row>
    <row r="70" spans="1:9" x14ac:dyDescent="0.2">
      <c r="A70" t="s">
        <v>2349</v>
      </c>
      <c r="B70">
        <v>1.6158931578894699E-3</v>
      </c>
      <c r="C70">
        <v>7.7999999999999999E-4</v>
      </c>
      <c r="D70">
        <f t="shared" si="1"/>
        <v>5.9106572029108155E-4</v>
      </c>
      <c r="E70">
        <f>Table2[[#This Row],[distance from 45-degree line]]/MAX(Table2[[Abundance in SC (g protein/g all proteins)]:[Abundance in RT (g protein/g all proteins)]])</f>
        <v>2.0301991286763021E-2</v>
      </c>
      <c r="F70">
        <f>_xlfn.RANK.AVG(Table2[[#This Row],[Abundance in SC (g protein/g all proteins)]],Table2[Abundance in SC (g protein/g all proteins)])</f>
        <v>52</v>
      </c>
      <c r="G70">
        <f>_xlfn.RANK.AVG(Table2[[#This Row],[Abundance in RT (g protein/g all proteins)]],Table2[Abundance in RT (g protein/g all proteins)])</f>
        <v>107</v>
      </c>
      <c r="H70">
        <f>LOG(Table2[[#This Row],[Abundance in SC (g protein/g all proteins)]])</f>
        <v>-2.791587357963047</v>
      </c>
      <c r="I70">
        <f>LOG(Table2[[#This Row],[Abundance in RT (g protein/g all proteins)]])</f>
        <v>-3.1079053973095196</v>
      </c>
    </row>
    <row r="71" spans="1:9" x14ac:dyDescent="0.2">
      <c r="A71" t="s">
        <v>2335</v>
      </c>
      <c r="B71">
        <v>3.36175577186465E-3</v>
      </c>
      <c r="C71">
        <v>2.5339999999999998E-3</v>
      </c>
      <c r="D71">
        <f t="shared" si="1"/>
        <v>5.8531171945179895E-4</v>
      </c>
      <c r="E71">
        <f>Table2[[#This Row],[distance from 45-degree line]]/MAX(Table2[[Abundance in SC (g protein/g all proteins)]:[Abundance in RT (g protein/g all proteins)]])</f>
        <v>2.0104352224146409E-2</v>
      </c>
      <c r="F71">
        <f>_xlfn.RANK.AVG(Table2[[#This Row],[Abundance in SC (g protein/g all proteins)]],Table2[Abundance in SC (g protein/g all proteins)])</f>
        <v>21</v>
      </c>
      <c r="G71">
        <f>_xlfn.RANK.AVG(Table2[[#This Row],[Abundance in RT (g protein/g all proteins)]],Table2[Abundance in RT (g protein/g all proteins)])</f>
        <v>27</v>
      </c>
      <c r="H71">
        <f>LOG(Table2[[#This Row],[Abundance in SC (g protein/g all proteins)]])</f>
        <v>-2.473433840802628</v>
      </c>
      <c r="I71">
        <f>LOG(Table2[[#This Row],[Abundance in RT (g protein/g all proteins)]])</f>
        <v>-2.5961933894525777</v>
      </c>
    </row>
    <row r="72" spans="1:9" x14ac:dyDescent="0.2">
      <c r="A72" t="s">
        <v>2848</v>
      </c>
      <c r="B72">
        <v>1.0568283063289901E-3</v>
      </c>
      <c r="C72">
        <v>1.879E-3</v>
      </c>
      <c r="D72">
        <f t="shared" si="1"/>
        <v>5.8136317989439994E-4</v>
      </c>
      <c r="E72">
        <f>Table2[[#This Row],[distance from 45-degree line]]/MAX(Table2[[Abundance in SC (g protein/g all proteins)]:[Abundance in RT (g protein/g all proteins)]])</f>
        <v>1.9968727347017219E-2</v>
      </c>
      <c r="F72">
        <f>_xlfn.RANK.AVG(Table2[[#This Row],[Abundance in SC (g protein/g all proteins)]],Table2[Abundance in SC (g protein/g all proteins)])</f>
        <v>83</v>
      </c>
      <c r="G72">
        <f>_xlfn.RANK.AVG(Table2[[#This Row],[Abundance in RT (g protein/g all proteins)]],Table2[Abundance in RT (g protein/g all proteins)])</f>
        <v>42</v>
      </c>
      <c r="H72">
        <f>LOG(Table2[[#This Row],[Abundance in SC (g protein/g all proteins)]])</f>
        <v>-2.9759955629958674</v>
      </c>
      <c r="I72">
        <f>LOG(Table2[[#This Row],[Abundance in RT (g protein/g all proteins)]])</f>
        <v>-2.7260732198994746</v>
      </c>
    </row>
    <row r="73" spans="1:9" x14ac:dyDescent="0.2">
      <c r="A73" t="s">
        <v>2839</v>
      </c>
      <c r="B73">
        <v>2.7425394087660202E-3</v>
      </c>
      <c r="C73">
        <v>3.5560000000000001E-3</v>
      </c>
      <c r="D73">
        <f t="shared" si="1"/>
        <v>5.7520350028956546E-4</v>
      </c>
      <c r="E73">
        <f>Table2[[#This Row],[distance from 45-degree line]]/MAX(Table2[[Abundance in SC (g protein/g all proteins)]:[Abundance in RT (g protein/g all proteins)]])</f>
        <v>1.975715398491289E-2</v>
      </c>
      <c r="F73">
        <f>_xlfn.RANK.AVG(Table2[[#This Row],[Abundance in SC (g protein/g all proteins)]],Table2[Abundance in SC (g protein/g all proteins)])</f>
        <v>26</v>
      </c>
      <c r="G73">
        <f>_xlfn.RANK.AVG(Table2[[#This Row],[Abundance in RT (g protein/g all proteins)]],Table2[Abundance in RT (g protein/g all proteins)])</f>
        <v>18</v>
      </c>
      <c r="H73">
        <f>LOG(Table2[[#This Row],[Abundance in SC (g protein/g all proteins)]])</f>
        <v>-2.5618471231382451</v>
      </c>
      <c r="I73">
        <f>LOG(Table2[[#This Row],[Abundance in RT (g protein/g all proteins)]])</f>
        <v>-2.4490382477018238</v>
      </c>
    </row>
    <row r="74" spans="1:9" x14ac:dyDescent="0.2">
      <c r="A74" t="s">
        <v>2531</v>
      </c>
      <c r="B74">
        <v>8.3267242085577299E-4</v>
      </c>
      <c r="C74">
        <v>2.7100000000000001E-5</v>
      </c>
      <c r="D74">
        <f t="shared" si="1"/>
        <v>5.6962572152398046E-4</v>
      </c>
      <c r="E74">
        <f>Table2[[#This Row],[distance from 45-degree line]]/MAX(Table2[[Abundance in SC (g protein/g all proteins)]:[Abundance in RT (g protein/g all proteins)]])</f>
        <v>1.9565567817739077E-2</v>
      </c>
      <c r="F74">
        <f>_xlfn.RANK.AVG(Table2[[#This Row],[Abundance in SC (g protein/g all proteins)]],Table2[Abundance in SC (g protein/g all proteins)])</f>
        <v>102</v>
      </c>
      <c r="G74">
        <f>_xlfn.RANK.AVG(Table2[[#This Row],[Abundance in RT (g protein/g all proteins)]],Table2[Abundance in RT (g protein/g all proteins)])</f>
        <v>466.5</v>
      </c>
      <c r="H74">
        <f>LOG(Table2[[#This Row],[Abundance in SC (g protein/g all proteins)]])</f>
        <v>-3.079525819475851</v>
      </c>
      <c r="I74">
        <f>LOG(Table2[[#This Row],[Abundance in RT (g protein/g all proteins)]])</f>
        <v>-4.5670307091255946</v>
      </c>
    </row>
    <row r="75" spans="1:9" x14ac:dyDescent="0.2">
      <c r="A75" t="s">
        <v>2704</v>
      </c>
      <c r="B75">
        <v>1.06414599711518E-3</v>
      </c>
      <c r="C75">
        <v>2.5999999999999998E-4</v>
      </c>
      <c r="D75">
        <f t="shared" si="1"/>
        <v>5.6861708762416161E-4</v>
      </c>
      <c r="E75">
        <f>Table2[[#This Row],[distance from 45-degree line]]/MAX(Table2[[Abundance in SC (g protein/g all proteins)]:[Abundance in RT (g protein/g all proteins)]])</f>
        <v>1.9530923148047233E-2</v>
      </c>
      <c r="F75">
        <f>_xlfn.RANK.AVG(Table2[[#This Row],[Abundance in SC (g protein/g all proteins)]],Table2[Abundance in SC (g protein/g all proteins)])</f>
        <v>81</v>
      </c>
      <c r="G75">
        <f>_xlfn.RANK.AVG(Table2[[#This Row],[Abundance in RT (g protein/g all proteins)]],Table2[Abundance in RT (g protein/g all proteins)])</f>
        <v>216</v>
      </c>
      <c r="H75">
        <f>LOG(Table2[[#This Row],[Abundance in SC (g protein/g all proteins)]])</f>
        <v>-2.9729987842667467</v>
      </c>
      <c r="I75">
        <f>LOG(Table2[[#This Row],[Abundance in RT (g protein/g all proteins)]])</f>
        <v>-3.5850266520291822</v>
      </c>
    </row>
    <row r="76" spans="1:9" x14ac:dyDescent="0.2">
      <c r="A76" t="s">
        <v>2503</v>
      </c>
      <c r="B76">
        <v>1.41639932563231E-3</v>
      </c>
      <c r="C76">
        <v>6.2200000000000005E-4</v>
      </c>
      <c r="D76">
        <f t="shared" si="1"/>
        <v>5.6172515012462671E-4</v>
      </c>
      <c r="E76">
        <f>Table2[[#This Row],[distance from 45-degree line]]/MAX(Table2[[Abundance in SC (g protein/g all proteins)]:[Abundance in RT (g protein/g all proteins)]])</f>
        <v>1.9294198110101256E-2</v>
      </c>
      <c r="F76">
        <f>_xlfn.RANK.AVG(Table2[[#This Row],[Abundance in SC (g protein/g all proteins)]],Table2[Abundance in SC (g protein/g all proteins)])</f>
        <v>61</v>
      </c>
      <c r="G76">
        <f>_xlfn.RANK.AVG(Table2[[#This Row],[Abundance in RT (g protein/g all proteins)]],Table2[Abundance in RT (g protein/g all proteins)])</f>
        <v>125</v>
      </c>
      <c r="H76">
        <f>LOG(Table2[[#This Row],[Abundance in SC (g protein/g all proteins)]])</f>
        <v>-2.8488142886876036</v>
      </c>
      <c r="I76">
        <f>LOG(Table2[[#This Row],[Abundance in RT (g protein/g all proteins)]])</f>
        <v>-3.2062096153091812</v>
      </c>
    </row>
    <row r="77" spans="1:9" x14ac:dyDescent="0.2">
      <c r="A77" t="s">
        <v>2553</v>
      </c>
      <c r="B77">
        <v>9.8874052094171608E-4</v>
      </c>
      <c r="C77">
        <v>2.0699999999999999E-4</v>
      </c>
      <c r="D77">
        <f t="shared" si="1"/>
        <v>5.5277402348619174E-4</v>
      </c>
      <c r="E77">
        <f>Table2[[#This Row],[distance from 45-degree line]]/MAX(Table2[[Abundance in SC (g protein/g all proteins)]:[Abundance in RT (g protein/g all proteins)]])</f>
        <v>1.8986743813934791E-2</v>
      </c>
      <c r="F77">
        <f>_xlfn.RANK.AVG(Table2[[#This Row],[Abundance in SC (g protein/g all proteins)]],Table2[Abundance in SC (g protein/g all proteins)])</f>
        <v>90</v>
      </c>
      <c r="G77">
        <f>_xlfn.RANK.AVG(Table2[[#This Row],[Abundance in RT (g protein/g all proteins)]],Table2[Abundance in RT (g protein/g all proteins)])</f>
        <v>244</v>
      </c>
      <c r="H77">
        <f>LOG(Table2[[#This Row],[Abundance in SC (g protein/g all proteins)]])</f>
        <v>-3.0049176670567852</v>
      </c>
      <c r="I77">
        <f>LOG(Table2[[#This Row],[Abundance in RT (g protein/g all proteins)]])</f>
        <v>-3.6840296545430822</v>
      </c>
    </row>
    <row r="78" spans="1:9" x14ac:dyDescent="0.2">
      <c r="A78" t="s">
        <v>2449</v>
      </c>
      <c r="B78">
        <v>5.68232776570614E-3</v>
      </c>
      <c r="C78">
        <v>4.901E-3</v>
      </c>
      <c r="D78">
        <f t="shared" si="1"/>
        <v>5.5248216146014557E-4</v>
      </c>
      <c r="E78">
        <f>Table2[[#This Row],[distance from 45-degree line]]/MAX(Table2[[Abundance in SC (g protein/g all proteins)]:[Abundance in RT (g protein/g all proteins)]])</f>
        <v>1.8976718904510491E-2</v>
      </c>
      <c r="F78">
        <f>_xlfn.RANK.AVG(Table2[[#This Row],[Abundance in SC (g protein/g all proteins)]],Table2[Abundance in SC (g protein/g all proteins)])</f>
        <v>15</v>
      </c>
      <c r="G78">
        <f>_xlfn.RANK.AVG(Table2[[#This Row],[Abundance in RT (g protein/g all proteins)]],Table2[Abundance in RT (g protein/g all proteins)])</f>
        <v>13</v>
      </c>
      <c r="H78">
        <f>LOG(Table2[[#This Row],[Abundance in SC (g protein/g all proteins)]])</f>
        <v>-2.2454737190938894</v>
      </c>
      <c r="I78">
        <f>LOG(Table2[[#This Row],[Abundance in RT (g protein/g all proteins)]])</f>
        <v>-2.3097152974873705</v>
      </c>
    </row>
    <row r="79" spans="1:9" x14ac:dyDescent="0.2">
      <c r="A79" t="s">
        <v>2491</v>
      </c>
      <c r="B79">
        <v>2.5471266777838699E-5</v>
      </c>
      <c r="C79">
        <v>8.0599999999999997E-4</v>
      </c>
      <c r="D79">
        <f t="shared" si="1"/>
        <v>5.5191716017233587E-4</v>
      </c>
      <c r="E79">
        <f>Table2[[#This Row],[distance from 45-degree line]]/MAX(Table2[[Abundance in SC (g protein/g all proteins)]:[Abundance in RT (g protein/g all proteins)]])</f>
        <v>1.8957312177257768E-2</v>
      </c>
      <c r="F79">
        <f>_xlfn.RANK.AVG(Table2[[#This Row],[Abundance in SC (g protein/g all proteins)]],Table2[Abundance in SC (g protein/g all proteins)])</f>
        <v>410</v>
      </c>
      <c r="G79">
        <f>_xlfn.RANK.AVG(Table2[[#This Row],[Abundance in RT (g protein/g all proteins)]],Table2[Abundance in RT (g protein/g all proteins)])</f>
        <v>103</v>
      </c>
      <c r="H79">
        <f>LOG(Table2[[#This Row],[Abundance in SC (g protein/g all proteins)]])</f>
        <v>-4.593949455470451</v>
      </c>
      <c r="I79">
        <f>LOG(Table2[[#This Row],[Abundance in RT (g protein/g all proteins)]])</f>
        <v>-3.0936649581949092</v>
      </c>
    </row>
    <row r="80" spans="1:9" x14ac:dyDescent="0.2">
      <c r="A80" t="s">
        <v>2810</v>
      </c>
      <c r="B80">
        <v>5.4372230868456996E-3</v>
      </c>
      <c r="C80">
        <v>6.2139999999999999E-3</v>
      </c>
      <c r="D80">
        <f t="shared" si="1"/>
        <v>5.4926422276055961E-4</v>
      </c>
      <c r="E80">
        <f>Table2[[#This Row],[distance from 45-degree line]]/MAX(Table2[[Abundance in SC (g protein/g all proteins)]:[Abundance in RT (g protein/g all proteins)]])</f>
        <v>1.886618878713512E-2</v>
      </c>
      <c r="F80">
        <f>_xlfn.RANK.AVG(Table2[[#This Row],[Abundance in SC (g protein/g all proteins)]],Table2[Abundance in SC (g protein/g all proteins)])</f>
        <v>16</v>
      </c>
      <c r="G80">
        <f>_xlfn.RANK.AVG(Table2[[#This Row],[Abundance in RT (g protein/g all proteins)]],Table2[Abundance in RT (g protein/g all proteins)])</f>
        <v>6</v>
      </c>
      <c r="H80">
        <f>LOG(Table2[[#This Row],[Abundance in SC (g protein/g all proteins)]])</f>
        <v>-2.2646228477232362</v>
      </c>
      <c r="I80">
        <f>LOG(Table2[[#This Row],[Abundance in RT (g protein/g all proteins)]])</f>
        <v>-2.2066287510810443</v>
      </c>
    </row>
    <row r="81" spans="1:9" x14ac:dyDescent="0.2">
      <c r="A81" t="s">
        <v>2793</v>
      </c>
      <c r="B81">
        <v>1.14329421899339E-3</v>
      </c>
      <c r="C81">
        <v>3.6999999999999999E-4</v>
      </c>
      <c r="D81">
        <f t="shared" si="1"/>
        <v>5.4680158610258115E-4</v>
      </c>
      <c r="E81">
        <f>Table2[[#This Row],[distance from 45-degree line]]/MAX(Table2[[Abundance in SC (g protein/g all proteins)]:[Abundance in RT (g protein/g all proteins)]])</f>
        <v>1.8781601868529653E-2</v>
      </c>
      <c r="F81">
        <f>_xlfn.RANK.AVG(Table2[[#This Row],[Abundance in SC (g protein/g all proteins)]],Table2[Abundance in SC (g protein/g all proteins)])</f>
        <v>76</v>
      </c>
      <c r="G81">
        <f>_xlfn.RANK.AVG(Table2[[#This Row],[Abundance in RT (g protein/g all proteins)]],Table2[Abundance in RT (g protein/g all proteins)])</f>
        <v>177</v>
      </c>
      <c r="H81">
        <f>LOG(Table2[[#This Row],[Abundance in SC (g protein/g all proteins)]])</f>
        <v>-2.9418419924896435</v>
      </c>
      <c r="I81">
        <f>LOG(Table2[[#This Row],[Abundance in RT (g protein/g all proteins)]])</f>
        <v>-3.431798275933005</v>
      </c>
    </row>
    <row r="82" spans="1:9" x14ac:dyDescent="0.2">
      <c r="A82" t="s">
        <v>2803</v>
      </c>
      <c r="B82">
        <v>8.7941975410750701E-4</v>
      </c>
      <c r="C82">
        <v>1.07E-4</v>
      </c>
      <c r="D82">
        <f t="shared" si="1"/>
        <v>5.4618324605186378E-4</v>
      </c>
      <c r="E82">
        <f>Table2[[#This Row],[distance from 45-degree line]]/MAX(Table2[[Abundance in SC (g protein/g all proteins)]:[Abundance in RT (g protein/g all proteins)]])</f>
        <v>1.8760363055499288E-2</v>
      </c>
      <c r="F82">
        <f>_xlfn.RANK.AVG(Table2[[#This Row],[Abundance in SC (g protein/g all proteins)]],Table2[Abundance in SC (g protein/g all proteins)])</f>
        <v>97</v>
      </c>
      <c r="G82">
        <f>_xlfn.RANK.AVG(Table2[[#This Row],[Abundance in RT (g protein/g all proteins)]],Table2[Abundance in RT (g protein/g all proteins)])</f>
        <v>314.5</v>
      </c>
      <c r="H82">
        <f>LOG(Table2[[#This Row],[Abundance in SC (g protein/g all proteins)]])</f>
        <v>-3.0558037831971747</v>
      </c>
      <c r="I82">
        <f>LOG(Table2[[#This Row],[Abundance in RT (g protein/g all proteins)]])</f>
        <v>-3.9706162223147903</v>
      </c>
    </row>
    <row r="83" spans="1:9" x14ac:dyDescent="0.2">
      <c r="A83" t="s">
        <v>2789</v>
      </c>
      <c r="B83">
        <v>3.12352370327102E-4</v>
      </c>
      <c r="C83">
        <v>1.077E-3</v>
      </c>
      <c r="D83">
        <f t="shared" si="1"/>
        <v>5.4068752415992606E-4</v>
      </c>
      <c r="E83">
        <f>Table2[[#This Row],[distance from 45-degree line]]/MAX(Table2[[Abundance in SC (g protein/g all proteins)]:[Abundance in RT (g protein/g all proteins)]])</f>
        <v>1.857159538697396E-2</v>
      </c>
      <c r="F83">
        <f>_xlfn.RANK.AVG(Table2[[#This Row],[Abundance in SC (g protein/g all proteins)]],Table2[Abundance in SC (g protein/g all proteins)])</f>
        <v>183</v>
      </c>
      <c r="G83">
        <f>_xlfn.RANK.AVG(Table2[[#This Row],[Abundance in RT (g protein/g all proteins)]],Table2[Abundance in RT (g protein/g all proteins)])</f>
        <v>80</v>
      </c>
      <c r="H83">
        <f>LOG(Table2[[#This Row],[Abundance in SC (g protein/g all proteins)]])</f>
        <v>-3.505355194004578</v>
      </c>
      <c r="I83">
        <f>LOG(Table2[[#This Row],[Abundance in RT (g protein/g all proteins)]])</f>
        <v>-2.9677842967020185</v>
      </c>
    </row>
    <row r="84" spans="1:9" x14ac:dyDescent="0.2">
      <c r="A84" t="s">
        <v>2760</v>
      </c>
      <c r="B84">
        <v>3.1799926122323199E-3</v>
      </c>
      <c r="C84">
        <v>2.421E-3</v>
      </c>
      <c r="D84">
        <f t="shared" si="1"/>
        <v>5.3668882297996511E-4</v>
      </c>
      <c r="E84">
        <f>Table2[[#This Row],[distance from 45-degree line]]/MAX(Table2[[Abundance in SC (g protein/g all proteins)]:[Abundance in RT (g protein/g all proteins)]])</f>
        <v>1.8434247552838092E-2</v>
      </c>
      <c r="F84">
        <f>_xlfn.RANK.AVG(Table2[[#This Row],[Abundance in SC (g protein/g all proteins)]],Table2[Abundance in SC (g protein/g all proteins)])</f>
        <v>23</v>
      </c>
      <c r="G84">
        <f>_xlfn.RANK.AVG(Table2[[#This Row],[Abundance in RT (g protein/g all proteins)]],Table2[Abundance in RT (g protein/g all proteins)])</f>
        <v>30</v>
      </c>
      <c r="H84">
        <f>LOG(Table2[[#This Row],[Abundance in SC (g protein/g all proteins)]])</f>
        <v>-2.4975738889685433</v>
      </c>
      <c r="I84">
        <f>LOG(Table2[[#This Row],[Abundance in RT (g protein/g all proteins)]])</f>
        <v>-2.6160052105582672</v>
      </c>
    </row>
    <row r="85" spans="1:9" x14ac:dyDescent="0.2">
      <c r="A85" t="s">
        <v>2669</v>
      </c>
      <c r="B85">
        <v>1.12614438160574E-3</v>
      </c>
      <c r="C85">
        <v>3.7300000000000001E-4</v>
      </c>
      <c r="D85">
        <f t="shared" si="1"/>
        <v>5.325534994459675E-4</v>
      </c>
      <c r="E85">
        <f>Table2[[#This Row],[distance from 45-degree line]]/MAX(Table2[[Abundance in SC (g protein/g all proteins)]:[Abundance in RT (g protein/g all proteins)]])</f>
        <v>1.8292206998847208E-2</v>
      </c>
      <c r="F85">
        <f>_xlfn.RANK.AVG(Table2[[#This Row],[Abundance in SC (g protein/g all proteins)]],Table2[Abundance in SC (g protein/g all proteins)])</f>
        <v>78</v>
      </c>
      <c r="G85">
        <f>_xlfn.RANK.AVG(Table2[[#This Row],[Abundance in RT (g protein/g all proteins)]],Table2[Abundance in RT (g protein/g all proteins)])</f>
        <v>176</v>
      </c>
      <c r="H85">
        <f>LOG(Table2[[#This Row],[Abundance in SC (g protein/g all proteins)]])</f>
        <v>-2.9484059255460591</v>
      </c>
      <c r="I85">
        <f>LOG(Table2[[#This Row],[Abundance in RT (g protein/g all proteins)]])</f>
        <v>-3.4282911681913122</v>
      </c>
    </row>
    <row r="86" spans="1:9" x14ac:dyDescent="0.2">
      <c r="A86" t="s">
        <v>2849</v>
      </c>
      <c r="B86">
        <v>4.75818676381432E-5</v>
      </c>
      <c r="C86">
        <v>7.9799999999999999E-4</v>
      </c>
      <c r="D86">
        <f t="shared" si="1"/>
        <v>5.3062575011841309E-4</v>
      </c>
      <c r="E86">
        <f>Table2[[#This Row],[distance from 45-degree line]]/MAX(Table2[[Abundance in SC (g protein/g all proteins)]:[Abundance in RT (g protein/g all proteins)]])</f>
        <v>1.8225992449927338E-2</v>
      </c>
      <c r="F86">
        <f>_xlfn.RANK.AVG(Table2[[#This Row],[Abundance in SC (g protein/g all proteins)]],Table2[Abundance in SC (g protein/g all proteins)])</f>
        <v>350</v>
      </c>
      <c r="G86">
        <f>_xlfn.RANK.AVG(Table2[[#This Row],[Abundance in RT (g protein/g all proteins)]],Table2[Abundance in RT (g protein/g all proteins)])</f>
        <v>105</v>
      </c>
      <c r="H86">
        <f>LOG(Table2[[#This Row],[Abundance in SC (g protein/g all proteins)]])</f>
        <v>-4.3225585154508916</v>
      </c>
      <c r="I86">
        <f>LOG(Table2[[#This Row],[Abundance in RT (g protein/g all proteins)]])</f>
        <v>-3.0979971086492704</v>
      </c>
    </row>
    <row r="87" spans="1:9" x14ac:dyDescent="0.2">
      <c r="A87" t="s">
        <v>2759</v>
      </c>
      <c r="B87">
        <v>1.0571610172146299E-3</v>
      </c>
      <c r="C87">
        <v>3.1599999999999998E-4</v>
      </c>
      <c r="D87">
        <f t="shared" si="1"/>
        <v>5.2407998122358426E-4</v>
      </c>
      <c r="E87">
        <f>Table2[[#This Row],[distance from 45-degree line]]/MAX(Table2[[Abundance in SC (g protein/g all proteins)]:[Abundance in RT (g protein/g all proteins)]])</f>
        <v>1.800115764982671E-2</v>
      </c>
      <c r="F87">
        <f>_xlfn.RANK.AVG(Table2[[#This Row],[Abundance in SC (g protein/g all proteins)]],Table2[Abundance in SC (g protein/g all proteins)])</f>
        <v>82</v>
      </c>
      <c r="G87">
        <f>_xlfn.RANK.AVG(Table2[[#This Row],[Abundance in RT (g protein/g all proteins)]],Table2[Abundance in RT (g protein/g all proteins)])</f>
        <v>194.5</v>
      </c>
      <c r="H87">
        <f>LOG(Table2[[#This Row],[Abundance in SC (g protein/g all proteins)]])</f>
        <v>-2.9758588598429365</v>
      </c>
      <c r="I87">
        <f>LOG(Table2[[#This Row],[Abundance in RT (g protein/g all proteins)]])</f>
        <v>-3.5003129173815961</v>
      </c>
    </row>
    <row r="88" spans="1:9" x14ac:dyDescent="0.2">
      <c r="A88" t="s">
        <v>2359</v>
      </c>
      <c r="B88">
        <v>2.7773580226695999E-3</v>
      </c>
      <c r="C88">
        <v>2.039E-3</v>
      </c>
      <c r="D88">
        <f t="shared" si="1"/>
        <v>5.2209796477316458E-4</v>
      </c>
      <c r="E88">
        <f>Table2[[#This Row],[distance from 45-degree line]]/MAX(Table2[[Abundance in SC (g protein/g all proteins)]:[Abundance in RT (g protein/g all proteins)]])</f>
        <v>1.7933079127717824E-2</v>
      </c>
      <c r="F88">
        <f>_xlfn.RANK.AVG(Table2[[#This Row],[Abundance in SC (g protein/g all proteins)]],Table2[Abundance in SC (g protein/g all proteins)])</f>
        <v>25</v>
      </c>
      <c r="G88">
        <f>_xlfn.RANK.AVG(Table2[[#This Row],[Abundance in RT (g protein/g all proteins)]],Table2[Abundance in RT (g protein/g all proteins)])</f>
        <v>37</v>
      </c>
      <c r="H88">
        <f>LOG(Table2[[#This Row],[Abundance in SC (g protein/g all proteins)]])</f>
        <v>-2.5563681327641015</v>
      </c>
      <c r="I88">
        <f>LOG(Table2[[#This Row],[Abundance in RT (g protein/g all proteins)]])</f>
        <v>-2.69058277422186</v>
      </c>
    </row>
    <row r="89" spans="1:9" x14ac:dyDescent="0.2">
      <c r="A89" t="s">
        <v>2497</v>
      </c>
      <c r="B89">
        <v>2.0236580147096699E-3</v>
      </c>
      <c r="C89">
        <v>1.2979999999999999E-3</v>
      </c>
      <c r="D89">
        <f t="shared" si="1"/>
        <v>5.1311770302357512E-4</v>
      </c>
      <c r="E89">
        <f>Table2[[#This Row],[distance from 45-degree line]]/MAX(Table2[[Abundance in SC (g protein/g all proteins)]:[Abundance in RT (g protein/g all proteins)]])</f>
        <v>1.7624624095503756E-2</v>
      </c>
      <c r="F89">
        <f>_xlfn.RANK.AVG(Table2[[#This Row],[Abundance in SC (g protein/g all proteins)]],Table2[Abundance in SC (g protein/g all proteins)])</f>
        <v>43</v>
      </c>
      <c r="G89">
        <f>_xlfn.RANK.AVG(Table2[[#This Row],[Abundance in RT (g protein/g all proteins)]],Table2[Abundance in RT (g protein/g all proteins)])</f>
        <v>64.5</v>
      </c>
      <c r="H89">
        <f>LOG(Table2[[#This Row],[Abundance in SC (g protein/g all proteins)]])</f>
        <v>-2.6938628786274155</v>
      </c>
      <c r="I89">
        <f>LOG(Table2[[#This Row],[Abundance in RT (g protein/g all proteins)]])</f>
        <v>-2.8867253075356496</v>
      </c>
    </row>
    <row r="90" spans="1:9" x14ac:dyDescent="0.2">
      <c r="A90" t="s">
        <v>2738</v>
      </c>
      <c r="B90">
        <v>5.6006701783464698E-4</v>
      </c>
      <c r="C90">
        <v>1.2769999999999999E-3</v>
      </c>
      <c r="D90">
        <f t="shared" si="1"/>
        <v>5.0694817334541518E-4</v>
      </c>
      <c r="E90">
        <f>Table2[[#This Row],[distance from 45-degree line]]/MAX(Table2[[Abundance in SC (g protein/g all proteins)]:[Abundance in RT (g protein/g all proteins)]])</f>
        <v>1.7412712401982187E-2</v>
      </c>
      <c r="F90">
        <f>_xlfn.RANK.AVG(Table2[[#This Row],[Abundance in SC (g protein/g all proteins)]],Table2[Abundance in SC (g protein/g all proteins)])</f>
        <v>140</v>
      </c>
      <c r="G90">
        <f>_xlfn.RANK.AVG(Table2[[#This Row],[Abundance in RT (g protein/g all proteins)]],Table2[Abundance in RT (g protein/g all proteins)])</f>
        <v>68</v>
      </c>
      <c r="H90">
        <f>LOG(Table2[[#This Row],[Abundance in SC (g protein/g all proteins)]])</f>
        <v>-3.2517600020396555</v>
      </c>
      <c r="I90">
        <f>LOG(Table2[[#This Row],[Abundance in RT (g protein/g all proteins)]])</f>
        <v>-2.8938091027365846</v>
      </c>
    </row>
    <row r="91" spans="1:9" x14ac:dyDescent="0.2">
      <c r="A91" t="s">
        <v>2644</v>
      </c>
      <c r="B91">
        <v>1.4006866807246801E-4</v>
      </c>
      <c r="C91">
        <v>8.5499999999999997E-4</v>
      </c>
      <c r="D91">
        <f t="shared" si="1"/>
        <v>5.0553279288868824E-4</v>
      </c>
      <c r="E91">
        <f>Table2[[#This Row],[distance from 45-degree line]]/MAX(Table2[[Abundance in SC (g protein/g all proteins)]:[Abundance in RT (g protein/g all proteins)]])</f>
        <v>1.7364096756186023E-2</v>
      </c>
      <c r="F91">
        <f>_xlfn.RANK.AVG(Table2[[#This Row],[Abundance in SC (g protein/g all proteins)]],Table2[Abundance in SC (g protein/g all proteins)])</f>
        <v>254</v>
      </c>
      <c r="G91">
        <f>_xlfn.RANK.AVG(Table2[[#This Row],[Abundance in RT (g protein/g all proteins)]],Table2[Abundance in RT (g protein/g all proteins)])</f>
        <v>99.5</v>
      </c>
      <c r="H91">
        <f>LOG(Table2[[#This Row],[Abundance in SC (g protein/g all proteins)]])</f>
        <v>-3.8536590010812923</v>
      </c>
      <c r="I91">
        <f>LOG(Table2[[#This Row],[Abundance in RT (g protein/g all proteins)]])</f>
        <v>-3.0680338852718272</v>
      </c>
    </row>
    <row r="92" spans="1:9" x14ac:dyDescent="0.2">
      <c r="A92" t="s">
        <v>2880</v>
      </c>
      <c r="B92">
        <v>2.9367625373205402E-5</v>
      </c>
      <c r="C92">
        <v>7.3399999999999995E-4</v>
      </c>
      <c r="D92">
        <f t="shared" si="1"/>
        <v>4.9825033034218622E-4</v>
      </c>
      <c r="E92">
        <f>Table2[[#This Row],[distance from 45-degree line]]/MAX(Table2[[Abundance in SC (g protein/g all proteins)]:[Abundance in RT (g protein/g all proteins)]])</f>
        <v>1.7113957920368492E-2</v>
      </c>
      <c r="F92">
        <f>_xlfn.RANK.AVG(Table2[[#This Row],[Abundance in SC (g protein/g all proteins)]],Table2[Abundance in SC (g protein/g all proteins)])</f>
        <v>401</v>
      </c>
      <c r="G92">
        <f>_xlfn.RANK.AVG(Table2[[#This Row],[Abundance in RT (g protein/g all proteins)]],Table2[Abundance in RT (g protein/g all proteins)])</f>
        <v>112</v>
      </c>
      <c r="H92">
        <f>LOG(Table2[[#This Row],[Abundance in SC (g protein/g all proteins)]])</f>
        <v>-4.5321311685267949</v>
      </c>
      <c r="I92">
        <f>LOG(Table2[[#This Row],[Abundance in RT (g protein/g all proteins)]])</f>
        <v>-3.1343039400839294</v>
      </c>
    </row>
    <row r="93" spans="1:9" x14ac:dyDescent="0.2">
      <c r="A93" t="s">
        <v>2583</v>
      </c>
      <c r="B93">
        <v>1.2890995577182399E-6</v>
      </c>
      <c r="C93">
        <v>7.0200000000000004E-4</v>
      </c>
      <c r="D93">
        <f t="shared" si="1"/>
        <v>4.9547742935406925E-4</v>
      </c>
      <c r="E93">
        <f>Table2[[#This Row],[distance from 45-degree line]]/MAX(Table2[[Abundance in SC (g protein/g all proteins)]:[Abundance in RT (g protein/g all proteins)]])</f>
        <v>1.7018714007945211E-2</v>
      </c>
      <c r="F93">
        <f>_xlfn.RANK.AVG(Table2[[#This Row],[Abundance in SC (g protein/g all proteins)]],Table2[Abundance in SC (g protein/g all proteins)])</f>
        <v>576</v>
      </c>
      <c r="G93">
        <f>_xlfn.RANK.AVG(Table2[[#This Row],[Abundance in RT (g protein/g all proteins)]],Table2[Abundance in RT (g protein/g all proteins)])</f>
        <v>116</v>
      </c>
      <c r="H93">
        <f>LOG(Table2[[#This Row],[Abundance in SC (g protein/g all proteins)]])</f>
        <v>-5.8897135406000496</v>
      </c>
      <c r="I93">
        <f>LOG(Table2[[#This Row],[Abundance in RT (g protein/g all proteins)]])</f>
        <v>-3.1536628878701949</v>
      </c>
    </row>
    <row r="94" spans="1:9" x14ac:dyDescent="0.2">
      <c r="A94" t="s">
        <v>2399</v>
      </c>
      <c r="B94">
        <v>5.5194239949837203E-4</v>
      </c>
      <c r="C94">
        <v>1.2340000000000001E-3</v>
      </c>
      <c r="D94">
        <f t="shared" si="1"/>
        <v>4.8228755447452632E-4</v>
      </c>
      <c r="E94">
        <f>Table2[[#This Row],[distance from 45-degree line]]/MAX(Table2[[Abundance in SC (g protein/g all proteins)]:[Abundance in RT (g protein/g all proteins)]])</f>
        <v>1.6565666714412265E-2</v>
      </c>
      <c r="F94">
        <f>_xlfn.RANK.AVG(Table2[[#This Row],[Abundance in SC (g protein/g all proteins)]],Table2[Abundance in SC (g protein/g all proteins)])</f>
        <v>141</v>
      </c>
      <c r="G94">
        <f>_xlfn.RANK.AVG(Table2[[#This Row],[Abundance in RT (g protein/g all proteins)]],Table2[Abundance in RT (g protein/g all proteins)])</f>
        <v>72</v>
      </c>
      <c r="H94">
        <f>LOG(Table2[[#This Row],[Abundance in SC (g protein/g all proteins)]])</f>
        <v>-3.2581062427151393</v>
      </c>
      <c r="I94">
        <f>LOG(Table2[[#This Row],[Abundance in RT (g protein/g all proteins)]])</f>
        <v>-2.9086848403027772</v>
      </c>
    </row>
    <row r="95" spans="1:9" x14ac:dyDescent="0.2">
      <c r="A95" t="s">
        <v>2726</v>
      </c>
      <c r="B95">
        <v>1.9350265469852E-3</v>
      </c>
      <c r="C95">
        <v>1.258E-3</v>
      </c>
      <c r="D95">
        <f t="shared" si="1"/>
        <v>4.7873006241654764E-4</v>
      </c>
      <c r="E95">
        <f>Table2[[#This Row],[distance from 45-degree line]]/MAX(Table2[[Abundance in SC (g protein/g all proteins)]:[Abundance in RT (g protein/g all proteins)]])</f>
        <v>1.6443473580409766E-2</v>
      </c>
      <c r="F95">
        <f>_xlfn.RANK.AVG(Table2[[#This Row],[Abundance in SC (g protein/g all proteins)]],Table2[Abundance in SC (g protein/g all proteins)])</f>
        <v>45</v>
      </c>
      <c r="G95">
        <f>_xlfn.RANK.AVG(Table2[[#This Row],[Abundance in RT (g protein/g all proteins)]],Table2[Abundance in RT (g protein/g all proteins)])</f>
        <v>70</v>
      </c>
      <c r="H95">
        <f>LOG(Table2[[#This Row],[Abundance in SC (g protein/g all proteins)]])</f>
        <v>-2.713313072438301</v>
      </c>
      <c r="I95">
        <f>LOG(Table2[[#This Row],[Abundance in RT (g protein/g all proteins)]])</f>
        <v>-2.9003193588907501</v>
      </c>
    </row>
    <row r="96" spans="1:9" x14ac:dyDescent="0.2">
      <c r="A96" t="s">
        <v>2746</v>
      </c>
      <c r="B96">
        <v>8.2725892084654202E-4</v>
      </c>
      <c r="C96">
        <v>1.503E-3</v>
      </c>
      <c r="D96">
        <f t="shared" si="1"/>
        <v>4.7782109939572566E-4</v>
      </c>
      <c r="E96">
        <f>Table2[[#This Row],[distance from 45-degree line]]/MAX(Table2[[Abundance in SC (g protein/g all proteins)]:[Abundance in RT (g protein/g all proteins)]])</f>
        <v>1.6412252417186784E-2</v>
      </c>
      <c r="F96">
        <f>_xlfn.RANK.AVG(Table2[[#This Row],[Abundance in SC (g protein/g all proteins)]],Table2[Abundance in SC (g protein/g all proteins)])</f>
        <v>105</v>
      </c>
      <c r="G96">
        <f>_xlfn.RANK.AVG(Table2[[#This Row],[Abundance in RT (g protein/g all proteins)]],Table2[Abundance in RT (g protein/g all proteins)])</f>
        <v>53</v>
      </c>
      <c r="H96">
        <f>LOG(Table2[[#This Row],[Abundance in SC (g protein/g all proteins)]])</f>
        <v>-3.0823585408758305</v>
      </c>
      <c r="I96">
        <f>LOG(Table2[[#This Row],[Abundance in RT (g protein/g all proteins)]])</f>
        <v>-2.8230410194130919</v>
      </c>
    </row>
    <row r="97" spans="1:9" x14ac:dyDescent="0.2">
      <c r="A97" t="s">
        <v>2528</v>
      </c>
      <c r="B97">
        <v>1.84969393237047E-3</v>
      </c>
      <c r="C97">
        <v>1.183E-3</v>
      </c>
      <c r="D97">
        <f t="shared" si="1"/>
        <v>4.7142380055508479E-4</v>
      </c>
      <c r="E97">
        <f>Table2[[#This Row],[distance from 45-degree line]]/MAX(Table2[[Abundance in SC (g protein/g all proteins)]:[Abundance in RT (g protein/g all proteins)]])</f>
        <v>1.6192517283067434E-2</v>
      </c>
      <c r="F97">
        <f>_xlfn.RANK.AVG(Table2[[#This Row],[Abundance in SC (g protein/g all proteins)]],Table2[Abundance in SC (g protein/g all proteins)])</f>
        <v>48</v>
      </c>
      <c r="G97">
        <f>_xlfn.RANK.AVG(Table2[[#This Row],[Abundance in RT (g protein/g all proteins)]],Table2[Abundance in RT (g protein/g all proteins)])</f>
        <v>74</v>
      </c>
      <c r="H97">
        <f>LOG(Table2[[#This Row],[Abundance in SC (g protein/g all proteins)]])</f>
        <v>-2.7329001280723202</v>
      </c>
      <c r="I97">
        <f>LOG(Table2[[#This Row],[Abundance in RT (g protein/g all proteins)]])</f>
        <v>-2.9270152553720696</v>
      </c>
    </row>
    <row r="98" spans="1:9" x14ac:dyDescent="0.2">
      <c r="A98" t="s">
        <v>2565</v>
      </c>
      <c r="B98">
        <v>7.1959202415832304E-4</v>
      </c>
      <c r="C98">
        <v>6.1799999999999998E-5</v>
      </c>
      <c r="D98">
        <f t="shared" si="1"/>
        <v>4.651292008927755E-4</v>
      </c>
      <c r="E98">
        <f>Table2[[#This Row],[distance from 45-degree line]]/MAX(Table2[[Abundance in SC (g protein/g all proteins)]:[Abundance in RT (g protein/g all proteins)]])</f>
        <v>1.5976309671780268E-2</v>
      </c>
      <c r="F98">
        <f>_xlfn.RANK.AVG(Table2[[#This Row],[Abundance in SC (g protein/g all proteins)]],Table2[Abundance in SC (g protein/g all proteins)])</f>
        <v>115</v>
      </c>
      <c r="G98">
        <f>_xlfn.RANK.AVG(Table2[[#This Row],[Abundance in RT (g protein/g all proteins)]],Table2[Abundance in RT (g protein/g all proteins)])</f>
        <v>391</v>
      </c>
      <c r="H98">
        <f>LOG(Table2[[#This Row],[Abundance in SC (g protein/g all proteins)]])</f>
        <v>-3.1429136589496451</v>
      </c>
      <c r="I98">
        <f>LOG(Table2[[#This Row],[Abundance in RT (g protein/g all proteins)]])</f>
        <v>-4.2090115249111841</v>
      </c>
    </row>
    <row r="99" spans="1:9" x14ac:dyDescent="0.2">
      <c r="A99" t="s">
        <v>2719</v>
      </c>
      <c r="B99">
        <v>6.7700399430460298E-4</v>
      </c>
      <c r="C99">
        <v>2.12E-5</v>
      </c>
      <c r="D99">
        <f t="shared" si="1"/>
        <v>4.6372345150200872E-4</v>
      </c>
      <c r="E99">
        <f>Table2[[#This Row],[distance from 45-degree line]]/MAX(Table2[[Abundance in SC (g protein/g all proteins)]:[Abundance in RT (g protein/g all proteins)]])</f>
        <v>1.592802483491193E-2</v>
      </c>
      <c r="F99">
        <f>_xlfn.RANK.AVG(Table2[[#This Row],[Abundance in SC (g protein/g all proteins)]],Table2[Abundance in SC (g protein/g all proteins)])</f>
        <v>120</v>
      </c>
      <c r="G99">
        <f>_xlfn.RANK.AVG(Table2[[#This Row],[Abundance in RT (g protein/g all proteins)]],Table2[Abundance in RT (g protein/g all proteins)])</f>
        <v>488</v>
      </c>
      <c r="H99">
        <f>LOG(Table2[[#This Row],[Abundance in SC (g protein/g all proteins)]])</f>
        <v>-3.1694087689820187</v>
      </c>
      <c r="I99">
        <f>LOG(Table2[[#This Row],[Abundance in RT (g protein/g all proteins)]])</f>
        <v>-4.6736641390712483</v>
      </c>
    </row>
    <row r="100" spans="1:9" x14ac:dyDescent="0.2">
      <c r="A100" t="s">
        <v>2579</v>
      </c>
      <c r="B100">
        <v>6.5568244272694396E-4</v>
      </c>
      <c r="C100">
        <v>1.7900000000000001E-5</v>
      </c>
      <c r="D100">
        <f t="shared" si="1"/>
        <v>4.5098029017394295E-4</v>
      </c>
      <c r="E100">
        <f>Table2[[#This Row],[distance from 45-degree line]]/MAX(Table2[[Abundance in SC (g protein/g all proteins)]:[Abundance in RT (g protein/g all proteins)]])</f>
        <v>1.5490321308270598E-2</v>
      </c>
      <c r="F100">
        <f>_xlfn.RANK.AVG(Table2[[#This Row],[Abundance in SC (g protein/g all proteins)]],Table2[Abundance in SC (g protein/g all proteins)])</f>
        <v>125</v>
      </c>
      <c r="G100">
        <f>_xlfn.RANK.AVG(Table2[[#This Row],[Abundance in RT (g protein/g all proteins)]],Table2[Abundance in RT (g protein/g all proteins)])</f>
        <v>495.5</v>
      </c>
      <c r="H100">
        <f>LOG(Table2[[#This Row],[Abundance in SC (g protein/g all proteins)]])</f>
        <v>-3.183306445323713</v>
      </c>
      <c r="I100">
        <f>LOG(Table2[[#This Row],[Abundance in RT (g protein/g all proteins)]])</f>
        <v>-4.7471469690201067</v>
      </c>
    </row>
    <row r="101" spans="1:9" x14ac:dyDescent="0.2">
      <c r="A101" t="s">
        <v>2822</v>
      </c>
      <c r="B101">
        <v>1.5214751028491201E-3</v>
      </c>
      <c r="C101">
        <v>2.1519999999999998E-3</v>
      </c>
      <c r="D101">
        <f t="shared" si="1"/>
        <v>4.4584843048233748E-4</v>
      </c>
      <c r="E101">
        <f>Table2[[#This Row],[distance from 45-degree line]]/MAX(Table2[[Abundance in SC (g protein/g all proteins)]:[Abundance in RT (g protein/g all proteins)]])</f>
        <v>1.531405161918669E-2</v>
      </c>
      <c r="F101">
        <f>_xlfn.RANK.AVG(Table2[[#This Row],[Abundance in SC (g protein/g all proteins)]],Table2[Abundance in SC (g protein/g all proteins)])</f>
        <v>57</v>
      </c>
      <c r="G101">
        <f>_xlfn.RANK.AVG(Table2[[#This Row],[Abundance in RT (g protein/g all proteins)]],Table2[Abundance in RT (g protein/g all proteins)])</f>
        <v>33</v>
      </c>
      <c r="H101">
        <f>LOG(Table2[[#This Row],[Abundance in SC (g protein/g all proteins)]])</f>
        <v>-2.8177351499661563</v>
      </c>
      <c r="I101">
        <f>LOG(Table2[[#This Row],[Abundance in RT (g protein/g all proteins)]])</f>
        <v>-2.6671577330056486</v>
      </c>
    </row>
    <row r="102" spans="1:9" x14ac:dyDescent="0.2">
      <c r="A102" t="s">
        <v>2506</v>
      </c>
      <c r="B102">
        <v>6.3882582030546904E-4</v>
      </c>
      <c r="C102">
        <v>8.8400000000000001E-6</v>
      </c>
      <c r="D102">
        <f t="shared" si="1"/>
        <v>4.4546724558936694E-4</v>
      </c>
      <c r="E102">
        <f>Table2[[#This Row],[distance from 45-degree line]]/MAX(Table2[[Abundance in SC (g protein/g all proteins)]:[Abundance in RT (g protein/g all proteins)]])</f>
        <v>1.5300958637966391E-2</v>
      </c>
      <c r="F102">
        <f>_xlfn.RANK.AVG(Table2[[#This Row],[Abundance in SC (g protein/g all proteins)]],Table2[Abundance in SC (g protein/g all proteins)])</f>
        <v>128</v>
      </c>
      <c r="G102">
        <f>_xlfn.RANK.AVG(Table2[[#This Row],[Abundance in RT (g protein/g all proteins)]],Table2[Abundance in RT (g protein/g all proteins)])</f>
        <v>527</v>
      </c>
      <c r="H102">
        <f>LOG(Table2[[#This Row],[Abundance in SC (g protein/g all proteins)]])</f>
        <v>-3.1946175386989193</v>
      </c>
      <c r="I102">
        <f>LOG(Table2[[#This Row],[Abundance in RT (g protein/g all proteins)]])</f>
        <v>-5.0535477349869273</v>
      </c>
    </row>
    <row r="103" spans="1:9" x14ac:dyDescent="0.2">
      <c r="A103" t="s">
        <v>2885</v>
      </c>
      <c r="B103">
        <v>7.4254046229609602E-5</v>
      </c>
      <c r="C103">
        <v>7.0399999999999998E-4</v>
      </c>
      <c r="D103">
        <f t="shared" si="1"/>
        <v>4.4529763433583309E-4</v>
      </c>
      <c r="E103">
        <f>Table2[[#This Row],[distance from 45-degree line]]/MAX(Table2[[Abundance in SC (g protein/g all proteins)]:[Abundance in RT (g protein/g all proteins)]])</f>
        <v>1.5295132811711935E-2</v>
      </c>
      <c r="F103">
        <f>_xlfn.RANK.AVG(Table2[[#This Row],[Abundance in SC (g protein/g all proteins)]],Table2[Abundance in SC (g protein/g all proteins)])</f>
        <v>306</v>
      </c>
      <c r="G103">
        <f>_xlfn.RANK.AVG(Table2[[#This Row],[Abundance in RT (g protein/g all proteins)]],Table2[Abundance in RT (g protein/g all proteins)])</f>
        <v>115</v>
      </c>
      <c r="H103">
        <f>LOG(Table2[[#This Row],[Abundance in SC (g protein/g all proteins)]])</f>
        <v>-4.1292798759189902</v>
      </c>
      <c r="I103">
        <f>LOG(Table2[[#This Row],[Abundance in RT (g protein/g all proteins)]])</f>
        <v>-3.152427340857888</v>
      </c>
    </row>
    <row r="104" spans="1:9" x14ac:dyDescent="0.2">
      <c r="A104" t="s">
        <v>2447</v>
      </c>
      <c r="B104">
        <v>6.7038719917549504E-4</v>
      </c>
      <c r="C104">
        <v>4.9200000000000003E-5</v>
      </c>
      <c r="D104">
        <f t="shared" si="1"/>
        <v>4.3924568092327106E-4</v>
      </c>
      <c r="E104">
        <f>Table2[[#This Row],[distance from 45-degree line]]/MAX(Table2[[Abundance in SC (g protein/g all proteins)]:[Abundance in RT (g protein/g all proteins)]])</f>
        <v>1.5087259640875327E-2</v>
      </c>
      <c r="F104">
        <f>_xlfn.RANK.AVG(Table2[[#This Row],[Abundance in SC (g protein/g all proteins)]],Table2[Abundance in SC (g protein/g all proteins)])</f>
        <v>121</v>
      </c>
      <c r="G104">
        <f>_xlfn.RANK.AVG(Table2[[#This Row],[Abundance in RT (g protein/g all proteins)]],Table2[Abundance in RT (g protein/g all proteins)])</f>
        <v>405</v>
      </c>
      <c r="H104">
        <f>LOG(Table2[[#This Row],[Abundance in SC (g protein/g all proteins)]])</f>
        <v>-3.1736742870098245</v>
      </c>
      <c r="I104">
        <f>LOG(Table2[[#This Row],[Abundance in RT (g protein/g all proteins)]])</f>
        <v>-4.3080348972326394</v>
      </c>
    </row>
    <row r="105" spans="1:9" x14ac:dyDescent="0.2">
      <c r="A105" t="s">
        <v>2556</v>
      </c>
      <c r="B105">
        <v>1.2000060891872999E-3</v>
      </c>
      <c r="C105">
        <v>5.9500000000000004E-4</v>
      </c>
      <c r="D105">
        <f t="shared" si="1"/>
        <v>4.2780390832349285E-4</v>
      </c>
      <c r="E105">
        <f>Table2[[#This Row],[distance from 45-degree line]]/MAX(Table2[[Abundance in SC (g protein/g all proteins)]:[Abundance in RT (g protein/g all proteins)]])</f>
        <v>1.4694256359427327E-2</v>
      </c>
      <c r="F105">
        <f>_xlfn.RANK.AVG(Table2[[#This Row],[Abundance in SC (g protein/g all proteins)]],Table2[Abundance in SC (g protein/g all proteins)])</f>
        <v>75</v>
      </c>
      <c r="G105">
        <f>_xlfn.RANK.AVG(Table2[[#This Row],[Abundance in RT (g protein/g all proteins)]],Table2[Abundance in RT (g protein/g all proteins)])</f>
        <v>131</v>
      </c>
      <c r="H105">
        <f>LOG(Table2[[#This Row],[Abundance in SC (g protein/g all proteins)]])</f>
        <v>-2.9208165502075967</v>
      </c>
      <c r="I105">
        <f>LOG(Table2[[#This Row],[Abundance in RT (g protein/g all proteins)]])</f>
        <v>-3.2254830342714502</v>
      </c>
    </row>
    <row r="106" spans="1:9" x14ac:dyDescent="0.2">
      <c r="A106" t="s">
        <v>2611</v>
      </c>
      <c r="B106">
        <v>1.3164563820684599E-3</v>
      </c>
      <c r="C106">
        <v>1.91E-3</v>
      </c>
      <c r="D106">
        <f t="shared" si="1"/>
        <v>4.1969871716938928E-4</v>
      </c>
      <c r="E106">
        <f>Table2[[#This Row],[distance from 45-degree line]]/MAX(Table2[[Abundance in SC (g protein/g all proteins)]:[Abundance in RT (g protein/g all proteins)]])</f>
        <v>1.441585834963051E-2</v>
      </c>
      <c r="F106">
        <f>_xlfn.RANK.AVG(Table2[[#This Row],[Abundance in SC (g protein/g all proteins)]],Table2[Abundance in SC (g protein/g all proteins)])</f>
        <v>67</v>
      </c>
      <c r="G106">
        <f>_xlfn.RANK.AVG(Table2[[#This Row],[Abundance in RT (g protein/g all proteins)]],Table2[Abundance in RT (g protein/g all proteins)])</f>
        <v>41</v>
      </c>
      <c r="H106">
        <f>LOG(Table2[[#This Row],[Abundance in SC (g protein/g all proteins)]])</f>
        <v>-2.8805935257267659</v>
      </c>
      <c r="I106">
        <f>LOG(Table2[[#This Row],[Abundance in RT (g protein/g all proteins)]])</f>
        <v>-2.7189666327522723</v>
      </c>
    </row>
    <row r="107" spans="1:9" x14ac:dyDescent="0.2">
      <c r="A107" t="s">
        <v>2670</v>
      </c>
      <c r="B107">
        <v>4.25915444599452E-5</v>
      </c>
      <c r="C107">
        <v>6.3500000000000004E-4</v>
      </c>
      <c r="D107">
        <f t="shared" si="1"/>
        <v>4.1889603614462211E-4</v>
      </c>
      <c r="E107">
        <f>Table2[[#This Row],[distance from 45-degree line]]/MAX(Table2[[Abundance in SC (g protein/g all proteins)]:[Abundance in RT (g protein/g all proteins)]])</f>
        <v>1.4388287772262484E-2</v>
      </c>
      <c r="F107">
        <f>_xlfn.RANK.AVG(Table2[[#This Row],[Abundance in SC (g protein/g all proteins)]],Table2[Abundance in SC (g protein/g all proteins)])</f>
        <v>367</v>
      </c>
      <c r="G107">
        <f>_xlfn.RANK.AVG(Table2[[#This Row],[Abundance in RT (g protein/g all proteins)]],Table2[Abundance in RT (g protein/g all proteins)])</f>
        <v>123</v>
      </c>
      <c r="H107">
        <f>LOG(Table2[[#This Row],[Abundance in SC (g protein/g all proteins)]])</f>
        <v>-4.370676611199551</v>
      </c>
      <c r="I107">
        <f>LOG(Table2[[#This Row],[Abundance in RT (g protein/g all proteins)]])</f>
        <v>-3.1972262747080245</v>
      </c>
    </row>
    <row r="108" spans="1:9" x14ac:dyDescent="0.2">
      <c r="A108" t="s">
        <v>2539</v>
      </c>
      <c r="B108">
        <v>6.0154784122872396E-4</v>
      </c>
      <c r="C108">
        <v>1.63E-5</v>
      </c>
      <c r="D108">
        <f t="shared" si="1"/>
        <v>4.1383271720761859E-4</v>
      </c>
      <c r="E108">
        <f>Table2[[#This Row],[distance from 45-degree line]]/MAX(Table2[[Abundance in SC (g protein/g all proteins)]:[Abundance in RT (g protein/g all proteins)]])</f>
        <v>1.4214372328662534E-2</v>
      </c>
      <c r="F108">
        <f>_xlfn.RANK.AVG(Table2[[#This Row],[Abundance in SC (g protein/g all proteins)]],Table2[Abundance in SC (g protein/g all proteins)])</f>
        <v>134</v>
      </c>
      <c r="G108">
        <f>_xlfn.RANK.AVG(Table2[[#This Row],[Abundance in RT (g protein/g all proteins)]],Table2[Abundance in RT (g protein/g all proteins)])</f>
        <v>504</v>
      </c>
      <c r="H108">
        <f>LOG(Table2[[#This Row],[Abundance in SC (g protein/g all proteins)]])</f>
        <v>-3.2207298274173808</v>
      </c>
      <c r="I108">
        <f>LOG(Table2[[#This Row],[Abundance in RT (g protein/g all proteins)]])</f>
        <v>-4.7878123955960419</v>
      </c>
    </row>
    <row r="109" spans="1:9" x14ac:dyDescent="0.2">
      <c r="A109" t="s">
        <v>2498</v>
      </c>
      <c r="B109">
        <v>7.2163661213067395E-4</v>
      </c>
      <c r="C109">
        <v>1.45E-4</v>
      </c>
      <c r="D109">
        <f t="shared" si="1"/>
        <v>4.0774365871803657E-4</v>
      </c>
      <c r="E109">
        <f>Table2[[#This Row],[distance from 45-degree line]]/MAX(Table2[[Abundance in SC (g protein/g all proteins)]:[Abundance in RT (g protein/g all proteins)]])</f>
        <v>1.4005224668501823E-2</v>
      </c>
      <c r="F109">
        <f>_xlfn.RANK.AVG(Table2[[#This Row],[Abundance in SC (g protein/g all proteins)]],Table2[Abundance in SC (g protein/g all proteins)])</f>
        <v>114</v>
      </c>
      <c r="G109">
        <f>_xlfn.RANK.AVG(Table2[[#This Row],[Abundance in RT (g protein/g all proteins)]],Table2[Abundance in RT (g protein/g all proteins)])</f>
        <v>279.5</v>
      </c>
      <c r="H109">
        <f>LOG(Table2[[#This Row],[Abundance in SC (g protein/g all proteins)]])</f>
        <v>-3.1416814410385063</v>
      </c>
      <c r="I109">
        <f>LOG(Table2[[#This Row],[Abundance in RT (g protein/g all proteins)]])</f>
        <v>-3.8386319977650252</v>
      </c>
    </row>
    <row r="110" spans="1:9" x14ac:dyDescent="0.2">
      <c r="A110" t="s">
        <v>2609</v>
      </c>
      <c r="B110">
        <v>9.3527410203942903E-4</v>
      </c>
      <c r="C110">
        <v>3.7500000000000001E-4</v>
      </c>
      <c r="D110">
        <f t="shared" si="1"/>
        <v>3.9617361687528392E-4</v>
      </c>
      <c r="E110">
        <f>Table2[[#This Row],[distance from 45-degree line]]/MAX(Table2[[Abundance in SC (g protein/g all proteins)]:[Abundance in RT (g protein/g all proteins)]])</f>
        <v>1.3607815580789259E-2</v>
      </c>
      <c r="F110">
        <f>_xlfn.RANK.AVG(Table2[[#This Row],[Abundance in SC (g protein/g all proteins)]],Table2[Abundance in SC (g protein/g all proteins)])</f>
        <v>95</v>
      </c>
      <c r="G110">
        <f>_xlfn.RANK.AVG(Table2[[#This Row],[Abundance in RT (g protein/g all proteins)]],Table2[Abundance in RT (g protein/g all proteins)])</f>
        <v>174</v>
      </c>
      <c r="H110">
        <f>LOG(Table2[[#This Row],[Abundance in SC (g protein/g all proteins)]])</f>
        <v>-3.0290610912047606</v>
      </c>
      <c r="I110">
        <f>LOG(Table2[[#This Row],[Abundance in RT (g protein/g all proteins)]])</f>
        <v>-3.4259687322722812</v>
      </c>
    </row>
    <row r="111" spans="1:9" x14ac:dyDescent="0.2">
      <c r="A111" t="s">
        <v>2809</v>
      </c>
      <c r="B111">
        <v>1.0460443536715401E-3</v>
      </c>
      <c r="C111">
        <v>1.598E-3</v>
      </c>
      <c r="D111">
        <f t="shared" si="1"/>
        <v>3.902915804330577E-4</v>
      </c>
      <c r="E111">
        <f>Table2[[#This Row],[distance from 45-degree line]]/MAX(Table2[[Abundance in SC (g protein/g all proteins)]:[Abundance in RT (g protein/g all proteins)]])</f>
        <v>1.3405778737001923E-2</v>
      </c>
      <c r="F111">
        <f>_xlfn.RANK.AVG(Table2[[#This Row],[Abundance in SC (g protein/g all proteins)]],Table2[Abundance in SC (g protein/g all proteins)])</f>
        <v>86</v>
      </c>
      <c r="G111">
        <f>_xlfn.RANK.AVG(Table2[[#This Row],[Abundance in RT (g protein/g all proteins)]],Table2[Abundance in RT (g protein/g all proteins)])</f>
        <v>48.5</v>
      </c>
      <c r="H111">
        <f>LOG(Table2[[#This Row],[Abundance in SC (g protein/g all proteins)]])</f>
        <v>-2.9804499004148082</v>
      </c>
      <c r="I111">
        <f>LOG(Table2[[#This Row],[Abundance in RT (g protein/g all proteins)]])</f>
        <v>-2.7964232250220276</v>
      </c>
    </row>
    <row r="112" spans="1:9" x14ac:dyDescent="0.2">
      <c r="A112" t="s">
        <v>2423</v>
      </c>
      <c r="B112">
        <v>1.6107167411504399E-3</v>
      </c>
      <c r="C112">
        <v>1.059E-3</v>
      </c>
      <c r="D112">
        <f t="shared" si="1"/>
        <v>3.9012264896161916E-4</v>
      </c>
      <c r="E112">
        <f>Table2[[#This Row],[distance from 45-degree line]]/MAX(Table2[[Abundance in SC (g protein/g all proteins)]:[Abundance in RT (g protein/g all proteins)]])</f>
        <v>1.3399976259978697E-2</v>
      </c>
      <c r="F112">
        <f>_xlfn.RANK.AVG(Table2[[#This Row],[Abundance in SC (g protein/g all proteins)]],Table2[Abundance in SC (g protein/g all proteins)])</f>
        <v>53</v>
      </c>
      <c r="G112">
        <f>_xlfn.RANK.AVG(Table2[[#This Row],[Abundance in RT (g protein/g all proteins)]],Table2[Abundance in RT (g protein/g all proteins)])</f>
        <v>82</v>
      </c>
      <c r="H112">
        <f>LOG(Table2[[#This Row],[Abundance in SC (g protein/g all proteins)]])</f>
        <v>-2.7929808274091883</v>
      </c>
      <c r="I112">
        <f>LOG(Table2[[#This Row],[Abundance in RT (g protein/g all proteins)]])</f>
        <v>-2.975104039892515</v>
      </c>
    </row>
    <row r="113" spans="1:9" x14ac:dyDescent="0.2">
      <c r="A113" t="s">
        <v>2563</v>
      </c>
      <c r="B113">
        <v>1.4502465680994099E-4</v>
      </c>
      <c r="C113">
        <v>6.8999999999999997E-4</v>
      </c>
      <c r="D113">
        <f t="shared" si="1"/>
        <v>3.8535576074915669E-4</v>
      </c>
      <c r="E113">
        <f>Table2[[#This Row],[distance from 45-degree line]]/MAX(Table2[[Abundance in SC (g protein/g all proteins)]:[Abundance in RT (g protein/g all proteins)]])</f>
        <v>1.3236242651968532E-2</v>
      </c>
      <c r="F113">
        <f>_xlfn.RANK.AVG(Table2[[#This Row],[Abundance in SC (g protein/g all proteins)]],Table2[Abundance in SC (g protein/g all proteins)])</f>
        <v>250</v>
      </c>
      <c r="G113">
        <f>_xlfn.RANK.AVG(Table2[[#This Row],[Abundance in RT (g protein/g all proteins)]],Table2[Abundance in RT (g protein/g all proteins)])</f>
        <v>118</v>
      </c>
      <c r="H113">
        <f>LOG(Table2[[#This Row],[Abundance in SC (g protein/g all proteins)]])</f>
        <v>-3.8385581535847249</v>
      </c>
      <c r="I113">
        <f>LOG(Table2[[#This Row],[Abundance in RT (g protein/g all proteins)]])</f>
        <v>-3.1611509092627448</v>
      </c>
    </row>
    <row r="114" spans="1:9" x14ac:dyDescent="0.2">
      <c r="A114" t="s">
        <v>2829</v>
      </c>
      <c r="B114">
        <v>4.1517929206652001E-5</v>
      </c>
      <c r="C114">
        <v>5.8E-4</v>
      </c>
      <c r="D114">
        <f t="shared" si="1"/>
        <v>3.8076432380535093E-4</v>
      </c>
      <c r="E114">
        <f>Table2[[#This Row],[distance from 45-degree line]]/MAX(Table2[[Abundance in SC (g protein/g all proteins)]:[Abundance in RT (g protein/g all proteins)]])</f>
        <v>1.3078535463703644E-2</v>
      </c>
      <c r="F114">
        <f>_xlfn.RANK.AVG(Table2[[#This Row],[Abundance in SC (g protein/g all proteins)]],Table2[Abundance in SC (g protein/g all proteins)])</f>
        <v>374</v>
      </c>
      <c r="G114">
        <f>_xlfn.RANK.AVG(Table2[[#This Row],[Abundance in RT (g protein/g all proteins)]],Table2[Abundance in RT (g protein/g all proteins)])</f>
        <v>136</v>
      </c>
      <c r="H114">
        <f>LOG(Table2[[#This Row],[Abundance in SC (g protein/g all proteins)]])</f>
        <v>-4.3817643159628723</v>
      </c>
      <c r="I114">
        <f>LOG(Table2[[#This Row],[Abundance in RT (g protein/g all proteins)]])</f>
        <v>-3.2365720064370627</v>
      </c>
    </row>
    <row r="115" spans="1:9" x14ac:dyDescent="0.2">
      <c r="A115" t="s">
        <v>2718</v>
      </c>
      <c r="B115">
        <v>8.5476737326927398E-4</v>
      </c>
      <c r="C115">
        <v>3.1700000000000001E-4</v>
      </c>
      <c r="D115">
        <f t="shared" si="1"/>
        <v>3.8025895633958089E-4</v>
      </c>
      <c r="E115">
        <f>Table2[[#This Row],[distance from 45-degree line]]/MAX(Table2[[Abundance in SC (g protein/g all proteins)]:[Abundance in RT (g protein/g all proteins)]])</f>
        <v>1.306117704562177E-2</v>
      </c>
      <c r="F115">
        <f>_xlfn.RANK.AVG(Table2[[#This Row],[Abundance in SC (g protein/g all proteins)]],Table2[Abundance in SC (g protein/g all proteins)])</f>
        <v>99</v>
      </c>
      <c r="G115">
        <f>_xlfn.RANK.AVG(Table2[[#This Row],[Abundance in RT (g protein/g all proteins)]],Table2[Abundance in RT (g protein/g all proteins)])</f>
        <v>193</v>
      </c>
      <c r="H115">
        <f>LOG(Table2[[#This Row],[Abundance in SC (g protein/g all proteins)]])</f>
        <v>-3.0681520633441202</v>
      </c>
      <c r="I115">
        <f>LOG(Table2[[#This Row],[Abundance in RT (g protein/g all proteins)]])</f>
        <v>-3.4989407377822483</v>
      </c>
    </row>
    <row r="116" spans="1:9" x14ac:dyDescent="0.2">
      <c r="A116" t="s">
        <v>2806</v>
      </c>
      <c r="B116">
        <v>6.6634392840435601E-4</v>
      </c>
      <c r="C116">
        <v>1.3999999999999999E-4</v>
      </c>
      <c r="D116">
        <f t="shared" si="1"/>
        <v>3.7218136101108682E-4</v>
      </c>
      <c r="E116">
        <f>Table2[[#This Row],[distance from 45-degree line]]/MAX(Table2[[Abundance in SC (g protein/g all proteins)]:[Abundance in RT (g protein/g all proteins)]])</f>
        <v>1.2783726900320968E-2</v>
      </c>
      <c r="F116">
        <f>_xlfn.RANK.AVG(Table2[[#This Row],[Abundance in SC (g protein/g all proteins)]],Table2[Abundance in SC (g protein/g all proteins)])</f>
        <v>122</v>
      </c>
      <c r="G116">
        <f>_xlfn.RANK.AVG(Table2[[#This Row],[Abundance in RT (g protein/g all proteins)]],Table2[Abundance in RT (g protein/g all proteins)])</f>
        <v>284.5</v>
      </c>
      <c r="H116">
        <f>LOG(Table2[[#This Row],[Abundance in SC (g protein/g all proteins)]])</f>
        <v>-3.1763015551323628</v>
      </c>
      <c r="I116">
        <f>LOG(Table2[[#This Row],[Abundance in RT (g protein/g all proteins)]])</f>
        <v>-3.8538719643217618</v>
      </c>
    </row>
    <row r="117" spans="1:9" x14ac:dyDescent="0.2">
      <c r="A117" t="s">
        <v>2671</v>
      </c>
      <c r="B117">
        <v>8.2771252074004102E-4</v>
      </c>
      <c r="C117">
        <v>3.1799999999999998E-4</v>
      </c>
      <c r="D117">
        <f t="shared" si="1"/>
        <v>3.6042117987097172E-4</v>
      </c>
      <c r="E117">
        <f>Table2[[#This Row],[distance from 45-degree line]]/MAX(Table2[[Abundance in SC (g protein/g all proteins)]:[Abundance in RT (g protein/g all proteins)]])</f>
        <v>1.2379786886814868E-2</v>
      </c>
      <c r="F117">
        <f>_xlfn.RANK.AVG(Table2[[#This Row],[Abundance in SC (g protein/g all proteins)]],Table2[Abundance in SC (g protein/g all proteins)])</f>
        <v>104</v>
      </c>
      <c r="G117">
        <f>_xlfn.RANK.AVG(Table2[[#This Row],[Abundance in RT (g protein/g all proteins)]],Table2[Abundance in RT (g protein/g all proteins)])</f>
        <v>192</v>
      </c>
      <c r="H117">
        <f>LOG(Table2[[#This Row],[Abundance in SC (g protein/g all proteins)]])</f>
        <v>-3.0821204752141265</v>
      </c>
      <c r="I117">
        <f>LOG(Table2[[#This Row],[Abundance in RT (g protein/g all proteins)]])</f>
        <v>-3.4975728800155674</v>
      </c>
    </row>
    <row r="118" spans="1:9" x14ac:dyDescent="0.2">
      <c r="A118" t="s">
        <v>2477</v>
      </c>
      <c r="B118">
        <v>1.57169317349283E-3</v>
      </c>
      <c r="C118">
        <v>2.0790000000000001E-3</v>
      </c>
      <c r="D118">
        <f t="shared" si="1"/>
        <v>3.5872009716544733E-4</v>
      </c>
      <c r="E118">
        <f>Table2[[#This Row],[distance from 45-degree line]]/MAX(Table2[[Abundance in SC (g protein/g all proteins)]:[Abundance in RT (g protein/g all proteins)]])</f>
        <v>1.2321357908310394E-2</v>
      </c>
      <c r="F118">
        <f>_xlfn.RANK.AVG(Table2[[#This Row],[Abundance in SC (g protein/g all proteins)]],Table2[Abundance in SC (g protein/g all proteins)])</f>
        <v>55</v>
      </c>
      <c r="G118">
        <f>_xlfn.RANK.AVG(Table2[[#This Row],[Abundance in RT (g protein/g all proteins)]],Table2[Abundance in RT (g protein/g all proteins)])</f>
        <v>35</v>
      </c>
      <c r="H118">
        <f>LOG(Table2[[#This Row],[Abundance in SC (g protein/g all proteins)]])</f>
        <v>-2.8036322331471033</v>
      </c>
      <c r="I118">
        <f>LOG(Table2[[#This Row],[Abundance in RT (g protein/g all proteins)]])</f>
        <v>-2.6821455106685308</v>
      </c>
    </row>
    <row r="119" spans="1:9" x14ac:dyDescent="0.2">
      <c r="A119" t="s">
        <v>2441</v>
      </c>
      <c r="B119">
        <v>1.0183375507779501E-4</v>
      </c>
      <c r="C119">
        <v>6.0400000000000004E-4</v>
      </c>
      <c r="D119">
        <f t="shared" si="1"/>
        <v>3.5508515706747583E-4</v>
      </c>
      <c r="E119">
        <f>Table2[[#This Row],[distance from 45-degree line]]/MAX(Table2[[Abundance in SC (g protein/g all proteins)]:[Abundance in RT (g protein/g all proteins)]])</f>
        <v>1.2196504580391832E-2</v>
      </c>
      <c r="F119">
        <f>_xlfn.RANK.AVG(Table2[[#This Row],[Abundance in SC (g protein/g all proteins)]],Table2[Abundance in SC (g protein/g all proteins)])</f>
        <v>277</v>
      </c>
      <c r="G119">
        <f>_xlfn.RANK.AVG(Table2[[#This Row],[Abundance in RT (g protein/g all proteins)]],Table2[Abundance in RT (g protein/g all proteins)])</f>
        <v>128</v>
      </c>
      <c r="H119">
        <f>LOG(Table2[[#This Row],[Abundance in SC (g protein/g all proteins)]])</f>
        <v>-3.9921082415069171</v>
      </c>
      <c r="I119">
        <f>LOG(Table2[[#This Row],[Abundance in RT (g protein/g all proteins)]])</f>
        <v>-3.2189630613788682</v>
      </c>
    </row>
    <row r="120" spans="1:9" x14ac:dyDescent="0.2">
      <c r="A120" t="s">
        <v>2479</v>
      </c>
      <c r="B120">
        <v>7.7802439696155205E-4</v>
      </c>
      <c r="C120">
        <v>1.2800000000000001E-3</v>
      </c>
      <c r="D120">
        <f t="shared" si="1"/>
        <v>3.549503528986931E-4</v>
      </c>
      <c r="E120">
        <f>Table2[[#This Row],[distance from 45-degree line]]/MAX(Table2[[Abundance in SC (g protein/g all proteins)]:[Abundance in RT (g protein/g all proteins)]])</f>
        <v>1.2191874311766715E-2</v>
      </c>
      <c r="F120">
        <f>_xlfn.RANK.AVG(Table2[[#This Row],[Abundance in SC (g protein/g all proteins)]],Table2[Abundance in SC (g protein/g all proteins)])</f>
        <v>111</v>
      </c>
      <c r="G120">
        <f>_xlfn.RANK.AVG(Table2[[#This Row],[Abundance in RT (g protein/g all proteins)]],Table2[Abundance in RT (g protein/g all proteins)])</f>
        <v>67</v>
      </c>
      <c r="H120">
        <f>LOG(Table2[[#This Row],[Abundance in SC (g protein/g all proteins)]])</f>
        <v>-3.1090067843732268</v>
      </c>
      <c r="I120">
        <f>LOG(Table2[[#This Row],[Abundance in RT (g protein/g all proteins)]])</f>
        <v>-2.8927900303521317</v>
      </c>
    </row>
    <row r="121" spans="1:9" x14ac:dyDescent="0.2">
      <c r="A121" t="s">
        <v>2406</v>
      </c>
      <c r="B121">
        <v>1.34332826678639E-3</v>
      </c>
      <c r="C121">
        <v>8.5999999999999998E-4</v>
      </c>
      <c r="D121">
        <f t="shared" si="1"/>
        <v>3.4176469498379717E-4</v>
      </c>
      <c r="E121">
        <f>Table2[[#This Row],[distance from 45-degree line]]/MAX(Table2[[Abundance in SC (g protein/g all proteins)]:[Abundance in RT (g protein/g all proteins)]])</f>
        <v>1.1738971863005817E-2</v>
      </c>
      <c r="F121">
        <f>_xlfn.RANK.AVG(Table2[[#This Row],[Abundance in SC (g protein/g all proteins)]],Table2[Abundance in SC (g protein/g all proteins)])</f>
        <v>65</v>
      </c>
      <c r="G121">
        <f>_xlfn.RANK.AVG(Table2[[#This Row],[Abundance in RT (g protein/g all proteins)]],Table2[Abundance in RT (g protein/g all proteins)])</f>
        <v>97</v>
      </c>
      <c r="H121">
        <f>LOG(Table2[[#This Row],[Abundance in SC (g protein/g all proteins)]])</f>
        <v>-2.8718178465767137</v>
      </c>
      <c r="I121">
        <f>LOG(Table2[[#This Row],[Abundance in RT (g protein/g all proteins)]])</f>
        <v>-3.0655015487564321</v>
      </c>
    </row>
    <row r="122" spans="1:9" x14ac:dyDescent="0.2">
      <c r="A122" t="s">
        <v>2372</v>
      </c>
      <c r="B122">
        <v>1.0515521682069599E-3</v>
      </c>
      <c r="C122">
        <v>1.534E-3</v>
      </c>
      <c r="D122">
        <f t="shared" si="1"/>
        <v>3.4114213342960543E-4</v>
      </c>
      <c r="E122">
        <f>Table2[[#This Row],[distance from 45-degree line]]/MAX(Table2[[Abundance in SC (g protein/g all proteins)]:[Abundance in RT (g protein/g all proteins)]])</f>
        <v>1.1717588049303255E-2</v>
      </c>
      <c r="F122">
        <f>_xlfn.RANK.AVG(Table2[[#This Row],[Abundance in SC (g protein/g all proteins)]],Table2[Abundance in SC (g protein/g all proteins)])</f>
        <v>85</v>
      </c>
      <c r="G122">
        <f>_xlfn.RANK.AVG(Table2[[#This Row],[Abundance in RT (g protein/g all proteins)]],Table2[Abundance in RT (g protein/g all proteins)])</f>
        <v>52</v>
      </c>
      <c r="H122">
        <f>LOG(Table2[[#This Row],[Abundance in SC (g protein/g all proteins)]])</f>
        <v>-2.9781691768032372</v>
      </c>
      <c r="I122">
        <f>LOG(Table2[[#This Row],[Abundance in RT (g protein/g all proteins)]])</f>
        <v>-2.814174640387038</v>
      </c>
    </row>
    <row r="123" spans="1:9" x14ac:dyDescent="0.2">
      <c r="A123" t="s">
        <v>2478</v>
      </c>
      <c r="B123">
        <v>4.6010610421841298E-4</v>
      </c>
      <c r="C123">
        <v>9.3700000000000001E-4</v>
      </c>
      <c r="D123">
        <f t="shared" si="1"/>
        <v>3.3721490761363086E-4</v>
      </c>
      <c r="E123">
        <f>Table2[[#This Row],[distance from 45-degree line]]/MAX(Table2[[Abundance in SC (g protein/g all proteins)]:[Abundance in RT (g protein/g all proteins)]])</f>
        <v>1.1582695258941803E-2</v>
      </c>
      <c r="F123">
        <f>_xlfn.RANK.AVG(Table2[[#This Row],[Abundance in SC (g protein/g all proteins)]],Table2[Abundance in SC (g protein/g all proteins)])</f>
        <v>155</v>
      </c>
      <c r="G123">
        <f>_xlfn.RANK.AVG(Table2[[#This Row],[Abundance in RT (g protein/g all proteins)]],Table2[Abundance in RT (g protein/g all proteins)])</f>
        <v>92</v>
      </c>
      <c r="H123">
        <f>LOG(Table2[[#This Row],[Abundance in SC (g protein/g all proteins)]])</f>
        <v>-3.3371420049208429</v>
      </c>
      <c r="I123">
        <f>LOG(Table2[[#This Row],[Abundance in RT (g protein/g all proteins)]])</f>
        <v>-3.0282604091122218</v>
      </c>
    </row>
    <row r="124" spans="1:9" x14ac:dyDescent="0.2">
      <c r="A124" t="s">
        <v>2660</v>
      </c>
      <c r="B124">
        <v>1.03072081711946E-6</v>
      </c>
      <c r="C124">
        <v>4.7100000000000001E-4</v>
      </c>
      <c r="D124">
        <f t="shared" si="1"/>
        <v>3.3231846425956857E-4</v>
      </c>
      <c r="E124">
        <f>Table2[[#This Row],[distance from 45-degree line]]/MAX(Table2[[Abundance in SC (g protein/g all proteins)]:[Abundance in RT (g protein/g all proteins)]])</f>
        <v>1.1414511676477663E-2</v>
      </c>
      <c r="F124">
        <f>_xlfn.RANK.AVG(Table2[[#This Row],[Abundance in SC (g protein/g all proteins)]],Table2[Abundance in SC (g protein/g all proteins)])</f>
        <v>580</v>
      </c>
      <c r="G124">
        <f>_xlfn.RANK.AVG(Table2[[#This Row],[Abundance in RT (g protein/g all proteins)]],Table2[Abundance in RT (g protein/g all proteins)])</f>
        <v>149.5</v>
      </c>
      <c r="H124">
        <f>LOG(Table2[[#This Row],[Abundance in SC (g protein/g all proteins)]])</f>
        <v>-5.986858952566771</v>
      </c>
      <c r="I124">
        <f>LOG(Table2[[#This Row],[Abundance in RT (g protein/g all proteins)]])</f>
        <v>-3.3269790928711038</v>
      </c>
    </row>
    <row r="125" spans="1:9" x14ac:dyDescent="0.2">
      <c r="A125" t="s">
        <v>2830</v>
      </c>
      <c r="B125">
        <v>1.5246322014180001E-4</v>
      </c>
      <c r="C125">
        <v>6.2E-4</v>
      </c>
      <c r="D125">
        <f t="shared" si="1"/>
        <v>3.3059842749185526E-4</v>
      </c>
      <c r="E125">
        <f>Table2[[#This Row],[distance from 45-degree line]]/MAX(Table2[[Abundance in SC (g protein/g all proteins)]:[Abundance in RT (g protein/g all proteins)]])</f>
        <v>1.1355431661731027E-2</v>
      </c>
      <c r="F125">
        <f>_xlfn.RANK.AVG(Table2[[#This Row],[Abundance in SC (g protein/g all proteins)]],Table2[Abundance in SC (g protein/g all proteins)])</f>
        <v>241</v>
      </c>
      <c r="G125">
        <f>_xlfn.RANK.AVG(Table2[[#This Row],[Abundance in RT (g protein/g all proteins)]],Table2[Abundance in RT (g protein/g all proteins)])</f>
        <v>126</v>
      </c>
      <c r="H125">
        <f>LOG(Table2[[#This Row],[Abundance in SC (g protein/g all proteins)]])</f>
        <v>-3.8168349118318536</v>
      </c>
      <c r="I125">
        <f>LOG(Table2[[#This Row],[Abundance in RT (g protein/g all proteins)]])</f>
        <v>-3.2076083105017461</v>
      </c>
    </row>
    <row r="126" spans="1:9" x14ac:dyDescent="0.2">
      <c r="A126" t="s">
        <v>2595</v>
      </c>
      <c r="B126">
        <v>5.3421314606772201E-4</v>
      </c>
      <c r="C126">
        <v>6.7899999999999997E-5</v>
      </c>
      <c r="D126">
        <f t="shared" si="1"/>
        <v>3.297331877409193E-4</v>
      </c>
      <c r="E126">
        <f>Table2[[#This Row],[distance from 45-degree line]]/MAX(Table2[[Abundance in SC (g protein/g all proteins)]:[Abundance in RT (g protein/g all proteins)]])</f>
        <v>1.132571231025889E-2</v>
      </c>
      <c r="F126">
        <f>_xlfn.RANK.AVG(Table2[[#This Row],[Abundance in SC (g protein/g all proteins)]],Table2[Abundance in SC (g protein/g all proteins)])</f>
        <v>142</v>
      </c>
      <c r="G126">
        <f>_xlfn.RANK.AVG(Table2[[#This Row],[Abundance in RT (g protein/g all proteins)]],Table2[Abundance in RT (g protein/g all proteins)])</f>
        <v>375</v>
      </c>
      <c r="H126">
        <f>LOG(Table2[[#This Row],[Abundance in SC (g protein/g all proteins)]])</f>
        <v>-3.2722854289420846</v>
      </c>
      <c r="I126">
        <f>LOG(Table2[[#This Row],[Abundance in RT (g protein/g all proteins)]])</f>
        <v>-4.1681302257194988</v>
      </c>
    </row>
    <row r="127" spans="1:9" x14ac:dyDescent="0.2">
      <c r="A127" t="s">
        <v>2537</v>
      </c>
      <c r="B127">
        <v>7.6020452423641703E-5</v>
      </c>
      <c r="C127">
        <v>5.2499999999999997E-4</v>
      </c>
      <c r="D127">
        <f t="shared" si="1"/>
        <v>3.1747648270531102E-4</v>
      </c>
      <c r="E127">
        <f>Table2[[#This Row],[distance from 45-degree line]]/MAX(Table2[[Abundance in SC (g protein/g all proteins)]:[Abundance in RT (g protein/g all proteins)]])</f>
        <v>1.0904717638609179E-2</v>
      </c>
      <c r="F127">
        <f>_xlfn.RANK.AVG(Table2[[#This Row],[Abundance in SC (g protein/g all proteins)]],Table2[Abundance in SC (g protein/g all proteins)])</f>
        <v>304</v>
      </c>
      <c r="G127">
        <f>_xlfn.RANK.AVG(Table2[[#This Row],[Abundance in RT (g protein/g all proteins)]],Table2[Abundance in RT (g protein/g all proteins)])</f>
        <v>142</v>
      </c>
      <c r="H127">
        <f>LOG(Table2[[#This Row],[Abundance in SC (g protein/g all proteins)]])</f>
        <v>-4.1190695500906314</v>
      </c>
      <c r="I127">
        <f>LOG(Table2[[#This Row],[Abundance in RT (g protein/g all proteins)]])</f>
        <v>-3.279840696594043</v>
      </c>
    </row>
    <row r="128" spans="1:9" x14ac:dyDescent="0.2">
      <c r="A128" t="s">
        <v>2526</v>
      </c>
      <c r="B128">
        <v>2.42162274795159E-3</v>
      </c>
      <c r="C128">
        <v>1.9750000000000002E-3</v>
      </c>
      <c r="D128">
        <f t="shared" si="1"/>
        <v>3.1580997370873935E-4</v>
      </c>
      <c r="E128">
        <f>Table2[[#This Row],[distance from 45-degree line]]/MAX(Table2[[Abundance in SC (g protein/g all proteins)]:[Abundance in RT (g protein/g all proteins)]])</f>
        <v>1.084747620171609E-2</v>
      </c>
      <c r="F128">
        <f>_xlfn.RANK.AVG(Table2[[#This Row],[Abundance in SC (g protein/g all proteins)]],Table2[Abundance in SC (g protein/g all proteins)])</f>
        <v>34</v>
      </c>
      <c r="G128">
        <f>_xlfn.RANK.AVG(Table2[[#This Row],[Abundance in RT (g protein/g all proteins)]],Table2[Abundance in RT (g protein/g all proteins)])</f>
        <v>39</v>
      </c>
      <c r="H128">
        <f>LOG(Table2[[#This Row],[Abundance in SC (g protein/g all proteins)]])</f>
        <v>-2.6158935124085003</v>
      </c>
      <c r="I128">
        <f>LOG(Table2[[#This Row],[Abundance in RT (g protein/g all proteins)]])</f>
        <v>-2.7044329000375211</v>
      </c>
    </row>
    <row r="129" spans="1:9" x14ac:dyDescent="0.2">
      <c r="A129" t="s">
        <v>2573</v>
      </c>
      <c r="B129">
        <v>1.0310636105651399E-3</v>
      </c>
      <c r="C129">
        <v>5.8500000000000002E-4</v>
      </c>
      <c r="D129">
        <f t="shared" si="1"/>
        <v>3.1541460387116572E-4</v>
      </c>
      <c r="E129">
        <f>Table2[[#This Row],[distance from 45-degree line]]/MAX(Table2[[Abundance in SC (g protein/g all proteins)]:[Abundance in RT (g protein/g all proteins)]])</f>
        <v>1.0833895994436404E-2</v>
      </c>
      <c r="F129">
        <f>_xlfn.RANK.AVG(Table2[[#This Row],[Abundance in SC (g protein/g all proteins)]],Table2[Abundance in SC (g protein/g all proteins)])</f>
        <v>87</v>
      </c>
      <c r="G129">
        <f>_xlfn.RANK.AVG(Table2[[#This Row],[Abundance in RT (g protein/g all proteins)]],Table2[Abundance in RT (g protein/g all proteins)])</f>
        <v>134</v>
      </c>
      <c r="H129">
        <f>LOG(Table2[[#This Row],[Abundance in SC (g protein/g all proteins)]])</f>
        <v>-2.9867145404727964</v>
      </c>
      <c r="I129">
        <f>LOG(Table2[[#This Row],[Abundance in RT (g protein/g all proteins)]])</f>
        <v>-3.2328441339178196</v>
      </c>
    </row>
    <row r="130" spans="1:9" x14ac:dyDescent="0.2">
      <c r="A130" t="s">
        <v>2903</v>
      </c>
      <c r="B130">
        <v>1.4793228999406799E-4</v>
      </c>
      <c r="C130">
        <v>5.9299999999999999E-4</v>
      </c>
      <c r="D130">
        <f t="shared" ref="D130:D193" si="2">ABS(B130-C130)/SQRT(2)</f>
        <v>3.1471039583236233E-4</v>
      </c>
      <c r="E130">
        <f>Table2[[#This Row],[distance from 45-degree line]]/MAX(Table2[[Abundance in SC (g protein/g all proteins)]:[Abundance in RT (g protein/g all proteins)]])</f>
        <v>1.0809707778173729E-2</v>
      </c>
      <c r="F130">
        <f>_xlfn.RANK.AVG(Table2[[#This Row],[Abundance in SC (g protein/g all proteins)]],Table2[Abundance in SC (g protein/g all proteins)])</f>
        <v>246</v>
      </c>
      <c r="G130">
        <f>_xlfn.RANK.AVG(Table2[[#This Row],[Abundance in RT (g protein/g all proteins)]],Table2[Abundance in RT (g protein/g all proteins)])</f>
        <v>132</v>
      </c>
      <c r="H130">
        <f>LOG(Table2[[#This Row],[Abundance in SC (g protein/g all proteins)]])</f>
        <v>-3.8299370198120704</v>
      </c>
      <c r="I130">
        <f>LOG(Table2[[#This Row],[Abundance in RT (g protein/g all proteins)]])</f>
        <v>-3.2269453066357374</v>
      </c>
    </row>
    <row r="131" spans="1:9" x14ac:dyDescent="0.2">
      <c r="A131" t="s">
        <v>2725</v>
      </c>
      <c r="B131">
        <v>1.05759132752945E-4</v>
      </c>
      <c r="C131">
        <v>5.5000000000000003E-4</v>
      </c>
      <c r="D131">
        <f t="shared" si="2"/>
        <v>3.1412572971058542E-4</v>
      </c>
      <c r="E131">
        <f>Table2[[#This Row],[distance from 45-degree line]]/MAX(Table2[[Abundance in SC (g protein/g all proteins)]:[Abundance in RT (g protein/g all proteins)]])</f>
        <v>1.0789625601010528E-2</v>
      </c>
      <c r="F131">
        <f>_xlfn.RANK.AVG(Table2[[#This Row],[Abundance in SC (g protein/g all proteins)]],Table2[Abundance in SC (g protein/g all proteins)])</f>
        <v>274</v>
      </c>
      <c r="G131">
        <f>_xlfn.RANK.AVG(Table2[[#This Row],[Abundance in RT (g protein/g all proteins)]],Table2[Abundance in RT (g protein/g all proteins)])</f>
        <v>139</v>
      </c>
      <c r="H131">
        <f>LOG(Table2[[#This Row],[Abundance in SC (g protein/g all proteins)]])</f>
        <v>-3.9756821191496101</v>
      </c>
      <c r="I131">
        <f>LOG(Table2[[#This Row],[Abundance in RT (g protein/g all proteins)]])</f>
        <v>-3.2596373105057563</v>
      </c>
    </row>
    <row r="132" spans="1:9" x14ac:dyDescent="0.2">
      <c r="A132" t="s">
        <v>2469</v>
      </c>
      <c r="B132">
        <v>5.7767327051235504E-4</v>
      </c>
      <c r="C132">
        <v>1.3999999999999999E-4</v>
      </c>
      <c r="D132">
        <f t="shared" si="2"/>
        <v>3.0948173752338043E-4</v>
      </c>
      <c r="E132">
        <f>Table2[[#This Row],[distance from 45-degree line]]/MAX(Table2[[Abundance in SC (g protein/g all proteins)]:[Abundance in RT (g protein/g all proteins)]])</f>
        <v>1.0630113239383466E-2</v>
      </c>
      <c r="F132">
        <f>_xlfn.RANK.AVG(Table2[[#This Row],[Abundance in SC (g protein/g all proteins)]],Table2[Abundance in SC (g protein/g all proteins)])</f>
        <v>137</v>
      </c>
      <c r="G132">
        <f>_xlfn.RANK.AVG(Table2[[#This Row],[Abundance in RT (g protein/g all proteins)]],Table2[Abundance in RT (g protein/g all proteins)])</f>
        <v>284.5</v>
      </c>
      <c r="H132">
        <f>LOG(Table2[[#This Row],[Abundance in SC (g protein/g all proteins)]])</f>
        <v>-3.2383177272094121</v>
      </c>
      <c r="I132">
        <f>LOG(Table2[[#This Row],[Abundance in RT (g protein/g all proteins)]])</f>
        <v>-3.8538719643217618</v>
      </c>
    </row>
    <row r="133" spans="1:9" x14ac:dyDescent="0.2">
      <c r="A133" t="s">
        <v>2633</v>
      </c>
      <c r="B133">
        <v>6.4170198510789397E-4</v>
      </c>
      <c r="C133">
        <v>2.0599999999999999E-4</v>
      </c>
      <c r="D133">
        <f t="shared" si="2"/>
        <v>3.0808782824623193E-4</v>
      </c>
      <c r="E133">
        <f>Table2[[#This Row],[distance from 45-degree line]]/MAX(Table2[[Abundance in SC (g protein/g all proteins)]:[Abundance in RT (g protein/g all proteins)]])</f>
        <v>1.0582235088058313E-2</v>
      </c>
      <c r="F133">
        <f>_xlfn.RANK.AVG(Table2[[#This Row],[Abundance in SC (g protein/g all proteins)]],Table2[Abundance in SC (g protein/g all proteins)])</f>
        <v>127</v>
      </c>
      <c r="G133">
        <f>_xlfn.RANK.AVG(Table2[[#This Row],[Abundance in RT (g protein/g all proteins)]],Table2[Abundance in RT (g protein/g all proteins)])</f>
        <v>245.5</v>
      </c>
      <c r="H133">
        <f>LOG(Table2[[#This Row],[Abundance in SC (g protein/g all proteins)]])</f>
        <v>-3.1926666172148548</v>
      </c>
      <c r="I133">
        <f>LOG(Table2[[#This Row],[Abundance in RT (g protein/g all proteins)]])</f>
        <v>-3.6861327796308467</v>
      </c>
    </row>
    <row r="134" spans="1:9" x14ac:dyDescent="0.2">
      <c r="A134" t="s">
        <v>2667</v>
      </c>
      <c r="B134">
        <v>1.5050079053674799E-4</v>
      </c>
      <c r="C134">
        <v>5.8100000000000003E-4</v>
      </c>
      <c r="D134">
        <f t="shared" si="2"/>
        <v>3.0440891030691344E-4</v>
      </c>
      <c r="E134">
        <f>Table2[[#This Row],[distance from 45-degree line]]/MAX(Table2[[Abundance in SC (g protein/g all proteins)]:[Abundance in RT (g protein/g all proteins)]])</f>
        <v>1.0455871204339971E-2</v>
      </c>
      <c r="F134">
        <f>_xlfn.RANK.AVG(Table2[[#This Row],[Abundance in SC (g protein/g all proteins)]],Table2[Abundance in SC (g protein/g all proteins)])</f>
        <v>245</v>
      </c>
      <c r="G134">
        <f>_xlfn.RANK.AVG(Table2[[#This Row],[Abundance in RT (g protein/g all proteins)]],Table2[Abundance in RT (g protein/g all proteins)])</f>
        <v>135</v>
      </c>
      <c r="H134">
        <f>LOG(Table2[[#This Row],[Abundance in SC (g protein/g all proteins)]])</f>
        <v>-3.8224612188419274</v>
      </c>
      <c r="I134">
        <f>LOG(Table2[[#This Row],[Abundance in RT (g protein/g all proteins)]])</f>
        <v>-3.2358238676096693</v>
      </c>
    </row>
    <row r="135" spans="1:9" x14ac:dyDescent="0.2">
      <c r="A135" t="s">
        <v>2622</v>
      </c>
      <c r="B135">
        <v>1.29912130599209E-5</v>
      </c>
      <c r="C135">
        <v>4.37E-4</v>
      </c>
      <c r="D135">
        <f t="shared" si="2"/>
        <v>2.9981948852801193E-4</v>
      </c>
      <c r="E135">
        <f>Table2[[#This Row],[distance from 45-degree line]]/MAX(Table2[[Abundance in SC (g protein/g all proteins)]:[Abundance in RT (g protein/g all proteins)]])</f>
        <v>1.0298233233183983E-2</v>
      </c>
      <c r="F135">
        <f>_xlfn.RANK.AVG(Table2[[#This Row],[Abundance in SC (g protein/g all proteins)]],Table2[Abundance in SC (g protein/g all proteins)])</f>
        <v>483</v>
      </c>
      <c r="G135">
        <f>_xlfn.RANK.AVG(Table2[[#This Row],[Abundance in RT (g protein/g all proteins)]],Table2[Abundance in RT (g protein/g all proteins)])</f>
        <v>156</v>
      </c>
      <c r="H135">
        <f>LOG(Table2[[#This Row],[Abundance in SC (g protein/g all proteins)]])</f>
        <v>-4.8863502946057373</v>
      </c>
      <c r="I135">
        <f>LOG(Table2[[#This Row],[Abundance in RT (g protein/g all proteins)]])</f>
        <v>-3.3595185630295781</v>
      </c>
    </row>
    <row r="136" spans="1:9" x14ac:dyDescent="0.2">
      <c r="A136" t="s">
        <v>2395</v>
      </c>
      <c r="B136">
        <v>1.4072726880052201E-3</v>
      </c>
      <c r="C136">
        <v>9.9099999999999991E-4</v>
      </c>
      <c r="D136">
        <f t="shared" si="2"/>
        <v>2.9434924051124315E-4</v>
      </c>
      <c r="E136">
        <f>Table2[[#This Row],[distance from 45-degree line]]/MAX(Table2[[Abundance in SC (g protein/g all proteins)]:[Abundance in RT (g protein/g all proteins)]])</f>
        <v>1.0110340544164256E-2</v>
      </c>
      <c r="F136">
        <f>_xlfn.RANK.AVG(Table2[[#This Row],[Abundance in SC (g protein/g all proteins)]],Table2[Abundance in SC (g protein/g all proteins)])</f>
        <v>62</v>
      </c>
      <c r="G136">
        <f>_xlfn.RANK.AVG(Table2[[#This Row],[Abundance in RT (g protein/g all proteins)]],Table2[Abundance in RT (g protein/g all proteins)])</f>
        <v>87</v>
      </c>
      <c r="H136">
        <f>LOG(Table2[[#This Row],[Abundance in SC (g protein/g all proteins)]])</f>
        <v>-2.8516217409295863</v>
      </c>
      <c r="I136">
        <f>LOG(Table2[[#This Row],[Abundance in RT (g protein/g all proteins)]])</f>
        <v>-3.0039263455147247</v>
      </c>
    </row>
    <row r="137" spans="1:9" x14ac:dyDescent="0.2">
      <c r="A137" t="s">
        <v>2736</v>
      </c>
      <c r="B137">
        <v>4.4099407522972197E-4</v>
      </c>
      <c r="C137">
        <v>8.5599999999999999E-4</v>
      </c>
      <c r="D137">
        <f t="shared" si="2"/>
        <v>2.9345350363765778E-4</v>
      </c>
      <c r="E137">
        <f>Table2[[#This Row],[distance from 45-degree line]]/MAX(Table2[[Abundance in SC (g protein/g all proteins)]:[Abundance in RT (g protein/g all proteins)]])</f>
        <v>1.0079573674121774E-2</v>
      </c>
      <c r="F137">
        <f>_xlfn.RANK.AVG(Table2[[#This Row],[Abundance in SC (g protein/g all proteins)]],Table2[Abundance in SC (g protein/g all proteins)])</f>
        <v>158</v>
      </c>
      <c r="G137">
        <f>_xlfn.RANK.AVG(Table2[[#This Row],[Abundance in RT (g protein/g all proteins)]],Table2[Abundance in RT (g protein/g all proteins)])</f>
        <v>98</v>
      </c>
      <c r="H137">
        <f>LOG(Table2[[#This Row],[Abundance in SC (g protein/g all proteins)]])</f>
        <v>-3.3555672452539822</v>
      </c>
      <c r="I137">
        <f>LOG(Table2[[#This Row],[Abundance in RT (g protein/g all proteins)]])</f>
        <v>-3.067526235322847</v>
      </c>
    </row>
    <row r="138" spans="1:9" x14ac:dyDescent="0.2">
      <c r="A138" t="s">
        <v>2593</v>
      </c>
      <c r="B138">
        <v>1.2093601957848101E-3</v>
      </c>
      <c r="C138">
        <v>7.9500000000000003E-4</v>
      </c>
      <c r="D138">
        <f t="shared" si="2"/>
        <v>2.9299690429322462E-4</v>
      </c>
      <c r="E138">
        <f>Table2[[#This Row],[distance from 45-degree line]]/MAX(Table2[[Abundance in SC (g protein/g all proteins)]:[Abundance in RT (g protein/g all proteins)]])</f>
        <v>1.0063890348911071E-2</v>
      </c>
      <c r="F138">
        <f>_xlfn.RANK.AVG(Table2[[#This Row],[Abundance in SC (g protein/g all proteins)]],Table2[Abundance in SC (g protein/g all proteins)])</f>
        <v>73</v>
      </c>
      <c r="G138">
        <f>_xlfn.RANK.AVG(Table2[[#This Row],[Abundance in RT (g protein/g all proteins)]],Table2[Abundance in RT (g protein/g all proteins)])</f>
        <v>106</v>
      </c>
      <c r="H138">
        <f>LOG(Table2[[#This Row],[Abundance in SC (g protein/g all proteins)]])</f>
        <v>-2.9174443296241517</v>
      </c>
      <c r="I138">
        <f>LOG(Table2[[#This Row],[Abundance in RT (g protein/g all proteins)]])</f>
        <v>-3.0996328713435295</v>
      </c>
    </row>
    <row r="139" spans="1:9" x14ac:dyDescent="0.2">
      <c r="A139" t="s">
        <v>2414</v>
      </c>
      <c r="B139">
        <v>4.4310713047094203E-5</v>
      </c>
      <c r="C139">
        <v>4.5600000000000003E-4</v>
      </c>
      <c r="D139">
        <f t="shared" si="2"/>
        <v>2.9110828654625411E-4</v>
      </c>
      <c r="E139">
        <f>Table2[[#This Row],[distance from 45-degree line]]/MAX(Table2[[Abundance in SC (g protein/g all proteins)]:[Abundance in RT (g protein/g all proteins)]])</f>
        <v>9.9990198958857471E-3</v>
      </c>
      <c r="F139">
        <f>_xlfn.RANK.AVG(Table2[[#This Row],[Abundance in SC (g protein/g all proteins)]],Table2[Abundance in SC (g protein/g all proteins)])</f>
        <v>362</v>
      </c>
      <c r="G139">
        <f>_xlfn.RANK.AVG(Table2[[#This Row],[Abundance in RT (g protein/g all proteins)]],Table2[Abundance in RT (g protein/g all proteins)])</f>
        <v>153</v>
      </c>
      <c r="H139">
        <f>LOG(Table2[[#This Row],[Abundance in SC (g protein/g all proteins)]])</f>
        <v>-4.3534912612541765</v>
      </c>
      <c r="I139">
        <f>LOG(Table2[[#This Row],[Abundance in RT (g protein/g all proteins)]])</f>
        <v>-3.3410351573355648</v>
      </c>
    </row>
    <row r="140" spans="1:9" x14ac:dyDescent="0.2">
      <c r="A140" t="s">
        <v>2364</v>
      </c>
      <c r="B140">
        <v>9.7961771676234989E-4</v>
      </c>
      <c r="C140">
        <v>5.7200000000000003E-4</v>
      </c>
      <c r="D140">
        <f t="shared" si="2"/>
        <v>2.8822925165443501E-4</v>
      </c>
      <c r="E140">
        <f>Table2[[#This Row],[distance from 45-degree line]]/MAX(Table2[[Abundance in SC (g protein/g all proteins)]:[Abundance in RT (g protein/g all proteins)]])</f>
        <v>9.9001304843001573E-3</v>
      </c>
      <c r="F140">
        <f>_xlfn.RANK.AVG(Table2[[#This Row],[Abundance in SC (g protein/g all proteins)]],Table2[Abundance in SC (g protein/g all proteins)])</f>
        <v>91</v>
      </c>
      <c r="G140">
        <f>_xlfn.RANK.AVG(Table2[[#This Row],[Abundance in RT (g protein/g all proteins)]],Table2[Abundance in RT (g protein/g all proteins)])</f>
        <v>137</v>
      </c>
      <c r="H140">
        <f>LOG(Table2[[#This Row],[Abundance in SC (g protein/g all proteins)]])</f>
        <v>-3.008943369093926</v>
      </c>
      <c r="I140">
        <f>LOG(Table2[[#This Row],[Abundance in RT (g protein/g all proteins)]])</f>
        <v>-3.2426039712069756</v>
      </c>
    </row>
    <row r="141" spans="1:9" x14ac:dyDescent="0.2">
      <c r="A141" t="s">
        <v>2847</v>
      </c>
      <c r="B141">
        <v>1.24016624772744E-5</v>
      </c>
      <c r="C141">
        <v>4.1399999999999998E-4</v>
      </c>
      <c r="D141">
        <f t="shared" si="2"/>
        <v>2.8397290777556312E-4</v>
      </c>
      <c r="E141">
        <f>Table2[[#This Row],[distance from 45-degree line]]/MAX(Table2[[Abundance in SC (g protein/g all proteins)]:[Abundance in RT (g protein/g all proteins)]])</f>
        <v>9.7539331100051814E-3</v>
      </c>
      <c r="F141">
        <f>_xlfn.RANK.AVG(Table2[[#This Row],[Abundance in SC (g protein/g all proteins)]],Table2[Abundance in SC (g protein/g all proteins)])</f>
        <v>487</v>
      </c>
      <c r="G141">
        <f>_xlfn.RANK.AVG(Table2[[#This Row],[Abundance in RT (g protein/g all proteins)]],Table2[Abundance in RT (g protein/g all proteins)])</f>
        <v>164</v>
      </c>
      <c r="H141">
        <f>LOG(Table2[[#This Row],[Abundance in SC (g protein/g all proteins)]])</f>
        <v>-4.9065200925546169</v>
      </c>
      <c r="I141">
        <f>LOG(Table2[[#This Row],[Abundance in RT (g protein/g all proteins)]])</f>
        <v>-3.3829996588791009</v>
      </c>
    </row>
    <row r="142" spans="1:9" x14ac:dyDescent="0.2">
      <c r="A142" t="s">
        <v>2480</v>
      </c>
      <c r="B142">
        <v>5.72468727960919E-4</v>
      </c>
      <c r="C142">
        <v>1.7899999999999999E-4</v>
      </c>
      <c r="D142">
        <f t="shared" si="2"/>
        <v>2.7822440572601072E-4</v>
      </c>
      <c r="E142">
        <f>Table2[[#This Row],[distance from 45-degree line]]/MAX(Table2[[Abundance in SC (g protein/g all proteins)]:[Abundance in RT (g protein/g all proteins)]])</f>
        <v>9.556482920431545E-3</v>
      </c>
      <c r="F142">
        <f>_xlfn.RANK.AVG(Table2[[#This Row],[Abundance in SC (g protein/g all proteins)]],Table2[Abundance in SC (g protein/g all proteins)])</f>
        <v>138</v>
      </c>
      <c r="G142">
        <f>_xlfn.RANK.AVG(Table2[[#This Row],[Abundance in RT (g protein/g all proteins)]],Table2[Abundance in RT (g protein/g all proteins)])</f>
        <v>264</v>
      </c>
      <c r="H142">
        <f>LOG(Table2[[#This Row],[Abundance in SC (g protein/g all proteins)]])</f>
        <v>-3.2422482323853732</v>
      </c>
      <c r="I142">
        <f>LOG(Table2[[#This Row],[Abundance in RT (g protein/g all proteins)]])</f>
        <v>-3.7471469690201067</v>
      </c>
    </row>
    <row r="143" spans="1:9" x14ac:dyDescent="0.2">
      <c r="A143" t="s">
        <v>2366</v>
      </c>
      <c r="B143">
        <v>3.49461903274701E-5</v>
      </c>
      <c r="C143">
        <v>4.26E-4</v>
      </c>
      <c r="D143">
        <f t="shared" si="2"/>
        <v>2.7651680062827937E-4</v>
      </c>
      <c r="E143">
        <f>Table2[[#This Row],[distance from 45-degree line]]/MAX(Table2[[Abundance in SC (g protein/g all proteins)]:[Abundance in RT (g protein/g all proteins)]])</f>
        <v>9.4978299100720517E-3</v>
      </c>
      <c r="F143">
        <f>_xlfn.RANK.AVG(Table2[[#This Row],[Abundance in SC (g protein/g all proteins)]],Table2[Abundance in SC (g protein/g all proteins)])</f>
        <v>390</v>
      </c>
      <c r="G143">
        <f>_xlfn.RANK.AVG(Table2[[#This Row],[Abundance in RT (g protein/g all proteins)]],Table2[Abundance in RT (g protein/g all proteins)])</f>
        <v>161</v>
      </c>
      <c r="H143">
        <f>LOG(Table2[[#This Row],[Abundance in SC (g protein/g all proteins)]])</f>
        <v>-4.4566001621196838</v>
      </c>
      <c r="I143">
        <f>LOG(Table2[[#This Row],[Abundance in RT (g protein/g all proteins)]])</f>
        <v>-3.3705904008972811</v>
      </c>
    </row>
    <row r="144" spans="1:9" x14ac:dyDescent="0.2">
      <c r="A144" t="s">
        <v>2502</v>
      </c>
      <c r="B144">
        <v>8.5417391171082097E-5</v>
      </c>
      <c r="C144">
        <v>4.6900000000000002E-4</v>
      </c>
      <c r="D144">
        <f t="shared" si="2"/>
        <v>2.7123386384815469E-4</v>
      </c>
      <c r="E144">
        <f>Table2[[#This Row],[distance from 45-degree line]]/MAX(Table2[[Abundance in SC (g protein/g all proteins)]:[Abundance in RT (g protein/g all proteins)]])</f>
        <v>9.3163710083008725E-3</v>
      </c>
      <c r="F144">
        <f>_xlfn.RANK.AVG(Table2[[#This Row],[Abundance in SC (g protein/g all proteins)]],Table2[Abundance in SC (g protein/g all proteins)])</f>
        <v>293</v>
      </c>
      <c r="G144">
        <f>_xlfn.RANK.AVG(Table2[[#This Row],[Abundance in RT (g protein/g all proteins)]],Table2[Abundance in RT (g protein/g all proteins)])</f>
        <v>151</v>
      </c>
      <c r="H144">
        <f>LOG(Table2[[#This Row],[Abundance in SC (g protein/g all proteins)]])</f>
        <v>-4.0684536969844141</v>
      </c>
      <c r="I144">
        <f>LOG(Table2[[#This Row],[Abundance in RT (g protein/g all proteins)]])</f>
        <v>-3.3288271572849166</v>
      </c>
    </row>
    <row r="145" spans="1:9" x14ac:dyDescent="0.2">
      <c r="A145" t="s">
        <v>2509</v>
      </c>
      <c r="B145">
        <v>3.56975068600473E-4</v>
      </c>
      <c r="C145">
        <v>7.3899999999999997E-4</v>
      </c>
      <c r="D145">
        <f t="shared" si="2"/>
        <v>2.7013241957493114E-4</v>
      </c>
      <c r="E145">
        <f>Table2[[#This Row],[distance from 45-degree line]]/MAX(Table2[[Abundance in SC (g protein/g all proteins)]:[Abundance in RT (g protein/g all proteins)]])</f>
        <v>9.2785384775514526E-3</v>
      </c>
      <c r="F145">
        <f>_xlfn.RANK.AVG(Table2[[#This Row],[Abundance in SC (g protein/g all proteins)]],Table2[Abundance in SC (g protein/g all proteins)])</f>
        <v>173</v>
      </c>
      <c r="G145">
        <f>_xlfn.RANK.AVG(Table2[[#This Row],[Abundance in RT (g protein/g all proteins)]],Table2[Abundance in RT (g protein/g all proteins)])</f>
        <v>111</v>
      </c>
      <c r="H145">
        <f>LOG(Table2[[#This Row],[Abundance in SC (g protein/g all proteins)]])</f>
        <v>-3.4473621142724973</v>
      </c>
      <c r="I145">
        <f>LOG(Table2[[#This Row],[Abundance in RT (g protein/g all proteins)]])</f>
        <v>-3.1313555616051745</v>
      </c>
    </row>
    <row r="146" spans="1:9" x14ac:dyDescent="0.2">
      <c r="A146" t="s">
        <v>2606</v>
      </c>
      <c r="B146">
        <v>2.1885446238701502E-3</v>
      </c>
      <c r="C146">
        <v>2.5699999999999998E-3</v>
      </c>
      <c r="D146">
        <f t="shared" si="2"/>
        <v>2.6972968318148178E-4</v>
      </c>
      <c r="E146">
        <f>Table2[[#This Row],[distance from 45-degree line]]/MAX(Table2[[Abundance in SC (g protein/g all proteins)]:[Abundance in RT (g protein/g all proteins)]])</f>
        <v>9.2647052429888996E-3</v>
      </c>
      <c r="F146">
        <f>_xlfn.RANK.AVG(Table2[[#This Row],[Abundance in SC (g protein/g all proteins)]],Table2[Abundance in SC (g protein/g all proteins)])</f>
        <v>39</v>
      </c>
      <c r="G146">
        <f>_xlfn.RANK.AVG(Table2[[#This Row],[Abundance in RT (g protein/g all proteins)]],Table2[Abundance in RT (g protein/g all proteins)])</f>
        <v>26</v>
      </c>
      <c r="H146">
        <f>LOG(Table2[[#This Row],[Abundance in SC (g protein/g all proteins)]])</f>
        <v>-2.6598445938061834</v>
      </c>
      <c r="I146">
        <f>LOG(Table2[[#This Row],[Abundance in RT (g protein/g all proteins)]])</f>
        <v>-2.5900668766687054</v>
      </c>
    </row>
    <row r="147" spans="1:9" x14ac:dyDescent="0.2">
      <c r="A147" t="s">
        <v>2652</v>
      </c>
      <c r="B147">
        <v>8.6285392023603204E-6</v>
      </c>
      <c r="C147">
        <v>3.8900000000000002E-4</v>
      </c>
      <c r="D147">
        <f t="shared" si="2"/>
        <v>2.6896323929984404E-4</v>
      </c>
      <c r="E147">
        <f>Table2[[#This Row],[distance from 45-degree line]]/MAX(Table2[[Abundance in SC (g protein/g all proteins)]:[Abundance in RT (g protein/g all proteins)]])</f>
        <v>9.2383793430548967E-3</v>
      </c>
      <c r="F147">
        <f>_xlfn.RANK.AVG(Table2[[#This Row],[Abundance in SC (g protein/g all proteins)]],Table2[Abundance in SC (g protein/g all proteins)])</f>
        <v>519</v>
      </c>
      <c r="G147">
        <f>_xlfn.RANK.AVG(Table2[[#This Row],[Abundance in RT (g protein/g all proteins)]],Table2[Abundance in RT (g protein/g all proteins)])</f>
        <v>169.5</v>
      </c>
      <c r="H147">
        <f>LOG(Table2[[#This Row],[Abundance in SC (g protein/g all proteins)]])</f>
        <v>-5.0640627234103857</v>
      </c>
      <c r="I147">
        <f>LOG(Table2[[#This Row],[Abundance in RT (g protein/g all proteins)]])</f>
        <v>-3.4100503986742923</v>
      </c>
    </row>
    <row r="148" spans="1:9" x14ac:dyDescent="0.2">
      <c r="A148" t="s">
        <v>2418</v>
      </c>
      <c r="B148">
        <v>1.3774905667077899E-3</v>
      </c>
      <c r="C148">
        <v>1.003E-3</v>
      </c>
      <c r="D148">
        <f t="shared" si="2"/>
        <v>2.6480481920947141E-4</v>
      </c>
      <c r="E148">
        <f>Table2[[#This Row],[distance from 45-degree line]]/MAX(Table2[[Abundance in SC (g protein/g all proteins)]:[Abundance in RT (g protein/g all proteins)]])</f>
        <v>9.0955454659695043E-3</v>
      </c>
      <c r="F148">
        <f>_xlfn.RANK.AVG(Table2[[#This Row],[Abundance in SC (g protein/g all proteins)]],Table2[Abundance in SC (g protein/g all proteins)])</f>
        <v>63</v>
      </c>
      <c r="G148">
        <f>_xlfn.RANK.AVG(Table2[[#This Row],[Abundance in RT (g protein/g all proteins)]],Table2[Abundance in RT (g protein/g all proteins)])</f>
        <v>86</v>
      </c>
      <c r="H148">
        <f>LOG(Table2[[#This Row],[Abundance in SC (g protein/g all proteins)]])</f>
        <v>-2.8609113665892667</v>
      </c>
      <c r="I148">
        <f>LOG(Table2[[#This Row],[Abundance in RT (g protein/g all proteins)]])</f>
        <v>-2.9986990669795821</v>
      </c>
    </row>
    <row r="149" spans="1:9" x14ac:dyDescent="0.2">
      <c r="A149" t="s">
        <v>2721</v>
      </c>
      <c r="B149">
        <v>4.33570403351687E-4</v>
      </c>
      <c r="C149">
        <v>8.0699999999999999E-4</v>
      </c>
      <c r="D149">
        <f t="shared" si="2"/>
        <v>2.6405460008577936E-4</v>
      </c>
      <c r="E149">
        <f>Table2[[#This Row],[distance from 45-degree line]]/MAX(Table2[[Abundance in SC (g protein/g all proteins)]:[Abundance in RT (g protein/g all proteins)]])</f>
        <v>9.0697768558310951E-3</v>
      </c>
      <c r="F149">
        <f>_xlfn.RANK.AVG(Table2[[#This Row],[Abundance in SC (g protein/g all proteins)]],Table2[Abundance in SC (g protein/g all proteins)])</f>
        <v>160</v>
      </c>
      <c r="G149">
        <f>_xlfn.RANK.AVG(Table2[[#This Row],[Abundance in RT (g protein/g all proteins)]],Table2[Abundance in RT (g protein/g all proteins)])</f>
        <v>102</v>
      </c>
      <c r="H149">
        <f>LOG(Table2[[#This Row],[Abundance in SC (g protein/g all proteins)]])</f>
        <v>-3.3629403715336625</v>
      </c>
      <c r="I149">
        <f>LOG(Table2[[#This Row],[Abundance in RT (g protein/g all proteins)]])</f>
        <v>-3.0931264652779298</v>
      </c>
    </row>
    <row r="150" spans="1:9" x14ac:dyDescent="0.2">
      <c r="A150" t="s">
        <v>2494</v>
      </c>
      <c r="B150">
        <v>1.05798023572055E-5</v>
      </c>
      <c r="C150">
        <v>3.77E-4</v>
      </c>
      <c r="D150">
        <f t="shared" si="2"/>
        <v>2.5909820651693499E-4</v>
      </c>
      <c r="E150">
        <f>Table2[[#This Row],[distance from 45-degree line]]/MAX(Table2[[Abundance in SC (g protein/g all proteins)]:[Abundance in RT (g protein/g all proteins)]])</f>
        <v>8.8995340967029015E-3</v>
      </c>
      <c r="F150">
        <f>_xlfn.RANK.AVG(Table2[[#This Row],[Abundance in SC (g protein/g all proteins)]],Table2[Abundance in SC (g protein/g all proteins)])</f>
        <v>500</v>
      </c>
      <c r="G150">
        <f>_xlfn.RANK.AVG(Table2[[#This Row],[Abundance in RT (g protein/g all proteins)]],Table2[Abundance in RT (g protein/g all proteins)])</f>
        <v>173</v>
      </c>
      <c r="H150">
        <f>LOG(Table2[[#This Row],[Abundance in SC (g protein/g all proteins)]])</f>
        <v>-4.9755224453421167</v>
      </c>
      <c r="I150">
        <f>LOG(Table2[[#This Row],[Abundance in RT (g protein/g all proteins)]])</f>
        <v>-3.423658649794207</v>
      </c>
    </row>
    <row r="151" spans="1:9" x14ac:dyDescent="0.2">
      <c r="A151" t="s">
        <v>2846</v>
      </c>
      <c r="B151">
        <v>3.9417230010572801E-4</v>
      </c>
      <c r="C151">
        <v>3.0899999999999999E-5</v>
      </c>
      <c r="D151">
        <f t="shared" si="2"/>
        <v>2.5687230682199484E-4</v>
      </c>
      <c r="E151">
        <f>Table2[[#This Row],[distance from 45-degree line]]/MAX(Table2[[Abundance in SC (g protein/g all proteins)]:[Abundance in RT (g protein/g all proteins)]])</f>
        <v>8.8230786457090121E-3</v>
      </c>
      <c r="F151">
        <f>_xlfn.RANK.AVG(Table2[[#This Row],[Abundance in SC (g protein/g all proteins)]],Table2[Abundance in SC (g protein/g all proteins)])</f>
        <v>162</v>
      </c>
      <c r="G151">
        <f>_xlfn.RANK.AVG(Table2[[#This Row],[Abundance in RT (g protein/g all proteins)]],Table2[Abundance in RT (g protein/g all proteins)])</f>
        <v>456</v>
      </c>
      <c r="H151">
        <f>LOG(Table2[[#This Row],[Abundance in SC (g protein/g all proteins)]])</f>
        <v>-3.4043138984074486</v>
      </c>
      <c r="I151">
        <f>LOG(Table2[[#This Row],[Abundance in RT (g protein/g all proteins)]])</f>
        <v>-4.5100415205751654</v>
      </c>
    </row>
    <row r="152" spans="1:9" x14ac:dyDescent="0.2">
      <c r="A152" t="s">
        <v>2795</v>
      </c>
      <c r="B152">
        <v>4.9874175958686099E-4</v>
      </c>
      <c r="C152">
        <v>1.4100000000000001E-4</v>
      </c>
      <c r="D152">
        <f t="shared" si="2"/>
        <v>2.52961624117477E-4</v>
      </c>
      <c r="E152">
        <f>Table2[[#This Row],[distance from 45-degree line]]/MAX(Table2[[Abundance in SC (g protein/g all proteins)]:[Abundance in RT (g protein/g all proteins)]])</f>
        <v>8.6887540799850567E-3</v>
      </c>
      <c r="F152">
        <f>_xlfn.RANK.AVG(Table2[[#This Row],[Abundance in SC (g protein/g all proteins)]],Table2[Abundance in SC (g protein/g all proteins)])</f>
        <v>148</v>
      </c>
      <c r="G152">
        <f>_xlfn.RANK.AVG(Table2[[#This Row],[Abundance in RT (g protein/g all proteins)]],Table2[Abundance in RT (g protein/g all proteins)])</f>
        <v>282</v>
      </c>
      <c r="H152">
        <f>LOG(Table2[[#This Row],[Abundance in SC (g protein/g all proteins)]])</f>
        <v>-3.3021242668350594</v>
      </c>
      <c r="I152">
        <f>LOG(Table2[[#This Row],[Abundance in RT (g protein/g all proteins)]])</f>
        <v>-3.8507808873446199</v>
      </c>
    </row>
    <row r="153" spans="1:9" x14ac:dyDescent="0.2">
      <c r="A153" t="s">
        <v>2535</v>
      </c>
      <c r="B153">
        <v>3.8779678745605998E-4</v>
      </c>
      <c r="C153">
        <v>3.6900000000000002E-5</v>
      </c>
      <c r="D153">
        <f t="shared" si="2"/>
        <v>2.4812149790675464E-4</v>
      </c>
      <c r="E153">
        <f>Table2[[#This Row],[distance from 45-degree line]]/MAX(Table2[[Abundance in SC (g protein/g all proteins)]:[Abundance in RT (g protein/g all proteins)]])</f>
        <v>8.5225048850418508E-3</v>
      </c>
      <c r="F153">
        <f>_xlfn.RANK.AVG(Table2[[#This Row],[Abundance in SC (g protein/g all proteins)]],Table2[Abundance in SC (g protein/g all proteins)])</f>
        <v>166</v>
      </c>
      <c r="G153">
        <f>_xlfn.RANK.AVG(Table2[[#This Row],[Abundance in RT (g protein/g all proteins)]],Table2[Abundance in RT (g protein/g all proteins)])</f>
        <v>436</v>
      </c>
      <c r="H153">
        <f>LOG(Table2[[#This Row],[Abundance in SC (g protein/g all proteins)]])</f>
        <v>-3.4113957929774914</v>
      </c>
      <c r="I153">
        <f>LOG(Table2[[#This Row],[Abundance in RT (g protein/g all proteins)]])</f>
        <v>-4.4329736338409393</v>
      </c>
    </row>
    <row r="154" spans="1:9" x14ac:dyDescent="0.2">
      <c r="A154" t="s">
        <v>2408</v>
      </c>
      <c r="B154">
        <v>1.63879837237853E-3</v>
      </c>
      <c r="C154">
        <v>1.2880000000000001E-3</v>
      </c>
      <c r="D154">
        <f t="shared" si="2"/>
        <v>2.4805190793806219E-4</v>
      </c>
      <c r="E154">
        <f>Table2[[#This Row],[distance from 45-degree line]]/MAX(Table2[[Abundance in SC (g protein/g all proteins)]:[Abundance in RT (g protein/g all proteins)]])</f>
        <v>8.5201146010352863E-3</v>
      </c>
      <c r="F154">
        <f>_xlfn.RANK.AVG(Table2[[#This Row],[Abundance in SC (g protein/g all proteins)]],Table2[Abundance in SC (g protein/g all proteins)])</f>
        <v>50</v>
      </c>
      <c r="G154">
        <f>_xlfn.RANK.AVG(Table2[[#This Row],[Abundance in RT (g protein/g all proteins)]],Table2[Abundance in RT (g protein/g all proteins)])</f>
        <v>66</v>
      </c>
      <c r="H154">
        <f>LOG(Table2[[#This Row],[Abundance in SC (g protein/g all proteins)]])</f>
        <v>-2.7854744760511956</v>
      </c>
      <c r="I154">
        <f>LOG(Table2[[#This Row],[Abundance in RT (g protein/g all proteins)]])</f>
        <v>-2.8900841369762067</v>
      </c>
    </row>
    <row r="155" spans="1:9" x14ac:dyDescent="0.2">
      <c r="A155" t="s">
        <v>2435</v>
      </c>
      <c r="B155">
        <v>6.66101826097763E-4</v>
      </c>
      <c r="C155">
        <v>1.0120000000000001E-3</v>
      </c>
      <c r="D155">
        <f t="shared" si="2"/>
        <v>2.4458694436631549E-4</v>
      </c>
      <c r="E155">
        <f>Table2[[#This Row],[distance from 45-degree line]]/MAX(Table2[[Abundance in SC (g protein/g all proteins)]:[Abundance in RT (g protein/g all proteins)]])</f>
        <v>8.4010996457983111E-3</v>
      </c>
      <c r="F155">
        <f>_xlfn.RANK.AVG(Table2[[#This Row],[Abundance in SC (g protein/g all proteins)]],Table2[Abundance in SC (g protein/g all proteins)])</f>
        <v>123</v>
      </c>
      <c r="G155">
        <f>_xlfn.RANK.AVG(Table2[[#This Row],[Abundance in RT (g protein/g all proteins)]],Table2[Abundance in RT (g protein/g all proteins)])</f>
        <v>85</v>
      </c>
      <c r="H155">
        <f>LOG(Table2[[#This Row],[Abundance in SC (g protein/g all proteins)]])</f>
        <v>-3.1764593757364832</v>
      </c>
      <c r="I155">
        <f>LOG(Table2[[#This Row],[Abundance in RT (g protein/g all proteins)]])</f>
        <v>-2.9948194874962195</v>
      </c>
    </row>
    <row r="156" spans="1:9" x14ac:dyDescent="0.2">
      <c r="A156" t="s">
        <v>2687</v>
      </c>
      <c r="B156">
        <v>1.3198463786424699E-4</v>
      </c>
      <c r="C156">
        <v>4.7100000000000001E-4</v>
      </c>
      <c r="D156">
        <f t="shared" si="2"/>
        <v>2.3972006149260407E-4</v>
      </c>
      <c r="E156">
        <f>Table2[[#This Row],[distance from 45-degree line]]/MAX(Table2[[Abundance in SC (g protein/g all proteins)]:[Abundance in RT (g protein/g all proteins)]])</f>
        <v>8.2339314100103762E-3</v>
      </c>
      <c r="F156">
        <f>_xlfn.RANK.AVG(Table2[[#This Row],[Abundance in SC (g protein/g all proteins)]],Table2[Abundance in SC (g protein/g all proteins)])</f>
        <v>257</v>
      </c>
      <c r="G156">
        <f>_xlfn.RANK.AVG(Table2[[#This Row],[Abundance in RT (g protein/g all proteins)]],Table2[Abundance in RT (g protein/g all proteins)])</f>
        <v>149.5</v>
      </c>
      <c r="H156">
        <f>LOG(Table2[[#This Row],[Abundance in SC (g protein/g all proteins)]])</f>
        <v>-3.8794766148475062</v>
      </c>
      <c r="I156">
        <f>LOG(Table2[[#This Row],[Abundance in RT (g protein/g all proteins)]])</f>
        <v>-3.3269790928711038</v>
      </c>
    </row>
    <row r="157" spans="1:9" x14ac:dyDescent="0.2">
      <c r="A157" t="s">
        <v>2425</v>
      </c>
      <c r="B157">
        <v>1.0519171340315999E-3</v>
      </c>
      <c r="C157">
        <v>7.1400000000000001E-4</v>
      </c>
      <c r="D157">
        <f t="shared" si="2"/>
        <v>2.3894349695286775E-4</v>
      </c>
      <c r="E157">
        <f>Table2[[#This Row],[distance from 45-degree line]]/MAX(Table2[[Abundance in SC (g protein/g all proteins)]:[Abundance in RT (g protein/g all proteins)]])</f>
        <v>8.2072578845831679E-3</v>
      </c>
      <c r="F157">
        <f>_xlfn.RANK.AVG(Table2[[#This Row],[Abundance in SC (g protein/g all proteins)]],Table2[Abundance in SC (g protein/g all proteins)])</f>
        <v>84</v>
      </c>
      <c r="G157">
        <f>_xlfn.RANK.AVG(Table2[[#This Row],[Abundance in RT (g protein/g all proteins)]],Table2[Abundance in RT (g protein/g all proteins)])</f>
        <v>114</v>
      </c>
      <c r="H157">
        <f>LOG(Table2[[#This Row],[Abundance in SC (g protein/g all proteins)]])</f>
        <v>-2.9780184708764654</v>
      </c>
      <c r="I157">
        <f>LOG(Table2[[#This Row],[Abundance in RT (g protein/g all proteins)]])</f>
        <v>-3.1463017882238256</v>
      </c>
    </row>
    <row r="158" spans="1:9" x14ac:dyDescent="0.2">
      <c r="A158" t="s">
        <v>2524</v>
      </c>
      <c r="B158">
        <v>5.3075402060710904E-4</v>
      </c>
      <c r="C158">
        <v>1.95E-4</v>
      </c>
      <c r="D158">
        <f t="shared" si="2"/>
        <v>2.3741394478193464E-4</v>
      </c>
      <c r="E158">
        <f>Table2[[#This Row],[distance from 45-degree line]]/MAX(Table2[[Abundance in SC (g protein/g all proteins)]:[Abundance in RT (g protein/g all proteins)]])</f>
        <v>8.1547206560129825E-3</v>
      </c>
      <c r="F158">
        <f>_xlfn.RANK.AVG(Table2[[#This Row],[Abundance in SC (g protein/g all proteins)]],Table2[Abundance in SC (g protein/g all proteins)])</f>
        <v>143</v>
      </c>
      <c r="G158">
        <f>_xlfn.RANK.AVG(Table2[[#This Row],[Abundance in RT (g protein/g all proteins)]],Table2[Abundance in RT (g protein/g all proteins)])</f>
        <v>251</v>
      </c>
      <c r="H158">
        <f>LOG(Table2[[#This Row],[Abundance in SC (g protein/g all proteins)]])</f>
        <v>-3.275106707249825</v>
      </c>
      <c r="I158">
        <f>LOG(Table2[[#This Row],[Abundance in RT (g protein/g all proteins)]])</f>
        <v>-3.7099653886374822</v>
      </c>
    </row>
    <row r="159" spans="1:9" x14ac:dyDescent="0.2">
      <c r="A159" t="s">
        <v>2490</v>
      </c>
      <c r="B159">
        <v>1.0690744714178899E-3</v>
      </c>
      <c r="C159">
        <v>7.45E-4</v>
      </c>
      <c r="D159">
        <f t="shared" si="2"/>
        <v>2.291552563490359E-4</v>
      </c>
      <c r="E159">
        <f>Table2[[#This Row],[distance from 45-degree line]]/MAX(Table2[[Abundance in SC (g protein/g all proteins)]:[Abundance in RT (g protein/g all proteins)]])</f>
        <v>7.8710503045633512E-3</v>
      </c>
      <c r="F159">
        <f>_xlfn.RANK.AVG(Table2[[#This Row],[Abundance in SC (g protein/g all proteins)]],Table2[Abundance in SC (g protein/g all proteins)])</f>
        <v>80</v>
      </c>
      <c r="G159">
        <f>_xlfn.RANK.AVG(Table2[[#This Row],[Abundance in RT (g protein/g all proteins)]],Table2[Abundance in RT (g protein/g all proteins)])</f>
        <v>110</v>
      </c>
      <c r="H159">
        <f>LOG(Table2[[#This Row],[Abundance in SC (g protein/g all proteins)]])</f>
        <v>-2.9709920409097088</v>
      </c>
      <c r="I159">
        <f>LOG(Table2[[#This Row],[Abundance in RT (g protein/g all proteins)]])</f>
        <v>-3.1278437272517072</v>
      </c>
    </row>
    <row r="160" spans="1:9" x14ac:dyDescent="0.2">
      <c r="A160" t="s">
        <v>2397</v>
      </c>
      <c r="B160">
        <v>2.2944500987922E-4</v>
      </c>
      <c r="C160">
        <v>5.5099999999999995E-4</v>
      </c>
      <c r="D160">
        <f t="shared" si="2"/>
        <v>2.2737371403877679E-4</v>
      </c>
      <c r="E160">
        <f>Table2[[#This Row],[distance from 45-degree line]]/MAX(Table2[[Abundance in SC (g protein/g all proteins)]:[Abundance in RT (g protein/g all proteins)]])</f>
        <v>7.8098576905811555E-3</v>
      </c>
      <c r="F160">
        <f>_xlfn.RANK.AVG(Table2[[#This Row],[Abundance in SC (g protein/g all proteins)]],Table2[Abundance in SC (g protein/g all proteins)])</f>
        <v>204</v>
      </c>
      <c r="G160">
        <f>_xlfn.RANK.AVG(Table2[[#This Row],[Abundance in RT (g protein/g all proteins)]],Table2[Abundance in RT (g protein/g all proteins)])</f>
        <v>138</v>
      </c>
      <c r="H160">
        <f>LOG(Table2[[#This Row],[Abundance in SC (g protein/g all proteins)]])</f>
        <v>-3.6393213831882596</v>
      </c>
      <c r="I160">
        <f>LOG(Table2[[#This Row],[Abundance in RT (g protein/g all proteins)]])</f>
        <v>-3.2588484011482151</v>
      </c>
    </row>
    <row r="161" spans="1:9" x14ac:dyDescent="0.2">
      <c r="A161" t="s">
        <v>2831</v>
      </c>
      <c r="B161">
        <v>1.2734134196648801E-5</v>
      </c>
      <c r="C161">
        <v>3.3199999999999999E-4</v>
      </c>
      <c r="D161">
        <f t="shared" si="2"/>
        <v>2.2575505871094389E-4</v>
      </c>
      <c r="E161">
        <f>Table2[[#This Row],[distance from 45-degree line]]/MAX(Table2[[Abundance in SC (g protein/g all proteins)]:[Abundance in RT (g protein/g all proteins)]])</f>
        <v>7.7542599368394015E-3</v>
      </c>
      <c r="F161">
        <f>_xlfn.RANK.AVG(Table2[[#This Row],[Abundance in SC (g protein/g all proteins)]],Table2[Abundance in SC (g protein/g all proteins)])</f>
        <v>484</v>
      </c>
      <c r="G161">
        <f>_xlfn.RANK.AVG(Table2[[#This Row],[Abundance in RT (g protein/g all proteins)]],Table2[Abundance in RT (g protein/g all proteins)])</f>
        <v>185</v>
      </c>
      <c r="H161">
        <f>LOG(Table2[[#This Row],[Abundance in SC (g protein/g all proteins)]])</f>
        <v>-4.8950305777047065</v>
      </c>
      <c r="I161">
        <f>LOG(Table2[[#This Row],[Abundance in RT (g protein/g all proteins)]])</f>
        <v>-3.4788619162959638</v>
      </c>
    </row>
    <row r="162" spans="1:9" x14ac:dyDescent="0.2">
      <c r="A162" t="s">
        <v>2519</v>
      </c>
      <c r="B162">
        <v>1.25223941205552E-3</v>
      </c>
      <c r="C162">
        <v>9.3800000000000003E-4</v>
      </c>
      <c r="D162">
        <f t="shared" si="2"/>
        <v>2.2220081918053185E-4</v>
      </c>
      <c r="E162">
        <f>Table2[[#This Row],[distance from 45-degree line]]/MAX(Table2[[Abundance in SC (g protein/g all proteins)]:[Abundance in RT (g protein/g all proteins)]])</f>
        <v>7.6321785210165414E-3</v>
      </c>
      <c r="F162">
        <f>_xlfn.RANK.AVG(Table2[[#This Row],[Abundance in SC (g protein/g all proteins)]],Table2[Abundance in SC (g protein/g all proteins)])</f>
        <v>70</v>
      </c>
      <c r="G162">
        <f>_xlfn.RANK.AVG(Table2[[#This Row],[Abundance in RT (g protein/g all proteins)]],Table2[Abundance in RT (g protein/g all proteins)])</f>
        <v>91</v>
      </c>
      <c r="H162">
        <f>LOG(Table2[[#This Row],[Abundance in SC (g protein/g all proteins)]])</f>
        <v>-2.9023126316730274</v>
      </c>
      <c r="I162">
        <f>LOG(Table2[[#This Row],[Abundance in RT (g protein/g all proteins)]])</f>
        <v>-3.0277971616209354</v>
      </c>
    </row>
    <row r="163" spans="1:9" x14ac:dyDescent="0.2">
      <c r="A163" t="s">
        <v>2510</v>
      </c>
      <c r="B163">
        <v>8.2848926520249198E-4</v>
      </c>
      <c r="C163">
        <v>5.1500000000000005E-4</v>
      </c>
      <c r="D163">
        <f t="shared" si="2"/>
        <v>2.2167038525387002E-4</v>
      </c>
      <c r="E163">
        <f>Table2[[#This Row],[distance from 45-degree line]]/MAX(Table2[[Abundance in SC (g protein/g all proteins)]:[Abundance in RT (g protein/g all proteins)]])</f>
        <v>7.6139591173400968E-3</v>
      </c>
      <c r="F163">
        <f>_xlfn.RANK.AVG(Table2[[#This Row],[Abundance in SC (g protein/g all proteins)]],Table2[Abundance in SC (g protein/g all proteins)])</f>
        <v>103</v>
      </c>
      <c r="G163">
        <f>_xlfn.RANK.AVG(Table2[[#This Row],[Abundance in RT (g protein/g all proteins)]],Table2[Abundance in RT (g protein/g all proteins)])</f>
        <v>144</v>
      </c>
      <c r="H163">
        <f>LOG(Table2[[#This Row],[Abundance in SC (g protein/g all proteins)]])</f>
        <v>-3.081713114394343</v>
      </c>
      <c r="I163">
        <f>LOG(Table2[[#This Row],[Abundance in RT (g protein/g all proteins)]])</f>
        <v>-3.2881927709588088</v>
      </c>
    </row>
    <row r="164" spans="1:9" x14ac:dyDescent="0.2">
      <c r="A164" t="s">
        <v>2766</v>
      </c>
      <c r="B164">
        <v>1.24286757468708E-3</v>
      </c>
      <c r="C164">
        <v>1.552E-3</v>
      </c>
      <c r="D164">
        <f t="shared" si="2"/>
        <v>2.1858963422340967E-4</v>
      </c>
      <c r="E164">
        <f>Table2[[#This Row],[distance from 45-degree line]]/MAX(Table2[[Abundance in SC (g protein/g all proteins)]:[Abundance in RT (g protein/g all proteins)]])</f>
        <v>7.5081411373254707E-3</v>
      </c>
      <c r="F164">
        <f>_xlfn.RANK.AVG(Table2[[#This Row],[Abundance in SC (g protein/g all proteins)]],Table2[Abundance in SC (g protein/g all proteins)])</f>
        <v>71</v>
      </c>
      <c r="G164">
        <f>_xlfn.RANK.AVG(Table2[[#This Row],[Abundance in RT (g protein/g all proteins)]],Table2[Abundance in RT (g protein/g all proteins)])</f>
        <v>51</v>
      </c>
      <c r="H164">
        <f>LOG(Table2[[#This Row],[Abundance in SC (g protein/g all proteins)]])</f>
        <v>-2.9055751421921725</v>
      </c>
      <c r="I164">
        <f>LOG(Table2[[#This Row],[Abundance in RT (g protein/g all proteins)]])</f>
        <v>-2.8091082830778302</v>
      </c>
    </row>
    <row r="165" spans="1:9" x14ac:dyDescent="0.2">
      <c r="A165" t="s">
        <v>2707</v>
      </c>
      <c r="B165">
        <v>1.32639189062857E-5</v>
      </c>
      <c r="C165">
        <v>3.2200000000000002E-4</v>
      </c>
      <c r="D165">
        <f t="shared" si="2"/>
        <v>2.1830937653832523E-4</v>
      </c>
      <c r="E165">
        <f>Table2[[#This Row],[distance from 45-degree line]]/MAX(Table2[[Abundance in SC (g protein/g all proteins)]:[Abundance in RT (g protein/g all proteins)]])</f>
        <v>7.4985148150988482E-3</v>
      </c>
      <c r="F165">
        <f>_xlfn.RANK.AVG(Table2[[#This Row],[Abundance in SC (g protein/g all proteins)]],Table2[Abundance in SC (g protein/g all proteins)])</f>
        <v>478</v>
      </c>
      <c r="G165">
        <f>_xlfn.RANK.AVG(Table2[[#This Row],[Abundance in RT (g protein/g all proteins)]],Table2[Abundance in RT (g protein/g all proteins)])</f>
        <v>189.5</v>
      </c>
      <c r="H165">
        <f>LOG(Table2[[#This Row],[Abundance in SC (g protein/g all proteins)]])</f>
        <v>-4.8773281420003984</v>
      </c>
      <c r="I165">
        <f>LOG(Table2[[#This Row],[Abundance in RT (g protein/g all proteins)]])</f>
        <v>-3.4921441283041692</v>
      </c>
    </row>
    <row r="166" spans="1:9" x14ac:dyDescent="0.2">
      <c r="A166" t="s">
        <v>2698</v>
      </c>
      <c r="B166">
        <v>5.4614232412826901E-5</v>
      </c>
      <c r="C166">
        <v>3.6299999999999999E-4</v>
      </c>
      <c r="D166">
        <f t="shared" si="2"/>
        <v>2.1806166748230868E-4</v>
      </c>
      <c r="E166">
        <f>Table2[[#This Row],[distance from 45-degree line]]/MAX(Table2[[Abundance in SC (g protein/g all proteins)]:[Abundance in RT (g protein/g all proteins)]])</f>
        <v>7.4900064768138536E-3</v>
      </c>
      <c r="F166">
        <f>_xlfn.RANK.AVG(Table2[[#This Row],[Abundance in SC (g protein/g all proteins)]],Table2[Abundance in SC (g protein/g all proteins)])</f>
        <v>334</v>
      </c>
      <c r="G166">
        <f>_xlfn.RANK.AVG(Table2[[#This Row],[Abundance in RT (g protein/g all proteins)]],Table2[Abundance in RT (g protein/g all proteins)])</f>
        <v>180</v>
      </c>
      <c r="H166">
        <f>LOG(Table2[[#This Row],[Abundance in SC (g protein/g all proteins)]])</f>
        <v>-4.2626941658502773</v>
      </c>
      <c r="I166">
        <f>LOG(Table2[[#This Row],[Abundance in RT (g protein/g all proteins)]])</f>
        <v>-3.4400933749638876</v>
      </c>
    </row>
    <row r="167" spans="1:9" x14ac:dyDescent="0.2">
      <c r="A167" t="s">
        <v>2735</v>
      </c>
      <c r="B167">
        <v>7.3597761343528203E-4</v>
      </c>
      <c r="C167">
        <v>4.3399999999999998E-4</v>
      </c>
      <c r="D167">
        <f t="shared" si="2"/>
        <v>2.135304182266178E-4</v>
      </c>
      <c r="E167">
        <f>Table2[[#This Row],[distance from 45-degree line]]/MAX(Table2[[Abundance in SC (g protein/g all proteins)]:[Abundance in RT (g protein/g all proteins)]])</f>
        <v>7.3343666219735431E-3</v>
      </c>
      <c r="F167">
        <f>_xlfn.RANK.AVG(Table2[[#This Row],[Abundance in SC (g protein/g all proteins)]],Table2[Abundance in SC (g protein/g all proteins)])</f>
        <v>113</v>
      </c>
      <c r="G167">
        <f>_xlfn.RANK.AVG(Table2[[#This Row],[Abundance in RT (g protein/g all proteins)]],Table2[Abundance in RT (g protein/g all proteins)])</f>
        <v>158</v>
      </c>
      <c r="H167">
        <f>LOG(Table2[[#This Row],[Abundance in SC (g protein/g all proteins)]])</f>
        <v>-3.1331353955937362</v>
      </c>
      <c r="I167">
        <f>LOG(Table2[[#This Row],[Abundance in RT (g protein/g all proteins)]])</f>
        <v>-3.3625102704874892</v>
      </c>
    </row>
    <row r="168" spans="1:9" x14ac:dyDescent="0.2">
      <c r="A168" t="s">
        <v>2856</v>
      </c>
      <c r="B168">
        <v>2.4042694577147599E-5</v>
      </c>
      <c r="C168">
        <v>3.2000000000000003E-4</v>
      </c>
      <c r="D168">
        <f t="shared" si="2"/>
        <v>2.0927341760619713E-4</v>
      </c>
      <c r="E168">
        <f>Table2[[#This Row],[distance from 45-degree line]]/MAX(Table2[[Abundance in SC (g protein/g all proteins)]:[Abundance in RT (g protein/g all proteins)]])</f>
        <v>7.1881466898465985E-3</v>
      </c>
      <c r="F168">
        <f>_xlfn.RANK.AVG(Table2[[#This Row],[Abundance in SC (g protein/g all proteins)]],Table2[Abundance in SC (g protein/g all proteins)])</f>
        <v>419</v>
      </c>
      <c r="G168">
        <f>_xlfn.RANK.AVG(Table2[[#This Row],[Abundance in RT (g protein/g all proteins)]],Table2[Abundance in RT (g protein/g all proteins)])</f>
        <v>191</v>
      </c>
      <c r="H168">
        <f>LOG(Table2[[#This Row],[Abundance in SC (g protein/g all proteins)]])</f>
        <v>-4.6190168605292534</v>
      </c>
      <c r="I168">
        <f>LOG(Table2[[#This Row],[Abundance in RT (g protein/g all proteins)]])</f>
        <v>-3.4948500216800942</v>
      </c>
    </row>
    <row r="169" spans="1:9" x14ac:dyDescent="0.2">
      <c r="A169" t="s">
        <v>2391</v>
      </c>
      <c r="B169">
        <v>1.1337363253092E-4</v>
      </c>
      <c r="C169">
        <v>4.0499999999999998E-4</v>
      </c>
      <c r="D169">
        <f t="shared" si="2"/>
        <v>2.0621098201018643E-4</v>
      </c>
      <c r="E169">
        <f>Table2[[#This Row],[distance from 45-degree line]]/MAX(Table2[[Abundance in SC (g protein/g all proteins)]:[Abundance in RT (g protein/g all proteins)]])</f>
        <v>7.082957810417314E-3</v>
      </c>
      <c r="F169">
        <f>_xlfn.RANK.AVG(Table2[[#This Row],[Abundance in SC (g protein/g all proteins)]],Table2[Abundance in SC (g protein/g all proteins)])</f>
        <v>272</v>
      </c>
      <c r="G169">
        <f>_xlfn.RANK.AVG(Table2[[#This Row],[Abundance in RT (g protein/g all proteins)]],Table2[Abundance in RT (g protein/g all proteins)])</f>
        <v>166</v>
      </c>
      <c r="H169">
        <f>LOG(Table2[[#This Row],[Abundance in SC (g protein/g all proteins)]])</f>
        <v>-3.9454879381929922</v>
      </c>
      <c r="I169">
        <f>LOG(Table2[[#This Row],[Abundance in RT (g protein/g all proteins)]])</f>
        <v>-3.3925449767853313</v>
      </c>
    </row>
    <row r="170" spans="1:9" x14ac:dyDescent="0.2">
      <c r="A170" t="s">
        <v>2324</v>
      </c>
      <c r="B170">
        <v>1.5751896805680401E-4</v>
      </c>
      <c r="C170">
        <v>4.4499999999999997E-4</v>
      </c>
      <c r="D170">
        <f t="shared" si="2"/>
        <v>2.0327978714954032E-4</v>
      </c>
      <c r="E170">
        <f>Table2[[#This Row],[distance from 45-degree line]]/MAX(Table2[[Abundance in SC (g protein/g all proteins)]:[Abundance in RT (g protein/g all proteins)]])</f>
        <v>6.9822768024046418E-3</v>
      </c>
      <c r="F170">
        <f>_xlfn.RANK.AVG(Table2[[#This Row],[Abundance in SC (g protein/g all proteins)]],Table2[Abundance in SC (g protein/g all proteins)])</f>
        <v>240</v>
      </c>
      <c r="G170">
        <f>_xlfn.RANK.AVG(Table2[[#This Row],[Abundance in RT (g protein/g all proteins)]],Table2[Abundance in RT (g protein/g all proteins)])</f>
        <v>154.5</v>
      </c>
      <c r="H170">
        <f>LOG(Table2[[#This Row],[Abundance in SC (g protein/g all proteins)]])</f>
        <v>-3.8026671420242275</v>
      </c>
      <c r="I170">
        <f>LOG(Table2[[#This Row],[Abundance in RT (g protein/g all proteins)]])</f>
        <v>-3.3516399890190685</v>
      </c>
    </row>
    <row r="171" spans="1:9" x14ac:dyDescent="0.2">
      <c r="A171" t="s">
        <v>2464</v>
      </c>
      <c r="B171">
        <v>7.8968036617296799E-4</v>
      </c>
      <c r="C171">
        <v>5.1199999999999998E-4</v>
      </c>
      <c r="D171">
        <f t="shared" si="2"/>
        <v>1.9634966992326927E-4</v>
      </c>
      <c r="E171">
        <f>Table2[[#This Row],[distance from 45-degree line]]/MAX(Table2[[Abundance in SC (g protein/g all proteins)]:[Abundance in RT (g protein/g all proteins)]])</f>
        <v>6.7442403629462463E-3</v>
      </c>
      <c r="F171">
        <f>_xlfn.RANK.AVG(Table2[[#This Row],[Abundance in SC (g protein/g all proteins)]],Table2[Abundance in SC (g protein/g all proteins)])</f>
        <v>109</v>
      </c>
      <c r="G171">
        <f>_xlfn.RANK.AVG(Table2[[#This Row],[Abundance in RT (g protein/g all proteins)]],Table2[Abundance in RT (g protein/g all proteins)])</f>
        <v>145</v>
      </c>
      <c r="H171">
        <f>LOG(Table2[[#This Row],[Abundance in SC (g protein/g all proteins)]])</f>
        <v>-3.1025486597186571</v>
      </c>
      <c r="I171">
        <f>LOG(Table2[[#This Row],[Abundance in RT (g protein/g all proteins)]])</f>
        <v>-3.2907300390241692</v>
      </c>
    </row>
    <row r="172" spans="1:9" x14ac:dyDescent="0.2">
      <c r="A172" t="s">
        <v>2597</v>
      </c>
      <c r="B172">
        <v>5.2673979269245695E-4</v>
      </c>
      <c r="C172">
        <v>2.5000000000000001E-4</v>
      </c>
      <c r="D172">
        <f t="shared" si="2"/>
        <v>1.9568458403699566E-4</v>
      </c>
      <c r="E172">
        <f>Table2[[#This Row],[distance from 45-degree line]]/MAX(Table2[[Abundance in SC (g protein/g all proteins)]:[Abundance in RT (g protein/g all proteins)]])</f>
        <v>6.7213959187422644E-3</v>
      </c>
      <c r="F172">
        <f>_xlfn.RANK.AVG(Table2[[#This Row],[Abundance in SC (g protein/g all proteins)]],Table2[Abundance in SC (g protein/g all proteins)])</f>
        <v>144</v>
      </c>
      <c r="G172">
        <f>_xlfn.RANK.AVG(Table2[[#This Row],[Abundance in RT (g protein/g all proteins)]],Table2[Abundance in RT (g protein/g all proteins)])</f>
        <v>220</v>
      </c>
      <c r="H172">
        <f>LOG(Table2[[#This Row],[Abundance in SC (g protein/g all proteins)]])</f>
        <v>-3.2784038715153865</v>
      </c>
      <c r="I172">
        <f>LOG(Table2[[#This Row],[Abundance in RT (g protein/g all proteins)]])</f>
        <v>-3.6020599913279625</v>
      </c>
    </row>
    <row r="173" spans="1:9" x14ac:dyDescent="0.2">
      <c r="A173" t="s">
        <v>2648</v>
      </c>
      <c r="B173">
        <v>2.57602032833057E-5</v>
      </c>
      <c r="C173">
        <v>3.0200000000000002E-4</v>
      </c>
      <c r="D173">
        <f t="shared" si="2"/>
        <v>1.9533103349196791E-4</v>
      </c>
      <c r="E173">
        <f>Table2[[#This Row],[distance from 45-degree line]]/MAX(Table2[[Abundance in SC (g protein/g all proteins)]:[Abundance in RT (g protein/g all proteins)]])</f>
        <v>6.7092521251873802E-3</v>
      </c>
      <c r="F173">
        <f>_xlfn.RANK.AVG(Table2[[#This Row],[Abundance in SC (g protein/g all proteins)]],Table2[Abundance in SC (g protein/g all proteins)])</f>
        <v>409</v>
      </c>
      <c r="G173">
        <f>_xlfn.RANK.AVG(Table2[[#This Row],[Abundance in RT (g protein/g all proteins)]],Table2[Abundance in RT (g protein/g all proteins)])</f>
        <v>200.5</v>
      </c>
      <c r="H173">
        <f>LOG(Table2[[#This Row],[Abundance in SC (g protein/g all proteins)]])</f>
        <v>-4.5890507141200834</v>
      </c>
      <c r="I173">
        <f>LOG(Table2[[#This Row],[Abundance in RT (g protein/g all proteins)]])</f>
        <v>-3.5199930570428495</v>
      </c>
    </row>
    <row r="174" spans="1:9" x14ac:dyDescent="0.2">
      <c r="A174" t="s">
        <v>2705</v>
      </c>
      <c r="B174">
        <v>3.51750474515291E-4</v>
      </c>
      <c r="C174">
        <v>7.7899999999999996E-5</v>
      </c>
      <c r="D174">
        <f t="shared" si="2"/>
        <v>1.9364152756091608E-4</v>
      </c>
      <c r="E174">
        <f>Table2[[#This Row],[distance from 45-degree line]]/MAX(Table2[[Abundance in SC (g protein/g all proteins)]:[Abundance in RT (g protein/g all proteins)]])</f>
        <v>6.6512207870237381E-3</v>
      </c>
      <c r="F174">
        <f>_xlfn.RANK.AVG(Table2[[#This Row],[Abundance in SC (g protein/g all proteins)]],Table2[Abundance in SC (g protein/g all proteins)])</f>
        <v>175</v>
      </c>
      <c r="G174">
        <f>_xlfn.RANK.AVG(Table2[[#This Row],[Abundance in RT (g protein/g all proteins)]],Table2[Abundance in RT (g protein/g all proteins)])</f>
        <v>356</v>
      </c>
      <c r="H174">
        <f>LOG(Table2[[#This Row],[Abundance in SC (g protein/g all proteins)]])</f>
        <v>-3.453765308024749</v>
      </c>
      <c r="I174">
        <f>LOG(Table2[[#This Row],[Abundance in RT (g protein/g all proteins)]])</f>
        <v>-4.1084625423274357</v>
      </c>
    </row>
    <row r="175" spans="1:9" x14ac:dyDescent="0.2">
      <c r="A175" t="s">
        <v>2584</v>
      </c>
      <c r="B175">
        <v>6.0869112532740705E-4</v>
      </c>
      <c r="C175">
        <v>3.3500000000000001E-4</v>
      </c>
      <c r="D175">
        <f t="shared" si="2"/>
        <v>1.9352885066958674E-4</v>
      </c>
      <c r="E175">
        <f>Table2[[#This Row],[distance from 45-degree line]]/MAX(Table2[[Abundance in SC (g protein/g all proteins)]:[Abundance in RT (g protein/g all proteins)]])</f>
        <v>6.647350548592619E-3</v>
      </c>
      <c r="F175">
        <f>_xlfn.RANK.AVG(Table2[[#This Row],[Abundance in SC (g protein/g all proteins)]],Table2[Abundance in SC (g protein/g all proteins)])</f>
        <v>132</v>
      </c>
      <c r="G175">
        <f>_xlfn.RANK.AVG(Table2[[#This Row],[Abundance in RT (g protein/g all proteins)]],Table2[Abundance in RT (g protein/g all proteins)])</f>
        <v>183</v>
      </c>
      <c r="H175">
        <f>LOG(Table2[[#This Row],[Abundance in SC (g protein/g all proteins)]])</f>
        <v>-3.2156030301829746</v>
      </c>
      <c r="I175">
        <f>LOG(Table2[[#This Row],[Abundance in RT (g protein/g all proteins)]])</f>
        <v>-3.4749551929631548</v>
      </c>
    </row>
    <row r="176" spans="1:9" x14ac:dyDescent="0.2">
      <c r="A176" t="s">
        <v>2475</v>
      </c>
      <c r="B176">
        <v>9.8490833147821906E-5</v>
      </c>
      <c r="C176">
        <v>3.6900000000000002E-4</v>
      </c>
      <c r="D176">
        <f t="shared" si="2"/>
        <v>1.9127886625429838E-4</v>
      </c>
      <c r="E176">
        <f>Table2[[#This Row],[distance from 45-degree line]]/MAX(Table2[[Abundance in SC (g protein/g all proteins)]:[Abundance in RT (g protein/g all proteins)]])</f>
        <v>6.5700678329378495E-3</v>
      </c>
      <c r="F176">
        <f>_xlfn.RANK.AVG(Table2[[#This Row],[Abundance in SC (g protein/g all proteins)]],Table2[Abundance in SC (g protein/g all proteins)])</f>
        <v>281</v>
      </c>
      <c r="G176">
        <f>_xlfn.RANK.AVG(Table2[[#This Row],[Abundance in RT (g protein/g all proteins)]],Table2[Abundance in RT (g protein/g all proteins)])</f>
        <v>178</v>
      </c>
      <c r="H176">
        <f>LOG(Table2[[#This Row],[Abundance in SC (g protein/g all proteins)]])</f>
        <v>-4.0066041887773016</v>
      </c>
      <c r="I176">
        <f>LOG(Table2[[#This Row],[Abundance in RT (g protein/g all proteins)]])</f>
        <v>-3.4329736338409398</v>
      </c>
    </row>
    <row r="177" spans="1:9" x14ac:dyDescent="0.2">
      <c r="A177" t="s">
        <v>2649</v>
      </c>
      <c r="B177">
        <v>2.2272477807250499E-4</v>
      </c>
      <c r="C177">
        <v>4.9100000000000001E-4</v>
      </c>
      <c r="D177">
        <f t="shared" si="2"/>
        <v>1.8969922864925769E-4</v>
      </c>
      <c r="E177">
        <f>Table2[[#This Row],[distance from 45-degree line]]/MAX(Table2[[Abundance in SC (g protein/g all proteins)]:[Abundance in RT (g protein/g all proteins)]])</f>
        <v>6.515810264290516E-3</v>
      </c>
      <c r="F177">
        <f>_xlfn.RANK.AVG(Table2[[#This Row],[Abundance in SC (g protein/g all proteins)]],Table2[Abundance in SC (g protein/g all proteins)])</f>
        <v>206</v>
      </c>
      <c r="G177">
        <f>_xlfn.RANK.AVG(Table2[[#This Row],[Abundance in RT (g protein/g all proteins)]],Table2[Abundance in RT (g protein/g all proteins)])</f>
        <v>148</v>
      </c>
      <c r="H177">
        <f>LOG(Table2[[#This Row],[Abundance in SC (g protein/g all proteins)]])</f>
        <v>-3.6522314651322807</v>
      </c>
      <c r="I177">
        <f>LOG(Table2[[#This Row],[Abundance in RT (g protein/g all proteins)]])</f>
        <v>-3.3089185078770313</v>
      </c>
    </row>
    <row r="178" spans="1:9" x14ac:dyDescent="0.2">
      <c r="A178" t="s">
        <v>2546</v>
      </c>
      <c r="B178">
        <v>6.8664278209055302E-4</v>
      </c>
      <c r="C178">
        <v>4.2700000000000002E-4</v>
      </c>
      <c r="D178">
        <f t="shared" si="2"/>
        <v>1.8359517190237107E-4</v>
      </c>
      <c r="E178">
        <f>Table2[[#This Row],[distance from 45-degree line]]/MAX(Table2[[Abundance in SC (g protein/g all proteins)]:[Abundance in RT (g protein/g all proteins)]])</f>
        <v>6.3061474423150334E-3</v>
      </c>
      <c r="F178">
        <f>_xlfn.RANK.AVG(Table2[[#This Row],[Abundance in SC (g protein/g all proteins)]],Table2[Abundance in SC (g protein/g all proteins)])</f>
        <v>117</v>
      </c>
      <c r="G178">
        <f>_xlfn.RANK.AVG(Table2[[#This Row],[Abundance in RT (g protein/g all proteins)]],Table2[Abundance in RT (g protein/g all proteins)])</f>
        <v>160</v>
      </c>
      <c r="H178">
        <f>LOG(Table2[[#This Row],[Abundance in SC (g protein/g all proteins)]])</f>
        <v>-3.1632691408359688</v>
      </c>
      <c r="I178">
        <f>LOG(Table2[[#This Row],[Abundance in RT (g protein/g all proteins)]])</f>
        <v>-3.3695721249749759</v>
      </c>
    </row>
    <row r="179" spans="1:9" x14ac:dyDescent="0.2">
      <c r="A179" t="s">
        <v>2513</v>
      </c>
      <c r="B179">
        <v>1.2417459587263301E-4</v>
      </c>
      <c r="C179">
        <v>3.8299999999999999E-4</v>
      </c>
      <c r="D179">
        <f t="shared" si="2"/>
        <v>1.8301719840180979E-4</v>
      </c>
      <c r="E179">
        <f>Table2[[#This Row],[distance from 45-degree line]]/MAX(Table2[[Abundance in SC (g protein/g all proteins)]:[Abundance in RT (g protein/g all proteins)]])</f>
        <v>6.2862951440518277E-3</v>
      </c>
      <c r="F179">
        <f>_xlfn.RANK.AVG(Table2[[#This Row],[Abundance in SC (g protein/g all proteins)]],Table2[Abundance in SC (g protein/g all proteins)])</f>
        <v>263</v>
      </c>
      <c r="G179">
        <f>_xlfn.RANK.AVG(Table2[[#This Row],[Abundance in RT (g protein/g all proteins)]],Table2[Abundance in RT (g protein/g all proteins)])</f>
        <v>172</v>
      </c>
      <c r="H179">
        <f>LOG(Table2[[#This Row],[Abundance in SC (g protein/g all proteins)]])</f>
        <v>-3.9059672447458342</v>
      </c>
      <c r="I179">
        <f>LOG(Table2[[#This Row],[Abundance in RT (g protein/g all proteins)]])</f>
        <v>-3.4168012260313771</v>
      </c>
    </row>
    <row r="180" spans="1:9" x14ac:dyDescent="0.2">
      <c r="A180" t="s">
        <v>2482</v>
      </c>
      <c r="B180">
        <v>5.3183627822277201E-5</v>
      </c>
      <c r="C180">
        <v>3.1100000000000002E-4</v>
      </c>
      <c r="D180">
        <f t="shared" si="2"/>
        <v>1.8230370506778257E-4</v>
      </c>
      <c r="E180">
        <f>Table2[[#This Row],[distance from 45-degree line]]/MAX(Table2[[Abundance in SC (g protein/g all proteins)]:[Abundance in RT (g protein/g all proteins)]])</f>
        <v>6.2617879954331417E-3</v>
      </c>
      <c r="F180">
        <f>_xlfn.RANK.AVG(Table2[[#This Row],[Abundance in SC (g protein/g all proteins)]],Table2[Abundance in SC (g protein/g all proteins)])</f>
        <v>340</v>
      </c>
      <c r="G180">
        <f>_xlfn.RANK.AVG(Table2[[#This Row],[Abundance in RT (g protein/g all proteins)]],Table2[Abundance in RT (g protein/g all proteins)])</f>
        <v>197</v>
      </c>
      <c r="H180">
        <f>LOG(Table2[[#This Row],[Abundance in SC (g protein/g all proteins)]])</f>
        <v>-4.2742220414034984</v>
      </c>
      <c r="I180">
        <f>LOG(Table2[[#This Row],[Abundance in RT (g protein/g all proteins)]])</f>
        <v>-3.5072396109731625</v>
      </c>
    </row>
    <row r="181" spans="1:9" x14ac:dyDescent="0.2">
      <c r="A181" t="s">
        <v>2623</v>
      </c>
      <c r="B181">
        <v>4.7840490740283997E-5</v>
      </c>
      <c r="C181">
        <v>3.0499999999999999E-4</v>
      </c>
      <c r="D181">
        <f t="shared" si="2"/>
        <v>1.818392328441499E-4</v>
      </c>
      <c r="E181">
        <f>Table2[[#This Row],[distance from 45-degree line]]/MAX(Table2[[Abundance in SC (g protein/g all proteins)]:[Abundance in RT (g protein/g all proteins)]])</f>
        <v>6.2458342516895698E-3</v>
      </c>
      <c r="F181">
        <f>_xlfn.RANK.AVG(Table2[[#This Row],[Abundance in SC (g protein/g all proteins)]],Table2[Abundance in SC (g protein/g all proteins)])</f>
        <v>349</v>
      </c>
      <c r="G181">
        <f>_xlfn.RANK.AVG(Table2[[#This Row],[Abundance in RT (g protein/g all proteins)]],Table2[Abundance in RT (g protein/g all proteins)])</f>
        <v>198</v>
      </c>
      <c r="H181">
        <f>LOG(Table2[[#This Row],[Abundance in SC (g protein/g all proteins)]])</f>
        <v>-4.3202043740718139</v>
      </c>
      <c r="I181">
        <f>LOG(Table2[[#This Row],[Abundance in RT (g protein/g all proteins)]])</f>
        <v>-3.5157001606532141</v>
      </c>
    </row>
    <row r="182" spans="1:9" x14ac:dyDescent="0.2">
      <c r="A182" t="s">
        <v>2768</v>
      </c>
      <c r="B182">
        <v>3.3057409455240202E-4</v>
      </c>
      <c r="C182">
        <v>5.8699999999999996E-4</v>
      </c>
      <c r="D182">
        <f t="shared" si="2"/>
        <v>1.8132049661389696E-4</v>
      </c>
      <c r="E182">
        <f>Table2[[#This Row],[distance from 45-degree line]]/MAX(Table2[[Abundance in SC (g protein/g all proteins)]:[Abundance in RT (g protein/g all proteins)]])</f>
        <v>6.2280166417941129E-3</v>
      </c>
      <c r="F182">
        <f>_xlfn.RANK.AVG(Table2[[#This Row],[Abundance in SC (g protein/g all proteins)]],Table2[Abundance in SC (g protein/g all proteins)])</f>
        <v>178</v>
      </c>
      <c r="G182">
        <f>_xlfn.RANK.AVG(Table2[[#This Row],[Abundance in RT (g protein/g all proteins)]],Table2[Abundance in RT (g protein/g all proteins)])</f>
        <v>133</v>
      </c>
      <c r="H182">
        <f>LOG(Table2[[#This Row],[Abundance in SC (g protein/g all proteins)]])</f>
        <v>-3.4807311829295986</v>
      </c>
      <c r="I182">
        <f>LOG(Table2[[#This Row],[Abundance in RT (g protein/g all proteins)]])</f>
        <v>-3.2313618987523856</v>
      </c>
    </row>
    <row r="183" spans="1:9" x14ac:dyDescent="0.2">
      <c r="A183" t="s">
        <v>2786</v>
      </c>
      <c r="B183">
        <v>8.5139891750939003E-4</v>
      </c>
      <c r="C183">
        <v>5.9599999999999996E-4</v>
      </c>
      <c r="D183">
        <f t="shared" si="2"/>
        <v>1.8059430647859338E-4</v>
      </c>
      <c r="E183">
        <f>Table2[[#This Row],[distance from 45-degree line]]/MAX(Table2[[Abundance in SC (g protein/g all proteins)]:[Abundance in RT (g protein/g all proteins)]])</f>
        <v>6.2030733820290134E-3</v>
      </c>
      <c r="F183">
        <f>_xlfn.RANK.AVG(Table2[[#This Row],[Abundance in SC (g protein/g all proteins)]],Table2[Abundance in SC (g protein/g all proteins)])</f>
        <v>100</v>
      </c>
      <c r="G183">
        <f>_xlfn.RANK.AVG(Table2[[#This Row],[Abundance in RT (g protein/g all proteins)]],Table2[Abundance in RT (g protein/g all proteins)])</f>
        <v>130</v>
      </c>
      <c r="H183">
        <f>LOG(Table2[[#This Row],[Abundance in SC (g protein/g all proteins)]])</f>
        <v>-3.0698669063317712</v>
      </c>
      <c r="I183">
        <f>LOG(Table2[[#This Row],[Abundance in RT (g protein/g all proteins)]])</f>
        <v>-3.2247537402597635</v>
      </c>
    </row>
    <row r="184" spans="1:9" x14ac:dyDescent="0.2">
      <c r="A184" t="s">
        <v>2616</v>
      </c>
      <c r="B184">
        <v>1.30881523238015E-5</v>
      </c>
      <c r="C184">
        <v>2.6800000000000001E-4</v>
      </c>
      <c r="D184">
        <f t="shared" si="2"/>
        <v>1.8024989609663223E-4</v>
      </c>
      <c r="E184">
        <f>Table2[[#This Row],[distance from 45-degree line]]/MAX(Table2[[Abundance in SC (g protein/g all proteins)]:[Abundance in RT (g protein/g all proteins)]])</f>
        <v>6.1912435358146148E-3</v>
      </c>
      <c r="F184">
        <f>_xlfn.RANK.AVG(Table2[[#This Row],[Abundance in SC (g protein/g all proteins)]],Table2[Abundance in SC (g protein/g all proteins)])</f>
        <v>482</v>
      </c>
      <c r="G184">
        <f>_xlfn.RANK.AVG(Table2[[#This Row],[Abundance in RT (g protein/g all proteins)]],Table2[Abundance in RT (g protein/g all proteins)])</f>
        <v>212</v>
      </c>
      <c r="H184">
        <f>LOG(Table2[[#This Row],[Abundance in SC (g protein/g all proteins)]])</f>
        <v>-4.883121659195254</v>
      </c>
      <c r="I184">
        <f>LOG(Table2[[#This Row],[Abundance in RT (g protein/g all proteins)]])</f>
        <v>-3.571865205971211</v>
      </c>
    </row>
    <row r="185" spans="1:9" x14ac:dyDescent="0.2">
      <c r="A185" t="s">
        <v>2801</v>
      </c>
      <c r="B185">
        <v>3.3835237388259398E-4</v>
      </c>
      <c r="C185">
        <v>8.5699999999999996E-5</v>
      </c>
      <c r="D185">
        <f t="shared" si="2"/>
        <v>1.7865220685526115E-4</v>
      </c>
      <c r="E185">
        <f>Table2[[#This Row],[distance from 45-degree line]]/MAX(Table2[[Abundance in SC (g protein/g all proteins)]:[Abundance in RT (g protein/g all proteins)]])</f>
        <v>6.1363659275491637E-3</v>
      </c>
      <c r="F185">
        <f>_xlfn.RANK.AVG(Table2[[#This Row],[Abundance in SC (g protein/g all proteins)]],Table2[Abundance in SC (g protein/g all proteins)])</f>
        <v>177</v>
      </c>
      <c r="G185">
        <f>_xlfn.RANK.AVG(Table2[[#This Row],[Abundance in RT (g protein/g all proteins)]],Table2[Abundance in RT (g protein/g all proteins)])</f>
        <v>345</v>
      </c>
      <c r="H185">
        <f>LOG(Table2[[#This Row],[Abundance in SC (g protein/g all proteins)]])</f>
        <v>-3.4706307721567362</v>
      </c>
      <c r="I185">
        <f>LOG(Table2[[#This Row],[Abundance in RT (g protein/g all proteins)]])</f>
        <v>-4.0670191780768015</v>
      </c>
    </row>
    <row r="186" spans="1:9" x14ac:dyDescent="0.2">
      <c r="A186" t="s">
        <v>2402</v>
      </c>
      <c r="B186">
        <v>5.2948199401197501E-5</v>
      </c>
      <c r="C186">
        <v>3.0400000000000002E-4</v>
      </c>
      <c r="D186">
        <f t="shared" si="2"/>
        <v>1.7752043063250618E-4</v>
      </c>
      <c r="E186">
        <f>Table2[[#This Row],[distance from 45-degree line]]/MAX(Table2[[Abundance in SC (g protein/g all proteins)]:[Abundance in RT (g protein/g all proteins)]])</f>
        <v>6.0974915516140791E-3</v>
      </c>
      <c r="F186">
        <f>_xlfn.RANK.AVG(Table2[[#This Row],[Abundance in SC (g protein/g all proteins)]],Table2[Abundance in SC (g protein/g all proteins)])</f>
        <v>342</v>
      </c>
      <c r="G186">
        <f>_xlfn.RANK.AVG(Table2[[#This Row],[Abundance in RT (g protein/g all proteins)]],Table2[Abundance in RT (g protein/g all proteins)])</f>
        <v>199</v>
      </c>
      <c r="H186">
        <f>LOG(Table2[[#This Row],[Abundance in SC (g protein/g all proteins)]])</f>
        <v>-4.276148804270762</v>
      </c>
      <c r="I186">
        <f>LOG(Table2[[#This Row],[Abundance in RT (g protein/g all proteins)]])</f>
        <v>-3.5171264163912461</v>
      </c>
    </row>
    <row r="187" spans="1:9" x14ac:dyDescent="0.2">
      <c r="A187" t="s">
        <v>2608</v>
      </c>
      <c r="B187">
        <v>9.6250968951028904E-5</v>
      </c>
      <c r="C187">
        <v>3.4699999999999998E-4</v>
      </c>
      <c r="D187">
        <f t="shared" si="2"/>
        <v>1.7730634023068362E-4</v>
      </c>
      <c r="E187">
        <f>Table2[[#This Row],[distance from 45-degree line]]/MAX(Table2[[Abundance in SC (g protein/g all proteins)]:[Abundance in RT (g protein/g all proteins)]])</f>
        <v>6.0901379506130924E-3</v>
      </c>
      <c r="F187">
        <f>_xlfn.RANK.AVG(Table2[[#This Row],[Abundance in SC (g protein/g all proteins)]],Table2[Abundance in SC (g protein/g all proteins)])</f>
        <v>283</v>
      </c>
      <c r="G187">
        <f>_xlfn.RANK.AVG(Table2[[#This Row],[Abundance in RT (g protein/g all proteins)]],Table2[Abundance in RT (g protein/g all proteins)])</f>
        <v>182</v>
      </c>
      <c r="H187">
        <f>LOG(Table2[[#This Row],[Abundance in SC (g protein/g all proteins)]])</f>
        <v>-4.0165948897886361</v>
      </c>
      <c r="I187">
        <f>LOG(Table2[[#This Row],[Abundance in RT (g protein/g all proteins)]])</f>
        <v>-3.4596705252091264</v>
      </c>
    </row>
    <row r="188" spans="1:9" x14ac:dyDescent="0.2">
      <c r="A188" t="s">
        <v>2863</v>
      </c>
      <c r="B188">
        <v>1.3963697966540699E-4</v>
      </c>
      <c r="C188">
        <v>3.8900000000000002E-4</v>
      </c>
      <c r="D188">
        <f t="shared" si="2"/>
        <v>1.7632628265574964E-4</v>
      </c>
      <c r="E188">
        <f>Table2[[#This Row],[distance from 45-degree line]]/MAX(Table2[[Abundance in SC (g protein/g all proteins)]:[Abundance in RT (g protein/g all proteins)]])</f>
        <v>6.0564748237157372E-3</v>
      </c>
      <c r="F188">
        <f>_xlfn.RANK.AVG(Table2[[#This Row],[Abundance in SC (g protein/g all proteins)]],Table2[Abundance in SC (g protein/g all proteins)])</f>
        <v>255</v>
      </c>
      <c r="G188">
        <f>_xlfn.RANK.AVG(Table2[[#This Row],[Abundance in RT (g protein/g all proteins)]],Table2[Abundance in RT (g protein/g all proteins)])</f>
        <v>169.5</v>
      </c>
      <c r="H188">
        <f>LOG(Table2[[#This Row],[Abundance in SC (g protein/g all proteins)]])</f>
        <v>-3.8549995535046166</v>
      </c>
      <c r="I188">
        <f>LOG(Table2[[#This Row],[Abundance in RT (g protein/g all proteins)]])</f>
        <v>-3.4100503986742923</v>
      </c>
    </row>
    <row r="189" spans="1:9" x14ac:dyDescent="0.2">
      <c r="A189" t="s">
        <v>2460</v>
      </c>
      <c r="B189">
        <v>2.7798611384014898E-4</v>
      </c>
      <c r="C189">
        <v>3.1699999999999998E-5</v>
      </c>
      <c r="D189">
        <f t="shared" si="2"/>
        <v>1.7415058120845135E-4</v>
      </c>
      <c r="E189">
        <f>Table2[[#This Row],[distance from 45-degree line]]/MAX(Table2[[Abundance in SC (g protein/g all proteins)]:[Abundance in RT (g protein/g all proteins)]])</f>
        <v>5.9817435877308539E-3</v>
      </c>
      <c r="F189">
        <f>_xlfn.RANK.AVG(Table2[[#This Row],[Abundance in SC (g protein/g all proteins)]],Table2[Abundance in SC (g protein/g all proteins)])</f>
        <v>188</v>
      </c>
      <c r="G189">
        <f>_xlfn.RANK.AVG(Table2[[#This Row],[Abundance in RT (g protein/g all proteins)]],Table2[Abundance in RT (g protein/g all proteins)])</f>
        <v>452</v>
      </c>
      <c r="H189">
        <f>LOG(Table2[[#This Row],[Abundance in SC (g protein/g all proteins)]])</f>
        <v>-3.5559768977266004</v>
      </c>
      <c r="I189">
        <f>LOG(Table2[[#This Row],[Abundance in RT (g protein/g all proteins)]])</f>
        <v>-4.4989407377822488</v>
      </c>
    </row>
    <row r="190" spans="1:9" x14ac:dyDescent="0.2">
      <c r="A190" t="s">
        <v>2517</v>
      </c>
      <c r="B190">
        <v>2.4260287242312001E-7</v>
      </c>
      <c r="C190">
        <v>2.4499999999999999E-4</v>
      </c>
      <c r="D190">
        <f t="shared" si="2"/>
        <v>1.7306961525447842E-4</v>
      </c>
      <c r="E190">
        <f>Table2[[#This Row],[distance from 45-degree line]]/MAX(Table2[[Abundance in SC (g protein/g all proteins)]:[Abundance in RT (g protein/g all proteins)]])</f>
        <v>5.944614448575164E-3</v>
      </c>
      <c r="F190">
        <f>_xlfn.RANK.AVG(Table2[[#This Row],[Abundance in SC (g protein/g all proteins)]],Table2[Abundance in SC (g protein/g all proteins)])</f>
        <v>588</v>
      </c>
      <c r="G190">
        <f>_xlfn.RANK.AVG(Table2[[#This Row],[Abundance in RT (g protein/g all proteins)]],Table2[Abundance in RT (g protein/g all proteins)])</f>
        <v>224.5</v>
      </c>
      <c r="H190">
        <f>LOG(Table2[[#This Row],[Abundance in SC (g protein/g all proteins)]])</f>
        <v>-6.6151040613831906</v>
      </c>
      <c r="I190">
        <f>LOG(Table2[[#This Row],[Abundance in RT (g protein/g all proteins)]])</f>
        <v>-3.6108339156354674</v>
      </c>
    </row>
    <row r="191" spans="1:9" x14ac:dyDescent="0.2">
      <c r="A191" t="s">
        <v>2340</v>
      </c>
      <c r="B191">
        <v>1.5978356359009499E-4</v>
      </c>
      <c r="C191">
        <v>4.0299999999999998E-4</v>
      </c>
      <c r="D191">
        <f t="shared" si="2"/>
        <v>1.7197999148147052E-4</v>
      </c>
      <c r="E191">
        <f>Table2[[#This Row],[distance from 45-degree line]]/MAX(Table2[[Abundance in SC (g protein/g all proteins)]:[Abundance in RT (g protein/g all proteins)]])</f>
        <v>5.9071879296855858E-3</v>
      </c>
      <c r="F191">
        <f>_xlfn.RANK.AVG(Table2[[#This Row],[Abundance in SC (g protein/g all proteins)]],Table2[Abundance in SC (g protein/g all proteins)])</f>
        <v>239</v>
      </c>
      <c r="G191">
        <f>_xlfn.RANK.AVG(Table2[[#This Row],[Abundance in RT (g protein/g all proteins)]],Table2[Abundance in RT (g protein/g all proteins)])</f>
        <v>167</v>
      </c>
      <c r="H191">
        <f>LOG(Table2[[#This Row],[Abundance in SC (g protein/g all proteins)]])</f>
        <v>-3.7964678971700576</v>
      </c>
      <c r="I191">
        <f>LOG(Table2[[#This Row],[Abundance in RT (g protein/g all proteins)]])</f>
        <v>-3.3946949538588904</v>
      </c>
    </row>
    <row r="192" spans="1:9" x14ac:dyDescent="0.2">
      <c r="A192" t="s">
        <v>2572</v>
      </c>
      <c r="B192">
        <v>4.6946713094344798E-4</v>
      </c>
      <c r="C192">
        <v>2.31E-4</v>
      </c>
      <c r="D192">
        <f t="shared" si="2"/>
        <v>1.6862172538021242E-4</v>
      </c>
      <c r="E192">
        <f>Table2[[#This Row],[distance from 45-degree line]]/MAX(Table2[[Abundance in SC (g protein/g all proteins)]:[Abundance in RT (g protein/g all proteins)]])</f>
        <v>5.7918378310657615E-3</v>
      </c>
      <c r="F192">
        <f>_xlfn.RANK.AVG(Table2[[#This Row],[Abundance in SC (g protein/g all proteins)]],Table2[Abundance in SC (g protein/g all proteins)])</f>
        <v>152</v>
      </c>
      <c r="G192">
        <f>_xlfn.RANK.AVG(Table2[[#This Row],[Abundance in RT (g protein/g all proteins)]],Table2[Abundance in RT (g protein/g all proteins)])</f>
        <v>231.5</v>
      </c>
      <c r="H192">
        <f>LOG(Table2[[#This Row],[Abundance in SC (g protein/g all proteins)]])</f>
        <v>-3.3283948088283082</v>
      </c>
      <c r="I192">
        <f>LOG(Table2[[#This Row],[Abundance in RT (g protein/g all proteins)]])</f>
        <v>-3.6363880201078556</v>
      </c>
    </row>
    <row r="193" spans="1:9" x14ac:dyDescent="0.2">
      <c r="A193" t="s">
        <v>2678</v>
      </c>
      <c r="B193">
        <v>5.8756575076710301E-6</v>
      </c>
      <c r="C193">
        <v>2.4399999999999999E-4</v>
      </c>
      <c r="D193">
        <f t="shared" si="2"/>
        <v>1.6837933734191376E-4</v>
      </c>
      <c r="E193">
        <f>Table2[[#This Row],[distance from 45-degree line]]/MAX(Table2[[Abundance in SC (g protein/g all proteins)]:[Abundance in RT (g protein/g all proteins)]])</f>
        <v>5.7835122596908359E-3</v>
      </c>
      <c r="F193">
        <f>_xlfn.RANK.AVG(Table2[[#This Row],[Abundance in SC (g protein/g all proteins)]],Table2[Abundance in SC (g protein/g all proteins)])</f>
        <v>544</v>
      </c>
      <c r="G193">
        <f>_xlfn.RANK.AVG(Table2[[#This Row],[Abundance in RT (g protein/g all proteins)]],Table2[Abundance in RT (g protein/g all proteins)])</f>
        <v>226</v>
      </c>
      <c r="H193">
        <f>LOG(Table2[[#This Row],[Abundance in SC (g protein/g all proteins)]])</f>
        <v>-5.2309435271880416</v>
      </c>
      <c r="I193">
        <f>LOG(Table2[[#This Row],[Abundance in RT (g protein/g all proteins)]])</f>
        <v>-3.6126101736612708</v>
      </c>
    </row>
    <row r="194" spans="1:9" x14ac:dyDescent="0.2">
      <c r="A194" t="s">
        <v>2902</v>
      </c>
      <c r="B194">
        <v>1.5153943658291E-4</v>
      </c>
      <c r="C194">
        <v>3.8900000000000002E-4</v>
      </c>
      <c r="D194">
        <f t="shared" ref="D194:D257" si="3">ABS(B194-C194)/SQRT(2)</f>
        <v>1.6790997465660254E-4</v>
      </c>
      <c r="E194">
        <f>Table2[[#This Row],[distance from 45-degree line]]/MAX(Table2[[Abundance in SC (g protein/g all proteins)]:[Abundance in RT (g protein/g all proteins)]])</f>
        <v>5.7673905378240577E-3</v>
      </c>
      <c r="F194">
        <f>_xlfn.RANK.AVG(Table2[[#This Row],[Abundance in SC (g protein/g all proteins)]],Table2[Abundance in SC (g protein/g all proteins)])</f>
        <v>242</v>
      </c>
      <c r="G194">
        <f>_xlfn.RANK.AVG(Table2[[#This Row],[Abundance in RT (g protein/g all proteins)]],Table2[Abundance in RT (g protein/g all proteins)])</f>
        <v>169.5</v>
      </c>
      <c r="H194">
        <f>LOG(Table2[[#This Row],[Abundance in SC (g protein/g all proteins)]])</f>
        <v>-3.819474331771743</v>
      </c>
      <c r="I194">
        <f>LOG(Table2[[#This Row],[Abundance in RT (g protein/g all proteins)]])</f>
        <v>-3.4100503986742923</v>
      </c>
    </row>
    <row r="195" spans="1:9" x14ac:dyDescent="0.2">
      <c r="A195" t="s">
        <v>2638</v>
      </c>
      <c r="B195">
        <v>3.8077150373034299E-4</v>
      </c>
      <c r="C195">
        <v>1.45E-4</v>
      </c>
      <c r="D195">
        <f t="shared" si="3"/>
        <v>1.6671562909827489E-4</v>
      </c>
      <c r="E195">
        <f>Table2[[#This Row],[distance from 45-degree line]]/MAX(Table2[[Abundance in SC (g protein/g all proteins)]:[Abundance in RT (g protein/g all proteins)]])</f>
        <v>5.7263670233718726E-3</v>
      </c>
      <c r="F195">
        <f>_xlfn.RANK.AVG(Table2[[#This Row],[Abundance in SC (g protein/g all proteins)]],Table2[Abundance in SC (g protein/g all proteins)])</f>
        <v>168</v>
      </c>
      <c r="G195">
        <f>_xlfn.RANK.AVG(Table2[[#This Row],[Abundance in RT (g protein/g all proteins)]],Table2[Abundance in RT (g protein/g all proteins)])</f>
        <v>279.5</v>
      </c>
      <c r="H195">
        <f>LOG(Table2[[#This Row],[Abundance in SC (g protein/g all proteins)]])</f>
        <v>-3.4193355609066436</v>
      </c>
      <c r="I195">
        <f>LOG(Table2[[#This Row],[Abundance in RT (g protein/g all proteins)]])</f>
        <v>-3.8386319977650252</v>
      </c>
    </row>
    <row r="196" spans="1:9" x14ac:dyDescent="0.2">
      <c r="A196" t="s">
        <v>2700</v>
      </c>
      <c r="B196">
        <v>5.38501095019684E-5</v>
      </c>
      <c r="C196">
        <v>2.8899999999999998E-4</v>
      </c>
      <c r="D196">
        <f t="shared" si="3"/>
        <v>1.6627608216643222E-4</v>
      </c>
      <c r="E196">
        <f>Table2[[#This Row],[distance from 45-degree line]]/MAX(Table2[[Abundance in SC (g protein/g all proteins)]:[Abundance in RT (g protein/g all proteins)]])</f>
        <v>5.7112694163308176E-3</v>
      </c>
      <c r="F196">
        <f>_xlfn.RANK.AVG(Table2[[#This Row],[Abundance in SC (g protein/g all proteins)]],Table2[Abundance in SC (g protein/g all proteins)])</f>
        <v>338</v>
      </c>
      <c r="G196">
        <f>_xlfn.RANK.AVG(Table2[[#This Row],[Abundance in RT (g protein/g all proteins)]],Table2[Abundance in RT (g protein/g all proteins)])</f>
        <v>203.5</v>
      </c>
      <c r="H196">
        <f>LOG(Table2[[#This Row],[Abundance in SC (g protein/g all proteins)]])</f>
        <v>-4.2688134092452517</v>
      </c>
      <c r="I196">
        <f>LOG(Table2[[#This Row],[Abundance in RT (g protein/g all proteins)]])</f>
        <v>-3.5391021572434522</v>
      </c>
    </row>
    <row r="197" spans="1:9" x14ac:dyDescent="0.2">
      <c r="A197" t="s">
        <v>2642</v>
      </c>
      <c r="B197">
        <v>3.21304592059409E-4</v>
      </c>
      <c r="C197">
        <v>8.6299999999999997E-5</v>
      </c>
      <c r="D197">
        <f t="shared" si="3"/>
        <v>1.6617334065518639E-4</v>
      </c>
      <c r="E197">
        <f>Table2[[#This Row],[distance from 45-degree line]]/MAX(Table2[[Abundance in SC (g protein/g all proteins)]:[Abundance in RT (g protein/g all proteins)]])</f>
        <v>5.707740439442977E-3</v>
      </c>
      <c r="F197">
        <f>_xlfn.RANK.AVG(Table2[[#This Row],[Abundance in SC (g protein/g all proteins)]],Table2[Abundance in SC (g protein/g all proteins)])</f>
        <v>180</v>
      </c>
      <c r="G197">
        <f>_xlfn.RANK.AVG(Table2[[#This Row],[Abundance in RT (g protein/g all proteins)]],Table2[Abundance in RT (g protein/g all proteins)])</f>
        <v>343</v>
      </c>
      <c r="H197">
        <f>LOG(Table2[[#This Row],[Abundance in SC (g protein/g all proteins)]])</f>
        <v>-3.4930830675022926</v>
      </c>
      <c r="I197">
        <f>LOG(Table2[[#This Row],[Abundance in RT (g protein/g all proteins)]])</f>
        <v>-4.0639892042847903</v>
      </c>
    </row>
    <row r="198" spans="1:9" x14ac:dyDescent="0.2">
      <c r="A198" t="s">
        <v>2343</v>
      </c>
      <c r="B198">
        <v>4.9133442078200902E-4</v>
      </c>
      <c r="C198">
        <v>7.2599999999999997E-4</v>
      </c>
      <c r="D198">
        <f t="shared" si="3"/>
        <v>1.6593362237611036E-4</v>
      </c>
      <c r="E198">
        <f>Table2[[#This Row],[distance from 45-degree line]]/MAX(Table2[[Abundance in SC (g protein/g all proteins)]:[Abundance in RT (g protein/g all proteins)]])</f>
        <v>5.6995065692556105E-3</v>
      </c>
      <c r="F198">
        <f>_xlfn.RANK.AVG(Table2[[#This Row],[Abundance in SC (g protein/g all proteins)]],Table2[Abundance in SC (g protein/g all proteins)])</f>
        <v>149</v>
      </c>
      <c r="G198">
        <f>_xlfn.RANK.AVG(Table2[[#This Row],[Abundance in RT (g protein/g all proteins)]],Table2[Abundance in RT (g protein/g all proteins)])</f>
        <v>113</v>
      </c>
      <c r="H198">
        <f>LOG(Table2[[#This Row],[Abundance in SC (g protein/g all proteins)]])</f>
        <v>-3.3086228099908563</v>
      </c>
      <c r="I198">
        <f>LOG(Table2[[#This Row],[Abundance in RT (g protein/g all proteins)]])</f>
        <v>-3.1390633792999063</v>
      </c>
    </row>
    <row r="199" spans="1:9" x14ac:dyDescent="0.2">
      <c r="A199" t="s">
        <v>2589</v>
      </c>
      <c r="B199">
        <v>5.01908358347407E-5</v>
      </c>
      <c r="C199">
        <v>2.8400000000000002E-4</v>
      </c>
      <c r="D199">
        <f t="shared" si="3"/>
        <v>1.6532804548481357E-4</v>
      </c>
      <c r="E199">
        <f>Table2[[#This Row],[distance from 45-degree line]]/MAX(Table2[[Abundance in SC (g protein/g all proteins)]:[Abundance in RT (g protein/g all proteins)]])</f>
        <v>5.6787061466485982E-3</v>
      </c>
      <c r="F199">
        <f>_xlfn.RANK.AVG(Table2[[#This Row],[Abundance in SC (g protein/g all proteins)]],Table2[Abundance in SC (g protein/g all proteins)])</f>
        <v>344</v>
      </c>
      <c r="G199">
        <f>_xlfn.RANK.AVG(Table2[[#This Row],[Abundance in RT (g protein/g all proteins)]],Table2[Abundance in RT (g protein/g all proteins)])</f>
        <v>206</v>
      </c>
      <c r="H199">
        <f>LOG(Table2[[#This Row],[Abundance in SC (g protein/g all proteins)]])</f>
        <v>-4.299375571893294</v>
      </c>
      <c r="I199">
        <f>LOG(Table2[[#This Row],[Abundance in RT (g protein/g all proteins)]])</f>
        <v>-3.5466816599529625</v>
      </c>
    </row>
    <row r="200" spans="1:9" x14ac:dyDescent="0.2">
      <c r="A200" t="s">
        <v>2415</v>
      </c>
      <c r="B200">
        <v>1.34524569254404E-3</v>
      </c>
      <c r="C200">
        <v>1.575E-3</v>
      </c>
      <c r="D200">
        <f t="shared" si="3"/>
        <v>1.6246082880892824E-4</v>
      </c>
      <c r="E200">
        <f>Table2[[#This Row],[distance from 45-degree line]]/MAX(Table2[[Abundance in SC (g protein/g all proteins)]:[Abundance in RT (g protein/g all proteins)]])</f>
        <v>5.5802226684620792E-3</v>
      </c>
      <c r="F200">
        <f>_xlfn.RANK.AVG(Table2[[#This Row],[Abundance in SC (g protein/g all proteins)]],Table2[Abundance in SC (g protein/g all proteins)])</f>
        <v>64</v>
      </c>
      <c r="G200">
        <f>_xlfn.RANK.AVG(Table2[[#This Row],[Abundance in RT (g protein/g all proteins)]],Table2[Abundance in RT (g protein/g all proteins)])</f>
        <v>50</v>
      </c>
      <c r="H200">
        <f>LOG(Table2[[#This Row],[Abundance in SC (g protein/g all proteins)]])</f>
        <v>-2.871198389883475</v>
      </c>
      <c r="I200">
        <f>LOG(Table2[[#This Row],[Abundance in RT (g protein/g all proteins)]])</f>
        <v>-2.8027194418743808</v>
      </c>
    </row>
    <row r="201" spans="1:9" x14ac:dyDescent="0.2">
      <c r="A201" t="s">
        <v>2858</v>
      </c>
      <c r="B201">
        <v>7.4576846954565599E-6</v>
      </c>
      <c r="C201">
        <v>2.2699999999999999E-4</v>
      </c>
      <c r="D201">
        <f t="shared" si="3"/>
        <v>1.5523985990923781E-4</v>
      </c>
      <c r="E201">
        <f>Table2[[#This Row],[distance from 45-degree line]]/MAX(Table2[[Abundance in SC (g protein/g all proteins)]:[Abundance in RT (g protein/g all proteins)]])</f>
        <v>5.3321960232841021E-3</v>
      </c>
      <c r="F201">
        <f>_xlfn.RANK.AVG(Table2[[#This Row],[Abundance in SC (g protein/g all proteins)]],Table2[Abundance in SC (g protein/g all proteins)])</f>
        <v>529</v>
      </c>
      <c r="G201">
        <f>_xlfn.RANK.AVG(Table2[[#This Row],[Abundance in RT (g protein/g all proteins)]],Table2[Abundance in RT (g protein/g all proteins)])</f>
        <v>233</v>
      </c>
      <c r="H201">
        <f>LOG(Table2[[#This Row],[Abundance in SC (g protein/g all proteins)]])</f>
        <v>-5.1273959821865702</v>
      </c>
      <c r="I201">
        <f>LOG(Table2[[#This Row],[Abundance in RT (g protein/g all proteins)]])</f>
        <v>-3.6439741428068775</v>
      </c>
    </row>
    <row r="202" spans="1:9" x14ac:dyDescent="0.2">
      <c r="A202" t="s">
        <v>2614</v>
      </c>
      <c r="B202">
        <v>2.72295097026907E-4</v>
      </c>
      <c r="C202">
        <v>5.7399999999999999E-5</v>
      </c>
      <c r="D202">
        <f t="shared" si="3"/>
        <v>1.5195378035146704E-4</v>
      </c>
      <c r="E202">
        <f>Table2[[#This Row],[distance from 45-degree line]]/MAX(Table2[[Abundance in SC (g protein/g all proteins)]:[Abundance in RT (g protein/g all proteins)]])</f>
        <v>5.2193253961115129E-3</v>
      </c>
      <c r="F202">
        <f>_xlfn.RANK.AVG(Table2[[#This Row],[Abundance in SC (g protein/g all proteins)]],Table2[Abundance in SC (g protein/g all proteins)])</f>
        <v>192</v>
      </c>
      <c r="G202">
        <f>_xlfn.RANK.AVG(Table2[[#This Row],[Abundance in RT (g protein/g all proteins)]],Table2[Abundance in RT (g protein/g all proteins)])</f>
        <v>396</v>
      </c>
      <c r="H202">
        <f>LOG(Table2[[#This Row],[Abundance in SC (g protein/g all proteins)]])</f>
        <v>-3.5649601785400562</v>
      </c>
      <c r="I202">
        <f>LOG(Table2[[#This Row],[Abundance in RT (g protein/g all proteins)]])</f>
        <v>-4.2410881076020264</v>
      </c>
    </row>
    <row r="203" spans="1:9" x14ac:dyDescent="0.2">
      <c r="A203" t="s">
        <v>2666</v>
      </c>
      <c r="B203">
        <v>9.2043515146203292E-6</v>
      </c>
      <c r="C203">
        <v>2.24E-4</v>
      </c>
      <c r="D203">
        <f t="shared" si="3"/>
        <v>1.5188345961337393E-4</v>
      </c>
      <c r="E203">
        <f>Table2[[#This Row],[distance from 45-degree line]]/MAX(Table2[[Abundance in SC (g protein/g all proteins)]:[Abundance in RT (g protein/g all proteins)]])</f>
        <v>5.2169100115560668E-3</v>
      </c>
      <c r="F203">
        <f>_xlfn.RANK.AVG(Table2[[#This Row],[Abundance in SC (g protein/g all proteins)]],Table2[Abundance in SC (g protein/g all proteins)])</f>
        <v>511</v>
      </c>
      <c r="G203">
        <f>_xlfn.RANK.AVG(Table2[[#This Row],[Abundance in RT (g protein/g all proteins)]],Table2[Abundance in RT (g protein/g all proteins)])</f>
        <v>236</v>
      </c>
      <c r="H203">
        <f>LOG(Table2[[#This Row],[Abundance in SC (g protein/g all proteins)]])</f>
        <v>-5.0360068039598458</v>
      </c>
      <c r="I203">
        <f>LOG(Table2[[#This Row],[Abundance in RT (g protein/g all proteins)]])</f>
        <v>-3.6497519816658373</v>
      </c>
    </row>
    <row r="204" spans="1:9" x14ac:dyDescent="0.2">
      <c r="A204" t="s">
        <v>2656</v>
      </c>
      <c r="B204">
        <v>5.4580136588864401E-5</v>
      </c>
      <c r="C204">
        <v>2.6899999999999998E-4</v>
      </c>
      <c r="D204">
        <f t="shared" si="3"/>
        <v>1.5161773943910724E-4</v>
      </c>
      <c r="E204">
        <f>Table2[[#This Row],[distance from 45-degree line]]/MAX(Table2[[Abundance in SC (g protein/g all proteins)]:[Abundance in RT (g protein/g all proteins)]])</f>
        <v>5.2077830253724955E-3</v>
      </c>
      <c r="F204">
        <f>_xlfn.RANK.AVG(Table2[[#This Row],[Abundance in SC (g protein/g all proteins)]],Table2[Abundance in SC (g protein/g all proteins)])</f>
        <v>336</v>
      </c>
      <c r="G204">
        <f>_xlfn.RANK.AVG(Table2[[#This Row],[Abundance in RT (g protein/g all proteins)]],Table2[Abundance in RT (g protein/g all proteins)])</f>
        <v>211</v>
      </c>
      <c r="H204">
        <f>LOG(Table2[[#This Row],[Abundance in SC (g protein/g all proteins)]])</f>
        <v>-4.26296538182633</v>
      </c>
      <c r="I204">
        <f>LOG(Table2[[#This Row],[Abundance in RT (g protein/g all proteins)]])</f>
        <v>-3.5702477199975919</v>
      </c>
    </row>
    <row r="205" spans="1:9" x14ac:dyDescent="0.2">
      <c r="A205" t="s">
        <v>2374</v>
      </c>
      <c r="B205">
        <v>2.17138400289537E-4</v>
      </c>
      <c r="C205">
        <v>8.5499999999999995E-6</v>
      </c>
      <c r="D205">
        <f t="shared" si="3"/>
        <v>1.4749427232158563E-4</v>
      </c>
      <c r="E205">
        <f>Table2[[#This Row],[distance from 45-degree line]]/MAX(Table2[[Abundance in SC (g protein/g all proteins)]:[Abundance in RT (g protein/g all proteins)]])</f>
        <v>5.0661497168971691E-3</v>
      </c>
      <c r="F205">
        <f>_xlfn.RANK.AVG(Table2[[#This Row],[Abundance in SC (g protein/g all proteins)]],Table2[Abundance in SC (g protein/g all proteins)])</f>
        <v>210</v>
      </c>
      <c r="G205">
        <f>_xlfn.RANK.AVG(Table2[[#This Row],[Abundance in RT (g protein/g all proteins)]],Table2[Abundance in RT (g protein/g all proteins)])</f>
        <v>528</v>
      </c>
      <c r="H205">
        <f>LOG(Table2[[#This Row],[Abundance in SC (g protein/g all proteins)]])</f>
        <v>-3.6632633660475595</v>
      </c>
      <c r="I205">
        <f>LOG(Table2[[#This Row],[Abundance in RT (g protein/g all proteins)]])</f>
        <v>-5.0680338852718272</v>
      </c>
    </row>
    <row r="206" spans="1:9" x14ac:dyDescent="0.2">
      <c r="A206" t="s">
        <v>2877</v>
      </c>
      <c r="B206">
        <v>2.0652163569235201E-4</v>
      </c>
      <c r="C206">
        <v>5.5300000000000004E-7</v>
      </c>
      <c r="D206">
        <f t="shared" si="3"/>
        <v>1.4564181900980367E-4</v>
      </c>
      <c r="E206">
        <f>Table2[[#This Row],[distance from 45-degree line]]/MAX(Table2[[Abundance in SC (g protein/g all proteins)]:[Abundance in RT (g protein/g all proteins)]])</f>
        <v>5.0025214439254062E-3</v>
      </c>
      <c r="F206">
        <f>_xlfn.RANK.AVG(Table2[[#This Row],[Abundance in SC (g protein/g all proteins)]],Table2[Abundance in SC (g protein/g all proteins)])</f>
        <v>215</v>
      </c>
      <c r="G206">
        <f>_xlfn.RANK.AVG(Table2[[#This Row],[Abundance in RT (g protein/g all proteins)]],Table2[Abundance in RT (g protein/g all proteins)])</f>
        <v>583</v>
      </c>
      <c r="H206">
        <f>LOG(Table2[[#This Row],[Abundance in SC (g protein/g all proteins)]])</f>
        <v>-3.6850344439126834</v>
      </c>
      <c r="I206">
        <f>LOG(Table2[[#This Row],[Abundance in RT (g protein/g all proteins)]])</f>
        <v>-6.2572748686953021</v>
      </c>
    </row>
    <row r="207" spans="1:9" x14ac:dyDescent="0.2">
      <c r="A207" t="s">
        <v>2381</v>
      </c>
      <c r="B207">
        <v>8.7308341679138702E-5</v>
      </c>
      <c r="C207">
        <v>2.9300000000000002E-4</v>
      </c>
      <c r="D207">
        <f t="shared" si="3"/>
        <v>1.4544596643218738E-4</v>
      </c>
      <c r="E207">
        <f>Table2[[#This Row],[distance from 45-degree line]]/MAX(Table2[[Abundance in SC (g protein/g all proteins)]:[Abundance in RT (g protein/g all proteins)]])</f>
        <v>4.9957942777444642E-3</v>
      </c>
      <c r="F207">
        <f>_xlfn.RANK.AVG(Table2[[#This Row],[Abundance in SC (g protein/g all proteins)]],Table2[Abundance in SC (g protein/g all proteins)])</f>
        <v>292</v>
      </c>
      <c r="G207">
        <f>_xlfn.RANK.AVG(Table2[[#This Row],[Abundance in RT (g protein/g all proteins)]],Table2[Abundance in RT (g protein/g all proteins)])</f>
        <v>202</v>
      </c>
      <c r="H207">
        <f>LOG(Table2[[#This Row],[Abundance in SC (g protein/g all proteins)]])</f>
        <v>-4.0589442606226012</v>
      </c>
      <c r="I207">
        <f>LOG(Table2[[#This Row],[Abundance in RT (g protein/g all proteins)]])</f>
        <v>-3.5331323796458904</v>
      </c>
    </row>
    <row r="208" spans="1:9" x14ac:dyDescent="0.2">
      <c r="A208" t="s">
        <v>2590</v>
      </c>
      <c r="B208">
        <v>7.4738416947554799E-6</v>
      </c>
      <c r="C208">
        <v>2.13E-4</v>
      </c>
      <c r="D208">
        <f t="shared" si="3"/>
        <v>1.4532894024885825E-4</v>
      </c>
      <c r="E208">
        <f>Table2[[#This Row],[distance from 45-degree line]]/MAX(Table2[[Abundance in SC (g protein/g all proteins)]:[Abundance in RT (g protein/g all proteins)]])</f>
        <v>4.9917746493466251E-3</v>
      </c>
      <c r="F208">
        <f>_xlfn.RANK.AVG(Table2[[#This Row],[Abundance in SC (g protein/g all proteins)]],Table2[Abundance in SC (g protein/g all proteins)])</f>
        <v>528</v>
      </c>
      <c r="G208">
        <f>_xlfn.RANK.AVG(Table2[[#This Row],[Abundance in RT (g protein/g all proteins)]],Table2[Abundance in RT (g protein/g all proteins)])</f>
        <v>240.5</v>
      </c>
      <c r="H208">
        <f>LOG(Table2[[#This Row],[Abundance in SC (g protein/g all proteins)]])</f>
        <v>-5.1264561052851851</v>
      </c>
      <c r="I208">
        <f>LOG(Table2[[#This Row],[Abundance in RT (g protein/g all proteins)]])</f>
        <v>-3.6716203965612624</v>
      </c>
    </row>
    <row r="209" spans="1:9" x14ac:dyDescent="0.2">
      <c r="A209" t="s">
        <v>2350</v>
      </c>
      <c r="B209">
        <v>1.4512979757201E-3</v>
      </c>
      <c r="C209">
        <v>1.2459999999999999E-3</v>
      </c>
      <c r="D209">
        <f t="shared" si="3"/>
        <v>1.4516759079555397E-4</v>
      </c>
      <c r="E209">
        <f>Table2[[#This Row],[distance from 45-degree line]]/MAX(Table2[[Abundance in SC (g protein/g all proteins)]:[Abundance in RT (g protein/g all proteins)]])</f>
        <v>4.9862326003279576E-3</v>
      </c>
      <c r="F209">
        <f>_xlfn.RANK.AVG(Table2[[#This Row],[Abundance in SC (g protein/g all proteins)]],Table2[Abundance in SC (g protein/g all proteins)])</f>
        <v>58</v>
      </c>
      <c r="G209">
        <f>_xlfn.RANK.AVG(Table2[[#This Row],[Abundance in RT (g protein/g all proteins)]],Table2[Abundance in RT (g protein/g all proteins)])</f>
        <v>71</v>
      </c>
      <c r="H209">
        <f>LOG(Table2[[#This Row],[Abundance in SC (g protein/g all proteins)]])</f>
        <v>-2.8382434104946315</v>
      </c>
      <c r="I209">
        <f>LOG(Table2[[#This Row],[Abundance in RT (g protein/g all proteins)]])</f>
        <v>-2.904481957676849</v>
      </c>
    </row>
    <row r="210" spans="1:9" x14ac:dyDescent="0.2">
      <c r="A210" t="s">
        <v>2365</v>
      </c>
      <c r="B210">
        <v>6.8119737269992705E-4</v>
      </c>
      <c r="C210">
        <v>8.8500000000000004E-4</v>
      </c>
      <c r="D210">
        <f t="shared" si="3"/>
        <v>1.441102197875162E-4</v>
      </c>
      <c r="E210">
        <f>Table2[[#This Row],[distance from 45-degree line]]/MAX(Table2[[Abundance in SC (g protein/g all proteins)]:[Abundance in RT (g protein/g all proteins)]])</f>
        <v>4.9499139030069776E-3</v>
      </c>
      <c r="F210">
        <f>_xlfn.RANK.AVG(Table2[[#This Row],[Abundance in SC (g protein/g all proteins)]],Table2[Abundance in SC (g protein/g all proteins)])</f>
        <v>119</v>
      </c>
      <c r="G210">
        <f>_xlfn.RANK.AVG(Table2[[#This Row],[Abundance in RT (g protein/g all proteins)]],Table2[Abundance in RT (g protein/g all proteins)])</f>
        <v>95</v>
      </c>
      <c r="H210">
        <f>LOG(Table2[[#This Row],[Abundance in SC (g protein/g all proteins)]])</f>
        <v>-3.1667270357301711</v>
      </c>
      <c r="I210">
        <f>LOG(Table2[[#This Row],[Abundance in RT (g protein/g all proteins)]])</f>
        <v>-3.0530567293021744</v>
      </c>
    </row>
    <row r="211" spans="1:9" x14ac:dyDescent="0.2">
      <c r="A211" t="s">
        <v>2321</v>
      </c>
      <c r="B211">
        <v>3.4488684822614502E-6</v>
      </c>
      <c r="C211">
        <v>2.0599999999999999E-4</v>
      </c>
      <c r="D211">
        <f t="shared" si="3"/>
        <v>1.4322527863320115E-4</v>
      </c>
      <c r="E211">
        <f>Table2[[#This Row],[distance from 45-degree line]]/MAX(Table2[[Abundance in SC (g protein/g all proteins)]:[Abundance in RT (g protein/g all proteins)]])</f>
        <v>4.9195178455341227E-3</v>
      </c>
      <c r="F211">
        <f>_xlfn.RANK.AVG(Table2[[#This Row],[Abundance in SC (g protein/g all proteins)]],Table2[Abundance in SC (g protein/g all proteins)])</f>
        <v>563</v>
      </c>
      <c r="G211">
        <f>_xlfn.RANK.AVG(Table2[[#This Row],[Abundance in RT (g protein/g all proteins)]],Table2[Abundance in RT (g protein/g all proteins)])</f>
        <v>245.5</v>
      </c>
      <c r="H211">
        <f>LOG(Table2[[#This Row],[Abundance in SC (g protein/g all proteins)]])</f>
        <v>-5.4623233665247977</v>
      </c>
      <c r="I211">
        <f>LOG(Table2[[#This Row],[Abundance in RT (g protein/g all proteins)]])</f>
        <v>-3.6861327796308467</v>
      </c>
    </row>
    <row r="212" spans="1:9" x14ac:dyDescent="0.2">
      <c r="A212" t="s">
        <v>2426</v>
      </c>
      <c r="B212">
        <v>3.7508765904591499E-5</v>
      </c>
      <c r="C212">
        <v>2.3900000000000001E-4</v>
      </c>
      <c r="D212">
        <f t="shared" si="3"/>
        <v>1.4247581797850945E-4</v>
      </c>
      <c r="E212">
        <f>Table2[[#This Row],[distance from 45-degree line]]/MAX(Table2[[Abundance in SC (g protein/g all proteins)]:[Abundance in RT (g protein/g all proteins)]])</f>
        <v>4.8937752873735351E-3</v>
      </c>
      <c r="F212">
        <f>_xlfn.RANK.AVG(Table2[[#This Row],[Abundance in SC (g protein/g all proteins)]],Table2[Abundance in SC (g protein/g all proteins)])</f>
        <v>384</v>
      </c>
      <c r="G212">
        <f>_xlfn.RANK.AVG(Table2[[#This Row],[Abundance in RT (g protein/g all proteins)]],Table2[Abundance in RT (g protein/g all proteins)])</f>
        <v>228</v>
      </c>
      <c r="H212">
        <f>LOG(Table2[[#This Row],[Abundance in SC (g protein/g all proteins)]])</f>
        <v>-4.425867224562765</v>
      </c>
      <c r="I212">
        <f>LOG(Table2[[#This Row],[Abundance in RT (g protein/g all proteins)]])</f>
        <v>-3.6216020990518625</v>
      </c>
    </row>
    <row r="213" spans="1:9" x14ac:dyDescent="0.2">
      <c r="A213" t="s">
        <v>2600</v>
      </c>
      <c r="B213">
        <v>8.01542541925923E-4</v>
      </c>
      <c r="C213">
        <v>6.0099999999999997E-4</v>
      </c>
      <c r="D213">
        <f t="shared" si="3"/>
        <v>1.4180499131220768E-4</v>
      </c>
      <c r="E213">
        <f>Table2[[#This Row],[distance from 45-degree line]]/MAX(Table2[[Abundance in SC (g protein/g all proteins)]:[Abundance in RT (g protein/g all proteins)]])</f>
        <v>4.8707336582168321E-3</v>
      </c>
      <c r="F213">
        <f>_xlfn.RANK.AVG(Table2[[#This Row],[Abundance in SC (g protein/g all proteins)]],Table2[Abundance in SC (g protein/g all proteins)])</f>
        <v>107</v>
      </c>
      <c r="G213">
        <f>_xlfn.RANK.AVG(Table2[[#This Row],[Abundance in RT (g protein/g all proteins)]],Table2[Abundance in RT (g protein/g all proteins)])</f>
        <v>129</v>
      </c>
      <c r="H213">
        <f>LOG(Table2[[#This Row],[Abundance in SC (g protein/g all proteins)]])</f>
        <v>-3.096073422488415</v>
      </c>
      <c r="I213">
        <f>LOG(Table2[[#This Row],[Abundance in RT (g protein/g all proteins)]])</f>
        <v>-3.2211255279972604</v>
      </c>
    </row>
    <row r="214" spans="1:9" x14ac:dyDescent="0.2">
      <c r="A214" t="s">
        <v>2504</v>
      </c>
      <c r="B214">
        <v>3.6348781335876203E-4</v>
      </c>
      <c r="C214">
        <v>1.63E-4</v>
      </c>
      <c r="D214">
        <f t="shared" si="3"/>
        <v>1.4176629237124352E-4</v>
      </c>
      <c r="E214">
        <f>Table2[[#This Row],[distance from 45-degree line]]/MAX(Table2[[Abundance in SC (g protein/g all proteins)]:[Abundance in RT (g protein/g all proteins)]])</f>
        <v>4.8694044226761978E-3</v>
      </c>
      <c r="F214">
        <f>_xlfn.RANK.AVG(Table2[[#This Row],[Abundance in SC (g protein/g all proteins)]],Table2[Abundance in SC (g protein/g all proteins)])</f>
        <v>170</v>
      </c>
      <c r="G214">
        <f>_xlfn.RANK.AVG(Table2[[#This Row],[Abundance in RT (g protein/g all proteins)]],Table2[Abundance in RT (g protein/g all proteins)])</f>
        <v>272</v>
      </c>
      <c r="H214">
        <f>LOG(Table2[[#This Row],[Abundance in SC (g protein/g all proteins)]])</f>
        <v>-3.4395101451344177</v>
      </c>
      <c r="I214">
        <f>LOG(Table2[[#This Row],[Abundance in RT (g protein/g all proteins)]])</f>
        <v>-3.7878123955960423</v>
      </c>
    </row>
    <row r="215" spans="1:9" x14ac:dyDescent="0.2">
      <c r="A215" t="s">
        <v>2396</v>
      </c>
      <c r="B215">
        <v>3.2320649731433699E-4</v>
      </c>
      <c r="C215">
        <v>1.25E-4</v>
      </c>
      <c r="D215">
        <f t="shared" si="3"/>
        <v>1.401531583262009E-4</v>
      </c>
      <c r="E215">
        <f>Table2[[#This Row],[distance from 45-degree line]]/MAX(Table2[[Abundance in SC (g protein/g all proteins)]:[Abundance in RT (g protein/g all proteins)]])</f>
        <v>4.8139963145715564E-3</v>
      </c>
      <c r="F215">
        <f>_xlfn.RANK.AVG(Table2[[#This Row],[Abundance in SC (g protein/g all proteins)]],Table2[Abundance in SC (g protein/g all proteins)])</f>
        <v>179</v>
      </c>
      <c r="G215">
        <f>_xlfn.RANK.AVG(Table2[[#This Row],[Abundance in RT (g protein/g all proteins)]],Table2[Abundance in RT (g protein/g all proteins)])</f>
        <v>292.5</v>
      </c>
      <c r="H215">
        <f>LOG(Table2[[#This Row],[Abundance in SC (g protein/g all proteins)]])</f>
        <v>-3.4905199173299972</v>
      </c>
      <c r="I215">
        <f>LOG(Table2[[#This Row],[Abundance in RT (g protein/g all proteins)]])</f>
        <v>-3.9030899869919438</v>
      </c>
    </row>
    <row r="216" spans="1:9" x14ac:dyDescent="0.2">
      <c r="A216" t="s">
        <v>2808</v>
      </c>
      <c r="B216">
        <v>6.5049670863243694E-5</v>
      </c>
      <c r="C216">
        <v>2.63E-4</v>
      </c>
      <c r="D216">
        <f t="shared" si="3"/>
        <v>1.399720200707094E-4</v>
      </c>
      <c r="E216">
        <f>Table2[[#This Row],[distance from 45-degree line]]/MAX(Table2[[Abundance in SC (g protein/g all proteins)]:[Abundance in RT (g protein/g all proteins)]])</f>
        <v>4.8077745575681617E-3</v>
      </c>
      <c r="F216">
        <f>_xlfn.RANK.AVG(Table2[[#This Row],[Abundance in SC (g protein/g all proteins)]],Table2[Abundance in SC (g protein/g all proteins)])</f>
        <v>323</v>
      </c>
      <c r="G216">
        <f>_xlfn.RANK.AVG(Table2[[#This Row],[Abundance in RT (g protein/g all proteins)]],Table2[Abundance in RT (g protein/g all proteins)])</f>
        <v>214</v>
      </c>
      <c r="H216">
        <f>LOG(Table2[[#This Row],[Abundance in SC (g protein/g all proteins)]])</f>
        <v>-4.1867548965295844</v>
      </c>
      <c r="I216">
        <f>LOG(Table2[[#This Row],[Abundance in RT (g protein/g all proteins)]])</f>
        <v>-3.580044251510242</v>
      </c>
    </row>
    <row r="217" spans="1:9" x14ac:dyDescent="0.2">
      <c r="A217" t="s">
        <v>2741</v>
      </c>
      <c r="B217">
        <v>2.90420494436054E-4</v>
      </c>
      <c r="C217">
        <v>9.3200000000000002E-5</v>
      </c>
      <c r="D217">
        <f t="shared" si="3"/>
        <v>1.3945594900469755E-4</v>
      </c>
      <c r="E217">
        <f>Table2[[#This Row],[distance from 45-degree line]]/MAX(Table2[[Abundance in SC (g protein/g all proteins)]:[Abundance in RT (g protein/g all proteins)]])</f>
        <v>4.7900484910313249E-3</v>
      </c>
      <c r="F217">
        <f>_xlfn.RANK.AVG(Table2[[#This Row],[Abundance in SC (g protein/g all proteins)]],Table2[Abundance in SC (g protein/g all proteins)])</f>
        <v>185</v>
      </c>
      <c r="G217">
        <f>_xlfn.RANK.AVG(Table2[[#This Row],[Abundance in RT (g protein/g all proteins)]],Table2[Abundance in RT (g protein/g all proteins)])</f>
        <v>333</v>
      </c>
      <c r="H217">
        <f>LOG(Table2[[#This Row],[Abundance in SC (g protein/g all proteins)]])</f>
        <v>-3.5369727395338226</v>
      </c>
      <c r="I217">
        <f>LOG(Table2[[#This Row],[Abundance in RT (g protein/g all proteins)]])</f>
        <v>-4.0305840876460186</v>
      </c>
    </row>
    <row r="218" spans="1:9" x14ac:dyDescent="0.2">
      <c r="A218" t="s">
        <v>2417</v>
      </c>
      <c r="B218">
        <v>1.3113296485173801E-4</v>
      </c>
      <c r="C218">
        <v>3.2600000000000001E-4</v>
      </c>
      <c r="D218">
        <f t="shared" si="3"/>
        <v>1.3779180198305335E-4</v>
      </c>
      <c r="E218">
        <f>Table2[[#This Row],[distance from 45-degree line]]/MAX(Table2[[Abundance in SC (g protein/g all proteins)]:[Abundance in RT (g protein/g all proteins)]])</f>
        <v>4.7328881835164939E-3</v>
      </c>
      <c r="F218">
        <f>_xlfn.RANK.AVG(Table2[[#This Row],[Abundance in SC (g protein/g all proteins)]],Table2[Abundance in SC (g protein/g all proteins)])</f>
        <v>259</v>
      </c>
      <c r="G218">
        <f>_xlfn.RANK.AVG(Table2[[#This Row],[Abundance in RT (g protein/g all proteins)]],Table2[Abundance in RT (g protein/g all proteins)])</f>
        <v>186.5</v>
      </c>
      <c r="H218">
        <f>LOG(Table2[[#This Row],[Abundance in SC (g protein/g all proteins)]])</f>
        <v>-3.8822881194953816</v>
      </c>
      <c r="I218">
        <f>LOG(Table2[[#This Row],[Abundance in RT (g protein/g all proteins)]])</f>
        <v>-3.4867823999320611</v>
      </c>
    </row>
    <row r="219" spans="1:9" x14ac:dyDescent="0.2">
      <c r="A219" t="s">
        <v>2739</v>
      </c>
      <c r="B219">
        <v>4.9129619151774599E-5</v>
      </c>
      <c r="C219">
        <v>2.41E-4</v>
      </c>
      <c r="D219">
        <f t="shared" si="3"/>
        <v>1.3567284740662565E-4</v>
      </c>
      <c r="E219">
        <f>Table2[[#This Row],[distance from 45-degree line]]/MAX(Table2[[Abundance in SC (g protein/g all proteins)]:[Abundance in RT (g protein/g all proteins)]])</f>
        <v>4.660106095381698E-3</v>
      </c>
      <c r="F219">
        <f>_xlfn.RANK.AVG(Table2[[#This Row],[Abundance in SC (g protein/g all proteins)]],Table2[Abundance in SC (g protein/g all proteins)])</f>
        <v>347</v>
      </c>
      <c r="G219">
        <f>_xlfn.RANK.AVG(Table2[[#This Row],[Abundance in RT (g protein/g all proteins)]],Table2[Abundance in RT (g protein/g all proteins)])</f>
        <v>227</v>
      </c>
      <c r="H219">
        <f>LOG(Table2[[#This Row],[Abundance in SC (g protein/g all proteins)]])</f>
        <v>-4.3086566024624471</v>
      </c>
      <c r="I219">
        <f>LOG(Table2[[#This Row],[Abundance in RT (g protein/g all proteins)]])</f>
        <v>-3.6179829574251317</v>
      </c>
    </row>
    <row r="220" spans="1:9" x14ac:dyDescent="0.2">
      <c r="A220" t="s">
        <v>2319</v>
      </c>
      <c r="B220">
        <v>4.7341161586493899E-4</v>
      </c>
      <c r="C220">
        <v>2.8299999999999999E-4</v>
      </c>
      <c r="D220">
        <f t="shared" si="3"/>
        <v>1.3464134479478635E-4</v>
      </c>
      <c r="E220">
        <f>Table2[[#This Row],[distance from 45-degree line]]/MAX(Table2[[Abundance in SC (g protein/g all proteins)]:[Abundance in RT (g protein/g all proteins)]])</f>
        <v>4.624675928618649E-3</v>
      </c>
      <c r="F220">
        <f>_xlfn.RANK.AVG(Table2[[#This Row],[Abundance in SC (g protein/g all proteins)]],Table2[Abundance in SC (g protein/g all proteins)])</f>
        <v>151</v>
      </c>
      <c r="G220">
        <f>_xlfn.RANK.AVG(Table2[[#This Row],[Abundance in RT (g protein/g all proteins)]],Table2[Abundance in RT (g protein/g all proteins)])</f>
        <v>207</v>
      </c>
      <c r="H220">
        <f>LOG(Table2[[#This Row],[Abundance in SC (g protein/g all proteins)]])</f>
        <v>-3.3247610902088893</v>
      </c>
      <c r="I220">
        <f>LOG(Table2[[#This Row],[Abundance in RT (g protein/g all proteins)]])</f>
        <v>-3.5482135644757098</v>
      </c>
    </row>
    <row r="221" spans="1:9" x14ac:dyDescent="0.2">
      <c r="A221" t="s">
        <v>2369</v>
      </c>
      <c r="B221">
        <v>2.6648137429804601E-4</v>
      </c>
      <c r="C221">
        <v>8.03E-5</v>
      </c>
      <c r="D221">
        <f t="shared" si="3"/>
        <v>1.3165011229677911E-4</v>
      </c>
      <c r="E221">
        <f>Table2[[#This Row],[distance from 45-degree line]]/MAX(Table2[[Abundance in SC (g protein/g all proteins)]:[Abundance in RT (g protein/g all proteins)]])</f>
        <v>4.521932741141428E-3</v>
      </c>
      <c r="F221">
        <f>_xlfn.RANK.AVG(Table2[[#This Row],[Abundance in SC (g protein/g all proteins)]],Table2[Abundance in SC (g protein/g all proteins)])</f>
        <v>195</v>
      </c>
      <c r="G221">
        <f>_xlfn.RANK.AVG(Table2[[#This Row],[Abundance in RT (g protein/g all proteins)]],Table2[Abundance in RT (g protein/g all proteins)])</f>
        <v>351</v>
      </c>
      <c r="H221">
        <f>LOG(Table2[[#This Row],[Abundance in SC (g protein/g all proteins)]])</f>
        <v>-3.5743331405671093</v>
      </c>
      <c r="I221">
        <f>LOG(Table2[[#This Row],[Abundance in RT (g protein/g all proteins)]])</f>
        <v>-4.0952844547213187</v>
      </c>
    </row>
    <row r="222" spans="1:9" x14ac:dyDescent="0.2">
      <c r="A222" t="s">
        <v>2564</v>
      </c>
      <c r="B222">
        <v>1.94054670849401E-4</v>
      </c>
      <c r="C222">
        <v>7.9400000000000002E-6</v>
      </c>
      <c r="D222">
        <f t="shared" si="3"/>
        <v>1.3160294583591369E-4</v>
      </c>
      <c r="E222">
        <f>Table2[[#This Row],[distance from 45-degree line]]/MAX(Table2[[Abundance in SC (g protein/g all proteins)]:[Abundance in RT (g protein/g all proteins)]])</f>
        <v>4.5203126622827767E-3</v>
      </c>
      <c r="F222">
        <f>_xlfn.RANK.AVG(Table2[[#This Row],[Abundance in SC (g protein/g all proteins)]],Table2[Abundance in SC (g protein/g all proteins)])</f>
        <v>224</v>
      </c>
      <c r="G222">
        <f>_xlfn.RANK.AVG(Table2[[#This Row],[Abundance in RT (g protein/g all proteins)]],Table2[Abundance in RT (g protein/g all proteins)])</f>
        <v>534.5</v>
      </c>
      <c r="H222">
        <f>LOG(Table2[[#This Row],[Abundance in SC (g protein/g all proteins)]])</f>
        <v>-3.7120758994341059</v>
      </c>
      <c r="I222">
        <f>LOG(Table2[[#This Row],[Abundance in RT (g protein/g all proteins)]])</f>
        <v>-5.1001794975729036</v>
      </c>
    </row>
    <row r="223" spans="1:9" x14ac:dyDescent="0.2">
      <c r="A223" t="s">
        <v>2797</v>
      </c>
      <c r="B223">
        <v>6.7541283944606798E-6</v>
      </c>
      <c r="C223">
        <v>1.92E-4</v>
      </c>
      <c r="D223">
        <f t="shared" si="3"/>
        <v>1.3098861199908936E-4</v>
      </c>
      <c r="E223">
        <f>Table2[[#This Row],[distance from 45-degree line]]/MAX(Table2[[Abundance in SC (g protein/g all proteins)]:[Abundance in RT (g protein/g all proteins)]])</f>
        <v>4.4992114551340532E-3</v>
      </c>
      <c r="F223">
        <f>_xlfn.RANK.AVG(Table2[[#This Row],[Abundance in SC (g protein/g all proteins)]],Table2[Abundance in SC (g protein/g all proteins)])</f>
        <v>534</v>
      </c>
      <c r="G223">
        <f>_xlfn.RANK.AVG(Table2[[#This Row],[Abundance in RT (g protein/g all proteins)]],Table2[Abundance in RT (g protein/g all proteins)])</f>
        <v>257</v>
      </c>
      <c r="H223">
        <f>LOG(Table2[[#This Row],[Abundance in SC (g protein/g all proteins)]])</f>
        <v>-5.1704306877817778</v>
      </c>
      <c r="I223">
        <f>LOG(Table2[[#This Row],[Abundance in RT (g protein/g all proteins)]])</f>
        <v>-3.7166987712964503</v>
      </c>
    </row>
    <row r="224" spans="1:9" x14ac:dyDescent="0.2">
      <c r="A224" t="s">
        <v>2455</v>
      </c>
      <c r="B224">
        <v>3.1401046192717201E-4</v>
      </c>
      <c r="C224">
        <v>4.9899999999999999E-4</v>
      </c>
      <c r="D224">
        <f t="shared" si="3"/>
        <v>1.3080735681986368E-4</v>
      </c>
      <c r="E224">
        <f>Table2[[#This Row],[distance from 45-degree line]]/MAX(Table2[[Abundance in SC (g protein/g all proteins)]:[Abundance in RT (g protein/g all proteins)]])</f>
        <v>4.4929856820211953E-3</v>
      </c>
      <c r="F224">
        <f>_xlfn.RANK.AVG(Table2[[#This Row],[Abundance in SC (g protein/g all proteins)]],Table2[Abundance in SC (g protein/g all proteins)])</f>
        <v>182</v>
      </c>
      <c r="G224">
        <f>_xlfn.RANK.AVG(Table2[[#This Row],[Abundance in RT (g protein/g all proteins)]],Table2[Abundance in RT (g protein/g all proteins)])</f>
        <v>147</v>
      </c>
      <c r="H224">
        <f>LOG(Table2[[#This Row],[Abundance in SC (g protein/g all proteins)]])</f>
        <v>-3.5030558822403171</v>
      </c>
      <c r="I224">
        <f>LOG(Table2[[#This Row],[Abundance in RT (g protein/g all proteins)]])</f>
        <v>-3.3018994543766103</v>
      </c>
    </row>
    <row r="225" spans="1:9" x14ac:dyDescent="0.2">
      <c r="A225" t="s">
        <v>2334</v>
      </c>
      <c r="B225">
        <v>3.7420147614555302E-5</v>
      </c>
      <c r="C225">
        <v>2.22E-4</v>
      </c>
      <c r="D225">
        <f t="shared" si="3"/>
        <v>1.3051766529215987E-4</v>
      </c>
      <c r="E225">
        <f>Table2[[#This Row],[distance from 45-degree line]]/MAX(Table2[[Abundance in SC (g protein/g all proteins)]:[Abundance in RT (g protein/g all proteins)]])</f>
        <v>4.4830353251160519E-3</v>
      </c>
      <c r="F225">
        <f>_xlfn.RANK.AVG(Table2[[#This Row],[Abundance in SC (g protein/g all proteins)]],Table2[Abundance in SC (g protein/g all proteins)])</f>
        <v>385</v>
      </c>
      <c r="G225">
        <f>_xlfn.RANK.AVG(Table2[[#This Row],[Abundance in RT (g protein/g all proteins)]],Table2[Abundance in RT (g protein/g all proteins)])</f>
        <v>237</v>
      </c>
      <c r="H225">
        <f>LOG(Table2[[#This Row],[Abundance in SC (g protein/g all proteins)]])</f>
        <v>-4.4268945036328988</v>
      </c>
      <c r="I225">
        <f>LOG(Table2[[#This Row],[Abundance in RT (g protein/g all proteins)]])</f>
        <v>-3.6536470255493612</v>
      </c>
    </row>
    <row r="226" spans="1:9" x14ac:dyDescent="0.2">
      <c r="A226" t="s">
        <v>2706</v>
      </c>
      <c r="B226">
        <v>7.1904842992423596E-5</v>
      </c>
      <c r="C226">
        <v>2.5500000000000002E-4</v>
      </c>
      <c r="D226">
        <f t="shared" si="3"/>
        <v>1.2946782712247289E-4</v>
      </c>
      <c r="E226">
        <f>Table2[[#This Row],[distance from 45-degree line]]/MAX(Table2[[Abundance in SC (g protein/g all proteins)]:[Abundance in RT (g protein/g all proteins)]])</f>
        <v>4.4469753665669423E-3</v>
      </c>
      <c r="F226">
        <f>_xlfn.RANK.AVG(Table2[[#This Row],[Abundance in SC (g protein/g all proteins)]],Table2[Abundance in SC (g protein/g all proteins)])</f>
        <v>310</v>
      </c>
      <c r="G226">
        <f>_xlfn.RANK.AVG(Table2[[#This Row],[Abundance in RT (g protein/g all proteins)]],Table2[Abundance in RT (g protein/g all proteins)])</f>
        <v>218</v>
      </c>
      <c r="H226">
        <f>LOG(Table2[[#This Row],[Abundance in SC (g protein/g all proteins)]])</f>
        <v>-4.143241857683142</v>
      </c>
      <c r="I226">
        <f>LOG(Table2[[#This Row],[Abundance in RT (g protein/g all proteins)]])</f>
        <v>-3.593459819566045</v>
      </c>
    </row>
    <row r="227" spans="1:9" x14ac:dyDescent="0.2">
      <c r="A227" t="s">
        <v>2844</v>
      </c>
      <c r="B227">
        <v>1.8640526087110499E-4</v>
      </c>
      <c r="C227">
        <v>3.68E-4</v>
      </c>
      <c r="D227">
        <f t="shared" si="3"/>
        <v>1.2840687146584373E-4</v>
      </c>
      <c r="E227">
        <f>Table2[[#This Row],[distance from 45-degree line]]/MAX(Table2[[Abundance in SC (g protein/g all proteins)]:[Abundance in RT (g protein/g all proteins)]])</f>
        <v>4.4105335433363216E-3</v>
      </c>
      <c r="F227">
        <f>_xlfn.RANK.AVG(Table2[[#This Row],[Abundance in SC (g protein/g all proteins)]],Table2[Abundance in SC (g protein/g all proteins)])</f>
        <v>226</v>
      </c>
      <c r="G227">
        <f>_xlfn.RANK.AVG(Table2[[#This Row],[Abundance in RT (g protein/g all proteins)]],Table2[Abundance in RT (g protein/g all proteins)])</f>
        <v>179</v>
      </c>
      <c r="H227">
        <f>LOG(Table2[[#This Row],[Abundance in SC (g protein/g all proteins)]])</f>
        <v>-3.7295418348197553</v>
      </c>
      <c r="I227">
        <f>LOG(Table2[[#This Row],[Abundance in RT (g protein/g all proteins)]])</f>
        <v>-3.4341521813264824</v>
      </c>
    </row>
    <row r="228" spans="1:9" x14ac:dyDescent="0.2">
      <c r="A228" t="s">
        <v>2461</v>
      </c>
      <c r="B228">
        <v>1.21920453866087E-4</v>
      </c>
      <c r="C228">
        <v>3.0200000000000002E-4</v>
      </c>
      <c r="D228">
        <f t="shared" si="3"/>
        <v>1.2733546822428561E-4</v>
      </c>
      <c r="E228">
        <f>Table2[[#This Row],[distance from 45-degree line]]/MAX(Table2[[Abundance in SC (g protein/g all proteins)]:[Abundance in RT (g protein/g all proteins)]])</f>
        <v>4.3737328652932589E-3</v>
      </c>
      <c r="F228">
        <f>_xlfn.RANK.AVG(Table2[[#This Row],[Abundance in SC (g protein/g all proteins)]],Table2[Abundance in SC (g protein/g all proteins)])</f>
        <v>264</v>
      </c>
      <c r="G228">
        <f>_xlfn.RANK.AVG(Table2[[#This Row],[Abundance in RT (g protein/g all proteins)]],Table2[Abundance in RT (g protein/g all proteins)])</f>
        <v>200.5</v>
      </c>
      <c r="H228">
        <f>LOG(Table2[[#This Row],[Abundance in SC (g protein/g all proteins)]])</f>
        <v>-3.9139234292789973</v>
      </c>
      <c r="I228">
        <f>LOG(Table2[[#This Row],[Abundance in RT (g protein/g all proteins)]])</f>
        <v>-3.5199930570428495</v>
      </c>
    </row>
    <row r="229" spans="1:9" x14ac:dyDescent="0.2">
      <c r="A229" t="s">
        <v>2580</v>
      </c>
      <c r="B229">
        <v>9.7176024596434699E-4</v>
      </c>
      <c r="C229">
        <v>1.1460000000000001E-3</v>
      </c>
      <c r="D229">
        <f t="shared" si="3"/>
        <v>1.2320611163088642E-4</v>
      </c>
      <c r="E229">
        <f>Table2[[#This Row],[distance from 45-degree line]]/MAX(Table2[[Abundance in SC (g protein/g all proteins)]:[Abundance in RT (g protein/g all proteins)]])</f>
        <v>4.2318972644435904E-3</v>
      </c>
      <c r="F229">
        <f>_xlfn.RANK.AVG(Table2[[#This Row],[Abundance in SC (g protein/g all proteins)]],Table2[Abundance in SC (g protein/g all proteins)])</f>
        <v>93</v>
      </c>
      <c r="G229">
        <f>_xlfn.RANK.AVG(Table2[[#This Row],[Abundance in RT (g protein/g all proteins)]],Table2[Abundance in RT (g protein/g all proteins)])</f>
        <v>75</v>
      </c>
      <c r="H229">
        <f>LOG(Table2[[#This Row],[Abundance in SC (g protein/g all proteins)]])</f>
        <v>-3.0124408715947468</v>
      </c>
      <c r="I229">
        <f>LOG(Table2[[#This Row],[Abundance in RT (g protein/g all proteins)]])</f>
        <v>-2.9408153823686289</v>
      </c>
    </row>
    <row r="230" spans="1:9" x14ac:dyDescent="0.2">
      <c r="A230" t="s">
        <v>2891</v>
      </c>
      <c r="B230">
        <v>2.17918439175566E-4</v>
      </c>
      <c r="C230">
        <v>4.46E-5</v>
      </c>
      <c r="D230">
        <f t="shared" si="3"/>
        <v>1.2255464364571087E-4</v>
      </c>
      <c r="E230">
        <f>Table2[[#This Row],[distance from 45-degree line]]/MAX(Table2[[Abundance in SC (g protein/g all proteins)]:[Abundance in RT (g protein/g all proteins)]])</f>
        <v>4.2095205694254369E-3</v>
      </c>
      <c r="F230">
        <f>_xlfn.RANK.AVG(Table2[[#This Row],[Abundance in SC (g protein/g all proteins)]],Table2[Abundance in SC (g protein/g all proteins)])</f>
        <v>209</v>
      </c>
      <c r="G230">
        <f>_xlfn.RANK.AVG(Table2[[#This Row],[Abundance in RT (g protein/g all proteins)]],Table2[Abundance in RT (g protein/g all proteins)])</f>
        <v>416</v>
      </c>
      <c r="H230">
        <f>LOG(Table2[[#This Row],[Abundance in SC (g protein/g all proteins)]])</f>
        <v>-3.6617060203577387</v>
      </c>
      <c r="I230">
        <f>LOG(Table2[[#This Row],[Abundance in RT (g protein/g all proteins)]])</f>
        <v>-4.3506651412878581</v>
      </c>
    </row>
    <row r="231" spans="1:9" x14ac:dyDescent="0.2">
      <c r="A231" t="s">
        <v>2576</v>
      </c>
      <c r="B231">
        <v>7.2905271255175894E-5</v>
      </c>
      <c r="C231">
        <v>2.4600000000000002E-4</v>
      </c>
      <c r="D231">
        <f t="shared" si="3"/>
        <v>1.2239645648311114E-4</v>
      </c>
      <c r="E231">
        <f>Table2[[#This Row],[distance from 45-degree line]]/MAX(Table2[[Abundance in SC (g protein/g all proteins)]:[Abundance in RT (g protein/g all proteins)]])</f>
        <v>4.2040871391206035E-3</v>
      </c>
      <c r="F231">
        <f>_xlfn.RANK.AVG(Table2[[#This Row],[Abundance in SC (g protein/g all proteins)]],Table2[Abundance in SC (g protein/g all proteins)])</f>
        <v>309</v>
      </c>
      <c r="G231">
        <f>_xlfn.RANK.AVG(Table2[[#This Row],[Abundance in RT (g protein/g all proteins)]],Table2[Abundance in RT (g protein/g all proteins)])</f>
        <v>223</v>
      </c>
      <c r="H231">
        <f>LOG(Table2[[#This Row],[Abundance in SC (g protein/g all proteins)]])</f>
        <v>-4.1372410698401456</v>
      </c>
      <c r="I231">
        <f>LOG(Table2[[#This Row],[Abundance in RT (g protein/g all proteins)]])</f>
        <v>-3.6090648928966207</v>
      </c>
    </row>
    <row r="232" spans="1:9" x14ac:dyDescent="0.2">
      <c r="A232" t="s">
        <v>2713</v>
      </c>
      <c r="B232">
        <v>4.3387301881583997E-5</v>
      </c>
      <c r="C232">
        <v>2.14E-4</v>
      </c>
      <c r="D232">
        <f t="shared" si="3"/>
        <v>1.2064139579606526E-4</v>
      </c>
      <c r="E232">
        <f>Table2[[#This Row],[distance from 45-degree line]]/MAX(Table2[[Abundance in SC (g protein/g all proteins)]:[Abundance in RT (g protein/g all proteins)]])</f>
        <v>4.1438041188862403E-3</v>
      </c>
      <c r="F232">
        <f>_xlfn.RANK.AVG(Table2[[#This Row],[Abundance in SC (g protein/g all proteins)]],Table2[Abundance in SC (g protein/g all proteins)])</f>
        <v>363</v>
      </c>
      <c r="G232">
        <f>_xlfn.RANK.AVG(Table2[[#This Row],[Abundance in RT (g protein/g all proteins)]],Table2[Abundance in RT (g protein/g all proteins)])</f>
        <v>239</v>
      </c>
      <c r="H232">
        <f>LOG(Table2[[#This Row],[Abundance in SC (g protein/g all proteins)]])</f>
        <v>-4.3626373564246812</v>
      </c>
      <c r="I232">
        <f>LOG(Table2[[#This Row],[Abundance in RT (g protein/g all proteins)]])</f>
        <v>-3.669586226650809</v>
      </c>
    </row>
    <row r="233" spans="1:9" x14ac:dyDescent="0.2">
      <c r="A233" t="s">
        <v>2876</v>
      </c>
      <c r="B233">
        <v>1.70218295838924E-4</v>
      </c>
      <c r="C233">
        <v>3.22E-7</v>
      </c>
      <c r="D233">
        <f t="shared" si="3"/>
        <v>1.2013482288617897E-4</v>
      </c>
      <c r="E233">
        <f>Table2[[#This Row],[distance from 45-degree line]]/MAX(Table2[[Abundance in SC (g protein/g all proteins)]:[Abundance in RT (g protein/g all proteins)]])</f>
        <v>4.1264042960754083E-3</v>
      </c>
      <c r="F233">
        <f>_xlfn.RANK.AVG(Table2[[#This Row],[Abundance in SC (g protein/g all proteins)]],Table2[Abundance in SC (g protein/g all proteins)])</f>
        <v>233</v>
      </c>
      <c r="G233">
        <f>_xlfn.RANK.AVG(Table2[[#This Row],[Abundance in RT (g protein/g all proteins)]],Table2[Abundance in RT (g protein/g all proteins)])</f>
        <v>586</v>
      </c>
      <c r="H233">
        <f>LOG(Table2[[#This Row],[Abundance in SC (g protein/g all proteins)]])</f>
        <v>-3.7689937617905218</v>
      </c>
      <c r="I233">
        <f>LOG(Table2[[#This Row],[Abundance in RT (g protein/g all proteins)]])</f>
        <v>-6.4921441283041688</v>
      </c>
    </row>
    <row r="234" spans="1:9" x14ac:dyDescent="0.2">
      <c r="A234" t="s">
        <v>2532</v>
      </c>
      <c r="B234">
        <v>1.05276634067095E-4</v>
      </c>
      <c r="C234">
        <v>2.7500000000000002E-4</v>
      </c>
      <c r="D234">
        <f t="shared" si="3"/>
        <v>1.2001254297696298E-4</v>
      </c>
      <c r="E234">
        <f>Table2[[#This Row],[distance from 45-degree line]]/MAX(Table2[[Abundance in SC (g protein/g all proteins)]:[Abundance in RT (g protein/g all proteins)]])</f>
        <v>4.1222042121148179E-3</v>
      </c>
      <c r="F234">
        <f>_xlfn.RANK.AVG(Table2[[#This Row],[Abundance in SC (g protein/g all proteins)]],Table2[Abundance in SC (g protein/g all proteins)])</f>
        <v>275</v>
      </c>
      <c r="G234">
        <f>_xlfn.RANK.AVG(Table2[[#This Row],[Abundance in RT (g protein/g all proteins)]],Table2[Abundance in RT (g protein/g all proteins)])</f>
        <v>209</v>
      </c>
      <c r="H234">
        <f>LOG(Table2[[#This Row],[Abundance in SC (g protein/g all proteins)]])</f>
        <v>-3.9776680088883216</v>
      </c>
      <c r="I234">
        <f>LOG(Table2[[#This Row],[Abundance in RT (g protein/g all proteins)]])</f>
        <v>-3.5606673061697371</v>
      </c>
    </row>
    <row r="235" spans="1:9" x14ac:dyDescent="0.2">
      <c r="A235" t="s">
        <v>2492</v>
      </c>
      <c r="B235">
        <v>8.5959814701518404E-4</v>
      </c>
      <c r="C235">
        <v>1.029E-3</v>
      </c>
      <c r="D235">
        <f t="shared" si="3"/>
        <v>1.1978519899112992E-4</v>
      </c>
      <c r="E235">
        <f>Table2[[#This Row],[distance from 45-degree line]]/MAX(Table2[[Abundance in SC (g protein/g all proteins)]:[Abundance in RT (g protein/g all proteins)]])</f>
        <v>4.114395375531963E-3</v>
      </c>
      <c r="F235">
        <f>_xlfn.RANK.AVG(Table2[[#This Row],[Abundance in SC (g protein/g all proteins)]],Table2[Abundance in SC (g protein/g all proteins)])</f>
        <v>98</v>
      </c>
      <c r="G235">
        <f>_xlfn.RANK.AVG(Table2[[#This Row],[Abundance in RT (g protein/g all proteins)]],Table2[Abundance in RT (g protein/g all proteins)])</f>
        <v>83</v>
      </c>
      <c r="H235">
        <f>LOG(Table2[[#This Row],[Abundance in SC (g protein/g all proteins)]])</f>
        <v>-3.0657045293624789</v>
      </c>
      <c r="I235">
        <f>LOG(Table2[[#This Row],[Abundance in RT (g protein/g all proteins)]])</f>
        <v>-2.9875846252375671</v>
      </c>
    </row>
    <row r="236" spans="1:9" x14ac:dyDescent="0.2">
      <c r="A236" t="s">
        <v>2659</v>
      </c>
      <c r="B236">
        <v>3.6205090715662401E-4</v>
      </c>
      <c r="C236">
        <v>1.93E-4</v>
      </c>
      <c r="D236">
        <f t="shared" si="3"/>
        <v>1.1953704281618628E-4</v>
      </c>
      <c r="E236">
        <f>Table2[[#This Row],[distance from 45-degree line]]/MAX(Table2[[Abundance in SC (g protein/g all proteins)]:[Abundance in RT (g protein/g all proteins)]])</f>
        <v>4.1058716795561905E-3</v>
      </c>
      <c r="F236">
        <f>_xlfn.RANK.AVG(Table2[[#This Row],[Abundance in SC (g protein/g all proteins)]],Table2[Abundance in SC (g protein/g all proteins)])</f>
        <v>171</v>
      </c>
      <c r="G236">
        <f>_xlfn.RANK.AVG(Table2[[#This Row],[Abundance in RT (g protein/g all proteins)]],Table2[Abundance in RT (g protein/g all proteins)])</f>
        <v>254.5</v>
      </c>
      <c r="H236">
        <f>LOG(Table2[[#This Row],[Abundance in SC (g protein/g all proteins)]])</f>
        <v>-3.4412303600115539</v>
      </c>
      <c r="I236">
        <f>LOG(Table2[[#This Row],[Abundance in RT (g protein/g all proteins)]])</f>
        <v>-3.7144426909922261</v>
      </c>
    </row>
    <row r="237" spans="1:9" x14ac:dyDescent="0.2">
      <c r="A237" t="s">
        <v>2835</v>
      </c>
      <c r="B237">
        <v>2.80892444553301E-4</v>
      </c>
      <c r="C237">
        <v>1.1400000000000001E-4</v>
      </c>
      <c r="D237">
        <f t="shared" si="3"/>
        <v>1.1801077927243901E-4</v>
      </c>
      <c r="E237">
        <f>Table2[[#This Row],[distance from 45-degree line]]/MAX(Table2[[Abundance in SC (g protein/g all proteins)]:[Abundance in RT (g protein/g all proteins)]])</f>
        <v>4.0534474091193911E-3</v>
      </c>
      <c r="F237">
        <f>_xlfn.RANK.AVG(Table2[[#This Row],[Abundance in SC (g protein/g all proteins)]],Table2[Abundance in SC (g protein/g all proteins)])</f>
        <v>187</v>
      </c>
      <c r="G237">
        <f>_xlfn.RANK.AVG(Table2[[#This Row],[Abundance in RT (g protein/g all proteins)]],Table2[Abundance in RT (g protein/g all proteins)])</f>
        <v>307.5</v>
      </c>
      <c r="H237">
        <f>LOG(Table2[[#This Row],[Abundance in SC (g protein/g all proteins)]])</f>
        <v>-3.5514599422969599</v>
      </c>
      <c r="I237">
        <f>LOG(Table2[[#This Row],[Abundance in RT (g protein/g all proteins)]])</f>
        <v>-3.9430951486635273</v>
      </c>
    </row>
    <row r="238" spans="1:9" x14ac:dyDescent="0.2">
      <c r="A238" t="s">
        <v>2650</v>
      </c>
      <c r="B238">
        <v>3.96223133708004E-4</v>
      </c>
      <c r="C238">
        <v>2.31E-4</v>
      </c>
      <c r="D238">
        <f t="shared" si="3"/>
        <v>1.1683039825382126E-4</v>
      </c>
      <c r="E238">
        <f>Table2[[#This Row],[distance from 45-degree line]]/MAX(Table2[[Abundance in SC (g protein/g all proteins)]:[Abundance in RT (g protein/g all proteins)]])</f>
        <v>4.0129035502347371E-3</v>
      </c>
      <c r="F238">
        <f>_xlfn.RANK.AVG(Table2[[#This Row],[Abundance in SC (g protein/g all proteins)]],Table2[Abundance in SC (g protein/g all proteins)])</f>
        <v>161</v>
      </c>
      <c r="G238">
        <f>_xlfn.RANK.AVG(Table2[[#This Row],[Abundance in RT (g protein/g all proteins)]],Table2[Abundance in RT (g protein/g all proteins)])</f>
        <v>231.5</v>
      </c>
      <c r="H238">
        <f>LOG(Table2[[#This Row],[Abundance in SC (g protein/g all proteins)]])</f>
        <v>-3.4020601715323755</v>
      </c>
      <c r="I238">
        <f>LOG(Table2[[#This Row],[Abundance in RT (g protein/g all proteins)]])</f>
        <v>-3.6363880201078556</v>
      </c>
    </row>
    <row r="239" spans="1:9" x14ac:dyDescent="0.2">
      <c r="A239" t="s">
        <v>2701</v>
      </c>
      <c r="B239">
        <v>2.29219744552004E-4</v>
      </c>
      <c r="C239">
        <v>6.6400000000000001E-5</v>
      </c>
      <c r="D239">
        <f t="shared" si="3"/>
        <v>1.1513094548378346E-4</v>
      </c>
      <c r="E239">
        <f>Table2[[#This Row],[distance from 45-degree line]]/MAX(Table2[[Abundance in SC (g protein/g all proteins)]:[Abundance in RT (g protein/g all proteins)]])</f>
        <v>3.9545305569361556E-3</v>
      </c>
      <c r="F239">
        <f>_xlfn.RANK.AVG(Table2[[#This Row],[Abundance in SC (g protein/g all proteins)]],Table2[Abundance in SC (g protein/g all proteins)])</f>
        <v>205</v>
      </c>
      <c r="G239">
        <f>_xlfn.RANK.AVG(Table2[[#This Row],[Abundance in RT (g protein/g all proteins)]],Table2[Abundance in RT (g protein/g all proteins)])</f>
        <v>379</v>
      </c>
      <c r="H239">
        <f>LOG(Table2[[#This Row],[Abundance in SC (g protein/g all proteins)]])</f>
        <v>-3.639747975794275</v>
      </c>
      <c r="I239">
        <f>LOG(Table2[[#This Row],[Abundance in RT (g protein/g all proteins)]])</f>
        <v>-4.1778319206319825</v>
      </c>
    </row>
    <row r="240" spans="1:9" x14ac:dyDescent="0.2">
      <c r="A240" t="s">
        <v>2328</v>
      </c>
      <c r="B240">
        <v>1.46682026278927E-5</v>
      </c>
      <c r="C240">
        <v>1.76E-4</v>
      </c>
      <c r="D240">
        <f t="shared" si="3"/>
        <v>1.1407880794283109E-4</v>
      </c>
      <c r="E240">
        <f>Table2[[#This Row],[distance from 45-degree line]]/MAX(Table2[[Abundance in SC (g protein/g all proteins)]:[Abundance in RT (g protein/g all proteins)]])</f>
        <v>3.9183916193263543E-3</v>
      </c>
      <c r="F240">
        <f>_xlfn.RANK.AVG(Table2[[#This Row],[Abundance in SC (g protein/g all proteins)]],Table2[Abundance in SC (g protein/g all proteins)])</f>
        <v>466</v>
      </c>
      <c r="G240">
        <f>_xlfn.RANK.AVG(Table2[[#This Row],[Abundance in RT (g protein/g all proteins)]],Table2[Abundance in RT (g protein/g all proteins)])</f>
        <v>267.5</v>
      </c>
      <c r="H240">
        <f>LOG(Table2[[#This Row],[Abundance in SC (g protein/g all proteins)]])</f>
        <v>-4.8336230992863012</v>
      </c>
      <c r="I240">
        <f>LOG(Table2[[#This Row],[Abundance in RT (g protein/g all proteins)]])</f>
        <v>-3.7544873321858501</v>
      </c>
    </row>
    <row r="241" spans="1:9" x14ac:dyDescent="0.2">
      <c r="A241" t="s">
        <v>2870</v>
      </c>
      <c r="B241">
        <v>1.7707069211357601E-5</v>
      </c>
      <c r="C241">
        <v>1.76E-4</v>
      </c>
      <c r="D241">
        <f t="shared" si="3"/>
        <v>1.1193000477454187E-4</v>
      </c>
      <c r="E241">
        <f>Table2[[#This Row],[distance from 45-degree line]]/MAX(Table2[[Abundance in SC (g protein/g all proteins)]:[Abundance in RT (g protein/g all proteins)]])</f>
        <v>3.8445842884290513E-3</v>
      </c>
      <c r="F241">
        <f>_xlfn.RANK.AVG(Table2[[#This Row],[Abundance in SC (g protein/g all proteins)]],Table2[Abundance in SC (g protein/g all proteins)])</f>
        <v>451</v>
      </c>
      <c r="G241">
        <f>_xlfn.RANK.AVG(Table2[[#This Row],[Abundance in RT (g protein/g all proteins)]],Table2[Abundance in RT (g protein/g all proteins)])</f>
        <v>267.5</v>
      </c>
      <c r="H241">
        <f>LOG(Table2[[#This Row],[Abundance in SC (g protein/g all proteins)]])</f>
        <v>-4.7518533151885336</v>
      </c>
      <c r="I241">
        <f>LOG(Table2[[#This Row],[Abundance in RT (g protein/g all proteins)]])</f>
        <v>-3.7544873321858501</v>
      </c>
    </row>
    <row r="242" spans="1:9" x14ac:dyDescent="0.2">
      <c r="A242" t="s">
        <v>2562</v>
      </c>
      <c r="B242">
        <v>3.1656314876771998E-5</v>
      </c>
      <c r="C242">
        <v>1.8799999999999999E-4</v>
      </c>
      <c r="D242">
        <f t="shared" si="3"/>
        <v>1.1055167994632885E-4</v>
      </c>
      <c r="E242">
        <f>Table2[[#This Row],[distance from 45-degree line]]/MAX(Table2[[Abundance in SC (g protein/g all proteins)]:[Abundance in RT (g protein/g all proteins)]])</f>
        <v>3.7972414334941904E-3</v>
      </c>
      <c r="F242">
        <f>_xlfn.RANK.AVG(Table2[[#This Row],[Abundance in SC (g protein/g all proteins)]],Table2[Abundance in SC (g protein/g all proteins)])</f>
        <v>398</v>
      </c>
      <c r="G242">
        <f>_xlfn.RANK.AVG(Table2[[#This Row],[Abundance in RT (g protein/g all proteins)]],Table2[Abundance in RT (g protein/g all proteins)])</f>
        <v>259.5</v>
      </c>
      <c r="H242">
        <f>LOG(Table2[[#This Row],[Abundance in SC (g protein/g all proteins)]])</f>
        <v>-4.4995396429112082</v>
      </c>
      <c r="I242">
        <f>LOG(Table2[[#This Row],[Abundance in RT (g protein/g all proteins)]])</f>
        <v>-3.72584215073632</v>
      </c>
    </row>
    <row r="243" spans="1:9" x14ac:dyDescent="0.2">
      <c r="A243" t="s">
        <v>2459</v>
      </c>
      <c r="B243">
        <v>2.0461687552326399E-4</v>
      </c>
      <c r="C243">
        <v>4.8999999999999998E-5</v>
      </c>
      <c r="D243">
        <f t="shared" si="3"/>
        <v>1.1003774794956283E-4</v>
      </c>
      <c r="E243">
        <f>Table2[[#This Row],[distance from 45-degree line]]/MAX(Table2[[Abundance in SC (g protein/g all proteins)]:[Abundance in RT (g protein/g all proteins)]])</f>
        <v>3.7795888399463967E-3</v>
      </c>
      <c r="F243">
        <f>_xlfn.RANK.AVG(Table2[[#This Row],[Abundance in SC (g protein/g all proteins)]],Table2[Abundance in SC (g protein/g all proteins)])</f>
        <v>217</v>
      </c>
      <c r="G243">
        <f>_xlfn.RANK.AVG(Table2[[#This Row],[Abundance in RT (g protein/g all proteins)]],Table2[Abundance in RT (g protein/g all proteins)])</f>
        <v>408</v>
      </c>
      <c r="H243">
        <f>LOG(Table2[[#This Row],[Abundance in SC (g protein/g all proteins)]])</f>
        <v>-3.6890585512475069</v>
      </c>
      <c r="I243">
        <f>LOG(Table2[[#This Row],[Abundance in RT (g protein/g all proteins)]])</f>
        <v>-4.3098039199714862</v>
      </c>
    </row>
    <row r="244" spans="1:9" x14ac:dyDescent="0.2">
      <c r="A244" t="s">
        <v>2819</v>
      </c>
      <c r="B244">
        <v>3.2410062230625902E-5</v>
      </c>
      <c r="C244">
        <v>1.8799999999999999E-4</v>
      </c>
      <c r="D244">
        <f t="shared" si="3"/>
        <v>1.1001870008111735E-4</v>
      </c>
      <c r="E244">
        <f>Table2[[#This Row],[distance from 45-degree line]]/MAX(Table2[[Abundance in SC (g protein/g all proteins)]:[Abundance in RT (g protein/g all proteins)]])</f>
        <v>3.7789345816364728E-3</v>
      </c>
      <c r="F244">
        <f>_xlfn.RANK.AVG(Table2[[#This Row],[Abundance in SC (g protein/g all proteins)]],Table2[Abundance in SC (g protein/g all proteins)])</f>
        <v>395</v>
      </c>
      <c r="G244">
        <f>_xlfn.RANK.AVG(Table2[[#This Row],[Abundance in RT (g protein/g all proteins)]],Table2[Abundance in RT (g protein/g all proteins)])</f>
        <v>259.5</v>
      </c>
      <c r="H244">
        <f>LOG(Table2[[#This Row],[Abundance in SC (g protein/g all proteins)]])</f>
        <v>-4.4893201350772785</v>
      </c>
      <c r="I244">
        <f>LOG(Table2[[#This Row],[Abundance in RT (g protein/g all proteins)]])</f>
        <v>-3.72584215073632</v>
      </c>
    </row>
    <row r="245" spans="1:9" x14ac:dyDescent="0.2">
      <c r="A245" t="s">
        <v>2836</v>
      </c>
      <c r="B245">
        <v>1.3524518767111301E-5</v>
      </c>
      <c r="C245">
        <v>1.6799999999999999E-4</v>
      </c>
      <c r="D245">
        <f t="shared" si="3"/>
        <v>1.0923066030683084E-4</v>
      </c>
      <c r="E245">
        <f>Table2[[#This Row],[distance from 45-degree line]]/MAX(Table2[[Abundance in SC (g protein/g all proteins)]:[Abundance in RT (g protein/g all proteins)]])</f>
        <v>3.7518669035730107E-3</v>
      </c>
      <c r="F245">
        <f>_xlfn.RANK.AVG(Table2[[#This Row],[Abundance in SC (g protein/g all proteins)]],Table2[Abundance in SC (g protein/g all proteins)])</f>
        <v>475</v>
      </c>
      <c r="G245">
        <f>_xlfn.RANK.AVG(Table2[[#This Row],[Abundance in RT (g protein/g all proteins)]],Table2[Abundance in RT (g protein/g all proteins)])</f>
        <v>270</v>
      </c>
      <c r="H245">
        <f>LOG(Table2[[#This Row],[Abundance in SC (g protein/g all proteins)]])</f>
        <v>-4.8688781791238931</v>
      </c>
      <c r="I245">
        <f>LOG(Table2[[#This Row],[Abundance in RT (g protein/g all proteins)]])</f>
        <v>-3.7746907182741372</v>
      </c>
    </row>
    <row r="246" spans="1:9" x14ac:dyDescent="0.2">
      <c r="A246" t="s">
        <v>2904</v>
      </c>
      <c r="B246">
        <v>3.1562825754661698E-5</v>
      </c>
      <c r="C246">
        <v>1.83E-4</v>
      </c>
      <c r="D246">
        <f t="shared" si="3"/>
        <v>1.0708225283260749E-4</v>
      </c>
      <c r="E246">
        <f>Table2[[#This Row],[distance from 45-degree line]]/MAX(Table2[[Abundance in SC (g protein/g all proteins)]:[Abundance in RT (g protein/g all proteins)]])</f>
        <v>3.6780731640196169E-3</v>
      </c>
      <c r="F246">
        <f>_xlfn.RANK.AVG(Table2[[#This Row],[Abundance in SC (g protein/g all proteins)]],Table2[Abundance in SC (g protein/g all proteins)])</f>
        <v>399</v>
      </c>
      <c r="G246">
        <f>_xlfn.RANK.AVG(Table2[[#This Row],[Abundance in RT (g protein/g all proteins)]],Table2[Abundance in RT (g protein/g all proteins)])</f>
        <v>261.5</v>
      </c>
      <c r="H246">
        <f>LOG(Table2[[#This Row],[Abundance in SC (g protein/g all proteins)]])</f>
        <v>-4.5008241222332011</v>
      </c>
      <c r="I246">
        <f>LOG(Table2[[#This Row],[Abundance in RT (g protein/g all proteins)]])</f>
        <v>-3.7375489102695707</v>
      </c>
    </row>
    <row r="247" spans="1:9" x14ac:dyDescent="0.2">
      <c r="A247" t="s">
        <v>2320</v>
      </c>
      <c r="B247">
        <v>7.9220233806911295E-4</v>
      </c>
      <c r="C247">
        <v>6.4199999999999999E-4</v>
      </c>
      <c r="D247">
        <f t="shared" si="3"/>
        <v>1.0620909179874409E-4</v>
      </c>
      <c r="E247">
        <f>Table2[[#This Row],[distance from 45-degree line]]/MAX(Table2[[Abundance in SC (g protein/g all proteins)]:[Abundance in RT (g protein/g all proteins)]])</f>
        <v>3.6480817314379645E-3</v>
      </c>
      <c r="F247">
        <f>_xlfn.RANK.AVG(Table2[[#This Row],[Abundance in SC (g protein/g all proteins)]],Table2[Abundance in SC (g protein/g all proteins)])</f>
        <v>108</v>
      </c>
      <c r="G247">
        <f>_xlfn.RANK.AVG(Table2[[#This Row],[Abundance in RT (g protein/g all proteins)]],Table2[Abundance in RT (g protein/g all proteins)])</f>
        <v>121</v>
      </c>
      <c r="H247">
        <f>LOG(Table2[[#This Row],[Abundance in SC (g protein/g all proteins)]])</f>
        <v>-3.1011638801733117</v>
      </c>
      <c r="I247">
        <f>LOG(Table2[[#This Row],[Abundance in RT (g protein/g all proteins)]])</f>
        <v>-3.1924649719311469</v>
      </c>
    </row>
    <row r="248" spans="1:9" x14ac:dyDescent="0.2">
      <c r="A248" t="s">
        <v>2438</v>
      </c>
      <c r="B248">
        <v>2.1992764324187E-4</v>
      </c>
      <c r="C248">
        <v>7.1699999999999995E-5</v>
      </c>
      <c r="D248">
        <f t="shared" si="3"/>
        <v>1.0481277169562659E-4</v>
      </c>
      <c r="E248">
        <f>Table2[[#This Row],[distance from 45-degree line]]/MAX(Table2[[Abundance in SC (g protein/g all proteins)]:[Abundance in RT (g protein/g all proteins)]])</f>
        <v>3.6001207727935302E-3</v>
      </c>
      <c r="F248">
        <f>_xlfn.RANK.AVG(Table2[[#This Row],[Abundance in SC (g protein/g all proteins)]],Table2[Abundance in SC (g protein/g all proteins)])</f>
        <v>207</v>
      </c>
      <c r="G248">
        <f>_xlfn.RANK.AVG(Table2[[#This Row],[Abundance in RT (g protein/g all proteins)]],Table2[Abundance in RT (g protein/g all proteins)])</f>
        <v>368</v>
      </c>
      <c r="H248">
        <f>LOG(Table2[[#This Row],[Abundance in SC (g protein/g all proteins)]])</f>
        <v>-3.6577201796756524</v>
      </c>
      <c r="I248">
        <f>LOG(Table2[[#This Row],[Abundance in RT (g protein/g all proteins)]])</f>
        <v>-4.1444808443322003</v>
      </c>
    </row>
    <row r="249" spans="1:9" x14ac:dyDescent="0.2">
      <c r="A249" t="s">
        <v>2522</v>
      </c>
      <c r="B249">
        <v>3.5090045660695702E-5</v>
      </c>
      <c r="C249">
        <v>1.83E-4</v>
      </c>
      <c r="D249">
        <f t="shared" si="3"/>
        <v>1.0458813171831468E-4</v>
      </c>
      <c r="E249">
        <f>Table2[[#This Row],[distance from 45-degree line]]/MAX(Table2[[Abundance in SC (g protein/g all proteins)]:[Abundance in RT (g protein/g all proteins)]])</f>
        <v>3.5924048137969586E-3</v>
      </c>
      <c r="F249">
        <f>_xlfn.RANK.AVG(Table2[[#This Row],[Abundance in SC (g protein/g all proteins)]],Table2[Abundance in SC (g protein/g all proteins)])</f>
        <v>389</v>
      </c>
      <c r="G249">
        <f>_xlfn.RANK.AVG(Table2[[#This Row],[Abundance in RT (g protein/g all proteins)]],Table2[Abundance in RT (g protein/g all proteins)])</f>
        <v>261.5</v>
      </c>
      <c r="H249">
        <f>LOG(Table2[[#This Row],[Abundance in SC (g protein/g all proteins)]])</f>
        <v>-4.4548160666613317</v>
      </c>
      <c r="I249">
        <f>LOG(Table2[[#This Row],[Abundance in RT (g protein/g all proteins)]])</f>
        <v>-3.7375489102695707</v>
      </c>
    </row>
    <row r="250" spans="1:9" x14ac:dyDescent="0.2">
      <c r="A250" t="s">
        <v>2629</v>
      </c>
      <c r="B250">
        <v>3.9214319302214299E-4</v>
      </c>
      <c r="C250">
        <v>2.4499999999999999E-4</v>
      </c>
      <c r="D250">
        <f t="shared" si="3"/>
        <v>1.0404594959139839E-4</v>
      </c>
      <c r="E250">
        <f>Table2[[#This Row],[distance from 45-degree line]]/MAX(Table2[[Abundance in SC (g protein/g all proteins)]:[Abundance in RT (g protein/g all proteins)]])</f>
        <v>3.573781881627804E-3</v>
      </c>
      <c r="F250">
        <f>_xlfn.RANK.AVG(Table2[[#This Row],[Abundance in SC (g protein/g all proteins)]],Table2[Abundance in SC (g protein/g all proteins)])</f>
        <v>163</v>
      </c>
      <c r="G250">
        <f>_xlfn.RANK.AVG(Table2[[#This Row],[Abundance in RT (g protein/g all proteins)]],Table2[Abundance in RT (g protein/g all proteins)])</f>
        <v>224.5</v>
      </c>
      <c r="H250">
        <f>LOG(Table2[[#This Row],[Abundance in SC (g protein/g all proteins)]])</f>
        <v>-3.4065553192451934</v>
      </c>
      <c r="I250">
        <f>LOG(Table2[[#This Row],[Abundance in RT (g protein/g all proteins)]])</f>
        <v>-3.6108339156354674</v>
      </c>
    </row>
    <row r="251" spans="1:9" x14ac:dyDescent="0.2">
      <c r="A251" t="s">
        <v>2747</v>
      </c>
      <c r="B251">
        <v>4.6294214864837501E-4</v>
      </c>
      <c r="C251">
        <v>3.1599999999999998E-4</v>
      </c>
      <c r="D251">
        <f t="shared" si="3"/>
        <v>1.0390378975138766E-4</v>
      </c>
      <c r="E251">
        <f>Table2[[#This Row],[distance from 45-degree line]]/MAX(Table2[[Abundance in SC (g protein/g all proteins)]:[Abundance in RT (g protein/g all proteins)]])</f>
        <v>3.5688989595869113E-3</v>
      </c>
      <c r="F251">
        <f>_xlfn.RANK.AVG(Table2[[#This Row],[Abundance in SC (g protein/g all proteins)]],Table2[Abundance in SC (g protein/g all proteins)])</f>
        <v>154</v>
      </c>
      <c r="G251">
        <f>_xlfn.RANK.AVG(Table2[[#This Row],[Abundance in RT (g protein/g all proteins)]],Table2[Abundance in RT (g protein/g all proteins)])</f>
        <v>194.5</v>
      </c>
      <c r="H251">
        <f>LOG(Table2[[#This Row],[Abundance in SC (g protein/g all proteins)]])</f>
        <v>-3.3344732770005203</v>
      </c>
      <c r="I251">
        <f>LOG(Table2[[#This Row],[Abundance in RT (g protein/g all proteins)]])</f>
        <v>-3.5003129173815961</v>
      </c>
    </row>
    <row r="252" spans="1:9" x14ac:dyDescent="0.2">
      <c r="A252" t="s">
        <v>2833</v>
      </c>
      <c r="B252">
        <v>5.0062331346111802E-4</v>
      </c>
      <c r="C252">
        <v>3.5500000000000001E-4</v>
      </c>
      <c r="D252">
        <f t="shared" si="3"/>
        <v>1.0297123244721079E-4</v>
      </c>
      <c r="E252">
        <f>Table2[[#This Row],[distance from 45-degree line]]/MAX(Table2[[Abundance in SC (g protein/g all proteins)]:[Abundance in RT (g protein/g all proteins)]])</f>
        <v>3.5368673772875991E-3</v>
      </c>
      <c r="F252">
        <f>_xlfn.RANK.AVG(Table2[[#This Row],[Abundance in SC (g protein/g all proteins)]],Table2[Abundance in SC (g protein/g all proteins)])</f>
        <v>147</v>
      </c>
      <c r="G252">
        <f>_xlfn.RANK.AVG(Table2[[#This Row],[Abundance in RT (g protein/g all proteins)]],Table2[Abundance in RT (g protein/g all proteins)])</f>
        <v>181</v>
      </c>
      <c r="H252">
        <f>LOG(Table2[[#This Row],[Abundance in SC (g protein/g all proteins)]])</f>
        <v>-3.3004889296543611</v>
      </c>
      <c r="I252">
        <f>LOG(Table2[[#This Row],[Abundance in RT (g protein/g all proteins)]])</f>
        <v>-3.4497716469449058</v>
      </c>
    </row>
    <row r="253" spans="1:9" x14ac:dyDescent="0.2">
      <c r="A253" t="s">
        <v>2696</v>
      </c>
      <c r="B253">
        <v>1.43649190117581E-4</v>
      </c>
      <c r="C253">
        <v>8.0299999999999998E-8</v>
      </c>
      <c r="D253">
        <f t="shared" si="3"/>
        <v>1.0151853576956782E-4</v>
      </c>
      <c r="E253">
        <f>Table2[[#This Row],[distance from 45-degree line]]/MAX(Table2[[Abundance in SC (g protein/g all proteins)]:[Abundance in RT (g protein/g all proteins)]])</f>
        <v>3.4869699897732412E-3</v>
      </c>
      <c r="F253">
        <f>_xlfn.RANK.AVG(Table2[[#This Row],[Abundance in SC (g protein/g all proteins)]],Table2[Abundance in SC (g protein/g all proteins)])</f>
        <v>252</v>
      </c>
      <c r="G253">
        <f>_xlfn.RANK.AVG(Table2[[#This Row],[Abundance in RT (g protein/g all proteins)]],Table2[Abundance in RT (g protein/g all proteins)])</f>
        <v>591</v>
      </c>
      <c r="H253">
        <f>LOG(Table2[[#This Row],[Abundance in SC (g protein/g all proteins)]])</f>
        <v>-3.8426968181820027</v>
      </c>
      <c r="I253">
        <f>LOG(Table2[[#This Row],[Abundance in RT (g protein/g all proteins)]])</f>
        <v>-7.0952844547213187</v>
      </c>
    </row>
    <row r="254" spans="1:9" x14ac:dyDescent="0.2">
      <c r="A254" t="s">
        <v>2675</v>
      </c>
      <c r="B254">
        <v>6.3039237341663303E-4</v>
      </c>
      <c r="C254">
        <v>7.7300000000000003E-4</v>
      </c>
      <c r="D254">
        <f t="shared" si="3"/>
        <v>1.0083881980601776E-4</v>
      </c>
      <c r="E254">
        <f>Table2[[#This Row],[distance from 45-degree line]]/MAX(Table2[[Abundance in SC (g protein/g all proteins)]:[Abundance in RT (g protein/g all proteins)]])</f>
        <v>3.4636230300431605E-3</v>
      </c>
      <c r="F254">
        <f>_xlfn.RANK.AVG(Table2[[#This Row],[Abundance in SC (g protein/g all proteins)]],Table2[Abundance in SC (g protein/g all proteins)])</f>
        <v>130</v>
      </c>
      <c r="G254">
        <f>_xlfn.RANK.AVG(Table2[[#This Row],[Abundance in RT (g protein/g all proteins)]],Table2[Abundance in RT (g protein/g all proteins)])</f>
        <v>108</v>
      </c>
      <c r="H254">
        <f>LOG(Table2[[#This Row],[Abundance in SC (g protein/g all proteins)]])</f>
        <v>-3.200389049647796</v>
      </c>
      <c r="I254">
        <f>LOG(Table2[[#This Row],[Abundance in RT (g protein/g all proteins)]])</f>
        <v>-3.111820506081675</v>
      </c>
    </row>
    <row r="255" spans="1:9" x14ac:dyDescent="0.2">
      <c r="A255" t="s">
        <v>2341</v>
      </c>
      <c r="B255">
        <v>1.6763886753470901E-4</v>
      </c>
      <c r="C255">
        <v>2.5899999999999999E-5</v>
      </c>
      <c r="D255">
        <f t="shared" si="3"/>
        <v>1.0022451439149452E-4</v>
      </c>
      <c r="E255">
        <f>Table2[[#This Row],[distance from 45-degree line]]/MAX(Table2[[Abundance in SC (g protein/g all proteins)]:[Abundance in RT (g protein/g all proteins)]])</f>
        <v>3.4425227991468055E-3</v>
      </c>
      <c r="F255">
        <f>_xlfn.RANK.AVG(Table2[[#This Row],[Abundance in SC (g protein/g all proteins)]],Table2[Abundance in SC (g protein/g all proteins)])</f>
        <v>234</v>
      </c>
      <c r="G255">
        <f>_xlfn.RANK.AVG(Table2[[#This Row],[Abundance in RT (g protein/g all proteins)]],Table2[Abundance in RT (g protein/g all proteins)])</f>
        <v>474</v>
      </c>
      <c r="H255">
        <f>LOG(Table2[[#This Row],[Abundance in SC (g protein/g all proteins)]])</f>
        <v>-3.77562528165523</v>
      </c>
      <c r="I255">
        <f>LOG(Table2[[#This Row],[Abundance in RT (g protein/g all proteins)]])</f>
        <v>-4.5867002359187481</v>
      </c>
    </row>
    <row r="256" spans="1:9" x14ac:dyDescent="0.2">
      <c r="A256" t="s">
        <v>2407</v>
      </c>
      <c r="B256">
        <v>2.6781032974726102E-4</v>
      </c>
      <c r="C256">
        <v>4.08E-4</v>
      </c>
      <c r="D256">
        <f t="shared" si="3"/>
        <v>9.9129066488017748E-5</v>
      </c>
      <c r="E256">
        <f>Table2[[#This Row],[distance from 45-degree line]]/MAX(Table2[[Abundance in SC (g protein/g all proteins)]:[Abundance in RT (g protein/g all proteins)]])</f>
        <v>3.4048962323742719E-3</v>
      </c>
      <c r="F256">
        <f>_xlfn.RANK.AVG(Table2[[#This Row],[Abundance in SC (g protein/g all proteins)]],Table2[Abundance in SC (g protein/g all proteins)])</f>
        <v>194</v>
      </c>
      <c r="G256">
        <f>_xlfn.RANK.AVG(Table2[[#This Row],[Abundance in RT (g protein/g all proteins)]],Table2[Abundance in RT (g protein/g all proteins)])</f>
        <v>165</v>
      </c>
      <c r="H256">
        <f>LOG(Table2[[#This Row],[Abundance in SC (g protein/g all proteins)]])</f>
        <v>-3.572172675771673</v>
      </c>
      <c r="I256">
        <f>LOG(Table2[[#This Row],[Abundance in RT (g protein/g all proteins)]])</f>
        <v>-3.38933983691012</v>
      </c>
    </row>
    <row r="257" spans="1:9" x14ac:dyDescent="0.2">
      <c r="A257" t="s">
        <v>2878</v>
      </c>
      <c r="B257">
        <v>7.1782442141578705E-5</v>
      </c>
      <c r="C257">
        <v>2.1100000000000001E-4</v>
      </c>
      <c r="D257">
        <f t="shared" si="3"/>
        <v>9.8441679221920232E-5</v>
      </c>
      <c r="E257">
        <f>Table2[[#This Row],[distance from 45-degree line]]/MAX(Table2[[Abundance in SC (g protein/g all proteins)]:[Abundance in RT (g protein/g all proteins)]])</f>
        <v>3.3812857778886501E-3</v>
      </c>
      <c r="F257">
        <f>_xlfn.RANK.AVG(Table2[[#This Row],[Abundance in SC (g protein/g all proteins)]],Table2[Abundance in SC (g protein/g all proteins)])</f>
        <v>312</v>
      </c>
      <c r="G257">
        <f>_xlfn.RANK.AVG(Table2[[#This Row],[Abundance in RT (g protein/g all proteins)]],Table2[Abundance in RT (g protein/g all proteins)])</f>
        <v>242</v>
      </c>
      <c r="H257">
        <f>LOG(Table2[[#This Row],[Abundance in SC (g protein/g all proteins)]])</f>
        <v>-4.1439817704306172</v>
      </c>
      <c r="I257">
        <f>LOG(Table2[[#This Row],[Abundance in RT (g protein/g all proteins)]])</f>
        <v>-3.6757175447023074</v>
      </c>
    </row>
    <row r="258" spans="1:9" x14ac:dyDescent="0.2">
      <c r="A258" t="s">
        <v>2457</v>
      </c>
      <c r="B258">
        <v>1.4777270331986801E-4</v>
      </c>
      <c r="C258">
        <v>2.8600000000000001E-4</v>
      </c>
      <c r="D258">
        <f t="shared" ref="D258:D321" si="4">ABS(B258-C258)/SQRT(2)</f>
        <v>9.7741458827606075E-5</v>
      </c>
      <c r="E258">
        <f>Table2[[#This Row],[distance from 45-degree line]]/MAX(Table2[[Abundance in SC (g protein/g all proteins)]:[Abundance in RT (g protein/g all proteins)]])</f>
        <v>3.3572345296836639E-3</v>
      </c>
      <c r="F258">
        <f>_xlfn.RANK.AVG(Table2[[#This Row],[Abundance in SC (g protein/g all proteins)]],Table2[Abundance in SC (g protein/g all proteins)])</f>
        <v>247</v>
      </c>
      <c r="G258">
        <f>_xlfn.RANK.AVG(Table2[[#This Row],[Abundance in RT (g protein/g all proteins)]],Table2[Abundance in RT (g protein/g all proteins)])</f>
        <v>205</v>
      </c>
      <c r="H258">
        <f>LOG(Table2[[#This Row],[Abundance in SC (g protein/g all proteins)]])</f>
        <v>-3.8304057817219883</v>
      </c>
      <c r="I258">
        <f>LOG(Table2[[#This Row],[Abundance in RT (g protein/g all proteins)]])</f>
        <v>-3.5436339668709569</v>
      </c>
    </row>
    <row r="259" spans="1:9" x14ac:dyDescent="0.2">
      <c r="A259" t="s">
        <v>2838</v>
      </c>
      <c r="B259">
        <v>8.8033404162762504E-5</v>
      </c>
      <c r="C259">
        <v>2.2599999999999999E-4</v>
      </c>
      <c r="D259">
        <f t="shared" si="4"/>
        <v>9.7557115493734315E-5</v>
      </c>
      <c r="E259">
        <f>Table2[[#This Row],[distance from 45-degree line]]/MAX(Table2[[Abundance in SC (g protein/g all proteins)]:[Abundance in RT (g protein/g all proteins)]])</f>
        <v>3.3509026842905762E-3</v>
      </c>
      <c r="F259">
        <f>_xlfn.RANK.AVG(Table2[[#This Row],[Abundance in SC (g protein/g all proteins)]],Table2[Abundance in SC (g protein/g all proteins)])</f>
        <v>291</v>
      </c>
      <c r="G259">
        <f>_xlfn.RANK.AVG(Table2[[#This Row],[Abundance in RT (g protein/g all proteins)]],Table2[Abundance in RT (g protein/g all proteins)])</f>
        <v>234.5</v>
      </c>
      <c r="H259">
        <f>LOG(Table2[[#This Row],[Abundance in SC (g protein/g all proteins)]])</f>
        <v>-4.0553525040903464</v>
      </c>
      <c r="I259">
        <f>LOG(Table2[[#This Row],[Abundance in RT (g protein/g all proteins)]])</f>
        <v>-3.6458915608525992</v>
      </c>
    </row>
    <row r="260" spans="1:9" x14ac:dyDescent="0.2">
      <c r="A260" t="s">
        <v>2853</v>
      </c>
      <c r="B260">
        <v>2.4466755182288801E-4</v>
      </c>
      <c r="C260">
        <v>1.07E-4</v>
      </c>
      <c r="D260">
        <f t="shared" si="4"/>
        <v>9.7345659443314554E-5</v>
      </c>
      <c r="E260">
        <f>Table2[[#This Row],[distance from 45-degree line]]/MAX(Table2[[Abundance in SC (g protein/g all proteins)]:[Abundance in RT (g protein/g all proteins)]])</f>
        <v>3.3436395682854029E-3</v>
      </c>
      <c r="F260">
        <f>_xlfn.RANK.AVG(Table2[[#This Row],[Abundance in SC (g protein/g all proteins)]],Table2[Abundance in SC (g protein/g all proteins)])</f>
        <v>202</v>
      </c>
      <c r="G260">
        <f>_xlfn.RANK.AVG(Table2[[#This Row],[Abundance in RT (g protein/g all proteins)]],Table2[Abundance in RT (g protein/g all proteins)])</f>
        <v>314.5</v>
      </c>
      <c r="H260">
        <f>LOG(Table2[[#This Row],[Abundance in SC (g protein/g all proteins)]])</f>
        <v>-3.611423623613808</v>
      </c>
      <c r="I260">
        <f>LOG(Table2[[#This Row],[Abundance in RT (g protein/g all proteins)]])</f>
        <v>-3.9706162223147903</v>
      </c>
    </row>
    <row r="261" spans="1:9" x14ac:dyDescent="0.2">
      <c r="A261" t="s">
        <v>2791</v>
      </c>
      <c r="B261">
        <v>4.8754231698712003E-4</v>
      </c>
      <c r="C261">
        <v>6.2500000000000001E-4</v>
      </c>
      <c r="D261">
        <f t="shared" si="4"/>
        <v>9.7197259784598331E-5</v>
      </c>
      <c r="E261">
        <f>Table2[[#This Row],[distance from 45-degree line]]/MAX(Table2[[Abundance in SC (g protein/g all proteins)]:[Abundance in RT (g protein/g all proteins)]])</f>
        <v>3.3385423202556379E-3</v>
      </c>
      <c r="F261">
        <f>_xlfn.RANK.AVG(Table2[[#This Row],[Abundance in SC (g protein/g all proteins)]],Table2[Abundance in SC (g protein/g all proteins)])</f>
        <v>150</v>
      </c>
      <c r="G261">
        <f>_xlfn.RANK.AVG(Table2[[#This Row],[Abundance in RT (g protein/g all proteins)]],Table2[Abundance in RT (g protein/g all proteins)])</f>
        <v>124</v>
      </c>
      <c r="H261">
        <f>LOG(Table2[[#This Row],[Abundance in SC (g protein/g all proteins)]])</f>
        <v>-3.3119876830702668</v>
      </c>
      <c r="I261">
        <f>LOG(Table2[[#This Row],[Abundance in RT (g protein/g all proteins)]])</f>
        <v>-3.2041199826559246</v>
      </c>
    </row>
    <row r="262" spans="1:9" x14ac:dyDescent="0.2">
      <c r="A262" t="s">
        <v>2538</v>
      </c>
      <c r="B262">
        <v>4.00850330718615E-5</v>
      </c>
      <c r="C262">
        <v>1.7699999999999999E-4</v>
      </c>
      <c r="D262">
        <f t="shared" si="4"/>
        <v>9.6813501560818604E-5</v>
      </c>
      <c r="E262">
        <f>Table2[[#This Row],[distance from 45-degree line]]/MAX(Table2[[Abundance in SC (g protein/g all proteins)]:[Abundance in RT (g protein/g all proteins)]])</f>
        <v>3.3253609499816813E-3</v>
      </c>
      <c r="F262">
        <f>_xlfn.RANK.AVG(Table2[[#This Row],[Abundance in SC (g protein/g all proteins)]],Table2[Abundance in SC (g protein/g all proteins)])</f>
        <v>380</v>
      </c>
      <c r="G262">
        <f>_xlfn.RANK.AVG(Table2[[#This Row],[Abundance in RT (g protein/g all proteins)]],Table2[Abundance in RT (g protein/g all proteins)])</f>
        <v>266</v>
      </c>
      <c r="H262">
        <f>LOG(Table2[[#This Row],[Abundance in SC (g protein/g all proteins)]])</f>
        <v>-4.3970177537549793</v>
      </c>
      <c r="I262">
        <f>LOG(Table2[[#This Row],[Abundance in RT (g protein/g all proteins)]])</f>
        <v>-3.7520267336381936</v>
      </c>
    </row>
    <row r="263" spans="1:9" x14ac:dyDescent="0.2">
      <c r="A263" t="s">
        <v>2802</v>
      </c>
      <c r="B263">
        <v>5.0435816437902395E-4</v>
      </c>
      <c r="C263">
        <v>6.4099999999999997E-4</v>
      </c>
      <c r="D263">
        <f t="shared" si="4"/>
        <v>9.6620368561369676E-5</v>
      </c>
      <c r="E263">
        <f>Table2[[#This Row],[distance from 45-degree line]]/MAX(Table2[[Abundance in SC (g protein/g all proteins)]:[Abundance in RT (g protein/g all proteins)]])</f>
        <v>3.3187271961749682E-3</v>
      </c>
      <c r="F263">
        <f>_xlfn.RANK.AVG(Table2[[#This Row],[Abundance in SC (g protein/g all proteins)]],Table2[Abundance in SC (g protein/g all proteins)])</f>
        <v>145</v>
      </c>
      <c r="G263">
        <f>_xlfn.RANK.AVG(Table2[[#This Row],[Abundance in RT (g protein/g all proteins)]],Table2[Abundance in RT (g protein/g all proteins)])</f>
        <v>122</v>
      </c>
      <c r="H263">
        <f>LOG(Table2[[#This Row],[Abundance in SC (g protein/g all proteins)]])</f>
        <v>-3.2972609445669545</v>
      </c>
      <c r="I263">
        <f>LOG(Table2[[#This Row],[Abundance in RT (g protein/g all proteins)]])</f>
        <v>-3.1931419704811828</v>
      </c>
    </row>
    <row r="264" spans="1:9" x14ac:dyDescent="0.2">
      <c r="A264" t="s">
        <v>2570</v>
      </c>
      <c r="B264">
        <v>2.0336345383308401E-4</v>
      </c>
      <c r="C264">
        <v>6.7299999999999996E-5</v>
      </c>
      <c r="D264">
        <f t="shared" si="4"/>
        <v>9.6211390877036458E-5</v>
      </c>
      <c r="E264">
        <f>Table2[[#This Row],[distance from 45-degree line]]/MAX(Table2[[Abundance in SC (g protein/g all proteins)]:[Abundance in RT (g protein/g all proteins)]])</f>
        <v>3.3046795850569955E-3</v>
      </c>
      <c r="F264">
        <f>_xlfn.RANK.AVG(Table2[[#This Row],[Abundance in SC (g protein/g all proteins)]],Table2[Abundance in SC (g protein/g all proteins)])</f>
        <v>218</v>
      </c>
      <c r="G264">
        <f>_xlfn.RANK.AVG(Table2[[#This Row],[Abundance in RT (g protein/g all proteins)]],Table2[Abundance in RT (g protein/g all proteins)])</f>
        <v>377</v>
      </c>
      <c r="H264">
        <f>LOG(Table2[[#This Row],[Abundance in SC (g protein/g all proteins)]])</f>
        <v>-3.6917270908660296</v>
      </c>
      <c r="I264">
        <f>LOG(Table2[[#This Row],[Abundance in RT (g protein/g all proteins)]])</f>
        <v>-4.171984935776023</v>
      </c>
    </row>
    <row r="265" spans="1:9" x14ac:dyDescent="0.2">
      <c r="A265" t="s">
        <v>2816</v>
      </c>
      <c r="B265">
        <v>3.8587383702412298E-4</v>
      </c>
      <c r="C265">
        <v>5.2099999999999998E-4</v>
      </c>
      <c r="D265">
        <f t="shared" si="4"/>
        <v>9.5548626155961202E-5</v>
      </c>
      <c r="E265">
        <f>Table2[[#This Row],[distance from 45-degree line]]/MAX(Table2[[Abundance in SC (g protein/g all proteins)]:[Abundance in RT (g protein/g all proteins)]])</f>
        <v>3.2819148684941446E-3</v>
      </c>
      <c r="F265">
        <f>_xlfn.RANK.AVG(Table2[[#This Row],[Abundance in SC (g protein/g all proteins)]],Table2[Abundance in SC (g protein/g all proteins)])</f>
        <v>167</v>
      </c>
      <c r="G265">
        <f>_xlfn.RANK.AVG(Table2[[#This Row],[Abundance in RT (g protein/g all proteins)]],Table2[Abundance in RT (g protein/g all proteins)])</f>
        <v>143</v>
      </c>
      <c r="H265">
        <f>LOG(Table2[[#This Row],[Abundance in SC (g protein/g all proteins)]])</f>
        <v>-3.41355466641757</v>
      </c>
      <c r="I265">
        <f>LOG(Table2[[#This Row],[Abundance in RT (g protein/g all proteins)]])</f>
        <v>-3.2831622767004753</v>
      </c>
    </row>
    <row r="266" spans="1:9" x14ac:dyDescent="0.2">
      <c r="A266" t="s">
        <v>2715</v>
      </c>
      <c r="B266">
        <v>9.1589209255585902E-5</v>
      </c>
      <c r="C266">
        <v>2.2599999999999999E-4</v>
      </c>
      <c r="D266">
        <f t="shared" si="4"/>
        <v>9.5042781600021225E-5</v>
      </c>
      <c r="E266">
        <f>Table2[[#This Row],[distance from 45-degree line]]/MAX(Table2[[Abundance in SC (g protein/g all proteins)]:[Abundance in RT (g protein/g all proteins)]])</f>
        <v>3.2645400632658997E-3</v>
      </c>
      <c r="F266">
        <f>_xlfn.RANK.AVG(Table2[[#This Row],[Abundance in SC (g protein/g all proteins)]],Table2[Abundance in SC (g protein/g all proteins)])</f>
        <v>289</v>
      </c>
      <c r="G266">
        <f>_xlfn.RANK.AVG(Table2[[#This Row],[Abundance in RT (g protein/g all proteins)]],Table2[Abundance in RT (g protein/g all proteins)])</f>
        <v>234.5</v>
      </c>
      <c r="H266">
        <f>LOG(Table2[[#This Row],[Abundance in SC (g protein/g all proteins)]])</f>
        <v>-4.0381556904894618</v>
      </c>
      <c r="I266">
        <f>LOG(Table2[[#This Row],[Abundance in RT (g protein/g all proteins)]])</f>
        <v>-3.6458915608525992</v>
      </c>
    </row>
    <row r="267" spans="1:9" x14ac:dyDescent="0.2">
      <c r="A267" t="s">
        <v>2549</v>
      </c>
      <c r="B267">
        <v>5.8661573464493299E-5</v>
      </c>
      <c r="C267">
        <v>1.93E-4</v>
      </c>
      <c r="D267">
        <f t="shared" si="4"/>
        <v>9.4991612377187613E-5</v>
      </c>
      <c r="E267">
        <f>Table2[[#This Row],[distance from 45-degree line]]/MAX(Table2[[Abundance in SC (g protein/g all proteins)]:[Abundance in RT (g protein/g all proteins)]])</f>
        <v>3.2627824970927052E-3</v>
      </c>
      <c r="F267">
        <f>_xlfn.RANK.AVG(Table2[[#This Row],[Abundance in SC (g protein/g all proteins)]],Table2[Abundance in SC (g protein/g all proteins)])</f>
        <v>329</v>
      </c>
      <c r="G267">
        <f>_xlfn.RANK.AVG(Table2[[#This Row],[Abundance in RT (g protein/g all proteins)]],Table2[Abundance in RT (g protein/g all proteins)])</f>
        <v>254.5</v>
      </c>
      <c r="H267">
        <f>LOG(Table2[[#This Row],[Abundance in SC (g protein/g all proteins)]])</f>
        <v>-4.2316462922285965</v>
      </c>
      <c r="I267">
        <f>LOG(Table2[[#This Row],[Abundance in RT (g protein/g all proteins)]])</f>
        <v>-3.7144426909922261</v>
      </c>
    </row>
    <row r="268" spans="1:9" x14ac:dyDescent="0.2">
      <c r="A268" t="s">
        <v>2724</v>
      </c>
      <c r="B268">
        <v>2.1920365898880499E-4</v>
      </c>
      <c r="C268">
        <v>8.6199999999999995E-5</v>
      </c>
      <c r="D268">
        <f t="shared" si="4"/>
        <v>9.4047789193607128E-5</v>
      </c>
      <c r="E268">
        <f>Table2[[#This Row],[distance from 45-degree line]]/MAX(Table2[[Abundance in SC (g protein/g all proteins)]:[Abundance in RT (g protein/g all proteins)]])</f>
        <v>3.2303639531110653E-3</v>
      </c>
      <c r="F268">
        <f>_xlfn.RANK.AVG(Table2[[#This Row],[Abundance in SC (g protein/g all proteins)]],Table2[Abundance in SC (g protein/g all proteins)])</f>
        <v>208</v>
      </c>
      <c r="G268">
        <f>_xlfn.RANK.AVG(Table2[[#This Row],[Abundance in RT (g protein/g all proteins)]],Table2[Abundance in RT (g protein/g all proteins)])</f>
        <v>344</v>
      </c>
      <c r="H268">
        <f>LOG(Table2[[#This Row],[Abundance in SC (g protein/g all proteins)]])</f>
        <v>-3.6591522008017896</v>
      </c>
      <c r="I268">
        <f>LOG(Table2[[#This Row],[Abundance in RT (g protein/g all proteins)]])</f>
        <v>-4.0644927341752872</v>
      </c>
    </row>
    <row r="269" spans="1:9" x14ac:dyDescent="0.2">
      <c r="A269" t="s">
        <v>2500</v>
      </c>
      <c r="B269">
        <v>1.28258027055313E-4</v>
      </c>
      <c r="C269">
        <v>2.61E-4</v>
      </c>
      <c r="D269">
        <f t="shared" si="4"/>
        <v>9.3862749217269391E-5</v>
      </c>
      <c r="E269">
        <f>Table2[[#This Row],[distance from 45-degree line]]/MAX(Table2[[Abundance in SC (g protein/g all proteins)]:[Abundance in RT (g protein/g all proteins)]])</f>
        <v>3.2240081793648541E-3</v>
      </c>
      <c r="F269">
        <f>_xlfn.RANK.AVG(Table2[[#This Row],[Abundance in SC (g protein/g all proteins)]],Table2[Abundance in SC (g protein/g all proteins)])</f>
        <v>260</v>
      </c>
      <c r="G269">
        <f>_xlfn.RANK.AVG(Table2[[#This Row],[Abundance in RT (g protein/g all proteins)]],Table2[Abundance in RT (g protein/g all proteins)])</f>
        <v>215</v>
      </c>
      <c r="H269">
        <f>LOG(Table2[[#This Row],[Abundance in SC (g protein/g all proteins)]])</f>
        <v>-3.8919154449550408</v>
      </c>
      <c r="I269">
        <f>LOG(Table2[[#This Row],[Abundance in RT (g protein/g all proteins)]])</f>
        <v>-3.5833594926617192</v>
      </c>
    </row>
    <row r="270" spans="1:9" x14ac:dyDescent="0.2">
      <c r="A270" t="s">
        <v>2664</v>
      </c>
      <c r="B270">
        <v>1.03644158043664E-4</v>
      </c>
      <c r="C270">
        <v>2.3599999999999999E-4</v>
      </c>
      <c r="D270">
        <f t="shared" si="4"/>
        <v>9.3589713376980129E-5</v>
      </c>
      <c r="E270">
        <f>Table2[[#This Row],[distance from 45-degree line]]/MAX(Table2[[Abundance in SC (g protein/g all proteins)]:[Abundance in RT (g protein/g all proteins)]])</f>
        <v>3.2146299138687655E-3</v>
      </c>
      <c r="F270">
        <f>_xlfn.RANK.AVG(Table2[[#This Row],[Abundance in SC (g protein/g all proteins)]],Table2[Abundance in SC (g protein/g all proteins)])</f>
        <v>276</v>
      </c>
      <c r="G270">
        <f>_xlfn.RANK.AVG(Table2[[#This Row],[Abundance in RT (g protein/g all proteins)]],Table2[Abundance in RT (g protein/g all proteins)])</f>
        <v>230</v>
      </c>
      <c r="H270">
        <f>LOG(Table2[[#This Row],[Abundance in SC (g protein/g all proteins)]])</f>
        <v>-3.9844551721123511</v>
      </c>
      <c r="I270">
        <f>LOG(Table2[[#This Row],[Abundance in RT (g protein/g all proteins)]])</f>
        <v>-3.6270879970298933</v>
      </c>
    </row>
    <row r="271" spans="1:9" x14ac:dyDescent="0.2">
      <c r="A271" t="s">
        <v>2327</v>
      </c>
      <c r="B271">
        <v>6.3355285806496403E-4</v>
      </c>
      <c r="C271">
        <v>5.0299999999999997E-4</v>
      </c>
      <c r="D271">
        <f t="shared" si="4"/>
        <v>9.2314811241020931E-5</v>
      </c>
      <c r="E271">
        <f>Table2[[#This Row],[distance from 45-degree line]]/MAX(Table2[[Abundance in SC (g protein/g all proteins)]:[Abundance in RT (g protein/g all proteins)]])</f>
        <v>3.1708394331029844E-3</v>
      </c>
      <c r="F271">
        <f>_xlfn.RANK.AVG(Table2[[#This Row],[Abundance in SC (g protein/g all proteins)]],Table2[Abundance in SC (g protein/g all proteins)])</f>
        <v>129</v>
      </c>
      <c r="G271">
        <f>_xlfn.RANK.AVG(Table2[[#This Row],[Abundance in RT (g protein/g all proteins)]],Table2[Abundance in RT (g protein/g all proteins)])</f>
        <v>146</v>
      </c>
      <c r="H271">
        <f>LOG(Table2[[#This Row],[Abundance in SC (g protein/g all proteins)]])</f>
        <v>-3.1982171455661916</v>
      </c>
      <c r="I271">
        <f>LOG(Table2[[#This Row],[Abundance in RT (g protein/g all proteins)]])</f>
        <v>-3.2984320149440727</v>
      </c>
    </row>
    <row r="272" spans="1:9" x14ac:dyDescent="0.2">
      <c r="A272" t="s">
        <v>2745</v>
      </c>
      <c r="B272">
        <v>1.2003794307964299E-3</v>
      </c>
      <c r="C272">
        <v>1.072E-3</v>
      </c>
      <c r="D272">
        <f t="shared" si="4"/>
        <v>9.0777966081024642E-5</v>
      </c>
      <c r="E272">
        <f>Table2[[#This Row],[distance from 45-degree line]]/MAX(Table2[[Abundance in SC (g protein/g all proteins)]:[Abundance in RT (g protein/g all proteins)]])</f>
        <v>3.1180517041310132E-3</v>
      </c>
      <c r="F272">
        <f>_xlfn.RANK.AVG(Table2[[#This Row],[Abundance in SC (g protein/g all proteins)]],Table2[Abundance in SC (g protein/g all proteins)])</f>
        <v>74</v>
      </c>
      <c r="G272">
        <f>_xlfn.RANK.AVG(Table2[[#This Row],[Abundance in RT (g protein/g all proteins)]],Table2[Abundance in RT (g protein/g all proteins)])</f>
        <v>81</v>
      </c>
      <c r="H272">
        <f>LOG(Table2[[#This Row],[Abundance in SC (g protein/g all proteins)]])</f>
        <v>-2.9206814550733631</v>
      </c>
      <c r="I272">
        <f>LOG(Table2[[#This Row],[Abundance in RT (g protein/g all proteins)]])</f>
        <v>-2.969805214643249</v>
      </c>
    </row>
    <row r="273" spans="1:9" x14ac:dyDescent="0.2">
      <c r="A273" t="s">
        <v>2681</v>
      </c>
      <c r="B273">
        <v>1.6749442232668601E-4</v>
      </c>
      <c r="C273">
        <v>4.0200000000000001E-5</v>
      </c>
      <c r="D273">
        <f t="shared" si="4"/>
        <v>9.0010749234423933E-5</v>
      </c>
      <c r="E273">
        <f>Table2[[#This Row],[distance from 45-degree line]]/MAX(Table2[[Abundance in SC (g protein/g all proteins)]:[Abundance in RT (g protein/g all proteins)]])</f>
        <v>3.0916992543102476E-3</v>
      </c>
      <c r="F273">
        <f>_xlfn.RANK.AVG(Table2[[#This Row],[Abundance in SC (g protein/g all proteins)]],Table2[Abundance in SC (g protein/g all proteins)])</f>
        <v>235</v>
      </c>
      <c r="G273">
        <f>_xlfn.RANK.AVG(Table2[[#This Row],[Abundance in RT (g protein/g all proteins)]],Table2[Abundance in RT (g protein/g all proteins)])</f>
        <v>430.5</v>
      </c>
      <c r="H273">
        <f>LOG(Table2[[#This Row],[Abundance in SC (g protein/g all proteins)]])</f>
        <v>-3.7759996506753426</v>
      </c>
      <c r="I273">
        <f>LOG(Table2[[#This Row],[Abundance in RT (g protein/g all proteins)]])</f>
        <v>-4.3957739469155301</v>
      </c>
    </row>
    <row r="274" spans="1:9" x14ac:dyDescent="0.2">
      <c r="A274" t="s">
        <v>2555</v>
      </c>
      <c r="B274">
        <v>9.7402248673042697E-4</v>
      </c>
      <c r="C274">
        <v>1.101E-3</v>
      </c>
      <c r="D274">
        <f t="shared" si="4"/>
        <v>8.9786660691119894E-5</v>
      </c>
      <c r="E274">
        <f>Table2[[#This Row],[distance from 45-degree line]]/MAX(Table2[[Abundance in SC (g protein/g all proteins)]:[Abundance in RT (g protein/g all proteins)]])</f>
        <v>3.084002236030484E-3</v>
      </c>
      <c r="F274">
        <f>_xlfn.RANK.AVG(Table2[[#This Row],[Abundance in SC (g protein/g all proteins)]],Table2[Abundance in SC (g protein/g all proteins)])</f>
        <v>92</v>
      </c>
      <c r="G274">
        <f>_xlfn.RANK.AVG(Table2[[#This Row],[Abundance in RT (g protein/g all proteins)]],Table2[Abundance in RT (g protein/g all proteins)])</f>
        <v>77</v>
      </c>
      <c r="H274">
        <f>LOG(Table2[[#This Row],[Abundance in SC (g protein/g all proteins)]])</f>
        <v>-3.011431016683797</v>
      </c>
      <c r="I274">
        <f>LOG(Table2[[#This Row],[Abundance in RT (g protein/g all proteins)]])</f>
        <v>-2.9582126810282481</v>
      </c>
    </row>
    <row r="275" spans="1:9" x14ac:dyDescent="0.2">
      <c r="A275" t="s">
        <v>2454</v>
      </c>
      <c r="B275">
        <v>1.9935185052713899E-4</v>
      </c>
      <c r="C275">
        <v>3.2600000000000001E-4</v>
      </c>
      <c r="D275">
        <f t="shared" si="4"/>
        <v>8.9553765316987492E-5</v>
      </c>
      <c r="E275">
        <f>Table2[[#This Row],[distance from 45-degree line]]/MAX(Table2[[Abundance in SC (g protein/g all proteins)]:[Abundance in RT (g protein/g all proteins)]])</f>
        <v>3.0760027197431327E-3</v>
      </c>
      <c r="F275">
        <f>_xlfn.RANK.AVG(Table2[[#This Row],[Abundance in SC (g protein/g all proteins)]],Table2[Abundance in SC (g protein/g all proteins)])</f>
        <v>220</v>
      </c>
      <c r="G275">
        <f>_xlfn.RANK.AVG(Table2[[#This Row],[Abundance in RT (g protein/g all proteins)]],Table2[Abundance in RT (g protein/g all proteins)])</f>
        <v>186.5</v>
      </c>
      <c r="H275">
        <f>LOG(Table2[[#This Row],[Abundance in SC (g protein/g all proteins)]])</f>
        <v>-3.7003797285493927</v>
      </c>
      <c r="I275">
        <f>LOG(Table2[[#This Row],[Abundance in RT (g protein/g all proteins)]])</f>
        <v>-3.4867823999320611</v>
      </c>
    </row>
    <row r="276" spans="1:9" x14ac:dyDescent="0.2">
      <c r="A276" t="s">
        <v>2560</v>
      </c>
      <c r="B276">
        <v>1.8352498009729701E-4</v>
      </c>
      <c r="C276">
        <v>5.7800000000000002E-5</v>
      </c>
      <c r="D276">
        <f t="shared" si="4"/>
        <v>8.8900985991342439E-5</v>
      </c>
      <c r="E276">
        <f>Table2[[#This Row],[distance from 45-degree line]]/MAX(Table2[[Abundance in SC (g protein/g all proteins)]:[Abundance in RT (g protein/g all proteins)]])</f>
        <v>3.0535809826562682E-3</v>
      </c>
      <c r="F276">
        <f>_xlfn.RANK.AVG(Table2[[#This Row],[Abundance in SC (g protein/g all proteins)]],Table2[Abundance in SC (g protein/g all proteins)])</f>
        <v>227</v>
      </c>
      <c r="G276">
        <f>_xlfn.RANK.AVG(Table2[[#This Row],[Abundance in RT (g protein/g all proteins)]],Table2[Abundance in RT (g protein/g all proteins)])</f>
        <v>394</v>
      </c>
      <c r="H276">
        <f>LOG(Table2[[#This Row],[Abundance in SC (g protein/g all proteins)]])</f>
        <v>-3.7363048143543698</v>
      </c>
      <c r="I276">
        <f>LOG(Table2[[#This Row],[Abundance in RT (g protein/g all proteins)]])</f>
        <v>-4.2380721615794705</v>
      </c>
    </row>
    <row r="277" spans="1:9" x14ac:dyDescent="0.2">
      <c r="A277" t="s">
        <v>2781</v>
      </c>
      <c r="B277">
        <v>1.5133281360455201E-4</v>
      </c>
      <c r="C277">
        <v>2.72E-4</v>
      </c>
      <c r="D277">
        <f t="shared" si="4"/>
        <v>8.5324585766922379E-5</v>
      </c>
      <c r="E277">
        <f>Table2[[#This Row],[distance from 45-degree line]]/MAX(Table2[[Abundance in SC (g protein/g all proteins)]:[Abundance in RT (g protein/g all proteins)]])</f>
        <v>2.9307383888438642E-3</v>
      </c>
      <c r="F277">
        <f>_xlfn.RANK.AVG(Table2[[#This Row],[Abundance in SC (g protein/g all proteins)]],Table2[Abundance in SC (g protein/g all proteins)])</f>
        <v>243</v>
      </c>
      <c r="G277">
        <f>_xlfn.RANK.AVG(Table2[[#This Row],[Abundance in RT (g protein/g all proteins)]],Table2[Abundance in RT (g protein/g all proteins)])</f>
        <v>210</v>
      </c>
      <c r="H277">
        <f>LOG(Table2[[#This Row],[Abundance in SC (g protein/g all proteins)]])</f>
        <v>-3.8200668933761888</v>
      </c>
      <c r="I277">
        <f>LOG(Table2[[#This Row],[Abundance in RT (g protein/g all proteins)]])</f>
        <v>-3.5654310959658013</v>
      </c>
    </row>
    <row r="278" spans="1:9" x14ac:dyDescent="0.2">
      <c r="A278" t="s">
        <v>2367</v>
      </c>
      <c r="B278">
        <v>7.4463792709830701E-5</v>
      </c>
      <c r="C278">
        <v>1.94E-4</v>
      </c>
      <c r="D278">
        <f t="shared" si="4"/>
        <v>8.4524862772199528E-5</v>
      </c>
      <c r="E278">
        <f>Table2[[#This Row],[distance from 45-degree line]]/MAX(Table2[[Abundance in SC (g protein/g all proteins)]:[Abundance in RT (g protein/g all proteins)]])</f>
        <v>2.9032694142217329E-3</v>
      </c>
      <c r="F278">
        <f>_xlfn.RANK.AVG(Table2[[#This Row],[Abundance in SC (g protein/g all proteins)]],Table2[Abundance in SC (g protein/g all proteins)])</f>
        <v>305</v>
      </c>
      <c r="G278">
        <f>_xlfn.RANK.AVG(Table2[[#This Row],[Abundance in RT (g protein/g all proteins)]],Table2[Abundance in RT (g protein/g all proteins)])</f>
        <v>252</v>
      </c>
      <c r="H278">
        <f>LOG(Table2[[#This Row],[Abundance in SC (g protein/g all proteins)]])</f>
        <v>-4.1280548473681975</v>
      </c>
      <c r="I278">
        <f>LOG(Table2[[#This Row],[Abundance in RT (g protein/g all proteins)]])</f>
        <v>-3.712198270069774</v>
      </c>
    </row>
    <row r="279" spans="1:9" x14ac:dyDescent="0.2">
      <c r="A279" t="s">
        <v>2371</v>
      </c>
      <c r="B279">
        <v>6.4674353004705201E-4</v>
      </c>
      <c r="C279">
        <v>7.6599999999999997E-4</v>
      </c>
      <c r="D279">
        <f t="shared" si="4"/>
        <v>8.4327058604099242E-5</v>
      </c>
      <c r="E279">
        <f>Table2[[#This Row],[distance from 45-degree line]]/MAX(Table2[[Abundance in SC (g protein/g all proteins)]:[Abundance in RT (g protein/g all proteins)]])</f>
        <v>2.8964752145931708E-3</v>
      </c>
      <c r="F279">
        <f>_xlfn.RANK.AVG(Table2[[#This Row],[Abundance in SC (g protein/g all proteins)]],Table2[Abundance in SC (g protein/g all proteins)])</f>
        <v>126</v>
      </c>
      <c r="G279">
        <f>_xlfn.RANK.AVG(Table2[[#This Row],[Abundance in RT (g protein/g all proteins)]],Table2[Abundance in RT (g protein/g all proteins)])</f>
        <v>109</v>
      </c>
      <c r="H279">
        <f>LOG(Table2[[#This Row],[Abundance in SC (g protein/g all proteins)]])</f>
        <v>-3.1892679072251311</v>
      </c>
      <c r="I279">
        <f>LOG(Table2[[#This Row],[Abundance in RT (g protein/g all proteins)]])</f>
        <v>-3.1157712303673959</v>
      </c>
    </row>
    <row r="280" spans="1:9" x14ac:dyDescent="0.2">
      <c r="A280" t="s">
        <v>2561</v>
      </c>
      <c r="B280">
        <v>7.1065477772223103E-4</v>
      </c>
      <c r="C280">
        <v>8.2200000000000003E-4</v>
      </c>
      <c r="D280">
        <f t="shared" si="4"/>
        <v>7.8732961725333896E-5</v>
      </c>
      <c r="E280">
        <f>Table2[[#This Row],[distance from 45-degree line]]/MAX(Table2[[Abundance in SC (g protein/g all proteins)]:[Abundance in RT (g protein/g all proteins)]])</f>
        <v>2.7043285510477502E-3</v>
      </c>
      <c r="F280">
        <f>_xlfn.RANK.AVG(Table2[[#This Row],[Abundance in SC (g protein/g all proteins)]],Table2[Abundance in SC (g protein/g all proteins)])</f>
        <v>116</v>
      </c>
      <c r="G280">
        <f>_xlfn.RANK.AVG(Table2[[#This Row],[Abundance in RT (g protein/g all proteins)]],Table2[Abundance in RT (g protein/g all proteins)])</f>
        <v>101</v>
      </c>
      <c r="H280">
        <f>LOG(Table2[[#This Row],[Abundance in SC (g protein/g all proteins)]])</f>
        <v>-3.1483413198615917</v>
      </c>
      <c r="I280">
        <f>LOG(Table2[[#This Row],[Abundance in RT (g protein/g all proteins)]])</f>
        <v>-3.0851281824599495</v>
      </c>
    </row>
    <row r="281" spans="1:9" x14ac:dyDescent="0.2">
      <c r="A281" t="s">
        <v>2317</v>
      </c>
      <c r="B281">
        <v>1.99069893148011E-4</v>
      </c>
      <c r="C281">
        <v>8.8300000000000005E-5</v>
      </c>
      <c r="D281">
        <f t="shared" si="4"/>
        <v>7.8326142596267851E-5</v>
      </c>
      <c r="E281">
        <f>Table2[[#This Row],[distance from 45-degree line]]/MAX(Table2[[Abundance in SC (g protein/g all proteins)]:[Abundance in RT (g protein/g all proteins)]])</f>
        <v>2.6903550822268548E-3</v>
      </c>
      <c r="F281">
        <f>_xlfn.RANK.AVG(Table2[[#This Row],[Abundance in SC (g protein/g all proteins)]],Table2[Abundance in SC (g protein/g all proteins)])</f>
        <v>221</v>
      </c>
      <c r="G281">
        <f>_xlfn.RANK.AVG(Table2[[#This Row],[Abundance in RT (g protein/g all proteins)]],Table2[Abundance in RT (g protein/g all proteins)])</f>
        <v>338.5</v>
      </c>
      <c r="H281">
        <f>LOG(Table2[[#This Row],[Abundance in SC (g protein/g all proteins)]])</f>
        <v>-3.7009944166595337</v>
      </c>
      <c r="I281">
        <f>LOG(Table2[[#This Row],[Abundance in RT (g protein/g all proteins)]])</f>
        <v>-4.054039296422431</v>
      </c>
    </row>
    <row r="282" spans="1:9" x14ac:dyDescent="0.2">
      <c r="A282" t="s">
        <v>2709</v>
      </c>
      <c r="B282">
        <v>4.0434453018434099E-5</v>
      </c>
      <c r="C282">
        <v>1.5100000000000001E-4</v>
      </c>
      <c r="D282">
        <f t="shared" si="4"/>
        <v>7.818164803626506E-5</v>
      </c>
      <c r="E282">
        <f>Table2[[#This Row],[distance from 45-degree line]]/MAX(Table2[[Abundance in SC (g protein/g all proteins)]:[Abundance in RT (g protein/g all proteins)]])</f>
        <v>2.6853919669632652E-3</v>
      </c>
      <c r="F282">
        <f>_xlfn.RANK.AVG(Table2[[#This Row],[Abundance in SC (g protein/g all proteins)]],Table2[Abundance in SC (g protein/g all proteins)])</f>
        <v>377</v>
      </c>
      <c r="G282">
        <f>_xlfn.RANK.AVG(Table2[[#This Row],[Abundance in RT (g protein/g all proteins)]],Table2[Abundance in RT (g protein/g all proteins)])</f>
        <v>276.5</v>
      </c>
      <c r="H282">
        <f>LOG(Table2[[#This Row],[Abundance in SC (g protein/g all proteins)]])</f>
        <v>-4.3932484274805947</v>
      </c>
      <c r="I282">
        <f>LOG(Table2[[#This Row],[Abundance in RT (g protein/g all proteins)]])</f>
        <v>-3.8210230527068307</v>
      </c>
    </row>
    <row r="283" spans="1:9" x14ac:dyDescent="0.2">
      <c r="A283" t="s">
        <v>2779</v>
      </c>
      <c r="B283">
        <v>7.1885284394183096E-5</v>
      </c>
      <c r="C283">
        <v>1.8000000000000001E-4</v>
      </c>
      <c r="D283">
        <f t="shared" si="4"/>
        <v>7.6448648550928196E-5</v>
      </c>
      <c r="E283">
        <f>Table2[[#This Row],[distance from 45-degree line]]/MAX(Table2[[Abundance in SC (g protein/g all proteins)]:[Abundance in RT (g protein/g all proteins)]])</f>
        <v>2.6258667073458626E-3</v>
      </c>
      <c r="F283">
        <f>_xlfn.RANK.AVG(Table2[[#This Row],[Abundance in SC (g protein/g all proteins)]],Table2[Abundance in SC (g protein/g all proteins)])</f>
        <v>311</v>
      </c>
      <c r="G283">
        <f>_xlfn.RANK.AVG(Table2[[#This Row],[Abundance in RT (g protein/g all proteins)]],Table2[Abundance in RT (g protein/g all proteins)])</f>
        <v>263</v>
      </c>
      <c r="H283">
        <f>LOG(Table2[[#This Row],[Abundance in SC (g protein/g all proteins)]])</f>
        <v>-4.1433600047561905</v>
      </c>
      <c r="I283">
        <f>LOG(Table2[[#This Row],[Abundance in RT (g protein/g all proteins)]])</f>
        <v>-3.744727494896694</v>
      </c>
    </row>
    <row r="284" spans="1:9" x14ac:dyDescent="0.2">
      <c r="A284" t="s">
        <v>2857</v>
      </c>
      <c r="B284">
        <v>1.4543557563311601E-4</v>
      </c>
      <c r="C284">
        <v>2.5300000000000002E-4</v>
      </c>
      <c r="D284">
        <f t="shared" si="4"/>
        <v>7.6059533884251191E-5</v>
      </c>
      <c r="E284">
        <f>Table2[[#This Row],[distance from 45-degree line]]/MAX(Table2[[Abundance in SC (g protein/g all proteins)]:[Abundance in RT (g protein/g all proteins)]])</f>
        <v>2.6125013533738238E-3</v>
      </c>
      <c r="F284">
        <f>_xlfn.RANK.AVG(Table2[[#This Row],[Abundance in SC (g protein/g all proteins)]],Table2[Abundance in SC (g protein/g all proteins)])</f>
        <v>249</v>
      </c>
      <c r="G284">
        <f>_xlfn.RANK.AVG(Table2[[#This Row],[Abundance in RT (g protein/g all proteins)]],Table2[Abundance in RT (g protein/g all proteins)])</f>
        <v>219</v>
      </c>
      <c r="H284">
        <f>LOG(Table2[[#This Row],[Abundance in SC (g protein/g all proteins)]])</f>
        <v>-3.8373293458063107</v>
      </c>
      <c r="I284">
        <f>LOG(Table2[[#This Row],[Abundance in RT (g protein/g all proteins)]])</f>
        <v>-3.596879478824182</v>
      </c>
    </row>
    <row r="285" spans="1:9" x14ac:dyDescent="0.2">
      <c r="A285" t="s">
        <v>2456</v>
      </c>
      <c r="B285">
        <v>1.43875949036858E-5</v>
      </c>
      <c r="C285">
        <v>1.2E-4</v>
      </c>
      <c r="D285">
        <f t="shared" si="4"/>
        <v>7.4679247821024465E-5</v>
      </c>
      <c r="E285">
        <f>Table2[[#This Row],[distance from 45-degree line]]/MAX(Table2[[Abundance in SC (g protein/g all proteins)]:[Abundance in RT (g protein/g all proteins)]])</f>
        <v>2.5650911337199598E-3</v>
      </c>
      <c r="F285">
        <f>_xlfn.RANK.AVG(Table2[[#This Row],[Abundance in SC (g protein/g all proteins)]],Table2[Abundance in SC (g protein/g all proteins)])</f>
        <v>470</v>
      </c>
      <c r="G285">
        <f>_xlfn.RANK.AVG(Table2[[#This Row],[Abundance in RT (g protein/g all proteins)]],Table2[Abundance in RT (g protein/g all proteins)])</f>
        <v>300</v>
      </c>
      <c r="H285">
        <f>LOG(Table2[[#This Row],[Abundance in SC (g protein/g all proteins)]])</f>
        <v>-4.8420117986524298</v>
      </c>
      <c r="I285">
        <f>LOG(Table2[[#This Row],[Abundance in RT (g protein/g all proteins)]])</f>
        <v>-3.9208187539523753</v>
      </c>
    </row>
    <row r="286" spans="1:9" x14ac:dyDescent="0.2">
      <c r="A286" t="s">
        <v>2463</v>
      </c>
      <c r="B286">
        <v>1.4411711539230799E-4</v>
      </c>
      <c r="C286">
        <v>2.4800000000000001E-4</v>
      </c>
      <c r="D286">
        <f t="shared" si="4"/>
        <v>7.3456292155318637E-5</v>
      </c>
      <c r="E286">
        <f>Table2[[#This Row],[distance from 45-degree line]]/MAX(Table2[[Abundance in SC (g protein/g all proteins)]:[Abundance in RT (g protein/g all proteins)]])</f>
        <v>2.5230849161084396E-3</v>
      </c>
      <c r="F286">
        <f>_xlfn.RANK.AVG(Table2[[#This Row],[Abundance in SC (g protein/g all proteins)]],Table2[Abundance in SC (g protein/g all proteins)])</f>
        <v>251</v>
      </c>
      <c r="G286">
        <f>_xlfn.RANK.AVG(Table2[[#This Row],[Abundance in RT (g protein/g all proteins)]],Table2[Abundance in RT (g protein/g all proteins)])</f>
        <v>221.5</v>
      </c>
      <c r="H286">
        <f>LOG(Table2[[#This Row],[Abundance in SC (g protein/g all proteins)]])</f>
        <v>-3.8412844391788097</v>
      </c>
      <c r="I286">
        <f>LOG(Table2[[#This Row],[Abundance in RT (g protein/g all proteins)]])</f>
        <v>-3.6055483191737836</v>
      </c>
    </row>
    <row r="287" spans="1:9" x14ac:dyDescent="0.2">
      <c r="A287" t="s">
        <v>2483</v>
      </c>
      <c r="B287">
        <v>4.5022058118436997E-6</v>
      </c>
      <c r="C287">
        <v>1.08E-4</v>
      </c>
      <c r="D287">
        <f t="shared" si="4"/>
        <v>7.3183992108294952E-5</v>
      </c>
      <c r="E287">
        <f>Table2[[#This Row],[distance from 45-degree line]]/MAX(Table2[[Abundance in SC (g protein/g all proteins)]:[Abundance in RT (g protein/g all proteins)]])</f>
        <v>2.5137319237215059E-3</v>
      </c>
      <c r="F287">
        <f>_xlfn.RANK.AVG(Table2[[#This Row],[Abundance in SC (g protein/g all proteins)]],Table2[Abundance in SC (g protein/g all proteins)])</f>
        <v>554</v>
      </c>
      <c r="G287">
        <f>_xlfn.RANK.AVG(Table2[[#This Row],[Abundance in RT (g protein/g all proteins)]],Table2[Abundance in RT (g protein/g all proteins)])</f>
        <v>312</v>
      </c>
      <c r="H287">
        <f>LOG(Table2[[#This Row],[Abundance in SC (g protein/g all proteins)]])</f>
        <v>-5.3465746557359894</v>
      </c>
      <c r="I287">
        <f>LOG(Table2[[#This Row],[Abundance in RT (g protein/g all proteins)]])</f>
        <v>-3.9665762445130501</v>
      </c>
    </row>
    <row r="288" spans="1:9" x14ac:dyDescent="0.2">
      <c r="A288" t="s">
        <v>2635</v>
      </c>
      <c r="B288">
        <v>1.4756617011339301E-6</v>
      </c>
      <c r="C288">
        <v>1.0399999999999999E-4</v>
      </c>
      <c r="D288">
        <f t="shared" si="4"/>
        <v>7.2495654847791854E-5</v>
      </c>
      <c r="E288">
        <f>Table2[[#This Row],[distance from 45-degree line]]/MAX(Table2[[Abundance in SC (g protein/g all proteins)]:[Abundance in RT (g protein/g all proteins)]])</f>
        <v>2.490088838722081E-3</v>
      </c>
      <c r="F288">
        <f>_xlfn.RANK.AVG(Table2[[#This Row],[Abundance in SC (g protein/g all proteins)]],Table2[Abundance in SC (g protein/g all proteins)])</f>
        <v>574</v>
      </c>
      <c r="G288">
        <f>_xlfn.RANK.AVG(Table2[[#This Row],[Abundance in RT (g protein/g all proteins)]],Table2[Abundance in RT (g protein/g all proteins)])</f>
        <v>318.5</v>
      </c>
      <c r="H288">
        <f>LOG(Table2[[#This Row],[Abundance in SC (g protein/g all proteins)]])</f>
        <v>-5.8310131941190138</v>
      </c>
      <c r="I288">
        <f>LOG(Table2[[#This Row],[Abundance in RT (g protein/g all proteins)]])</f>
        <v>-3.9829666607012197</v>
      </c>
    </row>
    <row r="289" spans="1:9" x14ac:dyDescent="0.2">
      <c r="A289" t="s">
        <v>2380</v>
      </c>
      <c r="B289">
        <v>1.01526681542618E-3</v>
      </c>
      <c r="C289">
        <v>9.1299999999999997E-4</v>
      </c>
      <c r="D289">
        <f t="shared" si="4"/>
        <v>7.2313558678204959E-5</v>
      </c>
      <c r="E289">
        <f>Table2[[#This Row],[distance from 45-degree line]]/MAX(Table2[[Abundance in SC (g protein/g all proteins)]:[Abundance in RT (g protein/g all proteins)]])</f>
        <v>2.4838341791784935E-3</v>
      </c>
      <c r="F289">
        <f>_xlfn.RANK.AVG(Table2[[#This Row],[Abundance in SC (g protein/g all proteins)]],Table2[Abundance in SC (g protein/g all proteins)])</f>
        <v>88</v>
      </c>
      <c r="G289">
        <f>_xlfn.RANK.AVG(Table2[[#This Row],[Abundance in RT (g protein/g all proteins)]],Table2[Abundance in RT (g protein/g all proteins)])</f>
        <v>94</v>
      </c>
      <c r="H289">
        <f>LOG(Table2[[#This Row],[Abundance in SC (g protein/g all proteins)]])</f>
        <v>-2.9934198087462498</v>
      </c>
      <c r="I289">
        <f>LOG(Table2[[#This Row],[Abundance in RT (g protein/g all proteins)]])</f>
        <v>-3.0395292224657009</v>
      </c>
    </row>
    <row r="290" spans="1:9" x14ac:dyDescent="0.2">
      <c r="A290" t="s">
        <v>2323</v>
      </c>
      <c r="B290">
        <v>3.7748133912506699E-6</v>
      </c>
      <c r="C290">
        <v>1.06E-4</v>
      </c>
      <c r="D290">
        <f t="shared" si="4"/>
        <v>7.2284122659106899E-5</v>
      </c>
      <c r="E290">
        <f>Table2[[#This Row],[distance from 45-degree line]]/MAX(Table2[[Abundance in SC (g protein/g all proteins)]:[Abundance in RT (g protein/g all proteins)]])</f>
        <v>2.4828231075112828E-3</v>
      </c>
      <c r="F290">
        <f>_xlfn.RANK.AVG(Table2[[#This Row],[Abundance in SC (g protein/g all proteins)]],Table2[Abundance in SC (g protein/g all proteins)])</f>
        <v>559</v>
      </c>
      <c r="G290">
        <f>_xlfn.RANK.AVG(Table2[[#This Row],[Abundance in RT (g protein/g all proteins)]],Table2[Abundance in RT (g protein/g all proteins)])</f>
        <v>316</v>
      </c>
      <c r="H290">
        <f>LOG(Table2[[#This Row],[Abundance in SC (g protein/g all proteins)]])</f>
        <v>-5.4231045129495659</v>
      </c>
      <c r="I290">
        <f>LOG(Table2[[#This Row],[Abundance in RT (g protein/g all proteins)]])</f>
        <v>-3.9746941347352296</v>
      </c>
    </row>
    <row r="291" spans="1:9" x14ac:dyDescent="0.2">
      <c r="A291" t="s">
        <v>2850</v>
      </c>
      <c r="B291">
        <v>1.42099244272896E-5</v>
      </c>
      <c r="C291">
        <v>1.15E-4</v>
      </c>
      <c r="D291">
        <f t="shared" si="4"/>
        <v>7.1269345913768114E-5</v>
      </c>
      <c r="E291">
        <f>Table2[[#This Row],[distance from 45-degree line]]/MAX(Table2[[Abundance in SC (g protein/g all proteins)]:[Abundance in RT (g protein/g all proteins)]])</f>
        <v>2.447967442676361E-3</v>
      </c>
      <c r="F291">
        <f>_xlfn.RANK.AVG(Table2[[#This Row],[Abundance in SC (g protein/g all proteins)]],Table2[Abundance in SC (g protein/g all proteins)])</f>
        <v>472</v>
      </c>
      <c r="G291">
        <f>_xlfn.RANK.AVG(Table2[[#This Row],[Abundance in RT (g protein/g all proteins)]],Table2[Abundance in RT (g protein/g all proteins)])</f>
        <v>306</v>
      </c>
      <c r="H291">
        <f>LOG(Table2[[#This Row],[Abundance in SC (g protein/g all proteins)]])</f>
        <v>-4.8474082317768499</v>
      </c>
      <c r="I291">
        <f>LOG(Table2[[#This Row],[Abundance in RT (g protein/g all proteins)]])</f>
        <v>-3.9393021596463882</v>
      </c>
    </row>
    <row r="292" spans="1:9" x14ac:dyDescent="0.2">
      <c r="A292" t="s">
        <v>2702</v>
      </c>
      <c r="B292">
        <v>2.00176786306567E-5</v>
      </c>
      <c r="C292">
        <v>1.18E-4</v>
      </c>
      <c r="D292">
        <f t="shared" si="4"/>
        <v>6.9283963876662209E-5</v>
      </c>
      <c r="E292">
        <f>Table2[[#This Row],[distance from 45-degree line]]/MAX(Table2[[Abundance in SC (g protein/g all proteins)]:[Abundance in RT (g protein/g all proteins)]])</f>
        <v>2.3797733190205855E-3</v>
      </c>
      <c r="F292">
        <f>_xlfn.RANK.AVG(Table2[[#This Row],[Abundance in SC (g protein/g all proteins)]],Table2[Abundance in SC (g protein/g all proteins)])</f>
        <v>445</v>
      </c>
      <c r="G292">
        <f>_xlfn.RANK.AVG(Table2[[#This Row],[Abundance in RT (g protein/g all proteins)]],Table2[Abundance in RT (g protein/g all proteins)])</f>
        <v>301.5</v>
      </c>
      <c r="H292">
        <f>LOG(Table2[[#This Row],[Abundance in SC (g protein/g all proteins)]])</f>
        <v>-4.6985862873137432</v>
      </c>
      <c r="I292">
        <f>LOG(Table2[[#This Row],[Abundance in RT (g protein/g all proteins)]])</f>
        <v>-3.9281179926938745</v>
      </c>
    </row>
    <row r="293" spans="1:9" x14ac:dyDescent="0.2">
      <c r="A293" t="s">
        <v>2476</v>
      </c>
      <c r="B293">
        <v>7.7932099182653296E-7</v>
      </c>
      <c r="C293">
        <v>9.7E-5</v>
      </c>
      <c r="D293">
        <f t="shared" si="4"/>
        <v>6.8038294617053533E-5</v>
      </c>
      <c r="E293">
        <f>Table2[[#This Row],[distance from 45-degree line]]/MAX(Table2[[Abundance in SC (g protein/g all proteins)]:[Abundance in RT (g protein/g all proteins)]])</f>
        <v>2.3369869323522645E-3</v>
      </c>
      <c r="F293">
        <f>_xlfn.RANK.AVG(Table2[[#This Row],[Abundance in SC (g protein/g all proteins)]],Table2[Abundance in SC (g protein/g all proteins)])</f>
        <v>584</v>
      </c>
      <c r="G293">
        <f>_xlfn.RANK.AVG(Table2[[#This Row],[Abundance in RT (g protein/g all proteins)]],Table2[Abundance in RT (g protein/g all proteins)])</f>
        <v>326</v>
      </c>
      <c r="H293">
        <f>LOG(Table2[[#This Row],[Abundance in SC (g protein/g all proteins)]])</f>
        <v>-6.1082836254268713</v>
      </c>
      <c r="I293">
        <f>LOG(Table2[[#This Row],[Abundance in RT (g protein/g all proteins)]])</f>
        <v>-4.0132282657337548</v>
      </c>
    </row>
    <row r="294" spans="1:9" x14ac:dyDescent="0.2">
      <c r="A294" t="s">
        <v>2855</v>
      </c>
      <c r="B294">
        <v>1.9700027195015699E-4</v>
      </c>
      <c r="C294">
        <v>1.02E-4</v>
      </c>
      <c r="D294">
        <f t="shared" si="4"/>
        <v>6.7175336510522159E-5</v>
      </c>
      <c r="E294">
        <f>Table2[[#This Row],[distance from 45-degree line]]/MAX(Table2[[Abundance in SC (g protein/g all proteins)]:[Abundance in RT (g protein/g all proteins)]])</f>
        <v>2.3073459510566255E-3</v>
      </c>
      <c r="F294">
        <f>_xlfn.RANK.AVG(Table2[[#This Row],[Abundance in SC (g protein/g all proteins)]],Table2[Abundance in SC (g protein/g all proteins)])</f>
        <v>222</v>
      </c>
      <c r="G294">
        <f>_xlfn.RANK.AVG(Table2[[#This Row],[Abundance in RT (g protein/g all proteins)]],Table2[Abundance in RT (g protein/g all proteins)])</f>
        <v>321</v>
      </c>
      <c r="H294">
        <f>LOG(Table2[[#This Row],[Abundance in SC (g protein/g all proteins)]])</f>
        <v>-3.7055331743136812</v>
      </c>
      <c r="I294">
        <f>LOG(Table2[[#This Row],[Abundance in RT (g protein/g all proteins)]])</f>
        <v>-3.9913998282380825</v>
      </c>
    </row>
    <row r="295" spans="1:9" x14ac:dyDescent="0.2">
      <c r="A295" t="s">
        <v>2776</v>
      </c>
      <c r="B295">
        <v>2.9246071599382199E-5</v>
      </c>
      <c r="C295">
        <v>1.2400000000000001E-4</v>
      </c>
      <c r="D295">
        <f t="shared" si="4"/>
        <v>6.7001145316141449E-5</v>
      </c>
      <c r="E295">
        <f>Table2[[#This Row],[distance from 45-degree line]]/MAX(Table2[[Abundance in SC (g protein/g all proteins)]:[Abundance in RT (g protein/g all proteins)]])</f>
        <v>2.3013628124831237E-3</v>
      </c>
      <c r="F295">
        <f>_xlfn.RANK.AVG(Table2[[#This Row],[Abundance in SC (g protein/g all proteins)]],Table2[Abundance in SC (g protein/g all proteins)])</f>
        <v>402</v>
      </c>
      <c r="G295">
        <f>_xlfn.RANK.AVG(Table2[[#This Row],[Abundance in RT (g protein/g all proteins)]],Table2[Abundance in RT (g protein/g all proteins)])</f>
        <v>294.5</v>
      </c>
      <c r="H295">
        <f>LOG(Table2[[#This Row],[Abundance in SC (g protein/g all proteins)]])</f>
        <v>-4.5339324611130278</v>
      </c>
      <c r="I295">
        <f>LOG(Table2[[#This Row],[Abundance in RT (g protein/g all proteins)]])</f>
        <v>-3.9065783148377649</v>
      </c>
    </row>
    <row r="296" spans="1:9" x14ac:dyDescent="0.2">
      <c r="A296" t="s">
        <v>2712</v>
      </c>
      <c r="B296">
        <v>1.12740937079319E-3</v>
      </c>
      <c r="C296">
        <v>1.222E-3</v>
      </c>
      <c r="D296">
        <f t="shared" si="4"/>
        <v>6.6885675348837652E-5</v>
      </c>
      <c r="E296">
        <f>Table2[[#This Row],[distance from 45-degree line]]/MAX(Table2[[Abundance in SC (g protein/g all proteins)]:[Abundance in RT (g protein/g all proteins)]])</f>
        <v>2.2973966371669001E-3</v>
      </c>
      <c r="F296">
        <f>_xlfn.RANK.AVG(Table2[[#This Row],[Abundance in SC (g protein/g all proteins)]],Table2[Abundance in SC (g protein/g all proteins)])</f>
        <v>77</v>
      </c>
      <c r="G296">
        <f>_xlfn.RANK.AVG(Table2[[#This Row],[Abundance in RT (g protein/g all proteins)]],Table2[Abundance in RT (g protein/g all proteins)])</f>
        <v>73</v>
      </c>
      <c r="H296">
        <f>LOG(Table2[[#This Row],[Abundance in SC (g protein/g all proteins)]])</f>
        <v>-2.9479183597350427</v>
      </c>
      <c r="I296">
        <f>LOG(Table2[[#This Row],[Abundance in RT (g protein/g all proteins)]])</f>
        <v>-2.9129287940934647</v>
      </c>
    </row>
    <row r="297" spans="1:9" x14ac:dyDescent="0.2">
      <c r="A297" t="s">
        <v>2821</v>
      </c>
      <c r="B297">
        <v>1.19276040306266E-6</v>
      </c>
      <c r="C297">
        <v>9.4400000000000004E-5</v>
      </c>
      <c r="D297">
        <f t="shared" si="4"/>
        <v>6.5907471174673677E-5</v>
      </c>
      <c r="E297">
        <f>Table2[[#This Row],[distance from 45-degree line]]/MAX(Table2[[Abundance in SC (g protein/g all proteins)]:[Abundance in RT (g protein/g all proteins)]])</f>
        <v>2.2637971710859168E-3</v>
      </c>
      <c r="F297">
        <f>_xlfn.RANK.AVG(Table2[[#This Row],[Abundance in SC (g protein/g all proteins)]],Table2[Abundance in SC (g protein/g all proteins)])</f>
        <v>578</v>
      </c>
      <c r="G297">
        <f>_xlfn.RANK.AVG(Table2[[#This Row],[Abundance in RT (g protein/g all proteins)]],Table2[Abundance in RT (g protein/g all proteins)])</f>
        <v>331</v>
      </c>
      <c r="H297">
        <f>LOG(Table2[[#This Row],[Abundance in SC (g protein/g all proteins)]])</f>
        <v>-5.9234467869065295</v>
      </c>
      <c r="I297">
        <f>LOG(Table2[[#This Row],[Abundance in RT (g protein/g all proteins)]])</f>
        <v>-4.0250280057019312</v>
      </c>
    </row>
    <row r="298" spans="1:9" x14ac:dyDescent="0.2">
      <c r="A298" t="s">
        <v>2723</v>
      </c>
      <c r="B298">
        <v>6.0706997527089097E-4</v>
      </c>
      <c r="C298">
        <v>6.9999999999999999E-4</v>
      </c>
      <c r="D298">
        <f t="shared" si="4"/>
        <v>6.5711450661786543E-5</v>
      </c>
      <c r="E298">
        <f>Table2[[#This Row],[distance from 45-degree line]]/MAX(Table2[[Abundance in SC (g protein/g all proteins)]:[Abundance in RT (g protein/g all proteins)]])</f>
        <v>2.2570642366455608E-3</v>
      </c>
      <c r="F298">
        <f>_xlfn.RANK.AVG(Table2[[#This Row],[Abundance in SC (g protein/g all proteins)]],Table2[Abundance in SC (g protein/g all proteins)])</f>
        <v>133</v>
      </c>
      <c r="G298">
        <f>_xlfn.RANK.AVG(Table2[[#This Row],[Abundance in RT (g protein/g all proteins)]],Table2[Abundance in RT (g protein/g all proteins)])</f>
        <v>117</v>
      </c>
      <c r="H298">
        <f>LOG(Table2[[#This Row],[Abundance in SC (g protein/g all proteins)]])</f>
        <v>-3.2167612461200106</v>
      </c>
      <c r="I298">
        <f>LOG(Table2[[#This Row],[Abundance in RT (g protein/g all proteins)]])</f>
        <v>-3.1549019599857431</v>
      </c>
    </row>
    <row r="299" spans="1:9" x14ac:dyDescent="0.2">
      <c r="A299" t="s">
        <v>2592</v>
      </c>
      <c r="B299">
        <v>2.1279322857645899E-5</v>
      </c>
      <c r="C299">
        <v>1.1400000000000001E-4</v>
      </c>
      <c r="D299">
        <f t="shared" si="4"/>
        <v>6.5563419563567098E-5</v>
      </c>
      <c r="E299">
        <f>Table2[[#This Row],[distance from 45-degree line]]/MAX(Table2[[Abundance in SC (g protein/g all proteins)]:[Abundance in RT (g protein/g all proteins)]])</f>
        <v>2.251979647972848E-3</v>
      </c>
      <c r="F299">
        <f>_xlfn.RANK.AVG(Table2[[#This Row],[Abundance in SC (g protein/g all proteins)]],Table2[Abundance in SC (g protein/g all proteins)])</f>
        <v>437</v>
      </c>
      <c r="G299">
        <f>_xlfn.RANK.AVG(Table2[[#This Row],[Abundance in RT (g protein/g all proteins)]],Table2[Abundance in RT (g protein/g all proteins)])</f>
        <v>307.5</v>
      </c>
      <c r="H299">
        <f>LOG(Table2[[#This Row],[Abundance in SC (g protein/g all proteins)]])</f>
        <v>-4.672042196107574</v>
      </c>
      <c r="I299">
        <f>LOG(Table2[[#This Row],[Abundance in RT (g protein/g all proteins)]])</f>
        <v>-3.9430951486635273</v>
      </c>
    </row>
    <row r="300" spans="1:9" x14ac:dyDescent="0.2">
      <c r="A300" t="s">
        <v>2547</v>
      </c>
      <c r="B300">
        <v>1.3227318669268101E-4</v>
      </c>
      <c r="C300">
        <v>4.0200000000000001E-5</v>
      </c>
      <c r="D300">
        <f t="shared" si="4"/>
        <v>6.5105574675849721E-5</v>
      </c>
      <c r="E300">
        <f>Table2[[#This Row],[distance from 45-degree line]]/MAX(Table2[[Abundance in SC (g protein/g all proteins)]:[Abundance in RT (g protein/g all proteins)]])</f>
        <v>2.2362535407024929E-3</v>
      </c>
      <c r="F300">
        <f>_xlfn.RANK.AVG(Table2[[#This Row],[Abundance in SC (g protein/g all proteins)]],Table2[Abundance in SC (g protein/g all proteins)])</f>
        <v>256</v>
      </c>
      <c r="G300">
        <f>_xlfn.RANK.AVG(Table2[[#This Row],[Abundance in RT (g protein/g all proteins)]],Table2[Abundance in RT (g protein/g all proteins)])</f>
        <v>430.5</v>
      </c>
      <c r="H300">
        <f>LOG(Table2[[#This Row],[Abundance in SC (g protein/g all proteins)]])</f>
        <v>-3.8785281834134486</v>
      </c>
      <c r="I300">
        <f>LOG(Table2[[#This Row],[Abundance in RT (g protein/g all proteins)]])</f>
        <v>-4.3957739469155301</v>
      </c>
    </row>
    <row r="301" spans="1:9" x14ac:dyDescent="0.2">
      <c r="A301" t="s">
        <v>2742</v>
      </c>
      <c r="B301">
        <v>3.2261999011602597E-5</v>
      </c>
      <c r="C301">
        <v>1.22E-4</v>
      </c>
      <c r="D301">
        <f t="shared" si="4"/>
        <v>6.3454349029020901E-5</v>
      </c>
      <c r="E301">
        <f>Table2[[#This Row],[distance from 45-degree line]]/MAX(Table2[[Abundance in SC (g protein/g all proteins)]:[Abundance in RT (g protein/g all proteins)]])</f>
        <v>2.1795370580110431E-3</v>
      </c>
      <c r="F301">
        <f>_xlfn.RANK.AVG(Table2[[#This Row],[Abundance in SC (g protein/g all proteins)]],Table2[Abundance in SC (g protein/g all proteins)])</f>
        <v>396</v>
      </c>
      <c r="G301">
        <f>_xlfn.RANK.AVG(Table2[[#This Row],[Abundance in RT (g protein/g all proteins)]],Table2[Abundance in RT (g protein/g all proteins)])</f>
        <v>297</v>
      </c>
      <c r="H301">
        <f>LOG(Table2[[#This Row],[Abundance in SC (g protein/g all proteins)]])</f>
        <v>-4.4913087264445357</v>
      </c>
      <c r="I301">
        <f>LOG(Table2[[#This Row],[Abundance in RT (g protein/g all proteins)]])</f>
        <v>-3.9136401693252516</v>
      </c>
    </row>
    <row r="302" spans="1:9" x14ac:dyDescent="0.2">
      <c r="A302" t="s">
        <v>2703</v>
      </c>
      <c r="B302">
        <v>2.0714156090689201E-5</v>
      </c>
      <c r="C302">
        <v>1.1E-4</v>
      </c>
      <c r="D302">
        <f t="shared" si="4"/>
        <v>6.3134625692237261E-5</v>
      </c>
      <c r="E302">
        <f>Table2[[#This Row],[distance from 45-degree line]]/MAX(Table2[[Abundance in SC (g protein/g all proteins)]:[Abundance in RT (g protein/g all proteins)]])</f>
        <v>2.1685551651779425E-3</v>
      </c>
      <c r="F302">
        <f>_xlfn.RANK.AVG(Table2[[#This Row],[Abundance in SC (g protein/g all proteins)]],Table2[Abundance in SC (g protein/g all proteins)])</f>
        <v>441</v>
      </c>
      <c r="G302">
        <f>_xlfn.RANK.AVG(Table2[[#This Row],[Abundance in RT (g protein/g all proteins)]],Table2[Abundance in RT (g protein/g all proteins)])</f>
        <v>309</v>
      </c>
      <c r="H302">
        <f>LOG(Table2[[#This Row],[Abundance in SC (g protein/g all proteins)]])</f>
        <v>-4.6837327554683981</v>
      </c>
      <c r="I302">
        <f>LOG(Table2[[#This Row],[Abundance in RT (g protein/g all proteins)]])</f>
        <v>-3.9586073148417751</v>
      </c>
    </row>
    <row r="303" spans="1:9" x14ac:dyDescent="0.2">
      <c r="A303" t="s">
        <v>2474</v>
      </c>
      <c r="B303">
        <v>7.4307589190339602E-4</v>
      </c>
      <c r="C303">
        <v>6.5600000000000001E-4</v>
      </c>
      <c r="D303">
        <f t="shared" si="4"/>
        <v>6.1571953642758102E-5</v>
      </c>
      <c r="E303">
        <f>Table2[[#This Row],[distance from 45-degree line]]/MAX(Table2[[Abundance in SC (g protein/g all proteins)]:[Abundance in RT (g protein/g all proteins)]])</f>
        <v>2.1148803313253374E-3</v>
      </c>
      <c r="F303">
        <f>_xlfn.RANK.AVG(Table2[[#This Row],[Abundance in SC (g protein/g all proteins)]],Table2[Abundance in SC (g protein/g all proteins)])</f>
        <v>112</v>
      </c>
      <c r="G303">
        <f>_xlfn.RANK.AVG(Table2[[#This Row],[Abundance in RT (g protein/g all proteins)]],Table2[Abundance in RT (g protein/g all proteins)])</f>
        <v>120</v>
      </c>
      <c r="H303">
        <f>LOG(Table2[[#This Row],[Abundance in SC (g protein/g all proteins)]])</f>
        <v>-3.1289668285655345</v>
      </c>
      <c r="I303">
        <f>LOG(Table2[[#This Row],[Abundance in RT (g protein/g all proteins)]])</f>
        <v>-3.1830961606243395</v>
      </c>
    </row>
    <row r="304" spans="1:9" x14ac:dyDescent="0.2">
      <c r="A304" t="s">
        <v>2598</v>
      </c>
      <c r="B304">
        <v>6.4799696659471702E-5</v>
      </c>
      <c r="C304">
        <v>1.4999999999999999E-4</v>
      </c>
      <c r="D304">
        <f t="shared" si="4"/>
        <v>6.0245712251238406E-5</v>
      </c>
      <c r="E304">
        <f>Table2[[#This Row],[distance from 45-degree line]]/MAX(Table2[[Abundance in SC (g protein/g all proteins)]:[Abundance in RT (g protein/g all proteins)]])</f>
        <v>2.0693264440832938E-3</v>
      </c>
      <c r="F304">
        <f>_xlfn.RANK.AVG(Table2[[#This Row],[Abundance in SC (g protein/g all proteins)]],Table2[Abundance in SC (g protein/g all proteins)])</f>
        <v>324</v>
      </c>
      <c r="G304">
        <f>_xlfn.RANK.AVG(Table2[[#This Row],[Abundance in RT (g protein/g all proteins)]],Table2[Abundance in RT (g protein/g all proteins)])</f>
        <v>278</v>
      </c>
      <c r="H304">
        <f>LOG(Table2[[#This Row],[Abundance in SC (g protein/g all proteins)]])</f>
        <v>-4.1884270271452388</v>
      </c>
      <c r="I304">
        <f>LOG(Table2[[#This Row],[Abundance in RT (g protein/g all proteins)]])</f>
        <v>-3.8239087409443187</v>
      </c>
    </row>
    <row r="305" spans="1:9" x14ac:dyDescent="0.2">
      <c r="A305" t="s">
        <v>2794</v>
      </c>
      <c r="B305">
        <v>1.4718745584008501E-4</v>
      </c>
      <c r="C305">
        <v>6.2399999999999999E-5</v>
      </c>
      <c r="D305">
        <f t="shared" si="4"/>
        <v>5.9953784984079048E-5</v>
      </c>
      <c r="E305">
        <f>Table2[[#This Row],[distance from 45-degree line]]/MAX(Table2[[Abundance in SC (g protein/g all proteins)]:[Abundance in RT (g protein/g all proteins)]])</f>
        <v>2.0592992937499615E-3</v>
      </c>
      <c r="F305">
        <f>_xlfn.RANK.AVG(Table2[[#This Row],[Abundance in SC (g protein/g all proteins)]],Table2[Abundance in SC (g protein/g all proteins)])</f>
        <v>248</v>
      </c>
      <c r="G305">
        <f>_xlfn.RANK.AVG(Table2[[#This Row],[Abundance in RT (g protein/g all proteins)]],Table2[Abundance in RT (g protein/g all proteins)])</f>
        <v>390</v>
      </c>
      <c r="H305">
        <f>LOG(Table2[[#This Row],[Abundance in SC (g protein/g all proteins)]])</f>
        <v>-3.8321292014901878</v>
      </c>
      <c r="I305">
        <f>LOG(Table2[[#This Row],[Abundance in RT (g protein/g all proteins)]])</f>
        <v>-4.2048154103175763</v>
      </c>
    </row>
    <row r="306" spans="1:9" x14ac:dyDescent="0.2">
      <c r="A306" t="s">
        <v>2512</v>
      </c>
      <c r="B306">
        <v>2.8995971847441202E-4</v>
      </c>
      <c r="C306">
        <v>3.7399999999999998E-4</v>
      </c>
      <c r="D306">
        <f t="shared" si="4"/>
        <v>5.9425452959569776E-5</v>
      </c>
      <c r="E306">
        <f>Table2[[#This Row],[distance from 45-degree line]]/MAX(Table2[[Abundance in SC (g protein/g all proteins)]:[Abundance in RT (g protein/g all proteins)]])</f>
        <v>2.0411520864430945E-3</v>
      </c>
      <c r="F306">
        <f>_xlfn.RANK.AVG(Table2[[#This Row],[Abundance in SC (g protein/g all proteins)]],Table2[Abundance in SC (g protein/g all proteins)])</f>
        <v>186</v>
      </c>
      <c r="G306">
        <f>_xlfn.RANK.AVG(Table2[[#This Row],[Abundance in RT (g protein/g all proteins)]],Table2[Abundance in RT (g protein/g all proteins)])</f>
        <v>175</v>
      </c>
      <c r="H306">
        <f>LOG(Table2[[#This Row],[Abundance in SC (g protein/g all proteins)]])</f>
        <v>-3.5376623305816484</v>
      </c>
      <c r="I306">
        <f>LOG(Table2[[#This Row],[Abundance in RT (g protein/g all proteins)]])</f>
        <v>-3.4271283977995197</v>
      </c>
    </row>
    <row r="307" spans="1:9" x14ac:dyDescent="0.2">
      <c r="A307" t="s">
        <v>2499</v>
      </c>
      <c r="B307">
        <v>3.2825583741340603E-5</v>
      </c>
      <c r="C307">
        <v>1.16E-4</v>
      </c>
      <c r="D307">
        <f t="shared" si="4"/>
        <v>5.8813193757730686E-5</v>
      </c>
      <c r="E307">
        <f>Table2[[#This Row],[distance from 45-degree line]]/MAX(Table2[[Abundance in SC (g protein/g all proteins)]:[Abundance in RT (g protein/g all proteins)]])</f>
        <v>2.0201221390882449E-3</v>
      </c>
      <c r="F307">
        <f>_xlfn.RANK.AVG(Table2[[#This Row],[Abundance in SC (g protein/g all proteins)]],Table2[Abundance in SC (g protein/g all proteins)])</f>
        <v>392</v>
      </c>
      <c r="G307">
        <f>_xlfn.RANK.AVG(Table2[[#This Row],[Abundance in RT (g protein/g all proteins)]],Table2[Abundance in RT (g protein/g all proteins)])</f>
        <v>304.5</v>
      </c>
      <c r="H307">
        <f>LOG(Table2[[#This Row],[Abundance in SC (g protein/g all proteins)]])</f>
        <v>-4.4837875420583178</v>
      </c>
      <c r="I307">
        <f>LOG(Table2[[#This Row],[Abundance in RT (g protein/g all proteins)]])</f>
        <v>-3.9355420107730814</v>
      </c>
    </row>
    <row r="308" spans="1:9" x14ac:dyDescent="0.2">
      <c r="A308" t="s">
        <v>2775</v>
      </c>
      <c r="B308">
        <v>2.06438624530522E-4</v>
      </c>
      <c r="C308">
        <v>2.8899999999999998E-4</v>
      </c>
      <c r="D308">
        <f t="shared" si="4"/>
        <v>5.8379708458556554E-5</v>
      </c>
      <c r="E308">
        <f>Table2[[#This Row],[distance from 45-degree line]]/MAX(Table2[[Abundance in SC (g protein/g all proteins)]:[Abundance in RT (g protein/g all proteins)]])</f>
        <v>2.0052327376821897E-3</v>
      </c>
      <c r="F308">
        <f>_xlfn.RANK.AVG(Table2[[#This Row],[Abundance in SC (g protein/g all proteins)]],Table2[Abundance in SC (g protein/g all proteins)])</f>
        <v>216</v>
      </c>
      <c r="G308">
        <f>_xlfn.RANK.AVG(Table2[[#This Row],[Abundance in RT (g protein/g all proteins)]],Table2[Abundance in RT (g protein/g all proteins)])</f>
        <v>203.5</v>
      </c>
      <c r="H308">
        <f>LOG(Table2[[#This Row],[Abundance in SC (g protein/g all proteins)]])</f>
        <v>-3.6852090432312004</v>
      </c>
      <c r="I308">
        <f>LOG(Table2[[#This Row],[Abundance in RT (g protein/g all proteins)]])</f>
        <v>-3.5391021572434522</v>
      </c>
    </row>
    <row r="309" spans="1:9" x14ac:dyDescent="0.2">
      <c r="A309" t="s">
        <v>2534</v>
      </c>
      <c r="B309">
        <v>7.2585133213585003E-6</v>
      </c>
      <c r="C309">
        <v>8.8499999999999996E-5</v>
      </c>
      <c r="D309">
        <f t="shared" si="4"/>
        <v>5.7446406144143963E-5</v>
      </c>
      <c r="E309">
        <f>Table2[[#This Row],[distance from 45-degree line]]/MAX(Table2[[Abundance in SC (g protein/g all proteins)]:[Abundance in RT (g protein/g all proteins)]])</f>
        <v>1.9731755656882039E-3</v>
      </c>
      <c r="F309">
        <f>_xlfn.RANK.AVG(Table2[[#This Row],[Abundance in SC (g protein/g all proteins)]],Table2[Abundance in SC (g protein/g all proteins)])</f>
        <v>533</v>
      </c>
      <c r="G309">
        <f>_xlfn.RANK.AVG(Table2[[#This Row],[Abundance in RT (g protein/g all proteins)]],Table2[Abundance in RT (g protein/g all proteins)])</f>
        <v>337</v>
      </c>
      <c r="H309">
        <f>LOG(Table2[[#This Row],[Abundance in SC (g protein/g all proteins)]])</f>
        <v>-5.1391523217857289</v>
      </c>
      <c r="I309">
        <f>LOG(Table2[[#This Row],[Abundance in RT (g protein/g all proteins)]])</f>
        <v>-4.0530567293021749</v>
      </c>
    </row>
    <row r="310" spans="1:9" x14ac:dyDescent="0.2">
      <c r="A310" t="s">
        <v>2594</v>
      </c>
      <c r="B310">
        <v>2.0492796085143098E-5</v>
      </c>
      <c r="C310">
        <v>1.01E-4</v>
      </c>
      <c r="D310">
        <f t="shared" si="4"/>
        <v>5.6927189822563476E-5</v>
      </c>
      <c r="E310">
        <f>Table2[[#This Row],[distance from 45-degree line]]/MAX(Table2[[Abundance in SC (g protein/g all proteins)]:[Abundance in RT (g protein/g all proteins)]])</f>
        <v>1.9553414655622803E-3</v>
      </c>
      <c r="F310">
        <f>_xlfn.RANK.AVG(Table2[[#This Row],[Abundance in SC (g protein/g all proteins)]],Table2[Abundance in SC (g protein/g all proteins)])</f>
        <v>442</v>
      </c>
      <c r="G310">
        <f>_xlfn.RANK.AVG(Table2[[#This Row],[Abundance in RT (g protein/g all proteins)]],Table2[Abundance in RT (g protein/g all proteins)])</f>
        <v>323</v>
      </c>
      <c r="H310">
        <f>LOG(Table2[[#This Row],[Abundance in SC (g protein/g all proteins)]])</f>
        <v>-4.6883987813986012</v>
      </c>
      <c r="I310">
        <f>LOG(Table2[[#This Row],[Abundance in RT (g protein/g all proteins)]])</f>
        <v>-3.9956786262173574</v>
      </c>
    </row>
    <row r="311" spans="1:9" x14ac:dyDescent="0.2">
      <c r="A311" t="s">
        <v>2558</v>
      </c>
      <c r="B311">
        <v>2.11184106097693E-4</v>
      </c>
      <c r="C311">
        <v>1.3100000000000001E-4</v>
      </c>
      <c r="D311">
        <f t="shared" si="4"/>
        <v>5.6698725165060302E-5</v>
      </c>
      <c r="E311">
        <f>Table2[[#This Row],[distance from 45-degree line]]/MAX(Table2[[Abundance in SC (g protein/g all proteins)]:[Abundance in RT (g protein/g all proteins)]])</f>
        <v>1.9474941360239028E-3</v>
      </c>
      <c r="F311">
        <f>_xlfn.RANK.AVG(Table2[[#This Row],[Abundance in SC (g protein/g all proteins)]],Table2[Abundance in SC (g protein/g all proteins)])</f>
        <v>211</v>
      </c>
      <c r="G311">
        <f>_xlfn.RANK.AVG(Table2[[#This Row],[Abundance in RT (g protein/g all proteins)]],Table2[Abundance in RT (g protein/g all proteins)])</f>
        <v>290</v>
      </c>
      <c r="H311">
        <f>LOG(Table2[[#This Row],[Abundance in SC (g protein/g all proteins)]])</f>
        <v>-3.675338770294525</v>
      </c>
      <c r="I311">
        <f>LOG(Table2[[#This Row],[Abundance in RT (g protein/g all proteins)]])</f>
        <v>-3.8827287043442356</v>
      </c>
    </row>
    <row r="312" spans="1:9" x14ac:dyDescent="0.2">
      <c r="A312" t="s">
        <v>2888</v>
      </c>
      <c r="B312">
        <v>1.49084989361827E-5</v>
      </c>
      <c r="C312">
        <v>9.4900000000000003E-5</v>
      </c>
      <c r="D312">
        <f t="shared" si="4"/>
        <v>5.6562532839516133E-5</v>
      </c>
      <c r="E312">
        <f>Table2[[#This Row],[distance from 45-degree line]]/MAX(Table2[[Abundance in SC (g protein/g all proteins)]:[Abundance in RT (g protein/g all proteins)]])</f>
        <v>1.9428161868355112E-3</v>
      </c>
      <c r="F312">
        <f>_xlfn.RANK.AVG(Table2[[#This Row],[Abundance in SC (g protein/g all proteins)]],Table2[Abundance in SC (g protein/g all proteins)])</f>
        <v>464</v>
      </c>
      <c r="G312">
        <f>_xlfn.RANK.AVG(Table2[[#This Row],[Abundance in RT (g protein/g all proteins)]],Table2[Abundance in RT (g protein/g all proteins)])</f>
        <v>329.5</v>
      </c>
      <c r="H312">
        <f>LOG(Table2[[#This Row],[Abundance in SC (g protein/g all proteins)]])</f>
        <v>-4.8265660813324001</v>
      </c>
      <c r="I312">
        <f>LOG(Table2[[#This Row],[Abundance in RT (g protein/g all proteins)]])</f>
        <v>-4.0227337875727072</v>
      </c>
    </row>
    <row r="313" spans="1:9" x14ac:dyDescent="0.2">
      <c r="A313" t="s">
        <v>2761</v>
      </c>
      <c r="B313">
        <v>6.5630420923610502E-7</v>
      </c>
      <c r="C313">
        <v>7.8800000000000004E-5</v>
      </c>
      <c r="D313">
        <f t="shared" si="4"/>
        <v>5.5255937200627819E-5</v>
      </c>
      <c r="E313">
        <f>Table2[[#This Row],[distance from 45-degree line]]/MAX(Table2[[Abundance in SC (g protein/g all proteins)]:[Abundance in RT (g protein/g all proteins)]])</f>
        <v>1.8979370940960952E-3</v>
      </c>
      <c r="F313">
        <f>_xlfn.RANK.AVG(Table2[[#This Row],[Abundance in SC (g protein/g all proteins)]],Table2[Abundance in SC (g protein/g all proteins)])</f>
        <v>585</v>
      </c>
      <c r="G313">
        <f>_xlfn.RANK.AVG(Table2[[#This Row],[Abundance in RT (g protein/g all proteins)]],Table2[Abundance in RT (g protein/g all proteins)])</f>
        <v>353</v>
      </c>
      <c r="H313">
        <f>LOG(Table2[[#This Row],[Abundance in SC (g protein/g all proteins)]])</f>
        <v>-6.1828948103672561</v>
      </c>
      <c r="I313">
        <f>LOG(Table2[[#This Row],[Abundance in RT (g protein/g all proteins)]])</f>
        <v>-4.103473782510445</v>
      </c>
    </row>
    <row r="314" spans="1:9" x14ac:dyDescent="0.2">
      <c r="A314" t="s">
        <v>2734</v>
      </c>
      <c r="B314">
        <v>1.6617632027620999E-4</v>
      </c>
      <c r="C314">
        <v>8.8300000000000005E-5</v>
      </c>
      <c r="D314">
        <f t="shared" si="4"/>
        <v>5.5066874161163504E-5</v>
      </c>
      <c r="E314">
        <f>Table2[[#This Row],[distance from 45-degree line]]/MAX(Table2[[Abundance in SC (g protein/g all proteins)]:[Abundance in RT (g protein/g all proteins)]])</f>
        <v>1.8914431357288882E-3</v>
      </c>
      <c r="F314">
        <f>_xlfn.RANK.AVG(Table2[[#This Row],[Abundance in SC (g protein/g all proteins)]],Table2[Abundance in SC (g protein/g all proteins)])</f>
        <v>236</v>
      </c>
      <c r="G314">
        <f>_xlfn.RANK.AVG(Table2[[#This Row],[Abundance in RT (g protein/g all proteins)]],Table2[Abundance in RT (g protein/g all proteins)])</f>
        <v>338.5</v>
      </c>
      <c r="H314">
        <f>LOG(Table2[[#This Row],[Abundance in SC (g protein/g all proteins)]])</f>
        <v>-3.7794308620564858</v>
      </c>
      <c r="I314">
        <f>LOG(Table2[[#This Row],[Abundance in RT (g protein/g all proteins)]])</f>
        <v>-4.054039296422431</v>
      </c>
    </row>
    <row r="315" spans="1:9" x14ac:dyDescent="0.2">
      <c r="A315" t="s">
        <v>2879</v>
      </c>
      <c r="B315">
        <v>2.1009999510634701E-4</v>
      </c>
      <c r="C315">
        <v>1.35E-4</v>
      </c>
      <c r="D315">
        <f t="shared" si="4"/>
        <v>5.31037158067745E-5</v>
      </c>
      <c r="E315">
        <f>Table2[[#This Row],[distance from 45-degree line]]/MAX(Table2[[Abundance in SC (g protein/g all proteins)]:[Abundance in RT (g protein/g all proteins)]])</f>
        <v>1.8240123536058552E-3</v>
      </c>
      <c r="F315">
        <f>_xlfn.RANK.AVG(Table2[[#This Row],[Abundance in SC (g protein/g all proteins)]],Table2[Abundance in SC (g protein/g all proteins)])</f>
        <v>212</v>
      </c>
      <c r="G315">
        <f>_xlfn.RANK.AVG(Table2[[#This Row],[Abundance in RT (g protein/g all proteins)]],Table2[Abundance in RT (g protein/g all proteins)])</f>
        <v>289</v>
      </c>
      <c r="H315">
        <f>LOG(Table2[[#This Row],[Abundance in SC (g protein/g all proteins)]])</f>
        <v>-3.6775739577096425</v>
      </c>
      <c r="I315">
        <f>LOG(Table2[[#This Row],[Abundance in RT (g protein/g all proteins)]])</f>
        <v>-3.8696662315049939</v>
      </c>
    </row>
    <row r="316" spans="1:9" x14ac:dyDescent="0.2">
      <c r="A316" t="s">
        <v>2882</v>
      </c>
      <c r="B316">
        <v>6.6285265575311898E-5</v>
      </c>
      <c r="C316">
        <v>1.4100000000000001E-4</v>
      </c>
      <c r="D316">
        <f t="shared" si="4"/>
        <v>5.2831295366248945E-5</v>
      </c>
      <c r="E316">
        <f>Table2[[#This Row],[distance from 45-degree line]]/MAX(Table2[[Abundance in SC (g protein/g all proteins)]:[Abundance in RT (g protein/g all proteins)]])</f>
        <v>1.8146552259294907E-3</v>
      </c>
      <c r="F316">
        <f>_xlfn.RANK.AVG(Table2[[#This Row],[Abundance in SC (g protein/g all proteins)]],Table2[Abundance in SC (g protein/g all proteins)])</f>
        <v>321</v>
      </c>
      <c r="G316">
        <f>_xlfn.RANK.AVG(Table2[[#This Row],[Abundance in RT (g protein/g all proteins)]],Table2[Abundance in RT (g protein/g all proteins)])</f>
        <v>282</v>
      </c>
      <c r="H316">
        <f>LOG(Table2[[#This Row],[Abundance in SC (g protein/g all proteins)]])</f>
        <v>-4.1785829993554522</v>
      </c>
      <c r="I316">
        <f>LOG(Table2[[#This Row],[Abundance in RT (g protein/g all proteins)]])</f>
        <v>-3.8507808873446199</v>
      </c>
    </row>
    <row r="317" spans="1:9" x14ac:dyDescent="0.2">
      <c r="A317" t="s">
        <v>2837</v>
      </c>
      <c r="B317">
        <v>1.21316780824568E-4</v>
      </c>
      <c r="C317">
        <v>1.9599999999999999E-4</v>
      </c>
      <c r="D317">
        <f t="shared" si="4"/>
        <v>5.280901071978916E-5</v>
      </c>
      <c r="E317">
        <f>Table2[[#This Row],[distance from 45-degree line]]/MAX(Table2[[Abundance in SC (g protein/g all proteins)]:[Abundance in RT (g protein/g all proteins)]])</f>
        <v>1.8138897904073084E-3</v>
      </c>
      <c r="F317">
        <f>_xlfn.RANK.AVG(Table2[[#This Row],[Abundance in SC (g protein/g all proteins)]],Table2[Abundance in SC (g protein/g all proteins)])</f>
        <v>265</v>
      </c>
      <c r="G317">
        <f>_xlfn.RANK.AVG(Table2[[#This Row],[Abundance in RT (g protein/g all proteins)]],Table2[Abundance in RT (g protein/g all proteins)])</f>
        <v>250</v>
      </c>
      <c r="H317">
        <f>LOG(Table2[[#This Row],[Abundance in SC (g protein/g all proteins)]])</f>
        <v>-3.9160791223366078</v>
      </c>
      <c r="I317">
        <f>LOG(Table2[[#This Row],[Abundance in RT (g protein/g all proteins)]])</f>
        <v>-3.7077439286435241</v>
      </c>
    </row>
    <row r="318" spans="1:9" x14ac:dyDescent="0.2">
      <c r="A318" t="s">
        <v>2607</v>
      </c>
      <c r="B318">
        <v>3.3658570399383402E-5</v>
      </c>
      <c r="C318">
        <v>1.08E-4</v>
      </c>
      <c r="D318">
        <f t="shared" si="4"/>
        <v>5.2567328993698319E-5</v>
      </c>
      <c r="E318">
        <f>Table2[[#This Row],[distance from 45-degree line]]/MAX(Table2[[Abundance in SC (g protein/g all proteins)]:[Abundance in RT (g protein/g all proteins)]])</f>
        <v>1.8055884795228777E-3</v>
      </c>
      <c r="F318">
        <f>_xlfn.RANK.AVG(Table2[[#This Row],[Abundance in SC (g protein/g all proteins)]],Table2[Abundance in SC (g protein/g all proteins)])</f>
        <v>391</v>
      </c>
      <c r="G318">
        <f>_xlfn.RANK.AVG(Table2[[#This Row],[Abundance in RT (g protein/g all proteins)]],Table2[Abundance in RT (g protein/g all proteins)])</f>
        <v>312</v>
      </c>
      <c r="H318">
        <f>LOG(Table2[[#This Row],[Abundance in SC (g protein/g all proteins)]])</f>
        <v>-4.4729043340180725</v>
      </c>
      <c r="I318">
        <f>LOG(Table2[[#This Row],[Abundance in RT (g protein/g all proteins)]])</f>
        <v>-3.9665762445130501</v>
      </c>
    </row>
    <row r="319" spans="1:9" x14ac:dyDescent="0.2">
      <c r="A319" t="s">
        <v>2737</v>
      </c>
      <c r="B319">
        <v>4.4678098287481303E-6</v>
      </c>
      <c r="C319">
        <v>7.8499999999999997E-5</v>
      </c>
      <c r="D319">
        <f t="shared" si="4"/>
        <v>5.2348663696184268E-5</v>
      </c>
      <c r="E319">
        <f>Table2[[#This Row],[distance from 45-degree line]]/MAX(Table2[[Abundance in SC (g protein/g all proteins)]:[Abundance in RT (g protein/g all proteins)]])</f>
        <v>1.798077739494406E-3</v>
      </c>
      <c r="F319">
        <f>_xlfn.RANK.AVG(Table2[[#This Row],[Abundance in SC (g protein/g all proteins)]],Table2[Abundance in SC (g protein/g all proteins)])</f>
        <v>555</v>
      </c>
      <c r="G319">
        <f>_xlfn.RANK.AVG(Table2[[#This Row],[Abundance in RT (g protein/g all proteins)]],Table2[Abundance in RT (g protein/g all proteins)])</f>
        <v>354</v>
      </c>
      <c r="H319">
        <f>LOG(Table2[[#This Row],[Abundance in SC (g protein/g all proteins)]])</f>
        <v>-5.3499053208032947</v>
      </c>
      <c r="I319">
        <f>LOG(Table2[[#This Row],[Abundance in RT (g protein/g all proteins)]])</f>
        <v>-4.1051303432547472</v>
      </c>
    </row>
    <row r="320" spans="1:9" x14ac:dyDescent="0.2">
      <c r="A320" t="s">
        <v>2811</v>
      </c>
      <c r="B320">
        <v>1.7967629432418299E-5</v>
      </c>
      <c r="C320">
        <v>9.1399999999999999E-5</v>
      </c>
      <c r="D320">
        <f t="shared" si="4"/>
        <v>5.1924527186940464E-5</v>
      </c>
      <c r="E320">
        <f>Table2[[#This Row],[distance from 45-degree line]]/MAX(Table2[[Abundance in SC (g protein/g all proteins)]:[Abundance in RT (g protein/g all proteins)]])</f>
        <v>1.7835094513676216E-3</v>
      </c>
      <c r="F320">
        <f>_xlfn.RANK.AVG(Table2[[#This Row],[Abundance in SC (g protein/g all proteins)]],Table2[Abundance in SC (g protein/g all proteins)])</f>
        <v>448</v>
      </c>
      <c r="G320">
        <f>_xlfn.RANK.AVG(Table2[[#This Row],[Abundance in RT (g protein/g all proteins)]],Table2[Abundance in RT (g protein/g all proteins)])</f>
        <v>334</v>
      </c>
      <c r="H320">
        <f>LOG(Table2[[#This Row],[Abundance in SC (g protein/g all proteins)]])</f>
        <v>-4.7455092179568092</v>
      </c>
      <c r="I320">
        <f>LOG(Table2[[#This Row],[Abundance in RT (g protein/g all proteins)]])</f>
        <v>-4.0390538042661683</v>
      </c>
    </row>
    <row r="321" spans="1:9" x14ac:dyDescent="0.2">
      <c r="A321" t="s">
        <v>2655</v>
      </c>
      <c r="B321">
        <v>1.80724165685284E-7</v>
      </c>
      <c r="C321">
        <v>7.36E-5</v>
      </c>
      <c r="D321">
        <f t="shared" si="4"/>
        <v>5.191526781224955E-5</v>
      </c>
      <c r="E321">
        <f>Table2[[#This Row],[distance from 45-degree line]]/MAX(Table2[[Abundance in SC (g protein/g all proteins)]:[Abundance in RT (g protein/g all proteins)]])</f>
        <v>1.7831914093329674E-3</v>
      </c>
      <c r="F321">
        <f>_xlfn.RANK.AVG(Table2[[#This Row],[Abundance in SC (g protein/g all proteins)]],Table2[Abundance in SC (g protein/g all proteins)])</f>
        <v>590</v>
      </c>
      <c r="G321">
        <f>_xlfn.RANK.AVG(Table2[[#This Row],[Abundance in RT (g protein/g all proteins)]],Table2[Abundance in RT (g protein/g all proteins)])</f>
        <v>362</v>
      </c>
      <c r="H321">
        <f>LOG(Table2[[#This Row],[Abundance in SC (g protein/g all proteins)]])</f>
        <v>-6.7429837715006977</v>
      </c>
      <c r="I321">
        <f>LOG(Table2[[#This Row],[Abundance in RT (g protein/g all proteins)]])</f>
        <v>-4.1331221856625016</v>
      </c>
    </row>
    <row r="322" spans="1:9" x14ac:dyDescent="0.2">
      <c r="A322" t="s">
        <v>2575</v>
      </c>
      <c r="B322">
        <v>2.8726341553073998E-6</v>
      </c>
      <c r="C322">
        <v>7.6100000000000007E-5</v>
      </c>
      <c r="D322">
        <f t="shared" ref="D322:D385" si="5">ABS(B322-C322)/SQRT(2)</f>
        <v>5.1779566957210312E-5</v>
      </c>
      <c r="E322">
        <f>Table2[[#This Row],[distance from 45-degree line]]/MAX(Table2[[Abundance in SC (g protein/g all proteins)]:[Abundance in RT (g protein/g all proteins)]])</f>
        <v>1.7785303412282969E-3</v>
      </c>
      <c r="F322">
        <f>_xlfn.RANK.AVG(Table2[[#This Row],[Abundance in SC (g protein/g all proteins)]],Table2[Abundance in SC (g protein/g all proteins)])</f>
        <v>568</v>
      </c>
      <c r="G322">
        <f>_xlfn.RANK.AVG(Table2[[#This Row],[Abundance in RT (g protein/g all proteins)]],Table2[Abundance in RT (g protein/g all proteins)])</f>
        <v>358</v>
      </c>
      <c r="H322">
        <f>LOG(Table2[[#This Row],[Abundance in SC (g protein/g all proteins)]])</f>
        <v>-5.541719680116012</v>
      </c>
      <c r="I322">
        <f>LOG(Table2[[#This Row],[Abundance in RT (g protein/g all proteins)]])</f>
        <v>-4.1186153432294272</v>
      </c>
    </row>
    <row r="323" spans="1:9" x14ac:dyDescent="0.2">
      <c r="A323" t="s">
        <v>2895</v>
      </c>
      <c r="B323">
        <v>1.19851943293937E-4</v>
      </c>
      <c r="C323">
        <v>1.93E-4</v>
      </c>
      <c r="D323">
        <f t="shared" si="5"/>
        <v>5.1723486927475262E-5</v>
      </c>
      <c r="E323">
        <f>Table2[[#This Row],[distance from 45-degree line]]/MAX(Table2[[Abundance in SC (g protein/g all proteins)]:[Abundance in RT (g protein/g all proteins)]])</f>
        <v>1.7766040981119107E-3</v>
      </c>
      <c r="F323">
        <f>_xlfn.RANK.AVG(Table2[[#This Row],[Abundance in SC (g protein/g all proteins)]],Table2[Abundance in SC (g protein/g all proteins)])</f>
        <v>266</v>
      </c>
      <c r="G323">
        <f>_xlfn.RANK.AVG(Table2[[#This Row],[Abundance in RT (g protein/g all proteins)]],Table2[Abundance in RT (g protein/g all proteins)])</f>
        <v>254.5</v>
      </c>
      <c r="H323">
        <f>LOG(Table2[[#This Row],[Abundance in SC (g protein/g all proteins)]])</f>
        <v>-3.9213549198698647</v>
      </c>
      <c r="I323">
        <f>LOG(Table2[[#This Row],[Abundance in RT (g protein/g all proteins)]])</f>
        <v>-3.7144426909922261</v>
      </c>
    </row>
    <row r="324" spans="1:9" x14ac:dyDescent="0.2">
      <c r="A324" t="s">
        <v>2599</v>
      </c>
      <c r="B324">
        <v>2.09434179065905E-5</v>
      </c>
      <c r="C324">
        <v>9.3900000000000006E-5</v>
      </c>
      <c r="D324">
        <f t="shared" si="5"/>
        <v>5.1588093930442906E-5</v>
      </c>
      <c r="E324">
        <f>Table2[[#This Row],[distance from 45-degree line]]/MAX(Table2[[Abundance in SC (g protein/g all proteins)]:[Abundance in RT (g protein/g all proteins)]])</f>
        <v>1.7719536043483985E-3</v>
      </c>
      <c r="F324">
        <f>_xlfn.RANK.AVG(Table2[[#This Row],[Abundance in SC (g protein/g all proteins)]],Table2[Abundance in SC (g protein/g all proteins)])</f>
        <v>439</v>
      </c>
      <c r="G324">
        <f>_xlfn.RANK.AVG(Table2[[#This Row],[Abundance in RT (g protein/g all proteins)]],Table2[Abundance in RT (g protein/g all proteins)])</f>
        <v>332</v>
      </c>
      <c r="H324">
        <f>LOG(Table2[[#This Row],[Abundance in SC (g protein/g all proteins)]])</f>
        <v>-4.6789524412415995</v>
      </c>
      <c r="I324">
        <f>LOG(Table2[[#This Row],[Abundance in RT (g protein/g all proteins)]])</f>
        <v>-4.0273344077338891</v>
      </c>
    </row>
    <row r="325" spans="1:9" x14ac:dyDescent="0.2">
      <c r="A325" t="s">
        <v>2578</v>
      </c>
      <c r="B325">
        <v>2.24291222484604E-5</v>
      </c>
      <c r="C325">
        <v>9.4900000000000003E-5</v>
      </c>
      <c r="D325">
        <f t="shared" si="5"/>
        <v>5.1244649096654944E-5</v>
      </c>
      <c r="E325">
        <f>Table2[[#This Row],[distance from 45-degree line]]/MAX(Table2[[Abundance in SC (g protein/g all proteins)]:[Abundance in RT (g protein/g all proteins)]])</f>
        <v>1.760156922890348E-3</v>
      </c>
      <c r="F325">
        <f>_xlfn.RANK.AVG(Table2[[#This Row],[Abundance in SC (g protein/g all proteins)]],Table2[Abundance in SC (g protein/g all proteins)])</f>
        <v>431</v>
      </c>
      <c r="G325">
        <f>_xlfn.RANK.AVG(Table2[[#This Row],[Abundance in RT (g protein/g all proteins)]],Table2[Abundance in RT (g protein/g all proteins)])</f>
        <v>329.5</v>
      </c>
      <c r="H325">
        <f>LOG(Table2[[#This Row],[Abundance in SC (g protein/g all proteins)]])</f>
        <v>-4.6491877219635818</v>
      </c>
      <c r="I325">
        <f>LOG(Table2[[#This Row],[Abundance in RT (g protein/g all proteins)]])</f>
        <v>-4.0227337875727072</v>
      </c>
    </row>
    <row r="326" spans="1:9" x14ac:dyDescent="0.2">
      <c r="A326" t="s">
        <v>2782</v>
      </c>
      <c r="B326">
        <v>9.3933204162368296E-5</v>
      </c>
      <c r="C326">
        <v>2.1500000000000001E-5</v>
      </c>
      <c r="D326">
        <f t="shared" si="5"/>
        <v>5.1218009846280282E-5</v>
      </c>
      <c r="E326">
        <f>Table2[[#This Row],[distance from 45-degree line]]/MAX(Table2[[Abundance in SC (g protein/g all proteins)]:[Abundance in RT (g protein/g all proteins)]])</f>
        <v>1.7592419149471943E-3</v>
      </c>
      <c r="F326">
        <f>_xlfn.RANK.AVG(Table2[[#This Row],[Abundance in SC (g protein/g all proteins)]],Table2[Abundance in SC (g protein/g all proteins)])</f>
        <v>286</v>
      </c>
      <c r="G326">
        <f>_xlfn.RANK.AVG(Table2[[#This Row],[Abundance in RT (g protein/g all proteins)]],Table2[Abundance in RT (g protein/g all proteins)])</f>
        <v>486</v>
      </c>
      <c r="H326">
        <f>LOG(Table2[[#This Row],[Abundance in SC (g protein/g all proteins)]])</f>
        <v>-4.0271808631600496</v>
      </c>
      <c r="I326">
        <f>LOG(Table2[[#This Row],[Abundance in RT (g protein/g all proteins)]])</f>
        <v>-4.6675615400843951</v>
      </c>
    </row>
    <row r="327" spans="1:9" x14ac:dyDescent="0.2">
      <c r="A327" t="s">
        <v>2376</v>
      </c>
      <c r="B327">
        <v>1.7383900370753901E-4</v>
      </c>
      <c r="C327">
        <v>1.02E-4</v>
      </c>
      <c r="D327">
        <f t="shared" si="5"/>
        <v>5.0797846675286361E-5</v>
      </c>
      <c r="E327">
        <f>Table2[[#This Row],[distance from 45-degree line]]/MAX(Table2[[Abundance in SC (g protein/g all proteins)]:[Abundance in RT (g protein/g all proteins)]])</f>
        <v>1.7448101034857944E-3</v>
      </c>
      <c r="F327">
        <f>_xlfn.RANK.AVG(Table2[[#This Row],[Abundance in SC (g protein/g all proteins)]],Table2[Abundance in SC (g protein/g all proteins)])</f>
        <v>229</v>
      </c>
      <c r="G327">
        <f>_xlfn.RANK.AVG(Table2[[#This Row],[Abundance in RT (g protein/g all proteins)]],Table2[Abundance in RT (g protein/g all proteins)])</f>
        <v>321</v>
      </c>
      <c r="H327">
        <f>LOG(Table2[[#This Row],[Abundance in SC (g protein/g all proteins)]])</f>
        <v>-3.7598527756748652</v>
      </c>
      <c r="I327">
        <f>LOG(Table2[[#This Row],[Abundance in RT (g protein/g all proteins)]])</f>
        <v>-3.9913998282380825</v>
      </c>
    </row>
    <row r="328" spans="1:9" x14ac:dyDescent="0.2">
      <c r="A328" t="s">
        <v>2322</v>
      </c>
      <c r="B328">
        <v>9.1874288727138997E-6</v>
      </c>
      <c r="C328">
        <v>8.0799999999999999E-5</v>
      </c>
      <c r="D328">
        <f t="shared" si="5"/>
        <v>5.0637734662307954E-5</v>
      </c>
      <c r="E328">
        <f>Table2[[#This Row],[distance from 45-degree line]]/MAX(Table2[[Abundance in SC (g protein/g all proteins)]:[Abundance in RT (g protein/g all proteins)]])</f>
        <v>1.7393105582054612E-3</v>
      </c>
      <c r="F328">
        <f>_xlfn.RANK.AVG(Table2[[#This Row],[Abundance in SC (g protein/g all proteins)]],Table2[Abundance in SC (g protein/g all proteins)])</f>
        <v>512</v>
      </c>
      <c r="G328">
        <f>_xlfn.RANK.AVG(Table2[[#This Row],[Abundance in RT (g protein/g all proteins)]],Table2[Abundance in RT (g protein/g all proteins)])</f>
        <v>350</v>
      </c>
      <c r="H328">
        <f>LOG(Table2[[#This Row],[Abundance in SC (g protein/g all proteins)]])</f>
        <v>-5.0368060101180818</v>
      </c>
      <c r="I328">
        <f>LOG(Table2[[#This Row],[Abundance in RT (g protein/g all proteins)]])</f>
        <v>-4.092588639225414</v>
      </c>
    </row>
    <row r="329" spans="1:9" x14ac:dyDescent="0.2">
      <c r="A329" t="s">
        <v>2445</v>
      </c>
      <c r="B329">
        <v>3.59674594227204E-4</v>
      </c>
      <c r="C329">
        <v>4.3100000000000001E-4</v>
      </c>
      <c r="D329">
        <f t="shared" si="5"/>
        <v>5.0434678092826185E-5</v>
      </c>
      <c r="E329">
        <f>Table2[[#This Row],[distance from 45-degree line]]/MAX(Table2[[Abundance in SC (g protein/g all proteins)]:[Abundance in RT (g protein/g all proteins)]])</f>
        <v>1.7323359485084064E-3</v>
      </c>
      <c r="F329">
        <f>_xlfn.RANK.AVG(Table2[[#This Row],[Abundance in SC (g protein/g all proteins)]],Table2[Abundance in SC (g protein/g all proteins)])</f>
        <v>172</v>
      </c>
      <c r="G329">
        <f>_xlfn.RANK.AVG(Table2[[#This Row],[Abundance in RT (g protein/g all proteins)]],Table2[Abundance in RT (g protein/g all proteins)])</f>
        <v>159</v>
      </c>
      <c r="H329">
        <f>LOG(Table2[[#This Row],[Abundance in SC (g protein/g all proteins)]])</f>
        <v>-3.4440902376794198</v>
      </c>
      <c r="I329">
        <f>LOG(Table2[[#This Row],[Abundance in RT (g protein/g all proteins)]])</f>
        <v>-3.3655227298392685</v>
      </c>
    </row>
    <row r="330" spans="1:9" x14ac:dyDescent="0.2">
      <c r="A330" t="s">
        <v>2533</v>
      </c>
      <c r="B330">
        <v>3.6722732821932902E-6</v>
      </c>
      <c r="C330">
        <v>7.2999999999999999E-5</v>
      </c>
      <c r="D330">
        <f t="shared" si="5"/>
        <v>4.902210568640891E-5</v>
      </c>
      <c r="E330">
        <f>Table2[[#This Row],[distance from 45-degree line]]/MAX(Table2[[Abundance in SC (g protein/g all proteins)]:[Abundance in RT (g protein/g all proteins)]])</f>
        <v>1.6838167539374839E-3</v>
      </c>
      <c r="F330">
        <f>_xlfn.RANK.AVG(Table2[[#This Row],[Abundance in SC (g protein/g all proteins)]],Table2[Abundance in SC (g protein/g all proteins)])</f>
        <v>561</v>
      </c>
      <c r="G330">
        <f>_xlfn.RANK.AVG(Table2[[#This Row],[Abundance in RT (g protein/g all proteins)]],Table2[Abundance in RT (g protein/g all proteins)])</f>
        <v>363.5</v>
      </c>
      <c r="H330">
        <f>LOG(Table2[[#This Row],[Abundance in SC (g protein/g all proteins)]])</f>
        <v>-5.4350650070643933</v>
      </c>
      <c r="I330">
        <f>LOG(Table2[[#This Row],[Abundance in RT (g protein/g all proteins)]])</f>
        <v>-4.1366771398795441</v>
      </c>
    </row>
    <row r="331" spans="1:9" x14ac:dyDescent="0.2">
      <c r="A331" t="s">
        <v>2729</v>
      </c>
      <c r="B331">
        <v>1.79275828514719E-4</v>
      </c>
      <c r="C331">
        <v>2.4800000000000001E-4</v>
      </c>
      <c r="D331">
        <f t="shared" si="5"/>
        <v>4.859532768866937E-5</v>
      </c>
      <c r="E331">
        <f>Table2[[#This Row],[distance from 45-degree line]]/MAX(Table2[[Abundance in SC (g protein/g all proteins)]:[Abundance in RT (g protein/g all proteins)]])</f>
        <v>1.669157735669222E-3</v>
      </c>
      <c r="F331">
        <f>_xlfn.RANK.AVG(Table2[[#This Row],[Abundance in SC (g protein/g all proteins)]],Table2[Abundance in SC (g protein/g all proteins)])</f>
        <v>228</v>
      </c>
      <c r="G331">
        <f>_xlfn.RANK.AVG(Table2[[#This Row],[Abundance in RT (g protein/g all proteins)]],Table2[Abundance in RT (g protein/g all proteins)])</f>
        <v>221.5</v>
      </c>
      <c r="H331">
        <f>LOG(Table2[[#This Row],[Abundance in SC (g protein/g all proteins)]])</f>
        <v>-3.7464782617503043</v>
      </c>
      <c r="I331">
        <f>LOG(Table2[[#This Row],[Abundance in RT (g protein/g all proteins)]])</f>
        <v>-3.6055483191737836</v>
      </c>
    </row>
    <row r="332" spans="1:9" x14ac:dyDescent="0.2">
      <c r="A332" t="s">
        <v>2862</v>
      </c>
      <c r="B332">
        <v>3.56920635476857E-4</v>
      </c>
      <c r="C332">
        <v>4.2499999999999998E-4</v>
      </c>
      <c r="D332">
        <f t="shared" si="5"/>
        <v>4.8139380313185263E-5</v>
      </c>
      <c r="E332">
        <f>Table2[[#This Row],[distance from 45-degree line]]/MAX(Table2[[Abundance in SC (g protein/g all proteins)]:[Abundance in RT (g protein/g all proteins)]])</f>
        <v>1.6534968043606998E-3</v>
      </c>
      <c r="F332">
        <f>_xlfn.RANK.AVG(Table2[[#This Row],[Abundance in SC (g protein/g all proteins)]],Table2[Abundance in SC (g protein/g all proteins)])</f>
        <v>174</v>
      </c>
      <c r="G332">
        <f>_xlfn.RANK.AVG(Table2[[#This Row],[Abundance in RT (g protein/g all proteins)]],Table2[Abundance in RT (g protein/g all proteins)])</f>
        <v>162</v>
      </c>
      <c r="H332">
        <f>LOG(Table2[[#This Row],[Abundance in SC (g protein/g all proteins)]])</f>
        <v>-3.4474283424487702</v>
      </c>
      <c r="I332">
        <f>LOG(Table2[[#This Row],[Abundance in RT (g protein/g all proteins)]])</f>
        <v>-3.3716110699496884</v>
      </c>
    </row>
    <row r="333" spans="1:9" x14ac:dyDescent="0.2">
      <c r="A333" t="s">
        <v>2689</v>
      </c>
      <c r="B333">
        <v>2.7485456572948701E-4</v>
      </c>
      <c r="C333">
        <v>2.0799999999999999E-4</v>
      </c>
      <c r="D333">
        <f t="shared" si="5"/>
        <v>4.7273316780602041E-5</v>
      </c>
      <c r="E333">
        <f>Table2[[#This Row],[distance from 45-degree line]]/MAX(Table2[[Abundance in SC (g protein/g all proteins)]:[Abundance in RT (g protein/g all proteins)]])</f>
        <v>1.6237491575446592E-3</v>
      </c>
      <c r="F333">
        <f>_xlfn.RANK.AVG(Table2[[#This Row],[Abundance in SC (g protein/g all proteins)]],Table2[Abundance in SC (g protein/g all proteins)])</f>
        <v>190</v>
      </c>
      <c r="G333">
        <f>_xlfn.RANK.AVG(Table2[[#This Row],[Abundance in RT (g protein/g all proteins)]],Table2[Abundance in RT (g protein/g all proteins)])</f>
        <v>243</v>
      </c>
      <c r="H333">
        <f>LOG(Table2[[#This Row],[Abundance in SC (g protein/g all proteins)]])</f>
        <v>-3.5608970443826138</v>
      </c>
      <c r="I333">
        <f>LOG(Table2[[#This Row],[Abundance in RT (g protein/g all proteins)]])</f>
        <v>-3.6819366650372385</v>
      </c>
    </row>
    <row r="334" spans="1:9" x14ac:dyDescent="0.2">
      <c r="A334" t="s">
        <v>2368</v>
      </c>
      <c r="B334">
        <v>7.8484711127961194E-5</v>
      </c>
      <c r="C334">
        <v>1.19E-5</v>
      </c>
      <c r="D334">
        <f t="shared" si="5"/>
        <v>4.7082500761928723E-5</v>
      </c>
      <c r="E334">
        <f>Table2[[#This Row],[distance from 45-degree line]]/MAX(Table2[[Abundance in SC (g protein/g all proteins)]:[Abundance in RT (g protein/g all proteins)]])</f>
        <v>1.617194987652058E-3</v>
      </c>
      <c r="F334">
        <f>_xlfn.RANK.AVG(Table2[[#This Row],[Abundance in SC (g protein/g all proteins)]],Table2[Abundance in SC (g protein/g all proteins)])</f>
        <v>300</v>
      </c>
      <c r="G334">
        <f>_xlfn.RANK.AVG(Table2[[#This Row],[Abundance in RT (g protein/g all proteins)]],Table2[Abundance in RT (g protein/g all proteins)])</f>
        <v>515</v>
      </c>
      <c r="H334">
        <f>LOG(Table2[[#This Row],[Abundance in SC (g protein/g all proteins)]])</f>
        <v>-4.1052149358591388</v>
      </c>
      <c r="I334">
        <f>LOG(Table2[[#This Row],[Abundance in RT (g protein/g all proteins)]])</f>
        <v>-4.924453038607469</v>
      </c>
    </row>
    <row r="335" spans="1:9" x14ac:dyDescent="0.2">
      <c r="A335" t="s">
        <v>2582</v>
      </c>
      <c r="B335">
        <v>1.5334438998639299E-3</v>
      </c>
      <c r="C335">
        <v>1.5989999999999999E-3</v>
      </c>
      <c r="D335">
        <f t="shared" si="5"/>
        <v>4.6355162954359478E-5</v>
      </c>
      <c r="E335">
        <f>Table2[[#This Row],[distance from 45-degree line]]/MAX(Table2[[Abundance in SC (g protein/g all proteins)]:[Abundance in RT (g protein/g all proteins)]])</f>
        <v>1.5922123075119677E-3</v>
      </c>
      <c r="F335">
        <f>_xlfn.RANK.AVG(Table2[[#This Row],[Abundance in SC (g protein/g all proteins)]],Table2[Abundance in SC (g protein/g all proteins)])</f>
        <v>56</v>
      </c>
      <c r="G335">
        <f>_xlfn.RANK.AVG(Table2[[#This Row],[Abundance in RT (g protein/g all proteins)]],Table2[Abundance in RT (g protein/g all proteins)])</f>
        <v>47</v>
      </c>
      <c r="H335">
        <f>LOG(Table2[[#This Row],[Abundance in SC (g protein/g all proteins)]])</f>
        <v>-2.8143321077970449</v>
      </c>
      <c r="I335">
        <f>LOG(Table2[[#This Row],[Abundance in RT (g protein/g all proteins)]])</f>
        <v>-2.7961515362537654</v>
      </c>
    </row>
    <row r="336" spans="1:9" x14ac:dyDescent="0.2">
      <c r="A336" t="s">
        <v>2543</v>
      </c>
      <c r="B336">
        <v>2.36627294190308E-5</v>
      </c>
      <c r="C336">
        <v>8.8200000000000003E-5</v>
      </c>
      <c r="D336">
        <f t="shared" si="5"/>
        <v>4.5634741667074398E-5</v>
      </c>
      <c r="E336">
        <f>Table2[[#This Row],[distance from 45-degree line]]/MAX(Table2[[Abundance in SC (g protein/g all proteins)]:[Abundance in RT (g protein/g all proteins)]])</f>
        <v>1.5674671967820517E-3</v>
      </c>
      <c r="F336">
        <f>_xlfn.RANK.AVG(Table2[[#This Row],[Abundance in SC (g protein/g all proteins)]],Table2[Abundance in SC (g protein/g all proteins)])</f>
        <v>421</v>
      </c>
      <c r="G336">
        <f>_xlfn.RANK.AVG(Table2[[#This Row],[Abundance in RT (g protein/g all proteins)]],Table2[Abundance in RT (g protein/g all proteins)])</f>
        <v>340</v>
      </c>
      <c r="H336">
        <f>LOG(Table2[[#This Row],[Abundance in SC (g protein/g all proteins)]])</f>
        <v>-4.6259351623599541</v>
      </c>
      <c r="I336">
        <f>LOG(Table2[[#This Row],[Abundance in RT (g protein/g all proteins)]])</f>
        <v>-4.0545314148681806</v>
      </c>
    </row>
    <row r="337" spans="1:9" x14ac:dyDescent="0.2">
      <c r="A337" t="s">
        <v>2437</v>
      </c>
      <c r="B337">
        <v>9.1921827720001497E-5</v>
      </c>
      <c r="C337">
        <v>2.9200000000000002E-5</v>
      </c>
      <c r="D337">
        <f t="shared" si="5"/>
        <v>4.4351029709227424E-5</v>
      </c>
      <c r="E337">
        <f>Table2[[#This Row],[distance from 45-degree line]]/MAX(Table2[[Abundance in SC (g protein/g all proteins)]:[Abundance in RT (g protein/g all proteins)]])</f>
        <v>1.5233741152714407E-3</v>
      </c>
      <c r="F337">
        <f>_xlfn.RANK.AVG(Table2[[#This Row],[Abundance in SC (g protein/g all proteins)]],Table2[Abundance in SC (g protein/g all proteins)])</f>
        <v>287</v>
      </c>
      <c r="G337">
        <f>_xlfn.RANK.AVG(Table2[[#This Row],[Abundance in RT (g protein/g all proteins)]],Table2[Abundance in RT (g protein/g all proteins)])</f>
        <v>461</v>
      </c>
      <c r="H337">
        <f>LOG(Table2[[#This Row],[Abundance in SC (g protein/g all proteins)]])</f>
        <v>-4.0365813489757807</v>
      </c>
      <c r="I337">
        <f>LOG(Table2[[#This Row],[Abundance in RT (g protein/g all proteins)]])</f>
        <v>-4.5346171485515816</v>
      </c>
    </row>
    <row r="338" spans="1:9" x14ac:dyDescent="0.2">
      <c r="A338" t="s">
        <v>2551</v>
      </c>
      <c r="B338">
        <v>1.47985558522502E-6</v>
      </c>
      <c r="C338">
        <v>6.3700000000000003E-5</v>
      </c>
      <c r="D338">
        <f t="shared" si="5"/>
        <v>4.3996286042093681E-5</v>
      </c>
      <c r="E338">
        <f>Table2[[#This Row],[distance from 45-degree line]]/MAX(Table2[[Abundance in SC (g protein/g all proteins)]:[Abundance in RT (g protein/g all proteins)]])</f>
        <v>1.5111893402253817E-3</v>
      </c>
      <c r="F338">
        <f>_xlfn.RANK.AVG(Table2[[#This Row],[Abundance in SC (g protein/g all proteins)]],Table2[Abundance in SC (g protein/g all proteins)])</f>
        <v>573</v>
      </c>
      <c r="G338">
        <f>_xlfn.RANK.AVG(Table2[[#This Row],[Abundance in RT (g protein/g all proteins)]],Table2[Abundance in RT (g protein/g all proteins)])</f>
        <v>386</v>
      </c>
      <c r="H338">
        <f>LOG(Table2[[#This Row],[Abundance in SC (g protein/g all proteins)]])</f>
        <v>-5.8297806640645282</v>
      </c>
      <c r="I338">
        <f>LOG(Table2[[#This Row],[Abundance in RT (g protein/g all proteins)]])</f>
        <v>-4.1958605676646492</v>
      </c>
    </row>
    <row r="339" spans="1:9" x14ac:dyDescent="0.2">
      <c r="A339" t="s">
        <v>2783</v>
      </c>
      <c r="B339">
        <v>6.2286573150651498E-5</v>
      </c>
      <c r="C339">
        <v>4.1100000000000001E-7</v>
      </c>
      <c r="D339">
        <f t="shared" si="5"/>
        <v>4.3752637364629936E-5</v>
      </c>
      <c r="E339">
        <f>Table2[[#This Row],[distance from 45-degree line]]/MAX(Table2[[Abundance in SC (g protein/g all proteins)]:[Abundance in RT (g protein/g all proteins)]])</f>
        <v>1.502820468275805E-3</v>
      </c>
      <c r="F339">
        <f>_xlfn.RANK.AVG(Table2[[#This Row],[Abundance in SC (g protein/g all proteins)]],Table2[Abundance in SC (g protein/g all proteins)])</f>
        <v>326</v>
      </c>
      <c r="G339">
        <f>_xlfn.RANK.AVG(Table2[[#This Row],[Abundance in RT (g protein/g all proteins)]],Table2[Abundance in RT (g protein/g all proteins)])</f>
        <v>585</v>
      </c>
      <c r="H339">
        <f>LOG(Table2[[#This Row],[Abundance in SC (g protein/g all proteins)]])</f>
        <v>-4.2056055622499855</v>
      </c>
      <c r="I339">
        <f>LOG(Table2[[#This Row],[Abundance in RT (g protein/g all proteins)]])</f>
        <v>-6.3861581781239307</v>
      </c>
    </row>
    <row r="340" spans="1:9" x14ac:dyDescent="0.2">
      <c r="A340" t="s">
        <v>2890</v>
      </c>
      <c r="B340">
        <v>4.71969624654168E-5</v>
      </c>
      <c r="C340">
        <v>1.0900000000000001E-4</v>
      </c>
      <c r="D340">
        <f t="shared" si="5"/>
        <v>4.3701346938630508E-5</v>
      </c>
      <c r="E340">
        <f>Table2[[#This Row],[distance from 45-degree line]]/MAX(Table2[[Abundance in SC (g protein/g all proteins)]:[Abundance in RT (g protein/g all proteins)]])</f>
        <v>1.5010587390027524E-3</v>
      </c>
      <c r="F340">
        <f>_xlfn.RANK.AVG(Table2[[#This Row],[Abundance in SC (g protein/g all proteins)]],Table2[Abundance in SC (g protein/g all proteins)])</f>
        <v>352</v>
      </c>
      <c r="G340">
        <f>_xlfn.RANK.AVG(Table2[[#This Row],[Abundance in RT (g protein/g all proteins)]],Table2[Abundance in RT (g protein/g all proteins)])</f>
        <v>310</v>
      </c>
      <c r="H340">
        <f>LOG(Table2[[#This Row],[Abundance in SC (g protein/g all proteins)]])</f>
        <v>-4.326085951089591</v>
      </c>
      <c r="I340">
        <f>LOG(Table2[[#This Row],[Abundance in RT (g protein/g all proteins)]])</f>
        <v>-3.9625735020593762</v>
      </c>
    </row>
    <row r="341" spans="1:9" x14ac:dyDescent="0.2">
      <c r="A341" t="s">
        <v>2439</v>
      </c>
      <c r="B341">
        <v>7.3830968214379396E-6</v>
      </c>
      <c r="C341">
        <v>6.8399999999999996E-5</v>
      </c>
      <c r="D341">
        <f t="shared" si="5"/>
        <v>4.3145466004564236E-5</v>
      </c>
      <c r="E341">
        <f>Table2[[#This Row],[distance from 45-degree line]]/MAX(Table2[[Abundance in SC (g protein/g all proteins)]:[Abundance in RT (g protein/g all proteins)]])</f>
        <v>1.4819652786776749E-3</v>
      </c>
      <c r="F341">
        <f>_xlfn.RANK.AVG(Table2[[#This Row],[Abundance in SC (g protein/g all proteins)]],Table2[Abundance in SC (g protein/g all proteins)])</f>
        <v>531</v>
      </c>
      <c r="G341">
        <f>_xlfn.RANK.AVG(Table2[[#This Row],[Abundance in RT (g protein/g all proteins)]],Table2[Abundance in RT (g protein/g all proteins)])</f>
        <v>374</v>
      </c>
      <c r="H341">
        <f>LOG(Table2[[#This Row],[Abundance in SC (g protein/g all proteins)]])</f>
        <v>-5.1317614362314004</v>
      </c>
      <c r="I341">
        <f>LOG(Table2[[#This Row],[Abundance in RT (g protein/g all proteins)]])</f>
        <v>-4.1649438982798834</v>
      </c>
    </row>
    <row r="342" spans="1:9" x14ac:dyDescent="0.2">
      <c r="A342" t="s">
        <v>2550</v>
      </c>
      <c r="B342">
        <v>2.49454584062173E-4</v>
      </c>
      <c r="C342">
        <v>1.8900000000000001E-4</v>
      </c>
      <c r="D342">
        <f t="shared" si="5"/>
        <v>4.2747846344174698E-5</v>
      </c>
      <c r="E342">
        <f>Table2[[#This Row],[distance from 45-degree line]]/MAX(Table2[[Abundance in SC (g protein/g all proteins)]:[Abundance in RT (g protein/g all proteins)]])</f>
        <v>1.4683077942329694E-3</v>
      </c>
      <c r="F342">
        <f>_xlfn.RANK.AVG(Table2[[#This Row],[Abundance in SC (g protein/g all proteins)]],Table2[Abundance in SC (g protein/g all proteins)])</f>
        <v>201</v>
      </c>
      <c r="G342">
        <f>_xlfn.RANK.AVG(Table2[[#This Row],[Abundance in RT (g protein/g all proteins)]],Table2[Abundance in RT (g protein/g all proteins)])</f>
        <v>258</v>
      </c>
      <c r="H342">
        <f>LOG(Table2[[#This Row],[Abundance in SC (g protein/g all proteins)]])</f>
        <v>-3.603008510908547</v>
      </c>
      <c r="I342">
        <f>LOG(Table2[[#This Row],[Abundance in RT (g protein/g all proteins)]])</f>
        <v>-3.7235381958267557</v>
      </c>
    </row>
    <row r="343" spans="1:9" x14ac:dyDescent="0.2">
      <c r="A343" t="s">
        <v>2508</v>
      </c>
      <c r="B343">
        <v>1.2525809499539301E-4</v>
      </c>
      <c r="C343">
        <v>6.4999999999999994E-5</v>
      </c>
      <c r="D343">
        <f t="shared" si="5"/>
        <v>4.2608907592625562E-5</v>
      </c>
      <c r="E343">
        <f>Table2[[#This Row],[distance from 45-degree line]]/MAX(Table2[[Abundance in SC (g protein/g all proteins)]:[Abundance in RT (g protein/g all proteins)]])</f>
        <v>1.4635355104978289E-3</v>
      </c>
      <c r="F343">
        <f>_xlfn.RANK.AVG(Table2[[#This Row],[Abundance in SC (g protein/g all proteins)]],Table2[Abundance in SC (g protein/g all proteins)])</f>
        <v>262</v>
      </c>
      <c r="G343">
        <f>_xlfn.RANK.AVG(Table2[[#This Row],[Abundance in RT (g protein/g all proteins)]],Table2[Abundance in RT (g protein/g all proteins)])</f>
        <v>380</v>
      </c>
      <c r="H343">
        <f>LOG(Table2[[#This Row],[Abundance in SC (g protein/g all proteins)]])</f>
        <v>-3.9021941976106018</v>
      </c>
      <c r="I343">
        <f>LOG(Table2[[#This Row],[Abundance in RT (g protein/g all proteins)]])</f>
        <v>-4.1870866433571443</v>
      </c>
    </row>
    <row r="344" spans="1:9" x14ac:dyDescent="0.2">
      <c r="A344" t="s">
        <v>2383</v>
      </c>
      <c r="B344">
        <v>2.5186497635357598E-4</v>
      </c>
      <c r="C344">
        <v>3.1199999999999999E-4</v>
      </c>
      <c r="D344">
        <f t="shared" si="5"/>
        <v>4.2521883007199804E-5</v>
      </c>
      <c r="E344">
        <f>Table2[[#This Row],[distance from 45-degree line]]/MAX(Table2[[Abundance in SC (g protein/g all proteins)]:[Abundance in RT (g protein/g all proteins)]])</f>
        <v>1.460546380331089E-3</v>
      </c>
      <c r="F344">
        <f>_xlfn.RANK.AVG(Table2[[#This Row],[Abundance in SC (g protein/g all proteins)]],Table2[Abundance in SC (g protein/g all proteins)])</f>
        <v>200</v>
      </c>
      <c r="G344">
        <f>_xlfn.RANK.AVG(Table2[[#This Row],[Abundance in RT (g protein/g all proteins)]],Table2[Abundance in RT (g protein/g all proteins)])</f>
        <v>196</v>
      </c>
      <c r="H344">
        <f>LOG(Table2[[#This Row],[Abundance in SC (g protein/g all proteins)]])</f>
        <v>-3.598832220091801</v>
      </c>
      <c r="I344">
        <f>LOG(Table2[[#This Row],[Abundance in RT (g protein/g all proteins)]])</f>
        <v>-3.5058454059815571</v>
      </c>
    </row>
    <row r="345" spans="1:9" x14ac:dyDescent="0.2">
      <c r="A345" t="s">
        <v>2691</v>
      </c>
      <c r="B345">
        <v>4.5115167911891603E-5</v>
      </c>
      <c r="C345">
        <v>1.05E-4</v>
      </c>
      <c r="D345">
        <f t="shared" si="5"/>
        <v>4.2344970859719204E-5</v>
      </c>
      <c r="E345">
        <f>Table2[[#This Row],[distance from 45-degree line]]/MAX(Table2[[Abundance in SC (g protein/g all proteins)]:[Abundance in RT (g protein/g all proteins)]])</f>
        <v>1.4544697821570233E-3</v>
      </c>
      <c r="F345">
        <f>_xlfn.RANK.AVG(Table2[[#This Row],[Abundance in SC (g protein/g all proteins)]],Table2[Abundance in SC (g protein/g all proteins)])</f>
        <v>359</v>
      </c>
      <c r="G345">
        <f>_xlfn.RANK.AVG(Table2[[#This Row],[Abundance in RT (g protein/g all proteins)]],Table2[Abundance in RT (g protein/g all proteins)])</f>
        <v>317</v>
      </c>
      <c r="H345">
        <f>LOG(Table2[[#This Row],[Abundance in SC (g protein/g all proteins)]])</f>
        <v>-4.3456774219143579</v>
      </c>
      <c r="I345">
        <f>LOG(Table2[[#This Row],[Abundance in RT (g protein/g all proteins)]])</f>
        <v>-3.9788107009300617</v>
      </c>
    </row>
    <row r="346" spans="1:9" x14ac:dyDescent="0.2">
      <c r="A346" t="s">
        <v>2750</v>
      </c>
      <c r="B346">
        <v>7.6234636278768499E-5</v>
      </c>
      <c r="C346">
        <v>1.36E-4</v>
      </c>
      <c r="D346">
        <f t="shared" si="5"/>
        <v>4.2260493967363261E-5</v>
      </c>
      <c r="E346">
        <f>Table2[[#This Row],[distance from 45-degree line]]/MAX(Table2[[Abundance in SC (g protein/g all proteins)]:[Abundance in RT (g protein/g all proteins)]])</f>
        <v>1.4515681604360096E-3</v>
      </c>
      <c r="F346">
        <f>_xlfn.RANK.AVG(Table2[[#This Row],[Abundance in SC (g protein/g all proteins)]],Table2[Abundance in SC (g protein/g all proteins)])</f>
        <v>303</v>
      </c>
      <c r="G346">
        <f>_xlfn.RANK.AVG(Table2[[#This Row],[Abundance in RT (g protein/g all proteins)]],Table2[Abundance in RT (g protein/g all proteins)])</f>
        <v>288</v>
      </c>
      <c r="H346">
        <f>LOG(Table2[[#This Row],[Abundance in SC (g protein/g all proteins)]])</f>
        <v>-4.1178476674127342</v>
      </c>
      <c r="I346">
        <f>LOG(Table2[[#This Row],[Abundance in RT (g protein/g all proteins)]])</f>
        <v>-3.8664610916297826</v>
      </c>
    </row>
    <row r="347" spans="1:9" x14ac:dyDescent="0.2">
      <c r="A347" t="s">
        <v>2601</v>
      </c>
      <c r="B347">
        <v>1.43440775190131E-5</v>
      </c>
      <c r="C347">
        <v>7.2999999999999999E-5</v>
      </c>
      <c r="D347">
        <f t="shared" si="5"/>
        <v>4.1476000543058295E-5</v>
      </c>
      <c r="E347">
        <f>Table2[[#This Row],[distance from 45-degree line]]/MAX(Table2[[Abundance in SC (g protein/g all proteins)]:[Abundance in RT (g protein/g all proteins)]])</f>
        <v>1.4246222927972658E-3</v>
      </c>
      <c r="F347">
        <f>_xlfn.RANK.AVG(Table2[[#This Row],[Abundance in SC (g protein/g all proteins)]],Table2[Abundance in SC (g protein/g all proteins)])</f>
        <v>471</v>
      </c>
      <c r="G347">
        <f>_xlfn.RANK.AVG(Table2[[#This Row],[Abundance in RT (g protein/g all proteins)]],Table2[Abundance in RT (g protein/g all proteins)])</f>
        <v>363.5</v>
      </c>
      <c r="H347">
        <f>LOG(Table2[[#This Row],[Abundance in SC (g protein/g all proteins)]])</f>
        <v>-4.8433273764026037</v>
      </c>
      <c r="I347">
        <f>LOG(Table2[[#This Row],[Abundance in RT (g protein/g all proteins)]])</f>
        <v>-4.1366771398795441</v>
      </c>
    </row>
    <row r="348" spans="1:9" x14ac:dyDescent="0.2">
      <c r="A348" t="s">
        <v>2765</v>
      </c>
      <c r="B348">
        <v>1.5101652512678299E-5</v>
      </c>
      <c r="C348">
        <v>7.2799999999999994E-5</v>
      </c>
      <c r="D348">
        <f t="shared" si="5"/>
        <v>4.0798892771542963E-5</v>
      </c>
      <c r="E348">
        <f>Table2[[#This Row],[distance from 45-degree line]]/MAX(Table2[[Abundance in SC (g protein/g all proteins)]:[Abundance in RT (g protein/g all proteins)]])</f>
        <v>1.401364919538106E-3</v>
      </c>
      <c r="F348">
        <f>_xlfn.RANK.AVG(Table2[[#This Row],[Abundance in SC (g protein/g all proteins)]],Table2[Abundance in SC (g protein/g all proteins)])</f>
        <v>463</v>
      </c>
      <c r="G348">
        <f>_xlfn.RANK.AVG(Table2[[#This Row],[Abundance in RT (g protein/g all proteins)]],Table2[Abundance in RT (g protein/g all proteins)])</f>
        <v>366</v>
      </c>
      <c r="H348">
        <f>LOG(Table2[[#This Row],[Abundance in SC (g protein/g all proteins)]])</f>
        <v>-4.8209755270200905</v>
      </c>
      <c r="I348">
        <f>LOG(Table2[[#This Row],[Abundance in RT (g protein/g all proteins)]])</f>
        <v>-4.1378686206869633</v>
      </c>
    </row>
    <row r="349" spans="1:9" x14ac:dyDescent="0.2">
      <c r="A349" t="s">
        <v>2767</v>
      </c>
      <c r="B349">
        <v>2.5965921541183402E-4</v>
      </c>
      <c r="C349">
        <v>2.02E-4</v>
      </c>
      <c r="D349">
        <f t="shared" si="5"/>
        <v>4.0771222215603719E-5</v>
      </c>
      <c r="E349">
        <f>Table2[[#This Row],[distance from 45-degree line]]/MAX(Table2[[Abundance in SC (g protein/g all proteins)]:[Abundance in RT (g protein/g all proteins)]])</f>
        <v>1.4004144881963902E-3</v>
      </c>
      <c r="F349">
        <f>_xlfn.RANK.AVG(Table2[[#This Row],[Abundance in SC (g protein/g all proteins)]],Table2[Abundance in SC (g protein/g all proteins)])</f>
        <v>196</v>
      </c>
      <c r="G349">
        <f>_xlfn.RANK.AVG(Table2[[#This Row],[Abundance in RT (g protein/g all proteins)]],Table2[Abundance in RT (g protein/g all proteins)])</f>
        <v>248</v>
      </c>
      <c r="H349">
        <f>LOG(Table2[[#This Row],[Abundance in SC (g protein/g all proteins)]])</f>
        <v>-3.5855962595064863</v>
      </c>
      <c r="I349">
        <f>LOG(Table2[[#This Row],[Abundance in RT (g protein/g all proteins)]])</f>
        <v>-3.6946486305533761</v>
      </c>
    </row>
    <row r="350" spans="1:9" x14ac:dyDescent="0.2">
      <c r="A350" t="s">
        <v>2603</v>
      </c>
      <c r="B350">
        <v>9.4345605555694095E-5</v>
      </c>
      <c r="C350">
        <v>1.5200000000000001E-4</v>
      </c>
      <c r="D350">
        <f t="shared" si="5"/>
        <v>4.076781327677272E-5</v>
      </c>
      <c r="E350">
        <f>Table2[[#This Row],[distance from 45-degree line]]/MAX(Table2[[Abundance in SC (g protein/g all proteins)]:[Abundance in RT (g protein/g all proteins)]])</f>
        <v>1.4002973975851974E-3</v>
      </c>
      <c r="F350">
        <f>_xlfn.RANK.AVG(Table2[[#This Row],[Abundance in SC (g protein/g all proteins)]],Table2[Abundance in SC (g protein/g all proteins)])</f>
        <v>285</v>
      </c>
      <c r="G350">
        <f>_xlfn.RANK.AVG(Table2[[#This Row],[Abundance in RT (g protein/g all proteins)]],Table2[Abundance in RT (g protein/g all proteins)])</f>
        <v>275</v>
      </c>
      <c r="H350">
        <f>LOG(Table2[[#This Row],[Abundance in SC (g protein/g all proteins)]])</f>
        <v>-4.0252783236639589</v>
      </c>
      <c r="I350">
        <f>LOG(Table2[[#This Row],[Abundance in RT (g protein/g all proteins)]])</f>
        <v>-3.8181564120552274</v>
      </c>
    </row>
    <row r="351" spans="1:9" x14ac:dyDescent="0.2">
      <c r="A351" t="s">
        <v>2764</v>
      </c>
      <c r="B351">
        <v>4.1695365100541901E-5</v>
      </c>
      <c r="C351">
        <v>9.87E-5</v>
      </c>
      <c r="D351">
        <f t="shared" si="5"/>
        <v>4.0308363896470148E-5</v>
      </c>
      <c r="E351">
        <f>Table2[[#This Row],[distance from 45-degree line]]/MAX(Table2[[Abundance in SC (g protein/g all proteins)]:[Abundance in RT (g protein/g all proteins)]])</f>
        <v>1.3845161790245644E-3</v>
      </c>
      <c r="F351">
        <f>_xlfn.RANK.AVG(Table2[[#This Row],[Abundance in SC (g protein/g all proteins)]],Table2[Abundance in SC (g protein/g all proteins)])</f>
        <v>373</v>
      </c>
      <c r="G351">
        <f>_xlfn.RANK.AVG(Table2[[#This Row],[Abundance in RT (g protein/g all proteins)]],Table2[Abundance in RT (g protein/g all proteins)])</f>
        <v>325</v>
      </c>
      <c r="H351">
        <f>LOG(Table2[[#This Row],[Abundance in SC (g protein/g all proteins)]])</f>
        <v>-4.3799122189622937</v>
      </c>
      <c r="I351">
        <f>LOG(Table2[[#This Row],[Abundance in RT (g protein/g all proteins)]])</f>
        <v>-4.0056828473303634</v>
      </c>
    </row>
    <row r="352" spans="1:9" x14ac:dyDescent="0.2">
      <c r="A352" t="s">
        <v>2658</v>
      </c>
      <c r="B352">
        <v>1.19519476606299E-4</v>
      </c>
      <c r="C352">
        <v>6.2600000000000004E-5</v>
      </c>
      <c r="D352">
        <f t="shared" si="5"/>
        <v>4.0248147889903074E-5</v>
      </c>
      <c r="E352">
        <f>Table2[[#This Row],[distance from 45-degree line]]/MAX(Table2[[Abundance in SC (g protein/g all proteins)]:[Abundance in RT (g protein/g all proteins)]])</f>
        <v>1.382447872914634E-3</v>
      </c>
      <c r="F352">
        <f>_xlfn.RANK.AVG(Table2[[#This Row],[Abundance in SC (g protein/g all proteins)]],Table2[Abundance in SC (g protein/g all proteins)])</f>
        <v>267</v>
      </c>
      <c r="G352">
        <f>_xlfn.RANK.AVG(Table2[[#This Row],[Abundance in RT (g protein/g all proteins)]],Table2[Abundance in RT (g protein/g all proteins)])</f>
        <v>389</v>
      </c>
      <c r="H352">
        <f>LOG(Table2[[#This Row],[Abundance in SC (g protein/g all proteins)]])</f>
        <v>-3.9225613173651381</v>
      </c>
      <c r="I352">
        <f>LOG(Table2[[#This Row],[Abundance in RT (g protein/g all proteins)]])</f>
        <v>-4.2034256667895704</v>
      </c>
    </row>
    <row r="353" spans="1:9" x14ac:dyDescent="0.2">
      <c r="A353" t="s">
        <v>2901</v>
      </c>
      <c r="B353">
        <v>5.92947789825455E-5</v>
      </c>
      <c r="C353">
        <v>1.16E-4</v>
      </c>
      <c r="D353">
        <f t="shared" si="5"/>
        <v>4.0096646310124015E-5</v>
      </c>
      <c r="E353">
        <f>Table2[[#This Row],[distance from 45-degree line]]/MAX(Table2[[Abundance in SC (g protein/g all proteins)]:[Abundance in RT (g protein/g all proteins)]])</f>
        <v>1.3772440797542211E-3</v>
      </c>
      <c r="F353">
        <f>_xlfn.RANK.AVG(Table2[[#This Row],[Abundance in SC (g protein/g all proteins)]],Table2[Abundance in SC (g protein/g all proteins)])</f>
        <v>328</v>
      </c>
      <c r="G353">
        <f>_xlfn.RANK.AVG(Table2[[#This Row],[Abundance in RT (g protein/g all proteins)]],Table2[Abundance in RT (g protein/g all proteins)])</f>
        <v>304.5</v>
      </c>
      <c r="H353">
        <f>LOG(Table2[[#This Row],[Abundance in SC (g protein/g all proteins)]])</f>
        <v>-4.2269835454029296</v>
      </c>
      <c r="I353">
        <f>LOG(Table2[[#This Row],[Abundance in RT (g protein/g all proteins)]])</f>
        <v>-3.9355420107730814</v>
      </c>
    </row>
    <row r="354" spans="1:9" x14ac:dyDescent="0.2">
      <c r="A354" t="s">
        <v>2581</v>
      </c>
      <c r="B354">
        <v>1.64565280172967E-4</v>
      </c>
      <c r="C354">
        <v>1.08E-4</v>
      </c>
      <c r="D354">
        <f t="shared" si="5"/>
        <v>3.9997693190021934E-5</v>
      </c>
      <c r="E354">
        <f>Table2[[#This Row],[distance from 45-degree line]]/MAX(Table2[[Abundance in SC (g protein/g all proteins)]:[Abundance in RT (g protein/g all proteins)]])</f>
        <v>1.3738452269479358E-3</v>
      </c>
      <c r="F354">
        <f>_xlfn.RANK.AVG(Table2[[#This Row],[Abundance in SC (g protein/g all proteins)]],Table2[Abundance in SC (g protein/g all proteins)])</f>
        <v>238</v>
      </c>
      <c r="G354">
        <f>_xlfn.RANK.AVG(Table2[[#This Row],[Abundance in RT (g protein/g all proteins)]],Table2[Abundance in RT (g protein/g all proteins)])</f>
        <v>312</v>
      </c>
      <c r="H354">
        <f>LOG(Table2[[#This Row],[Abundance in SC (g protein/g all proteins)]])</f>
        <v>-3.783661786498103</v>
      </c>
      <c r="I354">
        <f>LOG(Table2[[#This Row],[Abundance in RT (g protein/g all proteins)]])</f>
        <v>-3.9665762445130501</v>
      </c>
    </row>
    <row r="355" spans="1:9" x14ac:dyDescent="0.2">
      <c r="A355" t="s">
        <v>2731</v>
      </c>
      <c r="B355">
        <v>5.7015877359026503E-5</v>
      </c>
      <c r="C355">
        <v>1.55E-6</v>
      </c>
      <c r="D355">
        <f t="shared" si="5"/>
        <v>3.9220298005029034E-5</v>
      </c>
      <c r="E355">
        <f>Table2[[#This Row],[distance from 45-degree line]]/MAX(Table2[[Abundance in SC (g protein/g all proteins)]:[Abundance in RT (g protein/g all proteins)]])</f>
        <v>1.347143170424805E-3</v>
      </c>
      <c r="F355">
        <f>_xlfn.RANK.AVG(Table2[[#This Row],[Abundance in SC (g protein/g all proteins)]],Table2[Abundance in SC (g protein/g all proteins)])</f>
        <v>332</v>
      </c>
      <c r="G355">
        <f>_xlfn.RANK.AVG(Table2[[#This Row],[Abundance in RT (g protein/g all proteins)]],Table2[Abundance in RT (g protein/g all proteins)])</f>
        <v>576</v>
      </c>
      <c r="H355">
        <f>LOG(Table2[[#This Row],[Abundance in SC (g protein/g all proteins)]])</f>
        <v>-4.2440041883761674</v>
      </c>
      <c r="I355">
        <f>LOG(Table2[[#This Row],[Abundance in RT (g protein/g all proteins)]])</f>
        <v>-5.8096683018297082</v>
      </c>
    </row>
    <row r="356" spans="1:9" x14ac:dyDescent="0.2">
      <c r="A356" t="s">
        <v>2424</v>
      </c>
      <c r="B356">
        <v>1.2528871824904001E-4</v>
      </c>
      <c r="C356">
        <v>7.1099999999999994E-5</v>
      </c>
      <c r="D356">
        <f t="shared" si="5"/>
        <v>3.8317210137703407E-5</v>
      </c>
      <c r="E356">
        <f>Table2[[#This Row],[distance from 45-degree line]]/MAX(Table2[[Abundance in SC (g protein/g all proteins)]:[Abundance in RT (g protein/g all proteins)]])</f>
        <v>1.3161238076294173E-3</v>
      </c>
      <c r="F356">
        <f>_xlfn.RANK.AVG(Table2[[#This Row],[Abundance in SC (g protein/g all proteins)]],Table2[Abundance in SC (g protein/g all proteins)])</f>
        <v>261</v>
      </c>
      <c r="G356">
        <f>_xlfn.RANK.AVG(Table2[[#This Row],[Abundance in RT (g protein/g all proteins)]],Table2[Abundance in RT (g protein/g all proteins)])</f>
        <v>370.5</v>
      </c>
      <c r="H356">
        <f>LOG(Table2[[#This Row],[Abundance in SC (g protein/g all proteins)]])</f>
        <v>-3.9020880337367068</v>
      </c>
      <c r="I356">
        <f>LOG(Table2[[#This Row],[Abundance in RT (g protein/g all proteins)]])</f>
        <v>-4.1481303992702339</v>
      </c>
    </row>
    <row r="357" spans="1:9" x14ac:dyDescent="0.2">
      <c r="A357" t="s">
        <v>2413</v>
      </c>
      <c r="B357">
        <v>7.1180801404590902E-5</v>
      </c>
      <c r="C357">
        <v>1.25E-4</v>
      </c>
      <c r="D357">
        <f t="shared" si="5"/>
        <v>3.8055920284839288E-5</v>
      </c>
      <c r="E357">
        <f>Table2[[#This Row],[distance from 45-degree line]]/MAX(Table2[[Abundance in SC (g protein/g all proteins)]:[Abundance in RT (g protein/g all proteins)]])</f>
        <v>1.3071489946195297E-3</v>
      </c>
      <c r="F357">
        <f>_xlfn.RANK.AVG(Table2[[#This Row],[Abundance in SC (g protein/g all proteins)]],Table2[Abundance in SC (g protein/g all proteins)])</f>
        <v>314</v>
      </c>
      <c r="G357">
        <f>_xlfn.RANK.AVG(Table2[[#This Row],[Abundance in RT (g protein/g all proteins)]],Table2[Abundance in RT (g protein/g all proteins)])</f>
        <v>292.5</v>
      </c>
      <c r="H357">
        <f>LOG(Table2[[#This Row],[Abundance in SC (g protein/g all proteins)]])</f>
        <v>-4.1476371267054191</v>
      </c>
      <c r="I357">
        <f>LOG(Table2[[#This Row],[Abundance in RT (g protein/g all proteins)]])</f>
        <v>-3.9030899869919438</v>
      </c>
    </row>
    <row r="358" spans="1:9" x14ac:dyDescent="0.2">
      <c r="A358" t="s">
        <v>2677</v>
      </c>
      <c r="B358">
        <v>8.5105940016145102E-5</v>
      </c>
      <c r="C358">
        <v>3.1600000000000002E-5</v>
      </c>
      <c r="D358">
        <f t="shared" si="5"/>
        <v>3.7834413019176847E-5</v>
      </c>
      <c r="E358">
        <f>Table2[[#This Row],[distance from 45-degree line]]/MAX(Table2[[Abundance in SC (g protein/g all proteins)]:[Abundance in RT (g protein/g all proteins)]])</f>
        <v>1.29954063835211E-3</v>
      </c>
      <c r="F358">
        <f>_xlfn.RANK.AVG(Table2[[#This Row],[Abundance in SC (g protein/g all proteins)]],Table2[Abundance in SC (g protein/g all proteins)])</f>
        <v>294</v>
      </c>
      <c r="G358">
        <f>_xlfn.RANK.AVG(Table2[[#This Row],[Abundance in RT (g protein/g all proteins)]],Table2[Abundance in RT (g protein/g all proteins)])</f>
        <v>453</v>
      </c>
      <c r="H358">
        <f>LOG(Table2[[#This Row],[Abundance in SC (g protein/g all proteins)]])</f>
        <v>-4.0700401270340283</v>
      </c>
      <c r="I358">
        <f>LOG(Table2[[#This Row],[Abundance in RT (g protein/g all proteins)]])</f>
        <v>-4.5003129173815966</v>
      </c>
    </row>
    <row r="359" spans="1:9" x14ac:dyDescent="0.2">
      <c r="A359" t="s">
        <v>2515</v>
      </c>
      <c r="B359">
        <v>4.1333828000772701E-6</v>
      </c>
      <c r="C359">
        <v>5.7599999999999997E-5</v>
      </c>
      <c r="D359">
        <f t="shared" si="5"/>
        <v>3.7806607589170657E-5</v>
      </c>
      <c r="E359">
        <f>Table2[[#This Row],[distance from 45-degree line]]/MAX(Table2[[Abundance in SC (g protein/g all proteins)]:[Abundance in RT (g protein/g all proteins)]])</f>
        <v>1.2985855743408994E-3</v>
      </c>
      <c r="F359">
        <f>_xlfn.RANK.AVG(Table2[[#This Row],[Abundance in SC (g protein/g all proteins)]],Table2[Abundance in SC (g protein/g all proteins)])</f>
        <v>558</v>
      </c>
      <c r="G359">
        <f>_xlfn.RANK.AVG(Table2[[#This Row],[Abundance in RT (g protein/g all proteins)]],Table2[Abundance in RT (g protein/g all proteins)])</f>
        <v>395</v>
      </c>
      <c r="H359">
        <f>LOG(Table2[[#This Row],[Abundance in SC (g protein/g all proteins)]])</f>
        <v>-5.3836943720561266</v>
      </c>
      <c r="I359">
        <f>LOG(Table2[[#This Row],[Abundance in RT (g protein/g all proteins)]])</f>
        <v>-4.2395775165767882</v>
      </c>
    </row>
    <row r="360" spans="1:9" x14ac:dyDescent="0.2">
      <c r="A360" t="s">
        <v>2683</v>
      </c>
      <c r="B360">
        <v>1.01043692613184E-4</v>
      </c>
      <c r="C360">
        <v>4.7599999999999998E-5</v>
      </c>
      <c r="D360">
        <f t="shared" si="5"/>
        <v>3.7790397458431804E-5</v>
      </c>
      <c r="E360">
        <f>Table2[[#This Row],[distance from 45-degree line]]/MAX(Table2[[Abundance in SC (g protein/g all proteins)]:[Abundance in RT (g protein/g all proteins)]])</f>
        <v>1.2980287869622379E-3</v>
      </c>
      <c r="F360">
        <f>_xlfn.RANK.AVG(Table2[[#This Row],[Abundance in SC (g protein/g all proteins)]],Table2[Abundance in SC (g protein/g all proteins)])</f>
        <v>278</v>
      </c>
      <c r="G360">
        <f>_xlfn.RANK.AVG(Table2[[#This Row],[Abundance in RT (g protein/g all proteins)]],Table2[Abundance in RT (g protein/g all proteins)])</f>
        <v>409.5</v>
      </c>
      <c r="H360">
        <f>LOG(Table2[[#This Row],[Abundance in SC (g protein/g all proteins)]])</f>
        <v>-3.9954907909936379</v>
      </c>
      <c r="I360">
        <f>LOG(Table2[[#This Row],[Abundance in RT (g protein/g all proteins)]])</f>
        <v>-4.3223930472795065</v>
      </c>
    </row>
    <row r="361" spans="1:9" x14ac:dyDescent="0.2">
      <c r="A361" t="s">
        <v>2467</v>
      </c>
      <c r="B361">
        <v>2.0158356454669301E-5</v>
      </c>
      <c r="C361">
        <v>7.2899999999999997E-5</v>
      </c>
      <c r="D361">
        <f t="shared" si="5"/>
        <v>3.7293973801827035E-5</v>
      </c>
      <c r="E361">
        <f>Table2[[#This Row],[distance from 45-degree line]]/MAX(Table2[[Abundance in SC (g protein/g all proteins)]:[Abundance in RT (g protein/g all proteins)]])</f>
        <v>1.2809775718351454E-3</v>
      </c>
      <c r="F361">
        <f>_xlfn.RANK.AVG(Table2[[#This Row],[Abundance in SC (g protein/g all proteins)]],Table2[Abundance in SC (g protein/g all proteins)])</f>
        <v>444</v>
      </c>
      <c r="G361">
        <f>_xlfn.RANK.AVG(Table2[[#This Row],[Abundance in RT (g protein/g all proteins)]],Table2[Abundance in RT (g protein/g all proteins)])</f>
        <v>365</v>
      </c>
      <c r="H361">
        <f>LOG(Table2[[#This Row],[Abundance in SC (g protein/g all proteins)]])</f>
        <v>-4.6955448795561283</v>
      </c>
      <c r="I361">
        <f>LOG(Table2[[#This Row],[Abundance in RT (g protein/g all proteins)]])</f>
        <v>-4.1372724716820253</v>
      </c>
    </row>
    <row r="362" spans="1:9" x14ac:dyDescent="0.2">
      <c r="A362" t="s">
        <v>2410</v>
      </c>
      <c r="B362">
        <v>5.1691501068460998E-5</v>
      </c>
      <c r="C362">
        <v>1.0399999999999999E-4</v>
      </c>
      <c r="D362">
        <f t="shared" si="5"/>
        <v>3.6987694308180499E-5</v>
      </c>
      <c r="E362">
        <f>Table2[[#This Row],[distance from 45-degree line]]/MAX(Table2[[Abundance in SC (g protein/g all proteins)]:[Abundance in RT (g protein/g all proteins)]])</f>
        <v>1.2704574496256152E-3</v>
      </c>
      <c r="F362">
        <f>_xlfn.RANK.AVG(Table2[[#This Row],[Abundance in SC (g protein/g all proteins)]],Table2[Abundance in SC (g protein/g all proteins)])</f>
        <v>343</v>
      </c>
      <c r="G362">
        <f>_xlfn.RANK.AVG(Table2[[#This Row],[Abundance in RT (g protein/g all proteins)]],Table2[Abundance in RT (g protein/g all proteins)])</f>
        <v>318.5</v>
      </c>
      <c r="H362">
        <f>LOG(Table2[[#This Row],[Abundance in SC (g protein/g all proteins)]])</f>
        <v>-4.2865808561804588</v>
      </c>
      <c r="I362">
        <f>LOG(Table2[[#This Row],[Abundance in RT (g protein/g all proteins)]])</f>
        <v>-3.9829666607012197</v>
      </c>
    </row>
    <row r="363" spans="1:9" x14ac:dyDescent="0.2">
      <c r="A363" t="s">
        <v>2360</v>
      </c>
      <c r="B363">
        <v>5.8412519729875499E-5</v>
      </c>
      <c r="C363">
        <v>7.6399999999999997E-6</v>
      </c>
      <c r="D363">
        <f t="shared" si="5"/>
        <v>3.590159299892274E-5</v>
      </c>
      <c r="E363">
        <f>Table2[[#This Row],[distance from 45-degree line]]/MAX(Table2[[Abundance in SC (g protein/g all proteins)]:[Abundance in RT (g protein/g all proteins)]])</f>
        <v>1.2331519207138151E-3</v>
      </c>
      <c r="F363">
        <f>_xlfn.RANK.AVG(Table2[[#This Row],[Abundance in SC (g protein/g all proteins)]],Table2[Abundance in SC (g protein/g all proteins)])</f>
        <v>330</v>
      </c>
      <c r="G363">
        <f>_xlfn.RANK.AVG(Table2[[#This Row],[Abundance in RT (g protein/g all proteins)]],Table2[Abundance in RT (g protein/g all proteins)])</f>
        <v>537</v>
      </c>
      <c r="H363">
        <f>LOG(Table2[[#This Row],[Abundance in SC (g protein/g all proteins)]])</f>
        <v>-4.2334940592768602</v>
      </c>
      <c r="I363">
        <f>LOG(Table2[[#This Row],[Abundance in RT (g protein/g all proteins)]])</f>
        <v>-5.1169066414243103</v>
      </c>
    </row>
    <row r="364" spans="1:9" x14ac:dyDescent="0.2">
      <c r="A364" t="s">
        <v>2357</v>
      </c>
      <c r="B364">
        <v>2.3432143201179601E-5</v>
      </c>
      <c r="C364">
        <v>7.3899999999999994E-5</v>
      </c>
      <c r="D364">
        <f t="shared" si="5"/>
        <v>3.5686163774397503E-5</v>
      </c>
      <c r="E364">
        <f>Table2[[#This Row],[distance from 45-degree line]]/MAX(Table2[[Abundance in SC (g protein/g all proteins)]:[Abundance in RT (g protein/g all proteins)]])</f>
        <v>1.2257523336813077E-3</v>
      </c>
      <c r="F364">
        <f>_xlfn.RANK.AVG(Table2[[#This Row],[Abundance in SC (g protein/g all proteins)]],Table2[Abundance in SC (g protein/g all proteins)])</f>
        <v>422</v>
      </c>
      <c r="G364">
        <f>_xlfn.RANK.AVG(Table2[[#This Row],[Abundance in RT (g protein/g all proteins)]],Table2[Abundance in RT (g protein/g all proteins)])</f>
        <v>361</v>
      </c>
      <c r="H364">
        <f>LOG(Table2[[#This Row],[Abundance in SC (g protein/g all proteins)]])</f>
        <v>-4.6301879872084966</v>
      </c>
      <c r="I364">
        <f>LOG(Table2[[#This Row],[Abundance in RT (g protein/g all proteins)]])</f>
        <v>-4.131355561605174</v>
      </c>
    </row>
    <row r="365" spans="1:9" x14ac:dyDescent="0.2">
      <c r="A365" t="s">
        <v>2430</v>
      </c>
      <c r="B365">
        <v>9.0575734210671298E-5</v>
      </c>
      <c r="C365">
        <v>1.4100000000000001E-4</v>
      </c>
      <c r="D365">
        <f t="shared" si="5"/>
        <v>3.5655340275987173E-5</v>
      </c>
      <c r="E365">
        <f>Table2[[#This Row],[distance from 45-degree line]]/MAX(Table2[[Abundance in SC (g protein/g all proteins)]:[Abundance in RT (g protein/g all proteins)]])</f>
        <v>1.2246936047199228E-3</v>
      </c>
      <c r="F365">
        <f>_xlfn.RANK.AVG(Table2[[#This Row],[Abundance in SC (g protein/g all proteins)]],Table2[Abundance in SC (g protein/g all proteins)])</f>
        <v>290</v>
      </c>
      <c r="G365">
        <f>_xlfn.RANK.AVG(Table2[[#This Row],[Abundance in RT (g protein/g all proteins)]],Table2[Abundance in RT (g protein/g all proteins)])</f>
        <v>282</v>
      </c>
      <c r="H365">
        <f>LOG(Table2[[#This Row],[Abundance in SC (g protein/g all proteins)]])</f>
        <v>-4.0429881368700116</v>
      </c>
      <c r="I365">
        <f>LOG(Table2[[#This Row],[Abundance in RT (g protein/g all proteins)]])</f>
        <v>-3.8507808873446199</v>
      </c>
    </row>
    <row r="366" spans="1:9" x14ac:dyDescent="0.2">
      <c r="A366" t="s">
        <v>2527</v>
      </c>
      <c r="B366">
        <v>5.3864890320119703E-5</v>
      </c>
      <c r="C366">
        <v>4.4399999999999998E-6</v>
      </c>
      <c r="D366">
        <f t="shared" si="5"/>
        <v>3.494867510475799E-5</v>
      </c>
      <c r="E366">
        <f>Table2[[#This Row],[distance from 45-degree line]]/MAX(Table2[[Abundance in SC (g protein/g all proteins)]:[Abundance in RT (g protein/g all proteins)]])</f>
        <v>1.2004209905986227E-3</v>
      </c>
      <c r="F366">
        <f>_xlfn.RANK.AVG(Table2[[#This Row],[Abundance in SC (g protein/g all proteins)]],Table2[Abundance in SC (g protein/g all proteins)])</f>
        <v>337</v>
      </c>
      <c r="G366">
        <f>_xlfn.RANK.AVG(Table2[[#This Row],[Abundance in RT (g protein/g all proteins)]],Table2[Abundance in RT (g protein/g all proteins)])</f>
        <v>555</v>
      </c>
      <c r="H366">
        <f>LOG(Table2[[#This Row],[Abundance in SC (g protein/g all proteins)]])</f>
        <v>-4.2686942201293068</v>
      </c>
      <c r="I366">
        <f>LOG(Table2[[#This Row],[Abundance in RT (g protein/g all proteins)]])</f>
        <v>-5.3526170298853799</v>
      </c>
    </row>
    <row r="367" spans="1:9" x14ac:dyDescent="0.2">
      <c r="A367" t="s">
        <v>2825</v>
      </c>
      <c r="B367">
        <v>2.0784596280305001E-5</v>
      </c>
      <c r="C367">
        <v>6.9599999999999998E-5</v>
      </c>
      <c r="D367">
        <f t="shared" si="5"/>
        <v>3.4517702996555345E-5</v>
      </c>
      <c r="E367">
        <f>Table2[[#This Row],[distance from 45-degree line]]/MAX(Table2[[Abundance in SC (g protein/g all proteins)]:[Abundance in RT (g protein/g all proteins)]])</f>
        <v>1.185617912556372E-3</v>
      </c>
      <c r="F367">
        <f>_xlfn.RANK.AVG(Table2[[#This Row],[Abundance in SC (g protein/g all proteins)]],Table2[Abundance in SC (g protein/g all proteins)])</f>
        <v>440</v>
      </c>
      <c r="G367">
        <f>_xlfn.RANK.AVG(Table2[[#This Row],[Abundance in RT (g protein/g all proteins)]],Table2[Abundance in RT (g protein/g all proteins)])</f>
        <v>372</v>
      </c>
      <c r="H367">
        <f>LOG(Table2[[#This Row],[Abundance in SC (g protein/g all proteins)]])</f>
        <v>-4.6822584068055217</v>
      </c>
      <c r="I367">
        <f>LOG(Table2[[#This Row],[Abundance in RT (g protein/g all proteins)]])</f>
        <v>-4.157390760389438</v>
      </c>
    </row>
    <row r="368" spans="1:9" x14ac:dyDescent="0.2">
      <c r="A368" t="s">
        <v>2382</v>
      </c>
      <c r="B368">
        <v>3.60162658436517E-5</v>
      </c>
      <c r="C368">
        <v>8.4800000000000001E-5</v>
      </c>
      <c r="D368">
        <f t="shared" si="5"/>
        <v>3.4495309233555681E-5</v>
      </c>
      <c r="E368">
        <f>Table2[[#This Row],[distance from 45-degree line]]/MAX(Table2[[Abundance in SC (g protein/g all proteins)]:[Abundance in RT (g protein/g all proteins)]])</f>
        <v>1.1848487290871072E-3</v>
      </c>
      <c r="F368">
        <f>_xlfn.RANK.AVG(Table2[[#This Row],[Abundance in SC (g protein/g all proteins)]],Table2[Abundance in SC (g protein/g all proteins)])</f>
        <v>387</v>
      </c>
      <c r="G368">
        <f>_xlfn.RANK.AVG(Table2[[#This Row],[Abundance in RT (g protein/g all proteins)]],Table2[Abundance in RT (g protein/g all proteins)])</f>
        <v>346</v>
      </c>
      <c r="H368">
        <f>LOG(Table2[[#This Row],[Abundance in SC (g protein/g all proteins)]])</f>
        <v>-4.443501316712589</v>
      </c>
      <c r="I368">
        <f>LOG(Table2[[#This Row],[Abundance in RT (g protein/g all proteins)]])</f>
        <v>-4.0716041477432858</v>
      </c>
    </row>
    <row r="369" spans="1:9" x14ac:dyDescent="0.2">
      <c r="A369" t="s">
        <v>2716</v>
      </c>
      <c r="B369">
        <v>1.6585331577018298E-5</v>
      </c>
      <c r="C369">
        <v>6.4300000000000004E-5</v>
      </c>
      <c r="D369">
        <f t="shared" si="5"/>
        <v>3.3739365603957987E-5</v>
      </c>
      <c r="E369">
        <f>Table2[[#This Row],[distance from 45-degree line]]/MAX(Table2[[Abundance in SC (g protein/g all proteins)]:[Abundance in RT (g protein/g all proteins)]])</f>
        <v>1.1588834929813516E-3</v>
      </c>
      <c r="F369">
        <f>_xlfn.RANK.AVG(Table2[[#This Row],[Abundance in SC (g protein/g all proteins)]],Table2[Abundance in SC (g protein/g all proteins)])</f>
        <v>457</v>
      </c>
      <c r="G369">
        <f>_xlfn.RANK.AVG(Table2[[#This Row],[Abundance in RT (g protein/g all proteins)]],Table2[Abundance in RT (g protein/g all proteins)])</f>
        <v>382</v>
      </c>
      <c r="H369">
        <f>LOG(Table2[[#This Row],[Abundance in SC (g protein/g all proteins)]])</f>
        <v>-4.7802758415620508</v>
      </c>
      <c r="I369">
        <f>LOG(Table2[[#This Row],[Abundance in RT (g protein/g all proteins)]])</f>
        <v>-4.1917890270757781</v>
      </c>
    </row>
    <row r="370" spans="1:9" x14ac:dyDescent="0.2">
      <c r="A370" t="s">
        <v>2585</v>
      </c>
      <c r="B370">
        <v>5.4594011492852202E-5</v>
      </c>
      <c r="C370">
        <v>8.1499999999999999E-6</v>
      </c>
      <c r="D370">
        <f t="shared" si="5"/>
        <v>3.2840875472101739E-5</v>
      </c>
      <c r="E370">
        <f>Table2[[#This Row],[distance from 45-degree line]]/MAX(Table2[[Abundance in SC (g protein/g all proteins)]:[Abundance in RT (g protein/g all proteins)]])</f>
        <v>1.1280220537166876E-3</v>
      </c>
      <c r="F370">
        <f>_xlfn.RANK.AVG(Table2[[#This Row],[Abundance in SC (g protein/g all proteins)]],Table2[Abundance in SC (g protein/g all proteins)])</f>
        <v>335</v>
      </c>
      <c r="G370">
        <f>_xlfn.RANK.AVG(Table2[[#This Row],[Abundance in RT (g protein/g all proteins)]],Table2[Abundance in RT (g protein/g all proteins)])</f>
        <v>532</v>
      </c>
      <c r="H370">
        <f>LOG(Table2[[#This Row],[Abundance in SC (g protein/g all proteins)]])</f>
        <v>-4.262854993160567</v>
      </c>
      <c r="I370">
        <f>LOG(Table2[[#This Row],[Abundance in RT (g protein/g all proteins)]])</f>
        <v>-5.0888423912600231</v>
      </c>
    </row>
    <row r="371" spans="1:9" x14ac:dyDescent="0.2">
      <c r="A371" t="s">
        <v>2841</v>
      </c>
      <c r="B371">
        <v>5.53421826955851E-5</v>
      </c>
      <c r="C371">
        <v>9.0799999999999995E-6</v>
      </c>
      <c r="D371">
        <f t="shared" si="5"/>
        <v>3.2712303096539174E-5</v>
      </c>
      <c r="E371">
        <f>Table2[[#This Row],[distance from 45-degree line]]/MAX(Table2[[Abundance in SC (g protein/g all proteins)]:[Abundance in RT (g protein/g all proteins)]])</f>
        <v>1.123605835420177E-3</v>
      </c>
      <c r="F371">
        <f>_xlfn.RANK.AVG(Table2[[#This Row],[Abundance in SC (g protein/g all proteins)]],Table2[Abundance in SC (g protein/g all proteins)])</f>
        <v>333</v>
      </c>
      <c r="G371">
        <f>_xlfn.RANK.AVG(Table2[[#This Row],[Abundance in RT (g protein/g all proteins)]],Table2[Abundance in RT (g protein/g all proteins)])</f>
        <v>525</v>
      </c>
      <c r="H371">
        <f>LOG(Table2[[#This Row],[Abundance in SC (g protein/g all proteins)]])</f>
        <v>-4.256943716283704</v>
      </c>
      <c r="I371">
        <f>LOG(Table2[[#This Row],[Abundance in RT (g protein/g all proteins)]])</f>
        <v>-5.041914151478915</v>
      </c>
    </row>
    <row r="372" spans="1:9" x14ac:dyDescent="0.2">
      <c r="A372" t="s">
        <v>2749</v>
      </c>
      <c r="B372">
        <v>2.3077835042291302E-5</v>
      </c>
      <c r="C372">
        <v>6.8800000000000005E-5</v>
      </c>
      <c r="D372">
        <f t="shared" si="5"/>
        <v>3.2330452892125756E-5</v>
      </c>
      <c r="E372">
        <f>Table2[[#This Row],[distance from 45-degree line]]/MAX(Table2[[Abundance in SC (g protein/g all proteins)]:[Abundance in RT (g protein/g all proteins)]])</f>
        <v>1.1104900020082306E-3</v>
      </c>
      <c r="F372">
        <f>_xlfn.RANK.AVG(Table2[[#This Row],[Abundance in SC (g protein/g all proteins)]],Table2[Abundance in SC (g protein/g all proteins)])</f>
        <v>426</v>
      </c>
      <c r="G372">
        <f>_xlfn.RANK.AVG(Table2[[#This Row],[Abundance in RT (g protein/g all proteins)]],Table2[Abundance in RT (g protein/g all proteins)])</f>
        <v>373</v>
      </c>
      <c r="H372">
        <f>LOG(Table2[[#This Row],[Abundance in SC (g protein/g all proteins)]])</f>
        <v>-4.6368049352601126</v>
      </c>
      <c r="I372">
        <f>LOG(Table2[[#This Row],[Abundance in RT (g protein/g all proteins)]])</f>
        <v>-4.1624115617644888</v>
      </c>
    </row>
    <row r="373" spans="1:9" x14ac:dyDescent="0.2">
      <c r="A373" t="s">
        <v>2548</v>
      </c>
      <c r="B373">
        <v>4.7343263476932103E-5</v>
      </c>
      <c r="C373">
        <v>2.2800000000000002E-6</v>
      </c>
      <c r="D373">
        <f t="shared" si="5"/>
        <v>3.1864539186934764E-5</v>
      </c>
      <c r="E373">
        <f>Table2[[#This Row],[distance from 45-degree line]]/MAX(Table2[[Abundance in SC (g protein/g all proteins)]:[Abundance in RT (g protein/g all proteins)]])</f>
        <v>1.0944867460953133E-3</v>
      </c>
      <c r="F373">
        <f>_xlfn.RANK.AVG(Table2[[#This Row],[Abundance in SC (g protein/g all proteins)]],Table2[Abundance in SC (g protein/g all proteins)])</f>
        <v>351</v>
      </c>
      <c r="G373">
        <f>_xlfn.RANK.AVG(Table2[[#This Row],[Abundance in RT (g protein/g all proteins)]],Table2[Abundance in RT (g protein/g all proteins)])</f>
        <v>570</v>
      </c>
      <c r="H373">
        <f>LOG(Table2[[#This Row],[Abundance in SC (g protein/g all proteins)]])</f>
        <v>-4.3247418084860838</v>
      </c>
      <c r="I373">
        <f>LOG(Table2[[#This Row],[Abundance in RT (g protein/g all proteins)]])</f>
        <v>-5.642065152999546</v>
      </c>
    </row>
    <row r="374" spans="1:9" x14ac:dyDescent="0.2">
      <c r="A374" t="s">
        <v>2722</v>
      </c>
      <c r="B374">
        <v>1.20197071032618E-5</v>
      </c>
      <c r="C374">
        <v>5.5399999999999998E-5</v>
      </c>
      <c r="D374">
        <f t="shared" si="5"/>
        <v>3.0674499277142197E-5</v>
      </c>
      <c r="E374">
        <f>Table2[[#This Row],[distance from 45-degree line]]/MAX(Table2[[Abundance in SC (g protein/g all proteins)]:[Abundance in RT (g protein/g all proteins)]])</f>
        <v>1.0536111225392547E-3</v>
      </c>
      <c r="F374">
        <f>_xlfn.RANK.AVG(Table2[[#This Row],[Abundance in SC (g protein/g all proteins)]],Table2[Abundance in SC (g protein/g all proteins)])</f>
        <v>490</v>
      </c>
      <c r="G374">
        <f>_xlfn.RANK.AVG(Table2[[#This Row],[Abundance in RT (g protein/g all proteins)]],Table2[Abundance in RT (g protein/g all proteins)])</f>
        <v>401</v>
      </c>
      <c r="H374">
        <f>LOG(Table2[[#This Row],[Abundance in SC (g protein/g all proteins)]])</f>
        <v>-4.9201061151109</v>
      </c>
      <c r="I374">
        <f>LOG(Table2[[#This Row],[Abundance in RT (g protein/g all proteins)]])</f>
        <v>-4.2564902352715706</v>
      </c>
    </row>
    <row r="375" spans="1:9" x14ac:dyDescent="0.2">
      <c r="A375" t="s">
        <v>2906</v>
      </c>
      <c r="B375">
        <v>4.5925513030334603E-5</v>
      </c>
      <c r="C375">
        <v>3.0000000000000001E-6</v>
      </c>
      <c r="D375">
        <f t="shared" si="5"/>
        <v>3.0352921349661102E-5</v>
      </c>
      <c r="E375">
        <f>Table2[[#This Row],[distance from 45-degree line]]/MAX(Table2[[Abundance in SC (g protein/g all proteins)]:[Abundance in RT (g protein/g all proteins)]])</f>
        <v>1.0425655280180204E-3</v>
      </c>
      <c r="F375">
        <f>_xlfn.RANK.AVG(Table2[[#This Row],[Abundance in SC (g protein/g all proteins)]],Table2[Abundance in SC (g protein/g all proteins)])</f>
        <v>356</v>
      </c>
      <c r="G375">
        <f>_xlfn.RANK.AVG(Table2[[#This Row],[Abundance in RT (g protein/g all proteins)]],Table2[Abundance in RT (g protein/g all proteins)])</f>
        <v>564</v>
      </c>
      <c r="H375">
        <f>LOG(Table2[[#This Row],[Abundance in SC (g protein/g all proteins)]])</f>
        <v>-4.3379459835251719</v>
      </c>
      <c r="I375">
        <f>LOG(Table2[[#This Row],[Abundance in RT (g protein/g all proteins)]])</f>
        <v>-5.5228787452803374</v>
      </c>
    </row>
    <row r="376" spans="1:9" x14ac:dyDescent="0.2">
      <c r="A376" t="s">
        <v>2356</v>
      </c>
      <c r="B376">
        <v>4.6591103701035397E-5</v>
      </c>
      <c r="C376">
        <v>8.9499999999999994E-5</v>
      </c>
      <c r="D376">
        <f t="shared" si="5"/>
        <v>3.0341171546228214E-5</v>
      </c>
      <c r="E376">
        <f>Table2[[#This Row],[distance from 45-degree line]]/MAX(Table2[[Abundance in SC (g protein/g all proteins)]:[Abundance in RT (g protein/g all proteins)]])</f>
        <v>1.0421619444591597E-3</v>
      </c>
      <c r="F376">
        <f>_xlfn.RANK.AVG(Table2[[#This Row],[Abundance in SC (g protein/g all proteins)]],Table2[Abundance in SC (g protein/g all proteins)])</f>
        <v>354</v>
      </c>
      <c r="G376">
        <f>_xlfn.RANK.AVG(Table2[[#This Row],[Abundance in RT (g protein/g all proteins)]],Table2[Abundance in RT (g protein/g all proteins)])</f>
        <v>336</v>
      </c>
      <c r="H376">
        <f>LOG(Table2[[#This Row],[Abundance in SC (g protein/g all proteins)]])</f>
        <v>-4.3316970013871119</v>
      </c>
      <c r="I376">
        <f>LOG(Table2[[#This Row],[Abundance in RT (g protein/g all proteins)]])</f>
        <v>-4.0481769646840879</v>
      </c>
    </row>
    <row r="377" spans="1:9" x14ac:dyDescent="0.2">
      <c r="A377" t="s">
        <v>2854</v>
      </c>
      <c r="B377">
        <v>2.4980476749231799E-5</v>
      </c>
      <c r="C377">
        <v>6.7500000000000001E-5</v>
      </c>
      <c r="D377">
        <f t="shared" si="5"/>
        <v>3.0065843223437266E-5</v>
      </c>
      <c r="E377">
        <f>Table2[[#This Row],[distance from 45-degree line]]/MAX(Table2[[Abundance in SC (g protein/g all proteins)]:[Abundance in RT (g protein/g all proteins)]])</f>
        <v>1.0327049365184047E-3</v>
      </c>
      <c r="F377">
        <f>_xlfn.RANK.AVG(Table2[[#This Row],[Abundance in SC (g protein/g all proteins)]],Table2[Abundance in SC (g protein/g all proteins)])</f>
        <v>415</v>
      </c>
      <c r="G377">
        <f>_xlfn.RANK.AVG(Table2[[#This Row],[Abundance in RT (g protein/g all proteins)]],Table2[Abundance in RT (g protein/g all proteins)])</f>
        <v>376</v>
      </c>
      <c r="H377">
        <f>LOG(Table2[[#This Row],[Abundance in SC (g protein/g all proteins)]])</f>
        <v>-4.6023992774276614</v>
      </c>
      <c r="I377">
        <f>LOG(Table2[[#This Row],[Abundance in RT (g protein/g all proteins)]])</f>
        <v>-4.1706962271689747</v>
      </c>
    </row>
    <row r="378" spans="1:9" x14ac:dyDescent="0.2">
      <c r="A378" t="s">
        <v>2333</v>
      </c>
      <c r="B378">
        <v>3.2624780988527401E-5</v>
      </c>
      <c r="C378">
        <v>7.4800000000000002E-5</v>
      </c>
      <c r="D378">
        <f t="shared" si="5"/>
        <v>2.9822383361040073E-5</v>
      </c>
      <c r="E378">
        <f>Table2[[#This Row],[distance from 45-degree line]]/MAX(Table2[[Abundance in SC (g protein/g all proteins)]:[Abundance in RT (g protein/g all proteins)]])</f>
        <v>1.0243425500097939E-3</v>
      </c>
      <c r="F378">
        <f>_xlfn.RANK.AVG(Table2[[#This Row],[Abundance in SC (g protein/g all proteins)]],Table2[Abundance in SC (g protein/g all proteins)])</f>
        <v>394</v>
      </c>
      <c r="G378">
        <f>_xlfn.RANK.AVG(Table2[[#This Row],[Abundance in RT (g protein/g all proteins)]],Table2[Abundance in RT (g protein/g all proteins)])</f>
        <v>360</v>
      </c>
      <c r="H378">
        <f>LOG(Table2[[#This Row],[Abundance in SC (g protein/g all proteins)]])</f>
        <v>-4.4864523950802768</v>
      </c>
      <c r="I378">
        <f>LOG(Table2[[#This Row],[Abundance in RT (g protein/g all proteins)]])</f>
        <v>-4.1260984021355389</v>
      </c>
    </row>
    <row r="379" spans="1:9" x14ac:dyDescent="0.2">
      <c r="A379" t="s">
        <v>2351</v>
      </c>
      <c r="B379">
        <v>1.71599262849288E-4</v>
      </c>
      <c r="C379">
        <v>2.13E-4</v>
      </c>
      <c r="D379">
        <f t="shared" si="5"/>
        <v>2.9274741985390278E-5</v>
      </c>
      <c r="E379">
        <f>Table2[[#This Row],[distance from 45-degree line]]/MAX(Table2[[Abundance in SC (g protein/g all proteins)]:[Abundance in RT (g protein/g all proteins)]])</f>
        <v>1.0055321029562283E-3</v>
      </c>
      <c r="F379">
        <f>_xlfn.RANK.AVG(Table2[[#This Row],[Abundance in SC (g protein/g all proteins)]],Table2[Abundance in SC (g protein/g all proteins)])</f>
        <v>232</v>
      </c>
      <c r="G379">
        <f>_xlfn.RANK.AVG(Table2[[#This Row],[Abundance in RT (g protein/g all proteins)]],Table2[Abundance in RT (g protein/g all proteins)])</f>
        <v>240.5</v>
      </c>
      <c r="H379">
        <f>LOG(Table2[[#This Row],[Abundance in SC (g protein/g all proteins)]])</f>
        <v>-3.7654845821118714</v>
      </c>
      <c r="I379">
        <f>LOG(Table2[[#This Row],[Abundance in RT (g protein/g all proteins)]])</f>
        <v>-3.6716203965612624</v>
      </c>
    </row>
    <row r="380" spans="1:9" x14ac:dyDescent="0.2">
      <c r="A380" t="s">
        <v>2661</v>
      </c>
      <c r="B380">
        <v>1.21997983281271E-3</v>
      </c>
      <c r="C380">
        <v>1.261E-3</v>
      </c>
      <c r="D380">
        <f t="shared" si="5"/>
        <v>2.9005638383538632E-5</v>
      </c>
      <c r="E380">
        <f>Table2[[#This Row],[distance from 45-degree line]]/MAX(Table2[[Abundance in SC (g protein/g all proteins)]:[Abundance in RT (g protein/g all proteins)]])</f>
        <v>9.962889024245883E-4</v>
      </c>
      <c r="F380">
        <f>_xlfn.RANK.AVG(Table2[[#This Row],[Abundance in SC (g protein/g all proteins)]],Table2[Abundance in SC (g protein/g all proteins)])</f>
        <v>72</v>
      </c>
      <c r="G380">
        <f>_xlfn.RANK.AVG(Table2[[#This Row],[Abundance in RT (g protein/g all proteins)]],Table2[Abundance in RT (g protein/g all proteins)])</f>
        <v>69</v>
      </c>
      <c r="H380">
        <f>LOG(Table2[[#This Row],[Abundance in SC (g protein/g all proteins)]])</f>
        <v>-2.913647348481438</v>
      </c>
      <c r="I380">
        <f>LOG(Table2[[#This Row],[Abundance in RT (g protein/g all proteins)]])</f>
        <v>-2.8992849134269183</v>
      </c>
    </row>
    <row r="381" spans="1:9" x14ac:dyDescent="0.2">
      <c r="A381" t="s">
        <v>2329</v>
      </c>
      <c r="B381">
        <v>1.3415668912060701E-3</v>
      </c>
      <c r="C381">
        <v>1.382E-3</v>
      </c>
      <c r="D381">
        <f t="shared" si="5"/>
        <v>2.859052541264126E-5</v>
      </c>
      <c r="E381">
        <f>Table2[[#This Row],[distance from 45-degree line]]/MAX(Table2[[Abundance in SC (g protein/g all proteins)]:[Abundance in RT (g protein/g all proteins)]])</f>
        <v>9.8203055579939354E-4</v>
      </c>
      <c r="F381">
        <f>_xlfn.RANK.AVG(Table2[[#This Row],[Abundance in SC (g protein/g all proteins)]],Table2[Abundance in SC (g protein/g all proteins)])</f>
        <v>66</v>
      </c>
      <c r="G381">
        <f>_xlfn.RANK.AVG(Table2[[#This Row],[Abundance in RT (g protein/g all proteins)]],Table2[Abundance in RT (g protein/g all proteins)])</f>
        <v>61.5</v>
      </c>
      <c r="H381">
        <f>LOG(Table2[[#This Row],[Abundance in SC (g protein/g all proteins)]])</f>
        <v>-2.8723876683088991</v>
      </c>
      <c r="I381">
        <f>LOG(Table2[[#This Row],[Abundance in RT (g protein/g all proteins)]])</f>
        <v>-2.8594919569618202</v>
      </c>
    </row>
    <row r="382" spans="1:9" x14ac:dyDescent="0.2">
      <c r="A382" t="s">
        <v>2732</v>
      </c>
      <c r="B382">
        <v>9.0246640793249405E-6</v>
      </c>
      <c r="C382">
        <v>4.9100000000000001E-5</v>
      </c>
      <c r="D382">
        <f t="shared" si="5"/>
        <v>2.8337541787838168E-5</v>
      </c>
      <c r="E382">
        <f>Table2[[#This Row],[distance from 45-degree line]]/MAX(Table2[[Abundance in SC (g protein/g all proteins)]:[Abundance in RT (g protein/g all proteins)]])</f>
        <v>9.7334104603740497E-4</v>
      </c>
      <c r="F382">
        <f>_xlfn.RANK.AVG(Table2[[#This Row],[Abundance in SC (g protein/g all proteins)]],Table2[Abundance in SC (g protein/g all proteins)])</f>
        <v>516</v>
      </c>
      <c r="G382">
        <f>_xlfn.RANK.AVG(Table2[[#This Row],[Abundance in RT (g protein/g all proteins)]],Table2[Abundance in RT (g protein/g all proteins)])</f>
        <v>406.5</v>
      </c>
      <c r="H382">
        <f>LOG(Table2[[#This Row],[Abundance in SC (g protein/g all proteins)]])</f>
        <v>-5.0445689546534034</v>
      </c>
      <c r="I382">
        <f>LOG(Table2[[#This Row],[Abundance in RT (g protein/g all proteins)]])</f>
        <v>-4.3089185078770313</v>
      </c>
    </row>
    <row r="383" spans="1:9" x14ac:dyDescent="0.2">
      <c r="A383" t="s">
        <v>2440</v>
      </c>
      <c r="B383">
        <v>2.4582129256127099E-5</v>
      </c>
      <c r="C383">
        <v>6.41E-5</v>
      </c>
      <c r="D383">
        <f t="shared" si="5"/>
        <v>2.7943354381046003E-5</v>
      </c>
      <c r="E383">
        <f>Table2[[#This Row],[distance from 45-degree line]]/MAX(Table2[[Abundance in SC (g protein/g all proteins)]:[Abundance in RT (g protein/g all proteins)]])</f>
        <v>9.598014530220883E-4</v>
      </c>
      <c r="F383">
        <f>_xlfn.RANK.AVG(Table2[[#This Row],[Abundance in SC (g protein/g all proteins)]],Table2[Abundance in SC (g protein/g all proteins)])</f>
        <v>417</v>
      </c>
      <c r="G383">
        <f>_xlfn.RANK.AVG(Table2[[#This Row],[Abundance in RT (g protein/g all proteins)]],Table2[Abundance in RT (g protein/g all proteins)])</f>
        <v>384</v>
      </c>
      <c r="H383">
        <f>LOG(Table2[[#This Row],[Abundance in SC (g protein/g all proteins)]])</f>
        <v>-4.6093805020786736</v>
      </c>
      <c r="I383">
        <f>LOG(Table2[[#This Row],[Abundance in RT (g protein/g all proteins)]])</f>
        <v>-4.1931419704811823</v>
      </c>
    </row>
    <row r="384" spans="1:9" x14ac:dyDescent="0.2">
      <c r="A384" t="s">
        <v>2887</v>
      </c>
      <c r="B384">
        <v>8.3709115787836605E-6</v>
      </c>
      <c r="C384">
        <v>4.7599999999999998E-5</v>
      </c>
      <c r="D384">
        <f t="shared" si="5"/>
        <v>2.7739154442408745E-5</v>
      </c>
      <c r="E384">
        <f>Table2[[#This Row],[distance from 45-degree line]]/MAX(Table2[[Abundance in SC (g protein/g all proteins)]:[Abundance in RT (g protein/g all proteins)]])</f>
        <v>9.5278757075375185E-4</v>
      </c>
      <c r="F384">
        <f>_xlfn.RANK.AVG(Table2[[#This Row],[Abundance in SC (g protein/g all proteins)]],Table2[Abundance in SC (g protein/g all proteins)])</f>
        <v>521</v>
      </c>
      <c r="G384">
        <f>_xlfn.RANK.AVG(Table2[[#This Row],[Abundance in RT (g protein/g all proteins)]],Table2[Abundance in RT (g protein/g all proteins)])</f>
        <v>409.5</v>
      </c>
      <c r="H384">
        <f>LOG(Table2[[#This Row],[Abundance in SC (g protein/g all proteins)]])</f>
        <v>-5.077227245462093</v>
      </c>
      <c r="I384">
        <f>LOG(Table2[[#This Row],[Abundance in RT (g protein/g all proteins)]])</f>
        <v>-4.3223930472795065</v>
      </c>
    </row>
    <row r="385" spans="1:9" x14ac:dyDescent="0.2">
      <c r="A385" t="s">
        <v>2446</v>
      </c>
      <c r="B385">
        <v>4.24957326057156E-5</v>
      </c>
      <c r="C385">
        <v>3.3500000000000001E-6</v>
      </c>
      <c r="D385">
        <f t="shared" si="5"/>
        <v>2.7680212980016838E-5</v>
      </c>
      <c r="E385">
        <f>Table2[[#This Row],[distance from 45-degree line]]/MAX(Table2[[Abundance in SC (g protein/g all proteins)]:[Abundance in RT (g protein/g all proteins)]])</f>
        <v>9.5076304282931006E-4</v>
      </c>
      <c r="F385">
        <f>_xlfn.RANK.AVG(Table2[[#This Row],[Abundance in SC (g protein/g all proteins)]],Table2[Abundance in SC (g protein/g all proteins)])</f>
        <v>369</v>
      </c>
      <c r="G385">
        <f>_xlfn.RANK.AVG(Table2[[#This Row],[Abundance in RT (g protein/g all proteins)]],Table2[Abundance in RT (g protein/g all proteins)])</f>
        <v>560</v>
      </c>
      <c r="H385">
        <f>LOG(Table2[[#This Row],[Abundance in SC (g protein/g all proteins)]])</f>
        <v>-4.3716546793341733</v>
      </c>
      <c r="I385">
        <f>LOG(Table2[[#This Row],[Abundance in RT (g protein/g all proteins)]])</f>
        <v>-5.4749551929631544</v>
      </c>
    </row>
    <row r="386" spans="1:9" x14ac:dyDescent="0.2">
      <c r="A386" t="s">
        <v>2627</v>
      </c>
      <c r="B386">
        <v>1.39754232416909E-5</v>
      </c>
      <c r="C386">
        <v>5.2899999999999998E-5</v>
      </c>
      <c r="D386">
        <f t="shared" ref="D386:D449" si="6">ABS(B386-C386)/SQRT(2)</f>
        <v>2.7523832180616643E-5</v>
      </c>
      <c r="E386">
        <f>Table2[[#This Row],[distance from 45-degree line]]/MAX(Table2[[Abundance in SC (g protein/g all proteins)]:[Abundance in RT (g protein/g all proteins)]])</f>
        <v>9.4539165768913261E-4</v>
      </c>
      <c r="F386">
        <f>_xlfn.RANK.AVG(Table2[[#This Row],[Abundance in SC (g protein/g all proteins)]],Table2[Abundance in SC (g protein/g all proteins)])</f>
        <v>474</v>
      </c>
      <c r="G386">
        <f>_xlfn.RANK.AVG(Table2[[#This Row],[Abundance in RT (g protein/g all proteins)]],Table2[Abundance in RT (g protein/g all proteins)])</f>
        <v>404</v>
      </c>
      <c r="H386">
        <f>LOG(Table2[[#This Row],[Abundance in SC (g protein/g all proteins)]])</f>
        <v>-4.854635030758355</v>
      </c>
      <c r="I386">
        <f>LOG(Table2[[#This Row],[Abundance in RT (g protein/g all proteins)]])</f>
        <v>-4.2765443279648139</v>
      </c>
    </row>
    <row r="387" spans="1:9" x14ac:dyDescent="0.2">
      <c r="A387" t="s">
        <v>2881</v>
      </c>
      <c r="B387">
        <v>1.7238178392903199E-5</v>
      </c>
      <c r="C387">
        <v>5.6100000000000002E-5</v>
      </c>
      <c r="D387">
        <f t="shared" si="6"/>
        <v>2.7479457587640043E-5</v>
      </c>
      <c r="E387">
        <f>Table2[[#This Row],[distance from 45-degree line]]/MAX(Table2[[Abundance in SC (g protein/g all proteins)]:[Abundance in RT (g protein/g all proteins)]])</f>
        <v>9.4386747422012533E-4</v>
      </c>
      <c r="F387">
        <f>_xlfn.RANK.AVG(Table2[[#This Row],[Abundance in SC (g protein/g all proteins)]],Table2[Abundance in SC (g protein/g all proteins)])</f>
        <v>455</v>
      </c>
      <c r="G387">
        <f>_xlfn.RANK.AVG(Table2[[#This Row],[Abundance in RT (g protein/g all proteins)]],Table2[Abundance in RT (g protein/g all proteins)])</f>
        <v>398.5</v>
      </c>
      <c r="H387">
        <f>LOG(Table2[[#This Row],[Abundance in SC (g protein/g all proteins)]])</f>
        <v>-4.7635086292136544</v>
      </c>
      <c r="I387">
        <f>LOG(Table2[[#This Row],[Abundance in RT (g protein/g all proteins)]])</f>
        <v>-4.2510371387438388</v>
      </c>
    </row>
    <row r="388" spans="1:9" x14ac:dyDescent="0.2">
      <c r="A388" t="s">
        <v>2386</v>
      </c>
      <c r="B388">
        <v>7.0444574895825205E-5</v>
      </c>
      <c r="C388">
        <v>3.18E-5</v>
      </c>
      <c r="D388">
        <f t="shared" si="6"/>
        <v>2.7325840964909418E-5</v>
      </c>
      <c r="E388">
        <f>Table2[[#This Row],[distance from 45-degree line]]/MAX(Table2[[Abundance in SC (g protein/g all proteins)]:[Abundance in RT (g protein/g all proteins)]])</f>
        <v>9.3859103332850457E-4</v>
      </c>
      <c r="F388">
        <f>_xlfn.RANK.AVG(Table2[[#This Row],[Abundance in SC (g protein/g all proteins)]],Table2[Abundance in SC (g protein/g all proteins)])</f>
        <v>316</v>
      </c>
      <c r="G388">
        <f>_xlfn.RANK.AVG(Table2[[#This Row],[Abundance in RT (g protein/g all proteins)]],Table2[Abundance in RT (g protein/g all proteins)])</f>
        <v>451</v>
      </c>
      <c r="H388">
        <f>LOG(Table2[[#This Row],[Abundance in SC (g protein/g all proteins)]])</f>
        <v>-4.1521524473172748</v>
      </c>
      <c r="I388">
        <f>LOG(Table2[[#This Row],[Abundance in RT (g protein/g all proteins)]])</f>
        <v>-4.497572880015567</v>
      </c>
    </row>
    <row r="389" spans="1:9" x14ac:dyDescent="0.2">
      <c r="A389" t="s">
        <v>2820</v>
      </c>
      <c r="B389">
        <v>1.9457170750752901E-4</v>
      </c>
      <c r="C389">
        <v>1.56E-4</v>
      </c>
      <c r="D389">
        <f t="shared" si="6"/>
        <v>2.7274315940517827E-5</v>
      </c>
      <c r="E389">
        <f>Table2[[#This Row],[distance from 45-degree line]]/MAX(Table2[[Abundance in SC (g protein/g all proteins)]:[Abundance in RT (g protein/g all proteins)]])</f>
        <v>9.3682124604371135E-4</v>
      </c>
      <c r="F389">
        <f>_xlfn.RANK.AVG(Table2[[#This Row],[Abundance in SC (g protein/g all proteins)]],Table2[Abundance in SC (g protein/g all proteins)])</f>
        <v>223</v>
      </c>
      <c r="G389">
        <f>_xlfn.RANK.AVG(Table2[[#This Row],[Abundance in RT (g protein/g all proteins)]],Table2[Abundance in RT (g protein/g all proteins)])</f>
        <v>274</v>
      </c>
      <c r="H389">
        <f>LOG(Table2[[#This Row],[Abundance in SC (g protein/g all proteins)]])</f>
        <v>-3.7109203098367147</v>
      </c>
      <c r="I389">
        <f>LOG(Table2[[#This Row],[Abundance in RT (g protein/g all proteins)]])</f>
        <v>-3.8068754016455384</v>
      </c>
    </row>
    <row r="390" spans="1:9" x14ac:dyDescent="0.2">
      <c r="A390" t="s">
        <v>2571</v>
      </c>
      <c r="B390">
        <v>8.2385992299829299E-6</v>
      </c>
      <c r="C390">
        <v>4.6300000000000001E-5</v>
      </c>
      <c r="D390">
        <f t="shared" si="6"/>
        <v>2.691347458593795E-5</v>
      </c>
      <c r="E390">
        <f>Table2[[#This Row],[distance from 45-degree line]]/MAX(Table2[[Abundance in SC (g protein/g all proteins)]:[Abundance in RT (g protein/g all proteins)]])</f>
        <v>9.2442702694912958E-4</v>
      </c>
      <c r="F390">
        <f>_xlfn.RANK.AVG(Table2[[#This Row],[Abundance in SC (g protein/g all proteins)]],Table2[Abundance in SC (g protein/g all proteins)])</f>
        <v>523</v>
      </c>
      <c r="G390">
        <f>_xlfn.RANK.AVG(Table2[[#This Row],[Abundance in RT (g protein/g all proteins)]],Table2[Abundance in RT (g protein/g all proteins)])</f>
        <v>414</v>
      </c>
      <c r="H390">
        <f>LOG(Table2[[#This Row],[Abundance in SC (g protein/g all proteins)]])</f>
        <v>-5.0841466230605361</v>
      </c>
      <c r="I390">
        <f>LOG(Table2[[#This Row],[Abundance in RT (g protein/g all proteins)]])</f>
        <v>-4.3344190089820467</v>
      </c>
    </row>
    <row r="391" spans="1:9" x14ac:dyDescent="0.2">
      <c r="A391" t="s">
        <v>2814</v>
      </c>
      <c r="B391">
        <v>5.3806659263514901E-6</v>
      </c>
      <c r="C391">
        <v>4.2799999999999997E-5</v>
      </c>
      <c r="D391">
        <f t="shared" si="6"/>
        <v>2.6459464870961697E-5</v>
      </c>
      <c r="E391">
        <f>Table2[[#This Row],[distance from 45-degree line]]/MAX(Table2[[Abundance in SC (g protein/g all proteins)]:[Abundance in RT (g protein/g all proteins)]])</f>
        <v>9.0883265061985361E-4</v>
      </c>
      <c r="F391">
        <f>_xlfn.RANK.AVG(Table2[[#This Row],[Abundance in SC (g protein/g all proteins)]],Table2[Abundance in SC (g protein/g all proteins)])</f>
        <v>549</v>
      </c>
      <c r="G391">
        <f>_xlfn.RANK.AVG(Table2[[#This Row],[Abundance in RT (g protein/g all proteins)]],Table2[Abundance in RT (g protein/g all proteins)])</f>
        <v>419</v>
      </c>
      <c r="H391">
        <f>LOG(Table2[[#This Row],[Abundance in SC (g protein/g all proteins)]])</f>
        <v>-5.2691639715004399</v>
      </c>
      <c r="I391">
        <f>LOG(Table2[[#This Row],[Abundance in RT (g protein/g all proteins)]])</f>
        <v>-4.3685562309868278</v>
      </c>
    </row>
    <row r="392" spans="1:9" x14ac:dyDescent="0.2">
      <c r="A392" t="s">
        <v>2330</v>
      </c>
      <c r="B392">
        <v>6.8030993000019001E-5</v>
      </c>
      <c r="C392">
        <v>3.0800000000000003E-5</v>
      </c>
      <c r="D392">
        <f t="shared" si="6"/>
        <v>2.6326287620622315E-5</v>
      </c>
      <c r="E392">
        <f>Table2[[#This Row],[distance from 45-degree line]]/MAX(Table2[[Abundance in SC (g protein/g all proteins)]:[Abundance in RT (g protein/g all proteins)]])</f>
        <v>9.0425826357089115E-4</v>
      </c>
      <c r="F392">
        <f>_xlfn.RANK.AVG(Table2[[#This Row],[Abundance in SC (g protein/g all proteins)]],Table2[Abundance in SC (g protein/g all proteins)])</f>
        <v>317</v>
      </c>
      <c r="G392">
        <f>_xlfn.RANK.AVG(Table2[[#This Row],[Abundance in RT (g protein/g all proteins)]],Table2[Abundance in RT (g protein/g all proteins)])</f>
        <v>457.5</v>
      </c>
      <c r="H392">
        <f>LOG(Table2[[#This Row],[Abundance in SC (g protein/g all proteins)]])</f>
        <v>-4.1672931899055001</v>
      </c>
      <c r="I392">
        <f>LOG(Table2[[#This Row],[Abundance in RT (g protein/g all proteins)]])</f>
        <v>-4.5114492834995561</v>
      </c>
    </row>
    <row r="393" spans="1:9" x14ac:dyDescent="0.2">
      <c r="A393" t="s">
        <v>2632</v>
      </c>
      <c r="B393">
        <v>1.65844297834081E-4</v>
      </c>
      <c r="C393">
        <v>1.2899999999999999E-4</v>
      </c>
      <c r="D393">
        <f t="shared" si="6"/>
        <v>2.6052852846535503E-5</v>
      </c>
      <c r="E393">
        <f>Table2[[#This Row],[distance from 45-degree line]]/MAX(Table2[[Abundance in SC (g protein/g all proteins)]:[Abundance in RT (g protein/g all proteins)]])</f>
        <v>8.9486629545222813E-4</v>
      </c>
      <c r="F393">
        <f>_xlfn.RANK.AVG(Table2[[#This Row],[Abundance in SC (g protein/g all proteins)]],Table2[Abundance in SC (g protein/g all proteins)])</f>
        <v>237</v>
      </c>
      <c r="G393">
        <f>_xlfn.RANK.AVG(Table2[[#This Row],[Abundance in RT (g protein/g all proteins)]],Table2[Abundance in RT (g protein/g all proteins)])</f>
        <v>291</v>
      </c>
      <c r="H393">
        <f>LOG(Table2[[#This Row],[Abundance in SC (g protein/g all proteins)]])</f>
        <v>-3.7802994560815861</v>
      </c>
      <c r="I393">
        <f>LOG(Table2[[#This Row],[Abundance in RT (g protein/g all proteins)]])</f>
        <v>-3.8894102897007512</v>
      </c>
    </row>
    <row r="394" spans="1:9" x14ac:dyDescent="0.2">
      <c r="A394" t="s">
        <v>2358</v>
      </c>
      <c r="B394">
        <v>4.1500460693565801E-5</v>
      </c>
      <c r="C394">
        <v>7.8300000000000006E-5</v>
      </c>
      <c r="D394">
        <f t="shared" si="6"/>
        <v>2.6021203788120524E-5</v>
      </c>
      <c r="E394">
        <f>Table2[[#This Row],[distance from 45-degree line]]/MAX(Table2[[Abundance in SC (g protein/g all proteins)]:[Abundance in RT (g protein/g all proteins)]])</f>
        <v>8.937792100637222E-4</v>
      </c>
      <c r="F394">
        <f>_xlfn.RANK.AVG(Table2[[#This Row],[Abundance in SC (g protein/g all proteins)]],Table2[Abundance in SC (g protein/g all proteins)])</f>
        <v>375</v>
      </c>
      <c r="G394">
        <f>_xlfn.RANK.AVG(Table2[[#This Row],[Abundance in RT (g protein/g all proteins)]],Table2[Abundance in RT (g protein/g all proteins)])</f>
        <v>355</v>
      </c>
      <c r="H394">
        <f>LOG(Table2[[#This Row],[Abundance in SC (g protein/g all proteins)]])</f>
        <v>-4.3819470821900044</v>
      </c>
      <c r="I394">
        <f>LOG(Table2[[#This Row],[Abundance in RT (g protein/g all proteins)]])</f>
        <v>-4.1062382379420566</v>
      </c>
    </row>
    <row r="395" spans="1:9" x14ac:dyDescent="0.2">
      <c r="A395" t="s">
        <v>2626</v>
      </c>
      <c r="B395">
        <v>4.29018152546011E-5</v>
      </c>
      <c r="C395">
        <v>7.9400000000000006E-5</v>
      </c>
      <c r="D395">
        <f t="shared" si="6"/>
        <v>2.5808113934470969E-5</v>
      </c>
      <c r="E395">
        <f>Table2[[#This Row],[distance from 45-degree line]]/MAX(Table2[[Abundance in SC (g protein/g all proteins)]:[Abundance in RT (g protein/g all proteins)]])</f>
        <v>8.8645997600298127E-4</v>
      </c>
      <c r="F395">
        <f>_xlfn.RANK.AVG(Table2[[#This Row],[Abundance in SC (g protein/g all proteins)]],Table2[Abundance in SC (g protein/g all proteins)])</f>
        <v>366</v>
      </c>
      <c r="G395">
        <f>_xlfn.RANK.AVG(Table2[[#This Row],[Abundance in RT (g protein/g all proteins)]],Table2[Abundance in RT (g protein/g all proteins)])</f>
        <v>352</v>
      </c>
      <c r="H395">
        <f>LOG(Table2[[#This Row],[Abundance in SC (g protein/g all proteins)]])</f>
        <v>-4.3675243316293111</v>
      </c>
      <c r="I395">
        <f>LOG(Table2[[#This Row],[Abundance in RT (g protein/g all proteins)]])</f>
        <v>-4.1001794975729036</v>
      </c>
    </row>
    <row r="396" spans="1:9" x14ac:dyDescent="0.2">
      <c r="A396" t="s">
        <v>2872</v>
      </c>
      <c r="B396">
        <v>3.6751924749220403E-5</v>
      </c>
      <c r="C396">
        <v>4.3300000000000003E-7</v>
      </c>
      <c r="D396">
        <f t="shared" si="6"/>
        <v>2.5681357975577675E-5</v>
      </c>
      <c r="E396">
        <f>Table2[[#This Row],[distance from 45-degree line]]/MAX(Table2[[Abundance in SC (g protein/g all proteins)]:[Abundance in RT (g protein/g all proteins)]])</f>
        <v>8.8210614818882613E-4</v>
      </c>
      <c r="F396">
        <f>_xlfn.RANK.AVG(Table2[[#This Row],[Abundance in SC (g protein/g all proteins)]],Table2[Abundance in SC (g protein/g all proteins)])</f>
        <v>386</v>
      </c>
      <c r="G396">
        <f>_xlfn.RANK.AVG(Table2[[#This Row],[Abundance in RT (g protein/g all proteins)]],Table2[Abundance in RT (g protein/g all proteins)])</f>
        <v>584</v>
      </c>
      <c r="H396">
        <f>LOG(Table2[[#This Row],[Abundance in SC (g protein/g all proteins)]])</f>
        <v>-4.4347199113804328</v>
      </c>
      <c r="I396">
        <f>LOG(Table2[[#This Row],[Abundance in RT (g protein/g all proteins)]])</f>
        <v>-6.3635121036466344</v>
      </c>
    </row>
    <row r="397" spans="1:9" x14ac:dyDescent="0.2">
      <c r="A397" t="s">
        <v>2493</v>
      </c>
      <c r="B397">
        <v>1.0236826358040499E-5</v>
      </c>
      <c r="C397">
        <v>4.6499999999999999E-5</v>
      </c>
      <c r="D397">
        <f t="shared" si="6"/>
        <v>2.5641935989574828E-5</v>
      </c>
      <c r="E397">
        <f>Table2[[#This Row],[distance from 45-degree line]]/MAX(Table2[[Abundance in SC (g protein/g all proteins)]:[Abundance in RT (g protein/g all proteins)]])</f>
        <v>8.807520774165564E-4</v>
      </c>
      <c r="F397">
        <f>_xlfn.RANK.AVG(Table2[[#This Row],[Abundance in SC (g protein/g all proteins)]],Table2[Abundance in SC (g protein/g all proteins)])</f>
        <v>506</v>
      </c>
      <c r="G397">
        <f>_xlfn.RANK.AVG(Table2[[#This Row],[Abundance in RT (g protein/g all proteins)]],Table2[Abundance in RT (g protein/g all proteins)])</f>
        <v>413</v>
      </c>
      <c r="H397">
        <f>LOG(Table2[[#This Row],[Abundance in SC (g protein/g all proteins)]])</f>
        <v>-4.9898346633620854</v>
      </c>
      <c r="I397">
        <f>LOG(Table2[[#This Row],[Abundance in RT (g protein/g all proteins)]])</f>
        <v>-4.3325470471100465</v>
      </c>
    </row>
    <row r="398" spans="1:9" x14ac:dyDescent="0.2">
      <c r="A398" t="s">
        <v>2643</v>
      </c>
      <c r="B398">
        <v>4.3612534786361803E-6</v>
      </c>
      <c r="C398">
        <v>4.0399999999999999E-5</v>
      </c>
      <c r="D398">
        <f t="shared" si="6"/>
        <v>2.5483242050719454E-5</v>
      </c>
      <c r="E398">
        <f>Table2[[#This Row],[distance from 45-degree line]]/MAX(Table2[[Abundance in SC (g protein/g all proteins)]:[Abundance in RT (g protein/g all proteins)]])</f>
        <v>8.7530124030436981E-4</v>
      </c>
      <c r="F398">
        <f>_xlfn.RANK.AVG(Table2[[#This Row],[Abundance in SC (g protein/g all proteins)]],Table2[Abundance in SC (g protein/g all proteins)])</f>
        <v>557</v>
      </c>
      <c r="G398">
        <f>_xlfn.RANK.AVG(Table2[[#This Row],[Abundance in RT (g protein/g all proteins)]],Table2[Abundance in RT (g protein/g all proteins)])</f>
        <v>429</v>
      </c>
      <c r="H398">
        <f>LOG(Table2[[#This Row],[Abundance in SC (g protein/g all proteins)]])</f>
        <v>-5.3603886711404174</v>
      </c>
      <c r="I398">
        <f>LOG(Table2[[#This Row],[Abundance in RT (g protein/g all proteins)]])</f>
        <v>-4.3936186348893953</v>
      </c>
    </row>
    <row r="399" spans="1:9" x14ac:dyDescent="0.2">
      <c r="A399" t="s">
        <v>2462</v>
      </c>
      <c r="B399">
        <v>9.1598326274484399E-5</v>
      </c>
      <c r="C399">
        <v>5.6100000000000002E-5</v>
      </c>
      <c r="D399">
        <f t="shared" si="6"/>
        <v>2.5101107229460509E-5</v>
      </c>
      <c r="E399">
        <f>Table2[[#This Row],[distance from 45-degree line]]/MAX(Table2[[Abundance in SC (g protein/g all proteins)]:[Abundance in RT (g protein/g all proteins)]])</f>
        <v>8.6217563084126775E-4</v>
      </c>
      <c r="F399">
        <f>_xlfn.RANK.AVG(Table2[[#This Row],[Abundance in SC (g protein/g all proteins)]],Table2[Abundance in SC (g protein/g all proteins)])</f>
        <v>288</v>
      </c>
      <c r="G399">
        <f>_xlfn.RANK.AVG(Table2[[#This Row],[Abundance in RT (g protein/g all proteins)]],Table2[Abundance in RT (g protein/g all proteins)])</f>
        <v>398.5</v>
      </c>
      <c r="H399">
        <f>LOG(Table2[[#This Row],[Abundance in SC (g protein/g all proteins)]])</f>
        <v>-4.0381124618823314</v>
      </c>
      <c r="I399">
        <f>LOG(Table2[[#This Row],[Abundance in RT (g protein/g all proteins)]])</f>
        <v>-4.2510371387438388</v>
      </c>
    </row>
    <row r="400" spans="1:9" x14ac:dyDescent="0.2">
      <c r="A400" t="s">
        <v>2840</v>
      </c>
      <c r="B400">
        <v>4.0116331576927997E-5</v>
      </c>
      <c r="C400">
        <v>7.5599999999999994E-5</v>
      </c>
      <c r="D400">
        <f t="shared" si="6"/>
        <v>2.5090742563329174E-5</v>
      </c>
      <c r="E400">
        <f>Table2[[#This Row],[distance from 45-degree line]]/MAX(Table2[[Abundance in SC (g protein/g all proteins)]:[Abundance in RT (g protein/g all proteins)]])</f>
        <v>8.6181962413293598E-4</v>
      </c>
      <c r="F400">
        <f>_xlfn.RANK.AVG(Table2[[#This Row],[Abundance in SC (g protein/g all proteins)]],Table2[Abundance in SC (g protein/g all proteins)])</f>
        <v>379</v>
      </c>
      <c r="G400">
        <f>_xlfn.RANK.AVG(Table2[[#This Row],[Abundance in RT (g protein/g all proteins)]],Table2[Abundance in RT (g protein/g all proteins)])</f>
        <v>359</v>
      </c>
      <c r="H400">
        <f>LOG(Table2[[#This Row],[Abundance in SC (g protein/g all proteins)]])</f>
        <v>-4.3966787877338458</v>
      </c>
      <c r="I400">
        <f>LOG(Table2[[#This Row],[Abundance in RT (g protein/g all proteins)]])</f>
        <v>-4.1214782044987937</v>
      </c>
    </row>
    <row r="401" spans="1:9" x14ac:dyDescent="0.2">
      <c r="A401" t="s">
        <v>2429</v>
      </c>
      <c r="B401">
        <v>1.8522256150003501E-5</v>
      </c>
      <c r="C401">
        <v>5.3900000000000002E-5</v>
      </c>
      <c r="D401">
        <f t="shared" si="6"/>
        <v>2.5015842579413203E-5</v>
      </c>
      <c r="E401">
        <f>Table2[[#This Row],[distance from 45-degree line]]/MAX(Table2[[Abundance in SC (g protein/g all proteins)]:[Abundance in RT (g protein/g all proteins)]])</f>
        <v>8.5924695113120638E-4</v>
      </c>
      <c r="F401">
        <f>_xlfn.RANK.AVG(Table2[[#This Row],[Abundance in SC (g protein/g all proteins)]],Table2[Abundance in SC (g protein/g all proteins)])</f>
        <v>447</v>
      </c>
      <c r="G401">
        <f>_xlfn.RANK.AVG(Table2[[#This Row],[Abundance in RT (g protein/g all proteins)]],Table2[Abundance in RT (g protein/g all proteins)])</f>
        <v>403</v>
      </c>
      <c r="H401">
        <f>LOG(Table2[[#This Row],[Abundance in SC (g protein/g all proteins)]])</f>
        <v>-4.7323061141001483</v>
      </c>
      <c r="I401">
        <f>LOG(Table2[[#This Row],[Abundance in RT (g protein/g all proteins)]])</f>
        <v>-4.2684112348132617</v>
      </c>
    </row>
    <row r="402" spans="1:9" x14ac:dyDescent="0.2">
      <c r="A402" t="s">
        <v>2588</v>
      </c>
      <c r="B402">
        <v>5.3154503431190601E-5</v>
      </c>
      <c r="C402">
        <v>8.7399999999999997E-5</v>
      </c>
      <c r="D402">
        <f t="shared" si="6"/>
        <v>2.4215222848905766E-5</v>
      </c>
      <c r="E402">
        <f>Table2[[#This Row],[distance from 45-degree line]]/MAX(Table2[[Abundance in SC (g protein/g all proteins)]:[Abundance in RT (g protein/g all proteins)]])</f>
        <v>8.3174717532832638E-4</v>
      </c>
      <c r="F402">
        <f>_xlfn.RANK.AVG(Table2[[#This Row],[Abundance in SC (g protein/g all proteins)]],Table2[Abundance in SC (g protein/g all proteins)])</f>
        <v>341</v>
      </c>
      <c r="G402">
        <f>_xlfn.RANK.AVG(Table2[[#This Row],[Abundance in RT (g protein/g all proteins)]],Table2[Abundance in RT (g protein/g all proteins)])</f>
        <v>341</v>
      </c>
      <c r="H402">
        <f>LOG(Table2[[#This Row],[Abundance in SC (g protein/g all proteins)]])</f>
        <v>-4.2744599346691565</v>
      </c>
      <c r="I402">
        <f>LOG(Table2[[#This Row],[Abundance in RT (g protein/g all proteins)]])</f>
        <v>-4.0584885673655968</v>
      </c>
    </row>
    <row r="403" spans="1:9" x14ac:dyDescent="0.2">
      <c r="A403" t="s">
        <v>2893</v>
      </c>
      <c r="B403">
        <v>7.5727819076162201E-6</v>
      </c>
      <c r="C403">
        <v>4.18E-5</v>
      </c>
      <c r="D403">
        <f t="shared" si="6"/>
        <v>2.4202298014275458E-5</v>
      </c>
      <c r="E403">
        <f>Table2[[#This Row],[distance from 45-degree line]]/MAX(Table2[[Abundance in SC (g protein/g all proteins)]:[Abundance in RT (g protein/g all proteins)]])</f>
        <v>8.3130323166683614E-4</v>
      </c>
      <c r="F403">
        <f>_xlfn.RANK.AVG(Table2[[#This Row],[Abundance in SC (g protein/g all proteins)]],Table2[Abundance in SC (g protein/g all proteins)])</f>
        <v>527</v>
      </c>
      <c r="G403">
        <f>_xlfn.RANK.AVG(Table2[[#This Row],[Abundance in RT (g protein/g all proteins)]],Table2[Abundance in RT (g protein/g all proteins)])</f>
        <v>426</v>
      </c>
      <c r="H403">
        <f>LOG(Table2[[#This Row],[Abundance in SC (g protein/g all proteins)]])</f>
        <v>-5.120744550462156</v>
      </c>
      <c r="I403">
        <f>LOG(Table2[[#This Row],[Abundance in RT (g protein/g all proteins)]])</f>
        <v>-4.3788237182249645</v>
      </c>
    </row>
    <row r="404" spans="1:9" x14ac:dyDescent="0.2">
      <c r="A404" t="s">
        <v>2827</v>
      </c>
      <c r="B404">
        <v>1.9058047429104201E-7</v>
      </c>
      <c r="C404">
        <v>3.4100000000000002E-5</v>
      </c>
      <c r="D404">
        <f t="shared" si="6"/>
        <v>2.3977580492728326E-5</v>
      </c>
      <c r="E404">
        <f>Table2[[#This Row],[distance from 45-degree line]]/MAX(Table2[[Abundance in SC (g protein/g all proteins)]:[Abundance in RT (g protein/g all proteins)]])</f>
        <v>8.2358460917222409E-4</v>
      </c>
      <c r="F404">
        <f>_xlfn.RANK.AVG(Table2[[#This Row],[Abundance in SC (g protein/g all proteins)]],Table2[Abundance in SC (g protein/g all proteins)])</f>
        <v>589</v>
      </c>
      <c r="G404">
        <f>_xlfn.RANK.AVG(Table2[[#This Row],[Abundance in RT (g protein/g all proteins)]],Table2[Abundance in RT (g protein/g all proteins)])</f>
        <v>443</v>
      </c>
      <c r="H404">
        <f>LOG(Table2[[#This Row],[Abundance in SC (g protein/g all proteins)]])</f>
        <v>-6.7199215965730366</v>
      </c>
      <c r="I404">
        <f>LOG(Table2[[#This Row],[Abundance in RT (g protein/g all proteins)]])</f>
        <v>-4.4672456210075024</v>
      </c>
    </row>
    <row r="405" spans="1:9" x14ac:dyDescent="0.2">
      <c r="A405" t="s">
        <v>2505</v>
      </c>
      <c r="B405">
        <v>1.17556668761509E-4</v>
      </c>
      <c r="C405">
        <v>1.5100000000000001E-4</v>
      </c>
      <c r="D405">
        <f t="shared" si="6"/>
        <v>2.3648006304204888E-5</v>
      </c>
      <c r="E405">
        <f>Table2[[#This Row],[distance from 45-degree line]]/MAX(Table2[[Abundance in SC (g protein/g all proteins)]:[Abundance in RT (g protein/g all proteins)]])</f>
        <v>8.1226435818482169E-4</v>
      </c>
      <c r="F405">
        <f>_xlfn.RANK.AVG(Table2[[#This Row],[Abundance in SC (g protein/g all proteins)]],Table2[Abundance in SC (g protein/g all proteins)])</f>
        <v>269</v>
      </c>
      <c r="G405">
        <f>_xlfn.RANK.AVG(Table2[[#This Row],[Abundance in RT (g protein/g all proteins)]],Table2[Abundance in RT (g protein/g all proteins)])</f>
        <v>276.5</v>
      </c>
      <c r="H405">
        <f>LOG(Table2[[#This Row],[Abundance in SC (g protein/g all proteins)]])</f>
        <v>-3.9297527291577161</v>
      </c>
      <c r="I405">
        <f>LOG(Table2[[#This Row],[Abundance in RT (g protein/g all proteins)]])</f>
        <v>-3.8210230527068307</v>
      </c>
    </row>
    <row r="406" spans="1:9" x14ac:dyDescent="0.2">
      <c r="A406" t="s">
        <v>2523</v>
      </c>
      <c r="B406">
        <v>7.9221338329273105E-5</v>
      </c>
      <c r="C406">
        <v>4.5899999999999998E-5</v>
      </c>
      <c r="D406">
        <f t="shared" si="6"/>
        <v>2.3561744290840237E-5</v>
      </c>
      <c r="E406">
        <f>Table2[[#This Row],[distance from 45-degree line]]/MAX(Table2[[Abundance in SC (g protein/g all proteins)]:[Abundance in RT (g protein/g all proteins)]])</f>
        <v>8.0930142092829234E-4</v>
      </c>
      <c r="F406">
        <f>_xlfn.RANK.AVG(Table2[[#This Row],[Abundance in SC (g protein/g all proteins)]],Table2[Abundance in SC (g protein/g all proteins)])</f>
        <v>299</v>
      </c>
      <c r="G406">
        <f>_xlfn.RANK.AVG(Table2[[#This Row],[Abundance in RT (g protein/g all proteins)]],Table2[Abundance in RT (g protein/g all proteins)])</f>
        <v>415</v>
      </c>
      <c r="H406">
        <f>LOG(Table2[[#This Row],[Abundance in SC (g protein/g all proteins)]])</f>
        <v>-4.1011578250962204</v>
      </c>
      <c r="I406">
        <f>LOG(Table2[[#This Row],[Abundance in RT (g protein/g all proteins)]])</f>
        <v>-4.338187314462739</v>
      </c>
    </row>
    <row r="407" spans="1:9" x14ac:dyDescent="0.2">
      <c r="A407" t="s">
        <v>2344</v>
      </c>
      <c r="B407">
        <v>1.59198609163186E-5</v>
      </c>
      <c r="C407">
        <v>4.9100000000000001E-5</v>
      </c>
      <c r="D407">
        <f t="shared" si="6"/>
        <v>2.3461901346783914E-5</v>
      </c>
      <c r="E407">
        <f>Table2[[#This Row],[distance from 45-degree line]]/MAX(Table2[[Abundance in SC (g protein/g all proteins)]:[Abundance in RT (g protein/g all proteins)]])</f>
        <v>8.0587200434957757E-4</v>
      </c>
      <c r="F407">
        <f>_xlfn.RANK.AVG(Table2[[#This Row],[Abundance in SC (g protein/g all proteins)]],Table2[Abundance in SC (g protein/g all proteins)])</f>
        <v>461</v>
      </c>
      <c r="G407">
        <f>_xlfn.RANK.AVG(Table2[[#This Row],[Abundance in RT (g protein/g all proteins)]],Table2[Abundance in RT (g protein/g all proteins)])</f>
        <v>406.5</v>
      </c>
      <c r="H407">
        <f>LOG(Table2[[#This Row],[Abundance in SC (g protein/g all proteins)]])</f>
        <v>-4.7980607307905112</v>
      </c>
      <c r="I407">
        <f>LOG(Table2[[#This Row],[Abundance in RT (g protein/g all proteins)]])</f>
        <v>-4.3089185078770313</v>
      </c>
    </row>
    <row r="408" spans="1:9" x14ac:dyDescent="0.2">
      <c r="A408" t="s">
        <v>2404</v>
      </c>
      <c r="B408">
        <v>9.0740064430704694E-6</v>
      </c>
      <c r="C408">
        <v>4.1199999999999999E-5</v>
      </c>
      <c r="D408">
        <f t="shared" si="6"/>
        <v>2.2716507896460201E-5</v>
      </c>
      <c r="E408">
        <f>Table2[[#This Row],[distance from 45-degree line]]/MAX(Table2[[Abundance in SC (g protein/g all proteins)]:[Abundance in RT (g protein/g all proteins)]])</f>
        <v>7.8026914697826907E-4</v>
      </c>
      <c r="F408">
        <f>_xlfn.RANK.AVG(Table2[[#This Row],[Abundance in SC (g protein/g all proteins)]],Table2[Abundance in SC (g protein/g all proteins)])</f>
        <v>513</v>
      </c>
      <c r="G408">
        <f>_xlfn.RANK.AVG(Table2[[#This Row],[Abundance in RT (g protein/g all proteins)]],Table2[Abundance in RT (g protein/g all proteins)])</f>
        <v>428</v>
      </c>
      <c r="H408">
        <f>LOG(Table2[[#This Row],[Abundance in SC (g protein/g all proteins)]])</f>
        <v>-5.0422009166956405</v>
      </c>
      <c r="I408">
        <f>LOG(Table2[[#This Row],[Abundance in RT (g protein/g all proteins)]])</f>
        <v>-4.3851027839668655</v>
      </c>
    </row>
    <row r="409" spans="1:9" x14ac:dyDescent="0.2">
      <c r="A409" t="s">
        <v>2525</v>
      </c>
      <c r="B409">
        <v>4.9788342983993202E-5</v>
      </c>
      <c r="C409">
        <v>1.77E-5</v>
      </c>
      <c r="D409">
        <f t="shared" si="6"/>
        <v>2.2689884921021364E-5</v>
      </c>
      <c r="E409">
        <f>Table2[[#This Row],[distance from 45-degree line]]/MAX(Table2[[Abundance in SC (g protein/g all proteins)]:[Abundance in RT (g protein/g all proteins)]])</f>
        <v>7.7935469804842625E-4</v>
      </c>
      <c r="F409">
        <f>_xlfn.RANK.AVG(Table2[[#This Row],[Abundance in SC (g protein/g all proteins)]],Table2[Abundance in SC (g protein/g all proteins)])</f>
        <v>346</v>
      </c>
      <c r="G409">
        <f>_xlfn.RANK.AVG(Table2[[#This Row],[Abundance in RT (g protein/g all proteins)]],Table2[Abundance in RT (g protein/g all proteins)])</f>
        <v>497</v>
      </c>
      <c r="H409">
        <f>LOG(Table2[[#This Row],[Abundance in SC (g protein/g all proteins)]])</f>
        <v>-4.3028723273273357</v>
      </c>
      <c r="I409">
        <f>LOG(Table2[[#This Row],[Abundance in RT (g protein/g all proteins)]])</f>
        <v>-4.7520267336381936</v>
      </c>
    </row>
    <row r="410" spans="1:9" x14ac:dyDescent="0.2">
      <c r="A410" t="s">
        <v>2326</v>
      </c>
      <c r="B410">
        <v>2.5218384564288699E-5</v>
      </c>
      <c r="C410">
        <v>5.7299999999999997E-5</v>
      </c>
      <c r="D410">
        <f t="shared" si="6"/>
        <v>2.2685127826010472E-5</v>
      </c>
      <c r="E410">
        <f>Table2[[#This Row],[distance from 45-degree line]]/MAX(Table2[[Abundance in SC (g protein/g all proteins)]:[Abundance in RT (g protein/g all proteins)]])</f>
        <v>7.7919130081839595E-4</v>
      </c>
      <c r="F410">
        <f>_xlfn.RANK.AVG(Table2[[#This Row],[Abundance in SC (g protein/g all proteins)]],Table2[Abundance in SC (g protein/g all proteins)])</f>
        <v>412</v>
      </c>
      <c r="G410">
        <f>_xlfn.RANK.AVG(Table2[[#This Row],[Abundance in RT (g protein/g all proteins)]],Table2[Abundance in RT (g protein/g all proteins)])</f>
        <v>397</v>
      </c>
      <c r="H410">
        <f>LOG(Table2[[#This Row],[Abundance in SC (g protein/g all proteins)]])</f>
        <v>-4.5982827368464223</v>
      </c>
      <c r="I410">
        <f>LOG(Table2[[#This Row],[Abundance in RT (g protein/g all proteins)]])</f>
        <v>-4.2418453780326102</v>
      </c>
    </row>
    <row r="411" spans="1:9" x14ac:dyDescent="0.2">
      <c r="A411" t="s">
        <v>2699</v>
      </c>
      <c r="B411">
        <v>1.72313218991035E-4</v>
      </c>
      <c r="C411">
        <v>2.04E-4</v>
      </c>
      <c r="D411">
        <f t="shared" si="6"/>
        <v>2.2405937725412263E-5</v>
      </c>
      <c r="E411">
        <f>Table2[[#This Row],[distance from 45-degree line]]/MAX(Table2[[Abundance in SC (g protein/g all proteins)]:[Abundance in RT (g protein/g all proteins)]])</f>
        <v>7.6960164810278256E-4</v>
      </c>
      <c r="F411">
        <f>_xlfn.RANK.AVG(Table2[[#This Row],[Abundance in SC (g protein/g all proteins)]],Table2[Abundance in SC (g protein/g all proteins)])</f>
        <v>231</v>
      </c>
      <c r="G411">
        <f>_xlfn.RANK.AVG(Table2[[#This Row],[Abundance in RT (g protein/g all proteins)]],Table2[Abundance in RT (g protein/g all proteins)])</f>
        <v>247</v>
      </c>
      <c r="H411">
        <f>LOG(Table2[[#This Row],[Abundance in SC (g protein/g all proteins)]])</f>
        <v>-3.763681404417035</v>
      </c>
      <c r="I411">
        <f>LOG(Table2[[#This Row],[Abundance in RT (g protein/g all proteins)]])</f>
        <v>-3.6903698325741012</v>
      </c>
    </row>
    <row r="412" spans="1:9" x14ac:dyDescent="0.2">
      <c r="A412" t="s">
        <v>2662</v>
      </c>
      <c r="B412">
        <v>3.2167872125079401E-5</v>
      </c>
      <c r="C412">
        <v>7.3200000000000004E-7</v>
      </c>
      <c r="D412">
        <f t="shared" si="6"/>
        <v>2.2228518352156809E-5</v>
      </c>
      <c r="E412">
        <f>Table2[[#This Row],[distance from 45-degree line]]/MAX(Table2[[Abundance in SC (g protein/g all proteins)]:[Abundance in RT (g protein/g all proteins)]])</f>
        <v>7.6350762768122727E-4</v>
      </c>
      <c r="F412">
        <f>_xlfn.RANK.AVG(Table2[[#This Row],[Abundance in SC (g protein/g all proteins)]],Table2[Abundance in SC (g protein/g all proteins)])</f>
        <v>397</v>
      </c>
      <c r="G412">
        <f>_xlfn.RANK.AVG(Table2[[#This Row],[Abundance in RT (g protein/g all proteins)]],Table2[Abundance in RT (g protein/g all proteins)])</f>
        <v>580</v>
      </c>
      <c r="H412">
        <f>LOG(Table2[[#This Row],[Abundance in SC (g protein/g all proteins)]])</f>
        <v>-4.4925776663252766</v>
      </c>
      <c r="I412">
        <f>LOG(Table2[[#This Row],[Abundance in RT (g protein/g all proteins)]])</f>
        <v>-6.1354889189416077</v>
      </c>
    </row>
    <row r="413" spans="1:9" x14ac:dyDescent="0.2">
      <c r="A413" t="s">
        <v>2566</v>
      </c>
      <c r="B413">
        <v>3.2822565515852698E-5</v>
      </c>
      <c r="C413">
        <v>6.3800000000000006E-5</v>
      </c>
      <c r="D413">
        <f t="shared" si="6"/>
        <v>2.1904353987502562E-5</v>
      </c>
      <c r="E413">
        <f>Table2[[#This Row],[distance from 45-degree line]]/MAX(Table2[[Abundance in SC (g protein/g all proteins)]:[Abundance in RT (g protein/g all proteins)]])</f>
        <v>7.5237319392748396E-4</v>
      </c>
      <c r="F413">
        <f>_xlfn.RANK.AVG(Table2[[#This Row],[Abundance in SC (g protein/g all proteins)]],Table2[Abundance in SC (g protein/g all proteins)])</f>
        <v>393</v>
      </c>
      <c r="G413">
        <f>_xlfn.RANK.AVG(Table2[[#This Row],[Abundance in RT (g protein/g all proteins)]],Table2[Abundance in RT (g protein/g all proteins)])</f>
        <v>385</v>
      </c>
      <c r="H413">
        <f>LOG(Table2[[#This Row],[Abundance in SC (g protein/g all proteins)]])</f>
        <v>-4.4838274761216628</v>
      </c>
      <c r="I413">
        <f>LOG(Table2[[#This Row],[Abundance in RT (g protein/g all proteins)]])</f>
        <v>-4.1951793212788377</v>
      </c>
    </row>
    <row r="414" spans="1:9" x14ac:dyDescent="0.2">
      <c r="A414" t="s">
        <v>2748</v>
      </c>
      <c r="B414">
        <v>7.1085061717470803E-5</v>
      </c>
      <c r="C414">
        <v>1.02E-4</v>
      </c>
      <c r="D414">
        <f t="shared" si="6"/>
        <v>2.1860162499539992E-5</v>
      </c>
      <c r="E414">
        <f>Table2[[#This Row],[distance from 45-degree line]]/MAX(Table2[[Abundance in SC (g protein/g all proteins)]:[Abundance in RT (g protein/g all proteins)]])</f>
        <v>7.508552997699217E-4</v>
      </c>
      <c r="F414">
        <f>_xlfn.RANK.AVG(Table2[[#This Row],[Abundance in SC (g protein/g all proteins)]],Table2[Abundance in SC (g protein/g all proteins)])</f>
        <v>315</v>
      </c>
      <c r="G414">
        <f>_xlfn.RANK.AVG(Table2[[#This Row],[Abundance in RT (g protein/g all proteins)]],Table2[Abundance in RT (g protein/g all proteins)])</f>
        <v>321</v>
      </c>
      <c r="H414">
        <f>LOG(Table2[[#This Row],[Abundance in SC (g protein/g all proteins)]])</f>
        <v>-4.148221655181608</v>
      </c>
      <c r="I414">
        <f>LOG(Table2[[#This Row],[Abundance in RT (g protein/g all proteins)]])</f>
        <v>-3.9913998282380825</v>
      </c>
    </row>
    <row r="415" spans="1:9" x14ac:dyDescent="0.2">
      <c r="A415" t="s">
        <v>2899</v>
      </c>
      <c r="B415">
        <v>1.5086151994972601E-4</v>
      </c>
      <c r="C415">
        <v>1.21E-4</v>
      </c>
      <c r="D415">
        <f t="shared" si="6"/>
        <v>2.111528325298863E-5</v>
      </c>
      <c r="E415">
        <f>Table2[[#This Row],[distance from 45-degree line]]/MAX(Table2[[Abundance in SC (g protein/g all proteins)]:[Abundance in RT (g protein/g all proteins)]])</f>
        <v>7.2527010432713913E-4</v>
      </c>
      <c r="F415">
        <f>_xlfn.RANK.AVG(Table2[[#This Row],[Abundance in SC (g protein/g all proteins)]],Table2[Abundance in SC (g protein/g all proteins)])</f>
        <v>244</v>
      </c>
      <c r="G415">
        <f>_xlfn.RANK.AVG(Table2[[#This Row],[Abundance in RT (g protein/g all proteins)]],Table2[Abundance in RT (g protein/g all proteins)])</f>
        <v>298.5</v>
      </c>
      <c r="H415">
        <f>LOG(Table2[[#This Row],[Abundance in SC (g protein/g all proteins)]])</f>
        <v>-3.8214215210238036</v>
      </c>
      <c r="I415">
        <f>LOG(Table2[[#This Row],[Abundance in RT (g protein/g all proteins)]])</f>
        <v>-3.9172146296835497</v>
      </c>
    </row>
    <row r="416" spans="1:9" x14ac:dyDescent="0.2">
      <c r="A416" t="s">
        <v>2392</v>
      </c>
      <c r="B416">
        <v>6.6555403599509203E-5</v>
      </c>
      <c r="C416">
        <v>9.6299999999999996E-5</v>
      </c>
      <c r="D416">
        <f t="shared" si="6"/>
        <v>2.1032605818444009E-5</v>
      </c>
      <c r="E416">
        <f>Table2[[#This Row],[distance from 45-degree line]]/MAX(Table2[[Abundance in SC (g protein/g all proteins)]:[Abundance in RT (g protein/g all proteins)]])</f>
        <v>7.2243029058373647E-4</v>
      </c>
      <c r="F416">
        <f>_xlfn.RANK.AVG(Table2[[#This Row],[Abundance in SC (g protein/g all proteins)]],Table2[Abundance in SC (g protein/g all proteins)])</f>
        <v>320</v>
      </c>
      <c r="G416">
        <f>_xlfn.RANK.AVG(Table2[[#This Row],[Abundance in RT (g protein/g all proteins)]],Table2[Abundance in RT (g protein/g all proteins)])</f>
        <v>328</v>
      </c>
      <c r="H416">
        <f>LOG(Table2[[#This Row],[Abundance in SC (g protein/g all proteins)]])</f>
        <v>-4.1768166786088283</v>
      </c>
      <c r="I416">
        <f>LOG(Table2[[#This Row],[Abundance in RT (g protein/g all proteins)]])</f>
        <v>-4.0163737128754651</v>
      </c>
    </row>
    <row r="417" spans="1:9" x14ac:dyDescent="0.2">
      <c r="A417" t="s">
        <v>2757</v>
      </c>
      <c r="B417">
        <v>1.2177075232618801E-5</v>
      </c>
      <c r="C417">
        <v>4.1499999999999999E-5</v>
      </c>
      <c r="D417">
        <f t="shared" si="6"/>
        <v>2.0734438947238209E-5</v>
      </c>
      <c r="E417">
        <f>Table2[[#This Row],[distance from 45-degree line]]/MAX(Table2[[Abundance in SC (g protein/g all proteins)]:[Abundance in RT (g protein/g all proteins)]])</f>
        <v>7.1218882163466514E-4</v>
      </c>
      <c r="F417">
        <f>_xlfn.RANK.AVG(Table2[[#This Row],[Abundance in SC (g protein/g all proteins)]],Table2[Abundance in SC (g protein/g all proteins)])</f>
        <v>489</v>
      </c>
      <c r="G417">
        <f>_xlfn.RANK.AVG(Table2[[#This Row],[Abundance in RT (g protein/g all proteins)]],Table2[Abundance in RT (g protein/g all proteins)])</f>
        <v>427</v>
      </c>
      <c r="H417">
        <f>LOG(Table2[[#This Row],[Abundance in SC (g protein/g all proteins)]])</f>
        <v>-4.9144570107890129</v>
      </c>
      <c r="I417">
        <f>LOG(Table2[[#This Row],[Abundance in RT (g protein/g all proteins)]])</f>
        <v>-4.3819519032879075</v>
      </c>
    </row>
    <row r="418" spans="1:9" x14ac:dyDescent="0.2">
      <c r="A418" t="s">
        <v>2458</v>
      </c>
      <c r="B418">
        <v>2.8813280678612302E-6</v>
      </c>
      <c r="C418">
        <v>3.1900000000000003E-5</v>
      </c>
      <c r="D418">
        <f t="shared" si="6"/>
        <v>2.0519299704243059E-5</v>
      </c>
      <c r="E418">
        <f>Table2[[#This Row],[distance from 45-degree line]]/MAX(Table2[[Abundance in SC (g protein/g all proteins)]:[Abundance in RT (g protein/g all proteins)]])</f>
        <v>7.047991949200973E-4</v>
      </c>
      <c r="F418">
        <f>_xlfn.RANK.AVG(Table2[[#This Row],[Abundance in SC (g protein/g all proteins)]],Table2[Abundance in SC (g protein/g all proteins)])</f>
        <v>567</v>
      </c>
      <c r="G418">
        <f>_xlfn.RANK.AVG(Table2[[#This Row],[Abundance in RT (g protein/g all proteins)]],Table2[Abundance in RT (g protein/g all proteins)])</f>
        <v>449.5</v>
      </c>
      <c r="H418">
        <f>LOG(Table2[[#This Row],[Abundance in SC (g protein/g all proteins)]])</f>
        <v>-5.5404072901575452</v>
      </c>
      <c r="I418">
        <f>LOG(Table2[[#This Row],[Abundance in RT (g protein/g all proteins)]])</f>
        <v>-4.496209316942819</v>
      </c>
    </row>
    <row r="419" spans="1:9" x14ac:dyDescent="0.2">
      <c r="A419" t="s">
        <v>2773</v>
      </c>
      <c r="B419">
        <v>4.5520604028676999E-6</v>
      </c>
      <c r="C419">
        <v>3.3500000000000001E-5</v>
      </c>
      <c r="D419">
        <f t="shared" si="6"/>
        <v>2.0469284390510825E-5</v>
      </c>
      <c r="E419">
        <f>Table2[[#This Row],[distance from 45-degree line]]/MAX(Table2[[Abundance in SC (g protein/g all proteins)]:[Abundance in RT (g protein/g all proteins)]])</f>
        <v>7.0308126334542146E-4</v>
      </c>
      <c r="F419">
        <f>_xlfn.RANK.AVG(Table2[[#This Row],[Abundance in SC (g protein/g all proteins)]],Table2[Abundance in SC (g protein/g all proteins)])</f>
        <v>553</v>
      </c>
      <c r="G419">
        <f>_xlfn.RANK.AVG(Table2[[#This Row],[Abundance in RT (g protein/g all proteins)]],Table2[Abundance in RT (g protein/g all proteins)])</f>
        <v>446</v>
      </c>
      <c r="H419">
        <f>LOG(Table2[[#This Row],[Abundance in SC (g protein/g all proteins)]])</f>
        <v>-5.3417919837706993</v>
      </c>
      <c r="I419">
        <f>LOG(Table2[[#This Row],[Abundance in RT (g protein/g all proteins)]])</f>
        <v>-4.4749551929631544</v>
      </c>
    </row>
    <row r="420" spans="1:9" x14ac:dyDescent="0.2">
      <c r="A420" t="s">
        <v>2400</v>
      </c>
      <c r="B420">
        <v>6.0289658867641603E-5</v>
      </c>
      <c r="C420">
        <v>3.1900000000000003E-5</v>
      </c>
      <c r="D420">
        <f t="shared" si="6"/>
        <v>2.0074520300882177E-5</v>
      </c>
      <c r="E420">
        <f>Table2[[#This Row],[distance from 45-degree line]]/MAX(Table2[[Abundance in SC (g protein/g all proteins)]:[Abundance in RT (g protein/g all proteins)]])</f>
        <v>6.8952186236371528E-4</v>
      </c>
      <c r="F420">
        <f>_xlfn.RANK.AVG(Table2[[#This Row],[Abundance in SC (g protein/g all proteins)]],Table2[Abundance in SC (g protein/g all proteins)])</f>
        <v>327</v>
      </c>
      <c r="G420">
        <f>_xlfn.RANK.AVG(Table2[[#This Row],[Abundance in RT (g protein/g all proteins)]],Table2[Abundance in RT (g protein/g all proteins)])</f>
        <v>449.5</v>
      </c>
      <c r="H420">
        <f>LOG(Table2[[#This Row],[Abundance in SC (g protein/g all proteins)]])</f>
        <v>-4.2197571734628943</v>
      </c>
      <c r="I420">
        <f>LOG(Table2[[#This Row],[Abundance in RT (g protein/g all proteins)]])</f>
        <v>-4.496209316942819</v>
      </c>
    </row>
    <row r="421" spans="1:9" x14ac:dyDescent="0.2">
      <c r="A421" t="s">
        <v>2615</v>
      </c>
      <c r="B421">
        <v>1.35141958196357E-5</v>
      </c>
      <c r="C421">
        <v>4.1900000000000002E-5</v>
      </c>
      <c r="D421">
        <f t="shared" si="6"/>
        <v>2.0071794625369046E-5</v>
      </c>
      <c r="E421">
        <f>Table2[[#This Row],[distance from 45-degree line]]/MAX(Table2[[Abundance in SC (g protein/g all proteins)]:[Abundance in RT (g protein/g all proteins)]])</f>
        <v>6.8942824055717429E-4</v>
      </c>
      <c r="F421">
        <f>_xlfn.RANK.AVG(Table2[[#This Row],[Abundance in SC (g protein/g all proteins)]],Table2[Abundance in SC (g protein/g all proteins)])</f>
        <v>476</v>
      </c>
      <c r="G421">
        <f>_xlfn.RANK.AVG(Table2[[#This Row],[Abundance in RT (g protein/g all proteins)]],Table2[Abundance in RT (g protein/g all proteins)])</f>
        <v>425</v>
      </c>
      <c r="H421">
        <f>LOG(Table2[[#This Row],[Abundance in SC (g protein/g all proteins)]])</f>
        <v>-4.8692097924725282</v>
      </c>
      <c r="I421">
        <f>LOG(Table2[[#This Row],[Abundance in RT (g protein/g all proteins)]])</f>
        <v>-4.3777859770337049</v>
      </c>
    </row>
    <row r="422" spans="1:9" x14ac:dyDescent="0.2">
      <c r="A422" t="s">
        <v>2604</v>
      </c>
      <c r="B422">
        <v>9.4615787928506906E-5</v>
      </c>
      <c r="C422">
        <v>1.2300000000000001E-4</v>
      </c>
      <c r="D422">
        <f t="shared" si="6"/>
        <v>2.0070668834389832E-5</v>
      </c>
      <c r="E422">
        <f>Table2[[#This Row],[distance from 45-degree line]]/MAX(Table2[[Abundance in SC (g protein/g all proteins)]:[Abundance in RT (g protein/g all proteins)]])</f>
        <v>6.8938957176305194E-4</v>
      </c>
      <c r="F422">
        <f>_xlfn.RANK.AVG(Table2[[#This Row],[Abundance in SC (g protein/g all proteins)]],Table2[Abundance in SC (g protein/g all proteins)])</f>
        <v>284</v>
      </c>
      <c r="G422">
        <f>_xlfn.RANK.AVG(Table2[[#This Row],[Abundance in RT (g protein/g all proteins)]],Table2[Abundance in RT (g protein/g all proteins)])</f>
        <v>296</v>
      </c>
      <c r="H422">
        <f>LOG(Table2[[#This Row],[Abundance in SC (g protein/g all proteins)]])</f>
        <v>-4.0240363896220952</v>
      </c>
      <c r="I422">
        <f>LOG(Table2[[#This Row],[Abundance in RT (g protein/g all proteins)]])</f>
        <v>-3.9100948885606019</v>
      </c>
    </row>
    <row r="423" spans="1:9" x14ac:dyDescent="0.2">
      <c r="A423" t="s">
        <v>2618</v>
      </c>
      <c r="B423">
        <v>1.18933661843589E-6</v>
      </c>
      <c r="C423">
        <v>2.94E-5</v>
      </c>
      <c r="D423">
        <f t="shared" si="6"/>
        <v>1.9947951378875E-5</v>
      </c>
      <c r="E423">
        <f>Table2[[#This Row],[distance from 45-degree line]]/MAX(Table2[[Abundance in SC (g protein/g all proteins)]:[Abundance in RT (g protein/g all proteins)]])</f>
        <v>6.8517445891338622E-4</v>
      </c>
      <c r="F423">
        <f>_xlfn.RANK.AVG(Table2[[#This Row],[Abundance in SC (g protein/g all proteins)]],Table2[Abundance in SC (g protein/g all proteins)])</f>
        <v>579</v>
      </c>
      <c r="G423">
        <f>_xlfn.RANK.AVG(Table2[[#This Row],[Abundance in RT (g protein/g all proteins)]],Table2[Abundance in RT (g protein/g all proteins)])</f>
        <v>460</v>
      </c>
      <c r="H423">
        <f>LOG(Table2[[#This Row],[Abundance in SC (g protein/g all proteins)]])</f>
        <v>-5.9246952094360292</v>
      </c>
      <c r="I423">
        <f>LOG(Table2[[#This Row],[Abundance in RT (g protein/g all proteins)]])</f>
        <v>-4.5316526695878423</v>
      </c>
    </row>
    <row r="424" spans="1:9" x14ac:dyDescent="0.2">
      <c r="A424" t="s">
        <v>2790</v>
      </c>
      <c r="B424">
        <v>2.87441070266979E-5</v>
      </c>
      <c r="C424">
        <v>7.4500000000000007E-7</v>
      </c>
      <c r="D424">
        <f t="shared" si="6"/>
        <v>1.9798358445745995E-5</v>
      </c>
      <c r="E424">
        <f>Table2[[#This Row],[distance from 45-degree line]]/MAX(Table2[[Abundance in SC (g protein/g all proteins)]:[Abundance in RT (g protein/g all proteins)]])</f>
        <v>6.8003622416099561E-4</v>
      </c>
      <c r="F424">
        <f>_xlfn.RANK.AVG(Table2[[#This Row],[Abundance in SC (g protein/g all proteins)]],Table2[Abundance in SC (g protein/g all proteins)])</f>
        <v>403</v>
      </c>
      <c r="G424">
        <f>_xlfn.RANK.AVG(Table2[[#This Row],[Abundance in RT (g protein/g all proteins)]],Table2[Abundance in RT (g protein/g all proteins)])</f>
        <v>579</v>
      </c>
      <c r="H424">
        <f>LOG(Table2[[#This Row],[Abundance in SC (g protein/g all proteins)]])</f>
        <v>-4.5414511787348788</v>
      </c>
      <c r="I424">
        <f>LOG(Table2[[#This Row],[Abundance in RT (g protein/g all proteins)]])</f>
        <v>-6.1278437272517072</v>
      </c>
    </row>
    <row r="425" spans="1:9" x14ac:dyDescent="0.2">
      <c r="A425" t="s">
        <v>2751</v>
      </c>
      <c r="B425">
        <v>6.1387066170605103E-6</v>
      </c>
      <c r="C425">
        <v>3.4E-5</v>
      </c>
      <c r="D425">
        <f t="shared" si="6"/>
        <v>1.9700909483704396E-5</v>
      </c>
      <c r="E425">
        <f>Table2[[#This Row],[distance from 45-degree line]]/MAX(Table2[[Abundance in SC (g protein/g all proteins)]:[Abundance in RT (g protein/g all proteins)]])</f>
        <v>6.7668903634354228E-4</v>
      </c>
      <c r="F425">
        <f>_xlfn.RANK.AVG(Table2[[#This Row],[Abundance in SC (g protein/g all proteins)]],Table2[Abundance in SC (g protein/g all proteins)])</f>
        <v>541</v>
      </c>
      <c r="G425">
        <f>_xlfn.RANK.AVG(Table2[[#This Row],[Abundance in RT (g protein/g all proteins)]],Table2[Abundance in RT (g protein/g all proteins)])</f>
        <v>444</v>
      </c>
      <c r="H425">
        <f>LOG(Table2[[#This Row],[Abundance in SC (g protein/g all proteins)]])</f>
        <v>-5.211923122058109</v>
      </c>
      <c r="I425">
        <f>LOG(Table2[[#This Row],[Abundance in RT (g protein/g all proteins)]])</f>
        <v>-4.4685210829577446</v>
      </c>
    </row>
    <row r="426" spans="1:9" x14ac:dyDescent="0.2">
      <c r="A426" t="s">
        <v>2443</v>
      </c>
      <c r="B426">
        <v>1.3148468317270999E-4</v>
      </c>
      <c r="C426">
        <v>1.5899999999999999E-4</v>
      </c>
      <c r="D426">
        <f t="shared" si="6"/>
        <v>1.9456267115073077E-5</v>
      </c>
      <c r="E426">
        <f>Table2[[#This Row],[distance from 45-degree line]]/MAX(Table2[[Abundance in SC (g protein/g all proteins)]:[Abundance in RT (g protein/g all proteins)]])</f>
        <v>6.6828603297890772E-4</v>
      </c>
      <c r="F426">
        <f>_xlfn.RANK.AVG(Table2[[#This Row],[Abundance in SC (g protein/g all proteins)]],Table2[Abundance in SC (g protein/g all proteins)])</f>
        <v>258</v>
      </c>
      <c r="G426">
        <f>_xlfn.RANK.AVG(Table2[[#This Row],[Abundance in RT (g protein/g all proteins)]],Table2[Abundance in RT (g protein/g all proteins)])</f>
        <v>273</v>
      </c>
      <c r="H426">
        <f>LOG(Table2[[#This Row],[Abundance in SC (g protein/g all proteins)]])</f>
        <v>-3.8811248357750467</v>
      </c>
      <c r="I426">
        <f>LOG(Table2[[#This Row],[Abundance in RT (g protein/g all proteins)]])</f>
        <v>-3.7986028756795487</v>
      </c>
    </row>
    <row r="427" spans="1:9" x14ac:dyDescent="0.2">
      <c r="A427" t="s">
        <v>2530</v>
      </c>
      <c r="B427">
        <v>3.08306968291838E-5</v>
      </c>
      <c r="C427">
        <v>3.5099999999999999E-6</v>
      </c>
      <c r="D427">
        <f t="shared" si="6"/>
        <v>1.931864999465767E-5</v>
      </c>
      <c r="E427">
        <f>Table2[[#This Row],[distance from 45-degree line]]/MAX(Table2[[Abundance in SC (g protein/g all proteins)]:[Abundance in RT (g protein/g all proteins)]])</f>
        <v>6.6355914477736033E-4</v>
      </c>
      <c r="F427">
        <f>_xlfn.RANK.AVG(Table2[[#This Row],[Abundance in SC (g protein/g all proteins)]],Table2[Abundance in SC (g protein/g all proteins)])</f>
        <v>400</v>
      </c>
      <c r="G427">
        <f>_xlfn.RANK.AVG(Table2[[#This Row],[Abundance in RT (g protein/g all proteins)]],Table2[Abundance in RT (g protein/g all proteins)])</f>
        <v>559</v>
      </c>
      <c r="H427">
        <f>LOG(Table2[[#This Row],[Abundance in SC (g protein/g all proteins)]])</f>
        <v>-4.5110166593263834</v>
      </c>
      <c r="I427">
        <f>LOG(Table2[[#This Row],[Abundance in RT (g protein/g all proteins)]])</f>
        <v>-5.4546928835341761</v>
      </c>
    </row>
    <row r="428" spans="1:9" x14ac:dyDescent="0.2">
      <c r="A428" t="s">
        <v>2559</v>
      </c>
      <c r="B428">
        <v>2.52813254762453E-4</v>
      </c>
      <c r="C428">
        <v>2.7999999999999998E-4</v>
      </c>
      <c r="D428">
        <f t="shared" si="6"/>
        <v>1.9223931915860539E-5</v>
      </c>
      <c r="E428">
        <f>Table2[[#This Row],[distance from 45-degree line]]/MAX(Table2[[Abundance in SC (g protein/g all proteins)]:[Abundance in RT (g protein/g all proteins)]])</f>
        <v>6.603057576421848E-4</v>
      </c>
      <c r="F428">
        <f>_xlfn.RANK.AVG(Table2[[#This Row],[Abundance in SC (g protein/g all proteins)]],Table2[Abundance in SC (g protein/g all proteins)])</f>
        <v>198</v>
      </c>
      <c r="G428">
        <f>_xlfn.RANK.AVG(Table2[[#This Row],[Abundance in RT (g protein/g all proteins)]],Table2[Abundance in RT (g protein/g all proteins)])</f>
        <v>208</v>
      </c>
      <c r="H428">
        <f>LOG(Table2[[#This Row],[Abundance in SC (g protein/g all proteins)]])</f>
        <v>-3.5972001601393107</v>
      </c>
      <c r="I428">
        <f>LOG(Table2[[#This Row],[Abundance in RT (g protein/g all proteins)]])</f>
        <v>-3.552841968657781</v>
      </c>
    </row>
    <row r="429" spans="1:9" x14ac:dyDescent="0.2">
      <c r="A429" t="s">
        <v>2428</v>
      </c>
      <c r="B429">
        <v>4.45606704639114E-5</v>
      </c>
      <c r="C429">
        <v>7.1099999999999994E-5</v>
      </c>
      <c r="D429">
        <f t="shared" si="6"/>
        <v>1.8766139883112675E-5</v>
      </c>
      <c r="E429">
        <f>Table2[[#This Row],[distance from 45-degree line]]/MAX(Table2[[Abundance in SC (g protein/g all proteins)]:[Abundance in RT (g protein/g all proteins)]])</f>
        <v>6.4458146584021794E-4</v>
      </c>
      <c r="F429">
        <f>_xlfn.RANK.AVG(Table2[[#This Row],[Abundance in SC (g protein/g all proteins)]],Table2[Abundance in SC (g protein/g all proteins)])</f>
        <v>361</v>
      </c>
      <c r="G429">
        <f>_xlfn.RANK.AVG(Table2[[#This Row],[Abundance in RT (g protein/g all proteins)]],Table2[Abundance in RT (g protein/g all proteins)])</f>
        <v>370.5</v>
      </c>
      <c r="H429">
        <f>LOG(Table2[[#This Row],[Abundance in SC (g protein/g all proteins)]])</f>
        <v>-4.3510482833507886</v>
      </c>
      <c r="I429">
        <f>LOG(Table2[[#This Row],[Abundance in RT (g protein/g all proteins)]])</f>
        <v>-4.1481303992702339</v>
      </c>
    </row>
    <row r="430" spans="1:9" x14ac:dyDescent="0.2">
      <c r="A430" t="s">
        <v>2897</v>
      </c>
      <c r="B430">
        <v>1.7487348469654601E-5</v>
      </c>
      <c r="C430">
        <v>4.3699999999999998E-5</v>
      </c>
      <c r="D430">
        <f t="shared" si="6"/>
        <v>1.853514364998716E-5</v>
      </c>
      <c r="E430">
        <f>Table2[[#This Row],[distance from 45-degree line]]/MAX(Table2[[Abundance in SC (g protein/g all proteins)]:[Abundance in RT (g protein/g all proteins)]])</f>
        <v>6.3664718145999748E-4</v>
      </c>
      <c r="F430">
        <f>_xlfn.RANK.AVG(Table2[[#This Row],[Abundance in SC (g protein/g all proteins)]],Table2[Abundance in SC (g protein/g all proteins)])</f>
        <v>453</v>
      </c>
      <c r="G430">
        <f>_xlfn.RANK.AVG(Table2[[#This Row],[Abundance in RT (g protein/g all proteins)]],Table2[Abundance in RT (g protein/g all proteins)])</f>
        <v>417</v>
      </c>
      <c r="H430">
        <f>LOG(Table2[[#This Row],[Abundance in SC (g protein/g all proteins)]])</f>
        <v>-4.7572760357068615</v>
      </c>
      <c r="I430">
        <f>LOG(Table2[[#This Row],[Abundance in RT (g protein/g all proteins)]])</f>
        <v>-4.3595185630295781</v>
      </c>
    </row>
    <row r="431" spans="1:9" x14ac:dyDescent="0.2">
      <c r="A431" t="s">
        <v>2866</v>
      </c>
      <c r="B431">
        <v>3.95321630201023E-5</v>
      </c>
      <c r="C431">
        <v>1.3499999999999999E-5</v>
      </c>
      <c r="D431">
        <f t="shared" si="6"/>
        <v>1.8407519000468011E-5</v>
      </c>
      <c r="E431">
        <f>Table2[[#This Row],[distance from 45-degree line]]/MAX(Table2[[Abundance in SC (g protein/g all proteins)]:[Abundance in RT (g protein/g all proteins)]])</f>
        <v>6.3226351576333361E-4</v>
      </c>
      <c r="F431">
        <f>_xlfn.RANK.AVG(Table2[[#This Row],[Abundance in SC (g protein/g all proteins)]],Table2[Abundance in SC (g protein/g all proteins)])</f>
        <v>381</v>
      </c>
      <c r="G431">
        <f>_xlfn.RANK.AVG(Table2[[#This Row],[Abundance in RT (g protein/g all proteins)]],Table2[Abundance in RT (g protein/g all proteins)])</f>
        <v>509</v>
      </c>
      <c r="H431">
        <f>LOG(Table2[[#This Row],[Abundance in SC (g protein/g all proteins)]])</f>
        <v>-4.4030494223887597</v>
      </c>
      <c r="I431">
        <f>LOG(Table2[[#This Row],[Abundance in RT (g protein/g all proteins)]])</f>
        <v>-4.8696662315049943</v>
      </c>
    </row>
    <row r="432" spans="1:9" x14ac:dyDescent="0.2">
      <c r="A432" t="s">
        <v>2852</v>
      </c>
      <c r="B432">
        <v>4.5143945434374999E-5</v>
      </c>
      <c r="C432">
        <v>1.9300000000000002E-5</v>
      </c>
      <c r="D432">
        <f t="shared" si="6"/>
        <v>1.8274429069261672E-5</v>
      </c>
      <c r="E432">
        <f>Table2[[#This Row],[distance from 45-degree line]]/MAX(Table2[[Abundance in SC (g protein/g all proteins)]:[Abundance in RT (g protein/g all proteins)]])</f>
        <v>6.2769212796169225E-4</v>
      </c>
      <c r="F432">
        <f>_xlfn.RANK.AVG(Table2[[#This Row],[Abundance in SC (g protein/g all proteins)]],Table2[Abundance in SC (g protein/g all proteins)])</f>
        <v>358</v>
      </c>
      <c r="G432">
        <f>_xlfn.RANK.AVG(Table2[[#This Row],[Abundance in RT (g protein/g all proteins)]],Table2[Abundance in RT (g protein/g all proteins)])</f>
        <v>491</v>
      </c>
      <c r="H432">
        <f>LOG(Table2[[#This Row],[Abundance in SC (g protein/g all proteins)]])</f>
        <v>-4.3454004876707675</v>
      </c>
      <c r="I432">
        <f>LOG(Table2[[#This Row],[Abundance in RT (g protein/g all proteins)]])</f>
        <v>-4.7144426909922261</v>
      </c>
    </row>
    <row r="433" spans="1:9" x14ac:dyDescent="0.2">
      <c r="A433" t="s">
        <v>2869</v>
      </c>
      <c r="B433">
        <v>3.5769177910347501E-5</v>
      </c>
      <c r="C433">
        <v>1.0000000000000001E-5</v>
      </c>
      <c r="D433">
        <f t="shared" si="6"/>
        <v>1.8221560446009304E-5</v>
      </c>
      <c r="E433">
        <f>Table2[[#This Row],[distance from 45-degree line]]/MAX(Table2[[Abundance in SC (g protein/g all proteins)]:[Abundance in RT (g protein/g all proteins)]])</f>
        <v>6.2587619059336686E-4</v>
      </c>
      <c r="F433">
        <f>_xlfn.RANK.AVG(Table2[[#This Row],[Abundance in SC (g protein/g all proteins)]],Table2[Abundance in SC (g protein/g all proteins)])</f>
        <v>388</v>
      </c>
      <c r="G433">
        <f>_xlfn.RANK.AVG(Table2[[#This Row],[Abundance in RT (g protein/g all proteins)]],Table2[Abundance in RT (g protein/g all proteins)])</f>
        <v>523</v>
      </c>
      <c r="H433">
        <f>LOG(Table2[[#This Row],[Abundance in SC (g protein/g all proteins)]])</f>
        <v>-4.4464910412069854</v>
      </c>
      <c r="I433">
        <f>LOG(Table2[[#This Row],[Abundance in RT (g protein/g all proteins)]])</f>
        <v>-5</v>
      </c>
    </row>
    <row r="434" spans="1:9" x14ac:dyDescent="0.2">
      <c r="A434" t="s">
        <v>2470</v>
      </c>
      <c r="B434">
        <v>4.3018525675991899E-5</v>
      </c>
      <c r="C434">
        <v>1.7499999999999998E-5</v>
      </c>
      <c r="D434">
        <f t="shared" si="6"/>
        <v>1.80443225513769E-5</v>
      </c>
      <c r="E434">
        <f>Table2[[#This Row],[distance from 45-degree line]]/MAX(Table2[[Abundance in SC (g protein/g all proteins)]:[Abundance in RT (g protein/g all proteins)]])</f>
        <v>6.1978840361979776E-4</v>
      </c>
      <c r="F434">
        <f>_xlfn.RANK.AVG(Table2[[#This Row],[Abundance in SC (g protein/g all proteins)]],Table2[Abundance in SC (g protein/g all proteins)])</f>
        <v>364</v>
      </c>
      <c r="G434">
        <f>_xlfn.RANK.AVG(Table2[[#This Row],[Abundance in RT (g protein/g all proteins)]],Table2[Abundance in RT (g protein/g all proteins)])</f>
        <v>498</v>
      </c>
      <c r="H434">
        <f>LOG(Table2[[#This Row],[Abundance in SC (g protein/g all proteins)]])</f>
        <v>-4.3663444777642955</v>
      </c>
      <c r="I434">
        <f>LOG(Table2[[#This Row],[Abundance in RT (g protein/g all proteins)]])</f>
        <v>-4.7569619513137056</v>
      </c>
    </row>
    <row r="435" spans="1:9" x14ac:dyDescent="0.2">
      <c r="A435" t="s">
        <v>2353</v>
      </c>
      <c r="B435">
        <v>1.76513628996876E-5</v>
      </c>
      <c r="C435">
        <v>4.2500000000000003E-5</v>
      </c>
      <c r="D435">
        <f t="shared" si="6"/>
        <v>1.7570639796874527E-5</v>
      </c>
      <c r="E435">
        <f>Table2[[#This Row],[distance from 45-degree line]]/MAX(Table2[[Abundance in SC (g protein/g all proteins)]:[Abundance in RT (g protein/g all proteins)]])</f>
        <v>6.0351829553459001E-4</v>
      </c>
      <c r="F435">
        <f>_xlfn.RANK.AVG(Table2[[#This Row],[Abundance in SC (g protein/g all proteins)]],Table2[Abundance in SC (g protein/g all proteins)])</f>
        <v>452</v>
      </c>
      <c r="G435">
        <f>_xlfn.RANK.AVG(Table2[[#This Row],[Abundance in RT (g protein/g all proteins)]],Table2[Abundance in RT (g protein/g all proteins)])</f>
        <v>421.5</v>
      </c>
      <c r="H435">
        <f>LOG(Table2[[#This Row],[Abundance in SC (g protein/g all proteins)]])</f>
        <v>-4.7532217561706522</v>
      </c>
      <c r="I435">
        <f>LOG(Table2[[#This Row],[Abundance in RT (g protein/g all proteins)]])</f>
        <v>-4.3716110699496884</v>
      </c>
    </row>
    <row r="436" spans="1:9" x14ac:dyDescent="0.2">
      <c r="A436" t="s">
        <v>2554</v>
      </c>
      <c r="B436">
        <v>9.8139133188909097E-6</v>
      </c>
      <c r="C436">
        <v>3.4600000000000001E-5</v>
      </c>
      <c r="D436">
        <f t="shared" si="6"/>
        <v>1.7526409971289804E-5</v>
      </c>
      <c r="E436">
        <f>Table2[[#This Row],[distance from 45-degree line]]/MAX(Table2[[Abundance in SC (g protein/g all proteins)]:[Abundance in RT (g protein/g all proteins)]])</f>
        <v>6.0199908455210586E-4</v>
      </c>
      <c r="F436">
        <f>_xlfn.RANK.AVG(Table2[[#This Row],[Abundance in SC (g protein/g all proteins)]],Table2[Abundance in SC (g protein/g all proteins)])</f>
        <v>509</v>
      </c>
      <c r="G436">
        <f>_xlfn.RANK.AVG(Table2[[#This Row],[Abundance in RT (g protein/g all proteins)]],Table2[Abundance in RT (g protein/g all proteins)])</f>
        <v>442</v>
      </c>
      <c r="H436">
        <f>LOG(Table2[[#This Row],[Abundance in SC (g protein/g all proteins)]])</f>
        <v>-5.0081577822317707</v>
      </c>
      <c r="I436">
        <f>LOG(Table2[[#This Row],[Abundance in RT (g protein/g all proteins)]])</f>
        <v>-4.4609239012072237</v>
      </c>
    </row>
    <row r="437" spans="1:9" x14ac:dyDescent="0.2">
      <c r="A437" t="s">
        <v>2845</v>
      </c>
      <c r="B437">
        <v>1.14229127925493E-4</v>
      </c>
      <c r="C437">
        <v>1.3899999999999999E-4</v>
      </c>
      <c r="D437">
        <f t="shared" si="6"/>
        <v>1.7515651619788375E-5</v>
      </c>
      <c r="E437">
        <f>Table2[[#This Row],[distance from 45-degree line]]/MAX(Table2[[Abundance in SC (g protein/g all proteins)]:[Abundance in RT (g protein/g all proteins)]])</f>
        <v>6.0162955549477128E-4</v>
      </c>
      <c r="F437">
        <f>_xlfn.RANK.AVG(Table2[[#This Row],[Abundance in SC (g protein/g all proteins)]],Table2[Abundance in SC (g protein/g all proteins)])</f>
        <v>270</v>
      </c>
      <c r="G437">
        <f>_xlfn.RANK.AVG(Table2[[#This Row],[Abundance in RT (g protein/g all proteins)]],Table2[Abundance in RT (g protein/g all proteins)])</f>
        <v>286</v>
      </c>
      <c r="H437">
        <f>LOG(Table2[[#This Row],[Abundance in SC (g protein/g all proteins)]])</f>
        <v>-3.9422231387844424</v>
      </c>
      <c r="I437">
        <f>LOG(Table2[[#This Row],[Abundance in RT (g protein/g all proteins)]])</f>
        <v>-3.856985199745905</v>
      </c>
    </row>
    <row r="438" spans="1:9" x14ac:dyDescent="0.2">
      <c r="A438" t="s">
        <v>2613</v>
      </c>
      <c r="B438">
        <v>1.1383580180339001E-5</v>
      </c>
      <c r="C438">
        <v>3.5800000000000003E-5</v>
      </c>
      <c r="D438">
        <f t="shared" si="6"/>
        <v>1.7265016026779911E-5</v>
      </c>
      <c r="E438">
        <f>Table2[[#This Row],[distance from 45-degree line]]/MAX(Table2[[Abundance in SC (g protein/g all proteins)]:[Abundance in RT (g protein/g all proteins)]])</f>
        <v>5.9302069619075911E-4</v>
      </c>
      <c r="F438">
        <f>_xlfn.RANK.AVG(Table2[[#This Row],[Abundance in SC (g protein/g all proteins)]],Table2[Abundance in SC (g protein/g all proteins)])</f>
        <v>495</v>
      </c>
      <c r="G438">
        <f>_xlfn.RANK.AVG(Table2[[#This Row],[Abundance in RT (g protein/g all proteins)]],Table2[Abundance in RT (g protein/g all proteins)])</f>
        <v>439</v>
      </c>
      <c r="H438">
        <f>LOG(Table2[[#This Row],[Abundance in SC (g protein/g all proteins)]])</f>
        <v>-4.9437211291504193</v>
      </c>
      <c r="I438">
        <f>LOG(Table2[[#This Row],[Abundance in RT (g protein/g all proteins)]])</f>
        <v>-4.4461169733561254</v>
      </c>
    </row>
    <row r="439" spans="1:9" x14ac:dyDescent="0.2">
      <c r="A439" t="s">
        <v>2452</v>
      </c>
      <c r="B439">
        <v>1.05608200131576E-5</v>
      </c>
      <c r="C439">
        <v>3.4799999999999999E-5</v>
      </c>
      <c r="D439">
        <f t="shared" si="6"/>
        <v>1.7139688539097509E-5</v>
      </c>
      <c r="E439">
        <f>Table2[[#This Row],[distance from 45-degree line]]/MAX(Table2[[Abundance in SC (g protein/g all proteins)]:[Abundance in RT (g protein/g all proteins)]])</f>
        <v>5.8871593366508434E-4</v>
      </c>
      <c r="F439">
        <f>_xlfn.RANK.AVG(Table2[[#This Row],[Abundance in SC (g protein/g all proteins)]],Table2[Abundance in SC (g protein/g all proteins)])</f>
        <v>502</v>
      </c>
      <c r="G439">
        <f>_xlfn.RANK.AVG(Table2[[#This Row],[Abundance in RT (g protein/g all proteins)]],Table2[Abundance in RT (g protein/g all proteins)])</f>
        <v>441</v>
      </c>
      <c r="H439">
        <f>LOG(Table2[[#This Row],[Abundance in SC (g protein/g all proteins)]])</f>
        <v>-4.9763023589458601</v>
      </c>
      <c r="I439">
        <f>LOG(Table2[[#This Row],[Abundance in RT (g protein/g all proteins)]])</f>
        <v>-4.4584207560534193</v>
      </c>
    </row>
    <row r="440" spans="1:9" x14ac:dyDescent="0.2">
      <c r="A440" t="s">
        <v>2653</v>
      </c>
      <c r="B440">
        <v>1.6118346946898701E-5</v>
      </c>
      <c r="C440">
        <v>3.9900000000000001E-5</v>
      </c>
      <c r="D440">
        <f t="shared" si="6"/>
        <v>1.681616814167369E-5</v>
      </c>
      <c r="E440">
        <f>Table2[[#This Row],[distance from 45-degree line]]/MAX(Table2[[Abundance in SC (g protein/g all proteins)]:[Abundance in RT (g protein/g all proteins)]])</f>
        <v>5.7760361896959855E-4</v>
      </c>
      <c r="F440">
        <f>_xlfn.RANK.AVG(Table2[[#This Row],[Abundance in SC (g protein/g all proteins)]],Table2[Abundance in SC (g protein/g all proteins)])</f>
        <v>459</v>
      </c>
      <c r="G440">
        <f>_xlfn.RANK.AVG(Table2[[#This Row],[Abundance in RT (g protein/g all proteins)]],Table2[Abundance in RT (g protein/g all proteins)])</f>
        <v>432</v>
      </c>
      <c r="H440">
        <f>LOG(Table2[[#This Row],[Abundance in SC (g protein/g all proteins)]])</f>
        <v>-4.792679500288525</v>
      </c>
      <c r="I440">
        <f>LOG(Table2[[#This Row],[Abundance in RT (g protein/g all proteins)]])</f>
        <v>-4.3990271043132516</v>
      </c>
    </row>
    <row r="441" spans="1:9" x14ac:dyDescent="0.2">
      <c r="A441" t="s">
        <v>2843</v>
      </c>
      <c r="B441">
        <v>1.13380701352589E-4</v>
      </c>
      <c r="C441">
        <v>1.37E-4</v>
      </c>
      <c r="D441">
        <f t="shared" si="6"/>
        <v>1.670136624045456E-5</v>
      </c>
      <c r="E441">
        <f>Table2[[#This Row],[distance from 45-degree line]]/MAX(Table2[[Abundance in SC (g protein/g all proteins)]:[Abundance in RT (g protein/g all proteins)]])</f>
        <v>5.736603904617656E-4</v>
      </c>
      <c r="F441">
        <f>_xlfn.RANK.AVG(Table2[[#This Row],[Abundance in SC (g protein/g all proteins)]],Table2[Abundance in SC (g protein/g all proteins)])</f>
        <v>271</v>
      </c>
      <c r="G441">
        <f>_xlfn.RANK.AVG(Table2[[#This Row],[Abundance in RT (g protein/g all proteins)]],Table2[Abundance in RT (g protein/g all proteins)])</f>
        <v>287</v>
      </c>
      <c r="H441">
        <f>LOG(Table2[[#This Row],[Abundance in SC (g protein/g all proteins)]])</f>
        <v>-3.9454608608693285</v>
      </c>
      <c r="I441">
        <f>LOG(Table2[[#This Row],[Abundance in RT (g protein/g all proteins)]])</f>
        <v>-3.8632794328435933</v>
      </c>
    </row>
    <row r="442" spans="1:9" x14ac:dyDescent="0.2">
      <c r="A442" t="s">
        <v>2568</v>
      </c>
      <c r="B442">
        <v>7.8012513408637392E-6</v>
      </c>
      <c r="C442">
        <v>3.1199999999999999E-5</v>
      </c>
      <c r="D442">
        <f t="shared" si="6"/>
        <v>1.6545413848154884E-5</v>
      </c>
      <c r="E442">
        <f>Table2[[#This Row],[distance from 45-degree line]]/MAX(Table2[[Abundance in SC (g protein/g all proteins)]:[Abundance in RT (g protein/g all proteins)]])</f>
        <v>5.6830372029646043E-4</v>
      </c>
      <c r="F442">
        <f>_xlfn.RANK.AVG(Table2[[#This Row],[Abundance in SC (g protein/g all proteins)]],Table2[Abundance in SC (g protein/g all proteins)])</f>
        <v>524</v>
      </c>
      <c r="G442">
        <f>_xlfn.RANK.AVG(Table2[[#This Row],[Abundance in RT (g protein/g all proteins)]],Table2[Abundance in RT (g protein/g all proteins)])</f>
        <v>454</v>
      </c>
      <c r="H442">
        <f>LOG(Table2[[#This Row],[Abundance in SC (g protein/g all proteins)]])</f>
        <v>-5.1078357297653731</v>
      </c>
      <c r="I442">
        <f>LOG(Table2[[#This Row],[Abundance in RT (g protein/g all proteins)]])</f>
        <v>-4.5058454059815576</v>
      </c>
    </row>
    <row r="443" spans="1:9" x14ac:dyDescent="0.2">
      <c r="A443" t="s">
        <v>2663</v>
      </c>
      <c r="B443">
        <v>4.6060721423992203E-5</v>
      </c>
      <c r="C443">
        <v>2.2900000000000001E-5</v>
      </c>
      <c r="D443">
        <f t="shared" si="6"/>
        <v>1.6377103176077436E-5</v>
      </c>
      <c r="E443">
        <f>Table2[[#This Row],[distance from 45-degree line]]/MAX(Table2[[Abundance in SC (g protein/g all proteins)]:[Abundance in RT (g protein/g all proteins)]])</f>
        <v>5.6252256655893223E-4</v>
      </c>
      <c r="F443">
        <f>_xlfn.RANK.AVG(Table2[[#This Row],[Abundance in SC (g protein/g all proteins)]],Table2[Abundance in SC (g protein/g all proteins)])</f>
        <v>355</v>
      </c>
      <c r="G443">
        <f>_xlfn.RANK.AVG(Table2[[#This Row],[Abundance in RT (g protein/g all proteins)]],Table2[Abundance in RT (g protein/g all proteins)])</f>
        <v>480</v>
      </c>
      <c r="H443">
        <f>LOG(Table2[[#This Row],[Abundance in SC (g protein/g all proteins)]])</f>
        <v>-4.3366692642005908</v>
      </c>
      <c r="I443">
        <f>LOG(Table2[[#This Row],[Abundance in RT (g protein/g all proteins)]])</f>
        <v>-4.6401645176601116</v>
      </c>
    </row>
    <row r="444" spans="1:9" x14ac:dyDescent="0.2">
      <c r="A444" t="s">
        <v>2361</v>
      </c>
      <c r="B444">
        <v>4.1751595174133801E-5</v>
      </c>
      <c r="C444">
        <v>1.8700000000000001E-5</v>
      </c>
      <c r="D444">
        <f t="shared" si="6"/>
        <v>1.6299939264797102E-5</v>
      </c>
      <c r="E444">
        <f>Table2[[#This Row],[distance from 45-degree line]]/MAX(Table2[[Abundance in SC (g protein/g all proteins)]:[Abundance in RT (g protein/g all proteins)]])</f>
        <v>5.598721319275778E-4</v>
      </c>
      <c r="F444">
        <f>_xlfn.RANK.AVG(Table2[[#This Row],[Abundance in SC (g protein/g all proteins)]],Table2[Abundance in SC (g protein/g all proteins)])</f>
        <v>372</v>
      </c>
      <c r="G444">
        <f>_xlfn.RANK.AVG(Table2[[#This Row],[Abundance in RT (g protein/g all proteins)]],Table2[Abundance in RT (g protein/g all proteins)])</f>
        <v>493</v>
      </c>
      <c r="H444">
        <f>LOG(Table2[[#This Row],[Abundance in SC (g protein/g all proteins)]])</f>
        <v>-4.3793269270764359</v>
      </c>
      <c r="I444">
        <f>LOG(Table2[[#This Row],[Abundance in RT (g protein/g all proteins)]])</f>
        <v>-4.7281583934635014</v>
      </c>
    </row>
    <row r="445" spans="1:9" x14ac:dyDescent="0.2">
      <c r="A445" t="s">
        <v>2889</v>
      </c>
      <c r="B445">
        <v>2.6270059269232501E-5</v>
      </c>
      <c r="C445">
        <v>3.2600000000000001E-6</v>
      </c>
      <c r="D445">
        <f t="shared" si="6"/>
        <v>1.6270568944778675E-5</v>
      </c>
      <c r="E445">
        <f>Table2[[#This Row],[distance from 45-degree line]]/MAX(Table2[[Abundance in SC (g protein/g all proteins)]:[Abundance in RT (g protein/g all proteins)]])</f>
        <v>5.5886331689968232E-4</v>
      </c>
      <c r="F445">
        <f>_xlfn.RANK.AVG(Table2[[#This Row],[Abundance in SC (g protein/g all proteins)]],Table2[Abundance in SC (g protein/g all proteins)])</f>
        <v>406</v>
      </c>
      <c r="G445">
        <f>_xlfn.RANK.AVG(Table2[[#This Row],[Abundance in RT (g protein/g all proteins)]],Table2[Abundance in RT (g protein/g all proteins)])</f>
        <v>562</v>
      </c>
      <c r="H445">
        <f>LOG(Table2[[#This Row],[Abundance in SC (g protein/g all proteins)]])</f>
        <v>-4.5805389473786962</v>
      </c>
      <c r="I445">
        <f>LOG(Table2[[#This Row],[Abundance in RT (g protein/g all proteins)]])</f>
        <v>-5.4867823999320606</v>
      </c>
    </row>
    <row r="446" spans="1:9" x14ac:dyDescent="0.2">
      <c r="A446" t="s">
        <v>2805</v>
      </c>
      <c r="B446">
        <v>1.7374496374170401E-5</v>
      </c>
      <c r="C446">
        <v>3.9799999999999998E-5</v>
      </c>
      <c r="D446">
        <f t="shared" si="6"/>
        <v>1.5857225685347615E-5</v>
      </c>
      <c r="E446">
        <f>Table2[[#This Row],[distance from 45-degree line]]/MAX(Table2[[Abundance in SC (g protein/g all proteins)]:[Abundance in RT (g protein/g all proteins)]])</f>
        <v>5.446657565213221E-4</v>
      </c>
      <c r="F446">
        <f>_xlfn.RANK.AVG(Table2[[#This Row],[Abundance in SC (g protein/g all proteins)]],Table2[Abundance in SC (g protein/g all proteins)])</f>
        <v>454</v>
      </c>
      <c r="G446">
        <f>_xlfn.RANK.AVG(Table2[[#This Row],[Abundance in RT (g protein/g all proteins)]],Table2[Abundance in RT (g protein/g all proteins)])</f>
        <v>433</v>
      </c>
      <c r="H446">
        <f>LOG(Table2[[#This Row],[Abundance in SC (g protein/g all proteins)]])</f>
        <v>-4.7600877752321624</v>
      </c>
      <c r="I446">
        <f>LOG(Table2[[#This Row],[Abundance in RT (g protein/g all proteins)]])</f>
        <v>-4.4001169279263124</v>
      </c>
    </row>
    <row r="447" spans="1:9" x14ac:dyDescent="0.2">
      <c r="A447" t="s">
        <v>2436</v>
      </c>
      <c r="B447">
        <v>6.8507249554069095E-4</v>
      </c>
      <c r="C447">
        <v>6.6299999999999996E-4</v>
      </c>
      <c r="D447">
        <f t="shared" si="6"/>
        <v>1.5607611274532427E-5</v>
      </c>
      <c r="E447">
        <f>Table2[[#This Row],[distance from 45-degree line]]/MAX(Table2[[Abundance in SC (g protein/g all proteins)]:[Abundance in RT (g protein/g all proteins)]])</f>
        <v>5.3609197289718506E-4</v>
      </c>
      <c r="F447">
        <f>_xlfn.RANK.AVG(Table2[[#This Row],[Abundance in SC (g protein/g all proteins)]],Table2[Abundance in SC (g protein/g all proteins)])</f>
        <v>118</v>
      </c>
      <c r="G447">
        <f>_xlfn.RANK.AVG(Table2[[#This Row],[Abundance in RT (g protein/g all proteins)]],Table2[Abundance in RT (g protein/g all proteins)])</f>
        <v>119</v>
      </c>
      <c r="H447">
        <f>LOG(Table2[[#This Row],[Abundance in SC (g protein/g all proteins)]])</f>
        <v>-3.164263468292452</v>
      </c>
      <c r="I447">
        <f>LOG(Table2[[#This Row],[Abundance in RT (g protein/g all proteins)]])</f>
        <v>-3.1784864715952268</v>
      </c>
    </row>
    <row r="448" spans="1:9" x14ac:dyDescent="0.2">
      <c r="A448" t="s">
        <v>2798</v>
      </c>
      <c r="B448">
        <v>1.9982932479861701E-4</v>
      </c>
      <c r="C448">
        <v>1.7799999999999999E-4</v>
      </c>
      <c r="D448">
        <f t="shared" si="6"/>
        <v>1.543566359382576E-5</v>
      </c>
      <c r="E448">
        <f>Table2[[#This Row],[distance from 45-degree line]]/MAX(Table2[[Abundance in SC (g protein/g all proteins)]:[Abundance in RT (g protein/g all proteins)]])</f>
        <v>5.3018589478159633E-4</v>
      </c>
      <c r="F448">
        <f>_xlfn.RANK.AVG(Table2[[#This Row],[Abundance in SC (g protein/g all proteins)]],Table2[Abundance in SC (g protein/g all proteins)])</f>
        <v>219</v>
      </c>
      <c r="G448">
        <f>_xlfn.RANK.AVG(Table2[[#This Row],[Abundance in RT (g protein/g all proteins)]],Table2[Abundance in RT (g protein/g all proteins)])</f>
        <v>265</v>
      </c>
      <c r="H448">
        <f>LOG(Table2[[#This Row],[Abundance in SC (g protein/g all proteins)]])</f>
        <v>-3.6993407790544461</v>
      </c>
      <c r="I448">
        <f>LOG(Table2[[#This Row],[Abundance in RT (g protein/g all proteins)]])</f>
        <v>-3.7495799976911059</v>
      </c>
    </row>
    <row r="449" spans="1:9" x14ac:dyDescent="0.2">
      <c r="A449" t="s">
        <v>2610</v>
      </c>
      <c r="B449">
        <v>2.81068358353263E-5</v>
      </c>
      <c r="C449">
        <v>6.5799999999999997E-6</v>
      </c>
      <c r="D449">
        <f t="shared" si="6"/>
        <v>1.5221771596648805E-5</v>
      </c>
      <c r="E449">
        <f>Table2[[#This Row],[distance from 45-degree line]]/MAX(Table2[[Abundance in SC (g protein/g all proteins)]:[Abundance in RT (g protein/g all proteins)]])</f>
        <v>5.2283910860550684E-4</v>
      </c>
      <c r="F449">
        <f>_xlfn.RANK.AVG(Table2[[#This Row],[Abundance in SC (g protein/g all proteins)]],Table2[Abundance in SC (g protein/g all proteins)])</f>
        <v>404</v>
      </c>
      <c r="G449">
        <f>_xlfn.RANK.AVG(Table2[[#This Row],[Abundance in RT (g protein/g all proteins)]],Table2[Abundance in RT (g protein/g all proteins)])</f>
        <v>544</v>
      </c>
      <c r="H449">
        <f>LOG(Table2[[#This Row],[Abundance in SC (g protein/g all proteins)]])</f>
        <v>-4.5511880429235001</v>
      </c>
      <c r="I449">
        <f>LOG(Table2[[#This Row],[Abundance in RT (g protein/g all proteins)]])</f>
        <v>-5.1817741063860447</v>
      </c>
    </row>
    <row r="450" spans="1:9" x14ac:dyDescent="0.2">
      <c r="A450" t="s">
        <v>2762</v>
      </c>
      <c r="B450">
        <v>7.4148214566408698E-6</v>
      </c>
      <c r="C450">
        <v>2.8600000000000001E-5</v>
      </c>
      <c r="D450">
        <f t="shared" ref="D450:D513" si="7">ABS(B450-C450)/SQRT(2)</f>
        <v>1.4980183408656986E-5</v>
      </c>
      <c r="E450">
        <f>Table2[[#This Row],[distance from 45-degree line]]/MAX(Table2[[Abundance in SC (g protein/g all proteins)]:[Abundance in RT (g protein/g all proteins)]])</f>
        <v>5.1454101057813459E-4</v>
      </c>
      <c r="F450">
        <f>_xlfn.RANK.AVG(Table2[[#This Row],[Abundance in SC (g protein/g all proteins)]],Table2[Abundance in SC (g protein/g all proteins)])</f>
        <v>530</v>
      </c>
      <c r="G450">
        <f>_xlfn.RANK.AVG(Table2[[#This Row],[Abundance in RT (g protein/g all proteins)]],Table2[Abundance in RT (g protein/g all proteins)])</f>
        <v>463.5</v>
      </c>
      <c r="H450">
        <f>LOG(Table2[[#This Row],[Abundance in SC (g protein/g all proteins)]])</f>
        <v>-5.1298993019962467</v>
      </c>
      <c r="I450">
        <f>LOG(Table2[[#This Row],[Abundance in RT (g protein/g all proteins)]])</f>
        <v>-4.5436339668709573</v>
      </c>
    </row>
    <row r="451" spans="1:9" x14ac:dyDescent="0.2">
      <c r="A451" t="s">
        <v>2620</v>
      </c>
      <c r="B451">
        <v>6.0992206294709903E-6</v>
      </c>
      <c r="C451">
        <v>2.6999999999999999E-5</v>
      </c>
      <c r="D451">
        <f t="shared" si="7"/>
        <v>1.4779082824984962E-5</v>
      </c>
      <c r="E451">
        <f>Table2[[#This Row],[distance from 45-degree line]]/MAX(Table2[[Abundance in SC (g protein/g all proteins)]:[Abundance in RT (g protein/g all proteins)]])</f>
        <v>5.0763358529983937E-4</v>
      </c>
      <c r="F451">
        <f>_xlfn.RANK.AVG(Table2[[#This Row],[Abundance in SC (g protein/g all proteins)]],Table2[Abundance in SC (g protein/g all proteins)])</f>
        <v>542</v>
      </c>
      <c r="G451">
        <f>_xlfn.RANK.AVG(Table2[[#This Row],[Abundance in RT (g protein/g all proteins)]],Table2[Abundance in RT (g protein/g all proteins)])</f>
        <v>468</v>
      </c>
      <c r="H451">
        <f>LOG(Table2[[#This Row],[Abundance in SC (g protein/g all proteins)]])</f>
        <v>-5.2147256564555891</v>
      </c>
      <c r="I451">
        <f>LOG(Table2[[#This Row],[Abundance in RT (g protein/g all proteins)]])</f>
        <v>-4.5686362358410131</v>
      </c>
    </row>
    <row r="452" spans="1:9" x14ac:dyDescent="0.2">
      <c r="A452" t="s">
        <v>2807</v>
      </c>
      <c r="B452">
        <v>1.41615880331299E-5</v>
      </c>
      <c r="C452">
        <v>3.4999999999999997E-5</v>
      </c>
      <c r="D452">
        <f t="shared" si="7"/>
        <v>1.4734982410932745E-5</v>
      </c>
      <c r="E452">
        <f>Table2[[#This Row],[distance from 45-degree line]]/MAX(Table2[[Abundance in SC (g protein/g all proteins)]:[Abundance in RT (g protein/g all proteins)]])</f>
        <v>5.0611881935910808E-4</v>
      </c>
      <c r="F452">
        <f>_xlfn.RANK.AVG(Table2[[#This Row],[Abundance in SC (g protein/g all proteins)]],Table2[Abundance in SC (g protein/g all proteins)])</f>
        <v>473</v>
      </c>
      <c r="G452">
        <f>_xlfn.RANK.AVG(Table2[[#This Row],[Abundance in RT (g protein/g all proteins)]],Table2[Abundance in RT (g protein/g all proteins)])</f>
        <v>440</v>
      </c>
      <c r="H452">
        <f>LOG(Table2[[#This Row],[Abundance in SC (g protein/g all proteins)]])</f>
        <v>-4.8488880435844504</v>
      </c>
      <c r="I452">
        <f>LOG(Table2[[#This Row],[Abundance in RT (g protein/g all proteins)]])</f>
        <v>-4.4559319556497243</v>
      </c>
    </row>
    <row r="453" spans="1:9" x14ac:dyDescent="0.2">
      <c r="A453" t="s">
        <v>2868</v>
      </c>
      <c r="B453">
        <v>5.32652677179994E-5</v>
      </c>
      <c r="C453">
        <v>3.2499999999999997E-5</v>
      </c>
      <c r="D453">
        <f t="shared" si="7"/>
        <v>1.4683261616551481E-5</v>
      </c>
      <c r="E453">
        <f>Table2[[#This Row],[distance from 45-degree line]]/MAX(Table2[[Abundance in SC (g protein/g all proteins)]:[Abundance in RT (g protein/g all proteins)]])</f>
        <v>5.0434230774487371E-4</v>
      </c>
      <c r="F453">
        <f>_xlfn.RANK.AVG(Table2[[#This Row],[Abundance in SC (g protein/g all proteins)]],Table2[Abundance in SC (g protein/g all proteins)])</f>
        <v>339</v>
      </c>
      <c r="G453">
        <f>_xlfn.RANK.AVG(Table2[[#This Row],[Abundance in RT (g protein/g all proteins)]],Table2[Abundance in RT (g protein/g all proteins)])</f>
        <v>447</v>
      </c>
      <c r="H453">
        <f>LOG(Table2[[#This Row],[Abundance in SC (g protein/g all proteins)]])</f>
        <v>-4.2735558858180029</v>
      </c>
      <c r="I453">
        <f>LOG(Table2[[#This Row],[Abundance in RT (g protein/g all proteins)]])</f>
        <v>-4.4881166390211256</v>
      </c>
    </row>
    <row r="454" spans="1:9" x14ac:dyDescent="0.2">
      <c r="A454" t="s">
        <v>2756</v>
      </c>
      <c r="B454">
        <v>4.2954749159673901E-5</v>
      </c>
      <c r="C454">
        <v>2.23E-5</v>
      </c>
      <c r="D454">
        <f t="shared" si="7"/>
        <v>1.4605113194512559E-5</v>
      </c>
      <c r="E454">
        <f>Table2[[#This Row],[distance from 45-degree line]]/MAX(Table2[[Abundance in SC (g protein/g all proteins)]:[Abundance in RT (g protein/g all proteins)]])</f>
        <v>5.0165805702817319E-4</v>
      </c>
      <c r="F454">
        <f>_xlfn.RANK.AVG(Table2[[#This Row],[Abundance in SC (g protein/g all proteins)]],Table2[Abundance in SC (g protein/g all proteins)])</f>
        <v>365</v>
      </c>
      <c r="G454">
        <f>_xlfn.RANK.AVG(Table2[[#This Row],[Abundance in RT (g protein/g all proteins)]],Table2[Abundance in RT (g protein/g all proteins)])</f>
        <v>482</v>
      </c>
      <c r="H454">
        <f>LOG(Table2[[#This Row],[Abundance in SC (g protein/g all proteins)]])</f>
        <v>-4.3669888127450323</v>
      </c>
      <c r="I454">
        <f>LOG(Table2[[#This Row],[Abundance in RT (g protein/g all proteins)]])</f>
        <v>-4.6516951369518393</v>
      </c>
    </row>
    <row r="455" spans="1:9" x14ac:dyDescent="0.2">
      <c r="A455" t="s">
        <v>2405</v>
      </c>
      <c r="B455">
        <v>3.42217168556464E-4</v>
      </c>
      <c r="C455">
        <v>3.2200000000000002E-4</v>
      </c>
      <c r="D455">
        <f t="shared" si="7"/>
        <v>1.4295696982667124E-5</v>
      </c>
      <c r="E455">
        <f>Table2[[#This Row],[distance from 45-degree line]]/MAX(Table2[[Abundance in SC (g protein/g all proteins)]:[Abundance in RT (g protein/g all proteins)]])</f>
        <v>4.9103019447208432E-4</v>
      </c>
      <c r="F455">
        <f>_xlfn.RANK.AVG(Table2[[#This Row],[Abundance in SC (g protein/g all proteins)]],Table2[Abundance in SC (g protein/g all proteins)])</f>
        <v>176</v>
      </c>
      <c r="G455">
        <f>_xlfn.RANK.AVG(Table2[[#This Row],[Abundance in RT (g protein/g all proteins)]],Table2[Abundance in RT (g protein/g all proteins)])</f>
        <v>189.5</v>
      </c>
      <c r="H455">
        <f>LOG(Table2[[#This Row],[Abundance in SC (g protein/g all proteins)]])</f>
        <v>-3.4656982063019388</v>
      </c>
      <c r="I455">
        <f>LOG(Table2[[#This Row],[Abundance in RT (g protein/g all proteins)]])</f>
        <v>-3.4921441283041692</v>
      </c>
    </row>
    <row r="456" spans="1:9" x14ac:dyDescent="0.2">
      <c r="A456" t="s">
        <v>2883</v>
      </c>
      <c r="B456">
        <v>8.0102765543976599E-5</v>
      </c>
      <c r="C456">
        <v>1E-4</v>
      </c>
      <c r="D456">
        <f t="shared" si="7"/>
        <v>1.4069469410712776E-5</v>
      </c>
      <c r="E456">
        <f>Table2[[#This Row],[distance from 45-degree line]]/MAX(Table2[[Abundance in SC (g protein/g all proteins)]:[Abundance in RT (g protein/g all proteins)]])</f>
        <v>4.8325970459765739E-4</v>
      </c>
      <c r="F456">
        <f>_xlfn.RANK.AVG(Table2[[#This Row],[Abundance in SC (g protein/g all proteins)]],Table2[Abundance in SC (g protein/g all proteins)])</f>
        <v>298</v>
      </c>
      <c r="G456">
        <f>_xlfn.RANK.AVG(Table2[[#This Row],[Abundance in RT (g protein/g all proteins)]],Table2[Abundance in RT (g protein/g all proteins)])</f>
        <v>324</v>
      </c>
      <c r="H456">
        <f>LOG(Table2[[#This Row],[Abundance in SC (g protein/g all proteins)]])</f>
        <v>-4.0963524896616423</v>
      </c>
      <c r="I456">
        <f>LOG(Table2[[#This Row],[Abundance in RT (g protein/g all proteins)]])</f>
        <v>-4</v>
      </c>
    </row>
    <row r="457" spans="1:9" x14ac:dyDescent="0.2">
      <c r="A457" t="s">
        <v>2338</v>
      </c>
      <c r="B457">
        <v>4.5872255955271298E-5</v>
      </c>
      <c r="C457">
        <v>2.6100000000000001E-5</v>
      </c>
      <c r="D457">
        <f t="shared" si="7"/>
        <v>1.398109626532843E-5</v>
      </c>
      <c r="E457">
        <f>Table2[[#This Row],[distance from 45-degree line]]/MAX(Table2[[Abundance in SC (g protein/g all proteins)]:[Abundance in RT (g protein/g all proteins)]])</f>
        <v>4.8022425394304445E-4</v>
      </c>
      <c r="F457">
        <f>_xlfn.RANK.AVG(Table2[[#This Row],[Abundance in SC (g protein/g all proteins)]],Table2[Abundance in SC (g protein/g all proteins)])</f>
        <v>357</v>
      </c>
      <c r="G457">
        <f>_xlfn.RANK.AVG(Table2[[#This Row],[Abundance in RT (g protein/g all proteins)]],Table2[Abundance in RT (g protein/g all proteins)])</f>
        <v>472.5</v>
      </c>
      <c r="H457">
        <f>LOG(Table2[[#This Row],[Abundance in SC (g protein/g all proteins)]])</f>
        <v>-4.3384499011404447</v>
      </c>
      <c r="I457">
        <f>LOG(Table2[[#This Row],[Abundance in RT (g protein/g all proteins)]])</f>
        <v>-4.5833594926617192</v>
      </c>
    </row>
    <row r="458" spans="1:9" x14ac:dyDescent="0.2">
      <c r="A458" t="s">
        <v>2401</v>
      </c>
      <c r="B458">
        <v>2.8823713188727301E-7</v>
      </c>
      <c r="C458">
        <v>1.98E-5</v>
      </c>
      <c r="D458">
        <f t="shared" si="7"/>
        <v>1.379689983694639E-5</v>
      </c>
      <c r="E458">
        <f>Table2[[#This Row],[distance from 45-degree line]]/MAX(Table2[[Abundance in SC (g protein/g all proteins)]:[Abundance in RT (g protein/g all proteins)]])</f>
        <v>4.7389745447610289E-4</v>
      </c>
      <c r="F458">
        <f>_xlfn.RANK.AVG(Table2[[#This Row],[Abundance in SC (g protein/g all proteins)]],Table2[Abundance in SC (g protein/g all proteins)])</f>
        <v>587</v>
      </c>
      <c r="G458">
        <f>_xlfn.RANK.AVG(Table2[[#This Row],[Abundance in RT (g protein/g all proteins)]],Table2[Abundance in RT (g protein/g all proteins)])</f>
        <v>490</v>
      </c>
      <c r="H458">
        <f>LOG(Table2[[#This Row],[Abundance in SC (g protein/g all proteins)]])</f>
        <v>-6.5402500723250103</v>
      </c>
      <c r="I458">
        <f>LOG(Table2[[#This Row],[Abundance in RT (g protein/g all proteins)]])</f>
        <v>-4.7033348097384691</v>
      </c>
    </row>
    <row r="459" spans="1:9" x14ac:dyDescent="0.2">
      <c r="A459" t="s">
        <v>2665</v>
      </c>
      <c r="B459">
        <v>4.4995641975557599E-5</v>
      </c>
      <c r="C459">
        <v>6.4399999999999993E-5</v>
      </c>
      <c r="D459">
        <f t="shared" si="7"/>
        <v>1.3720953143654815E-5</v>
      </c>
      <c r="E459">
        <f>Table2[[#This Row],[distance from 45-degree line]]/MAX(Table2[[Abundance in SC (g protein/g all proteins)]:[Abundance in RT (g protein/g all proteins)]])</f>
        <v>4.7128882898399234E-4</v>
      </c>
      <c r="F459">
        <f>_xlfn.RANK.AVG(Table2[[#This Row],[Abundance in SC (g protein/g all proteins)]],Table2[Abundance in SC (g protein/g all proteins)])</f>
        <v>360</v>
      </c>
      <c r="G459">
        <f>_xlfn.RANK.AVG(Table2[[#This Row],[Abundance in RT (g protein/g all proteins)]],Table2[Abundance in RT (g protein/g all proteins)])</f>
        <v>381</v>
      </c>
      <c r="H459">
        <f>LOG(Table2[[#This Row],[Abundance in SC (g protein/g all proteins)]])</f>
        <v>-4.34682954750512</v>
      </c>
      <c r="I459">
        <f>LOG(Table2[[#This Row],[Abundance in RT (g protein/g all proteins)]])</f>
        <v>-4.1911141326401875</v>
      </c>
    </row>
    <row r="460" spans="1:9" x14ac:dyDescent="0.2">
      <c r="A460" t="s">
        <v>2403</v>
      </c>
      <c r="B460">
        <v>5.8145094663314603E-6</v>
      </c>
      <c r="C460">
        <v>2.48E-5</v>
      </c>
      <c r="D460">
        <f t="shared" si="7"/>
        <v>1.342476910051003E-5</v>
      </c>
      <c r="E460">
        <f>Table2[[#This Row],[distance from 45-degree line]]/MAX(Table2[[Abundance in SC (g protein/g all proteins)]:[Abundance in RT (g protein/g all proteins)]])</f>
        <v>4.6111546643432119E-4</v>
      </c>
      <c r="F460">
        <f>_xlfn.RANK.AVG(Table2[[#This Row],[Abundance in SC (g protein/g all proteins)]],Table2[Abundance in SC (g protein/g all proteins)])</f>
        <v>545</v>
      </c>
      <c r="G460">
        <f>_xlfn.RANK.AVG(Table2[[#This Row],[Abundance in RT (g protein/g all proteins)]],Table2[Abundance in RT (g protein/g all proteins)])</f>
        <v>477</v>
      </c>
      <c r="H460">
        <f>LOG(Table2[[#This Row],[Abundance in SC (g protein/g all proteins)]])</f>
        <v>-5.235486918089693</v>
      </c>
      <c r="I460">
        <f>LOG(Table2[[#This Row],[Abundance in RT (g protein/g all proteins)]])</f>
        <v>-4.605548319173784</v>
      </c>
    </row>
    <row r="461" spans="1:9" x14ac:dyDescent="0.2">
      <c r="A461" t="s">
        <v>2754</v>
      </c>
      <c r="B461">
        <v>1.05694622114699E-5</v>
      </c>
      <c r="C461">
        <v>2.9499999999999999E-5</v>
      </c>
      <c r="D461">
        <f t="shared" si="7"/>
        <v>1.3385911641777821E-5</v>
      </c>
      <c r="E461">
        <f>Table2[[#This Row],[distance from 45-degree line]]/MAX(Table2[[Abundance in SC (g protein/g all proteins)]:[Abundance in RT (g protein/g all proteins)]])</f>
        <v>4.5978078610770955E-4</v>
      </c>
      <c r="F461">
        <f>_xlfn.RANK.AVG(Table2[[#This Row],[Abundance in SC (g protein/g all proteins)]],Table2[Abundance in SC (g protein/g all proteins)])</f>
        <v>501</v>
      </c>
      <c r="G461">
        <f>_xlfn.RANK.AVG(Table2[[#This Row],[Abundance in RT (g protein/g all proteins)]],Table2[Abundance in RT (g protein/g all proteins)])</f>
        <v>459</v>
      </c>
      <c r="H461">
        <f>LOG(Table2[[#This Row],[Abundance in SC (g protein/g all proteins)]])</f>
        <v>-4.9759471096209404</v>
      </c>
      <c r="I461">
        <f>LOG(Table2[[#This Row],[Abundance in RT (g protein/g all proteins)]])</f>
        <v>-4.5301779840218366</v>
      </c>
    </row>
    <row r="462" spans="1:9" x14ac:dyDescent="0.2">
      <c r="A462" t="s">
        <v>2427</v>
      </c>
      <c r="B462">
        <v>1.0201020764760401E-5</v>
      </c>
      <c r="C462">
        <v>2.9E-5</v>
      </c>
      <c r="D462">
        <f t="shared" si="7"/>
        <v>1.3292885696623016E-5</v>
      </c>
      <c r="E462">
        <f>Table2[[#This Row],[distance from 45-degree line]]/MAX(Table2[[Abundance in SC (g protein/g all proteins)]:[Abundance in RT (g protein/g all proteins)]])</f>
        <v>4.5658552056761757E-4</v>
      </c>
      <c r="F462">
        <f>_xlfn.RANK.AVG(Table2[[#This Row],[Abundance in SC (g protein/g all proteins)]],Table2[Abundance in SC (g protein/g all proteins)])</f>
        <v>507</v>
      </c>
      <c r="G462">
        <f>_xlfn.RANK.AVG(Table2[[#This Row],[Abundance in RT (g protein/g all proteins)]],Table2[Abundance in RT (g protein/g all proteins)])</f>
        <v>462</v>
      </c>
      <c r="H462">
        <f>LOG(Table2[[#This Row],[Abundance in SC (g protein/g all proteins)]])</f>
        <v>-4.9913563684025926</v>
      </c>
      <c r="I462">
        <f>LOG(Table2[[#This Row],[Abundance in RT (g protein/g all proteins)]])</f>
        <v>-4.5376020021010435</v>
      </c>
    </row>
    <row r="463" spans="1:9" x14ac:dyDescent="0.2">
      <c r="A463" t="s">
        <v>2640</v>
      </c>
      <c r="B463">
        <v>9.6314303001271697E-5</v>
      </c>
      <c r="C463">
        <v>7.7600000000000002E-5</v>
      </c>
      <c r="D463">
        <f t="shared" si="7"/>
        <v>1.3233010557378973E-5</v>
      </c>
      <c r="E463">
        <f>Table2[[#This Row],[distance from 45-degree line]]/MAX(Table2[[Abundance in SC (g protein/g all proteins)]:[Abundance in RT (g protein/g all proteins)]])</f>
        <v>4.5452892260651831E-4</v>
      </c>
      <c r="F463">
        <f>_xlfn.RANK.AVG(Table2[[#This Row],[Abundance in SC (g protein/g all proteins)]],Table2[Abundance in SC (g protein/g all proteins)])</f>
        <v>282</v>
      </c>
      <c r="G463">
        <f>_xlfn.RANK.AVG(Table2[[#This Row],[Abundance in RT (g protein/g all proteins)]],Table2[Abundance in RT (g protein/g all proteins)])</f>
        <v>357</v>
      </c>
      <c r="H463">
        <f>LOG(Table2[[#This Row],[Abundance in SC (g protein/g all proteins)]])</f>
        <v>-4.0163092138798913</v>
      </c>
      <c r="I463">
        <f>LOG(Table2[[#This Row],[Abundance in RT (g protein/g all proteins)]])</f>
        <v>-4.1101382787418119</v>
      </c>
    </row>
    <row r="464" spans="1:9" x14ac:dyDescent="0.2">
      <c r="A464" t="s">
        <v>2818</v>
      </c>
      <c r="B464">
        <v>2.45913806105733E-5</v>
      </c>
      <c r="C464">
        <v>4.3300000000000002E-5</v>
      </c>
      <c r="D464">
        <f t="shared" si="7"/>
        <v>1.3228991636901746E-5</v>
      </c>
      <c r="E464">
        <f>Table2[[#This Row],[distance from 45-degree line]]/MAX(Table2[[Abundance in SC (g protein/g all proteins)]:[Abundance in RT (g protein/g all proteins)]])</f>
        <v>4.5439088027770472E-4</v>
      </c>
      <c r="F464">
        <f>_xlfn.RANK.AVG(Table2[[#This Row],[Abundance in SC (g protein/g all proteins)]],Table2[Abundance in SC (g protein/g all proteins)])</f>
        <v>416</v>
      </c>
      <c r="G464">
        <f>_xlfn.RANK.AVG(Table2[[#This Row],[Abundance in RT (g protein/g all proteins)]],Table2[Abundance in RT (g protein/g all proteins)])</f>
        <v>418</v>
      </c>
      <c r="H464">
        <f>LOG(Table2[[#This Row],[Abundance in SC (g protein/g all proteins)]])</f>
        <v>-4.6092170883933621</v>
      </c>
      <c r="I464">
        <f>LOG(Table2[[#This Row],[Abundance in RT (g protein/g all proteins)]])</f>
        <v>-4.3635121036466344</v>
      </c>
    </row>
    <row r="465" spans="1:9" x14ac:dyDescent="0.2">
      <c r="A465" t="s">
        <v>2905</v>
      </c>
      <c r="B465">
        <v>6.7437804873196497E-6</v>
      </c>
      <c r="C465">
        <v>2.5400000000000001E-5</v>
      </c>
      <c r="D465">
        <f t="shared" si="7"/>
        <v>1.3191939328721062E-5</v>
      </c>
      <c r="E465">
        <f>Table2[[#This Row],[distance from 45-degree line]]/MAX(Table2[[Abundance in SC (g protein/g all proteins)]:[Abundance in RT (g protein/g all proteins)]])</f>
        <v>4.531182034635795E-4</v>
      </c>
      <c r="F465">
        <f>_xlfn.RANK.AVG(Table2[[#This Row],[Abundance in SC (g protein/g all proteins)]],Table2[Abundance in SC (g protein/g all proteins)])</f>
        <v>535</v>
      </c>
      <c r="G465">
        <f>_xlfn.RANK.AVG(Table2[[#This Row],[Abundance in RT (g protein/g all proteins)]],Table2[Abundance in RT (g protein/g all proteins)])</f>
        <v>476</v>
      </c>
      <c r="H465">
        <f>LOG(Table2[[#This Row],[Abundance in SC (g protein/g all proteins)]])</f>
        <v>-5.1710965746077111</v>
      </c>
      <c r="I465">
        <f>LOG(Table2[[#This Row],[Abundance in RT (g protein/g all proteins)]])</f>
        <v>-4.5951662833800615</v>
      </c>
    </row>
    <row r="466" spans="1:9" x14ac:dyDescent="0.2">
      <c r="A466" t="s">
        <v>2697</v>
      </c>
      <c r="B466">
        <v>2.11725492468679E-5</v>
      </c>
      <c r="C466">
        <v>2.9299999999999999E-6</v>
      </c>
      <c r="D466">
        <f t="shared" si="7"/>
        <v>1.2899430278589835E-5</v>
      </c>
      <c r="E466">
        <f>Table2[[#This Row],[distance from 45-degree line]]/MAX(Table2[[Abundance in SC (g protein/g all proteins)]:[Abundance in RT (g protein/g all proteins)]])</f>
        <v>4.4307106998383889E-4</v>
      </c>
      <c r="F466">
        <f>_xlfn.RANK.AVG(Table2[[#This Row],[Abundance in SC (g protein/g all proteins)]],Table2[Abundance in SC (g protein/g all proteins)])</f>
        <v>438</v>
      </c>
      <c r="G466">
        <f>_xlfn.RANK.AVG(Table2[[#This Row],[Abundance in RT (g protein/g all proteins)]],Table2[Abundance in RT (g protein/g all proteins)])</f>
        <v>565</v>
      </c>
      <c r="H466">
        <f>LOG(Table2[[#This Row],[Abundance in SC (g protein/g all proteins)]])</f>
        <v>-4.6742268483011209</v>
      </c>
      <c r="I466">
        <f>LOG(Table2[[#This Row],[Abundance in RT (g protein/g all proteins)]])</f>
        <v>-5.5331323796458909</v>
      </c>
    </row>
    <row r="467" spans="1:9" x14ac:dyDescent="0.2">
      <c r="A467" t="s">
        <v>2468</v>
      </c>
      <c r="B467">
        <v>2.50392412138902E-5</v>
      </c>
      <c r="C467">
        <v>7.1899999999999998E-6</v>
      </c>
      <c r="D467">
        <f t="shared" si="7"/>
        <v>1.2621319501376161E-5</v>
      </c>
      <c r="E467">
        <f>Table2[[#This Row],[distance from 45-degree line]]/MAX(Table2[[Abundance in SC (g protein/g all proteins)]:[Abundance in RT (g protein/g all proteins)]])</f>
        <v>4.3351848998822299E-4</v>
      </c>
      <c r="F467">
        <f>_xlfn.RANK.AVG(Table2[[#This Row],[Abundance in SC (g protein/g all proteins)]],Table2[Abundance in SC (g protein/g all proteins)])</f>
        <v>414</v>
      </c>
      <c r="G467">
        <f>_xlfn.RANK.AVG(Table2[[#This Row],[Abundance in RT (g protein/g all proteins)]],Table2[Abundance in RT (g protein/g all proteins)])</f>
        <v>540</v>
      </c>
      <c r="H467">
        <f>LOG(Table2[[#This Row],[Abundance in SC (g protein/g all proteins)]])</f>
        <v>-4.6013788360691761</v>
      </c>
      <c r="I467">
        <f>LOG(Table2[[#This Row],[Abundance in RT (g protein/g all proteins)]])</f>
        <v>-5.1432711096171175</v>
      </c>
    </row>
    <row r="468" spans="1:9" x14ac:dyDescent="0.2">
      <c r="A468" t="s">
        <v>2763</v>
      </c>
      <c r="B468">
        <v>1.41745906920484E-4</v>
      </c>
      <c r="C468">
        <v>1.2400000000000001E-4</v>
      </c>
      <c r="D468">
        <f t="shared" si="7"/>
        <v>1.2548251121779517E-5</v>
      </c>
      <c r="E468">
        <f>Table2[[#This Row],[distance from 45-degree line]]/MAX(Table2[[Abundance in SC (g protein/g all proteins)]:[Abundance in RT (g protein/g all proteins)]])</f>
        <v>4.310087291359468E-4</v>
      </c>
      <c r="F468">
        <f>_xlfn.RANK.AVG(Table2[[#This Row],[Abundance in SC (g protein/g all proteins)]],Table2[Abundance in SC (g protein/g all proteins)])</f>
        <v>253</v>
      </c>
      <c r="G468">
        <f>_xlfn.RANK.AVG(Table2[[#This Row],[Abundance in RT (g protein/g all proteins)]],Table2[Abundance in RT (g protein/g all proteins)])</f>
        <v>294.5</v>
      </c>
      <c r="H468">
        <f>LOG(Table2[[#This Row],[Abundance in SC (g protein/g all proteins)]])</f>
        <v>-3.8484894730171559</v>
      </c>
      <c r="I468">
        <f>LOG(Table2[[#This Row],[Abundance in RT (g protein/g all proteins)]])</f>
        <v>-3.9065783148377649</v>
      </c>
    </row>
    <row r="469" spans="1:9" x14ac:dyDescent="0.2">
      <c r="A469" t="s">
        <v>2484</v>
      </c>
      <c r="B469">
        <v>1.31941762398682E-5</v>
      </c>
      <c r="C469">
        <v>3.0800000000000003E-5</v>
      </c>
      <c r="D469">
        <f t="shared" si="7"/>
        <v>1.2449197369164436E-5</v>
      </c>
      <c r="E469">
        <f>Table2[[#This Row],[distance from 45-degree line]]/MAX(Table2[[Abundance in SC (g protein/g all proteins)]:[Abundance in RT (g protein/g all proteins)]])</f>
        <v>4.2760641979288055E-4</v>
      </c>
      <c r="F469">
        <f>_xlfn.RANK.AVG(Table2[[#This Row],[Abundance in SC (g protein/g all proteins)]],Table2[Abundance in SC (g protein/g all proteins)])</f>
        <v>480</v>
      </c>
      <c r="G469">
        <f>_xlfn.RANK.AVG(Table2[[#This Row],[Abundance in RT (g protein/g all proteins)]],Table2[Abundance in RT (g protein/g all proteins)])</f>
        <v>457.5</v>
      </c>
      <c r="H469">
        <f>LOG(Table2[[#This Row],[Abundance in SC (g protein/g all proteins)]])</f>
        <v>-4.8796177191724173</v>
      </c>
      <c r="I469">
        <f>LOG(Table2[[#This Row],[Abundance in RT (g protein/g all proteins)]])</f>
        <v>-4.5114492834995561</v>
      </c>
    </row>
    <row r="470" spans="1:9" x14ac:dyDescent="0.2">
      <c r="A470" t="s">
        <v>2647</v>
      </c>
      <c r="B470">
        <v>6.5052154136221907E-5</v>
      </c>
      <c r="C470">
        <v>4.7500000000000003E-5</v>
      </c>
      <c r="D470">
        <f t="shared" si="7"/>
        <v>1.2411247214154016E-5</v>
      </c>
      <c r="E470">
        <f>Table2[[#This Row],[distance from 45-degree line]]/MAX(Table2[[Abundance in SC (g protein/g all proteins)]:[Abundance in RT (g protein/g all proteins)]])</f>
        <v>4.2630290363570363E-4</v>
      </c>
      <c r="F470">
        <f>_xlfn.RANK.AVG(Table2[[#This Row],[Abundance in SC (g protein/g all proteins)]],Table2[Abundance in SC (g protein/g all proteins)])</f>
        <v>322</v>
      </c>
      <c r="G470">
        <f>_xlfn.RANK.AVG(Table2[[#This Row],[Abundance in RT (g protein/g all proteins)]],Table2[Abundance in RT (g protein/g all proteins)])</f>
        <v>411</v>
      </c>
      <c r="H470">
        <f>LOG(Table2[[#This Row],[Abundance in SC (g protein/g all proteins)]])</f>
        <v>-4.1867383176422148</v>
      </c>
      <c r="I470">
        <f>LOG(Table2[[#This Row],[Abundance in RT (g protein/g all proteins)]])</f>
        <v>-4.3233063903751336</v>
      </c>
    </row>
    <row r="471" spans="1:9" x14ac:dyDescent="0.2">
      <c r="A471" t="s">
        <v>2684</v>
      </c>
      <c r="B471">
        <v>4.2001916353859803E-5</v>
      </c>
      <c r="C471">
        <v>2.4700000000000001E-5</v>
      </c>
      <c r="D471">
        <f t="shared" si="7"/>
        <v>1.223430238133669E-5</v>
      </c>
      <c r="E471">
        <f>Table2[[#This Row],[distance from 45-degree line]]/MAX(Table2[[Abundance in SC (g protein/g all proteins)]:[Abundance in RT (g protein/g all proteins)]])</f>
        <v>4.2022518278204632E-4</v>
      </c>
      <c r="F471">
        <f>_xlfn.RANK.AVG(Table2[[#This Row],[Abundance in SC (g protein/g all proteins)]],Table2[Abundance in SC (g protein/g all proteins)])</f>
        <v>371</v>
      </c>
      <c r="G471">
        <f>_xlfn.RANK.AVG(Table2[[#This Row],[Abundance in RT (g protein/g all proteins)]],Table2[Abundance in RT (g protein/g all proteins)])</f>
        <v>478</v>
      </c>
      <c r="H471">
        <f>LOG(Table2[[#This Row],[Abundance in SC (g protein/g all proteins)]])</f>
        <v>-4.3767308942944743</v>
      </c>
      <c r="I471">
        <f>LOG(Table2[[#This Row],[Abundance in RT (g protein/g all proteins)]])</f>
        <v>-4.6073030467403342</v>
      </c>
    </row>
    <row r="472" spans="1:9" x14ac:dyDescent="0.2">
      <c r="A472" t="s">
        <v>2710</v>
      </c>
      <c r="B472">
        <v>3.7184312338789898E-4</v>
      </c>
      <c r="C472">
        <v>3.8900000000000002E-4</v>
      </c>
      <c r="D472">
        <f t="shared" si="7"/>
        <v>1.213174379639753E-5</v>
      </c>
      <c r="E472">
        <f>Table2[[#This Row],[distance from 45-degree line]]/MAX(Table2[[Abundance in SC (g protein/g all proteins)]:[Abundance in RT (g protein/g all proteins)]])</f>
        <v>4.1670248906739105E-4</v>
      </c>
      <c r="F472">
        <f>_xlfn.RANK.AVG(Table2[[#This Row],[Abundance in SC (g protein/g all proteins)]],Table2[Abundance in SC (g protein/g all proteins)])</f>
        <v>169</v>
      </c>
      <c r="G472">
        <f>_xlfn.RANK.AVG(Table2[[#This Row],[Abundance in RT (g protein/g all proteins)]],Table2[Abundance in RT (g protein/g all proteins)])</f>
        <v>169.5</v>
      </c>
      <c r="H472">
        <f>LOG(Table2[[#This Row],[Abundance in SC (g protein/g all proteins)]])</f>
        <v>-3.4296402456469948</v>
      </c>
      <c r="I472">
        <f>LOG(Table2[[#This Row],[Abundance in RT (g protein/g all proteins)]])</f>
        <v>-3.4100503986742923</v>
      </c>
    </row>
    <row r="473" spans="1:9" x14ac:dyDescent="0.2">
      <c r="A473" t="s">
        <v>2416</v>
      </c>
      <c r="B473">
        <v>9.9640069133898396E-5</v>
      </c>
      <c r="C473">
        <v>8.2799999999999993E-5</v>
      </c>
      <c r="D473">
        <f t="shared" si="7"/>
        <v>1.1907727080229829E-5</v>
      </c>
      <c r="E473">
        <f>Table2[[#This Row],[distance from 45-degree line]]/MAX(Table2[[Abundance in SC (g protein/g all proteins)]:[Abundance in RT (g protein/g all proteins)]])</f>
        <v>4.0900793791411792E-4</v>
      </c>
      <c r="F473">
        <f>_xlfn.RANK.AVG(Table2[[#This Row],[Abundance in SC (g protein/g all proteins)]],Table2[Abundance in SC (g protein/g all proteins)])</f>
        <v>279</v>
      </c>
      <c r="G473">
        <f>_xlfn.RANK.AVG(Table2[[#This Row],[Abundance in RT (g protein/g all proteins)]],Table2[Abundance in RT (g protein/g all proteins)])</f>
        <v>349</v>
      </c>
      <c r="H473">
        <f>LOG(Table2[[#This Row],[Abundance in SC (g protein/g all proteins)]])</f>
        <v>-4.001565979806144</v>
      </c>
      <c r="I473">
        <f>LOG(Table2[[#This Row],[Abundance in RT (g protein/g all proteins)]])</f>
        <v>-4.0819696632151201</v>
      </c>
    </row>
    <row r="474" spans="1:9" x14ac:dyDescent="0.2">
      <c r="A474" t="s">
        <v>2339</v>
      </c>
      <c r="B474">
        <v>7.3681289763671094E-5</v>
      </c>
      <c r="C474">
        <v>9.0500000000000004E-5</v>
      </c>
      <c r="D474">
        <f t="shared" si="7"/>
        <v>1.1892624058919774E-5</v>
      </c>
      <c r="E474">
        <f>Table2[[#This Row],[distance from 45-degree line]]/MAX(Table2[[Abundance in SC (g protein/g all proteins)]:[Abundance in RT (g protein/g all proteins)]])</f>
        <v>4.0848917765360152E-4</v>
      </c>
      <c r="F474">
        <f>_xlfn.RANK.AVG(Table2[[#This Row],[Abundance in SC (g protein/g all proteins)]],Table2[Abundance in SC (g protein/g all proteins)])</f>
        <v>308</v>
      </c>
      <c r="G474">
        <f>_xlfn.RANK.AVG(Table2[[#This Row],[Abundance in RT (g protein/g all proteins)]],Table2[Abundance in RT (g protein/g all proteins)])</f>
        <v>335</v>
      </c>
      <c r="H474">
        <f>LOG(Table2[[#This Row],[Abundance in SC (g protein/g all proteins)]])</f>
        <v>-4.1326427805807135</v>
      </c>
      <c r="I474">
        <f>LOG(Table2[[#This Row],[Abundance in RT (g protein/g all proteins)]])</f>
        <v>-4.0433514207947967</v>
      </c>
    </row>
    <row r="475" spans="1:9" x14ac:dyDescent="0.2">
      <c r="A475" t="s">
        <v>2813</v>
      </c>
      <c r="B475">
        <v>8.0297921269431097E-5</v>
      </c>
      <c r="C475">
        <v>9.6799999999999995E-5</v>
      </c>
      <c r="D475">
        <f t="shared" si="7"/>
        <v>1.166873177405956E-5</v>
      </c>
      <c r="E475">
        <f>Table2[[#This Row],[distance from 45-degree line]]/MAX(Table2[[Abundance in SC (g protein/g all proteins)]:[Abundance in RT (g protein/g all proteins)]])</f>
        <v>4.0079890048075681E-4</v>
      </c>
      <c r="F475">
        <f>_xlfn.RANK.AVG(Table2[[#This Row],[Abundance in SC (g protein/g all proteins)]],Table2[Abundance in SC (g protein/g all proteins)])</f>
        <v>297</v>
      </c>
      <c r="G475">
        <f>_xlfn.RANK.AVG(Table2[[#This Row],[Abundance in RT (g protein/g all proteins)]],Table2[Abundance in RT (g protein/g all proteins)])</f>
        <v>327</v>
      </c>
      <c r="H475">
        <f>LOG(Table2[[#This Row],[Abundance in SC (g protein/g all proteins)]])</f>
        <v>-4.0952956974722632</v>
      </c>
      <c r="I475">
        <f>LOG(Table2[[#This Row],[Abundance in RT (g protein/g all proteins)]])</f>
        <v>-4.0141246426916064</v>
      </c>
    </row>
    <row r="476" spans="1:9" x14ac:dyDescent="0.2">
      <c r="A476" t="s">
        <v>2337</v>
      </c>
      <c r="B476">
        <v>2.6007242477452901E-5</v>
      </c>
      <c r="C476">
        <v>4.2400000000000001E-5</v>
      </c>
      <c r="D476">
        <f t="shared" si="7"/>
        <v>1.1591430006539842E-5</v>
      </c>
      <c r="E476">
        <f>Table2[[#This Row],[distance from 45-degree line]]/MAX(Table2[[Abundance in SC (g protein/g all proteins)]:[Abundance in RT (g protein/g all proteins)]])</f>
        <v>3.981437307479159E-4</v>
      </c>
      <c r="F476">
        <f>_xlfn.RANK.AVG(Table2[[#This Row],[Abundance in SC (g protein/g all proteins)]],Table2[Abundance in SC (g protein/g all proteins)])</f>
        <v>408</v>
      </c>
      <c r="G476">
        <f>_xlfn.RANK.AVG(Table2[[#This Row],[Abundance in RT (g protein/g all proteins)]],Table2[Abundance in RT (g protein/g all proteins)])</f>
        <v>423</v>
      </c>
      <c r="H476">
        <f>LOG(Table2[[#This Row],[Abundance in SC (g protein/g all proteins)]])</f>
        <v>-4.5849056931833134</v>
      </c>
      <c r="I476">
        <f>LOG(Table2[[#This Row],[Abundance in RT (g protein/g all proteins)]])</f>
        <v>-4.3726341434072671</v>
      </c>
    </row>
    <row r="477" spans="1:9" x14ac:dyDescent="0.2">
      <c r="A477" t="s">
        <v>2679</v>
      </c>
      <c r="B477">
        <v>2.1279443179807001E-5</v>
      </c>
      <c r="C477">
        <v>5.1000000000000003E-6</v>
      </c>
      <c r="D477">
        <f t="shared" si="7"/>
        <v>1.1440593988263968E-5</v>
      </c>
      <c r="E477">
        <f>Table2[[#This Row],[distance from 45-degree line]]/MAX(Table2[[Abundance in SC (g protein/g all proteins)]:[Abundance in RT (g protein/g all proteins)]])</f>
        <v>3.9296279836824961E-4</v>
      </c>
      <c r="F477">
        <f>_xlfn.RANK.AVG(Table2[[#This Row],[Abundance in SC (g protein/g all proteins)]],Table2[Abundance in SC (g protein/g all proteins)])</f>
        <v>436</v>
      </c>
      <c r="G477">
        <f>_xlfn.RANK.AVG(Table2[[#This Row],[Abundance in RT (g protein/g all proteins)]],Table2[Abundance in RT (g protein/g all proteins)])</f>
        <v>552</v>
      </c>
      <c r="H477">
        <f>LOG(Table2[[#This Row],[Abundance in SC (g protein/g all proteins)]])</f>
        <v>-4.6720397404324929</v>
      </c>
      <c r="I477">
        <f>LOG(Table2[[#This Row],[Abundance in RT (g protein/g all proteins)]])</f>
        <v>-5.2924298239020633</v>
      </c>
    </row>
    <row r="478" spans="1:9" x14ac:dyDescent="0.2">
      <c r="A478" t="s">
        <v>2567</v>
      </c>
      <c r="B478">
        <v>9.9226307587387596E-5</v>
      </c>
      <c r="C478">
        <v>8.3100000000000001E-5</v>
      </c>
      <c r="D478">
        <f t="shared" si="7"/>
        <v>1.1403021450541841E-5</v>
      </c>
      <c r="E478">
        <f>Table2[[#This Row],[distance from 45-degree line]]/MAX(Table2[[Abundance in SC (g protein/g all proteins)]:[Abundance in RT (g protein/g all proteins)]])</f>
        <v>3.9167225265180955E-4</v>
      </c>
      <c r="F478">
        <f>_xlfn.RANK.AVG(Table2[[#This Row],[Abundance in SC (g protein/g all proteins)]],Table2[Abundance in SC (g protein/g all proteins)])</f>
        <v>280</v>
      </c>
      <c r="G478">
        <f>_xlfn.RANK.AVG(Table2[[#This Row],[Abundance in RT (g protein/g all proteins)]],Table2[Abundance in RT (g protein/g all proteins)])</f>
        <v>348</v>
      </c>
      <c r="H478">
        <f>LOG(Table2[[#This Row],[Abundance in SC (g protein/g all proteins)]])</f>
        <v>-4.0033731693243482</v>
      </c>
      <c r="I478">
        <f>LOG(Table2[[#This Row],[Abundance in RT (g protein/g all proteins)]])</f>
        <v>-4.0803989762158892</v>
      </c>
    </row>
    <row r="479" spans="1:9" x14ac:dyDescent="0.2">
      <c r="A479" t="s">
        <v>2688</v>
      </c>
      <c r="B479">
        <v>2.66795805444607E-5</v>
      </c>
      <c r="C479">
        <v>4.2700000000000001E-5</v>
      </c>
      <c r="D479">
        <f t="shared" si="7"/>
        <v>1.1328147234464737E-5</v>
      </c>
      <c r="E479">
        <f>Table2[[#This Row],[distance from 45-degree line]]/MAX(Table2[[Abundance in SC (g protein/g all proteins)]:[Abundance in RT (g protein/g all proteins)]])</f>
        <v>3.8910046472668343E-4</v>
      </c>
      <c r="F479">
        <f>_xlfn.RANK.AVG(Table2[[#This Row],[Abundance in SC (g protein/g all proteins)]],Table2[Abundance in SC (g protein/g all proteins)])</f>
        <v>405</v>
      </c>
      <c r="G479">
        <f>_xlfn.RANK.AVG(Table2[[#This Row],[Abundance in RT (g protein/g all proteins)]],Table2[Abundance in RT (g protein/g all proteins)])</f>
        <v>420</v>
      </c>
      <c r="H479">
        <f>LOG(Table2[[#This Row],[Abundance in SC (g protein/g all proteins)]])</f>
        <v>-4.5738210026662127</v>
      </c>
      <c r="I479">
        <f>LOG(Table2[[#This Row],[Abundance in RT (g protein/g all proteins)]])</f>
        <v>-4.3695721249749759</v>
      </c>
    </row>
    <row r="480" spans="1:9" x14ac:dyDescent="0.2">
      <c r="A480" t="s">
        <v>2651</v>
      </c>
      <c r="B480">
        <v>2.7487556386786402E-4</v>
      </c>
      <c r="C480">
        <v>2.5900000000000001E-4</v>
      </c>
      <c r="D480">
        <f t="shared" si="7"/>
        <v>1.1225718866126778E-5</v>
      </c>
      <c r="E480">
        <f>Table2[[#This Row],[distance from 45-degree line]]/MAX(Table2[[Abundance in SC (g protein/g all proteins)]:[Abundance in RT (g protein/g all proteins)]])</f>
        <v>3.8558224370637033E-4</v>
      </c>
      <c r="F480">
        <f>_xlfn.RANK.AVG(Table2[[#This Row],[Abundance in SC (g protein/g all proteins)]],Table2[Abundance in SC (g protein/g all proteins)])</f>
        <v>189</v>
      </c>
      <c r="G480">
        <f>_xlfn.RANK.AVG(Table2[[#This Row],[Abundance in RT (g protein/g all proteins)]],Table2[Abundance in RT (g protein/g all proteins)])</f>
        <v>217</v>
      </c>
      <c r="H480">
        <f>LOG(Table2[[#This Row],[Abundance in SC (g protein/g all proteins)]])</f>
        <v>-3.5608638667372898</v>
      </c>
      <c r="I480">
        <f>LOG(Table2[[#This Row],[Abundance in RT (g protein/g all proteins)]])</f>
        <v>-3.5867002359187481</v>
      </c>
    </row>
    <row r="481" spans="1:9" x14ac:dyDescent="0.2">
      <c r="A481" t="s">
        <v>2385</v>
      </c>
      <c r="B481">
        <v>2.2845011272539901E-5</v>
      </c>
      <c r="C481">
        <v>3.8600000000000003E-5</v>
      </c>
      <c r="D481">
        <f t="shared" si="7"/>
        <v>1.1140459366704653E-5</v>
      </c>
      <c r="E481">
        <f>Table2[[#This Row],[distance from 45-degree line]]/MAX(Table2[[Abundance in SC (g protein/g all proteins)]:[Abundance in RT (g protein/g all proteins)]])</f>
        <v>3.8265374091055719E-4</v>
      </c>
      <c r="F481">
        <f>_xlfn.RANK.AVG(Table2[[#This Row],[Abundance in SC (g protein/g all proteins)]],Table2[Abundance in SC (g protein/g all proteins)])</f>
        <v>428</v>
      </c>
      <c r="G481">
        <f>_xlfn.RANK.AVG(Table2[[#This Row],[Abundance in RT (g protein/g all proteins)]],Table2[Abundance in RT (g protein/g all proteins)])</f>
        <v>434</v>
      </c>
      <c r="H481">
        <f>LOG(Table2[[#This Row],[Abundance in SC (g protein/g all proteins)]])</f>
        <v>-4.6412086233119023</v>
      </c>
      <c r="I481">
        <f>LOG(Table2[[#This Row],[Abundance in RT (g protein/g all proteins)]])</f>
        <v>-4.4134126953282449</v>
      </c>
    </row>
    <row r="482" spans="1:9" x14ac:dyDescent="0.2">
      <c r="A482" t="s">
        <v>2787</v>
      </c>
      <c r="B482">
        <v>2.3369140045116999E-5</v>
      </c>
      <c r="C482">
        <v>7.7100000000000007E-6</v>
      </c>
      <c r="D482">
        <f t="shared" si="7"/>
        <v>1.1072684113452046E-5</v>
      </c>
      <c r="E482">
        <f>Table2[[#This Row],[distance from 45-degree line]]/MAX(Table2[[Abundance in SC (g protein/g all proteins)]:[Abundance in RT (g protein/g all proteins)]])</f>
        <v>3.8032578895233E-4</v>
      </c>
      <c r="F482">
        <f>_xlfn.RANK.AVG(Table2[[#This Row],[Abundance in SC (g protein/g all proteins)]],Table2[Abundance in SC (g protein/g all proteins)])</f>
        <v>424</v>
      </c>
      <c r="G482">
        <f>_xlfn.RANK.AVG(Table2[[#This Row],[Abundance in RT (g protein/g all proteins)]],Table2[Abundance in RT (g protein/g all proteins)])</f>
        <v>536</v>
      </c>
      <c r="H482">
        <f>LOG(Table2[[#This Row],[Abundance in SC (g protein/g all proteins)]])</f>
        <v>-4.6313572688029794</v>
      </c>
      <c r="I482">
        <f>LOG(Table2[[#This Row],[Abundance in RT (g protein/g all proteins)]])</f>
        <v>-5.1129456219490432</v>
      </c>
    </row>
    <row r="483" spans="1:9" x14ac:dyDescent="0.2">
      <c r="A483" t="s">
        <v>2896</v>
      </c>
      <c r="B483">
        <v>1.23516970931022E-5</v>
      </c>
      <c r="C483">
        <v>2.8E-5</v>
      </c>
      <c r="D483">
        <f t="shared" si="7"/>
        <v>1.1065021099528598E-5</v>
      </c>
      <c r="E483">
        <f>Table2[[#This Row],[distance from 45-degree line]]/MAX(Table2[[Abundance in SC (g protein/g all proteins)]:[Abundance in RT (g protein/g all proteins)]])</f>
        <v>3.8006257889537122E-4</v>
      </c>
      <c r="F483">
        <f>_xlfn.RANK.AVG(Table2[[#This Row],[Abundance in SC (g protein/g all proteins)]],Table2[Abundance in SC (g protein/g all proteins)])</f>
        <v>488</v>
      </c>
      <c r="G483">
        <f>_xlfn.RANK.AVG(Table2[[#This Row],[Abundance in RT (g protein/g all proteins)]],Table2[Abundance in RT (g protein/g all proteins)])</f>
        <v>465</v>
      </c>
      <c r="H483">
        <f>LOG(Table2[[#This Row],[Abundance in SC (g protein/g all proteins)]])</f>
        <v>-4.9082733673003789</v>
      </c>
      <c r="I483">
        <f>LOG(Table2[[#This Row],[Abundance in RT (g protein/g all proteins)]])</f>
        <v>-4.5528419686577806</v>
      </c>
    </row>
    <row r="484" spans="1:9" x14ac:dyDescent="0.2">
      <c r="A484" t="s">
        <v>2753</v>
      </c>
      <c r="B484">
        <v>2.4106367014685701E-5</v>
      </c>
      <c r="C484">
        <v>8.4700000000000002E-6</v>
      </c>
      <c r="D484">
        <f t="shared" si="7"/>
        <v>1.1056581149205912E-5</v>
      </c>
      <c r="E484">
        <f>Table2[[#This Row],[distance from 45-degree line]]/MAX(Table2[[Abundance in SC (g protein/g all proteins)]:[Abundance in RT (g protein/g all proteins)]])</f>
        <v>3.7977268254031361E-4</v>
      </c>
      <c r="F484">
        <f>_xlfn.RANK.AVG(Table2[[#This Row],[Abundance in SC (g protein/g all proteins)]],Table2[Abundance in SC (g protein/g all proteins)])</f>
        <v>418</v>
      </c>
      <c r="G484">
        <f>_xlfn.RANK.AVG(Table2[[#This Row],[Abundance in RT (g protein/g all proteins)]],Table2[Abundance in RT (g protein/g all proteins)])</f>
        <v>529</v>
      </c>
      <c r="H484">
        <f>LOG(Table2[[#This Row],[Abundance in SC (g protein/g all proteins)]])</f>
        <v>-4.61786823567647</v>
      </c>
      <c r="I484">
        <f>LOG(Table2[[#This Row],[Abundance in RT (g protein/g all proteins)]])</f>
        <v>-5.0721165896692932</v>
      </c>
    </row>
    <row r="485" spans="1:9" x14ac:dyDescent="0.2">
      <c r="A485" t="s">
        <v>2569</v>
      </c>
      <c r="B485">
        <v>6.6130527163490803E-6</v>
      </c>
      <c r="C485">
        <v>2.2099999999999998E-5</v>
      </c>
      <c r="D485">
        <f t="shared" si="7"/>
        <v>1.0950925444148145E-5</v>
      </c>
      <c r="E485">
        <f>Table2[[#This Row],[distance from 45-degree line]]/MAX(Table2[[Abundance in SC (g protein/g all proteins)]:[Abundance in RT (g protein/g all proteins)]])</f>
        <v>3.761436085983783E-4</v>
      </c>
      <c r="F485">
        <f>_xlfn.RANK.AVG(Table2[[#This Row],[Abundance in SC (g protein/g all proteins)]],Table2[Abundance in SC (g protein/g all proteins)])</f>
        <v>539</v>
      </c>
      <c r="G485">
        <f>_xlfn.RANK.AVG(Table2[[#This Row],[Abundance in RT (g protein/g all proteins)]],Table2[Abundance in RT (g protein/g all proteins)])</f>
        <v>483</v>
      </c>
      <c r="H485">
        <f>LOG(Table2[[#This Row],[Abundance in SC (g protein/g all proteins)]])</f>
        <v>-5.1795980152775307</v>
      </c>
      <c r="I485">
        <f>LOG(Table2[[#This Row],[Abundance in RT (g protein/g all proteins)]])</f>
        <v>-4.655607726314889</v>
      </c>
    </row>
    <row r="486" spans="1:9" x14ac:dyDescent="0.2">
      <c r="A486" t="s">
        <v>2692</v>
      </c>
      <c r="B486">
        <v>1.31373031673407E-5</v>
      </c>
      <c r="C486">
        <v>2.8600000000000001E-5</v>
      </c>
      <c r="D486">
        <f t="shared" si="7"/>
        <v>1.0933777785805139E-5</v>
      </c>
      <c r="E486">
        <f>Table2[[#This Row],[distance from 45-degree line]]/MAX(Table2[[Abundance in SC (g protein/g all proteins)]:[Abundance in RT (g protein/g all proteins)]])</f>
        <v>3.7555461891699963E-4</v>
      </c>
      <c r="F486">
        <f>_xlfn.RANK.AVG(Table2[[#This Row],[Abundance in SC (g protein/g all proteins)]],Table2[Abundance in SC (g protein/g all proteins)])</f>
        <v>481</v>
      </c>
      <c r="G486">
        <f>_xlfn.RANK.AVG(Table2[[#This Row],[Abundance in RT (g protein/g all proteins)]],Table2[Abundance in RT (g protein/g all proteins)])</f>
        <v>463.5</v>
      </c>
      <c r="H486">
        <f>LOG(Table2[[#This Row],[Abundance in SC (g protein/g all proteins)]])</f>
        <v>-4.8814937778316878</v>
      </c>
      <c r="I486">
        <f>LOG(Table2[[#This Row],[Abundance in RT (g protein/g all proteins)]])</f>
        <v>-4.5436339668709573</v>
      </c>
    </row>
    <row r="487" spans="1:9" x14ac:dyDescent="0.2">
      <c r="A487" t="s">
        <v>2873</v>
      </c>
      <c r="B487">
        <v>2.51588210545679E-5</v>
      </c>
      <c r="C487">
        <v>9.8700000000000004E-6</v>
      </c>
      <c r="D487">
        <f t="shared" si="7"/>
        <v>1.0810829044032626E-5</v>
      </c>
      <c r="E487">
        <f>Table2[[#This Row],[distance from 45-degree line]]/MAX(Table2[[Abundance in SC (g protein/g all proteins)]:[Abundance in RT (g protein/g all proteins)]])</f>
        <v>3.7133156182115793E-4</v>
      </c>
      <c r="F487">
        <f>_xlfn.RANK.AVG(Table2[[#This Row],[Abundance in SC (g protein/g all proteins)]],Table2[Abundance in SC (g protein/g all proteins)])</f>
        <v>413</v>
      </c>
      <c r="G487">
        <f>_xlfn.RANK.AVG(Table2[[#This Row],[Abundance in RT (g protein/g all proteins)]],Table2[Abundance in RT (g protein/g all proteins)])</f>
        <v>524</v>
      </c>
      <c r="H487">
        <f>LOG(Table2[[#This Row],[Abundance in SC (g protein/g all proteins)]])</f>
        <v>-4.5993097138425023</v>
      </c>
      <c r="I487">
        <f>LOG(Table2[[#This Row],[Abundance in RT (g protein/g all proteins)]])</f>
        <v>-5.0056828473303634</v>
      </c>
    </row>
    <row r="488" spans="1:9" x14ac:dyDescent="0.2">
      <c r="A488" t="s">
        <v>2577</v>
      </c>
      <c r="B488">
        <v>4.22160501384383E-5</v>
      </c>
      <c r="C488">
        <v>2.7100000000000001E-5</v>
      </c>
      <c r="D488">
        <f t="shared" si="7"/>
        <v>1.068866155764557E-5</v>
      </c>
      <c r="E488">
        <f>Table2[[#This Row],[distance from 45-degree line]]/MAX(Table2[[Abundance in SC (g protein/g all proteins)]:[Abundance in RT (g protein/g all proteins)]])</f>
        <v>3.6713533937243547E-4</v>
      </c>
      <c r="F488">
        <f>_xlfn.RANK.AVG(Table2[[#This Row],[Abundance in SC (g protein/g all proteins)]],Table2[Abundance in SC (g protein/g all proteins)])</f>
        <v>370</v>
      </c>
      <c r="G488">
        <f>_xlfn.RANK.AVG(Table2[[#This Row],[Abundance in RT (g protein/g all proteins)]],Table2[Abundance in RT (g protein/g all proteins)])</f>
        <v>466.5</v>
      </c>
      <c r="H488">
        <f>LOG(Table2[[#This Row],[Abundance in SC (g protein/g all proteins)]])</f>
        <v>-4.3745224030351642</v>
      </c>
      <c r="I488">
        <f>LOG(Table2[[#This Row],[Abundance in RT (g protein/g all proteins)]])</f>
        <v>-4.5670307091255946</v>
      </c>
    </row>
    <row r="489" spans="1:9" x14ac:dyDescent="0.2">
      <c r="A489" t="s">
        <v>2444</v>
      </c>
      <c r="B489">
        <v>1.5989384912778299E-5</v>
      </c>
      <c r="C489">
        <v>1.0300000000000001E-6</v>
      </c>
      <c r="D489">
        <f t="shared" si="7"/>
        <v>1.0577882514205264E-5</v>
      </c>
      <c r="E489">
        <f>Table2[[#This Row],[distance from 45-degree line]]/MAX(Table2[[Abundance in SC (g protein/g all proteins)]:[Abundance in RT (g protein/g all proteins)]])</f>
        <v>3.6333028843229051E-4</v>
      </c>
      <c r="F489">
        <f>_xlfn.RANK.AVG(Table2[[#This Row],[Abundance in SC (g protein/g all proteins)]],Table2[Abundance in SC (g protein/g all proteins)])</f>
        <v>460</v>
      </c>
      <c r="G489">
        <f>_xlfn.RANK.AVG(Table2[[#This Row],[Abundance in RT (g protein/g all proteins)]],Table2[Abundance in RT (g protein/g all proteins)])</f>
        <v>577</v>
      </c>
      <c r="H489">
        <f>LOG(Table2[[#This Row],[Abundance in SC (g protein/g all proteins)]])</f>
        <v>-4.7961682425779824</v>
      </c>
      <c r="I489">
        <f>LOG(Table2[[#This Row],[Abundance in RT (g protein/g all proteins)]])</f>
        <v>-5.987162775294828</v>
      </c>
    </row>
    <row r="490" spans="1:9" x14ac:dyDescent="0.2">
      <c r="A490" t="s">
        <v>2409</v>
      </c>
      <c r="B490">
        <v>4.03780322333788E-5</v>
      </c>
      <c r="C490">
        <v>5.4599999999999999E-5</v>
      </c>
      <c r="D490">
        <f t="shared" si="7"/>
        <v>1.0056449849594348E-5</v>
      </c>
      <c r="E490">
        <f>Table2[[#This Row],[distance from 45-degree line]]/MAX(Table2[[Abundance in SC (g protein/g all proteins)]:[Abundance in RT (g protein/g all proteins)]])</f>
        <v>3.4542006110875178E-4</v>
      </c>
      <c r="F490">
        <f>_xlfn.RANK.AVG(Table2[[#This Row],[Abundance in SC (g protein/g all proteins)]],Table2[Abundance in SC (g protein/g all proteins)])</f>
        <v>378</v>
      </c>
      <c r="G490">
        <f>_xlfn.RANK.AVG(Table2[[#This Row],[Abundance in RT (g protein/g all proteins)]],Table2[Abundance in RT (g protein/g all proteins)])</f>
        <v>402</v>
      </c>
      <c r="H490">
        <f>LOG(Table2[[#This Row],[Abundance in SC (g protein/g all proteins)]])</f>
        <v>-4.3938548496075489</v>
      </c>
      <c r="I490">
        <f>LOG(Table2[[#This Row],[Abundance in RT (g protein/g all proteins)]])</f>
        <v>-4.2628073572952632</v>
      </c>
    </row>
    <row r="491" spans="1:9" x14ac:dyDescent="0.2">
      <c r="A491" t="s">
        <v>2507</v>
      </c>
      <c r="B491">
        <v>7.7379872776935093E-5</v>
      </c>
      <c r="C491">
        <v>6.3200000000000005E-5</v>
      </c>
      <c r="D491">
        <f t="shared" si="7"/>
        <v>1.0026684196933322E-5</v>
      </c>
      <c r="E491">
        <f>Table2[[#This Row],[distance from 45-degree line]]/MAX(Table2[[Abundance in SC (g protein/g all proteins)]:[Abundance in RT (g protein/g all proteins)]])</f>
        <v>3.4439766715115369E-4</v>
      </c>
      <c r="F491">
        <f>_xlfn.RANK.AVG(Table2[[#This Row],[Abundance in SC (g protein/g all proteins)]],Table2[Abundance in SC (g protein/g all proteins)])</f>
        <v>301</v>
      </c>
      <c r="G491">
        <f>_xlfn.RANK.AVG(Table2[[#This Row],[Abundance in RT (g protein/g all proteins)]],Table2[Abundance in RT (g protein/g all proteins)])</f>
        <v>387</v>
      </c>
      <c r="H491">
        <f>LOG(Table2[[#This Row],[Abundance in SC (g protein/g all proteins)]])</f>
        <v>-4.1113719886535494</v>
      </c>
      <c r="I491">
        <f>LOG(Table2[[#This Row],[Abundance in RT (g protein/g all proteins)]])</f>
        <v>-4.1992829217176153</v>
      </c>
    </row>
    <row r="492" spans="1:9" x14ac:dyDescent="0.2">
      <c r="A492" t="s">
        <v>2433</v>
      </c>
      <c r="B492">
        <v>7.3897354246517293E-5</v>
      </c>
      <c r="C492">
        <v>6.0399999999999998E-5</v>
      </c>
      <c r="D492">
        <f t="shared" si="7"/>
        <v>9.5440707157894224E-6</v>
      </c>
      <c r="E492">
        <f>Table2[[#This Row],[distance from 45-degree line]]/MAX(Table2[[Abundance in SC (g protein/g all proteins)]:[Abundance in RT (g protein/g all proteins)]])</f>
        <v>3.2782080547114859E-4</v>
      </c>
      <c r="F492">
        <f>_xlfn.RANK.AVG(Table2[[#This Row],[Abundance in SC (g protein/g all proteins)]],Table2[Abundance in SC (g protein/g all proteins)])</f>
        <v>307</v>
      </c>
      <c r="G492">
        <f>_xlfn.RANK.AVG(Table2[[#This Row],[Abundance in RT (g protein/g all proteins)]],Table2[Abundance in RT (g protein/g all proteins)])</f>
        <v>392</v>
      </c>
      <c r="H492">
        <f>LOG(Table2[[#This Row],[Abundance in SC (g protein/g all proteins)]])</f>
        <v>-4.1313711104104147</v>
      </c>
      <c r="I492">
        <f>LOG(Table2[[#This Row],[Abundance in RT (g protein/g all proteins)]])</f>
        <v>-4.2189630613788678</v>
      </c>
    </row>
    <row r="493" spans="1:9" x14ac:dyDescent="0.2">
      <c r="A493" t="s">
        <v>2496</v>
      </c>
      <c r="B493">
        <v>3.8962619439284301E-5</v>
      </c>
      <c r="C493">
        <v>2.5599999999999999E-5</v>
      </c>
      <c r="D493">
        <f t="shared" si="7"/>
        <v>9.4487988199331103E-6</v>
      </c>
      <c r="E493">
        <f>Table2[[#This Row],[distance from 45-degree line]]/MAX(Table2[[Abundance in SC (g protein/g all proteins)]:[Abundance in RT (g protein/g all proteins)]])</f>
        <v>3.2454839576585273E-4</v>
      </c>
      <c r="F493">
        <f>_xlfn.RANK.AVG(Table2[[#This Row],[Abundance in SC (g protein/g all proteins)]],Table2[Abundance in SC (g protein/g all proteins)])</f>
        <v>383</v>
      </c>
      <c r="G493">
        <f>_xlfn.RANK.AVG(Table2[[#This Row],[Abundance in RT (g protein/g all proteins)]],Table2[Abundance in RT (g protein/g all proteins)])</f>
        <v>475</v>
      </c>
      <c r="H493">
        <f>LOG(Table2[[#This Row],[Abundance in SC (g protein/g all proteins)]])</f>
        <v>-4.4093518533903016</v>
      </c>
      <c r="I493">
        <f>LOG(Table2[[#This Row],[Abundance in RT (g protein/g all proteins)]])</f>
        <v>-4.5917600346881509</v>
      </c>
    </row>
    <row r="494" spans="1:9" x14ac:dyDescent="0.2">
      <c r="A494" t="s">
        <v>2784</v>
      </c>
      <c r="B494">
        <v>2.52431143358945E-5</v>
      </c>
      <c r="C494">
        <v>3.82E-5</v>
      </c>
      <c r="D494">
        <f t="shared" si="7"/>
        <v>9.1619017161477617E-6</v>
      </c>
      <c r="E494">
        <f>Table2[[#This Row],[distance from 45-degree line]]/MAX(Table2[[Abundance in SC (g protein/g all proteins)]:[Abundance in RT (g protein/g all proteins)]])</f>
        <v>3.1469402204514486E-4</v>
      </c>
      <c r="F494">
        <f>_xlfn.RANK.AVG(Table2[[#This Row],[Abundance in SC (g protein/g all proteins)]],Table2[Abundance in SC (g protein/g all proteins)])</f>
        <v>411</v>
      </c>
      <c r="G494">
        <f>_xlfn.RANK.AVG(Table2[[#This Row],[Abundance in RT (g protein/g all proteins)]],Table2[Abundance in RT (g protein/g all proteins)])</f>
        <v>435</v>
      </c>
      <c r="H494">
        <f>LOG(Table2[[#This Row],[Abundance in SC (g protein/g all proteins)]])</f>
        <v>-4.5978570656142548</v>
      </c>
      <c r="I494">
        <f>LOG(Table2[[#This Row],[Abundance in RT (g protein/g all proteins)]])</f>
        <v>-4.4179366370882915</v>
      </c>
    </row>
    <row r="495" spans="1:9" x14ac:dyDescent="0.2">
      <c r="A495" t="s">
        <v>2886</v>
      </c>
      <c r="B495">
        <v>7.341632622384E-6</v>
      </c>
      <c r="C495">
        <v>2.02E-5</v>
      </c>
      <c r="D495">
        <f t="shared" si="7"/>
        <v>9.0922387677001579E-6</v>
      </c>
      <c r="E495">
        <f>Table2[[#This Row],[distance from 45-degree line]]/MAX(Table2[[Abundance in SC (g protein/g all proteins)]:[Abundance in RT (g protein/g all proteins)]])</f>
        <v>3.1230123132181047E-4</v>
      </c>
      <c r="F495">
        <f>_xlfn.RANK.AVG(Table2[[#This Row],[Abundance in SC (g protein/g all proteins)]],Table2[Abundance in SC (g protein/g all proteins)])</f>
        <v>532</v>
      </c>
      <c r="G495">
        <f>_xlfn.RANK.AVG(Table2[[#This Row],[Abundance in RT (g protein/g all proteins)]],Table2[Abundance in RT (g protein/g all proteins)])</f>
        <v>489</v>
      </c>
      <c r="H495">
        <f>LOG(Table2[[#This Row],[Abundance in SC (g protein/g all proteins)]])</f>
        <v>-5.1342073515213951</v>
      </c>
      <c r="I495">
        <f>LOG(Table2[[#This Row],[Abundance in RT (g protein/g all proteins)]])</f>
        <v>-4.6946486305533766</v>
      </c>
    </row>
    <row r="496" spans="1:9" x14ac:dyDescent="0.2">
      <c r="A496" t="s">
        <v>2769</v>
      </c>
      <c r="B496">
        <v>1.47242326462249E-5</v>
      </c>
      <c r="C496">
        <v>1.8899999999999999E-6</v>
      </c>
      <c r="D496">
        <f t="shared" si="7"/>
        <v>9.0751729354713939E-6</v>
      </c>
      <c r="E496">
        <f>Table2[[#This Row],[distance from 45-degree line]]/MAX(Table2[[Abundance in SC (g protein/g all proteins)]:[Abundance in RT (g protein/g all proteins)]])</f>
        <v>3.1171505221293049E-4</v>
      </c>
      <c r="F496">
        <f>_xlfn.RANK.AVG(Table2[[#This Row],[Abundance in SC (g protein/g all proteins)]],Table2[Abundance in SC (g protein/g all proteins)])</f>
        <v>465</v>
      </c>
      <c r="G496">
        <f>_xlfn.RANK.AVG(Table2[[#This Row],[Abundance in RT (g protein/g all proteins)]],Table2[Abundance in RT (g protein/g all proteins)])</f>
        <v>573</v>
      </c>
      <c r="H496">
        <f>LOG(Table2[[#This Row],[Abundance in SC (g protein/g all proteins)]])</f>
        <v>-4.8319673292195642</v>
      </c>
      <c r="I496">
        <f>LOG(Table2[[#This Row],[Abundance in RT (g protein/g all proteins)]])</f>
        <v>-5.7235381958267562</v>
      </c>
    </row>
    <row r="497" spans="1:9" x14ac:dyDescent="0.2">
      <c r="A497" t="s">
        <v>2680</v>
      </c>
      <c r="B497">
        <v>1.24488568968512E-5</v>
      </c>
      <c r="C497">
        <v>1.61E-7</v>
      </c>
      <c r="D497">
        <f t="shared" si="7"/>
        <v>8.6888269380133694E-6</v>
      </c>
      <c r="E497">
        <f>Table2[[#This Row],[distance from 45-degree line]]/MAX(Table2[[Abundance in SC (g protein/g all proteins)]:[Abundance in RT (g protein/g all proteins)]])</f>
        <v>2.9844479680003684E-4</v>
      </c>
      <c r="F497">
        <f>_xlfn.RANK.AVG(Table2[[#This Row],[Abundance in SC (g protein/g all proteins)]],Table2[Abundance in SC (g protein/g all proteins)])</f>
        <v>486</v>
      </c>
      <c r="G497">
        <f>_xlfn.RANK.AVG(Table2[[#This Row],[Abundance in RT (g protein/g all proteins)]],Table2[Abundance in RT (g protein/g all proteins)])</f>
        <v>589</v>
      </c>
      <c r="H497">
        <f>LOG(Table2[[#This Row],[Abundance in SC (g protein/g all proteins)]])</f>
        <v>-4.9048705253699936</v>
      </c>
      <c r="I497">
        <f>LOG(Table2[[#This Row],[Abundance in RT (g protein/g all proteins)]])</f>
        <v>-6.79317412396815</v>
      </c>
    </row>
    <row r="498" spans="1:9" x14ac:dyDescent="0.2">
      <c r="A498" t="s">
        <v>2434</v>
      </c>
      <c r="B498">
        <v>2.2450102247660398E-5</v>
      </c>
      <c r="C498">
        <v>1.0200000000000001E-5</v>
      </c>
      <c r="D498">
        <f t="shared" si="7"/>
        <v>8.6621303695492348E-6</v>
      </c>
      <c r="E498">
        <f>Table2[[#This Row],[distance from 45-degree line]]/MAX(Table2[[Abundance in SC (g protein/g all proteins)]:[Abundance in RT (g protein/g all proteins)]])</f>
        <v>2.9752782008875267E-4</v>
      </c>
      <c r="F498">
        <f>_xlfn.RANK.AVG(Table2[[#This Row],[Abundance in SC (g protein/g all proteins)]],Table2[Abundance in SC (g protein/g all proteins)])</f>
        <v>430</v>
      </c>
      <c r="G498">
        <f>_xlfn.RANK.AVG(Table2[[#This Row],[Abundance in RT (g protein/g all proteins)]],Table2[Abundance in RT (g protein/g all proteins)])</f>
        <v>521.5</v>
      </c>
      <c r="H498">
        <f>LOG(Table2[[#This Row],[Abundance in SC (g protein/g all proteins)]])</f>
        <v>-4.64878167668767</v>
      </c>
      <c r="I498">
        <f>LOG(Table2[[#This Row],[Abundance in RT (g protein/g all proteins)]])</f>
        <v>-4.991399828238082</v>
      </c>
    </row>
    <row r="499" spans="1:9" x14ac:dyDescent="0.2">
      <c r="A499" t="s">
        <v>2800</v>
      </c>
      <c r="B499">
        <v>1.77291432968996E-5</v>
      </c>
      <c r="C499">
        <v>5.57E-6</v>
      </c>
      <c r="D499">
        <f t="shared" si="7"/>
        <v>8.597812678656662E-6</v>
      </c>
      <c r="E499">
        <f>Table2[[#This Row],[distance from 45-degree line]]/MAX(Table2[[Abundance in SC (g protein/g all proteins)]:[Abundance in RT (g protein/g all proteins)]])</f>
        <v>2.9531862886811707E-4</v>
      </c>
      <c r="F499">
        <f>_xlfn.RANK.AVG(Table2[[#This Row],[Abundance in SC (g protein/g all proteins)]],Table2[Abundance in SC (g protein/g all proteins)])</f>
        <v>450</v>
      </c>
      <c r="G499">
        <f>_xlfn.RANK.AVG(Table2[[#This Row],[Abundance in RT (g protein/g all proteins)]],Table2[Abundance in RT (g protein/g all proteins)])</f>
        <v>550</v>
      </c>
      <c r="H499">
        <f>LOG(Table2[[#This Row],[Abundance in SC (g protein/g all proteins)]])</f>
        <v>-4.7513122497582652</v>
      </c>
      <c r="I499">
        <f>LOG(Table2[[#This Row],[Abundance in RT (g protein/g all proteins)]])</f>
        <v>-5.2541448048262707</v>
      </c>
    </row>
    <row r="500" spans="1:9" x14ac:dyDescent="0.2">
      <c r="A500" t="s">
        <v>2390</v>
      </c>
      <c r="B500">
        <v>4.5701558273620501E-4</v>
      </c>
      <c r="C500">
        <v>4.4499999999999997E-4</v>
      </c>
      <c r="D500">
        <f t="shared" si="7"/>
        <v>8.4963000326785907E-6</v>
      </c>
      <c r="E500">
        <f>Table2[[#This Row],[distance from 45-degree line]]/MAX(Table2[[Abundance in SC (g protein/g all proteins)]:[Abundance in RT (g protein/g all proteins)]])</f>
        <v>2.9183186118155905E-4</v>
      </c>
      <c r="F500">
        <f>_xlfn.RANK.AVG(Table2[[#This Row],[Abundance in SC (g protein/g all proteins)]],Table2[Abundance in SC (g protein/g all proteins)])</f>
        <v>157</v>
      </c>
      <c r="G500">
        <f>_xlfn.RANK.AVG(Table2[[#This Row],[Abundance in RT (g protein/g all proteins)]],Table2[Abundance in RT (g protein/g all proteins)])</f>
        <v>154.5</v>
      </c>
      <c r="H500">
        <f>LOG(Table2[[#This Row],[Abundance in SC (g protein/g all proteins)]])</f>
        <v>-3.340068991656691</v>
      </c>
      <c r="I500">
        <f>LOG(Table2[[#This Row],[Abundance in RT (g protein/g all proteins)]])</f>
        <v>-3.3516399890190685</v>
      </c>
    </row>
    <row r="501" spans="1:9" x14ac:dyDescent="0.2">
      <c r="A501" t="s">
        <v>2900</v>
      </c>
      <c r="B501">
        <v>2.1768648996704501E-5</v>
      </c>
      <c r="C501">
        <v>3.3599999999999997E-5</v>
      </c>
      <c r="D501">
        <f t="shared" si="7"/>
        <v>8.3660285250285078E-6</v>
      </c>
      <c r="E501">
        <f>Table2[[#This Row],[distance from 45-degree line]]/MAX(Table2[[Abundance in SC (g protein/g all proteins)]:[Abundance in RT (g protein/g all proteins)]])</f>
        <v>2.8735728090658897E-4</v>
      </c>
      <c r="F501">
        <f>_xlfn.RANK.AVG(Table2[[#This Row],[Abundance in SC (g protein/g all proteins)]],Table2[Abundance in SC (g protein/g all proteins)])</f>
        <v>434</v>
      </c>
      <c r="G501">
        <f>_xlfn.RANK.AVG(Table2[[#This Row],[Abundance in RT (g protein/g all proteins)]],Table2[Abundance in RT (g protein/g all proteins)])</f>
        <v>445</v>
      </c>
      <c r="H501">
        <f>LOG(Table2[[#This Row],[Abundance in SC (g protein/g all proteins)]])</f>
        <v>-4.6621685232548531</v>
      </c>
      <c r="I501">
        <f>LOG(Table2[[#This Row],[Abundance in RT (g protein/g all proteins)]])</f>
        <v>-4.4736607226101563</v>
      </c>
    </row>
    <row r="502" spans="1:9" x14ac:dyDescent="0.2">
      <c r="A502" t="s">
        <v>2419</v>
      </c>
      <c r="B502">
        <v>5.5384644071266498E-6</v>
      </c>
      <c r="C502">
        <v>1.7200000000000001E-5</v>
      </c>
      <c r="D502">
        <f t="shared" si="7"/>
        <v>8.2459508967690315E-6</v>
      </c>
      <c r="E502">
        <f>Table2[[#This Row],[distance from 45-degree line]]/MAX(Table2[[Abundance in SC (g protein/g all proteins)]:[Abundance in RT (g protein/g all proteins)]])</f>
        <v>2.8323284113793091E-4</v>
      </c>
      <c r="F502">
        <f>_xlfn.RANK.AVG(Table2[[#This Row],[Abundance in SC (g protein/g all proteins)]],Table2[Abundance in SC (g protein/g all proteins)])</f>
        <v>548</v>
      </c>
      <c r="G502">
        <f>_xlfn.RANK.AVG(Table2[[#This Row],[Abundance in RT (g protein/g all proteins)]],Table2[Abundance in RT (g protein/g all proteins)])</f>
        <v>500</v>
      </c>
      <c r="H502">
        <f>LOG(Table2[[#This Row],[Abundance in SC (g protein/g all proteins)]])</f>
        <v>-5.2566106309313128</v>
      </c>
      <c r="I502">
        <f>LOG(Table2[[#This Row],[Abundance in RT (g protein/g all proteins)]])</f>
        <v>-4.7644715530924513</v>
      </c>
    </row>
    <row r="503" spans="1:9" x14ac:dyDescent="0.2">
      <c r="A503" t="s">
        <v>2545</v>
      </c>
      <c r="B503">
        <v>1.32335950421885E-5</v>
      </c>
      <c r="C503">
        <v>1.79E-6</v>
      </c>
      <c r="D503">
        <f t="shared" si="7"/>
        <v>8.0918436554842426E-6</v>
      </c>
      <c r="E503">
        <f>Table2[[#This Row],[distance from 45-degree line]]/MAX(Table2[[Abundance in SC (g protein/g all proteins)]:[Abundance in RT (g protein/g all proteins)]])</f>
        <v>2.7793954842548926E-4</v>
      </c>
      <c r="F503">
        <f>_xlfn.RANK.AVG(Table2[[#This Row],[Abundance in SC (g protein/g all proteins)]],Table2[Abundance in SC (g protein/g all proteins)])</f>
        <v>479</v>
      </c>
      <c r="G503">
        <f>_xlfn.RANK.AVG(Table2[[#This Row],[Abundance in RT (g protein/g all proteins)]],Table2[Abundance in RT (g protein/g all proteins)])</f>
        <v>574</v>
      </c>
      <c r="H503">
        <f>LOG(Table2[[#This Row],[Abundance in SC (g protein/g all proteins)]])</f>
        <v>-4.8783221592219537</v>
      </c>
      <c r="I503">
        <f>LOG(Table2[[#This Row],[Abundance in RT (g protein/g all proteins)]])</f>
        <v>-5.7471469690201067</v>
      </c>
    </row>
    <row r="504" spans="1:9" x14ac:dyDescent="0.2">
      <c r="A504" t="s">
        <v>2587</v>
      </c>
      <c r="B504">
        <v>3.5520935843476002E-6</v>
      </c>
      <c r="C504">
        <v>1.43E-5</v>
      </c>
      <c r="D504">
        <f t="shared" si="7"/>
        <v>7.5999175100662118E-6</v>
      </c>
      <c r="E504">
        <f>Table2[[#This Row],[distance from 45-degree line]]/MAX(Table2[[Abundance in SC (g protein/g all proteins)]:[Abundance in RT (g protein/g all proteins)]])</f>
        <v>2.6104281431428171E-4</v>
      </c>
      <c r="F504">
        <f>_xlfn.RANK.AVG(Table2[[#This Row],[Abundance in SC (g protein/g all proteins)]],Table2[Abundance in SC (g protein/g all proteins)])</f>
        <v>562</v>
      </c>
      <c r="G504">
        <f>_xlfn.RANK.AVG(Table2[[#This Row],[Abundance in RT (g protein/g all proteins)]],Table2[Abundance in RT (g protein/g all proteins)])</f>
        <v>508</v>
      </c>
      <c r="H504">
        <f>LOG(Table2[[#This Row],[Abundance in SC (g protein/g all proteins)]])</f>
        <v>-5.449515600711468</v>
      </c>
      <c r="I504">
        <f>LOG(Table2[[#This Row],[Abundance in RT (g protein/g all proteins)]])</f>
        <v>-4.8446639625349386</v>
      </c>
    </row>
    <row r="505" spans="1:9" x14ac:dyDescent="0.2">
      <c r="A505" t="s">
        <v>2487</v>
      </c>
      <c r="B505">
        <v>2.0470147999707899E-5</v>
      </c>
      <c r="C505">
        <v>3.1000000000000001E-5</v>
      </c>
      <c r="D505">
        <f t="shared" si="7"/>
        <v>7.4457297542972762E-6</v>
      </c>
      <c r="E505">
        <f>Table2[[#This Row],[distance from 45-degree line]]/MAX(Table2[[Abundance in SC (g protein/g all proteins)]:[Abundance in RT (g protein/g all proteins)]])</f>
        <v>2.5574675608135811E-4</v>
      </c>
      <c r="F505">
        <f>_xlfn.RANK.AVG(Table2[[#This Row],[Abundance in SC (g protein/g all proteins)]],Table2[Abundance in SC (g protein/g all proteins)])</f>
        <v>443</v>
      </c>
      <c r="G505">
        <f>_xlfn.RANK.AVG(Table2[[#This Row],[Abundance in RT (g protein/g all proteins)]],Table2[Abundance in RT (g protein/g all proteins)])</f>
        <v>455</v>
      </c>
      <c r="H505">
        <f>LOG(Table2[[#This Row],[Abundance in SC (g protein/g all proteins)]])</f>
        <v>-4.6888790173656281</v>
      </c>
      <c r="I505">
        <f>LOG(Table2[[#This Row],[Abundance in RT (g protein/g all proteins)]])</f>
        <v>-4.5086383061657269</v>
      </c>
    </row>
    <row r="506" spans="1:9" x14ac:dyDescent="0.2">
      <c r="A506" t="s">
        <v>2867</v>
      </c>
      <c r="B506">
        <v>1.0534645927786501E-5</v>
      </c>
      <c r="C506">
        <v>4.1999999999999999E-8</v>
      </c>
      <c r="D506">
        <f t="shared" si="7"/>
        <v>7.4194210881272471E-6</v>
      </c>
      <c r="E506">
        <f>Table2[[#This Row],[distance from 45-degree line]]/MAX(Table2[[Abundance in SC (g protein/g all proteins)]:[Abundance in RT (g protein/g all proteins)]])</f>
        <v>2.5484310308133767E-4</v>
      </c>
      <c r="F506">
        <f>_xlfn.RANK.AVG(Table2[[#This Row],[Abundance in SC (g protein/g all proteins)]],Table2[Abundance in SC (g protein/g all proteins)])</f>
        <v>503</v>
      </c>
      <c r="G506">
        <f>_xlfn.RANK.AVG(Table2[[#This Row],[Abundance in RT (g protein/g all proteins)]],Table2[Abundance in RT (g protein/g all proteins)])</f>
        <v>592</v>
      </c>
      <c r="H506">
        <f>LOG(Table2[[#This Row],[Abundance in SC (g protein/g all proteins)]])</f>
        <v>-4.9773800565620645</v>
      </c>
      <c r="I506">
        <f>LOG(Table2[[#This Row],[Abundance in RT (g protein/g all proteins)]])</f>
        <v>-7.3767507096020992</v>
      </c>
    </row>
    <row r="507" spans="1:9" x14ac:dyDescent="0.2">
      <c r="A507" t="s">
        <v>2389</v>
      </c>
      <c r="B507">
        <v>7.6735013115051596E-5</v>
      </c>
      <c r="C507">
        <v>6.69E-5</v>
      </c>
      <c r="D507">
        <f t="shared" si="7"/>
        <v>6.9544044667116142E-6</v>
      </c>
      <c r="E507">
        <f>Table2[[#This Row],[distance from 45-degree line]]/MAX(Table2[[Abundance in SC (g protein/g all proteins)]:[Abundance in RT (g protein/g all proteins)]])</f>
        <v>2.3887066030199518E-4</v>
      </c>
      <c r="F507">
        <f>_xlfn.RANK.AVG(Table2[[#This Row],[Abundance in SC (g protein/g all proteins)]],Table2[Abundance in SC (g protein/g all proteins)])</f>
        <v>302</v>
      </c>
      <c r="G507">
        <f>_xlfn.RANK.AVG(Table2[[#This Row],[Abundance in RT (g protein/g all proteins)]],Table2[Abundance in RT (g protein/g all proteins)])</f>
        <v>378</v>
      </c>
      <c r="H507">
        <f>LOG(Table2[[#This Row],[Abundance in SC (g protein/g all proteins)]])</f>
        <v>-4.1150064283197274</v>
      </c>
      <c r="I507">
        <f>LOG(Table2[[#This Row],[Abundance in RT (g protein/g all proteins)]])</f>
        <v>-4.1745738822321767</v>
      </c>
    </row>
    <row r="508" spans="1:9" x14ac:dyDescent="0.2">
      <c r="A508" t="s">
        <v>2355</v>
      </c>
      <c r="B508">
        <v>1.11284515152592E-4</v>
      </c>
      <c r="C508">
        <v>1.21E-4</v>
      </c>
      <c r="D508">
        <f t="shared" si="7"/>
        <v>6.8698852181173475E-6</v>
      </c>
      <c r="E508">
        <f>Table2[[#This Row],[distance from 45-degree line]]/MAX(Table2[[Abundance in SC (g protein/g all proteins)]:[Abundance in RT (g protein/g all proteins)]])</f>
        <v>2.3596758372418329E-4</v>
      </c>
      <c r="F508">
        <f>_xlfn.RANK.AVG(Table2[[#This Row],[Abundance in SC (g protein/g all proteins)]],Table2[Abundance in SC (g protein/g all proteins)])</f>
        <v>273</v>
      </c>
      <c r="G508">
        <f>_xlfn.RANK.AVG(Table2[[#This Row],[Abundance in RT (g protein/g all proteins)]],Table2[Abundance in RT (g protein/g all proteins)])</f>
        <v>298.5</v>
      </c>
      <c r="H508">
        <f>LOG(Table2[[#This Row],[Abundance in SC (g protein/g all proteins)]])</f>
        <v>-3.9535652620052701</v>
      </c>
      <c r="I508">
        <f>LOG(Table2[[#This Row],[Abundance in RT (g protein/g all proteins)]])</f>
        <v>-3.9172146296835497</v>
      </c>
    </row>
    <row r="509" spans="1:9" x14ac:dyDescent="0.2">
      <c r="A509" t="s">
        <v>2682</v>
      </c>
      <c r="B509">
        <v>1.20179535790131E-5</v>
      </c>
      <c r="C509">
        <v>2.1699999999999999E-5</v>
      </c>
      <c r="D509">
        <f t="shared" si="7"/>
        <v>6.8462406800427777E-6</v>
      </c>
      <c r="E509">
        <f>Table2[[#This Row],[distance from 45-degree line]]/MAX(Table2[[Abundance in SC (g protein/g all proteins)]:[Abundance in RT (g protein/g all proteins)]])</f>
        <v>2.3515543849313679E-4</v>
      </c>
      <c r="F509">
        <f>_xlfn.RANK.AVG(Table2[[#This Row],[Abundance in SC (g protein/g all proteins)]],Table2[Abundance in SC (g protein/g all proteins)])</f>
        <v>491</v>
      </c>
      <c r="G509">
        <f>_xlfn.RANK.AVG(Table2[[#This Row],[Abundance in RT (g protein/g all proteins)]],Table2[Abundance in RT (g protein/g all proteins)])</f>
        <v>484</v>
      </c>
      <c r="H509">
        <f>LOG(Table2[[#This Row],[Abundance in SC (g protein/g all proteins)]])</f>
        <v>-4.9201694778412852</v>
      </c>
      <c r="I509">
        <f>LOG(Table2[[#This Row],[Abundance in RT (g protein/g all proteins)]])</f>
        <v>-4.6635402661514709</v>
      </c>
    </row>
    <row r="510" spans="1:9" x14ac:dyDescent="0.2">
      <c r="A510" t="s">
        <v>2602</v>
      </c>
      <c r="B510">
        <v>9.6840937322151598E-6</v>
      </c>
      <c r="C510">
        <v>1.54E-7</v>
      </c>
      <c r="D510">
        <f t="shared" si="7"/>
        <v>6.7387939033927524E-6</v>
      </c>
      <c r="E510">
        <f>Table2[[#This Row],[distance from 45-degree line]]/MAX(Table2[[Abundance in SC (g protein/g all proteins)]:[Abundance in RT (g protein/g all proteins)]])</f>
        <v>2.314648446243783E-4</v>
      </c>
      <c r="F510">
        <f>_xlfn.RANK.AVG(Table2[[#This Row],[Abundance in SC (g protein/g all proteins)]],Table2[Abundance in SC (g protein/g all proteins)])</f>
        <v>510</v>
      </c>
      <c r="G510">
        <f>_xlfn.RANK.AVG(Table2[[#This Row],[Abundance in RT (g protein/g all proteins)]],Table2[Abundance in RT (g protein/g all proteins)])</f>
        <v>590</v>
      </c>
      <c r="H510">
        <f>LOG(Table2[[#This Row],[Abundance in SC (g protein/g all proteins)]])</f>
        <v>-5.0139410156794151</v>
      </c>
      <c r="I510">
        <f>LOG(Table2[[#This Row],[Abundance in RT (g protein/g all proteins)]])</f>
        <v>-6.8124792791635373</v>
      </c>
    </row>
    <row r="511" spans="1:9" x14ac:dyDescent="0.2">
      <c r="A511" t="s">
        <v>2758</v>
      </c>
      <c r="B511">
        <v>4.6786130706713203E-5</v>
      </c>
      <c r="C511">
        <v>5.5800000000000001E-5</v>
      </c>
      <c r="D511">
        <f t="shared" si="7"/>
        <v>6.3737681020122875E-6</v>
      </c>
      <c r="E511">
        <f>Table2[[#This Row],[distance from 45-degree line]]/MAX(Table2[[Abundance in SC (g protein/g all proteins)]:[Abundance in RT (g protein/g all proteins)]])</f>
        <v>2.1892689768436574E-4</v>
      </c>
      <c r="F511">
        <f>_xlfn.RANK.AVG(Table2[[#This Row],[Abundance in SC (g protein/g all proteins)]],Table2[Abundance in SC (g protein/g all proteins)])</f>
        <v>353</v>
      </c>
      <c r="G511">
        <f>_xlfn.RANK.AVG(Table2[[#This Row],[Abundance in RT (g protein/g all proteins)]],Table2[Abundance in RT (g protein/g all proteins)])</f>
        <v>400</v>
      </c>
      <c r="H511">
        <f>LOG(Table2[[#This Row],[Abundance in SC (g protein/g all proteins)]])</f>
        <v>-4.3298828702215388</v>
      </c>
      <c r="I511">
        <f>LOG(Table2[[#This Row],[Abundance in RT (g protein/g all proteins)]])</f>
        <v>-4.2533658010624213</v>
      </c>
    </row>
    <row r="512" spans="1:9" x14ac:dyDescent="0.2">
      <c r="A512" t="s">
        <v>2316</v>
      </c>
      <c r="B512">
        <v>1.0625409705141299E-5</v>
      </c>
      <c r="C512">
        <v>1.72E-6</v>
      </c>
      <c r="D512">
        <f t="shared" si="7"/>
        <v>6.2970755917499048E-6</v>
      </c>
      <c r="E512">
        <f>Table2[[#This Row],[distance from 45-degree line]]/MAX(Table2[[Abundance in SC (g protein/g all proteins)]:[Abundance in RT (g protein/g all proteins)]])</f>
        <v>2.1629265478775503E-4</v>
      </c>
      <c r="F512">
        <f>_xlfn.RANK.AVG(Table2[[#This Row],[Abundance in SC (g protein/g all proteins)]],Table2[Abundance in SC (g protein/g all proteins)])</f>
        <v>498</v>
      </c>
      <c r="G512">
        <f>_xlfn.RANK.AVG(Table2[[#This Row],[Abundance in RT (g protein/g all proteins)]],Table2[Abundance in RT (g protein/g all proteins)])</f>
        <v>575</v>
      </c>
      <c r="H512">
        <f>LOG(Table2[[#This Row],[Abundance in SC (g protein/g all proteins)]])</f>
        <v>-4.9736543149951498</v>
      </c>
      <c r="I512">
        <f>LOG(Table2[[#This Row],[Abundance in RT (g protein/g all proteins)]])</f>
        <v>-5.7644715530924513</v>
      </c>
    </row>
    <row r="513" spans="1:9" x14ac:dyDescent="0.2">
      <c r="A513" t="s">
        <v>2823</v>
      </c>
      <c r="B513">
        <v>1.46208807440472E-5</v>
      </c>
      <c r="C513">
        <v>5.7599999999999999E-6</v>
      </c>
      <c r="D513">
        <f t="shared" si="7"/>
        <v>6.2655888614010751E-6</v>
      </c>
      <c r="E513">
        <f>Table2[[#This Row],[distance from 45-degree line]]/MAX(Table2[[Abundance in SC (g protein/g all proteins)]:[Abundance in RT (g protein/g all proteins)]])</f>
        <v>2.1521114506177093E-4</v>
      </c>
      <c r="F513">
        <f>_xlfn.RANK.AVG(Table2[[#This Row],[Abundance in SC (g protein/g all proteins)]],Table2[Abundance in SC (g protein/g all proteins)])</f>
        <v>468</v>
      </c>
      <c r="G513">
        <f>_xlfn.RANK.AVG(Table2[[#This Row],[Abundance in RT (g protein/g all proteins)]],Table2[Abundance in RT (g protein/g all proteins)])</f>
        <v>549</v>
      </c>
      <c r="H513">
        <f>LOG(Table2[[#This Row],[Abundance in SC (g protein/g all proteins)]])</f>
        <v>-4.8350264652195607</v>
      </c>
      <c r="I513">
        <f>LOG(Table2[[#This Row],[Abundance in RT (g protein/g all proteins)]])</f>
        <v>-5.2395775165767882</v>
      </c>
    </row>
    <row r="514" spans="1:9" x14ac:dyDescent="0.2">
      <c r="A514" t="s">
        <v>2780</v>
      </c>
      <c r="B514">
        <v>1.55602222325853E-5</v>
      </c>
      <c r="C514">
        <v>6.7100000000000001E-6</v>
      </c>
      <c r="D514">
        <f t="shared" ref="D514:D577" si="8">ABS(B514-C514)/SQRT(2)</f>
        <v>6.2580521556690116E-6</v>
      </c>
      <c r="E514">
        <f>Table2[[#This Row],[distance from 45-degree line]]/MAX(Table2[[Abundance in SC (g protein/g all proteins)]:[Abundance in RT (g protein/g all proteins)]])</f>
        <v>2.14952273452658E-4</v>
      </c>
      <c r="F514">
        <f>_xlfn.RANK.AVG(Table2[[#This Row],[Abundance in SC (g protein/g all proteins)]],Table2[Abundance in SC (g protein/g all proteins)])</f>
        <v>462</v>
      </c>
      <c r="G514">
        <f>_xlfn.RANK.AVG(Table2[[#This Row],[Abundance in RT (g protein/g all proteins)]],Table2[Abundance in RT (g protein/g all proteins)])</f>
        <v>543</v>
      </c>
      <c r="H514">
        <f>LOG(Table2[[#This Row],[Abundance in SC (g protein/g all proteins)]])</f>
        <v>-4.8079842046666208</v>
      </c>
      <c r="I514">
        <f>LOG(Table2[[#This Row],[Abundance in RT (g protein/g all proteins)]])</f>
        <v>-5.1732774798310075</v>
      </c>
    </row>
    <row r="515" spans="1:9" x14ac:dyDescent="0.2">
      <c r="A515" t="s">
        <v>2720</v>
      </c>
      <c r="B515">
        <v>1.42554206521532E-3</v>
      </c>
      <c r="C515">
        <v>1.4170000000000001E-3</v>
      </c>
      <c r="D515">
        <f t="shared" si="8"/>
        <v>6.0401522390904702E-6</v>
      </c>
      <c r="E515">
        <f>Table2[[#This Row],[distance from 45-degree line]]/MAX(Table2[[Abundance in SC (g protein/g all proteins)]:[Abundance in RT (g protein/g all proteins)]])</f>
        <v>2.074678228139281E-4</v>
      </c>
      <c r="F515">
        <f>_xlfn.RANK.AVG(Table2[[#This Row],[Abundance in SC (g protein/g all proteins)]],Table2[Abundance in SC (g protein/g all proteins)])</f>
        <v>59</v>
      </c>
      <c r="G515">
        <f>_xlfn.RANK.AVG(Table2[[#This Row],[Abundance in RT (g protein/g all proteins)]],Table2[Abundance in RT (g protein/g all proteins)])</f>
        <v>58.5</v>
      </c>
      <c r="H515">
        <f>LOG(Table2[[#This Row],[Abundance in SC (g protein/g all proteins)]])</f>
        <v>-2.8460199629063609</v>
      </c>
      <c r="I515">
        <f>LOG(Table2[[#This Row],[Abundance in RT (g protein/g all proteins)]])</f>
        <v>-2.8486301497525397</v>
      </c>
    </row>
    <row r="516" spans="1:9" x14ac:dyDescent="0.2">
      <c r="A516" t="s">
        <v>2673</v>
      </c>
      <c r="B516">
        <v>6.3534940174167596E-5</v>
      </c>
      <c r="C516">
        <v>7.2000000000000002E-5</v>
      </c>
      <c r="D516">
        <f t="shared" si="8"/>
        <v>5.9857012059959093E-6</v>
      </c>
      <c r="E516">
        <f>Table2[[#This Row],[distance from 45-degree line]]/MAX(Table2[[Abundance in SC (g protein/g all proteins)]:[Abundance in RT (g protein/g all proteins)]])</f>
        <v>2.0559753265584447E-4</v>
      </c>
      <c r="F516">
        <f>_xlfn.RANK.AVG(Table2[[#This Row],[Abundance in SC (g protein/g all proteins)]],Table2[Abundance in SC (g protein/g all proteins)])</f>
        <v>325</v>
      </c>
      <c r="G516">
        <f>_xlfn.RANK.AVG(Table2[[#This Row],[Abundance in RT (g protein/g all proteins)]],Table2[Abundance in RT (g protein/g all proteins)])</f>
        <v>367</v>
      </c>
      <c r="H516">
        <f>LOG(Table2[[#This Row],[Abundance in SC (g protein/g all proteins)]])</f>
        <v>-4.1969873746825739</v>
      </c>
      <c r="I516">
        <f>LOG(Table2[[#This Row],[Abundance in RT (g protein/g all proteins)]])</f>
        <v>-4.1426675035687319</v>
      </c>
    </row>
    <row r="517" spans="1:9" x14ac:dyDescent="0.2">
      <c r="A517" t="s">
        <v>2450</v>
      </c>
      <c r="B517">
        <v>6.7817309484171802E-5</v>
      </c>
      <c r="C517">
        <v>5.9799999999999997E-5</v>
      </c>
      <c r="D517">
        <f t="shared" si="8"/>
        <v>5.669093903129104E-6</v>
      </c>
      <c r="E517">
        <f>Table2[[#This Row],[distance from 45-degree line]]/MAX(Table2[[Abundance in SC (g protein/g all proteins)]:[Abundance in RT (g protein/g all proteins)]])</f>
        <v>1.9472266970327473E-4</v>
      </c>
      <c r="F517">
        <f>_xlfn.RANK.AVG(Table2[[#This Row],[Abundance in SC (g protein/g all proteins)]],Table2[Abundance in SC (g protein/g all proteins)])</f>
        <v>318</v>
      </c>
      <c r="G517">
        <f>_xlfn.RANK.AVG(Table2[[#This Row],[Abundance in RT (g protein/g all proteins)]],Table2[Abundance in RT (g protein/g all proteins)])</f>
        <v>393</v>
      </c>
      <c r="H517">
        <f>LOG(Table2[[#This Row],[Abundance in SC (g protein/g all proteins)]])</f>
        <v>-4.1686594439792808</v>
      </c>
      <c r="I517">
        <f>LOG(Table2[[#This Row],[Abundance in RT (g protein/g all proteins)]])</f>
        <v>-4.2232988160115887</v>
      </c>
    </row>
    <row r="518" spans="1:9" x14ac:dyDescent="0.2">
      <c r="A518" t="s">
        <v>2442</v>
      </c>
      <c r="B518">
        <v>1.1546481121353301E-5</v>
      </c>
      <c r="C518">
        <v>3.5499999999999999E-6</v>
      </c>
      <c r="D518">
        <f t="shared" si="8"/>
        <v>5.6543660265391261E-6</v>
      </c>
      <c r="E518">
        <f>Table2[[#This Row],[distance from 45-degree line]]/MAX(Table2[[Abundance in SC (g protein/g all proteins)]:[Abundance in RT (g protein/g all proteins)]])</f>
        <v>1.9421679495544634E-4</v>
      </c>
      <c r="F518">
        <f>_xlfn.RANK.AVG(Table2[[#This Row],[Abundance in SC (g protein/g all proteins)]],Table2[Abundance in SC (g protein/g all proteins)])</f>
        <v>493</v>
      </c>
      <c r="G518">
        <f>_xlfn.RANK.AVG(Table2[[#This Row],[Abundance in RT (g protein/g all proteins)]],Table2[Abundance in RT (g protein/g all proteins)])</f>
        <v>558</v>
      </c>
      <c r="H518">
        <f>LOG(Table2[[#This Row],[Abundance in SC (g protein/g all proteins)]])</f>
        <v>-4.9375503501809224</v>
      </c>
      <c r="I518">
        <f>LOG(Table2[[#This Row],[Abundance in RT (g protein/g all proteins)]])</f>
        <v>-5.4497716469449058</v>
      </c>
    </row>
    <row r="519" spans="1:9" x14ac:dyDescent="0.2">
      <c r="A519" t="s">
        <v>2342</v>
      </c>
      <c r="B519">
        <v>1.6861766275491502E-5</v>
      </c>
      <c r="C519">
        <v>9.0399999999999998E-6</v>
      </c>
      <c r="D519">
        <f t="shared" si="8"/>
        <v>5.5308239742562855E-6</v>
      </c>
      <c r="E519">
        <f>Table2[[#This Row],[distance from 45-degree line]]/MAX(Table2[[Abundance in SC (g protein/g all proteins)]:[Abundance in RT (g protein/g all proteins)]])</f>
        <v>1.8997335876401935E-4</v>
      </c>
      <c r="F519">
        <f>_xlfn.RANK.AVG(Table2[[#This Row],[Abundance in SC (g protein/g all proteins)]],Table2[Abundance in SC (g protein/g all proteins)])</f>
        <v>456</v>
      </c>
      <c r="G519">
        <f>_xlfn.RANK.AVG(Table2[[#This Row],[Abundance in RT (g protein/g all proteins)]],Table2[Abundance in RT (g protein/g all proteins)])</f>
        <v>526</v>
      </c>
      <c r="H519">
        <f>LOG(Table2[[#This Row],[Abundance in SC (g protein/g all proteins)]])</f>
        <v>-4.7730969348404617</v>
      </c>
      <c r="I519">
        <f>LOG(Table2[[#This Row],[Abundance in RT (g protein/g all proteins)]])</f>
        <v>-5.0438315695246363</v>
      </c>
    </row>
    <row r="520" spans="1:9" x14ac:dyDescent="0.2">
      <c r="A520" t="s">
        <v>2785</v>
      </c>
      <c r="B520">
        <v>2.2605265942117901E-5</v>
      </c>
      <c r="C520">
        <v>1.4800000000000001E-5</v>
      </c>
      <c r="D520">
        <f t="shared" si="8"/>
        <v>5.5191564766359732E-6</v>
      </c>
      <c r="E520">
        <f>Table2[[#This Row],[distance from 45-degree line]]/MAX(Table2[[Abundance in SC (g protein/g all proteins)]:[Abundance in RT (g protein/g all proteins)]])</f>
        <v>1.8957260225438915E-4</v>
      </c>
      <c r="F520">
        <f>_xlfn.RANK.AVG(Table2[[#This Row],[Abundance in SC (g protein/g all proteins)]],Table2[Abundance in SC (g protein/g all proteins)])</f>
        <v>429</v>
      </c>
      <c r="G520">
        <f>_xlfn.RANK.AVG(Table2[[#This Row],[Abundance in RT (g protein/g all proteins)]],Table2[Abundance in RT (g protein/g all proteins)])</f>
        <v>507</v>
      </c>
      <c r="H520">
        <f>LOG(Table2[[#This Row],[Abundance in SC (g protein/g all proteins)]])</f>
        <v>-4.6457903792948088</v>
      </c>
      <c r="I520">
        <f>LOG(Table2[[#This Row],[Abundance in RT (g protein/g all proteins)]])</f>
        <v>-4.8297382846050425</v>
      </c>
    </row>
    <row r="521" spans="1:9" x14ac:dyDescent="0.2">
      <c r="A521" t="s">
        <v>2842</v>
      </c>
      <c r="B521">
        <v>9.03467727238459E-6</v>
      </c>
      <c r="C521">
        <v>1.6699999999999999E-5</v>
      </c>
      <c r="D521">
        <f t="shared" si="8"/>
        <v>5.4202016806802187E-6</v>
      </c>
      <c r="E521">
        <f>Table2[[#This Row],[distance from 45-degree line]]/MAX(Table2[[Abundance in SC (g protein/g all proteins)]:[Abundance in RT (g protein/g all proteins)]])</f>
        <v>1.8617369188569482E-4</v>
      </c>
      <c r="F521">
        <f>_xlfn.RANK.AVG(Table2[[#This Row],[Abundance in SC (g protein/g all proteins)]],Table2[Abundance in SC (g protein/g all proteins)])</f>
        <v>515</v>
      </c>
      <c r="G521">
        <f>_xlfn.RANK.AVG(Table2[[#This Row],[Abundance in RT (g protein/g all proteins)]],Table2[Abundance in RT (g protein/g all proteins)])</f>
        <v>502</v>
      </c>
      <c r="H521">
        <f>LOG(Table2[[#This Row],[Abundance in SC (g protein/g all proteins)]])</f>
        <v>-5.0440873562547708</v>
      </c>
      <c r="I521">
        <f>LOG(Table2[[#This Row],[Abundance in RT (g protein/g all proteins)]])</f>
        <v>-4.7772835288524167</v>
      </c>
    </row>
    <row r="522" spans="1:9" x14ac:dyDescent="0.2">
      <c r="A522" t="s">
        <v>2472</v>
      </c>
      <c r="B522">
        <v>6.1350355493241398E-4</v>
      </c>
      <c r="C522">
        <v>6.0599999999999998E-4</v>
      </c>
      <c r="D522">
        <f t="shared" si="8"/>
        <v>5.305814575715704E-6</v>
      </c>
      <c r="E522">
        <f>Table2[[#This Row],[distance from 45-degree line]]/MAX(Table2[[Abundance in SC (g protein/g all proteins)]:[Abundance in RT (g protein/g all proteins)]])</f>
        <v>1.8224471084588088E-4</v>
      </c>
      <c r="F522">
        <f>_xlfn.RANK.AVG(Table2[[#This Row],[Abundance in SC (g protein/g all proteins)]],Table2[Abundance in SC (g protein/g all proteins)])</f>
        <v>131</v>
      </c>
      <c r="G522">
        <f>_xlfn.RANK.AVG(Table2[[#This Row],[Abundance in RT (g protein/g all proteins)]],Table2[Abundance in RT (g protein/g all proteins)])</f>
        <v>127</v>
      </c>
      <c r="H522">
        <f>LOG(Table2[[#This Row],[Abundance in SC (g protein/g all proteins)]])</f>
        <v>-3.2121829164201752</v>
      </c>
      <c r="I522">
        <f>LOG(Table2[[#This Row],[Abundance in RT (g protein/g all proteins)]])</f>
        <v>-3.217527375833714</v>
      </c>
    </row>
    <row r="523" spans="1:9" x14ac:dyDescent="0.2">
      <c r="A523" t="s">
        <v>2711</v>
      </c>
      <c r="B523">
        <v>4.9966164004106501E-5</v>
      </c>
      <c r="C523">
        <v>4.2500000000000003E-5</v>
      </c>
      <c r="D523">
        <f t="shared" si="8"/>
        <v>5.2793751967546107E-6</v>
      </c>
      <c r="E523">
        <f>Table2[[#This Row],[distance from 45-degree line]]/MAX(Table2[[Abundance in SC (g protein/g all proteins)]:[Abundance in RT (g protein/g all proteins)]])</f>
        <v>1.8133656810833353E-4</v>
      </c>
      <c r="F523">
        <f>_xlfn.RANK.AVG(Table2[[#This Row],[Abundance in SC (g protein/g all proteins)]],Table2[Abundance in SC (g protein/g all proteins)])</f>
        <v>345</v>
      </c>
      <c r="G523">
        <f>_xlfn.RANK.AVG(Table2[[#This Row],[Abundance in RT (g protein/g all proteins)]],Table2[Abundance in RT (g protein/g all proteins)])</f>
        <v>421.5</v>
      </c>
      <c r="H523">
        <f>LOG(Table2[[#This Row],[Abundance in SC (g protein/g all proteins)]])</f>
        <v>-4.3013239908775383</v>
      </c>
      <c r="I523">
        <f>LOG(Table2[[#This Row],[Abundance in RT (g protein/g all proteins)]])</f>
        <v>-4.3716110699496884</v>
      </c>
    </row>
    <row r="524" spans="1:9" x14ac:dyDescent="0.2">
      <c r="A524" t="s">
        <v>2812</v>
      </c>
      <c r="B524">
        <v>1.34038721303621E-5</v>
      </c>
      <c r="C524">
        <v>6.2099999999999998E-6</v>
      </c>
      <c r="D524">
        <f t="shared" si="8"/>
        <v>5.0868357663679559E-6</v>
      </c>
      <c r="E524">
        <f>Table2[[#This Row],[distance from 45-degree line]]/MAX(Table2[[Abundance in SC (g protein/g all proteins)]:[Abundance in RT (g protein/g all proteins)]])</f>
        <v>1.7472320227797687E-4</v>
      </c>
      <c r="F524">
        <f>_xlfn.RANK.AVG(Table2[[#This Row],[Abundance in SC (g protein/g all proteins)]],Table2[Abundance in SC (g protein/g all proteins)])</f>
        <v>477</v>
      </c>
      <c r="G524">
        <f>_xlfn.RANK.AVG(Table2[[#This Row],[Abundance in RT (g protein/g all proteins)]],Table2[Abundance in RT (g protein/g all proteins)])</f>
        <v>548</v>
      </c>
      <c r="H524">
        <f>LOG(Table2[[#This Row],[Abundance in SC (g protein/g all proteins)]])</f>
        <v>-4.872769723879367</v>
      </c>
      <c r="I524">
        <f>LOG(Table2[[#This Row],[Abundance in RT (g protein/g all proteins)]])</f>
        <v>-5.20690839982342</v>
      </c>
    </row>
    <row r="525" spans="1:9" x14ac:dyDescent="0.2">
      <c r="A525" t="s">
        <v>2861</v>
      </c>
      <c r="B525">
        <v>1.0413284665110901E-5</v>
      </c>
      <c r="C525">
        <v>3.3100000000000001E-6</v>
      </c>
      <c r="D525">
        <f t="shared" si="8"/>
        <v>5.0227807553983318E-6</v>
      </c>
      <c r="E525">
        <f>Table2[[#This Row],[distance from 45-degree line]]/MAX(Table2[[Abundance in SC (g protein/g all proteins)]:[Abundance in RT (g protein/g all proteins)]])</f>
        <v>1.7252303361663346E-4</v>
      </c>
      <c r="F525">
        <f>_xlfn.RANK.AVG(Table2[[#This Row],[Abundance in SC (g protein/g all proteins)]],Table2[Abundance in SC (g protein/g all proteins)])</f>
        <v>504</v>
      </c>
      <c r="G525">
        <f>_xlfn.RANK.AVG(Table2[[#This Row],[Abundance in RT (g protein/g all proteins)]],Table2[Abundance in RT (g protein/g all proteins)])</f>
        <v>561</v>
      </c>
      <c r="H525">
        <f>LOG(Table2[[#This Row],[Abundance in SC (g protein/g all proteins)]])</f>
        <v>-4.9824122592573419</v>
      </c>
      <c r="I525">
        <f>LOG(Table2[[#This Row],[Abundance in RT (g protein/g all proteins)]])</f>
        <v>-5.4801720062242811</v>
      </c>
    </row>
    <row r="526" spans="1:9" x14ac:dyDescent="0.2">
      <c r="A526" t="s">
        <v>2851</v>
      </c>
      <c r="B526">
        <v>2.07980357314056E-4</v>
      </c>
      <c r="C526">
        <v>2.1499999999999999E-4</v>
      </c>
      <c r="D526">
        <f t="shared" si="8"/>
        <v>4.9636369447375493E-6</v>
      </c>
      <c r="E526">
        <f>Table2[[#This Row],[distance from 45-degree line]]/MAX(Table2[[Abundance in SC (g protein/g all proteins)]:[Abundance in RT (g protein/g all proteins)]])</f>
        <v>1.7049155541128287E-4</v>
      </c>
      <c r="F526">
        <f>_xlfn.RANK.AVG(Table2[[#This Row],[Abundance in SC (g protein/g all proteins)]],Table2[Abundance in SC (g protein/g all proteins)])</f>
        <v>213</v>
      </c>
      <c r="G526">
        <f>_xlfn.RANK.AVG(Table2[[#This Row],[Abundance in RT (g protein/g all proteins)]],Table2[Abundance in RT (g protein/g all proteins)])</f>
        <v>238</v>
      </c>
      <c r="H526">
        <f>LOG(Table2[[#This Row],[Abundance in SC (g protein/g all proteins)]])</f>
        <v>-3.6819776800033135</v>
      </c>
      <c r="I526">
        <f>LOG(Table2[[#This Row],[Abundance in RT (g protein/g all proteins)]])</f>
        <v>-3.6675615400843946</v>
      </c>
    </row>
    <row r="527" spans="1:9" x14ac:dyDescent="0.2">
      <c r="A527" t="s">
        <v>2817</v>
      </c>
      <c r="B527">
        <v>1.1846987686158E-7</v>
      </c>
      <c r="C527">
        <v>7.0500000000000003E-6</v>
      </c>
      <c r="D527">
        <f t="shared" si="8"/>
        <v>4.901331954070001E-6</v>
      </c>
      <c r="E527">
        <f>Table2[[#This Row],[distance from 45-degree line]]/MAX(Table2[[Abundance in SC (g protein/g all proteins)]:[Abundance in RT (g protein/g all proteins)]])</f>
        <v>1.6835149664246867E-4</v>
      </c>
      <c r="F527">
        <f>_xlfn.RANK.AVG(Table2[[#This Row],[Abundance in SC (g protein/g all proteins)]],Table2[Abundance in SC (g protein/g all proteins)])</f>
        <v>591</v>
      </c>
      <c r="G527">
        <f>_xlfn.RANK.AVG(Table2[[#This Row],[Abundance in RT (g protein/g all proteins)]],Table2[Abundance in RT (g protein/g all proteins)])</f>
        <v>541</v>
      </c>
      <c r="H527">
        <f>LOG(Table2[[#This Row],[Abundance in SC (g protein/g all proteins)]])</f>
        <v>-6.9263920629522859</v>
      </c>
      <c r="I527">
        <f>LOG(Table2[[#This Row],[Abundance in RT (g protein/g all proteins)]])</f>
        <v>-5.1518108830086016</v>
      </c>
    </row>
    <row r="528" spans="1:9" x14ac:dyDescent="0.2">
      <c r="A528" t="s">
        <v>2686</v>
      </c>
      <c r="B528">
        <v>5.1982141220846201E-6</v>
      </c>
      <c r="C528">
        <v>1.2099999999999999E-5</v>
      </c>
      <c r="D528">
        <f t="shared" si="8"/>
        <v>4.8802995965715138E-6</v>
      </c>
      <c r="E528">
        <f>Table2[[#This Row],[distance from 45-degree line]]/MAX(Table2[[Abundance in SC (g protein/g all proteins)]:[Abundance in RT (g protein/g all proteins)]])</f>
        <v>1.6762907488120652E-4</v>
      </c>
      <c r="F528">
        <f>_xlfn.RANK.AVG(Table2[[#This Row],[Abundance in SC (g protein/g all proteins)]],Table2[Abundance in SC (g protein/g all proteins)])</f>
        <v>551</v>
      </c>
      <c r="G528">
        <f>_xlfn.RANK.AVG(Table2[[#This Row],[Abundance in RT (g protein/g all proteins)]],Table2[Abundance in RT (g protein/g all proteins)])</f>
        <v>514</v>
      </c>
      <c r="H528">
        <f>LOG(Table2[[#This Row],[Abundance in SC (g protein/g all proteins)]])</f>
        <v>-5.2841458352381343</v>
      </c>
      <c r="I528">
        <f>LOG(Table2[[#This Row],[Abundance in RT (g protein/g all proteins)]])</f>
        <v>-4.9172146296835502</v>
      </c>
    </row>
    <row r="529" spans="1:9" x14ac:dyDescent="0.2">
      <c r="A529" t="s">
        <v>2668</v>
      </c>
      <c r="B529">
        <v>5.8072378102874303E-6</v>
      </c>
      <c r="C529">
        <v>1.26E-5</v>
      </c>
      <c r="D529">
        <f t="shared" si="8"/>
        <v>4.8032082073333386E-6</v>
      </c>
      <c r="E529">
        <f>Table2[[#This Row],[distance from 45-degree line]]/MAX(Table2[[Abundance in SC (g protein/g all proteins)]:[Abundance in RT (g protein/g all proteins)]])</f>
        <v>1.6498113124504516E-4</v>
      </c>
      <c r="F529">
        <f>_xlfn.RANK.AVG(Table2[[#This Row],[Abundance in SC (g protein/g all proteins)]],Table2[Abundance in SC (g protein/g all proteins)])</f>
        <v>546</v>
      </c>
      <c r="G529">
        <f>_xlfn.RANK.AVG(Table2[[#This Row],[Abundance in RT (g protein/g all proteins)]],Table2[Abundance in RT (g protein/g all proteins)])</f>
        <v>512.5</v>
      </c>
      <c r="H529">
        <f>LOG(Table2[[#This Row],[Abundance in SC (g protein/g all proteins)]])</f>
        <v>-5.2360303889518907</v>
      </c>
      <c r="I529">
        <f>LOG(Table2[[#This Row],[Abundance in RT (g protein/g all proteins)]])</f>
        <v>-4.8996294548824375</v>
      </c>
    </row>
    <row r="530" spans="1:9" x14ac:dyDescent="0.2">
      <c r="A530" t="s">
        <v>2871</v>
      </c>
      <c r="B530">
        <v>6.9648938464115706E-8</v>
      </c>
      <c r="C530">
        <v>6.7499999999999997E-6</v>
      </c>
      <c r="D530">
        <f t="shared" si="8"/>
        <v>4.7237215363187745E-6</v>
      </c>
      <c r="E530">
        <f>Table2[[#This Row],[distance from 45-degree line]]/MAX(Table2[[Abundance in SC (g protein/g all proteins)]:[Abundance in RT (g protein/g all proteins)]])</f>
        <v>1.622509142032638E-4</v>
      </c>
      <c r="F530">
        <f>_xlfn.RANK.AVG(Table2[[#This Row],[Abundance in SC (g protein/g all proteins)]],Table2[Abundance in SC (g protein/g all proteins)])</f>
        <v>592</v>
      </c>
      <c r="G530">
        <f>_xlfn.RANK.AVG(Table2[[#This Row],[Abundance in RT (g protein/g all proteins)]],Table2[Abundance in RT (g protein/g all proteins)])</f>
        <v>542</v>
      </c>
      <c r="H530">
        <f>LOG(Table2[[#This Row],[Abundance in SC (g protein/g all proteins)]])</f>
        <v>-7.1570854983741183</v>
      </c>
      <c r="I530">
        <f>LOG(Table2[[#This Row],[Abundance in RT (g protein/g all proteins)]])</f>
        <v>-5.1706962271689747</v>
      </c>
    </row>
    <row r="531" spans="1:9" x14ac:dyDescent="0.2">
      <c r="A531" t="s">
        <v>2884</v>
      </c>
      <c r="B531">
        <v>4.2507166163650403E-5</v>
      </c>
      <c r="C531">
        <v>3.5899999999999998E-5</v>
      </c>
      <c r="D531">
        <f t="shared" si="8"/>
        <v>4.6719719987435066E-6</v>
      </c>
      <c r="E531">
        <f>Table2[[#This Row],[distance from 45-degree line]]/MAX(Table2[[Abundance in SC (g protein/g all proteins)]:[Abundance in RT (g protein/g all proteins)]])</f>
        <v>1.604734153145959E-4</v>
      </c>
      <c r="F531">
        <f>_xlfn.RANK.AVG(Table2[[#This Row],[Abundance in SC (g protein/g all proteins)]],Table2[Abundance in SC (g protein/g all proteins)])</f>
        <v>368</v>
      </c>
      <c r="G531">
        <f>_xlfn.RANK.AVG(Table2[[#This Row],[Abundance in RT (g protein/g all proteins)]],Table2[Abundance in RT (g protein/g all proteins)])</f>
        <v>438</v>
      </c>
      <c r="H531">
        <f>LOG(Table2[[#This Row],[Abundance in SC (g protein/g all proteins)]])</f>
        <v>-4.3715378472914681</v>
      </c>
      <c r="I531">
        <f>LOG(Table2[[#This Row],[Abundance in RT (g protein/g all proteins)]])</f>
        <v>-4.4449055514216811</v>
      </c>
    </row>
    <row r="532" spans="1:9" x14ac:dyDescent="0.2">
      <c r="A532" t="s">
        <v>2727</v>
      </c>
      <c r="B532">
        <v>5.7674481079148398E-5</v>
      </c>
      <c r="C532">
        <v>6.4200000000000002E-5</v>
      </c>
      <c r="D532">
        <f t="shared" si="8"/>
        <v>4.6142386796952904E-6</v>
      </c>
      <c r="E532">
        <f>Table2[[#This Row],[distance from 45-degree line]]/MAX(Table2[[Abundance in SC (g protein/g all proteins)]:[Abundance in RT (g protein/g all proteins)]])</f>
        <v>1.5849038483247696E-4</v>
      </c>
      <c r="F532">
        <f>_xlfn.RANK.AVG(Table2[[#This Row],[Abundance in SC (g protein/g all proteins)]],Table2[Abundance in SC (g protein/g all proteins)])</f>
        <v>331</v>
      </c>
      <c r="G532">
        <f>_xlfn.RANK.AVG(Table2[[#This Row],[Abundance in RT (g protein/g all proteins)]],Table2[Abundance in RT (g protein/g all proteins)])</f>
        <v>383</v>
      </c>
      <c r="H532">
        <f>LOG(Table2[[#This Row],[Abundance in SC (g protein/g all proteins)]])</f>
        <v>-4.2390163043140427</v>
      </c>
      <c r="I532">
        <f>LOG(Table2[[#This Row],[Abundance in RT (g protein/g all proteins)]])</f>
        <v>-4.1924649719311464</v>
      </c>
    </row>
    <row r="533" spans="1:9" x14ac:dyDescent="0.2">
      <c r="A533" t="s">
        <v>2708</v>
      </c>
      <c r="B533">
        <v>4.8583701893991502E-5</v>
      </c>
      <c r="C533">
        <v>4.21E-5</v>
      </c>
      <c r="D533">
        <f t="shared" si="8"/>
        <v>4.5846695764334523E-6</v>
      </c>
      <c r="E533">
        <f>Table2[[#This Row],[distance from 45-degree line]]/MAX(Table2[[Abundance in SC (g protein/g all proteins)]:[Abundance in RT (g protein/g all proteins)]])</f>
        <v>1.5747474197556487E-4</v>
      </c>
      <c r="F533">
        <f>_xlfn.RANK.AVG(Table2[[#This Row],[Abundance in SC (g protein/g all proteins)]],Table2[Abundance in SC (g protein/g all proteins)])</f>
        <v>348</v>
      </c>
      <c r="G533">
        <f>_xlfn.RANK.AVG(Table2[[#This Row],[Abundance in RT (g protein/g all proteins)]],Table2[Abundance in RT (g protein/g all proteins)])</f>
        <v>424</v>
      </c>
      <c r="H533">
        <f>LOG(Table2[[#This Row],[Abundance in SC (g protein/g all proteins)]])</f>
        <v>-4.3135093966762001</v>
      </c>
      <c r="I533">
        <f>LOG(Table2[[#This Row],[Abundance in RT (g protein/g all proteins)]])</f>
        <v>-4.3757179041643317</v>
      </c>
    </row>
    <row r="534" spans="1:9" x14ac:dyDescent="0.2">
      <c r="A534" t="s">
        <v>2654</v>
      </c>
      <c r="B534">
        <v>1.7342604571670499E-4</v>
      </c>
      <c r="C534">
        <v>1.6699999999999999E-4</v>
      </c>
      <c r="D534">
        <f t="shared" si="8"/>
        <v>4.5439005024968688E-6</v>
      </c>
      <c r="E534">
        <f>Table2[[#This Row],[distance from 45-degree line]]/MAX(Table2[[Abundance in SC (g protein/g all proteins)]:[Abundance in RT (g protein/g all proteins)]])</f>
        <v>1.560744012766959E-4</v>
      </c>
      <c r="F534">
        <f>_xlfn.RANK.AVG(Table2[[#This Row],[Abundance in SC (g protein/g all proteins)]],Table2[Abundance in SC (g protein/g all proteins)])</f>
        <v>230</v>
      </c>
      <c r="G534">
        <f>_xlfn.RANK.AVG(Table2[[#This Row],[Abundance in RT (g protein/g all proteins)]],Table2[Abundance in RT (g protein/g all proteins)])</f>
        <v>271</v>
      </c>
      <c r="H534">
        <f>LOG(Table2[[#This Row],[Abundance in SC (g protein/g all proteins)]])</f>
        <v>-3.7608856781308639</v>
      </c>
      <c r="I534">
        <f>LOG(Table2[[#This Row],[Abundance in RT (g protein/g all proteins)]])</f>
        <v>-3.7772835288524167</v>
      </c>
    </row>
    <row r="535" spans="1:9" x14ac:dyDescent="0.2">
      <c r="A535" t="s">
        <v>2875</v>
      </c>
      <c r="B535">
        <v>6.4742609712649197E-6</v>
      </c>
      <c r="C535">
        <v>1.29E-5</v>
      </c>
      <c r="D535">
        <f t="shared" si="8"/>
        <v>4.543683641353635E-6</v>
      </c>
      <c r="E535">
        <f>Table2[[#This Row],[distance from 45-degree line]]/MAX(Table2[[Abundance in SC (g protein/g all proteins)]:[Abundance in RT (g protein/g all proteins)]])</f>
        <v>1.5606695250595985E-4</v>
      </c>
      <c r="F535">
        <f>_xlfn.RANK.AVG(Table2[[#This Row],[Abundance in SC (g protein/g all proteins)]],Table2[Abundance in SC (g protein/g all proteins)])</f>
        <v>540</v>
      </c>
      <c r="G535">
        <f>_xlfn.RANK.AVG(Table2[[#This Row],[Abundance in RT (g protein/g all proteins)]],Table2[Abundance in RT (g protein/g all proteins)])</f>
        <v>510.5</v>
      </c>
      <c r="H535">
        <f>LOG(Table2[[#This Row],[Abundance in SC (g protein/g all proteins)]])</f>
        <v>-5.1888097985855959</v>
      </c>
      <c r="I535">
        <f>LOG(Table2[[#This Row],[Abundance in RT (g protein/g all proteins)]])</f>
        <v>-4.8894102897007512</v>
      </c>
    </row>
    <row r="536" spans="1:9" x14ac:dyDescent="0.2">
      <c r="A536" t="s">
        <v>2348</v>
      </c>
      <c r="B536">
        <v>1.44083591555671E-5</v>
      </c>
      <c r="C536">
        <v>8.0499999999999992E-6</v>
      </c>
      <c r="D536">
        <f t="shared" si="8"/>
        <v>4.4960388761210662E-6</v>
      </c>
      <c r="E536">
        <f>Table2[[#This Row],[distance from 45-degree line]]/MAX(Table2[[Abundance in SC (g protein/g all proteins)]:[Abundance in RT (g protein/g all proteins)]])</f>
        <v>1.5443044479555648E-4</v>
      </c>
      <c r="F536">
        <f>_xlfn.RANK.AVG(Table2[[#This Row],[Abundance in SC (g protein/g all proteins)]],Table2[Abundance in SC (g protein/g all proteins)])</f>
        <v>469</v>
      </c>
      <c r="G536">
        <f>_xlfn.RANK.AVG(Table2[[#This Row],[Abundance in RT (g protein/g all proteins)]],Table2[Abundance in RT (g protein/g all proteins)])</f>
        <v>533</v>
      </c>
      <c r="H536">
        <f>LOG(Table2[[#This Row],[Abundance in SC (g protein/g all proteins)]])</f>
        <v>-4.84138547444332</v>
      </c>
      <c r="I536">
        <f>LOG(Table2[[#This Row],[Abundance in RT (g protein/g all proteins)]])</f>
        <v>-5.0942041196321313</v>
      </c>
    </row>
    <row r="537" spans="1:9" x14ac:dyDescent="0.2">
      <c r="A537" t="s">
        <v>2752</v>
      </c>
      <c r="B537">
        <v>4.0649138761599599E-5</v>
      </c>
      <c r="C537">
        <v>4.6999999999999997E-5</v>
      </c>
      <c r="D537">
        <f t="shared" si="8"/>
        <v>4.4907370480477165E-6</v>
      </c>
      <c r="E537">
        <f>Table2[[#This Row],[distance from 45-degree line]]/MAX(Table2[[Abundance in SC (g protein/g all proteins)]:[Abundance in RT (g protein/g all proteins)]])</f>
        <v>1.5424833701353853E-4</v>
      </c>
      <c r="F537">
        <f>_xlfn.RANK.AVG(Table2[[#This Row],[Abundance in SC (g protein/g all proteins)]],Table2[Abundance in SC (g protein/g all proteins)])</f>
        <v>376</v>
      </c>
      <c r="G537">
        <f>_xlfn.RANK.AVG(Table2[[#This Row],[Abundance in RT (g protein/g all proteins)]],Table2[Abundance in RT (g protein/g all proteins)])</f>
        <v>412</v>
      </c>
      <c r="H537">
        <f>LOG(Table2[[#This Row],[Abundance in SC (g protein/g all proteins)]])</f>
        <v>-4.3909486514240879</v>
      </c>
      <c r="I537">
        <f>LOG(Table2[[#This Row],[Abundance in RT (g protein/g all proteins)]])</f>
        <v>-4.3279021420642829</v>
      </c>
    </row>
    <row r="538" spans="1:9" x14ac:dyDescent="0.2">
      <c r="A538" t="s">
        <v>2488</v>
      </c>
      <c r="B538">
        <v>1.9761821296451901E-5</v>
      </c>
      <c r="C538">
        <v>2.6100000000000001E-5</v>
      </c>
      <c r="D538">
        <f t="shared" si="8"/>
        <v>4.4817691416510217E-6</v>
      </c>
      <c r="E538">
        <f>Table2[[#This Row],[distance from 45-degree line]]/MAX(Table2[[Abundance in SC (g protein/g all proteins)]:[Abundance in RT (g protein/g all proteins)]])</f>
        <v>1.5394030636436376E-4</v>
      </c>
      <c r="F538">
        <f>_xlfn.RANK.AVG(Table2[[#This Row],[Abundance in SC (g protein/g all proteins)]],Table2[Abundance in SC (g protein/g all proteins)])</f>
        <v>446</v>
      </c>
      <c r="G538">
        <f>_xlfn.RANK.AVG(Table2[[#This Row],[Abundance in RT (g protein/g all proteins)]],Table2[Abundance in RT (g protein/g all proteins)])</f>
        <v>472.5</v>
      </c>
      <c r="H538">
        <f>LOG(Table2[[#This Row],[Abundance in SC (g protein/g all proteins)]])</f>
        <v>-4.7041730322914779</v>
      </c>
      <c r="I538">
        <f>LOG(Table2[[#This Row],[Abundance in RT (g protein/g all proteins)]])</f>
        <v>-4.5833594926617192</v>
      </c>
    </row>
    <row r="539" spans="1:9" x14ac:dyDescent="0.2">
      <c r="A539" t="s">
        <v>2772</v>
      </c>
      <c r="B539">
        <v>4.6731231906819201E-4</v>
      </c>
      <c r="C539">
        <v>4.6099999999999998E-4</v>
      </c>
      <c r="D539">
        <f t="shared" si="8"/>
        <v>4.4634836181317282E-6</v>
      </c>
      <c r="E539">
        <f>Table2[[#This Row],[distance from 45-degree line]]/MAX(Table2[[Abundance in SC (g protein/g all proteins)]:[Abundance in RT (g protein/g all proteins)]])</f>
        <v>1.5331223316299492E-4</v>
      </c>
      <c r="F539">
        <f>_xlfn.RANK.AVG(Table2[[#This Row],[Abundance in SC (g protein/g all proteins)]],Table2[Abundance in SC (g protein/g all proteins)])</f>
        <v>153</v>
      </c>
      <c r="G539">
        <f>_xlfn.RANK.AVG(Table2[[#This Row],[Abundance in RT (g protein/g all proteins)]],Table2[Abundance in RT (g protein/g all proteins)])</f>
        <v>152</v>
      </c>
      <c r="H539">
        <f>LOG(Table2[[#This Row],[Abundance in SC (g protein/g all proteins)]])</f>
        <v>-3.3303927701573284</v>
      </c>
      <c r="I539">
        <f>LOG(Table2[[#This Row],[Abundance in RT (g protein/g all proteins)]])</f>
        <v>-3.336299074610352</v>
      </c>
    </row>
    <row r="540" spans="1:9" x14ac:dyDescent="0.2">
      <c r="A540" t="s">
        <v>2898</v>
      </c>
      <c r="B540">
        <v>2.3123047461900301E-5</v>
      </c>
      <c r="C540">
        <v>1.6900000000000001E-5</v>
      </c>
      <c r="D540">
        <f t="shared" si="8"/>
        <v>4.4003590599554355E-6</v>
      </c>
      <c r="E540">
        <f>Table2[[#This Row],[distance from 45-degree line]]/MAX(Table2[[Abundance in SC (g protein/g all proteins)]:[Abundance in RT (g protein/g all proteins)]])</f>
        <v>1.5114402379797756E-4</v>
      </c>
      <c r="F540">
        <f>_xlfn.RANK.AVG(Table2[[#This Row],[Abundance in SC (g protein/g all proteins)]],Table2[Abundance in SC (g protein/g all proteins)])</f>
        <v>425</v>
      </c>
      <c r="G540">
        <f>_xlfn.RANK.AVG(Table2[[#This Row],[Abundance in RT (g protein/g all proteins)]],Table2[Abundance in RT (g protein/g all proteins)])</f>
        <v>501</v>
      </c>
      <c r="H540">
        <f>LOG(Table2[[#This Row],[Abundance in SC (g protein/g all proteins)]])</f>
        <v>-4.6359549293921072</v>
      </c>
      <c r="I540">
        <f>LOG(Table2[[#This Row],[Abundance in RT (g protein/g all proteins)]])</f>
        <v>-4.7721132953863261</v>
      </c>
    </row>
    <row r="541" spans="1:9" x14ac:dyDescent="0.2">
      <c r="A541" t="s">
        <v>2332</v>
      </c>
      <c r="B541">
        <v>1.19006823279206E-5</v>
      </c>
      <c r="C541">
        <v>1.7900000000000001E-5</v>
      </c>
      <c r="D541">
        <f t="shared" si="8"/>
        <v>4.2421582084196369E-6</v>
      </c>
      <c r="E541">
        <f>Table2[[#This Row],[distance from 45-degree line]]/MAX(Table2[[Abundance in SC (g protein/g all proteins)]:[Abundance in RT (g protein/g all proteins)]])</f>
        <v>1.4571012330404169E-4</v>
      </c>
      <c r="F541">
        <f>_xlfn.RANK.AVG(Table2[[#This Row],[Abundance in SC (g protein/g all proteins)]],Table2[Abundance in SC (g protein/g all proteins)])</f>
        <v>492</v>
      </c>
      <c r="G541">
        <f>_xlfn.RANK.AVG(Table2[[#This Row],[Abundance in RT (g protein/g all proteins)]],Table2[Abundance in RT (g protein/g all proteins)])</f>
        <v>495.5</v>
      </c>
      <c r="H541">
        <f>LOG(Table2[[#This Row],[Abundance in SC (g protein/g all proteins)]])</f>
        <v>-4.9244281375355783</v>
      </c>
      <c r="I541">
        <f>LOG(Table2[[#This Row],[Abundance in RT (g protein/g all proteins)]])</f>
        <v>-4.7471469690201067</v>
      </c>
    </row>
    <row r="542" spans="1:9" x14ac:dyDescent="0.2">
      <c r="A542" t="s">
        <v>2874</v>
      </c>
      <c r="B542">
        <v>1.06445703030815E-5</v>
      </c>
      <c r="C542">
        <v>1.66E-5</v>
      </c>
      <c r="D542">
        <f t="shared" si="8"/>
        <v>4.2111247235708166E-6</v>
      </c>
      <c r="E542">
        <f>Table2[[#This Row],[distance from 45-degree line]]/MAX(Table2[[Abundance in SC (g protein/g all proteins)]:[Abundance in RT (g protein/g all proteins)]])</f>
        <v>1.4464418170504595E-4</v>
      </c>
      <c r="F542">
        <f>_xlfn.RANK.AVG(Table2[[#This Row],[Abundance in SC (g protein/g all proteins)]],Table2[Abundance in SC (g protein/g all proteins)])</f>
        <v>497</v>
      </c>
      <c r="G542">
        <f>_xlfn.RANK.AVG(Table2[[#This Row],[Abundance in RT (g protein/g all proteins)]],Table2[Abundance in RT (g protein/g all proteins)])</f>
        <v>503</v>
      </c>
      <c r="H542">
        <f>LOG(Table2[[#This Row],[Abundance in SC (g protein/g all proteins)]])</f>
        <v>-4.9728718653451658</v>
      </c>
      <c r="I542">
        <f>LOG(Table2[[#This Row],[Abundance in RT (g protein/g all proteins)]])</f>
        <v>-4.779891911959945</v>
      </c>
    </row>
    <row r="543" spans="1:9" x14ac:dyDescent="0.2">
      <c r="A543" t="s">
        <v>2591</v>
      </c>
      <c r="B543">
        <v>6.7295796117143399E-6</v>
      </c>
      <c r="C543">
        <v>1.26E-5</v>
      </c>
      <c r="D543">
        <f t="shared" si="8"/>
        <v>4.1510140649725547E-6</v>
      </c>
      <c r="E543">
        <f>Table2[[#This Row],[distance from 45-degree line]]/MAX(Table2[[Abundance in SC (g protein/g all proteins)]:[Abundance in RT (g protein/g all proteins)]])</f>
        <v>1.425794940988987E-4</v>
      </c>
      <c r="F543">
        <f>_xlfn.RANK.AVG(Table2[[#This Row],[Abundance in SC (g protein/g all proteins)]],Table2[Abundance in SC (g protein/g all proteins)])</f>
        <v>536</v>
      </c>
      <c r="G543">
        <f>_xlfn.RANK.AVG(Table2[[#This Row],[Abundance in RT (g protein/g all proteins)]],Table2[Abundance in RT (g protein/g all proteins)])</f>
        <v>512.5</v>
      </c>
      <c r="H543">
        <f>LOG(Table2[[#This Row],[Abundance in SC (g protein/g all proteins)]])</f>
        <v>-5.1720120647530115</v>
      </c>
      <c r="I543">
        <f>LOG(Table2[[#This Row],[Abundance in RT (g protein/g all proteins)]])</f>
        <v>-4.8996294548824375</v>
      </c>
    </row>
    <row r="544" spans="1:9" x14ac:dyDescent="0.2">
      <c r="A544" t="s">
        <v>2363</v>
      </c>
      <c r="B544">
        <v>8.0445386751612502E-4</v>
      </c>
      <c r="C544">
        <v>7.9900000000000001E-4</v>
      </c>
      <c r="D544">
        <f t="shared" si="8"/>
        <v>3.8564667043450242E-6</v>
      </c>
      <c r="E544">
        <f>Table2[[#This Row],[distance from 45-degree line]]/MAX(Table2[[Abundance in SC (g protein/g all proteins)]:[Abundance in RT (g protein/g all proteins)]])</f>
        <v>1.3246234850288231E-4</v>
      </c>
      <c r="F544">
        <f>_xlfn.RANK.AVG(Table2[[#This Row],[Abundance in SC (g protein/g all proteins)]],Table2[Abundance in SC (g protein/g all proteins)])</f>
        <v>106</v>
      </c>
      <c r="G544">
        <f>_xlfn.RANK.AVG(Table2[[#This Row],[Abundance in RT (g protein/g all proteins)]],Table2[Abundance in RT (g protein/g all proteins)])</f>
        <v>104</v>
      </c>
      <c r="H544">
        <f>LOG(Table2[[#This Row],[Abundance in SC (g protein/g all proteins)]])</f>
        <v>-3.0944988560492797</v>
      </c>
      <c r="I544">
        <f>LOG(Table2[[#This Row],[Abundance in RT (g protein/g all proteins)]])</f>
        <v>-3.0974532206860088</v>
      </c>
    </row>
    <row r="545" spans="1:9" x14ac:dyDescent="0.2">
      <c r="A545" t="s">
        <v>2516</v>
      </c>
      <c r="B545">
        <v>2.1434238812414199E-5</v>
      </c>
      <c r="C545">
        <v>2.6400000000000001E-5</v>
      </c>
      <c r="D545">
        <f t="shared" si="8"/>
        <v>3.5113234094948843E-6</v>
      </c>
      <c r="E545">
        <f>Table2[[#This Row],[distance from 45-degree line]]/MAX(Table2[[Abundance in SC (g protein/g all proteins)]:[Abundance in RT (g protein/g all proteins)]])</f>
        <v>1.2060732811482554E-4</v>
      </c>
      <c r="F545">
        <f>_xlfn.RANK.AVG(Table2[[#This Row],[Abundance in SC (g protein/g all proteins)]],Table2[Abundance in SC (g protein/g all proteins)])</f>
        <v>435</v>
      </c>
      <c r="G545">
        <f>_xlfn.RANK.AVG(Table2[[#This Row],[Abundance in RT (g protein/g all proteins)]],Table2[Abundance in RT (g protein/g all proteins)])</f>
        <v>471</v>
      </c>
      <c r="H545">
        <f>LOG(Table2[[#This Row],[Abundance in SC (g protein/g all proteins)]])</f>
        <v>-4.6688919348469815</v>
      </c>
      <c r="I545">
        <f>LOG(Table2[[#This Row],[Abundance in RT (g protein/g all proteins)]])</f>
        <v>-4.5783960731301692</v>
      </c>
    </row>
    <row r="546" spans="1:9" x14ac:dyDescent="0.2">
      <c r="A546" t="s">
        <v>2832</v>
      </c>
      <c r="B546">
        <v>2.47912251964476E-6</v>
      </c>
      <c r="C546">
        <v>7.3300000000000001E-6</v>
      </c>
      <c r="D546">
        <f t="shared" si="8"/>
        <v>3.4300883610643038E-6</v>
      </c>
      <c r="E546">
        <f>Table2[[#This Row],[distance from 45-degree line]]/MAX(Table2[[Abundance in SC (g protein/g all proteins)]:[Abundance in RT (g protein/g all proteins)]])</f>
        <v>1.1781705761054859E-4</v>
      </c>
      <c r="F546">
        <f>_xlfn.RANK.AVG(Table2[[#This Row],[Abundance in SC (g protein/g all proteins)]],Table2[Abundance in SC (g protein/g all proteins)])</f>
        <v>569</v>
      </c>
      <c r="G546">
        <f>_xlfn.RANK.AVG(Table2[[#This Row],[Abundance in RT (g protein/g all proteins)]],Table2[Abundance in RT (g protein/g all proteins)])</f>
        <v>538</v>
      </c>
      <c r="H546">
        <f>LOG(Table2[[#This Row],[Abundance in SC (g protein/g all proteins)]])</f>
        <v>-5.6057020096215302</v>
      </c>
      <c r="I546">
        <f>LOG(Table2[[#This Row],[Abundance in RT (g protein/g all proteins)]])</f>
        <v>-5.1348960253588718</v>
      </c>
    </row>
    <row r="547" spans="1:9" x14ac:dyDescent="0.2">
      <c r="A547" t="s">
        <v>2733</v>
      </c>
      <c r="B547">
        <v>1.0599605945907701E-5</v>
      </c>
      <c r="C547">
        <v>1.52E-5</v>
      </c>
      <c r="D547">
        <f t="shared" si="8"/>
        <v>3.2529698317789374E-6</v>
      </c>
      <c r="E547">
        <f>Table2[[#This Row],[distance from 45-degree line]]/MAX(Table2[[Abundance in SC (g protein/g all proteins)]:[Abundance in RT (g protein/g all proteins)]])</f>
        <v>1.1173337061123328E-4</v>
      </c>
      <c r="F547">
        <f>_xlfn.RANK.AVG(Table2[[#This Row],[Abundance in SC (g protein/g all proteins)]],Table2[Abundance in SC (g protein/g all proteins)])</f>
        <v>499</v>
      </c>
      <c r="G547">
        <f>_xlfn.RANK.AVG(Table2[[#This Row],[Abundance in RT (g protein/g all proteins)]],Table2[Abundance in RT (g protein/g all proteins)])</f>
        <v>505</v>
      </c>
      <c r="H547">
        <f>LOG(Table2[[#This Row],[Abundance in SC (g protein/g all proteins)]])</f>
        <v>-4.9747102798955041</v>
      </c>
      <c r="I547">
        <f>LOG(Table2[[#This Row],[Abundance in RT (g protein/g all proteins)]])</f>
        <v>-4.8181564120552274</v>
      </c>
    </row>
    <row r="548" spans="1:9" x14ac:dyDescent="0.2">
      <c r="A548" t="s">
        <v>2552</v>
      </c>
      <c r="B548">
        <v>1.02852204096996E-6</v>
      </c>
      <c r="C548">
        <v>5.4099999999999999E-6</v>
      </c>
      <c r="D548">
        <f t="shared" si="8"/>
        <v>3.098172776449535E-6</v>
      </c>
      <c r="E548">
        <f>Table2[[#This Row],[distance from 45-degree line]]/MAX(Table2[[Abundance in SC (g protein/g all proteins)]:[Abundance in RT (g protein/g all proteins)]])</f>
        <v>1.0641638408904684E-4</v>
      </c>
      <c r="F548">
        <f>_xlfn.RANK.AVG(Table2[[#This Row],[Abundance in SC (g protein/g all proteins)]],Table2[Abundance in SC (g protein/g all proteins)])</f>
        <v>581</v>
      </c>
      <c r="G548">
        <f>_xlfn.RANK.AVG(Table2[[#This Row],[Abundance in RT (g protein/g all proteins)]],Table2[Abundance in RT (g protein/g all proteins)])</f>
        <v>551</v>
      </c>
      <c r="H548">
        <f>LOG(Table2[[#This Row],[Abundance in SC (g protein/g all proteins)]])</f>
        <v>-5.987786397047465</v>
      </c>
      <c r="I548">
        <f>LOG(Table2[[#This Row],[Abundance in RT (g protein/g all proteins)]])</f>
        <v>-5.2668027348934308</v>
      </c>
    </row>
    <row r="549" spans="1:9" x14ac:dyDescent="0.2">
      <c r="A549" t="s">
        <v>2536</v>
      </c>
      <c r="B549">
        <v>4.4036081367302901E-4</v>
      </c>
      <c r="C549">
        <v>4.3600000000000003E-4</v>
      </c>
      <c r="D549">
        <f t="shared" si="8"/>
        <v>3.0835609196898103E-6</v>
      </c>
      <c r="E549">
        <f>Table2[[#This Row],[distance from 45-degree line]]/MAX(Table2[[Abundance in SC (g protein/g all proteins)]:[Abundance in RT (g protein/g all proteins)]])</f>
        <v>1.059144944032886E-4</v>
      </c>
      <c r="F549">
        <f>_xlfn.RANK.AVG(Table2[[#This Row],[Abundance in SC (g protein/g all proteins)]],Table2[Abundance in SC (g protein/g all proteins)])</f>
        <v>159</v>
      </c>
      <c r="G549">
        <f>_xlfn.RANK.AVG(Table2[[#This Row],[Abundance in RT (g protein/g all proteins)]],Table2[Abundance in RT (g protein/g all proteins)])</f>
        <v>157</v>
      </c>
      <c r="H549">
        <f>LOG(Table2[[#This Row],[Abundance in SC (g protein/g all proteins)]])</f>
        <v>-3.3561913344840151</v>
      </c>
      <c r="I549">
        <f>LOG(Table2[[#This Row],[Abundance in RT (g protein/g all proteins)]])</f>
        <v>-3.3605135107314141</v>
      </c>
    </row>
    <row r="550" spans="1:9" x14ac:dyDescent="0.2">
      <c r="A550" t="s">
        <v>2422</v>
      </c>
      <c r="B550">
        <v>1.4640761988852901E-5</v>
      </c>
      <c r="C550">
        <v>1.03E-5</v>
      </c>
      <c r="D550">
        <f t="shared" si="8"/>
        <v>3.0693822378346909E-6</v>
      </c>
      <c r="E550">
        <f>Table2[[#This Row],[distance from 45-degree line]]/MAX(Table2[[Abundance in SC (g protein/g all proteins)]:[Abundance in RT (g protein/g all proteins)]])</f>
        <v>1.0542748345746915E-4</v>
      </c>
      <c r="F550">
        <f>_xlfn.RANK.AVG(Table2[[#This Row],[Abundance in SC (g protein/g all proteins)]],Table2[Abundance in SC (g protein/g all proteins)])</f>
        <v>467</v>
      </c>
      <c r="G550">
        <f>_xlfn.RANK.AVG(Table2[[#This Row],[Abundance in RT (g protein/g all proteins)]],Table2[Abundance in RT (g protein/g all proteins)])</f>
        <v>520</v>
      </c>
      <c r="H550">
        <f>LOG(Table2[[#This Row],[Abundance in SC (g protein/g all proteins)]])</f>
        <v>-4.8344363195247402</v>
      </c>
      <c r="I550">
        <f>LOG(Table2[[#This Row],[Abundance in RT (g protein/g all proteins)]])</f>
        <v>-4.987162775294828</v>
      </c>
    </row>
    <row r="551" spans="1:9" x14ac:dyDescent="0.2">
      <c r="A551" t="s">
        <v>2771</v>
      </c>
      <c r="B551">
        <v>2.2862664439413499E-5</v>
      </c>
      <c r="C551">
        <v>1.8600000000000001E-5</v>
      </c>
      <c r="D551">
        <f t="shared" si="8"/>
        <v>3.0141589310320366E-6</v>
      </c>
      <c r="E551">
        <f>Table2[[#This Row],[distance from 45-degree line]]/MAX(Table2[[Abundance in SC (g protein/g all proteins)]:[Abundance in RT (g protein/g all proteins)]])</f>
        <v>1.0353066715592216E-4</v>
      </c>
      <c r="F551">
        <f>_xlfn.RANK.AVG(Table2[[#This Row],[Abundance in SC (g protein/g all proteins)]],Table2[Abundance in SC (g protein/g all proteins)])</f>
        <v>427</v>
      </c>
      <c r="G551">
        <f>_xlfn.RANK.AVG(Table2[[#This Row],[Abundance in RT (g protein/g all proteins)]],Table2[Abundance in RT (g protein/g all proteins)])</f>
        <v>494</v>
      </c>
      <c r="H551">
        <f>LOG(Table2[[#This Row],[Abundance in SC (g protein/g all proteins)]])</f>
        <v>-4.64087315784694</v>
      </c>
      <c r="I551">
        <f>LOG(Table2[[#This Row],[Abundance in RT (g protein/g all proteins)]])</f>
        <v>-4.7304870557820839</v>
      </c>
    </row>
    <row r="552" spans="1:9" x14ac:dyDescent="0.2">
      <c r="A552" t="s">
        <v>2453</v>
      </c>
      <c r="B552">
        <v>6.7142065768223294E-5</v>
      </c>
      <c r="C552">
        <v>6.3100000000000002E-5</v>
      </c>
      <c r="D552">
        <f t="shared" si="8"/>
        <v>2.858172114712701E-6</v>
      </c>
      <c r="E552">
        <f>Table2[[#This Row],[distance from 45-degree line]]/MAX(Table2[[Abundance in SC (g protein/g all proteins)]:[Abundance in RT (g protein/g all proteins)]])</f>
        <v>9.8172814590550105E-5</v>
      </c>
      <c r="F552">
        <f>_xlfn.RANK.AVG(Table2[[#This Row],[Abundance in SC (g protein/g all proteins)]],Table2[Abundance in SC (g protein/g all proteins)])</f>
        <v>319</v>
      </c>
      <c r="G552">
        <f>_xlfn.RANK.AVG(Table2[[#This Row],[Abundance in RT (g protein/g all proteins)]],Table2[Abundance in RT (g protein/g all proteins)])</f>
        <v>388</v>
      </c>
      <c r="H552">
        <f>LOG(Table2[[#This Row],[Abundance in SC (g protein/g all proteins)]])</f>
        <v>-4.1730053008905275</v>
      </c>
      <c r="I552">
        <f>LOG(Table2[[#This Row],[Abundance in RT (g protein/g all proteins)]])</f>
        <v>-4.1999706407558657</v>
      </c>
    </row>
    <row r="553" spans="1:9" x14ac:dyDescent="0.2">
      <c r="A553" t="s">
        <v>2375</v>
      </c>
      <c r="B553">
        <v>4.4126120690723302E-6</v>
      </c>
      <c r="C553">
        <v>6.6300000000000015E-7</v>
      </c>
      <c r="D553">
        <f t="shared" si="8"/>
        <v>2.6513761208599654E-6</v>
      </c>
      <c r="E553">
        <f>Table2[[#This Row],[distance from 45-degree line]]/MAX(Table2[[Abundance in SC (g protein/g all proteins)]:[Abundance in RT (g protein/g all proteins)]])</f>
        <v>9.1069762728113949E-5</v>
      </c>
      <c r="F553">
        <f>_xlfn.RANK.AVG(Table2[[#This Row],[Abundance in SC (g protein/g all proteins)]],Table2[Abundance in SC (g protein/g all proteins)])</f>
        <v>556</v>
      </c>
      <c r="G553">
        <f>_xlfn.RANK.AVG(Table2[[#This Row],[Abundance in RT (g protein/g all proteins)]],Table2[Abundance in RT (g protein/g all proteins)])</f>
        <v>581</v>
      </c>
      <c r="H553">
        <f>LOG(Table2[[#This Row],[Abundance in SC (g protein/g all proteins)]])</f>
        <v>-5.355304251493834</v>
      </c>
      <c r="I553">
        <f>LOG(Table2[[#This Row],[Abundance in RT (g protein/g all proteins)]])</f>
        <v>-6.1784864715952263</v>
      </c>
    </row>
    <row r="554" spans="1:9" x14ac:dyDescent="0.2">
      <c r="A554" t="s">
        <v>2743</v>
      </c>
      <c r="B554">
        <v>8.3142649916593305E-5</v>
      </c>
      <c r="C554">
        <v>8.6799999999999996E-5</v>
      </c>
      <c r="D554">
        <f t="shared" si="8"/>
        <v>2.5861370451500558E-6</v>
      </c>
      <c r="E554">
        <f>Table2[[#This Row],[distance from 45-degree line]]/MAX(Table2[[Abundance in SC (g protein/g all proteins)]:[Abundance in RT (g protein/g all proteins)]])</f>
        <v>8.8828923679003141E-5</v>
      </c>
      <c r="F554">
        <f>_xlfn.RANK.AVG(Table2[[#This Row],[Abundance in SC (g protein/g all proteins)]],Table2[Abundance in SC (g protein/g all proteins)])</f>
        <v>296</v>
      </c>
      <c r="G554">
        <f>_xlfn.RANK.AVG(Table2[[#This Row],[Abundance in RT (g protein/g all proteins)]],Table2[Abundance in RT (g protein/g all proteins)])</f>
        <v>342</v>
      </c>
      <c r="H554">
        <f>LOG(Table2[[#This Row],[Abundance in SC (g protein/g all proteins)]])</f>
        <v>-4.0801761378065429</v>
      </c>
      <c r="I554">
        <f>LOG(Table2[[#This Row],[Abundance in RT (g protein/g all proteins)]])</f>
        <v>-4.0614802748235084</v>
      </c>
    </row>
    <row r="555" spans="1:9" x14ac:dyDescent="0.2">
      <c r="A555" t="s">
        <v>2431</v>
      </c>
      <c r="B555">
        <v>6.6725508258806797E-6</v>
      </c>
      <c r="C555">
        <v>1.0200000000000001E-5</v>
      </c>
      <c r="D555">
        <f t="shared" si="8"/>
        <v>2.4942832313106581E-6</v>
      </c>
      <c r="E555">
        <f>Table2[[#This Row],[distance from 45-degree line]]/MAX(Table2[[Abundance in SC (g protein/g all proteins)]:[Abundance in RT (g protein/g all proteins)]])</f>
        <v>8.5673918636069779E-5</v>
      </c>
      <c r="F555">
        <f>_xlfn.RANK.AVG(Table2[[#This Row],[Abundance in SC (g protein/g all proteins)]],Table2[Abundance in SC (g protein/g all proteins)])</f>
        <v>537</v>
      </c>
      <c r="G555">
        <f>_xlfn.RANK.AVG(Table2[[#This Row],[Abundance in RT (g protein/g all proteins)]],Table2[Abundance in RT (g protein/g all proteins)])</f>
        <v>521.5</v>
      </c>
      <c r="H555">
        <f>LOG(Table2[[#This Row],[Abundance in SC (g protein/g all proteins)]])</f>
        <v>-5.1757081094377275</v>
      </c>
      <c r="I555">
        <f>LOG(Table2[[#This Row],[Abundance in RT (g protein/g all proteins)]])</f>
        <v>-4.991399828238082</v>
      </c>
    </row>
    <row r="556" spans="1:9" x14ac:dyDescent="0.2">
      <c r="A556" t="s">
        <v>2451</v>
      </c>
      <c r="B556">
        <v>2.7049823800712099E-4</v>
      </c>
      <c r="C556">
        <v>2.6699999999999998E-4</v>
      </c>
      <c r="D556">
        <f t="shared" si="8"/>
        <v>2.47362781703978E-6</v>
      </c>
      <c r="E556">
        <f>Table2[[#This Row],[distance from 45-degree line]]/MAX(Table2[[Abundance in SC (g protein/g all proteins)]:[Abundance in RT (g protein/g all proteins)]])</f>
        <v>8.4964444162832973E-5</v>
      </c>
      <c r="F556">
        <f>_xlfn.RANK.AVG(Table2[[#This Row],[Abundance in SC (g protein/g all proteins)]],Table2[Abundance in SC (g protein/g all proteins)])</f>
        <v>193</v>
      </c>
      <c r="G556">
        <f>_xlfn.RANK.AVG(Table2[[#This Row],[Abundance in RT (g protein/g all proteins)]],Table2[Abundance in RT (g protein/g all proteins)])</f>
        <v>213</v>
      </c>
      <c r="H556">
        <f>LOG(Table2[[#This Row],[Abundance in SC (g protein/g all proteins)]])</f>
        <v>-3.5678355594900433</v>
      </c>
      <c r="I556">
        <f>LOG(Table2[[#This Row],[Abundance in RT (g protein/g all proteins)]])</f>
        <v>-3.5734887386354246</v>
      </c>
    </row>
    <row r="557" spans="1:9" x14ac:dyDescent="0.2">
      <c r="A557" t="s">
        <v>2486</v>
      </c>
      <c r="B557">
        <v>7.7909810908554205E-6</v>
      </c>
      <c r="C557">
        <v>1.11E-5</v>
      </c>
      <c r="D557">
        <f t="shared" si="8"/>
        <v>2.3398297097306444E-6</v>
      </c>
      <c r="E557">
        <f>Table2[[#This Row],[distance from 45-degree line]]/MAX(Table2[[Abundance in SC (g protein/g all proteins)]:[Abundance in RT (g protein/g all proteins)]])</f>
        <v>8.0368731849424365E-5</v>
      </c>
      <c r="F557">
        <f>_xlfn.RANK.AVG(Table2[[#This Row],[Abundance in SC (g protein/g all proteins)]],Table2[Abundance in SC (g protein/g all proteins)])</f>
        <v>525</v>
      </c>
      <c r="G557">
        <f>_xlfn.RANK.AVG(Table2[[#This Row],[Abundance in RT (g protein/g all proteins)]],Table2[Abundance in RT (g protein/g all proteins)])</f>
        <v>519</v>
      </c>
      <c r="H557">
        <f>LOG(Table2[[#This Row],[Abundance in SC (g protein/g all proteins)]])</f>
        <v>-5.1084078497066265</v>
      </c>
      <c r="I557">
        <f>LOG(Table2[[#This Row],[Abundance in RT (g protein/g all proteins)]])</f>
        <v>-4.9546770212133424</v>
      </c>
    </row>
    <row r="558" spans="1:9" x14ac:dyDescent="0.2">
      <c r="A558" t="s">
        <v>2714</v>
      </c>
      <c r="B558">
        <v>3.6946002557911999E-7</v>
      </c>
      <c r="C558">
        <v>3.5599999999999998E-6</v>
      </c>
      <c r="D558">
        <f t="shared" si="8"/>
        <v>2.2560524515597578E-6</v>
      </c>
      <c r="E558">
        <f>Table2[[#This Row],[distance from 45-degree line]]/MAX(Table2[[Abundance in SC (g protein/g all proteins)]:[Abundance in RT (g protein/g all proteins)]])</f>
        <v>7.7491141241434734E-5</v>
      </c>
      <c r="F558">
        <f>_xlfn.RANK.AVG(Table2[[#This Row],[Abundance in SC (g protein/g all proteins)]],Table2[Abundance in SC (g protein/g all proteins)])</f>
        <v>586</v>
      </c>
      <c r="G558">
        <f>_xlfn.RANK.AVG(Table2[[#This Row],[Abundance in RT (g protein/g all proteins)]],Table2[Abundance in RT (g protein/g all proteins)])</f>
        <v>557</v>
      </c>
      <c r="H558">
        <f>LOG(Table2[[#This Row],[Abundance in SC (g protein/g all proteins)]])</f>
        <v>-6.4324325440338557</v>
      </c>
      <c r="I558">
        <f>LOG(Table2[[#This Row],[Abundance in RT (g protein/g all proteins)]])</f>
        <v>-5.4485500020271251</v>
      </c>
    </row>
    <row r="559" spans="1:9" x14ac:dyDescent="0.2">
      <c r="A559" t="s">
        <v>2574</v>
      </c>
      <c r="B559">
        <v>5.55778581924454E-6</v>
      </c>
      <c r="C559">
        <v>2.4399999999999999E-6</v>
      </c>
      <c r="D559">
        <f t="shared" si="8"/>
        <v>2.2046074950750698E-6</v>
      </c>
      <c r="E559">
        <f>Table2[[#This Row],[distance from 45-degree line]]/MAX(Table2[[Abundance in SC (g protein/g all proteins)]:[Abundance in RT (g protein/g all proteins)]])</f>
        <v>7.5724104138038371E-5</v>
      </c>
      <c r="F559">
        <f>_xlfn.RANK.AVG(Table2[[#This Row],[Abundance in SC (g protein/g all proteins)]],Table2[Abundance in SC (g protein/g all proteins)])</f>
        <v>547</v>
      </c>
      <c r="G559">
        <f>_xlfn.RANK.AVG(Table2[[#This Row],[Abundance in RT (g protein/g all proteins)]],Table2[Abundance in RT (g protein/g all proteins)])</f>
        <v>569</v>
      </c>
      <c r="H559">
        <f>LOG(Table2[[#This Row],[Abundance in SC (g protein/g all proteins)]])</f>
        <v>-5.2550981936710102</v>
      </c>
      <c r="I559">
        <f>LOG(Table2[[#This Row],[Abundance in RT (g protein/g all proteins)]])</f>
        <v>-5.6126101736612704</v>
      </c>
    </row>
    <row r="560" spans="1:9" x14ac:dyDescent="0.2">
      <c r="A560" t="s">
        <v>2744</v>
      </c>
      <c r="B560">
        <v>8.6832250859303797E-6</v>
      </c>
      <c r="C560">
        <v>1.1800000000000001E-5</v>
      </c>
      <c r="D560">
        <f t="shared" si="8"/>
        <v>2.2038926771707476E-6</v>
      </c>
      <c r="E560">
        <f>Table2[[#This Row],[distance from 45-degree line]]/MAX(Table2[[Abundance in SC (g protein/g all proteins)]:[Abundance in RT (g protein/g all proteins)]])</f>
        <v>7.5699551492931463E-5</v>
      </c>
      <c r="F560">
        <f>_xlfn.RANK.AVG(Table2[[#This Row],[Abundance in SC (g protein/g all proteins)]],Table2[Abundance in SC (g protein/g all proteins)])</f>
        <v>518</v>
      </c>
      <c r="G560">
        <f>_xlfn.RANK.AVG(Table2[[#This Row],[Abundance in RT (g protein/g all proteins)]],Table2[Abundance in RT (g protein/g all proteins)])</f>
        <v>516</v>
      </c>
      <c r="H560">
        <f>LOG(Table2[[#This Row],[Abundance in SC (g protein/g all proteins)]])</f>
        <v>-5.0613189410813719</v>
      </c>
      <c r="I560">
        <f>LOG(Table2[[#This Row],[Abundance in RT (g protein/g all proteins)]])</f>
        <v>-4.928117992693875</v>
      </c>
    </row>
    <row r="561" spans="1:9" x14ac:dyDescent="0.2">
      <c r="A561" t="s">
        <v>2379</v>
      </c>
      <c r="B561">
        <v>2.3693320945703501E-5</v>
      </c>
      <c r="C561">
        <v>2.6800000000000001E-5</v>
      </c>
      <c r="D561">
        <f t="shared" si="8"/>
        <v>2.1967538262632658E-6</v>
      </c>
      <c r="E561">
        <f>Table2[[#This Row],[distance from 45-degree line]]/MAX(Table2[[Abundance in SC (g protein/g all proteins)]:[Abundance in RT (g protein/g all proteins)]])</f>
        <v>7.545434544570912E-5</v>
      </c>
      <c r="F561">
        <f>_xlfn.RANK.AVG(Table2[[#This Row],[Abundance in SC (g protein/g all proteins)]],Table2[Abundance in SC (g protein/g all proteins)])</f>
        <v>420</v>
      </c>
      <c r="G561">
        <f>_xlfn.RANK.AVG(Table2[[#This Row],[Abundance in RT (g protein/g all proteins)]],Table2[Abundance in RT (g protein/g all proteins)])</f>
        <v>469</v>
      </c>
      <c r="H561">
        <f>LOG(Table2[[#This Row],[Abundance in SC (g protein/g all proteins)]])</f>
        <v>-4.6253740626494553</v>
      </c>
      <c r="I561">
        <f>LOG(Table2[[#This Row],[Abundance in RT (g protein/g all proteins)]])</f>
        <v>-4.5718652059712115</v>
      </c>
    </row>
    <row r="562" spans="1:9" x14ac:dyDescent="0.2">
      <c r="A562" t="s">
        <v>2630</v>
      </c>
      <c r="B562">
        <v>2.6049328235295098E-5</v>
      </c>
      <c r="C562">
        <v>2.3E-5</v>
      </c>
      <c r="D562">
        <f t="shared" si="8"/>
        <v>2.1562006732407721E-6</v>
      </c>
      <c r="E562">
        <f>Table2[[#This Row],[distance from 45-degree line]]/MAX(Table2[[Abundance in SC (g protein/g all proteins)]:[Abundance in RT (g protein/g all proteins)]])</f>
        <v>7.406142122248065E-5</v>
      </c>
      <c r="F562">
        <f>_xlfn.RANK.AVG(Table2[[#This Row],[Abundance in SC (g protein/g all proteins)]],Table2[Abundance in SC (g protein/g all proteins)])</f>
        <v>407</v>
      </c>
      <c r="G562">
        <f>_xlfn.RANK.AVG(Table2[[#This Row],[Abundance in RT (g protein/g all proteins)]],Table2[Abundance in RT (g protein/g all proteins)])</f>
        <v>479</v>
      </c>
      <c r="H562">
        <f>LOG(Table2[[#This Row],[Abundance in SC (g protein/g all proteins)]])</f>
        <v>-4.5842034718833133</v>
      </c>
      <c r="I562">
        <f>LOG(Table2[[#This Row],[Abundance in RT (g protein/g all proteins)]])</f>
        <v>-4.6382721639824069</v>
      </c>
    </row>
    <row r="563" spans="1:9" x14ac:dyDescent="0.2">
      <c r="A563" t="s">
        <v>2465</v>
      </c>
      <c r="B563">
        <v>1.6350792847958999E-5</v>
      </c>
      <c r="C563">
        <v>1.9199999999999999E-5</v>
      </c>
      <c r="D563">
        <f t="shared" si="8"/>
        <v>2.0146936982134017E-6</v>
      </c>
      <c r="E563">
        <f>Table2[[#This Row],[distance from 45-degree line]]/MAX(Table2[[Abundance in SC (g protein/g all proteins)]:[Abundance in RT (g protein/g all proteins)]])</f>
        <v>6.9200923860855508E-5</v>
      </c>
      <c r="F563">
        <f>_xlfn.RANK.AVG(Table2[[#This Row],[Abundance in SC (g protein/g all proteins)]],Table2[Abundance in SC (g protein/g all proteins)])</f>
        <v>458</v>
      </c>
      <c r="G563">
        <f>_xlfn.RANK.AVG(Table2[[#This Row],[Abundance in RT (g protein/g all proteins)]],Table2[Abundance in RT (g protein/g all proteins)])</f>
        <v>492</v>
      </c>
      <c r="H563">
        <f>LOG(Table2[[#This Row],[Abundance in SC (g protein/g all proteins)]])</f>
        <v>-4.786461183606435</v>
      </c>
      <c r="I563">
        <f>LOG(Table2[[#This Row],[Abundance in RT (g protein/g all proteins)]])</f>
        <v>-4.7166987712964508</v>
      </c>
    </row>
    <row r="564" spans="1:9" x14ac:dyDescent="0.2">
      <c r="A564" t="s">
        <v>2864</v>
      </c>
      <c r="B564">
        <v>1.03156561767115E-5</v>
      </c>
      <c r="C564">
        <v>1.29E-5</v>
      </c>
      <c r="D564">
        <f t="shared" si="8"/>
        <v>1.8274070423648673E-6</v>
      </c>
      <c r="E564">
        <f>Table2[[#This Row],[distance from 45-degree line]]/MAX(Table2[[Abundance in SC (g protein/g all proteins)]:[Abundance in RT (g protein/g all proteins)]])</f>
        <v>6.2767980916217438E-5</v>
      </c>
      <c r="F564">
        <f>_xlfn.RANK.AVG(Table2[[#This Row],[Abundance in SC (g protein/g all proteins)]],Table2[Abundance in SC (g protein/g all proteins)])</f>
        <v>505</v>
      </c>
      <c r="G564">
        <f>_xlfn.RANK.AVG(Table2[[#This Row],[Abundance in RT (g protein/g all proteins)]],Table2[Abundance in RT (g protein/g all proteins)])</f>
        <v>510.5</v>
      </c>
      <c r="H564">
        <f>LOG(Table2[[#This Row],[Abundance in SC (g protein/g all proteins)]])</f>
        <v>-4.986503141431867</v>
      </c>
      <c r="I564">
        <f>LOG(Table2[[#This Row],[Abundance in RT (g protein/g all proteins)]])</f>
        <v>-4.8894102897007512</v>
      </c>
    </row>
    <row r="565" spans="1:9" x14ac:dyDescent="0.2">
      <c r="A565" t="s">
        <v>2421</v>
      </c>
      <c r="B565">
        <v>9.0393160117268802E-6</v>
      </c>
      <c r="C565">
        <v>1.1600000000000001E-5</v>
      </c>
      <c r="D565">
        <f t="shared" si="8"/>
        <v>1.8106770125837371E-6</v>
      </c>
      <c r="E565">
        <f>Table2[[#This Row],[distance from 45-degree line]]/MAX(Table2[[Abundance in SC (g protein/g all proteins)]:[Abundance in RT (g protein/g all proteins)]])</f>
        <v>6.2193335987263475E-5</v>
      </c>
      <c r="F565">
        <f>_xlfn.RANK.AVG(Table2[[#This Row],[Abundance in SC (g protein/g all proteins)]],Table2[Abundance in SC (g protein/g all proteins)])</f>
        <v>514</v>
      </c>
      <c r="G565">
        <f>_xlfn.RANK.AVG(Table2[[#This Row],[Abundance in RT (g protein/g all proteins)]],Table2[Abundance in RT (g protein/g all proteins)])</f>
        <v>517.5</v>
      </c>
      <c r="H565">
        <f>LOG(Table2[[#This Row],[Abundance in SC (g protein/g all proteins)]])</f>
        <v>-5.0438644305391414</v>
      </c>
      <c r="I565">
        <f>LOG(Table2[[#This Row],[Abundance in RT (g protein/g all proteins)]])</f>
        <v>-4.9355420107730819</v>
      </c>
    </row>
    <row r="566" spans="1:9" x14ac:dyDescent="0.2">
      <c r="A566" t="s">
        <v>2384</v>
      </c>
      <c r="B566">
        <v>1.2686748760551799E-5</v>
      </c>
      <c r="C566">
        <v>1.5099999999999999E-5</v>
      </c>
      <c r="D566">
        <f t="shared" si="8"/>
        <v>1.7064263161206629E-6</v>
      </c>
      <c r="E566">
        <f>Table2[[#This Row],[distance from 45-degree line]]/MAX(Table2[[Abundance in SC (g protein/g all proteins)]:[Abundance in RT (g protein/g all proteins)]])</f>
        <v>5.8612521437250326E-5</v>
      </c>
      <c r="F566">
        <f>_xlfn.RANK.AVG(Table2[[#This Row],[Abundance in SC (g protein/g all proteins)]],Table2[Abundance in SC (g protein/g all proteins)])</f>
        <v>485</v>
      </c>
      <c r="G566">
        <f>_xlfn.RANK.AVG(Table2[[#This Row],[Abundance in RT (g protein/g all proteins)]],Table2[Abundance in RT (g protein/g all proteins)])</f>
        <v>506</v>
      </c>
      <c r="H566">
        <f>LOG(Table2[[#This Row],[Abundance in SC (g protein/g all proteins)]])</f>
        <v>-4.8966496605107031</v>
      </c>
      <c r="I566">
        <f>LOG(Table2[[#This Row],[Abundance in RT (g protein/g all proteins)]])</f>
        <v>-4.8210230527068303</v>
      </c>
    </row>
    <row r="567" spans="1:9" x14ac:dyDescent="0.2">
      <c r="A567" t="s">
        <v>2345</v>
      </c>
      <c r="B567">
        <v>3.0442482375869798E-6</v>
      </c>
      <c r="C567">
        <v>6.3100000000000008E-7</v>
      </c>
      <c r="D567">
        <f t="shared" si="8"/>
        <v>1.7064241934842378E-6</v>
      </c>
      <c r="E567">
        <f>Table2[[#This Row],[distance from 45-degree line]]/MAX(Table2[[Abundance in SC (g protein/g all proteins)]:[Abundance in RT (g protein/g all proteins)]])</f>
        <v>5.8612448528697643E-5</v>
      </c>
      <c r="F567">
        <f>_xlfn.RANK.AVG(Table2[[#This Row],[Abundance in SC (g protein/g all proteins)]],Table2[Abundance in SC (g protein/g all proteins)])</f>
        <v>566</v>
      </c>
      <c r="G567">
        <f>_xlfn.RANK.AVG(Table2[[#This Row],[Abundance in RT (g protein/g all proteins)]],Table2[Abundance in RT (g protein/g all proteins)])</f>
        <v>582</v>
      </c>
      <c r="H567">
        <f>LOG(Table2[[#This Row],[Abundance in SC (g protein/g all proteins)]])</f>
        <v>-5.5165199367179572</v>
      </c>
      <c r="I567">
        <f>LOG(Table2[[#This Row],[Abundance in RT (g protein/g all proteins)]])</f>
        <v>-6.1999706407558657</v>
      </c>
    </row>
    <row r="568" spans="1:9" x14ac:dyDescent="0.2">
      <c r="A568" t="s">
        <v>2448</v>
      </c>
      <c r="B568">
        <v>1.19341376647957E-4</v>
      </c>
      <c r="C568">
        <v>1.17E-4</v>
      </c>
      <c r="D568">
        <f t="shared" si="8"/>
        <v>1.6556033050822233E-6</v>
      </c>
      <c r="E568">
        <f>Table2[[#This Row],[distance from 45-degree line]]/MAX(Table2[[Abundance in SC (g protein/g all proteins)]:[Abundance in RT (g protein/g all proteins)]])</f>
        <v>5.6866846985412166E-5</v>
      </c>
      <c r="F568">
        <f>_xlfn.RANK.AVG(Table2[[#This Row],[Abundance in SC (g protein/g all proteins)]],Table2[Abundance in SC (g protein/g all proteins)])</f>
        <v>268</v>
      </c>
      <c r="G568">
        <f>_xlfn.RANK.AVG(Table2[[#This Row],[Abundance in RT (g protein/g all proteins)]],Table2[Abundance in RT (g protein/g all proteins)])</f>
        <v>303</v>
      </c>
      <c r="H568">
        <f>LOG(Table2[[#This Row],[Abundance in SC (g protein/g all proteins)]])</f>
        <v>-3.9232089567117723</v>
      </c>
      <c r="I568">
        <f>LOG(Table2[[#This Row],[Abundance in RT (g protein/g all proteins)]])</f>
        <v>-3.9318141382538383</v>
      </c>
    </row>
    <row r="569" spans="1:9" x14ac:dyDescent="0.2">
      <c r="A569" t="s">
        <v>2796</v>
      </c>
      <c r="B569">
        <v>3.20874200896349E-4</v>
      </c>
      <c r="C569">
        <v>3.2299999999999999E-4</v>
      </c>
      <c r="D569">
        <f t="shared" si="8"/>
        <v>1.5031669616319003E-6</v>
      </c>
      <c r="E569">
        <f>Table2[[#This Row],[distance from 45-degree line]]/MAX(Table2[[Abundance in SC (g protein/g all proteins)]:[Abundance in RT (g protein/g all proteins)]])</f>
        <v>5.1630946458157092E-5</v>
      </c>
      <c r="F569">
        <f>_xlfn.RANK.AVG(Table2[[#This Row],[Abundance in SC (g protein/g all proteins)]],Table2[Abundance in SC (g protein/g all proteins)])</f>
        <v>181</v>
      </c>
      <c r="G569">
        <f>_xlfn.RANK.AVG(Table2[[#This Row],[Abundance in RT (g protein/g all proteins)]],Table2[Abundance in RT (g protein/g all proteins)])</f>
        <v>188</v>
      </c>
      <c r="H569">
        <f>LOG(Table2[[#This Row],[Abundance in SC (g protein/g all proteins)]])</f>
        <v>-3.4936651998841568</v>
      </c>
      <c r="I569">
        <f>LOG(Table2[[#This Row],[Abundance in RT (g protein/g all proteins)]])</f>
        <v>-3.490797477668897</v>
      </c>
    </row>
    <row r="570" spans="1:9" x14ac:dyDescent="0.2">
      <c r="A570" t="s">
        <v>2420</v>
      </c>
      <c r="B570">
        <v>8.3223652292673508E-6</v>
      </c>
      <c r="C570">
        <v>6.2400000000000004E-6</v>
      </c>
      <c r="D570">
        <f t="shared" si="8"/>
        <v>1.4724545745220231E-6</v>
      </c>
      <c r="E570">
        <f>Table2[[#This Row],[distance from 45-degree line]]/MAX(Table2[[Abundance in SC (g protein/g all proteins)]:[Abundance in RT (g protein/g all proteins)]])</f>
        <v>5.0576033960113128E-5</v>
      </c>
      <c r="F570">
        <f>_xlfn.RANK.AVG(Table2[[#This Row],[Abundance in SC (g protein/g all proteins)]],Table2[Abundance in SC (g protein/g all proteins)])</f>
        <v>522</v>
      </c>
      <c r="G570">
        <f>_xlfn.RANK.AVG(Table2[[#This Row],[Abundance in RT (g protein/g all proteins)]],Table2[Abundance in RT (g protein/g all proteins)])</f>
        <v>547</v>
      </c>
      <c r="H570">
        <f>LOG(Table2[[#This Row],[Abundance in SC (g protein/g all proteins)]])</f>
        <v>-5.079753228993094</v>
      </c>
      <c r="I570">
        <f>LOG(Table2[[#This Row],[Abundance in RT (g protein/g all proteins)]])</f>
        <v>-5.2048154103175763</v>
      </c>
    </row>
    <row r="571" spans="1:9" x14ac:dyDescent="0.2">
      <c r="A571" t="s">
        <v>2336</v>
      </c>
      <c r="B571">
        <v>5.9043312825832704E-6</v>
      </c>
      <c r="C571">
        <v>7.9400000000000002E-6</v>
      </c>
      <c r="D571">
        <f t="shared" si="8"/>
        <v>1.4394351543346913E-6</v>
      </c>
      <c r="E571">
        <f>Table2[[#This Row],[distance from 45-degree line]]/MAX(Table2[[Abundance in SC (g protein/g all proteins)]:[Abundance in RT (g protein/g all proteins)]])</f>
        <v>4.9441879232603224E-5</v>
      </c>
      <c r="F571">
        <f>_xlfn.RANK.AVG(Table2[[#This Row],[Abundance in SC (g protein/g all proteins)]],Table2[Abundance in SC (g protein/g all proteins)])</f>
        <v>543</v>
      </c>
      <c r="G571">
        <f>_xlfn.RANK.AVG(Table2[[#This Row],[Abundance in RT (g protein/g all proteins)]],Table2[Abundance in RT (g protein/g all proteins)])</f>
        <v>534.5</v>
      </c>
      <c r="H571">
        <f>LOG(Table2[[#This Row],[Abundance in SC (g protein/g all proteins)]])</f>
        <v>-5.2288292829327263</v>
      </c>
      <c r="I571">
        <f>LOG(Table2[[#This Row],[Abundance in RT (g protein/g all proteins)]])</f>
        <v>-5.1001794975729036</v>
      </c>
    </row>
    <row r="572" spans="1:9" x14ac:dyDescent="0.2">
      <c r="A572" t="s">
        <v>2495</v>
      </c>
      <c r="B572">
        <v>8.4458291177138499E-6</v>
      </c>
      <c r="C572">
        <v>6.4400000000000002E-6</v>
      </c>
      <c r="D572">
        <f t="shared" si="8"/>
        <v>1.4183353710368926E-6</v>
      </c>
      <c r="E572">
        <f>Table2[[#This Row],[distance from 45-degree line]]/MAX(Table2[[Abundance in SC (g protein/g all proteins)]:[Abundance in RT (g protein/g all proteins)]])</f>
        <v>4.8717141522465779E-5</v>
      </c>
      <c r="F572">
        <f>_xlfn.RANK.AVG(Table2[[#This Row],[Abundance in SC (g protein/g all proteins)]],Table2[Abundance in SC (g protein/g all proteins)])</f>
        <v>520</v>
      </c>
      <c r="G572">
        <f>_xlfn.RANK.AVG(Table2[[#This Row],[Abundance in RT (g protein/g all proteins)]],Table2[Abundance in RT (g protein/g all proteins)])</f>
        <v>546</v>
      </c>
      <c r="H572">
        <f>LOG(Table2[[#This Row],[Abundance in SC (g protein/g all proteins)]])</f>
        <v>-5.0733577097906624</v>
      </c>
      <c r="I572">
        <f>LOG(Table2[[#This Row],[Abundance in RT (g protein/g all proteins)]])</f>
        <v>-5.1911141326401875</v>
      </c>
    </row>
    <row r="573" spans="1:9" x14ac:dyDescent="0.2">
      <c r="A573" t="s">
        <v>2354</v>
      </c>
      <c r="B573">
        <v>8.1743627956573298E-7</v>
      </c>
      <c r="C573">
        <v>2.61E-6</v>
      </c>
      <c r="D573">
        <f t="shared" si="8"/>
        <v>1.2675339624280569E-6</v>
      </c>
      <c r="E573">
        <f>Table2[[#This Row],[distance from 45-degree line]]/MAX(Table2[[Abundance in SC (g protein/g all proteins)]:[Abundance in RT (g protein/g all proteins)]])</f>
        <v>4.3537397919503242E-5</v>
      </c>
      <c r="F573">
        <f>_xlfn.RANK.AVG(Table2[[#This Row],[Abundance in SC (g protein/g all proteins)]],Table2[Abundance in SC (g protein/g all proteins)])</f>
        <v>582</v>
      </c>
      <c r="G573">
        <f>_xlfn.RANK.AVG(Table2[[#This Row],[Abundance in RT (g protein/g all proteins)]],Table2[Abundance in RT (g protein/g all proteins)])</f>
        <v>568</v>
      </c>
      <c r="H573">
        <f>LOG(Table2[[#This Row],[Abundance in SC (g protein/g all proteins)]])</f>
        <v>-6.0875460912811956</v>
      </c>
      <c r="I573">
        <f>LOG(Table2[[#This Row],[Abundance in RT (g protein/g all proteins)]])</f>
        <v>-5.5833594926617192</v>
      </c>
    </row>
    <row r="574" spans="1:9" x14ac:dyDescent="0.2">
      <c r="A574" t="s">
        <v>2730</v>
      </c>
      <c r="B574">
        <v>6.6393744789241996E-6</v>
      </c>
      <c r="C574">
        <v>4.8600000000000001E-6</v>
      </c>
      <c r="D574">
        <f t="shared" si="8"/>
        <v>1.2582077603175809E-6</v>
      </c>
      <c r="E574">
        <f>Table2[[#This Row],[distance from 45-degree line]]/MAX(Table2[[Abundance in SC (g protein/g all proteins)]:[Abundance in RT (g protein/g all proteins)]])</f>
        <v>4.3217060489187996E-5</v>
      </c>
      <c r="F574">
        <f>_xlfn.RANK.AVG(Table2[[#This Row],[Abundance in SC (g protein/g all proteins)]],Table2[Abundance in SC (g protein/g all proteins)])</f>
        <v>538</v>
      </c>
      <c r="G574">
        <f>_xlfn.RANK.AVG(Table2[[#This Row],[Abundance in RT (g protein/g all proteins)]],Table2[Abundance in RT (g protein/g all proteins)])</f>
        <v>554</v>
      </c>
      <c r="H574">
        <f>LOG(Table2[[#This Row],[Abundance in SC (g protein/g all proteins)]])</f>
        <v>-5.1778728352627379</v>
      </c>
      <c r="I574">
        <f>LOG(Table2[[#This Row],[Abundance in RT (g protein/g all proteins)]])</f>
        <v>-5.3133637307377066</v>
      </c>
    </row>
    <row r="575" spans="1:9" x14ac:dyDescent="0.2">
      <c r="A575" t="s">
        <v>2799</v>
      </c>
      <c r="B575">
        <v>1.0132324571485601E-3</v>
      </c>
      <c r="C575">
        <v>1.0150000000000001E-3</v>
      </c>
      <c r="D575">
        <f t="shared" si="8"/>
        <v>1.2498415362910111E-6</v>
      </c>
      <c r="E575">
        <f>Table2[[#This Row],[distance from 45-degree line]]/MAX(Table2[[Abundance in SC (g protein/g all proteins)]:[Abundance in RT (g protein/g all proteins)]])</f>
        <v>4.2929696493172661E-5</v>
      </c>
      <c r="F575">
        <f>_xlfn.RANK.AVG(Table2[[#This Row],[Abundance in SC (g protein/g all proteins)]],Table2[Abundance in SC (g protein/g all proteins)])</f>
        <v>89</v>
      </c>
      <c r="G575">
        <f>_xlfn.RANK.AVG(Table2[[#This Row],[Abundance in RT (g protein/g all proteins)]],Table2[Abundance in RT (g protein/g all proteins)])</f>
        <v>84</v>
      </c>
      <c r="H575">
        <f>LOG(Table2[[#This Row],[Abundance in SC (g protein/g all proteins)]])</f>
        <v>-2.9942909067863992</v>
      </c>
      <c r="I575">
        <f>LOG(Table2[[#This Row],[Abundance in RT (g protein/g all proteins)]])</f>
        <v>-2.9935339577507682</v>
      </c>
    </row>
    <row r="576" spans="1:9" x14ac:dyDescent="0.2">
      <c r="A576" t="s">
        <v>2685</v>
      </c>
      <c r="B576">
        <v>5.0233096617755197E-6</v>
      </c>
      <c r="C576">
        <v>6.5699999999999998E-6</v>
      </c>
      <c r="D576">
        <f t="shared" si="8"/>
        <v>1.0936752265542445E-6</v>
      </c>
      <c r="E576">
        <f>Table2[[#This Row],[distance from 45-degree line]]/MAX(Table2[[Abundance in SC (g protein/g all proteins)]:[Abundance in RT (g protein/g all proteins)]])</f>
        <v>3.7565678667878369E-5</v>
      </c>
      <c r="F576">
        <f>_xlfn.RANK.AVG(Table2[[#This Row],[Abundance in SC (g protein/g all proteins)]],Table2[Abundance in SC (g protein/g all proteins)])</f>
        <v>552</v>
      </c>
      <c r="G576">
        <f>_xlfn.RANK.AVG(Table2[[#This Row],[Abundance in RT (g protein/g all proteins)]],Table2[Abundance in RT (g protein/g all proteins)])</f>
        <v>545</v>
      </c>
      <c r="H576">
        <f>LOG(Table2[[#This Row],[Abundance in SC (g protein/g all proteins)]])</f>
        <v>-5.2990100489447434</v>
      </c>
      <c r="I576">
        <f>LOG(Table2[[#This Row],[Abundance in RT (g protein/g all proteins)]])</f>
        <v>-5.1824346304402189</v>
      </c>
    </row>
    <row r="577" spans="1:9" x14ac:dyDescent="0.2">
      <c r="A577" t="s">
        <v>2511</v>
      </c>
      <c r="B577">
        <v>1.61955010130962E-6</v>
      </c>
      <c r="C577">
        <v>2.91E-7</v>
      </c>
      <c r="D577">
        <f t="shared" si="8"/>
        <v>9.3942678578210694E-7</v>
      </c>
      <c r="E577">
        <f>Table2[[#This Row],[distance from 45-degree line]]/MAX(Table2[[Abundance in SC (g protein/g all proteins)]:[Abundance in RT (g protein/g all proteins)]])</f>
        <v>3.226753601969616E-5</v>
      </c>
      <c r="F577">
        <f>_xlfn.RANK.AVG(Table2[[#This Row],[Abundance in SC (g protein/g all proteins)]],Table2[Abundance in SC (g protein/g all proteins)])</f>
        <v>572</v>
      </c>
      <c r="G577">
        <f>_xlfn.RANK.AVG(Table2[[#This Row],[Abundance in RT (g protein/g all proteins)]],Table2[Abundance in RT (g protein/g all proteins)])</f>
        <v>587</v>
      </c>
      <c r="H577">
        <f>LOG(Table2[[#This Row],[Abundance in SC (g protein/g all proteins)]])</f>
        <v>-5.7906056124048115</v>
      </c>
      <c r="I577">
        <f>LOG(Table2[[#This Row],[Abundance in RT (g protein/g all proteins)]])</f>
        <v>-6.5361070110140931</v>
      </c>
    </row>
    <row r="578" spans="1:9" x14ac:dyDescent="0.2">
      <c r="A578" t="s">
        <v>2894</v>
      </c>
      <c r="B578">
        <v>3.7587532331459302E-6</v>
      </c>
      <c r="C578">
        <v>2.6900000000000001E-6</v>
      </c>
      <c r="D578">
        <f t="shared" ref="D578:D593" si="9">ABS(B578-C578)/SQRT(2)</f>
        <v>7.557226585725344E-7</v>
      </c>
      <c r="E578">
        <f>Table2[[#This Row],[distance from 45-degree line]]/MAX(Table2[[Abundance in SC (g protein/g all proteins)]:[Abundance in RT (g protein/g all proteins)]])</f>
        <v>2.5957646168336725E-5</v>
      </c>
      <c r="F578">
        <f>_xlfn.RANK.AVG(Table2[[#This Row],[Abundance in SC (g protein/g all proteins)]],Table2[Abundance in SC (g protein/g all proteins)])</f>
        <v>560</v>
      </c>
      <c r="G578">
        <f>_xlfn.RANK.AVG(Table2[[#This Row],[Abundance in RT (g protein/g all proteins)]],Table2[Abundance in RT (g protein/g all proteins)])</f>
        <v>567</v>
      </c>
      <c r="H578">
        <f>LOG(Table2[[#This Row],[Abundance in SC (g protein/g all proteins)]])</f>
        <v>-5.4249561853265886</v>
      </c>
      <c r="I578">
        <f>LOG(Table2[[#This Row],[Abundance in RT (g protein/g all proteins)]])</f>
        <v>-5.5702477199975924</v>
      </c>
    </row>
    <row r="579" spans="1:9" x14ac:dyDescent="0.2">
      <c r="A579" t="s">
        <v>2378</v>
      </c>
      <c r="B579">
        <v>1.2148959550129899E-6</v>
      </c>
      <c r="C579">
        <v>1.8099999999999999E-7</v>
      </c>
      <c r="D579">
        <f t="shared" si="9"/>
        <v>7.3107484083102675E-7</v>
      </c>
      <c r="E579">
        <f>Table2[[#This Row],[distance from 45-degree line]]/MAX(Table2[[Abundance in SC (g protein/g all proteins)]:[Abundance in RT (g protein/g all proteins)]])</f>
        <v>2.5111040175386601E-5</v>
      </c>
      <c r="F579">
        <f>_xlfn.RANK.AVG(Table2[[#This Row],[Abundance in SC (g protein/g all proteins)]],Table2[Abundance in SC (g protein/g all proteins)])</f>
        <v>577</v>
      </c>
      <c r="G579">
        <f>_xlfn.RANK.AVG(Table2[[#This Row],[Abundance in RT (g protein/g all proteins)]],Table2[Abundance in RT (g protein/g all proteins)])</f>
        <v>588</v>
      </c>
      <c r="H579">
        <f>LOG(Table2[[#This Row],[Abundance in SC (g protein/g all proteins)]])</f>
        <v>-5.915460913916343</v>
      </c>
      <c r="I579">
        <f>LOG(Table2[[#This Row],[Abundance in RT (g protein/g all proteins)]])</f>
        <v>-6.7423214251308154</v>
      </c>
    </row>
    <row r="580" spans="1:9" x14ac:dyDescent="0.2">
      <c r="A580" t="s">
        <v>2892</v>
      </c>
      <c r="B580">
        <v>2.3401148506732399E-5</v>
      </c>
      <c r="C580">
        <v>2.2500000000000001E-5</v>
      </c>
      <c r="D580">
        <f t="shared" si="9"/>
        <v>6.372082199666093E-7</v>
      </c>
      <c r="E580">
        <f>Table2[[#This Row],[distance from 45-degree line]]/MAX(Table2[[Abundance in SC (g protein/g all proteins)]:[Abundance in RT (g protein/g all proteins)]])</f>
        <v>2.1886899012253673E-5</v>
      </c>
      <c r="F580">
        <f>_xlfn.RANK.AVG(Table2[[#This Row],[Abundance in SC (g protein/g all proteins)]],Table2[Abundance in SC (g protein/g all proteins)])</f>
        <v>423</v>
      </c>
      <c r="G580">
        <f>_xlfn.RANK.AVG(Table2[[#This Row],[Abundance in RT (g protein/g all proteins)]],Table2[Abundance in RT (g protein/g all proteins)])</f>
        <v>481</v>
      </c>
      <c r="H580">
        <f>LOG(Table2[[#This Row],[Abundance in SC (g protein/g all proteins)]])</f>
        <v>-4.6307628272951549</v>
      </c>
      <c r="I580">
        <f>LOG(Table2[[#This Row],[Abundance in RT (g protein/g all proteins)]])</f>
        <v>-4.6478174818886373</v>
      </c>
    </row>
    <row r="581" spans="1:9" x14ac:dyDescent="0.2">
      <c r="A581" t="s">
        <v>2628</v>
      </c>
      <c r="B581">
        <v>1.29330277469776E-6</v>
      </c>
      <c r="C581">
        <v>2.1399999999999998E-6</v>
      </c>
      <c r="D581">
        <f t="shared" si="9"/>
        <v>5.987053496230478E-7</v>
      </c>
      <c r="E581">
        <f>Table2[[#This Row],[distance from 45-degree line]]/MAX(Table2[[Abundance in SC (g protein/g all proteins)]:[Abundance in RT (g protein/g all proteins)]])</f>
        <v>2.0564398127165297E-5</v>
      </c>
      <c r="F581">
        <f>_xlfn.RANK.AVG(Table2[[#This Row],[Abundance in SC (g protein/g all proteins)]],Table2[Abundance in SC (g protein/g all proteins)])</f>
        <v>575</v>
      </c>
      <c r="G581">
        <f>_xlfn.RANK.AVG(Table2[[#This Row],[Abundance in RT (g protein/g all proteins)]],Table2[Abundance in RT (g protein/g all proteins)])</f>
        <v>571</v>
      </c>
      <c r="H581">
        <f>LOG(Table2[[#This Row],[Abundance in SC (g protein/g all proteins)]])</f>
        <v>-5.8882997906746262</v>
      </c>
      <c r="I581">
        <f>LOG(Table2[[#This Row],[Abundance in RT (g protein/g all proteins)]])</f>
        <v>-5.669586226650809</v>
      </c>
    </row>
    <row r="582" spans="1:9" x14ac:dyDescent="0.2">
      <c r="A582" t="s">
        <v>2370</v>
      </c>
      <c r="B582">
        <v>2.0792348371383399E-6</v>
      </c>
      <c r="C582">
        <v>2.88E-6</v>
      </c>
      <c r="D582">
        <f t="shared" si="9"/>
        <v>5.6622647679742983E-7</v>
      </c>
      <c r="E582">
        <f>Table2[[#This Row],[distance from 45-degree line]]/MAX(Table2[[Abundance in SC (g protein/g all proteins)]:[Abundance in RT (g protein/g all proteins)]])</f>
        <v>1.9448810180727036E-5</v>
      </c>
      <c r="F582">
        <f>_xlfn.RANK.AVG(Table2[[#This Row],[Abundance in SC (g protein/g all proteins)]],Table2[Abundance in SC (g protein/g all proteins)])</f>
        <v>571</v>
      </c>
      <c r="G582">
        <f>_xlfn.RANK.AVG(Table2[[#This Row],[Abundance in RT (g protein/g all proteins)]],Table2[Abundance in RT (g protein/g all proteins)])</f>
        <v>566</v>
      </c>
      <c r="H582">
        <f>LOG(Table2[[#This Row],[Abundance in SC (g protein/g all proteins)]])</f>
        <v>-5.6820964569342278</v>
      </c>
      <c r="I582">
        <f>LOG(Table2[[#This Row],[Abundance in RT (g protein/g all proteins)]])</f>
        <v>-5.5406075122407694</v>
      </c>
    </row>
    <row r="583" spans="1:9" x14ac:dyDescent="0.2">
      <c r="A583" t="s">
        <v>2792</v>
      </c>
      <c r="B583">
        <v>2.2091444851172801E-5</v>
      </c>
      <c r="C583">
        <v>2.1399999999999998E-5</v>
      </c>
      <c r="D583">
        <f t="shared" si="9"/>
        <v>4.8892534308081162E-7</v>
      </c>
      <c r="E583">
        <f>Table2[[#This Row],[distance from 45-degree line]]/MAX(Table2[[Abundance in SC (g protein/g all proteins)]:[Abundance in RT (g protein/g all proteins)]])</f>
        <v>1.6793662217825684E-5</v>
      </c>
      <c r="F583">
        <f>_xlfn.RANK.AVG(Table2[[#This Row],[Abundance in SC (g protein/g all proteins)]],Table2[Abundance in SC (g protein/g all proteins)])</f>
        <v>433</v>
      </c>
      <c r="G583">
        <f>_xlfn.RANK.AVG(Table2[[#This Row],[Abundance in RT (g protein/g all proteins)]],Table2[Abundance in RT (g protein/g all proteins)])</f>
        <v>487</v>
      </c>
      <c r="H583">
        <f>LOG(Table2[[#This Row],[Abundance in SC (g protein/g all proteins)]])</f>
        <v>-4.6557758789510588</v>
      </c>
      <c r="I583">
        <f>LOG(Table2[[#This Row],[Abundance in RT (g protein/g all proteins)]])</f>
        <v>-4.669586226650809</v>
      </c>
    </row>
    <row r="584" spans="1:9" x14ac:dyDescent="0.2">
      <c r="A584" t="s">
        <v>2824</v>
      </c>
      <c r="B584">
        <v>8.3548466241794596E-5</v>
      </c>
      <c r="C584">
        <v>8.42E-5</v>
      </c>
      <c r="D584">
        <f t="shared" si="9"/>
        <v>4.6070393859899759E-7</v>
      </c>
      <c r="E584">
        <f>Table2[[#This Row],[distance from 45-degree line]]/MAX(Table2[[Abundance in SC (g protein/g all proteins)]:[Abundance in RT (g protein/g all proteins)]])</f>
        <v>1.5824310268929303E-5</v>
      </c>
      <c r="F584">
        <f>_xlfn.RANK.AVG(Table2[[#This Row],[Abundance in SC (g protein/g all proteins)]],Table2[Abundance in SC (g protein/g all proteins)])</f>
        <v>295</v>
      </c>
      <c r="G584">
        <f>_xlfn.RANK.AVG(Table2[[#This Row],[Abundance in RT (g protein/g all proteins)]],Table2[Abundance in RT (g protein/g all proteins)])</f>
        <v>347</v>
      </c>
      <c r="H584">
        <f>LOG(Table2[[#This Row],[Abundance in SC (g protein/g all proteins)]])</f>
        <v>-4.0780615183479592</v>
      </c>
      <c r="I584">
        <f>LOG(Table2[[#This Row],[Abundance in RT (g protein/g all proteins)]])</f>
        <v>-4.0746879085003505</v>
      </c>
    </row>
    <row r="585" spans="1:9" x14ac:dyDescent="0.2">
      <c r="A585" t="s">
        <v>2657</v>
      </c>
      <c r="B585">
        <v>8.9192807075846898E-6</v>
      </c>
      <c r="C585">
        <v>8.32E-6</v>
      </c>
      <c r="D585">
        <f t="shared" si="9"/>
        <v>4.2375545216740664E-7</v>
      </c>
      <c r="E585">
        <f>Table2[[#This Row],[distance from 45-degree line]]/MAX(Table2[[Abundance in SC (g protein/g all proteins)]:[Abundance in RT (g protein/g all proteins)]])</f>
        <v>1.4555199535821946E-5</v>
      </c>
      <c r="F585">
        <f>_xlfn.RANK.AVG(Table2[[#This Row],[Abundance in SC (g protein/g all proteins)]],Table2[Abundance in SC (g protein/g all proteins)])</f>
        <v>517</v>
      </c>
      <c r="G585">
        <f>_xlfn.RANK.AVG(Table2[[#This Row],[Abundance in RT (g protein/g all proteins)]],Table2[Abundance in RT (g protein/g all proteins)])</f>
        <v>531</v>
      </c>
      <c r="H585">
        <f>LOG(Table2[[#This Row],[Abundance in SC (g protein/g all proteins)]])</f>
        <v>-5.0496701677452434</v>
      </c>
      <c r="I585">
        <f>LOG(Table2[[#This Row],[Abundance in RT (g protein/g all proteins)]])</f>
        <v>-5.0798766737092764</v>
      </c>
    </row>
    <row r="586" spans="1:9" x14ac:dyDescent="0.2">
      <c r="A586" t="s">
        <v>2347</v>
      </c>
      <c r="B586">
        <v>2.21692095241889E-5</v>
      </c>
      <c r="C586">
        <v>2.1590000000000002E-5</v>
      </c>
      <c r="D586">
        <f t="shared" si="9"/>
        <v>4.0956298228180351E-7</v>
      </c>
      <c r="E586">
        <f>Table2[[#This Row],[distance from 45-degree line]]/MAX(Table2[[Abundance in SC (g protein/g all proteins)]:[Abundance in RT (g protein/g all proteins)]])</f>
        <v>1.4067714997193545E-5</v>
      </c>
      <c r="F586">
        <f>_xlfn.RANK.AVG(Table2[[#This Row],[Abundance in SC (g protein/g all proteins)]],Table2[Abundance in SC (g protein/g all proteins)])</f>
        <v>432</v>
      </c>
      <c r="G586">
        <f>_xlfn.RANK.AVG(Table2[[#This Row],[Abundance in RT (g protein/g all proteins)]],Table2[Abundance in RT (g protein/g all proteins)])</f>
        <v>485</v>
      </c>
      <c r="H586">
        <f>LOG(Table2[[#This Row],[Abundance in SC (g protein/g all proteins)]])</f>
        <v>-4.6542497920187182</v>
      </c>
      <c r="I586">
        <f>LOG(Table2[[#This Row],[Abundance in RT (g protein/g all proteins)]])</f>
        <v>-4.6657473576657695</v>
      </c>
    </row>
    <row r="587" spans="1:9" x14ac:dyDescent="0.2">
      <c r="A587" t="s">
        <v>2412</v>
      </c>
      <c r="B587">
        <v>3.1905097018898701E-6</v>
      </c>
      <c r="C587">
        <v>3.72E-6</v>
      </c>
      <c r="D587">
        <f t="shared" si="9"/>
        <v>3.7440618036615941E-7</v>
      </c>
      <c r="E587">
        <f>Table2[[#This Row],[distance from 45-degree line]]/MAX(Table2[[Abundance in SC (g protein/g all proteins)]:[Abundance in RT (g protein/g all proteins)]])</f>
        <v>1.2860145243680588E-5</v>
      </c>
      <c r="F587">
        <f>_xlfn.RANK.AVG(Table2[[#This Row],[Abundance in SC (g protein/g all proteins)]],Table2[Abundance in SC (g protein/g all proteins)])</f>
        <v>565</v>
      </c>
      <c r="G587">
        <f>_xlfn.RANK.AVG(Table2[[#This Row],[Abundance in RT (g protein/g all proteins)]],Table2[Abundance in RT (g protein/g all proteins)])</f>
        <v>556</v>
      </c>
      <c r="H587">
        <f>LOG(Table2[[#This Row],[Abundance in SC (g protein/g all proteins)]])</f>
        <v>-5.496139930411335</v>
      </c>
      <c r="I587">
        <f>LOG(Table2[[#This Row],[Abundance in RT (g protein/g all proteins)]])</f>
        <v>-5.4294570601181027</v>
      </c>
    </row>
    <row r="588" spans="1:9" x14ac:dyDescent="0.2">
      <c r="A588" t="s">
        <v>2466</v>
      </c>
      <c r="B588">
        <v>1.7769261298411801E-5</v>
      </c>
      <c r="C588">
        <v>1.73E-5</v>
      </c>
      <c r="D588">
        <f t="shared" si="9"/>
        <v>3.3181784625538799E-7</v>
      </c>
      <c r="E588">
        <f>Table2[[#This Row],[distance from 45-degree line]]/MAX(Table2[[Abundance in SC (g protein/g all proteins)]:[Abundance in RT (g protein/g all proteins)]])</f>
        <v>1.1397316393432207E-5</v>
      </c>
      <c r="F588">
        <f>_xlfn.RANK.AVG(Table2[[#This Row],[Abundance in SC (g protein/g all proteins)]],Table2[Abundance in SC (g protein/g all proteins)])</f>
        <v>449</v>
      </c>
      <c r="G588">
        <f>_xlfn.RANK.AVG(Table2[[#This Row],[Abundance in RT (g protein/g all proteins)]],Table2[Abundance in RT (g protein/g all proteins)])</f>
        <v>499</v>
      </c>
      <c r="H588">
        <f>LOG(Table2[[#This Row],[Abundance in SC (g protein/g all proteins)]])</f>
        <v>-4.7503306262572682</v>
      </c>
      <c r="I588">
        <f>LOG(Table2[[#This Row],[Abundance in RT (g protein/g all proteins)]])</f>
        <v>-4.761953896871205</v>
      </c>
    </row>
    <row r="589" spans="1:9" x14ac:dyDescent="0.2">
      <c r="A589" t="s">
        <v>2859</v>
      </c>
      <c r="B589">
        <v>5.2660073070694503E-6</v>
      </c>
      <c r="C589">
        <v>4.8999999999999997E-6</v>
      </c>
      <c r="D589">
        <f t="shared" si="9"/>
        <v>2.5880624879263556E-7</v>
      </c>
      <c r="E589">
        <f>Table2[[#This Row],[distance from 45-degree line]]/MAX(Table2[[Abundance in SC (g protein/g all proteins)]:[Abundance in RT (g protein/g all proteins)]])</f>
        <v>8.8895059002243248E-6</v>
      </c>
      <c r="F589">
        <f>_xlfn.RANK.AVG(Table2[[#This Row],[Abundance in SC (g protein/g all proteins)]],Table2[Abundance in SC (g protein/g all proteins)])</f>
        <v>550</v>
      </c>
      <c r="G589">
        <f>_xlfn.RANK.AVG(Table2[[#This Row],[Abundance in RT (g protein/g all proteins)]],Table2[Abundance in RT (g protein/g all proteins)])</f>
        <v>553</v>
      </c>
      <c r="H589">
        <f>LOG(Table2[[#This Row],[Abundance in SC (g protein/g all proteins)]])</f>
        <v>-5.2785185426059975</v>
      </c>
      <c r="I589">
        <f>LOG(Table2[[#This Row],[Abundance in RT (g protein/g all proteins)]])</f>
        <v>-5.3098039199714862</v>
      </c>
    </row>
    <row r="590" spans="1:9" x14ac:dyDescent="0.2">
      <c r="A590" t="s">
        <v>2393</v>
      </c>
      <c r="B590">
        <v>2.2603026343632999E-6</v>
      </c>
      <c r="C590">
        <v>1.9999999999999999E-6</v>
      </c>
      <c r="D590">
        <f t="shared" si="9"/>
        <v>1.8406175791901181E-7</v>
      </c>
      <c r="E590">
        <f>Table2[[#This Row],[distance from 45-degree line]]/MAX(Table2[[Abundance in SC (g protein/g all proteins)]:[Abundance in RT (g protein/g all proteins)]])</f>
        <v>6.3221737908566148E-6</v>
      </c>
      <c r="F590">
        <f>_xlfn.RANK.AVG(Table2[[#This Row],[Abundance in SC (g protein/g all proteins)]],Table2[Abundance in SC (g protein/g all proteins)])</f>
        <v>570</v>
      </c>
      <c r="G590">
        <f>_xlfn.RANK.AVG(Table2[[#This Row],[Abundance in RT (g protein/g all proteins)]],Table2[Abundance in RT (g protein/g all proteins)])</f>
        <v>572</v>
      </c>
      <c r="H590">
        <f>LOG(Table2[[#This Row],[Abundance in SC (g protein/g all proteins)]])</f>
        <v>-5.6458334088017992</v>
      </c>
      <c r="I590">
        <f>LOG(Table2[[#This Row],[Abundance in RT (g protein/g all proteins)]])</f>
        <v>-5.6989700043360187</v>
      </c>
    </row>
    <row r="591" spans="1:9" x14ac:dyDescent="0.2">
      <c r="A591" t="s">
        <v>2777</v>
      </c>
      <c r="B591">
        <v>7.9989010598143204E-7</v>
      </c>
      <c r="C591">
        <v>1.0100000000000001E-6</v>
      </c>
      <c r="D591">
        <f t="shared" si="9"/>
        <v>1.4857013085491626E-7</v>
      </c>
      <c r="E591">
        <f>Table2[[#This Row],[distance from 45-degree line]]/MAX(Table2[[Abundance in SC (g protein/g all proteins)]:[Abundance in RT (g protein/g all proteins)]])</f>
        <v>5.1031034257989667E-6</v>
      </c>
      <c r="F591">
        <f>_xlfn.RANK.AVG(Table2[[#This Row],[Abundance in SC (g protein/g all proteins)]],Table2[Abundance in SC (g protein/g all proteins)])</f>
        <v>583</v>
      </c>
      <c r="G591">
        <f>_xlfn.RANK.AVG(Table2[[#This Row],[Abundance in RT (g protein/g all proteins)]],Table2[Abundance in RT (g protein/g all proteins)])</f>
        <v>578</v>
      </c>
      <c r="H591">
        <f>LOG(Table2[[#This Row],[Abundance in SC (g protein/g all proteins)]])</f>
        <v>-6.0969696750632876</v>
      </c>
      <c r="I591">
        <f>LOG(Table2[[#This Row],[Abundance in RT (g protein/g all proteins)]])</f>
        <v>-5.9956786262173578</v>
      </c>
    </row>
    <row r="592" spans="1:9" x14ac:dyDescent="0.2">
      <c r="A592" t="s">
        <v>2860</v>
      </c>
      <c r="B592">
        <v>1.1398107859138599E-5</v>
      </c>
      <c r="C592">
        <v>1.1600000000000001E-5</v>
      </c>
      <c r="D592">
        <f t="shared" si="9"/>
        <v>1.4275930187136672E-7</v>
      </c>
      <c r="E592">
        <f>Table2[[#This Row],[distance from 45-degree line]]/MAX(Table2[[Abundance in SC (g protein/g all proteins)]:[Abundance in RT (g protein/g all proteins)]])</f>
        <v>4.903512423744583E-6</v>
      </c>
      <c r="F592">
        <f>_xlfn.RANK.AVG(Table2[[#This Row],[Abundance in SC (g protein/g all proteins)]],Table2[Abundance in SC (g protein/g all proteins)])</f>
        <v>494</v>
      </c>
      <c r="G592">
        <f>_xlfn.RANK.AVG(Table2[[#This Row],[Abundance in RT (g protein/g all proteins)]],Table2[Abundance in RT (g protein/g all proteins)])</f>
        <v>517.5</v>
      </c>
      <c r="H592">
        <f>LOG(Table2[[#This Row],[Abundance in SC (g protein/g all proteins)]])</f>
        <v>-4.9431672376581099</v>
      </c>
      <c r="I592">
        <f>LOG(Table2[[#This Row],[Abundance in RT (g protein/g all proteins)]])</f>
        <v>-4.9355420107730819</v>
      </c>
    </row>
    <row r="593" spans="1:9" x14ac:dyDescent="0.2">
      <c r="A593" t="s">
        <v>2520</v>
      </c>
      <c r="B593">
        <v>3.3828029396187502E-6</v>
      </c>
      <c r="C593">
        <v>3.2200000000000001E-6</v>
      </c>
      <c r="D593">
        <f t="shared" si="9"/>
        <v>1.1511906260152221E-7</v>
      </c>
      <c r="E593">
        <f>Table2[[#This Row],[distance from 45-degree line]]/MAX(Table2[[Abundance in SC (g protein/g all proteins)]:[Abundance in RT (g protein/g all proteins)]])</f>
        <v>3.9541224023708544E-6</v>
      </c>
      <c r="F593">
        <f>_xlfn.RANK.AVG(Table2[[#This Row],[Abundance in SC (g protein/g all proteins)]],Table2[Abundance in SC (g protein/g all proteins)])</f>
        <v>564</v>
      </c>
      <c r="G593">
        <f>_xlfn.RANK.AVG(Table2[[#This Row],[Abundance in RT (g protein/g all proteins)]],Table2[Abundance in RT (g protein/g all proteins)])</f>
        <v>563</v>
      </c>
      <c r="H593">
        <f>LOG(Table2[[#This Row],[Abundance in SC (g protein/g all proteins)]])</f>
        <v>-5.4707233006834546</v>
      </c>
      <c r="I593">
        <f>LOG(Table2[[#This Row],[Abundance in RT (g protein/g all proteins)]])</f>
        <v>-5.4921441283041688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2"/>
  <sheetViews>
    <sheetView zoomScale="89" workbookViewId="0">
      <selection activeCell="E15" sqref="E15"/>
    </sheetView>
  </sheetViews>
  <sheetFormatPr baseColWidth="10" defaultColWidth="8.83203125" defaultRowHeight="15" x14ac:dyDescent="0.2"/>
  <cols>
    <col min="2" max="2" width="24.33203125" customWidth="1"/>
    <col min="3" max="3" width="24.1640625" customWidth="1"/>
    <col min="4" max="5" width="9" bestFit="1" customWidth="1"/>
    <col min="9" max="9" width="26.5" customWidth="1"/>
    <col min="13" max="13" width="9" bestFit="1" customWidth="1"/>
    <col min="17" max="17" width="12.1640625" bestFit="1" customWidth="1"/>
    <col min="18" max="18" width="34.83203125" customWidth="1"/>
    <col min="19" max="19" width="18.5" customWidth="1"/>
    <col min="20" max="20" width="12.1640625" bestFit="1" customWidth="1"/>
    <col min="21" max="21" width="11.1640625" bestFit="1" customWidth="1"/>
    <col min="22" max="23" width="9" bestFit="1" customWidth="1"/>
  </cols>
  <sheetData>
    <row r="1" spans="1:34" x14ac:dyDescent="0.2">
      <c r="A1" s="1" t="s">
        <v>2</v>
      </c>
      <c r="B1" s="1" t="s">
        <v>2907</v>
      </c>
      <c r="C1" s="1" t="s">
        <v>2908</v>
      </c>
      <c r="D1" s="2" t="s">
        <v>3110</v>
      </c>
      <c r="E1" s="2" t="s">
        <v>3111</v>
      </c>
      <c r="F1" s="2" t="s">
        <v>3216</v>
      </c>
      <c r="G1" s="2" t="s">
        <v>3217</v>
      </c>
      <c r="H1" s="2" t="s">
        <v>3215</v>
      </c>
      <c r="I1" s="2" t="s">
        <v>3112</v>
      </c>
      <c r="J1" s="2" t="s">
        <v>3219</v>
      </c>
      <c r="K1" s="2" t="s">
        <v>3221</v>
      </c>
      <c r="L1" s="2" t="s">
        <v>3220</v>
      </c>
      <c r="M1" s="2" t="s">
        <v>3290</v>
      </c>
      <c r="N1" s="2" t="s">
        <v>3293</v>
      </c>
      <c r="O1">
        <f>CORREL(Table3[log(x)],Table3[log(y)])</f>
        <v>0.50012581574790205</v>
      </c>
      <c r="P1" t="s">
        <v>3112</v>
      </c>
      <c r="Q1" t="s">
        <v>3291</v>
      </c>
      <c r="R1" t="s">
        <v>3292</v>
      </c>
      <c r="S1" t="s">
        <v>3218</v>
      </c>
      <c r="T1" t="s">
        <v>3181</v>
      </c>
    </row>
    <row r="2" spans="1:34" x14ac:dyDescent="0.2">
      <c r="A2" t="s">
        <v>2909</v>
      </c>
      <c r="B2">
        <v>115909.40787407311</v>
      </c>
      <c r="C2">
        <v>561171.13078910648</v>
      </c>
      <c r="D2">
        <f>LOG(Table3[[#This Row],[scRBA $k_{app}$ ($h^{-1}$)]])</f>
        <v>5.0641186872317485</v>
      </c>
      <c r="E2">
        <f>LOG(Table3[[#This Row],[rtRBA $k_{app}$ ($h^{-1}$)]])</f>
        <v>5.7490953208355062</v>
      </c>
      <c r="F2" t="str">
        <f>_xlfn.TEXTAFTER(Table3[[#This Row],[id]],"-",-1)</f>
        <v>rt7616</v>
      </c>
      <c r="G2" t="str">
        <f>_xlfn.TEXTAFTER(_xlfn.TEXTBEFORE(Table3[[#This Row],[id]],"-"&amp;Table3[[#This Row],[enz]]),"_",-1)</f>
        <v>FWD</v>
      </c>
      <c r="H2" t="str">
        <f>_xlfn.TEXTBEFORE(Table3[[#This Row],[id]],"_"&amp;Table3[[#This Row],[dir]])</f>
        <v>13GS_c</v>
      </c>
      <c r="I2" t="str">
        <f>_xlfn.XLOOKUP(Table3[[#This Row],[rxn]],Table1[id],Table1[subsystem],"")</f>
        <v>Starch and sucrose metabolism</v>
      </c>
      <c r="J2" t="str">
        <f>_xlfn.XLOOKUP(Table3[[#This Row],[enz]],'[1]scRBA (raw)'!$N:$N,'[1]scRBA (raw)'!$K:$K,"")</f>
        <v/>
      </c>
      <c r="K2" t="str">
        <f>_xlfn.XLOOKUP(Table3[[#This Row],[SC enz]],Table2[id],Table2[Abundance in SC (g protein/g all proteins)],"")</f>
        <v/>
      </c>
      <c r="L2" t="str">
        <f>_xlfn.XLOOKUP(Table3[[#This Row],[SC enz]],Table2[id],Table2[Abundance in RT (g protein/g all proteins)],"")</f>
        <v/>
      </c>
      <c r="M2">
        <f>Table3[[#This Row],[log(y)]]-Table3[[#This Row],[log(x)]]/SQRT(2)</f>
        <v>2.1682226563604203</v>
      </c>
      <c r="N2">
        <f>ABS(Table3[[#This Row],[dist from 45-degree (RT - SC)]])</f>
        <v>2.1682226563604203</v>
      </c>
      <c r="P2" t="str" cm="1">
        <f t="array" ref="P2:P45">_xlfn._xlws.SORT(_xlfn.UNIQUE(Table3[subsystem]))</f>
        <v>Acetyl-CoA synthesis</v>
      </c>
      <c r="Q2" cm="1">
        <f t="array" ref="Q2">MEDIAN(_xlfn._xlws.FILTER(Table3[dist from 45-degree (RT - SC)],Table3[subsystem]=P2))</f>
        <v>0.73875503001137366</v>
      </c>
      <c r="R2" t="str" cm="1">
        <f t="array" ref="R2:S45">_xlfn.SORTBY(P2:Q45,Q2:Q45,-1)</f>
        <v>Detoxification</v>
      </c>
      <c r="S2">
        <v>7.7796015153085198</v>
      </c>
      <c r="T2" t="b" cm="1">
        <f t="array" ref="T2:T11">V2:V11&gt;W2:W11</f>
        <v>1</v>
      </c>
      <c r="U2" t="str" cm="1">
        <f t="array" ref="U2:AH11">_xlfn._xlws.FILTER(Table3[],Table3[subsystem]=T1)</f>
        <v>ENO_c_FWD-rt0669</v>
      </c>
      <c r="V2">
        <v>496701.10520725738</v>
      </c>
      <c r="W2">
        <v>104673.84753843441</v>
      </c>
      <c r="X2">
        <v>5.6960951263428763</v>
      </c>
      <c r="Y2">
        <v>5.0198381879969549</v>
      </c>
      <c r="Z2" t="str">
        <v>rt0669</v>
      </c>
      <c r="AA2" t="str">
        <v>FWD</v>
      </c>
      <c r="AB2" t="str">
        <v>ENO_c</v>
      </c>
      <c r="AC2" t="str">
        <v>Glycolysis / Gluconeogenesis</v>
      </c>
      <c r="AD2" t="str">
        <v>YGR254W</v>
      </c>
      <c r="AE2">
        <v>5.4594011492852202E-5</v>
      </c>
      <c r="AF2">
        <v>8.1499999999999999E-6</v>
      </c>
      <c r="AG2">
        <v>0.99209069787626358</v>
      </c>
      <c r="AH2">
        <v>0.99209069787626358</v>
      </c>
    </row>
    <row r="3" spans="1:34" x14ac:dyDescent="0.2">
      <c r="A3" t="s">
        <v>2910</v>
      </c>
      <c r="B3">
        <v>51281.36901863628</v>
      </c>
      <c r="C3">
        <v>59320.42377830136</v>
      </c>
      <c r="D3">
        <f>LOG(Table3[[#This Row],[scRBA $k_{app}$ ($h^{-1}$)]])</f>
        <v>4.7099596106859378</v>
      </c>
      <c r="E3">
        <f>LOG(Table3[[#This Row],[rtRBA $k_{app}$ ($h^{-1}$)]])</f>
        <v>4.7732042449173768</v>
      </c>
      <c r="F3" t="str">
        <f>_xlfn.TEXTAFTER(Table3[[#This Row],[id]],"-",-1)</f>
        <v>rt0150</v>
      </c>
      <c r="G3" t="str">
        <f>_xlfn.TEXTAFTER(_xlfn.TEXTBEFORE(Table3[[#This Row],[id]],"-"&amp;Table3[[#This Row],[enz]]),"_",-1)</f>
        <v>FWD</v>
      </c>
      <c r="H3" t="str">
        <f>_xlfn.TEXTBEFORE(Table3[[#This Row],[id]],"_"&amp;Table3[[#This Row],[dir]])</f>
        <v>16GS_c</v>
      </c>
      <c r="I3" t="str">
        <f>_xlfn.XLOOKUP(Table3[[#This Row],[rxn]],Table1[id],Table1[subsystem],"")</f>
        <v>Cell wall biosynthesis</v>
      </c>
      <c r="J3" t="str">
        <f>_xlfn.XLOOKUP(Table3[[#This Row],[enz]],'[1]scRBA (raw)'!$N:$N,'[1]scRBA (raw)'!$K:$K,"")</f>
        <v>YGR143W</v>
      </c>
      <c r="K3">
        <f>_xlfn.XLOOKUP(Table3[[#This Row],[SC enz]],Table2[id],Table2[Abundance in SC (g protein/g all proteins)],"")</f>
        <v>2.0336345383308401E-4</v>
      </c>
      <c r="L3">
        <f>_xlfn.XLOOKUP(Table3[[#This Row],[SC enz]],Table2[id],Table2[Abundance in RT (g protein/g all proteins)],"")</f>
        <v>6.7299999999999996E-5</v>
      </c>
      <c r="M3">
        <f>Table3[[#This Row],[log(y)]]-Table3[[#This Row],[log(x)]]/SQRT(2)</f>
        <v>1.4427598650865989</v>
      </c>
      <c r="N3">
        <f>ABS(Table3[[#This Row],[dist from 45-degree (RT - SC)]])</f>
        <v>1.4427598650865989</v>
      </c>
      <c r="P3" t="str">
        <v>Alanine, aspartate and glutamate metabolism</v>
      </c>
      <c r="Q3" cm="1">
        <f t="array" ref="Q3">MEDIAN(_xlfn._xlws.FILTER(Table3[dist from 45-degree (RT - SC)],Table3[subsystem]=P3))</f>
        <v>1.1813472628682398</v>
      </c>
      <c r="R3" t="str">
        <v>Triacylglycerol biosynthesis</v>
      </c>
      <c r="S3">
        <v>4.1038937765865091</v>
      </c>
      <c r="T3" t="b">
        <v>1</v>
      </c>
      <c r="U3" t="str">
        <v>FBA_c_FWD-rt7052</v>
      </c>
      <c r="V3">
        <v>401434.67002229037</v>
      </c>
      <c r="W3">
        <v>91350.284826540024</v>
      </c>
      <c r="X3">
        <v>5.6036148777407755</v>
      </c>
      <c r="Y3">
        <v>4.9607099058035189</v>
      </c>
      <c r="Z3" t="str">
        <v>rt7052</v>
      </c>
      <c r="AA3" t="str">
        <v>FWD</v>
      </c>
      <c r="AB3" t="str">
        <v>FBA_c</v>
      </c>
      <c r="AC3" t="str">
        <v>Glycolysis / Gluconeogenesis</v>
      </c>
      <c r="AD3" t="str">
        <v>YKL060C</v>
      </c>
      <c r="AE3">
        <v>1.31373031673407E-5</v>
      </c>
      <c r="AF3">
        <v>2.8600000000000001E-5</v>
      </c>
      <c r="AG3">
        <v>0.99835582659519018</v>
      </c>
      <c r="AH3">
        <v>0.99835582659519018</v>
      </c>
    </row>
    <row r="4" spans="1:34" x14ac:dyDescent="0.2">
      <c r="A4" t="s">
        <v>3222</v>
      </c>
      <c r="B4">
        <v>172355.37046733781</v>
      </c>
      <c r="C4">
        <v>596807.67904390383</v>
      </c>
      <c r="D4">
        <f>LOG(Table3[[#This Row],[scRBA $k_{app}$ ($h^{-1}$)]])</f>
        <v>5.2364248202533501</v>
      </c>
      <c r="E4">
        <f>LOG(Table3[[#This Row],[rtRBA $k_{app}$ ($h^{-1}$)]])</f>
        <v>5.77583440250908</v>
      </c>
      <c r="F4" t="str">
        <f>_xlfn.TEXTAFTER(Table3[[#This Row],[id]],"-",-1)</f>
        <v>rt2267</v>
      </c>
      <c r="G4" t="str">
        <f>_xlfn.TEXTAFTER(_xlfn.TEXTBEFORE(Table3[[#This Row],[id]],"-"&amp;Table3[[#This Row],[enz]]),"_",-1)</f>
        <v>FWD</v>
      </c>
      <c r="H4" t="str">
        <f>_xlfn.TEXTBEFORE(Table3[[#This Row],[id]],"_"&amp;Table3[[#This Row],[dir]])</f>
        <v>2OXOADPt_c_m</v>
      </c>
      <c r="I4" t="str">
        <f>_xlfn.XLOOKUP(Table3[[#This Row],[rxn]],Table1[id],Table1[subsystem],"")</f>
        <v>Transport</v>
      </c>
      <c r="J4" t="str">
        <f>_xlfn.XLOOKUP(Table3[[#This Row],[enz]],'[1]scRBA (raw)'!$N:$N,'[1]scRBA (raw)'!$K:$K,"")</f>
        <v>YOR222W</v>
      </c>
      <c r="K4">
        <f>_xlfn.XLOOKUP(Table3[[#This Row],[SC enz]],Table2[id],Table2[Abundance in SC (g protein/g all proteins)],"")</f>
        <v>8.3709115787836605E-6</v>
      </c>
      <c r="L4">
        <f>_xlfn.XLOOKUP(Table3[[#This Row],[SC enz]],Table2[id],Table2[Abundance in RT (g protein/g all proteins)],"")</f>
        <v>4.7599999999999998E-5</v>
      </c>
      <c r="M4">
        <f>Table3[[#This Row],[log(y)]]-Table3[[#This Row],[log(x)]]/SQRT(2)</f>
        <v>2.0731229029343883</v>
      </c>
      <c r="N4">
        <f>ABS(Table3[[#This Row],[dist from 45-degree (RT - SC)]])</f>
        <v>2.0731229029343883</v>
      </c>
      <c r="P4" t="str">
        <v>Amino sugar and nucleotide sugar metabolism</v>
      </c>
      <c r="Q4" cm="1">
        <f t="array" ref="Q4">MEDIAN(_xlfn._xlws.FILTER(Table3[dist from 45-degree (RT - SC)],Table3[subsystem]=P4))</f>
        <v>0.8662207499639174</v>
      </c>
      <c r="R4" t="str">
        <v>N-Glycan biosynthesis</v>
      </c>
      <c r="S4">
        <v>2.6942467523203262</v>
      </c>
      <c r="T4" t="b">
        <v>1</v>
      </c>
      <c r="U4" t="str">
        <v>GAPD_c_FWD-rt2245</v>
      </c>
      <c r="V4">
        <v>716723.38034904341</v>
      </c>
      <c r="W4">
        <v>329186.2207189633</v>
      </c>
      <c r="X4">
        <v>5.8553515718909939</v>
      </c>
      <c r="Y4">
        <v>5.5174416479528583</v>
      </c>
      <c r="Z4" t="str">
        <v>rt2245</v>
      </c>
      <c r="AA4" t="str">
        <v>FWD</v>
      </c>
      <c r="AB4" t="str">
        <v>GAPD_c</v>
      </c>
      <c r="AC4" t="str">
        <v>Glycolysis / Gluconeogenesis</v>
      </c>
      <c r="AD4" t="str">
        <v>YJL052W</v>
      </c>
      <c r="AE4">
        <v>4.2263801417787E-3</v>
      </c>
      <c r="AF4">
        <v>1.451E-3</v>
      </c>
      <c r="AG4">
        <v>1.3770828452374264</v>
      </c>
      <c r="AH4">
        <v>1.3770828452374264</v>
      </c>
    </row>
    <row r="5" spans="1:34" x14ac:dyDescent="0.2">
      <c r="A5" t="s">
        <v>2911</v>
      </c>
      <c r="B5">
        <v>632265.51984242548</v>
      </c>
      <c r="C5">
        <v>11720.01008841648</v>
      </c>
      <c r="D5">
        <f>LOG(Table3[[#This Row],[scRBA $k_{app}$ ($h^{-1}$)]])</f>
        <v>5.8008994985133997</v>
      </c>
      <c r="E5">
        <f>LOG(Table3[[#This Row],[rtRBA $k_{app}$ ($h^{-1}$)]])</f>
        <v>4.06892798551669</v>
      </c>
      <c r="F5" t="str">
        <f>_xlfn.TEXTAFTER(Table3[[#This Row],[id]],"-",-1)</f>
        <v>rt2309</v>
      </c>
      <c r="G5" t="str">
        <f>_xlfn.TEXTAFTER(_xlfn.TEXTBEFORE(Table3[[#This Row],[id]],"-"&amp;Table3[[#This Row],[enz]]),"_",-1)</f>
        <v>FWD</v>
      </c>
      <c r="H5" t="str">
        <f>_xlfn.TEXTBEFORE(Table3[[#This Row],[id]],"_"&amp;Table3[[#This Row],[dir]])</f>
        <v>3HACD260_rm</v>
      </c>
      <c r="I5" t="str">
        <f>_xlfn.XLOOKUP(Table3[[#This Row],[rxn]],Table1[id],Table1[subsystem],"")</f>
        <v>Fatty acid elongation</v>
      </c>
      <c r="J5" t="str">
        <f>_xlfn.XLOOKUP(Table3[[#This Row],[enz]],'[1]scRBA (raw)'!$N:$N,'[1]scRBA (raw)'!$K:$K,"")</f>
        <v>YJL097W</v>
      </c>
      <c r="K5">
        <f>_xlfn.XLOOKUP(Table3[[#This Row],[SC enz]],Table2[id],Table2[Abundance in SC (g protein/g all proteins)],"")</f>
        <v>8.6285392023603204E-6</v>
      </c>
      <c r="L5">
        <f>_xlfn.XLOOKUP(Table3[[#This Row],[SC enz]],Table2[id],Table2[Abundance in RT (g protein/g all proteins)],"")</f>
        <v>3.8900000000000002E-4</v>
      </c>
      <c r="M5">
        <f>Table3[[#This Row],[log(y)]]-Table3[[#This Row],[log(x)]]/SQRT(2)</f>
        <v>-3.2927386863777386E-2</v>
      </c>
      <c r="N5">
        <f>ABS(Table3[[#This Row],[dist from 45-degree (RT - SC)]])</f>
        <v>3.2927386863777386E-2</v>
      </c>
      <c r="P5" t="str">
        <v>Aminoacyl-tRNA biosynthesis</v>
      </c>
      <c r="Q5" cm="1">
        <f t="array" ref="Q5">MEDIAN(_xlfn._xlws.FILTER(Table3[dist from 45-degree (RT - SC)],Table3[subsystem]=P5))</f>
        <v>1.2077641697277166</v>
      </c>
      <c r="R5" t="str">
        <v>Biosynthesis of unsaturated fatty acids</v>
      </c>
      <c r="S5">
        <v>2.1207116421880028</v>
      </c>
      <c r="T5" t="b">
        <v>1</v>
      </c>
      <c r="U5" t="str">
        <v>HEX1_c_FWD-rt1896</v>
      </c>
      <c r="V5">
        <v>1266756.205724464</v>
      </c>
      <c r="W5">
        <v>373468.73087063071</v>
      </c>
      <c r="X5">
        <v>6.1026930405374387</v>
      </c>
      <c r="Y5">
        <v>5.5722542458332791</v>
      </c>
      <c r="Z5" t="str">
        <v>rt1896</v>
      </c>
      <c r="AA5" t="str">
        <v>FWD</v>
      </c>
      <c r="AB5" t="str">
        <v>HEX1_c</v>
      </c>
      <c r="AC5" t="str">
        <v>Glycolysis / Gluconeogenesis</v>
      </c>
      <c r="AD5" t="str">
        <v/>
      </c>
      <c r="AE5" t="str">
        <v/>
      </c>
      <c r="AF5" t="str">
        <v/>
      </c>
      <c r="AG5">
        <v>1.2569986133693067</v>
      </c>
      <c r="AH5">
        <v>1.2569986133693067</v>
      </c>
    </row>
    <row r="6" spans="1:34" x14ac:dyDescent="0.2">
      <c r="A6" t="s">
        <v>3223</v>
      </c>
      <c r="B6">
        <v>75203.793385089666</v>
      </c>
      <c r="C6">
        <v>17318157.992500301</v>
      </c>
      <c r="D6">
        <f>LOG(Table3[[#This Row],[scRBA $k_{app}$ ($h^{-1}$)]])</f>
        <v>4.8762397475685271</v>
      </c>
      <c r="E6">
        <f>LOG(Table3[[#This Row],[rtRBA $k_{app}$ ($h^{-1}$)]])</f>
        <v>7.238501697367532</v>
      </c>
      <c r="F6" t="str">
        <f>_xlfn.TEXTAFTER(Table3[[#This Row],[id]],"-",-1)</f>
        <v>rt8287</v>
      </c>
      <c r="G6" t="str">
        <f>_xlfn.TEXTAFTER(_xlfn.TEXTBEFORE(Table3[[#This Row],[id]],"-"&amp;Table3[[#This Row],[enz]]),"_",-1)</f>
        <v>FWD</v>
      </c>
      <c r="H6" t="str">
        <f>_xlfn.TEXTBEFORE(Table3[[#This Row],[id]],"_"&amp;Table3[[#This Row],[dir]])</f>
        <v>3OACE240_rm</v>
      </c>
      <c r="I6" t="str">
        <f>_xlfn.XLOOKUP(Table3[[#This Row],[rxn]],Table1[id],Table1[subsystem],"")</f>
        <v>Fatty acid elongation</v>
      </c>
      <c r="J6" t="str">
        <f>_xlfn.XLOOKUP(Table3[[#This Row],[enz]],'[1]scRBA (raw)'!$N:$N,'[1]scRBA (raw)'!$K:$K,"")</f>
        <v>YLR372W</v>
      </c>
      <c r="K6">
        <f>_xlfn.XLOOKUP(Table3[[#This Row],[SC enz]],Table2[id],Table2[Abundance in SC (g protein/g all proteins)],"")</f>
        <v>1.24286757468708E-3</v>
      </c>
      <c r="L6">
        <f>_xlfn.XLOOKUP(Table3[[#This Row],[SC enz]],Table2[id],Table2[Abundance in RT (g protein/g all proteins)],"")</f>
        <v>1.552E-3</v>
      </c>
      <c r="M6">
        <f>Table3[[#This Row],[log(y)]]-Table3[[#This Row],[log(x)]]/SQRT(2)</f>
        <v>3.7904795051704481</v>
      </c>
      <c r="N6">
        <f>ABS(Table3[[#This Row],[dist from 45-degree (RT - SC)]])</f>
        <v>3.7904795051704481</v>
      </c>
      <c r="P6" t="str">
        <v>Arginine and proline metabolism</v>
      </c>
      <c r="Q6" cm="1">
        <f t="array" ref="Q6">MEDIAN(_xlfn._xlws.FILTER(Table3[dist from 45-degree (RT - SC)],Table3[subsystem]=P6))</f>
        <v>0.96811210098061729</v>
      </c>
      <c r="R6" t="str">
        <v>Fatty acid biosynthesis</v>
      </c>
      <c r="S6">
        <v>1.9970197733716764</v>
      </c>
      <c r="T6" t="b">
        <v>0</v>
      </c>
      <c r="U6" t="str">
        <v>PFK_c_FWD-rt0499</v>
      </c>
      <c r="V6">
        <v>10805534.255441779</v>
      </c>
      <c r="W6">
        <v>11346447.071639661</v>
      </c>
      <c r="X6">
        <v>7.0336462444681489</v>
      </c>
      <c r="Y6">
        <v>7.0548598915961183</v>
      </c>
      <c r="Z6" t="str">
        <v>rt0499</v>
      </c>
      <c r="AA6" t="str">
        <v>FWD</v>
      </c>
      <c r="AB6" t="str">
        <v>PFK_c</v>
      </c>
      <c r="AC6" t="str">
        <v>Glycolysis / Gluconeogenesis</v>
      </c>
      <c r="AD6" t="str">
        <v/>
      </c>
      <c r="AE6" t="str">
        <v/>
      </c>
      <c r="AF6" t="str">
        <v/>
      </c>
      <c r="AG6">
        <v>2.0813209356653974</v>
      </c>
      <c r="AH6">
        <v>2.0813209356653974</v>
      </c>
    </row>
    <row r="7" spans="1:34" x14ac:dyDescent="0.2">
      <c r="A7" t="s">
        <v>3224</v>
      </c>
      <c r="B7">
        <v>75203.793385089666</v>
      </c>
      <c r="C7">
        <v>17318157.992500301</v>
      </c>
      <c r="D7">
        <f>LOG(Table3[[#This Row],[scRBA $k_{app}$ ($h^{-1}$)]])</f>
        <v>4.8762397475685271</v>
      </c>
      <c r="E7">
        <f>LOG(Table3[[#This Row],[rtRBA $k_{app}$ ($h^{-1}$)]])</f>
        <v>7.238501697367532</v>
      </c>
      <c r="F7" t="str">
        <f>_xlfn.TEXTAFTER(Table3[[#This Row],[id]],"-",-1)</f>
        <v>rt8287</v>
      </c>
      <c r="G7" t="str">
        <f>_xlfn.TEXTAFTER(_xlfn.TEXTBEFORE(Table3[[#This Row],[id]],"-"&amp;Table3[[#This Row],[enz]]),"_",-1)</f>
        <v>FWD</v>
      </c>
      <c r="H7" t="str">
        <f>_xlfn.TEXTBEFORE(Table3[[#This Row],[id]],"_"&amp;Table3[[#This Row],[dir]])</f>
        <v>3OACE260_rm</v>
      </c>
      <c r="I7" t="str">
        <f>_xlfn.XLOOKUP(Table3[[#This Row],[rxn]],Table1[id],Table1[subsystem],"")</f>
        <v>Fatty acid elongation</v>
      </c>
      <c r="J7" t="str">
        <f>_xlfn.XLOOKUP(Table3[[#This Row],[enz]],'[1]scRBA (raw)'!$N:$N,'[1]scRBA (raw)'!$K:$K,"")</f>
        <v>YLR372W</v>
      </c>
      <c r="K7">
        <f>_xlfn.XLOOKUP(Table3[[#This Row],[SC enz]],Table2[id],Table2[Abundance in SC (g protein/g all proteins)],"")</f>
        <v>1.24286757468708E-3</v>
      </c>
      <c r="L7">
        <f>_xlfn.XLOOKUP(Table3[[#This Row],[SC enz]],Table2[id],Table2[Abundance in RT (g protein/g all proteins)],"")</f>
        <v>1.552E-3</v>
      </c>
      <c r="M7">
        <f>Table3[[#This Row],[log(y)]]-Table3[[#This Row],[log(x)]]/SQRT(2)</f>
        <v>3.7904795051704481</v>
      </c>
      <c r="N7">
        <f>ABS(Table3[[#This Row],[dist from 45-degree (RT - SC)]])</f>
        <v>3.7904795051704481</v>
      </c>
      <c r="P7" t="str">
        <v>Biosynthesis of unsaturated fatty acids</v>
      </c>
      <c r="Q7" cm="1">
        <f t="array" ref="Q7">MEDIAN(_xlfn._xlws.FILTER(Table3[dist from 45-degree (RT - SC)],Table3[subsystem]=P7))</f>
        <v>2.1207116421880028</v>
      </c>
      <c r="R7" t="str">
        <v>Transport</v>
      </c>
      <c r="S7">
        <v>1.994517993815232</v>
      </c>
      <c r="T7" t="b">
        <v>1</v>
      </c>
      <c r="U7" t="str">
        <v>PGI_c_FWD-rt1221</v>
      </c>
      <c r="V7">
        <v>3136270.2870238819</v>
      </c>
      <c r="W7">
        <v>95435.512727733207</v>
      </c>
      <c r="X7">
        <v>6.4964134835738525</v>
      </c>
      <c r="Y7">
        <v>4.9797100110960795</v>
      </c>
      <c r="Z7" t="str">
        <v>rt1221</v>
      </c>
      <c r="AA7" t="str">
        <v>FWD</v>
      </c>
      <c r="AB7" t="str">
        <v>PGI_c</v>
      </c>
      <c r="AC7" t="str">
        <v>Glycolysis / Gluconeogenesis</v>
      </c>
      <c r="AD7" t="str">
        <v>YBR196C</v>
      </c>
      <c r="AE7">
        <v>2.5538331833353601E-3</v>
      </c>
      <c r="AF7">
        <v>5.3399999999999997E-4</v>
      </c>
      <c r="AG7">
        <v>0.3860519834692866</v>
      </c>
      <c r="AH7">
        <v>0.3860519834692866</v>
      </c>
    </row>
    <row r="8" spans="1:34" x14ac:dyDescent="0.2">
      <c r="A8" t="s">
        <v>2912</v>
      </c>
      <c r="B8">
        <v>81323.110433865964</v>
      </c>
      <c r="C8">
        <v>8449.4974641774988</v>
      </c>
      <c r="D8">
        <f>LOG(Table3[[#This Row],[scRBA $k_{app}$ ($h^{-1}$)]])</f>
        <v>4.9102139811124657</v>
      </c>
      <c r="E8">
        <f>LOG(Table3[[#This Row],[rtRBA $k_{app}$ ($h^{-1}$)]])</f>
        <v>3.9268308799526825</v>
      </c>
      <c r="F8" t="str">
        <f>_xlfn.TEXTAFTER(Table3[[#This Row],[id]],"-",-1)</f>
        <v>rt8327</v>
      </c>
      <c r="G8" t="str">
        <f>_xlfn.TEXTAFTER(_xlfn.TEXTBEFORE(Table3[[#This Row],[id]],"-"&amp;Table3[[#This Row],[enz]]),"_",-1)</f>
        <v>FWD</v>
      </c>
      <c r="H8" t="str">
        <f>_xlfn.TEXTBEFORE(Table3[[#This Row],[id]],"_"&amp;Table3[[#This Row],[dir]])</f>
        <v>3OACR260_rm</v>
      </c>
      <c r="I8" t="str">
        <f>_xlfn.XLOOKUP(Table3[[#This Row],[rxn]],Table1[id],Table1[subsystem],"")</f>
        <v>Fatty acid elongation</v>
      </c>
      <c r="J8" t="str">
        <f>_xlfn.XLOOKUP(Table3[[#This Row],[enz]],'[1]scRBA (raw)'!$N:$N,'[1]scRBA (raw)'!$K:$K,"")</f>
        <v>YBR159W</v>
      </c>
      <c r="K8">
        <f>_xlfn.XLOOKUP(Table3[[#This Row],[SC enz]],Table2[id],Table2[Abundance in SC (g protein/g all proteins)],"")</f>
        <v>7.8484711127961194E-5</v>
      </c>
      <c r="L8">
        <f>_xlfn.XLOOKUP(Table3[[#This Row],[SC enz]],Table2[id],Table2[Abundance in RT (g protein/g all proteins)],"")</f>
        <v>1.19E-5</v>
      </c>
      <c r="M8">
        <f>Table3[[#This Row],[log(y)]]-Table3[[#This Row],[log(x)]]/SQRT(2)</f>
        <v>0.45478527683106407</v>
      </c>
      <c r="N8">
        <f>ABS(Table3[[#This Row],[dist from 45-degree (RT - SC)]])</f>
        <v>0.45478527683106407</v>
      </c>
      <c r="P8" t="str">
        <v>Cell wall biosynthesis</v>
      </c>
      <c r="Q8" cm="1">
        <f t="array" ref="Q8">MEDIAN(_xlfn._xlws.FILTER(Table3[dist from 45-degree (RT - SC)],Table3[subsystem]=P8))</f>
        <v>0.99818907444869698</v>
      </c>
      <c r="R8" t="str">
        <v>Citric acid cycle</v>
      </c>
      <c r="S8">
        <v>1.950681347859839</v>
      </c>
      <c r="T8" t="b">
        <v>1</v>
      </c>
      <c r="U8" t="str">
        <v>PGK_c_FWD-rt7353</v>
      </c>
      <c r="V8">
        <v>413350.42388999171</v>
      </c>
      <c r="W8">
        <v>272791.27669119881</v>
      </c>
      <c r="X8">
        <v>5.6163183873320977</v>
      </c>
      <c r="Y8">
        <v>5.435830478354494</v>
      </c>
      <c r="Z8" t="str">
        <v>rt7353</v>
      </c>
      <c r="AA8" t="str">
        <v>FWD</v>
      </c>
      <c r="AB8" t="str">
        <v>PGK_c</v>
      </c>
      <c r="AC8" t="str">
        <v>Glycolysis / Gluconeogenesis</v>
      </c>
      <c r="AD8" t="str">
        <v>YCR012W</v>
      </c>
      <c r="AE8">
        <v>2.2603026343632999E-6</v>
      </c>
      <c r="AF8">
        <v>1.9999999999999999E-6</v>
      </c>
      <c r="AG8">
        <v>1.4644936613692732</v>
      </c>
      <c r="AH8">
        <v>1.4644936613692732</v>
      </c>
    </row>
    <row r="9" spans="1:34" x14ac:dyDescent="0.2">
      <c r="A9" t="s">
        <v>2913</v>
      </c>
      <c r="B9">
        <v>5694336.3258049581</v>
      </c>
      <c r="C9">
        <v>24449591.618636671</v>
      </c>
      <c r="D9">
        <f>LOG(Table3[[#This Row],[scRBA $k_{app}$ ($h^{-1}$)]])</f>
        <v>6.7554431143963969</v>
      </c>
      <c r="E9">
        <f>LOG(Table3[[#This Row],[rtRBA $k_{app}$ ($h^{-1}$)]])</f>
        <v>7.3882716095024286</v>
      </c>
      <c r="F9" t="str">
        <f>_xlfn.TEXTAFTER(Table3[[#This Row],[id]],"-",-1)</f>
        <v>LYS25</v>
      </c>
      <c r="G9" t="str">
        <f>_xlfn.TEXTAFTER(_xlfn.TEXTBEFORE(Table3[[#This Row],[id]],"-"&amp;Table3[[#This Row],[enz]]),"_",-1)</f>
        <v>FWD</v>
      </c>
      <c r="H9" t="str">
        <f>_xlfn.TEXTBEFORE(Table3[[#This Row],[id]],"_"&amp;Table3[[#This Row],[dir]])</f>
        <v>AASADy_c</v>
      </c>
      <c r="I9" t="str">
        <f>_xlfn.XLOOKUP(Table3[[#This Row],[rxn]],Table1[id],Table1[subsystem],"")</f>
        <v>Lysine metabolism</v>
      </c>
      <c r="J9" t="str">
        <f>_xlfn.XLOOKUP(Table3[[#This Row],[enz]],'[1]scRBA (raw)'!$N:$N,'[1]scRBA (raw)'!$K:$K,"")</f>
        <v/>
      </c>
      <c r="K9" t="str">
        <f>_xlfn.XLOOKUP(Table3[[#This Row],[SC enz]],Table2[id],Table2[Abundance in SC (g protein/g all proteins)],"")</f>
        <v/>
      </c>
      <c r="L9" t="str">
        <f>_xlfn.XLOOKUP(Table3[[#This Row],[SC enz]],Table2[id],Table2[Abundance in RT (g protein/g all proteins)],"")</f>
        <v/>
      </c>
      <c r="M9">
        <f>Table3[[#This Row],[log(y)]]-Table3[[#This Row],[log(x)]]/SQRT(2)</f>
        <v>2.611451973392767</v>
      </c>
      <c r="N9">
        <f>ABS(Table3[[#This Row],[dist from 45-degree (RT - SC)]])</f>
        <v>2.611451973392767</v>
      </c>
      <c r="P9" t="str">
        <v>Citric acid cycle</v>
      </c>
      <c r="Q9" cm="1">
        <f t="array" ref="Q9">MEDIAN(_xlfn._xlws.FILTER(Table3[dist from 45-degree (RT - SC)],Table3[subsystem]=P9))</f>
        <v>1.950681347859839</v>
      </c>
      <c r="R9" t="str">
        <v>Lysine metabolism</v>
      </c>
      <c r="S9">
        <v>1.894096123362053</v>
      </c>
      <c r="T9" t="b">
        <v>1</v>
      </c>
      <c r="U9" t="str">
        <v>PGM_c_FWD-rt1542</v>
      </c>
      <c r="V9">
        <v>2200782.1596900332</v>
      </c>
      <c r="W9">
        <v>116947.81061022769</v>
      </c>
      <c r="X9">
        <v>6.3425770568529201</v>
      </c>
      <c r="Y9">
        <v>5.0679920957578508</v>
      </c>
      <c r="Z9" t="str">
        <v>rt1542</v>
      </c>
      <c r="AA9" t="str">
        <v>FWD</v>
      </c>
      <c r="AB9" t="str">
        <v>PGM_c</v>
      </c>
      <c r="AC9" t="str">
        <v>Glycolysis / Gluconeogenesis</v>
      </c>
      <c r="AD9" t="str">
        <v>YKL152C</v>
      </c>
      <c r="AE9">
        <v>2.0714156090689201E-5</v>
      </c>
      <c r="AF9">
        <v>1.1E-4</v>
      </c>
      <c r="AG9">
        <v>0.58311284865893676</v>
      </c>
      <c r="AH9">
        <v>0.58311284865893676</v>
      </c>
    </row>
    <row r="10" spans="1:34" x14ac:dyDescent="0.2">
      <c r="A10" t="s">
        <v>2914</v>
      </c>
      <c r="B10">
        <v>61343.547799231623</v>
      </c>
      <c r="C10">
        <v>417154.88235568022</v>
      </c>
      <c r="D10">
        <f>LOG(Table3[[#This Row],[scRBA $k_{app}$ ($h^{-1}$)]])</f>
        <v>4.7877688897598123</v>
      </c>
      <c r="E10">
        <f>LOG(Table3[[#This Row],[rtRBA $k_{app}$ ($h^{-1}$)]])</f>
        <v>5.6202973309061095</v>
      </c>
      <c r="F10" t="str">
        <f>_xlfn.TEXTAFTER(Table3[[#This Row],[id]],"-",-1)</f>
        <v>rt7471</v>
      </c>
      <c r="G10" t="str">
        <f>_xlfn.TEXTAFTER(_xlfn.TEXTBEFORE(Table3[[#This Row],[id]],"-"&amp;Table3[[#This Row],[enz]]),"_",-1)</f>
        <v>FWD</v>
      </c>
      <c r="H10" t="str">
        <f>_xlfn.TEXTBEFORE(Table3[[#This Row],[id]],"_"&amp;Table3[[#This Row],[dir]])</f>
        <v>AATA_c</v>
      </c>
      <c r="I10" t="str">
        <f>_xlfn.XLOOKUP(Table3[[#This Row],[rxn]],Table1[id],Table1[subsystem],"")</f>
        <v>Lysine metabolism</v>
      </c>
      <c r="J10" t="str">
        <f>_xlfn.XLOOKUP(Table3[[#This Row],[enz]],'[1]scRBA (raw)'!$N:$N,'[1]scRBA (raw)'!$K:$K,"")</f>
        <v>YGL202W</v>
      </c>
      <c r="K10">
        <f>_xlfn.XLOOKUP(Table3[[#This Row],[SC enz]],Table2[id],Table2[Abundance in SC (g protein/g all proteins)],"")</f>
        <v>1.47985558522502E-6</v>
      </c>
      <c r="L10">
        <f>_xlfn.XLOOKUP(Table3[[#This Row],[SC enz]],Table2[id],Table2[Abundance in RT (g protein/g all proteins)],"")</f>
        <v>6.3700000000000003E-5</v>
      </c>
      <c r="M10">
        <f>Table3[[#This Row],[log(y)]]-Table3[[#This Row],[log(x)]]/SQRT(2)</f>
        <v>2.2348334822029585</v>
      </c>
      <c r="N10">
        <f>ABS(Table3[[#This Row],[dist from 45-degree (RT - SC)]])</f>
        <v>2.2348334822029585</v>
      </c>
      <c r="P10" t="str">
        <v>Cysteine and methionine metabolism</v>
      </c>
      <c r="Q10" cm="1">
        <f t="array" ref="Q10">MEDIAN(_xlfn._xlws.FILTER(Table3[dist from 45-degree (RT - SC)],Table3[subsystem]=P10))</f>
        <v>1.2707470534441301</v>
      </c>
      <c r="R10" t="str">
        <v>Pentose phosphate pathway</v>
      </c>
      <c r="S10">
        <v>1.8191112162383518</v>
      </c>
      <c r="T10" t="b">
        <v>1</v>
      </c>
      <c r="U10" t="str">
        <v>PYK_c_FWD-rt4634</v>
      </c>
      <c r="V10">
        <v>1852523.2752828081</v>
      </c>
      <c r="W10">
        <v>125792.9206506753</v>
      </c>
      <c r="X10">
        <v>6.2677636732038016</v>
      </c>
      <c r="Y10">
        <v>5.099656200657269</v>
      </c>
      <c r="Z10" t="str">
        <v>rt4634</v>
      </c>
      <c r="AA10" t="str">
        <v>FWD</v>
      </c>
      <c r="AB10" t="str">
        <v>PYK_c</v>
      </c>
      <c r="AC10" t="str">
        <v>Glycolysis / Gluconeogenesis</v>
      </c>
      <c r="AD10" t="str">
        <v>YAL038W</v>
      </c>
      <c r="AE10">
        <v>1.5751896805680401E-4</v>
      </c>
      <c r="AF10">
        <v>4.4499999999999997E-4</v>
      </c>
      <c r="AG10">
        <v>0.66767800446015713</v>
      </c>
      <c r="AH10">
        <v>0.66767800446015713</v>
      </c>
    </row>
    <row r="11" spans="1:34" x14ac:dyDescent="0.2">
      <c r="A11" t="s">
        <v>2915</v>
      </c>
      <c r="B11">
        <v>10196.43255604256</v>
      </c>
      <c r="C11">
        <v>7704.0338382603541</v>
      </c>
      <c r="D11">
        <f>LOG(Table3[[#This Row],[scRBA $k_{app}$ ($h^{-1}$)]])</f>
        <v>4.0084482509554968</v>
      </c>
      <c r="E11">
        <f>LOG(Table3[[#This Row],[rtRBA $k_{app}$ ($h^{-1}$)]])</f>
        <v>3.8867181816628795</v>
      </c>
      <c r="F11" t="str">
        <f>_xlfn.TEXTAFTER(Table3[[#This Row],[id]],"-",-1)</f>
        <v>rt0310</v>
      </c>
      <c r="G11" t="str">
        <f>_xlfn.TEXTAFTER(_xlfn.TEXTBEFORE(Table3[[#This Row],[id]],"-"&amp;Table3[[#This Row],[enz]]),"_",-1)</f>
        <v>FWD</v>
      </c>
      <c r="H11" t="str">
        <f>_xlfn.TEXTBEFORE(Table3[[#This Row],[id]],"_"&amp;Table3[[#This Row],[dir]])</f>
        <v>ACACT40ir_c</v>
      </c>
      <c r="I11" t="str">
        <f>_xlfn.XLOOKUP(Table3[[#This Row],[rxn]],Table1[id],Table1[subsystem],"")</f>
        <v>Terpenoid backbone biosynthesis</v>
      </c>
      <c r="J11" t="str">
        <f>_xlfn.XLOOKUP(Table3[[#This Row],[enz]],'[1]scRBA (raw)'!$N:$N,'[1]scRBA (raw)'!$K:$K,"")</f>
        <v>YPL028W</v>
      </c>
      <c r="K11">
        <f>_xlfn.XLOOKUP(Table3[[#This Row],[SC enz]],Table2[id],Table2[Abundance in SC (g protein/g all proteins)],"")</f>
        <v>1.4793228999406799E-4</v>
      </c>
      <c r="L11">
        <f>_xlfn.XLOOKUP(Table3[[#This Row],[SC enz]],Table2[id],Table2[Abundance in RT (g protein/g all proteins)],"")</f>
        <v>5.9299999999999999E-4</v>
      </c>
      <c r="M11">
        <f>Table3[[#This Row],[log(y)]]-Table3[[#This Row],[log(x)]]/SQRT(2)</f>
        <v>1.0523172413768922</v>
      </c>
      <c r="N11">
        <f>ABS(Table3[[#This Row],[dist from 45-degree (RT - SC)]])</f>
        <v>1.0523172413768922</v>
      </c>
      <c r="P11" t="str">
        <v>Detoxification</v>
      </c>
      <c r="Q11" cm="1">
        <f t="array" ref="Q11">MEDIAN(_xlfn._xlws.FILTER(Table3[dist from 45-degree (RT - SC)],Table3[subsystem]=P11))</f>
        <v>7.7796015153085198</v>
      </c>
      <c r="R11" t="str">
        <v>O-Glycan biosynthesis</v>
      </c>
      <c r="S11">
        <v>1.7245060829033063</v>
      </c>
      <c r="T11" t="b">
        <v>1</v>
      </c>
      <c r="U11" t="str">
        <v>TPI_c_FWD-rt0932</v>
      </c>
      <c r="V11">
        <v>517648.6715474528</v>
      </c>
      <c r="W11">
        <v>288114.55793497688</v>
      </c>
      <c r="X11">
        <v>5.7140351038096409</v>
      </c>
      <c r="Y11">
        <v>5.4595652029909125</v>
      </c>
      <c r="Z11" t="str">
        <v>rt0932</v>
      </c>
      <c r="AA11" t="str">
        <v>FWD</v>
      </c>
      <c r="AB11" t="str">
        <v>TPI_c</v>
      </c>
      <c r="AC11" t="str">
        <v>Glycolysis / Gluconeogenesis</v>
      </c>
      <c r="AD11" t="str">
        <v>YDR050C</v>
      </c>
      <c r="AE11">
        <v>5.9697116156084301E-4</v>
      </c>
      <c r="AF11">
        <v>2.1489999999999999E-3</v>
      </c>
      <c r="AG11">
        <v>1.4191322331491376</v>
      </c>
      <c r="AH11">
        <v>1.4191322331491376</v>
      </c>
    </row>
    <row r="12" spans="1:34" x14ac:dyDescent="0.2">
      <c r="A12" t="s">
        <v>2916</v>
      </c>
      <c r="B12">
        <v>30376.556083447511</v>
      </c>
      <c r="C12">
        <v>146775.3646711609</v>
      </c>
      <c r="D12">
        <f>LOG(Table3[[#This Row],[scRBA $k_{app}$ ($h^{-1}$)]])</f>
        <v>4.4825385345452968</v>
      </c>
      <c r="E12">
        <f>LOG(Table3[[#This Row],[rtRBA $k_{app}$ ($h^{-1}$)]])</f>
        <v>5.1666531680786649</v>
      </c>
      <c r="F12" t="str">
        <f>_xlfn.TEXTAFTER(Table3[[#This Row],[id]],"-",-1)</f>
        <v>rt0271</v>
      </c>
      <c r="G12" t="str">
        <f>_xlfn.TEXTAFTER(_xlfn.TEXTBEFORE(Table3[[#This Row],[id]],"-"&amp;Table3[[#This Row],[enz]]),"_",-1)</f>
        <v>FWD</v>
      </c>
      <c r="H12" t="str">
        <f>_xlfn.TEXTBEFORE(Table3[[#This Row],[id]],"_"&amp;Table3[[#This Row],[dir]])</f>
        <v>ACCOAC_c</v>
      </c>
      <c r="I12" t="str">
        <f>_xlfn.XLOOKUP(Table3[[#This Row],[rxn]],Table1[id],Table1[subsystem],"")</f>
        <v>Fatty acid biosynthesis</v>
      </c>
      <c r="J12" t="str">
        <f>_xlfn.XLOOKUP(Table3[[#This Row],[enz]],'[1]scRBA (raw)'!$N:$N,'[1]scRBA (raw)'!$K:$K,"")</f>
        <v/>
      </c>
      <c r="K12" t="str">
        <f>_xlfn.XLOOKUP(Table3[[#This Row],[SC enz]],Table2[id],Table2[Abundance in SC (g protein/g all proteins)],"")</f>
        <v/>
      </c>
      <c r="L12" t="str">
        <f>_xlfn.XLOOKUP(Table3[[#This Row],[SC enz]],Table2[id],Table2[Abundance in RT (g protein/g all proteins)],"")</f>
        <v/>
      </c>
      <c r="M12">
        <f>Table3[[#This Row],[log(y)]]-Table3[[#This Row],[log(x)]]/SQRT(2)</f>
        <v>1.9970197733716764</v>
      </c>
      <c r="N12">
        <f>ABS(Table3[[#This Row],[dist from 45-degree (RT - SC)]])</f>
        <v>1.9970197733716764</v>
      </c>
      <c r="P12" t="str">
        <v>Ergosterol biosynthesis</v>
      </c>
      <c r="Q12" cm="1">
        <f t="array" ref="Q12">MEDIAN(_xlfn._xlws.FILTER(Table3[dist from 45-degree (RT - SC)],Table3[subsystem]=P12))</f>
        <v>1.5231916265126997</v>
      </c>
      <c r="R12" t="str">
        <v>Oxidative phosphorylation</v>
      </c>
      <c r="S12">
        <v>1.6082319626283401</v>
      </c>
    </row>
    <row r="13" spans="1:34" x14ac:dyDescent="0.2">
      <c r="A13" t="s">
        <v>2917</v>
      </c>
      <c r="B13">
        <v>9401.5744333239527</v>
      </c>
      <c r="C13">
        <v>10323.602698231551</v>
      </c>
      <c r="D13">
        <f>LOG(Table3[[#This Row],[scRBA $k_{app}$ ($h^{-1}$)]])</f>
        <v>3.9732005887537403</v>
      </c>
      <c r="E13">
        <f>LOG(Table3[[#This Row],[rtRBA $k_{app}$ ($h^{-1}$)]])</f>
        <v>4.0138312824578595</v>
      </c>
      <c r="F13" t="str">
        <f>_xlfn.TEXTAFTER(Table3[[#This Row],[id]],"-",-1)</f>
        <v>rt4107</v>
      </c>
      <c r="G13" t="str">
        <f>_xlfn.TEXTAFTER(_xlfn.TEXTBEFORE(Table3[[#This Row],[id]],"-"&amp;Table3[[#This Row],[enz]]),"_",-1)</f>
        <v>FWD</v>
      </c>
      <c r="H13" t="str">
        <f>_xlfn.TEXTBEFORE(Table3[[#This Row],[id]],"_"&amp;Table3[[#This Row],[dir]])</f>
        <v>ACGAM6PS_c</v>
      </c>
      <c r="I13" t="str">
        <f>_xlfn.XLOOKUP(Table3[[#This Row],[rxn]],Table1[id],Table1[subsystem],"")</f>
        <v>Amino sugar and nucleotide sugar metabolism</v>
      </c>
      <c r="J13" t="str">
        <f>_xlfn.XLOOKUP(Table3[[#This Row],[enz]],'[1]scRBA (raw)'!$N:$N,'[1]scRBA (raw)'!$K:$K,"")</f>
        <v>YFL017C</v>
      </c>
      <c r="K13">
        <f>_xlfn.XLOOKUP(Table3[[#This Row],[SC enz]],Table2[id],Table2[Abundance in SC (g protein/g all proteins)],"")</f>
        <v>1.25223941205552E-3</v>
      </c>
      <c r="L13">
        <f>_xlfn.XLOOKUP(Table3[[#This Row],[SC enz]],Table2[id],Table2[Abundance in RT (g protein/g all proteins)],"")</f>
        <v>9.3800000000000003E-4</v>
      </c>
      <c r="M13">
        <f>Table3[[#This Row],[log(y)]]-Table3[[#This Row],[log(x)]]/SQRT(2)</f>
        <v>1.2043542031357068</v>
      </c>
      <c r="N13">
        <f>ABS(Table3[[#This Row],[dist from 45-degree (RT - SC)]])</f>
        <v>1.2043542031357068</v>
      </c>
      <c r="P13" t="str">
        <v>Fatty acid biosynthesis</v>
      </c>
      <c r="Q13" cm="1">
        <f t="array" ref="Q13">MEDIAN(_xlfn._xlws.FILTER(Table3[dist from 45-degree (RT - SC)],Table3[subsystem]=P13))</f>
        <v>1.9970197733716764</v>
      </c>
      <c r="R13" t="str">
        <v>Terpenoid backbone biosynthesis</v>
      </c>
      <c r="S13">
        <v>1.5924166435154929</v>
      </c>
    </row>
    <row r="14" spans="1:34" x14ac:dyDescent="0.2">
      <c r="A14" t="s">
        <v>2918</v>
      </c>
      <c r="B14">
        <v>3117.3907091539882</v>
      </c>
      <c r="C14">
        <v>3083.5654941083271</v>
      </c>
      <c r="D14">
        <f>LOG(Table3[[#This Row],[scRBA $k_{app}$ ($h^{-1}$)]])</f>
        <v>3.493791236731703</v>
      </c>
      <c r="E14">
        <f>LOG(Table3[[#This Row],[rtRBA $k_{app}$ ($h^{-1}$)]])</f>
        <v>3.4890531771592013</v>
      </c>
      <c r="F14" t="str">
        <f>_xlfn.TEXTAFTER(Table3[[#This Row],[id]],"-",-1)</f>
        <v>rt4597</v>
      </c>
      <c r="G14" t="str">
        <f>_xlfn.TEXTAFTER(_xlfn.TEXTBEFORE(Table3[[#This Row],[id]],"-"&amp;Table3[[#This Row],[enz]]),"_",-1)</f>
        <v>FWD</v>
      </c>
      <c r="H14" t="str">
        <f>_xlfn.TEXTBEFORE(Table3[[#This Row],[id]],"_"&amp;Table3[[#This Row],[dir]])</f>
        <v>ACGAMPM_c</v>
      </c>
      <c r="I14" t="str">
        <f>_xlfn.XLOOKUP(Table3[[#This Row],[rxn]],Table1[id],Table1[subsystem],"")</f>
        <v>Amino sugar and nucleotide sugar metabolism</v>
      </c>
      <c r="J14" t="str">
        <f>_xlfn.XLOOKUP(Table3[[#This Row],[enz]],'[1]scRBA (raw)'!$N:$N,'[1]scRBA (raw)'!$K:$K,"")</f>
        <v>YEL058W</v>
      </c>
      <c r="K14">
        <f>_xlfn.XLOOKUP(Table3[[#This Row],[SC enz]],Table2[id],Table2[Abundance in SC (g protein/g all proteins)],"")</f>
        <v>1.0236826358040499E-5</v>
      </c>
      <c r="L14">
        <f>_xlfn.XLOOKUP(Table3[[#This Row],[SC enz]],Table2[id],Table2[Abundance in RT (g protein/g all proteins)],"")</f>
        <v>4.6499999999999999E-5</v>
      </c>
      <c r="M14">
        <f>Table3[[#This Row],[log(y)]]-Table3[[#This Row],[log(x)]]/SQRT(2)</f>
        <v>1.0185697016160797</v>
      </c>
      <c r="N14">
        <f>ABS(Table3[[#This Row],[dist from 45-degree (RT - SC)]])</f>
        <v>1.0185697016160797</v>
      </c>
      <c r="P14" t="str">
        <v>Fatty acid degradation</v>
      </c>
      <c r="Q14" cm="1">
        <f t="array" ref="Q14">MEDIAN(_xlfn._xlws.FILTER(Table3[dist from 45-degree (RT - SC)],Table3[subsystem]=P14))</f>
        <v>-6.0453604834318195</v>
      </c>
      <c r="R14" t="str">
        <v>Histidine metabolism</v>
      </c>
      <c r="S14">
        <v>1.5850976226406333</v>
      </c>
    </row>
    <row r="15" spans="1:34" x14ac:dyDescent="0.2">
      <c r="A15" t="s">
        <v>2919</v>
      </c>
      <c r="B15">
        <v>125888.0212749795</v>
      </c>
      <c r="C15">
        <v>37527.15658120445</v>
      </c>
      <c r="D15">
        <f>LOG(Table3[[#This Row],[scRBA $k_{app}$ ($h^{-1}$)]])</f>
        <v>5.099984407298666</v>
      </c>
      <c r="E15">
        <f>LOG(Table3[[#This Row],[rtRBA $k_{app}$ ($h^{-1}$)]])</f>
        <v>4.5743456593271592</v>
      </c>
      <c r="F15" t="str">
        <f>_xlfn.TEXTAFTER(Table3[[#This Row],[id]],"-",-1)</f>
        <v>rt1009</v>
      </c>
      <c r="G15" t="str">
        <f>_xlfn.TEXTAFTER(_xlfn.TEXTBEFORE(Table3[[#This Row],[id]],"-"&amp;Table3[[#This Row],[enz]]),"_",-1)</f>
        <v>FWD</v>
      </c>
      <c r="H15" t="str">
        <f>_xlfn.TEXTBEFORE(Table3[[#This Row],[id]],"_"&amp;Table3[[#This Row],[dir]])</f>
        <v>ACGK_m</v>
      </c>
      <c r="I15" t="str">
        <f>_xlfn.XLOOKUP(Table3[[#This Row],[rxn]],Table1[id],Table1[subsystem],"")</f>
        <v>Arginine and proline metabolism</v>
      </c>
      <c r="J15" t="str">
        <f>_xlfn.XLOOKUP(Table3[[#This Row],[enz]],'[1]scRBA (raw)'!$N:$N,'[1]scRBA (raw)'!$K:$K,"")</f>
        <v>YER069W</v>
      </c>
      <c r="K15">
        <f>_xlfn.XLOOKUP(Table3[[#This Row],[SC enz]],Table2[id],Table2[Abundance in SC (g protein/g all proteins)],"")</f>
        <v>7.7379872776935093E-5</v>
      </c>
      <c r="L15">
        <f>_xlfn.XLOOKUP(Table3[[#This Row],[SC enz]],Table2[id],Table2[Abundance in RT (g protein/g all proteins)],"")</f>
        <v>6.3200000000000005E-5</v>
      </c>
      <c r="M15">
        <f>Table3[[#This Row],[log(y)]]-Table3[[#This Row],[log(x)]]/SQRT(2)</f>
        <v>0.96811210098061729</v>
      </c>
      <c r="N15">
        <f>ABS(Table3[[#This Row],[dist from 45-degree (RT - SC)]])</f>
        <v>0.96811210098061729</v>
      </c>
      <c r="P15" t="str">
        <v>Fatty acid elongation</v>
      </c>
      <c r="Q15" cm="1">
        <f t="array" ref="Q15">MEDIAN(_xlfn._xlws.FILTER(Table3[dist from 45-degree (RT - SC)],Table3[subsystem]=P15))</f>
        <v>0.45478527683106407</v>
      </c>
      <c r="R15" t="str">
        <v>Starch and sucrose metabolism</v>
      </c>
      <c r="S15">
        <v>1.5711481599472004</v>
      </c>
    </row>
    <row r="16" spans="1:34" x14ac:dyDescent="0.2">
      <c r="A16" t="s">
        <v>3225</v>
      </c>
      <c r="B16">
        <v>29737.46700603436</v>
      </c>
      <c r="C16">
        <v>12689709356913.59</v>
      </c>
      <c r="D16">
        <f>LOG(Table3[[#This Row],[scRBA $k_{app}$ ($h^{-1}$)]])</f>
        <v>4.4733039731922695</v>
      </c>
      <c r="E16">
        <f>LOG(Table3[[#This Row],[rtRBA $k_{app}$ ($h^{-1}$)]])</f>
        <v>13.103451675196823</v>
      </c>
      <c r="F16" t="str">
        <f>_xlfn.TEXTAFTER(Table3[[#This Row],[id]],"-",-1)</f>
        <v>rt7317</v>
      </c>
      <c r="G16" t="str">
        <f>_xlfn.TEXTAFTER(_xlfn.TEXTBEFORE(Table3[[#This Row],[id]],"-"&amp;Table3[[#This Row],[enz]]),"_",-1)</f>
        <v>FWD</v>
      </c>
      <c r="H16" t="str">
        <f>_xlfn.TEXTBEFORE(Table3[[#This Row],[id]],"_"&amp;Table3[[#This Row],[dir]])</f>
        <v>ACHBS_m</v>
      </c>
      <c r="I16" t="str">
        <f>_xlfn.XLOOKUP(Table3[[#This Row],[rxn]],Table1[id],Table1[subsystem],"")</f>
        <v>Valine, leucine and isoleucine metabolism</v>
      </c>
      <c r="J16" t="str">
        <f>_xlfn.XLOOKUP(Table3[[#This Row],[enz]],'[1]scRBA (raw)'!$N:$N,'[1]scRBA (raw)'!$K:$K,"")</f>
        <v>YMR108W</v>
      </c>
      <c r="K16">
        <f>_xlfn.XLOOKUP(Table3[[#This Row],[SC enz]],Table2[id],Table2[Abundance in SC (g protein/g all proteins)],"")</f>
        <v>6.7541283944606798E-6</v>
      </c>
      <c r="L16">
        <f>_xlfn.XLOOKUP(Table3[[#This Row],[SC enz]],Table2[id],Table2[Abundance in RT (g protein/g all proteins)],"")</f>
        <v>1.92E-4</v>
      </c>
      <c r="M16">
        <f>Table3[[#This Row],[log(y)]]-Table3[[#This Row],[log(x)]]/SQRT(2)</f>
        <v>9.9403481014438437</v>
      </c>
      <c r="N16">
        <f>ABS(Table3[[#This Row],[dist from 45-degree (RT - SC)]])</f>
        <v>9.9403481014438437</v>
      </c>
      <c r="P16" t="str">
        <v>Folate metabolism</v>
      </c>
      <c r="Q16" cm="1">
        <f t="array" ref="Q16">MEDIAN(_xlfn._xlws.FILTER(Table3[dist from 45-degree (RT - SC)],Table3[subsystem]=P16))</f>
        <v>0.68634739012312096</v>
      </c>
      <c r="R16" t="str">
        <v>Ergosterol biosynthesis</v>
      </c>
      <c r="S16">
        <v>1.5231916265126997</v>
      </c>
    </row>
    <row r="17" spans="1:19" x14ac:dyDescent="0.2">
      <c r="A17" t="s">
        <v>3226</v>
      </c>
      <c r="B17">
        <v>29737.46700603436</v>
      </c>
      <c r="C17">
        <v>12689709356913.59</v>
      </c>
      <c r="D17">
        <f>LOG(Table3[[#This Row],[scRBA $k_{app}$ ($h^{-1}$)]])</f>
        <v>4.4733039731922695</v>
      </c>
      <c r="E17">
        <f>LOG(Table3[[#This Row],[rtRBA $k_{app}$ ($h^{-1}$)]])</f>
        <v>13.103451675196823</v>
      </c>
      <c r="F17" t="str">
        <f>_xlfn.TEXTAFTER(Table3[[#This Row],[id]],"-",-1)</f>
        <v>rt7317</v>
      </c>
      <c r="G17" t="str">
        <f>_xlfn.TEXTAFTER(_xlfn.TEXTBEFORE(Table3[[#This Row],[id]],"-"&amp;Table3[[#This Row],[enz]]),"_",-1)</f>
        <v>FWD</v>
      </c>
      <c r="H17" t="str">
        <f>_xlfn.TEXTBEFORE(Table3[[#This Row],[id]],"_"&amp;Table3[[#This Row],[dir]])</f>
        <v>ACLS_m</v>
      </c>
      <c r="I17" t="str">
        <f>_xlfn.XLOOKUP(Table3[[#This Row],[rxn]],Table1[id],Table1[subsystem],"")</f>
        <v>Valine, leucine and isoleucine metabolism</v>
      </c>
      <c r="J17" t="str">
        <f>_xlfn.XLOOKUP(Table3[[#This Row],[enz]],'[1]scRBA (raw)'!$N:$N,'[1]scRBA (raw)'!$K:$K,"")</f>
        <v>YMR108W</v>
      </c>
      <c r="K17">
        <f>_xlfn.XLOOKUP(Table3[[#This Row],[SC enz]],Table2[id],Table2[Abundance in SC (g protein/g all proteins)],"")</f>
        <v>6.7541283944606798E-6</v>
      </c>
      <c r="L17">
        <f>_xlfn.XLOOKUP(Table3[[#This Row],[SC enz]],Table2[id],Table2[Abundance in RT (g protein/g all proteins)],"")</f>
        <v>1.92E-4</v>
      </c>
      <c r="M17">
        <f>Table3[[#This Row],[log(y)]]-Table3[[#This Row],[log(x)]]/SQRT(2)</f>
        <v>9.9403481014438437</v>
      </c>
      <c r="N17">
        <f>ABS(Table3[[#This Row],[dist from 45-degree (RT - SC)]])</f>
        <v>9.9403481014438437</v>
      </c>
      <c r="P17" t="str">
        <v>Fructose and mannose metabolism</v>
      </c>
      <c r="Q17" cm="1">
        <f t="array" ref="Q17">MEDIAN(_xlfn._xlws.FILTER(Table3[dist from 45-degree (RT - SC)],Table3[subsystem]=P17))</f>
        <v>1.4667173070039548</v>
      </c>
      <c r="R17" t="str">
        <v>Fructose and mannose metabolism</v>
      </c>
      <c r="S17">
        <v>1.4667173070039548</v>
      </c>
    </row>
    <row r="18" spans="1:19" x14ac:dyDescent="0.2">
      <c r="A18" t="s">
        <v>2920</v>
      </c>
      <c r="B18">
        <v>2229.344095069182</v>
      </c>
      <c r="C18">
        <v>30777.290133255941</v>
      </c>
      <c r="D18">
        <f>LOG(Table3[[#This Row],[scRBA $k_{app}$ ($h^{-1}$)]])</f>
        <v>3.3481771061906098</v>
      </c>
      <c r="E18">
        <f>LOG(Table3[[#This Row],[rtRBA $k_{app}$ ($h^{-1}$)]])</f>
        <v>4.4882303785889341</v>
      </c>
      <c r="F18" t="str">
        <f>_xlfn.TEXTAFTER(Table3[[#This Row],[id]],"-",-1)</f>
        <v>rt1362</v>
      </c>
      <c r="G18" t="str">
        <f>_xlfn.TEXTAFTER(_xlfn.TEXTBEFORE(Table3[[#This Row],[id]],"-"&amp;Table3[[#This Row],[enz]]),"_",-1)</f>
        <v>FWD</v>
      </c>
      <c r="H18" t="str">
        <f>_xlfn.TEXTBEFORE(Table3[[#This Row],[id]],"_"&amp;Table3[[#This Row],[dir]])</f>
        <v>ACOADS180_rm</v>
      </c>
      <c r="I18" t="str">
        <f>_xlfn.XLOOKUP(Table3[[#This Row],[rxn]],Table1[id],Table1[subsystem],"")</f>
        <v>Biosynthesis of unsaturated fatty acids</v>
      </c>
      <c r="J18" t="str">
        <f>_xlfn.XLOOKUP(Table3[[#This Row],[enz]],'[1]scRBA (raw)'!$N:$N,'[1]scRBA (raw)'!$K:$K,"")</f>
        <v>YGL055W</v>
      </c>
      <c r="K18">
        <f>_xlfn.XLOOKUP(Table3[[#This Row],[SC enz]],Table2[id],Table2[Abundance in SC (g protein/g all proteins)],"")</f>
        <v>4.00850330718615E-5</v>
      </c>
      <c r="L18">
        <f>_xlfn.XLOOKUP(Table3[[#This Row],[SC enz]],Table2[id],Table2[Abundance in RT (g protein/g all proteins)],"")</f>
        <v>1.7699999999999999E-4</v>
      </c>
      <c r="M18">
        <f>Table3[[#This Row],[log(y)]]-Table3[[#This Row],[log(x)]]/SQRT(2)</f>
        <v>2.1207116421880028</v>
      </c>
      <c r="N18">
        <f>ABS(Table3[[#This Row],[dist from 45-degree (RT - SC)]])</f>
        <v>2.1207116421880028</v>
      </c>
      <c r="P18" t="str">
        <v>Glycerophospholipid biosynthesis</v>
      </c>
      <c r="Q18" cm="1">
        <f t="array" ref="Q18">MEDIAN(_xlfn._xlws.FILTER(Table3[dist from 45-degree (RT - SC)],Table3[subsystem]=P18))</f>
        <v>1.4139481434255643</v>
      </c>
      <c r="R18" t="str">
        <v>Glycerophospholipid biosynthesis</v>
      </c>
      <c r="S18">
        <v>1.4139481434255643</v>
      </c>
    </row>
    <row r="19" spans="1:19" x14ac:dyDescent="0.2">
      <c r="A19" t="s">
        <v>3227</v>
      </c>
      <c r="B19">
        <v>90114.14441583032</v>
      </c>
      <c r="C19">
        <v>2484720.7730387128</v>
      </c>
      <c r="D19">
        <f>LOG(Table3[[#This Row],[scRBA $k_{app}$ ($h^{-1}$)]])</f>
        <v>4.954792963671915</v>
      </c>
      <c r="E19">
        <f>LOG(Table3[[#This Row],[rtRBA $k_{app}$ ($h^{-1}$)]])</f>
        <v>6.3952775908391448</v>
      </c>
      <c r="F19" t="str">
        <f>_xlfn.TEXTAFTER(Table3[[#This Row],[id]],"-",-1)</f>
        <v>rt6232</v>
      </c>
      <c r="G19" t="str">
        <f>_xlfn.TEXTAFTER(_xlfn.TEXTBEFORE(Table3[[#This Row],[id]],"-"&amp;Table3[[#This Row],[enz]]),"_",-1)</f>
        <v>FWD</v>
      </c>
      <c r="H19" t="str">
        <f>_xlfn.TEXTBEFORE(Table3[[#This Row],[id]],"_"&amp;Table3[[#This Row],[dir]])</f>
        <v>ACONTa_m</v>
      </c>
      <c r="I19" t="str">
        <f>_xlfn.XLOOKUP(Table3[[#This Row],[rxn]],Table1[id],Table1[subsystem],"")</f>
        <v>Citric acid cycle</v>
      </c>
      <c r="J19" t="str">
        <f>_xlfn.XLOOKUP(Table3[[#This Row],[enz]],'[1]scRBA (raw)'!$N:$N,'[1]scRBA (raw)'!$K:$K,"")</f>
        <v>YJL200C</v>
      </c>
      <c r="K19" t="str">
        <f>_xlfn.XLOOKUP(Table3[[#This Row],[SC enz]],Table2[id],Table2[Abundance in SC (g protein/g all proteins)],"")</f>
        <v/>
      </c>
      <c r="L19" t="str">
        <f>_xlfn.XLOOKUP(Table3[[#This Row],[SC enz]],Table2[id],Table2[Abundance in RT (g protein/g all proteins)],"")</f>
        <v/>
      </c>
      <c r="M19">
        <f>Table3[[#This Row],[log(y)]]-Table3[[#This Row],[log(x)]]/SQRT(2)</f>
        <v>2.8917098868513431</v>
      </c>
      <c r="N19">
        <f>ABS(Table3[[#This Row],[dist from 45-degree (RT - SC)]])</f>
        <v>2.8917098868513431</v>
      </c>
      <c r="P19" t="str">
        <v>Glycerophospholipid metabolism</v>
      </c>
      <c r="Q19" cm="1">
        <f t="array" ref="Q19">MEDIAN(_xlfn._xlws.FILTER(Table3[dist from 45-degree (RT - SC)],Table3[subsystem]=P19))</f>
        <v>0.84472631273257348</v>
      </c>
      <c r="R19" t="str">
        <v>Valine, leucine and isoleucine metabolism</v>
      </c>
      <c r="S19">
        <v>1.3993346000792433</v>
      </c>
    </row>
    <row r="20" spans="1:19" x14ac:dyDescent="0.2">
      <c r="A20" t="s">
        <v>3228</v>
      </c>
      <c r="B20">
        <v>90114.14441583032</v>
      </c>
      <c r="C20">
        <v>2484720.7730387128</v>
      </c>
      <c r="D20">
        <f>LOG(Table3[[#This Row],[scRBA $k_{app}$ ($h^{-1}$)]])</f>
        <v>4.954792963671915</v>
      </c>
      <c r="E20">
        <f>LOG(Table3[[#This Row],[rtRBA $k_{app}$ ($h^{-1}$)]])</f>
        <v>6.3952775908391448</v>
      </c>
      <c r="F20" t="str">
        <f>_xlfn.TEXTAFTER(Table3[[#This Row],[id]],"-",-1)</f>
        <v>rt6232</v>
      </c>
      <c r="G20" t="str">
        <f>_xlfn.TEXTAFTER(_xlfn.TEXTBEFORE(Table3[[#This Row],[id]],"-"&amp;Table3[[#This Row],[enz]]),"_",-1)</f>
        <v>FWD</v>
      </c>
      <c r="H20" t="str">
        <f>_xlfn.TEXTBEFORE(Table3[[#This Row],[id]],"_"&amp;Table3[[#This Row],[dir]])</f>
        <v>ACONTb_m</v>
      </c>
      <c r="I20" t="str">
        <f>_xlfn.XLOOKUP(Table3[[#This Row],[rxn]],Table1[id],Table1[subsystem],"")</f>
        <v>Citric acid cycle</v>
      </c>
      <c r="J20" t="str">
        <f>_xlfn.XLOOKUP(Table3[[#This Row],[enz]],'[1]scRBA (raw)'!$N:$N,'[1]scRBA (raw)'!$K:$K,"")</f>
        <v>YJL200C</v>
      </c>
      <c r="K20" t="str">
        <f>_xlfn.XLOOKUP(Table3[[#This Row],[SC enz]],Table2[id],Table2[Abundance in SC (g protein/g all proteins)],"")</f>
        <v/>
      </c>
      <c r="L20" t="str">
        <f>_xlfn.XLOOKUP(Table3[[#This Row],[SC enz]],Table2[id],Table2[Abundance in RT (g protein/g all proteins)],"")</f>
        <v/>
      </c>
      <c r="M20">
        <f>Table3[[#This Row],[log(y)]]-Table3[[#This Row],[log(x)]]/SQRT(2)</f>
        <v>2.8917098868513431</v>
      </c>
      <c r="N20">
        <f>ABS(Table3[[#This Row],[dist from 45-degree (RT - SC)]])</f>
        <v>2.8917098868513431</v>
      </c>
      <c r="P20" t="str">
        <v>Glycine, serine and threonine metabolism</v>
      </c>
      <c r="Q20" cm="1">
        <f t="array" ref="Q20">MEDIAN(_xlfn._xlws.FILTER(Table3[dist from 45-degree (RT - SC)],Table3[subsystem]=P20))</f>
        <v>1.1881564339919004</v>
      </c>
      <c r="R20" t="str">
        <v>Nitrogen metabolism</v>
      </c>
      <c r="S20">
        <v>1.3903299958007311</v>
      </c>
    </row>
    <row r="21" spans="1:19" x14ac:dyDescent="0.2">
      <c r="A21" t="s">
        <v>2921</v>
      </c>
      <c r="B21">
        <v>176964.72699080719</v>
      </c>
      <c r="C21">
        <v>72031.243548903032</v>
      </c>
      <c r="D21">
        <f>LOG(Table3[[#This Row],[scRBA $k_{app}$ ($h^{-1}$)]])</f>
        <v>5.2478867104304658</v>
      </c>
      <c r="E21">
        <f>LOG(Table3[[#This Row],[rtRBA $k_{app}$ ($h^{-1}$)]])</f>
        <v>4.857520912510477</v>
      </c>
      <c r="F21" t="str">
        <f>_xlfn.TEXTAFTER(Table3[[#This Row],[id]],"-",-1)</f>
        <v>rt6510</v>
      </c>
      <c r="G21" t="str">
        <f>_xlfn.TEXTAFTER(_xlfn.TEXTBEFORE(Table3[[#This Row],[id]],"-"&amp;Table3[[#This Row],[enz]]),"_",-1)</f>
        <v>FWD</v>
      </c>
      <c r="H21" t="str">
        <f>_xlfn.TEXTBEFORE(Table3[[#This Row],[id]],"_"&amp;Table3[[#This Row],[dir]])</f>
        <v>ACOTAi_m</v>
      </c>
      <c r="I21" t="str">
        <f>_xlfn.XLOOKUP(Table3[[#This Row],[rxn]],Table1[id],Table1[subsystem],"")</f>
        <v>Arginine and proline metabolism</v>
      </c>
      <c r="J21" t="str">
        <f>_xlfn.XLOOKUP(Table3[[#This Row],[enz]],'[1]scRBA (raw)'!$N:$N,'[1]scRBA (raw)'!$K:$K,"")</f>
        <v>YOL140W</v>
      </c>
      <c r="K21">
        <f>_xlfn.XLOOKUP(Table3[[#This Row],[SC enz]],Table2[id],Table2[Abundance in SC (g protein/g all proteins)],"")</f>
        <v>1.3963697966540699E-4</v>
      </c>
      <c r="L21">
        <f>_xlfn.XLOOKUP(Table3[[#This Row],[SC enz]],Table2[id],Table2[Abundance in RT (g protein/g all proteins)],"")</f>
        <v>3.8900000000000002E-4</v>
      </c>
      <c r="M21">
        <f>Table3[[#This Row],[log(y)]]-Table3[[#This Row],[log(x)]]/SQRT(2)</f>
        <v>1.146704632666331</v>
      </c>
      <c r="N21">
        <f>ABS(Table3[[#This Row],[dist from 45-degree (RT - SC)]])</f>
        <v>1.146704632666331</v>
      </c>
      <c r="P21" t="str">
        <v>Glycolysis / Gluconeogenesis</v>
      </c>
      <c r="Q21" cm="1">
        <f t="array" ref="Q21">MEDIAN(_xlfn._xlws.FILTER(Table3[dist from 45-degree (RT - SC)],Table3[subsystem]=P21))</f>
        <v>1.1276772199822485</v>
      </c>
      <c r="R21" t="str">
        <v>Sulfur metabolism</v>
      </c>
      <c r="S21">
        <v>1.3810143211015973</v>
      </c>
    </row>
    <row r="22" spans="1:19" x14ac:dyDescent="0.2">
      <c r="A22" t="s">
        <v>3229</v>
      </c>
      <c r="B22">
        <v>62987.207359257962</v>
      </c>
      <c r="C22">
        <v>13562.47385182745</v>
      </c>
      <c r="D22">
        <f>LOG(Table3[[#This Row],[scRBA $k_{app}$ ($h^{-1}$)]])</f>
        <v>4.7992523536213412</v>
      </c>
      <c r="E22">
        <f>LOG(Table3[[#This Row],[rtRBA $k_{app}$ ($h^{-1}$)]])</f>
        <v>4.1323389138825224</v>
      </c>
      <c r="F22" t="str">
        <f>_xlfn.TEXTAFTER(Table3[[#This Row],[id]],"-",-1)</f>
        <v>rt6229_c</v>
      </c>
      <c r="G22" t="str">
        <f>_xlfn.TEXTAFTER(_xlfn.TEXTBEFORE(Table3[[#This Row],[id]],"-"&amp;Table3[[#This Row],[enz]]),"_",-1)</f>
        <v>FWD</v>
      </c>
      <c r="H22" t="str">
        <f>_xlfn.TEXTBEFORE(Table3[[#This Row],[id]],"_"&amp;Table3[[#This Row],[dir]])</f>
        <v>ACS_c</v>
      </c>
      <c r="I22" t="str">
        <f>_xlfn.XLOOKUP(Table3[[#This Row],[rxn]],Table1[id],Table1[subsystem],"")</f>
        <v>Acetyl-CoA synthesis</v>
      </c>
      <c r="J22" t="str">
        <f>_xlfn.XLOOKUP(Table3[[#This Row],[enz]],'[1]scRBA (raw)'!$N:$N,'[1]scRBA (raw)'!$K:$K,"")</f>
        <v/>
      </c>
      <c r="K22" t="str">
        <f>_xlfn.XLOOKUP(Table3[[#This Row],[SC enz]],Table2[id],Table2[Abundance in SC (g protein/g all proteins)],"")</f>
        <v/>
      </c>
      <c r="L22" t="str">
        <f>_xlfn.XLOOKUP(Table3[[#This Row],[SC enz]],Table2[id],Table2[Abundance in RT (g protein/g all proteins)],"")</f>
        <v/>
      </c>
      <c r="M22">
        <f>Table3[[#This Row],[log(y)]]-Table3[[#This Row],[log(x)]]/SQRT(2)</f>
        <v>0.73875503001137366</v>
      </c>
      <c r="N22">
        <f>ABS(Table3[[#This Row],[dist from 45-degree (RT - SC)]])</f>
        <v>0.73875503001137366</v>
      </c>
      <c r="P22" t="str">
        <v>Glyoxylate metabolism</v>
      </c>
      <c r="Q22" cm="1">
        <f t="array" ref="Q22">MEDIAN(_xlfn._xlws.FILTER(Table3[dist from 45-degree (RT - SC)],Table3[subsystem]=P22))</f>
        <v>0.3011126393082999</v>
      </c>
      <c r="R22" t="str">
        <v>Purine metabolism</v>
      </c>
      <c r="S22">
        <v>1.3718139116638657</v>
      </c>
    </row>
    <row r="23" spans="1:19" x14ac:dyDescent="0.2">
      <c r="A23" t="s">
        <v>2922</v>
      </c>
      <c r="B23">
        <v>127018.1102646465</v>
      </c>
      <c r="C23">
        <v>137362.8184974645</v>
      </c>
      <c r="D23">
        <f>LOG(Table3[[#This Row],[scRBA $k_{app}$ ($h^{-1}$)]])</f>
        <v>5.1038656471548949</v>
      </c>
      <c r="E23">
        <f>LOG(Table3[[#This Row],[rtRBA $k_{app}$ ($h^{-1}$)]])</f>
        <v>5.1378691933740166</v>
      </c>
      <c r="F23" t="str">
        <f>_xlfn.TEXTAFTER(Table3[[#This Row],[id]],"-",-1)</f>
        <v>rt3932</v>
      </c>
      <c r="G23" t="str">
        <f>_xlfn.TEXTAFTER(_xlfn.TEXTBEFORE(Table3[[#This Row],[id]],"-"&amp;Table3[[#This Row],[enz]]),"_",-1)</f>
        <v>FWD</v>
      </c>
      <c r="H23" t="str">
        <f>_xlfn.TEXTBEFORE(Table3[[#This Row],[id]],"_"&amp;Table3[[#This Row],[dir]])</f>
        <v>ADK1_c</v>
      </c>
      <c r="I23" t="str">
        <f>_xlfn.XLOOKUP(Table3[[#This Row],[rxn]],Table1[id],Table1[subsystem],"")</f>
        <v>Purine metabolism</v>
      </c>
      <c r="J23" t="str">
        <f>_xlfn.XLOOKUP(Table3[[#This Row],[enz]],'[1]scRBA (raw)'!$N:$N,'[1]scRBA (raw)'!$K:$K,"")</f>
        <v>YDL166C</v>
      </c>
      <c r="K23" t="str">
        <f>_xlfn.XLOOKUP(Table3[[#This Row],[SC enz]],Table2[id],Table2[Abundance in SC (g protein/g all proteins)],"")</f>
        <v/>
      </c>
      <c r="L23" t="str">
        <f>_xlfn.XLOOKUP(Table3[[#This Row],[SC enz]],Table2[id],Table2[Abundance in RT (g protein/g all proteins)],"")</f>
        <v/>
      </c>
      <c r="M23">
        <f>Table3[[#This Row],[log(y)]]-Table3[[#This Row],[log(x)]]/SQRT(2)</f>
        <v>1.5288911840057238</v>
      </c>
      <c r="N23">
        <f>ABS(Table3[[#This Row],[dist from 45-degree (RT - SC)]])</f>
        <v>1.5288911840057238</v>
      </c>
      <c r="P23" t="str">
        <v>Heme metabolism</v>
      </c>
      <c r="Q23" cm="1">
        <f t="array" ref="Q23">MEDIAN(_xlfn._xlws.FILTER(Table3[dist from 45-degree (RT - SC)],Table3[subsystem]=P23))</f>
        <v>0.49825681871523875</v>
      </c>
      <c r="R23" t="str">
        <v>Phenylalanine, tyrosine and tryptophan metabolism</v>
      </c>
      <c r="S23">
        <v>1.3578628150759204</v>
      </c>
    </row>
    <row r="24" spans="1:19" x14ac:dyDescent="0.2">
      <c r="A24" t="s">
        <v>2923</v>
      </c>
      <c r="B24">
        <v>1623.1745524419989</v>
      </c>
      <c r="C24">
        <v>4384.1452337365863</v>
      </c>
      <c r="D24">
        <f>LOG(Table3[[#This Row],[scRBA $k_{app}$ ($h^{-1}$)]])</f>
        <v>3.2103652253629869</v>
      </c>
      <c r="E24">
        <f>LOG(Table3[[#This Row],[rtRBA $k_{app}$ ($h^{-1}$)]])</f>
        <v>3.6418849326035123</v>
      </c>
      <c r="F24" t="str">
        <f>_xlfn.TEXTAFTER(Table3[[#This Row],[id]],"-",-1)</f>
        <v>rt0017</v>
      </c>
      <c r="G24" t="str">
        <f>_xlfn.TEXTAFTER(_xlfn.TEXTBEFORE(Table3[[#This Row],[id]],"-"&amp;Table3[[#This Row],[enz]]),"_",-1)</f>
        <v>FWD</v>
      </c>
      <c r="H24" t="str">
        <f>_xlfn.TEXTBEFORE(Table3[[#This Row],[id]],"_"&amp;Table3[[#This Row],[dir]])</f>
        <v>ADNK1_c</v>
      </c>
      <c r="I24" t="str">
        <f>_xlfn.XLOOKUP(Table3[[#This Row],[rxn]],Table1[id],Table1[subsystem],"")</f>
        <v>Purine metabolism</v>
      </c>
      <c r="J24" t="str">
        <f>_xlfn.XLOOKUP(Table3[[#This Row],[enz]],'[1]scRBA (raw)'!$N:$N,'[1]scRBA (raw)'!$K:$K,"")</f>
        <v>YJR105W</v>
      </c>
      <c r="K24">
        <f>_xlfn.XLOOKUP(Table3[[#This Row],[SC enz]],Table2[id],Table2[Abundance in SC (g protein/g all proteins)],"")</f>
        <v>6.3534940174167596E-5</v>
      </c>
      <c r="L24">
        <f>_xlfn.XLOOKUP(Table3[[#This Row],[SC enz]],Table2[id],Table2[Abundance in RT (g protein/g all proteins)],"")</f>
        <v>7.2000000000000002E-5</v>
      </c>
      <c r="M24">
        <f>Table3[[#This Row],[log(y)]]-Table3[[#This Row],[log(x)]]/SQRT(2)</f>
        <v>1.3718139116638657</v>
      </c>
      <c r="N24">
        <f>ABS(Table3[[#This Row],[dist from 45-degree (RT - SC)]])</f>
        <v>1.3718139116638657</v>
      </c>
      <c r="P24" t="str">
        <v>Histidine metabolism</v>
      </c>
      <c r="Q24" cm="1">
        <f t="array" ref="Q24">MEDIAN(_xlfn._xlws.FILTER(Table3[dist from 45-degree (RT - SC)],Table3[subsystem]=P24))</f>
        <v>1.5850976226406333</v>
      </c>
      <c r="R24" t="str">
        <v>Cysteine and methionine metabolism</v>
      </c>
      <c r="S24">
        <v>1.2707470534441301</v>
      </c>
    </row>
    <row r="25" spans="1:19" x14ac:dyDescent="0.2">
      <c r="A25" t="s">
        <v>2924</v>
      </c>
      <c r="B25">
        <v>964725.66480049677</v>
      </c>
      <c r="C25">
        <v>674258.73164064018</v>
      </c>
      <c r="D25">
        <f>LOG(Table3[[#This Row],[scRBA $k_{app}$ ($h^{-1}$)]])</f>
        <v>5.9844038323057243</v>
      </c>
      <c r="E25">
        <f>LOG(Table3[[#This Row],[rtRBA $k_{app}$ ($h^{-1}$)]])</f>
        <v>5.8288265792684868</v>
      </c>
      <c r="F25" t="str">
        <f>_xlfn.TEXTAFTER(Table3[[#This Row],[id]],"-",-1)</f>
        <v>rt4336</v>
      </c>
      <c r="G25" t="str">
        <f>_xlfn.TEXTAFTER(_xlfn.TEXTBEFORE(Table3[[#This Row],[id]],"-"&amp;Table3[[#This Row],[enz]]),"_",-1)</f>
        <v>FWD</v>
      </c>
      <c r="H25" t="str">
        <f>_xlfn.TEXTBEFORE(Table3[[#This Row],[id]],"_"&amp;Table3[[#This Row],[dir]])</f>
        <v>ADPATPt_c_m</v>
      </c>
      <c r="I25" t="str">
        <f>_xlfn.XLOOKUP(Table3[[#This Row],[rxn]],Table1[id],Table1[subsystem],"")</f>
        <v>Transport</v>
      </c>
      <c r="J25" t="str">
        <f>_xlfn.XLOOKUP(Table3[[#This Row],[enz]],'[1]scRBA (raw)'!$N:$N,'[1]scRBA (raw)'!$K:$K,"")</f>
        <v>YBL030C</v>
      </c>
      <c r="K25">
        <f>_xlfn.XLOOKUP(Table3[[#This Row],[SC enz]],Table2[id],Table2[Abundance in SC (g protein/g all proteins)],"")</f>
        <v>3.7420147614555302E-5</v>
      </c>
      <c r="L25">
        <f>_xlfn.XLOOKUP(Table3[[#This Row],[SC enz]],Table2[id],Table2[Abundance in RT (g protein/g all proteins)],"")</f>
        <v>2.22E-4</v>
      </c>
      <c r="M25">
        <f>Table3[[#This Row],[log(y)]]-Table3[[#This Row],[log(x)]]/SQRT(2)</f>
        <v>1.5972140480863466</v>
      </c>
      <c r="N25">
        <f>ABS(Table3[[#This Row],[dist from 45-degree (RT - SC)]])</f>
        <v>1.5972140480863466</v>
      </c>
      <c r="P25" t="str">
        <v>Lysine metabolism</v>
      </c>
      <c r="Q25" cm="1">
        <f t="array" ref="Q25">MEDIAN(_xlfn._xlws.FILTER(Table3[dist from 45-degree (RT - SC)],Table3[subsystem]=P25))</f>
        <v>1.894096123362053</v>
      </c>
      <c r="R25" t="str">
        <v>Pyrimidine metabolism</v>
      </c>
      <c r="S25">
        <v>1.236394060700976</v>
      </c>
    </row>
    <row r="26" spans="1:19" x14ac:dyDescent="0.2">
      <c r="A26" t="s">
        <v>2925</v>
      </c>
      <c r="B26">
        <v>6844.1737034021126</v>
      </c>
      <c r="C26">
        <v>9556.3190400257408</v>
      </c>
      <c r="D26">
        <f>LOG(Table3[[#This Row],[scRBA $k_{app}$ ($h^{-1}$)]])</f>
        <v>3.8353210232933339</v>
      </c>
      <c r="E26">
        <f>LOG(Table3[[#This Row],[rtRBA $k_{app}$ ($h^{-1}$)]])</f>
        <v>3.9802906403463392</v>
      </c>
      <c r="F26" t="str">
        <f>_xlfn.TEXTAFTER(Table3[[#This Row],[id]],"-",-1)</f>
        <v>rt0341</v>
      </c>
      <c r="G26" t="str">
        <f>_xlfn.TEXTAFTER(_xlfn.TEXTBEFORE(Table3[[#This Row],[id]],"-"&amp;Table3[[#This Row],[enz]]),"_",-1)</f>
        <v>FWD</v>
      </c>
      <c r="H26" t="str">
        <f>_xlfn.TEXTBEFORE(Table3[[#This Row],[id]],"_"&amp;Table3[[#This Row],[dir]])</f>
        <v>ADSK_c</v>
      </c>
      <c r="I26" t="str">
        <f>_xlfn.XLOOKUP(Table3[[#This Row],[rxn]],Table1[id],Table1[subsystem],"")</f>
        <v>Purine metabolism</v>
      </c>
      <c r="J26" t="str">
        <f>_xlfn.XLOOKUP(Table3[[#This Row],[enz]],'[1]scRBA (raw)'!$N:$N,'[1]scRBA (raw)'!$K:$K,"")</f>
        <v>YKL001C</v>
      </c>
      <c r="K26">
        <f>_xlfn.XLOOKUP(Table3[[#This Row],[SC enz]],Table2[id],Table2[Abundance in SC (g protein/g all proteins)],"")</f>
        <v>5.0233096617755197E-6</v>
      </c>
      <c r="L26">
        <f>_xlfn.XLOOKUP(Table3[[#This Row],[SC enz]],Table2[id],Table2[Abundance in RT (g protein/g all proteins)],"")</f>
        <v>6.5699999999999998E-6</v>
      </c>
      <c r="M26">
        <f>Table3[[#This Row],[log(y)]]-Table3[[#This Row],[log(x)]]/SQRT(2)</f>
        <v>1.2683091367482944</v>
      </c>
      <c r="N26">
        <f>ABS(Table3[[#This Row],[dist from 45-degree (RT - SC)]])</f>
        <v>1.2683091367482944</v>
      </c>
      <c r="P26" t="str">
        <v>N-Glycan biosynthesis</v>
      </c>
      <c r="Q26" cm="1">
        <f t="array" ref="Q26">MEDIAN(_xlfn._xlws.FILTER(Table3[dist from 45-degree (RT - SC)],Table3[subsystem]=P26))</f>
        <v>2.6942467523203262</v>
      </c>
      <c r="R26" t="str">
        <v>Aminoacyl-tRNA biosynthesis</v>
      </c>
      <c r="S26">
        <v>1.2077641697277166</v>
      </c>
    </row>
    <row r="27" spans="1:19" x14ac:dyDescent="0.2">
      <c r="A27" t="s">
        <v>2926</v>
      </c>
      <c r="B27">
        <v>40962.979005932531</v>
      </c>
      <c r="C27">
        <v>77359.413939352831</v>
      </c>
      <c r="D27">
        <f>LOG(Table3[[#This Row],[scRBA $k_{app}$ ($h^{-1}$)]])</f>
        <v>4.6123915328992382</v>
      </c>
      <c r="E27">
        <f>LOG(Table3[[#This Row],[rtRBA $k_{app}$ ($h^{-1}$)]])</f>
        <v>4.8885131709525407</v>
      </c>
      <c r="F27" t="str">
        <f>_xlfn.TEXTAFTER(Table3[[#This Row],[id]],"-",-1)</f>
        <v>rt7437</v>
      </c>
      <c r="G27" t="str">
        <f>_xlfn.TEXTAFTER(_xlfn.TEXTBEFORE(Table3[[#This Row],[id]],"-"&amp;Table3[[#This Row],[enz]]),"_",-1)</f>
        <v>FWD</v>
      </c>
      <c r="H27" t="str">
        <f>_xlfn.TEXTBEFORE(Table3[[#This Row],[id]],"_"&amp;Table3[[#This Row],[dir]])</f>
        <v>ADSL1r_c</v>
      </c>
      <c r="I27" t="str">
        <f>_xlfn.XLOOKUP(Table3[[#This Row],[rxn]],Table1[id],Table1[subsystem],"")</f>
        <v>Purine metabolism</v>
      </c>
      <c r="J27" t="str">
        <f>_xlfn.XLOOKUP(Table3[[#This Row],[enz]],'[1]scRBA (raw)'!$N:$N,'[1]scRBA (raw)'!$K:$K,"")</f>
        <v>YLR359W</v>
      </c>
      <c r="K27">
        <f>_xlfn.XLOOKUP(Table3[[#This Row],[SC enz]],Table2[id],Table2[Abundance in SC (g protein/g all proteins)],"")</f>
        <v>1.5101652512678299E-5</v>
      </c>
      <c r="L27">
        <f>_xlfn.XLOOKUP(Table3[[#This Row],[SC enz]],Table2[id],Table2[Abundance in RT (g protein/g all proteins)],"")</f>
        <v>7.2799999999999994E-5</v>
      </c>
      <c r="M27">
        <f>Table3[[#This Row],[log(y)]]-Table3[[#This Row],[log(x)]]/SQRT(2)</f>
        <v>1.6270598405520746</v>
      </c>
      <c r="N27">
        <f>ABS(Table3[[#This Row],[dist from 45-degree (RT - SC)]])</f>
        <v>1.6270598405520746</v>
      </c>
      <c r="P27" t="str">
        <v>Nicotinate and nicotinamide metabolism</v>
      </c>
      <c r="Q27" cm="1">
        <f t="array" ref="Q27">MEDIAN(_xlfn._xlws.FILTER(Table3[dist from 45-degree (RT - SC)],Table3[subsystem]=P27))</f>
        <v>0.58339908579582844</v>
      </c>
      <c r="R27" t="str">
        <v>Unassigned</v>
      </c>
      <c r="S27">
        <v>1.2043260204374944</v>
      </c>
    </row>
    <row r="28" spans="1:19" x14ac:dyDescent="0.2">
      <c r="A28" t="s">
        <v>2927</v>
      </c>
      <c r="B28">
        <v>40962.979005932531</v>
      </c>
      <c r="C28">
        <v>77359.413939352831</v>
      </c>
      <c r="D28">
        <f>LOG(Table3[[#This Row],[scRBA $k_{app}$ ($h^{-1}$)]])</f>
        <v>4.6123915328992382</v>
      </c>
      <c r="E28">
        <f>LOG(Table3[[#This Row],[rtRBA $k_{app}$ ($h^{-1}$)]])</f>
        <v>4.8885131709525407</v>
      </c>
      <c r="F28" t="str">
        <f>_xlfn.TEXTAFTER(Table3[[#This Row],[id]],"-",-1)</f>
        <v>rt7437</v>
      </c>
      <c r="G28" t="str">
        <f>_xlfn.TEXTAFTER(_xlfn.TEXTBEFORE(Table3[[#This Row],[id]],"-"&amp;Table3[[#This Row],[enz]]),"_",-1)</f>
        <v>FWD</v>
      </c>
      <c r="H28" t="str">
        <f>_xlfn.TEXTBEFORE(Table3[[#This Row],[id]],"_"&amp;Table3[[#This Row],[dir]])</f>
        <v>ADSL2i_c</v>
      </c>
      <c r="I28" t="str">
        <f>_xlfn.XLOOKUP(Table3[[#This Row],[rxn]],Table1[id],Table1[subsystem],"")</f>
        <v>Purine metabolism</v>
      </c>
      <c r="J28" t="str">
        <f>_xlfn.XLOOKUP(Table3[[#This Row],[enz]],'[1]scRBA (raw)'!$N:$N,'[1]scRBA (raw)'!$K:$K,"")</f>
        <v>YLR359W</v>
      </c>
      <c r="K28">
        <f>_xlfn.XLOOKUP(Table3[[#This Row],[SC enz]],Table2[id],Table2[Abundance in SC (g protein/g all proteins)],"")</f>
        <v>1.5101652512678299E-5</v>
      </c>
      <c r="L28">
        <f>_xlfn.XLOOKUP(Table3[[#This Row],[SC enz]],Table2[id],Table2[Abundance in RT (g protein/g all proteins)],"")</f>
        <v>7.2799999999999994E-5</v>
      </c>
      <c r="M28">
        <f>Table3[[#This Row],[log(y)]]-Table3[[#This Row],[log(x)]]/SQRT(2)</f>
        <v>1.6270598405520746</v>
      </c>
      <c r="N28">
        <f>ABS(Table3[[#This Row],[dist from 45-degree (RT - SC)]])</f>
        <v>1.6270598405520746</v>
      </c>
      <c r="P28" t="str">
        <v>Nitrogen metabolism</v>
      </c>
      <c r="Q28" cm="1">
        <f t="array" ref="Q28">MEDIAN(_xlfn._xlws.FILTER(Table3[dist from 45-degree (RT - SC)],Table3[subsystem]=P28))</f>
        <v>1.3903299958007311</v>
      </c>
      <c r="R28" t="str">
        <v>Glycine, serine and threonine metabolism</v>
      </c>
      <c r="S28">
        <v>1.1881564339919004</v>
      </c>
    </row>
    <row r="29" spans="1:19" x14ac:dyDescent="0.2">
      <c r="A29" t="s">
        <v>2928</v>
      </c>
      <c r="B29">
        <v>12902.18823620558</v>
      </c>
      <c r="C29">
        <v>13153.545615276929</v>
      </c>
      <c r="D29">
        <f>LOG(Table3[[#This Row],[scRBA $k_{app}$ ($h^{-1}$)]])</f>
        <v>4.1106633737345177</v>
      </c>
      <c r="E29">
        <f>LOG(Table3[[#This Row],[rtRBA $k_{app}$ ($h^{-1}$)]])</f>
        <v>4.1190428352283979</v>
      </c>
      <c r="F29" t="str">
        <f>_xlfn.TEXTAFTER(Table3[[#This Row],[id]],"-",-1)</f>
        <v>rt3802</v>
      </c>
      <c r="G29" t="str">
        <f>_xlfn.TEXTAFTER(_xlfn.TEXTBEFORE(Table3[[#This Row],[id]],"-"&amp;Table3[[#This Row],[enz]]),"_",-1)</f>
        <v>FWD</v>
      </c>
      <c r="H29" t="str">
        <f>_xlfn.TEXTBEFORE(Table3[[#This Row],[id]],"_"&amp;Table3[[#This Row],[dir]])</f>
        <v>ADSS_c</v>
      </c>
      <c r="I29" t="str">
        <f>_xlfn.XLOOKUP(Table3[[#This Row],[rxn]],Table1[id],Table1[subsystem],"")</f>
        <v>Purine metabolism</v>
      </c>
      <c r="J29" t="str">
        <f>_xlfn.XLOOKUP(Table3[[#This Row],[enz]],'[1]scRBA (raw)'!$N:$N,'[1]scRBA (raw)'!$K:$K,"")</f>
        <v>YNL220W</v>
      </c>
      <c r="K29">
        <f>_xlfn.XLOOKUP(Table3[[#This Row],[SC enz]],Table2[id],Table2[Abundance in SC (g protein/g all proteins)],"")</f>
        <v>1.2734134196648801E-5</v>
      </c>
      <c r="L29">
        <f>_xlfn.XLOOKUP(Table3[[#This Row],[SC enz]],Table2[id],Table2[Abundance in RT (g protein/g all proteins)],"")</f>
        <v>3.3199999999999999E-4</v>
      </c>
      <c r="M29">
        <f>Table3[[#This Row],[log(y)]]-Table3[[#This Row],[log(x)]]/SQRT(2)</f>
        <v>1.2123648884855491</v>
      </c>
      <c r="N29">
        <f>ABS(Table3[[#This Row],[dist from 45-degree (RT - SC)]])</f>
        <v>1.2123648884855491</v>
      </c>
      <c r="P29" t="str">
        <v>O-Glycan biosynthesis</v>
      </c>
      <c r="Q29" cm="1">
        <f t="array" ref="Q29">MEDIAN(_xlfn._xlws.FILTER(Table3[dist from 45-degree (RT - SC)],Table3[subsystem]=P29))</f>
        <v>1.7245060829033063</v>
      </c>
      <c r="R29" t="str">
        <v>Alanine, aspartate and glutamate metabolism</v>
      </c>
      <c r="S29">
        <v>1.1813472628682398</v>
      </c>
    </row>
    <row r="30" spans="1:19" x14ac:dyDescent="0.2">
      <c r="A30" t="s">
        <v>2929</v>
      </c>
      <c r="B30">
        <v>130.94897820891049</v>
      </c>
      <c r="C30">
        <v>55.231922288134072</v>
      </c>
      <c r="D30">
        <f>LOG(Table3[[#This Row],[scRBA $k_{app}$ ($h^{-1}$)]])</f>
        <v>2.1171021139871913</v>
      </c>
      <c r="E30">
        <f>LOG(Table3[[#This Row],[rtRBA $k_{app}$ ($h^{-1}$)]])</f>
        <v>1.7421901586428559</v>
      </c>
      <c r="F30" t="str">
        <f>_xlfn.TEXTAFTER(Table3[[#This Row],[id]],"-",-1)</f>
        <v>rt3174_c</v>
      </c>
      <c r="G30" t="str">
        <f>_xlfn.TEXTAFTER(_xlfn.TEXTBEFORE(Table3[[#This Row],[id]],"-"&amp;Table3[[#This Row],[enz]]),"_",-1)</f>
        <v>FWD</v>
      </c>
      <c r="H30" t="str">
        <f>_xlfn.TEXTBEFORE(Table3[[#This Row],[id]],"_"&amp;Table3[[#This Row],[dir]])</f>
        <v>AFAT_c</v>
      </c>
      <c r="I30" t="str">
        <f>_xlfn.XLOOKUP(Table3[[#This Row],[rxn]],Table1[id],Table1[subsystem],"")</f>
        <v>Riboflavin metabolism</v>
      </c>
      <c r="J30" t="str">
        <f>_xlfn.XLOOKUP(Table3[[#This Row],[enz]],'[1]scRBA (raw)'!$N:$N,'[1]scRBA (raw)'!$K:$K,"")</f>
        <v/>
      </c>
      <c r="K30" t="str">
        <f>_xlfn.XLOOKUP(Table3[[#This Row],[SC enz]],Table2[id],Table2[Abundance in SC (g protein/g all proteins)],"")</f>
        <v/>
      </c>
      <c r="L30" t="str">
        <f>_xlfn.XLOOKUP(Table3[[#This Row],[SC enz]],Table2[id],Table2[Abundance in RT (g protein/g all proteins)],"")</f>
        <v/>
      </c>
      <c r="M30">
        <f>Table3[[#This Row],[log(y)]]-Table3[[#This Row],[log(x)]]/SQRT(2)</f>
        <v>0.24517289737813797</v>
      </c>
      <c r="N30">
        <f>ABS(Table3[[#This Row],[dist from 45-degree (RT - SC)]])</f>
        <v>0.24517289737813797</v>
      </c>
      <c r="P30" t="str">
        <v>Oxidative phosphorylation</v>
      </c>
      <c r="Q30" cm="1">
        <f t="array" ref="Q30">MEDIAN(_xlfn._xlws.FILTER(Table3[dist from 45-degree (RT - SC)],Table3[subsystem]=P30))</f>
        <v>1.6082319626283401</v>
      </c>
      <c r="R30" t="str">
        <v>Glycolysis / Gluconeogenesis</v>
      </c>
      <c r="S30">
        <v>1.1276772199822485</v>
      </c>
    </row>
    <row r="31" spans="1:19" x14ac:dyDescent="0.2">
      <c r="A31" t="s">
        <v>3230</v>
      </c>
      <c r="B31">
        <v>144966.54364927611</v>
      </c>
      <c r="C31">
        <v>43047.387866932018</v>
      </c>
      <c r="D31">
        <f>LOG(Table3[[#This Row],[scRBA $k_{app}$ ($h^{-1}$)]])</f>
        <v>5.1612677844071824</v>
      </c>
      <c r="E31">
        <f>LOG(Table3[[#This Row],[rtRBA $k_{app}$ ($h^{-1}$)]])</f>
        <v>4.6339468034227584</v>
      </c>
      <c r="F31" t="str">
        <f>_xlfn.TEXTAFTER(Table3[[#This Row],[id]],"-",-1)</f>
        <v>rt2059_rm</v>
      </c>
      <c r="G31" t="str">
        <f>_xlfn.TEXTAFTER(_xlfn.TEXTBEFORE(Table3[[#This Row],[id]],"-"&amp;Table3[[#This Row],[enz]]),"_",-1)</f>
        <v>FWD</v>
      </c>
      <c r="H31" t="str">
        <f>_xlfn.TEXTBEFORE(Table3[[#This Row],[id]],"_"&amp;Table3[[#This Row],[dir]])</f>
        <v>AGPAT_rm</v>
      </c>
      <c r="I31" t="str">
        <f>_xlfn.XLOOKUP(Table3[[#This Row],[rxn]],Table1[id],Table1[subsystem],"")</f>
        <v>Glycerophospholipid biosynthesis</v>
      </c>
      <c r="J31" t="str">
        <f>_xlfn.XLOOKUP(Table3[[#This Row],[enz]],'[1]scRBA (raw)'!$N:$N,'[1]scRBA (raw)'!$K:$K,"")</f>
        <v/>
      </c>
      <c r="K31" t="str">
        <f>_xlfn.XLOOKUP(Table3[[#This Row],[SC enz]],Table2[id],Table2[Abundance in SC (g protein/g all proteins)],"")</f>
        <v/>
      </c>
      <c r="L31" t="str">
        <f>_xlfn.XLOOKUP(Table3[[#This Row],[SC enz]],Table2[id],Table2[Abundance in RT (g protein/g all proteins)],"")</f>
        <v/>
      </c>
      <c r="M31">
        <f>Table3[[#This Row],[log(y)]]-Table3[[#This Row],[log(x)]]/SQRT(2)</f>
        <v>0.98437935354877215</v>
      </c>
      <c r="N31">
        <f>ABS(Table3[[#This Row],[dist from 45-degree (RT - SC)]])</f>
        <v>0.98437935354877215</v>
      </c>
      <c r="P31" t="str">
        <v>Pantothenate and CoA biosynthesis</v>
      </c>
      <c r="Q31" cm="1">
        <f t="array" ref="Q31">MEDIAN(_xlfn._xlws.FILTER(Table3[dist from 45-degree (RT - SC)],Table3[subsystem]=P31))</f>
        <v>-3.7217282766218656</v>
      </c>
      <c r="R31" t="str">
        <v>Cell wall biosynthesis</v>
      </c>
      <c r="S31">
        <v>0.99818907444869698</v>
      </c>
    </row>
    <row r="32" spans="1:19" x14ac:dyDescent="0.2">
      <c r="A32" t="s">
        <v>2930</v>
      </c>
      <c r="B32">
        <v>125888.0212749795</v>
      </c>
      <c r="C32">
        <v>37527.15658120445</v>
      </c>
      <c r="D32">
        <f>LOG(Table3[[#This Row],[scRBA $k_{app}$ ($h^{-1}$)]])</f>
        <v>5.099984407298666</v>
      </c>
      <c r="E32">
        <f>LOG(Table3[[#This Row],[rtRBA $k_{app}$ ($h^{-1}$)]])</f>
        <v>4.5743456593271592</v>
      </c>
      <c r="F32" t="str">
        <f>_xlfn.TEXTAFTER(Table3[[#This Row],[id]],"-",-1)</f>
        <v>rt1009</v>
      </c>
      <c r="G32" t="str">
        <f>_xlfn.TEXTAFTER(_xlfn.TEXTBEFORE(Table3[[#This Row],[id]],"-"&amp;Table3[[#This Row],[enz]]),"_",-1)</f>
        <v>FWD</v>
      </c>
      <c r="H32" t="str">
        <f>_xlfn.TEXTBEFORE(Table3[[#This Row],[id]],"_"&amp;Table3[[#This Row],[dir]])</f>
        <v>AGPRi_m</v>
      </c>
      <c r="I32" t="str">
        <f>_xlfn.XLOOKUP(Table3[[#This Row],[rxn]],Table1[id],Table1[subsystem],"")</f>
        <v>Arginine and proline metabolism</v>
      </c>
      <c r="J32" t="str">
        <f>_xlfn.XLOOKUP(Table3[[#This Row],[enz]],'[1]scRBA (raw)'!$N:$N,'[1]scRBA (raw)'!$K:$K,"")</f>
        <v>YER069W</v>
      </c>
      <c r="K32">
        <f>_xlfn.XLOOKUP(Table3[[#This Row],[SC enz]],Table2[id],Table2[Abundance in SC (g protein/g all proteins)],"")</f>
        <v>7.7379872776935093E-5</v>
      </c>
      <c r="L32">
        <f>_xlfn.XLOOKUP(Table3[[#This Row],[SC enz]],Table2[id],Table2[Abundance in RT (g protein/g all proteins)],"")</f>
        <v>6.3200000000000005E-5</v>
      </c>
      <c r="M32">
        <f>Table3[[#This Row],[log(y)]]-Table3[[#This Row],[log(x)]]/SQRT(2)</f>
        <v>0.96811210098061729</v>
      </c>
      <c r="N32">
        <f>ABS(Table3[[#This Row],[dist from 45-degree (RT - SC)]])</f>
        <v>0.96811210098061729</v>
      </c>
      <c r="P32" t="str">
        <v>Pentose and glucuronate interconversions</v>
      </c>
      <c r="Q32" cm="1">
        <f t="array" ref="Q32">MEDIAN(_xlfn._xlws.FILTER(Table3[dist from 45-degree (RT - SC)],Table3[subsystem]=P32))</f>
        <v>0.37697494340212412</v>
      </c>
      <c r="R32" t="str">
        <v>Arginine and proline metabolism</v>
      </c>
      <c r="S32">
        <v>0.96811210098061729</v>
      </c>
    </row>
    <row r="33" spans="1:19" x14ac:dyDescent="0.2">
      <c r="A33" t="s">
        <v>2931</v>
      </c>
      <c r="B33">
        <v>820.25005380721177</v>
      </c>
      <c r="C33">
        <v>3722.2788230653132</v>
      </c>
      <c r="D33">
        <f>LOG(Table3[[#This Row],[scRBA $k_{app}$ ($h^{-1}$)]])</f>
        <v>2.9139462675471735</v>
      </c>
      <c r="E33">
        <f>LOG(Table3[[#This Row],[rtRBA $k_{app}$ ($h^{-1}$)]])</f>
        <v>3.5708089015146065</v>
      </c>
      <c r="F33" t="str">
        <f>_xlfn.TEXTAFTER(Table3[[#This Row],[id]],"-",-1)</f>
        <v>rt4544</v>
      </c>
      <c r="G33" t="str">
        <f>_xlfn.TEXTAFTER(_xlfn.TEXTBEFORE(Table3[[#This Row],[id]],"-"&amp;Table3[[#This Row],[enz]]),"_",-1)</f>
        <v>FWD</v>
      </c>
      <c r="H33" t="str">
        <f>_xlfn.TEXTBEFORE(Table3[[#This Row],[id]],"_"&amp;Table3[[#This Row],[dir]])</f>
        <v>AHCi_c</v>
      </c>
      <c r="I33" t="str">
        <f>_xlfn.XLOOKUP(Table3[[#This Row],[rxn]],Table1[id],Table1[subsystem],"")</f>
        <v>Cysteine and methionine metabolism</v>
      </c>
      <c r="J33" t="str">
        <f>_xlfn.XLOOKUP(Table3[[#This Row],[enz]],'[1]scRBA (raw)'!$N:$N,'[1]scRBA (raw)'!$K:$K,"")</f>
        <v>YER043C</v>
      </c>
      <c r="K33">
        <f>_xlfn.XLOOKUP(Table3[[#This Row],[SC enz]],Table2[id],Table2[Abundance in SC (g protein/g all proteins)],"")</f>
        <v>2.56416539133336E-3</v>
      </c>
      <c r="L33">
        <f>_xlfn.XLOOKUP(Table3[[#This Row],[SC enz]],Table2[id],Table2[Abundance in RT (g protein/g all proteins)],"")</f>
        <v>1.2979999999999999E-3</v>
      </c>
      <c r="M33">
        <f>Table3[[#This Row],[log(y)]]-Table3[[#This Row],[log(x)]]/SQRT(2)</f>
        <v>1.5103377357187706</v>
      </c>
      <c r="N33">
        <f>ABS(Table3[[#This Row],[dist from 45-degree (RT - SC)]])</f>
        <v>1.5103377357187706</v>
      </c>
      <c r="P33" t="str">
        <v>Pentose phosphate pathway</v>
      </c>
      <c r="Q33" cm="1">
        <f t="array" ref="Q33">MEDIAN(_xlfn._xlws.FILTER(Table3[dist from 45-degree (RT - SC)],Table3[subsystem]=P33))</f>
        <v>1.8191112162383518</v>
      </c>
      <c r="R33" t="str">
        <v>Amino sugar and nucleotide sugar metabolism</v>
      </c>
      <c r="S33">
        <v>0.8662207499639174</v>
      </c>
    </row>
    <row r="34" spans="1:19" x14ac:dyDescent="0.2">
      <c r="A34" t="s">
        <v>2932</v>
      </c>
      <c r="B34">
        <v>3406.6126634080779</v>
      </c>
      <c r="C34">
        <v>507307.95837827452</v>
      </c>
      <c r="D34">
        <f>LOG(Table3[[#This Row],[scRBA $k_{app}$ ($h^{-1}$)]])</f>
        <v>3.5323227564890787</v>
      </c>
      <c r="E34">
        <f>LOG(Table3[[#This Row],[rtRBA $k_{app}$ ($h^{-1}$)]])</f>
        <v>5.705271675352412</v>
      </c>
      <c r="F34" t="str">
        <f>_xlfn.TEXTAFTER(Table3[[#This Row],[id]],"-",-1)</f>
        <v>rt8250</v>
      </c>
      <c r="G34" t="str">
        <f>_xlfn.TEXTAFTER(_xlfn.TEXTBEFORE(Table3[[#This Row],[id]],"-"&amp;Table3[[#This Row],[enz]]),"_",-1)</f>
        <v>FWD</v>
      </c>
      <c r="H34" t="str">
        <f>_xlfn.TEXTBEFORE(Table3[[#This Row],[id]],"_"&amp;Table3[[#This Row],[dir]])</f>
        <v>AHSERL2_c</v>
      </c>
      <c r="I34" t="str">
        <f>_xlfn.XLOOKUP(Table3[[#This Row],[rxn]],Table1[id],Table1[subsystem],"")</f>
        <v>Cysteine and methionine metabolism</v>
      </c>
      <c r="J34" t="str">
        <f>_xlfn.XLOOKUP(Table3[[#This Row],[enz]],'[1]scRBA (raw)'!$N:$N,'[1]scRBA (raw)'!$K:$K,"")</f>
        <v>YLR303W</v>
      </c>
      <c r="K34">
        <f>_xlfn.XLOOKUP(Table3[[#This Row],[SC enz]],Table2[id],Table2[Abundance in SC (g protein/g all proteins)],"")</f>
        <v>4.6786130706713203E-5</v>
      </c>
      <c r="L34">
        <f>_xlfn.XLOOKUP(Table3[[#This Row],[SC enz]],Table2[id],Table2[Abundance in RT (g protein/g all proteins)],"")</f>
        <v>5.5800000000000001E-5</v>
      </c>
      <c r="M34">
        <f>Table3[[#This Row],[log(y)]]-Table3[[#This Row],[log(x)]]/SQRT(2)</f>
        <v>3.2075423008994268</v>
      </c>
      <c r="N34">
        <f>ABS(Table3[[#This Row],[dist from 45-degree (RT - SC)]])</f>
        <v>3.2075423008994268</v>
      </c>
      <c r="P34" t="str">
        <v>Phenylalanine, tyrosine and tryptophan metabolism</v>
      </c>
      <c r="Q34" cm="1">
        <f t="array" ref="Q34">MEDIAN(_xlfn._xlws.FILTER(Table3[dist from 45-degree (RT - SC)],Table3[subsystem]=P34))</f>
        <v>1.3578628150759204</v>
      </c>
      <c r="R34" t="str">
        <v>Glycerophospholipid metabolism</v>
      </c>
      <c r="S34">
        <v>0.84472631273257348</v>
      </c>
    </row>
    <row r="35" spans="1:19" x14ac:dyDescent="0.2">
      <c r="A35" t="s">
        <v>3231</v>
      </c>
      <c r="B35">
        <v>115517.9447339925</v>
      </c>
      <c r="C35">
        <v>11862.194428612351</v>
      </c>
      <c r="D35">
        <f>LOG(Table3[[#This Row],[scRBA $k_{app}$ ($h^{-1}$)]])</f>
        <v>5.0626494534369018</v>
      </c>
      <c r="E35">
        <f>LOG(Table3[[#This Row],[rtRBA $k_{app}$ ($h^{-1}$)]])</f>
        <v>4.0741650381074876</v>
      </c>
      <c r="F35" t="str">
        <f>_xlfn.TEXTAFTER(Table3[[#This Row],[id]],"-",-1)</f>
        <v>rt4053</v>
      </c>
      <c r="G35" t="str">
        <f>_xlfn.TEXTAFTER(_xlfn.TEXTBEFORE(Table3[[#This Row],[id]],"-"&amp;Table3[[#This Row],[enz]]),"_",-1)</f>
        <v>FWD</v>
      </c>
      <c r="H35" t="str">
        <f>_xlfn.TEXTBEFORE(Table3[[#This Row],[id]],"_"&amp;Table3[[#This Row],[dir]])</f>
        <v>AICART_c</v>
      </c>
      <c r="I35" t="str">
        <f>_xlfn.XLOOKUP(Table3[[#This Row],[rxn]],Table1[id],Table1[subsystem],"")</f>
        <v>Purine metabolism</v>
      </c>
      <c r="J35" t="str">
        <f>_xlfn.XLOOKUP(Table3[[#This Row],[enz]],'[1]scRBA (raw)'!$N:$N,'[1]scRBA (raw)'!$K:$K,"")</f>
        <v/>
      </c>
      <c r="K35" t="str">
        <f>_xlfn.XLOOKUP(Table3[[#This Row],[SC enz]],Table2[id],Table2[Abundance in SC (g protein/g all proteins)],"")</f>
        <v/>
      </c>
      <c r="L35" t="str">
        <f>_xlfn.XLOOKUP(Table3[[#This Row],[SC enz]],Table2[id],Table2[Abundance in RT (g protein/g all proteins)],"")</f>
        <v/>
      </c>
      <c r="M35">
        <f>Table3[[#This Row],[log(y)]]-Table3[[#This Row],[log(x)]]/SQRT(2)</f>
        <v>0.49433127881188632</v>
      </c>
      <c r="N35">
        <f>ABS(Table3[[#This Row],[dist from 45-degree (RT - SC)]])</f>
        <v>0.49433127881188632</v>
      </c>
      <c r="P35" t="str">
        <v>Phospholipid biosynthesis</v>
      </c>
      <c r="Q35" cm="1">
        <f t="array" ref="Q35">MEDIAN(_xlfn._xlws.FILTER(Table3[dist from 45-degree (RT - SC)],Table3[subsystem]=P35))</f>
        <v>-0.53655819210360667</v>
      </c>
      <c r="R35" t="str">
        <v>Acetyl-CoA synthesis</v>
      </c>
      <c r="S35">
        <v>0.73875503001137366</v>
      </c>
    </row>
    <row r="36" spans="1:19" x14ac:dyDescent="0.2">
      <c r="A36" t="s">
        <v>2933</v>
      </c>
      <c r="B36">
        <v>7455.5200033418323</v>
      </c>
      <c r="C36">
        <v>18852.701330162341</v>
      </c>
      <c r="D36">
        <f>LOG(Table3[[#This Row],[scRBA $k_{app}$ ($h^{-1}$)]])</f>
        <v>3.8724779397683635</v>
      </c>
      <c r="E36">
        <f>LOG(Table3[[#This Row],[rtRBA $k_{app}$ ($h^{-1}$)]])</f>
        <v>4.2753735873656638</v>
      </c>
      <c r="F36" t="str">
        <f>_xlfn.TEXTAFTER(Table3[[#This Row],[id]],"-",-1)</f>
        <v>rt3764</v>
      </c>
      <c r="G36" t="str">
        <f>_xlfn.TEXTAFTER(_xlfn.TEXTBEFORE(Table3[[#This Row],[id]],"-"&amp;Table3[[#This Row],[enz]]),"_",-1)</f>
        <v>FWD</v>
      </c>
      <c r="H36" t="str">
        <f>_xlfn.TEXTBEFORE(Table3[[#This Row],[id]],"_"&amp;Table3[[#This Row],[dir]])</f>
        <v>AIRC1_c</v>
      </c>
      <c r="I36" t="str">
        <f>_xlfn.XLOOKUP(Table3[[#This Row],[rxn]],Table1[id],Table1[subsystem],"")</f>
        <v>Purine metabolism</v>
      </c>
      <c r="J36" t="str">
        <f>_xlfn.XLOOKUP(Table3[[#This Row],[enz]],'[1]scRBA (raw)'!$N:$N,'[1]scRBA (raw)'!$K:$K,"")</f>
        <v>YOR128C</v>
      </c>
      <c r="K36">
        <f>_xlfn.XLOOKUP(Table3[[#This Row],[SC enz]],Table2[id],Table2[Abundance in SC (g protein/g all proteins)],"")</f>
        <v>2.0652163569235201E-4</v>
      </c>
      <c r="L36">
        <f>_xlfn.XLOOKUP(Table3[[#This Row],[SC enz]],Table2[id],Table2[Abundance in RT (g protein/g all proteins)],"")</f>
        <v>5.5300000000000004E-7</v>
      </c>
      <c r="M36">
        <f>Table3[[#This Row],[log(y)]]-Table3[[#This Row],[log(x)]]/SQRT(2)</f>
        <v>1.5371181761601433</v>
      </c>
      <c r="N36">
        <f>ABS(Table3[[#This Row],[dist from 45-degree (RT - SC)]])</f>
        <v>1.5371181761601433</v>
      </c>
      <c r="P36" t="str">
        <v>Purine metabolism</v>
      </c>
      <c r="Q36" cm="1">
        <f t="array" ref="Q36">MEDIAN(_xlfn._xlws.FILTER(Table3[dist from 45-degree (RT - SC)],Table3[subsystem]=P36))</f>
        <v>1.3718139116638657</v>
      </c>
      <c r="R36" t="str">
        <v>Folate metabolism</v>
      </c>
      <c r="S36">
        <v>0.68634739012312096</v>
      </c>
    </row>
    <row r="37" spans="1:19" x14ac:dyDescent="0.2">
      <c r="A37" t="s">
        <v>3232</v>
      </c>
      <c r="B37">
        <v>5.4006638567333697E-2</v>
      </c>
      <c r="C37">
        <v>22317.860477260161</v>
      </c>
      <c r="D37">
        <f>LOG(Table3[[#This Row],[scRBA $k_{app}$ ($h^{-1}$)]])</f>
        <v>-1.2675528528445001</v>
      </c>
      <c r="E37">
        <f>LOG(Table3[[#This Row],[rtRBA $k_{app}$ ($h^{-1}$)]])</f>
        <v>4.3486525582110209</v>
      </c>
      <c r="F37" t="str">
        <f>_xlfn.TEXTAFTER(Table3[[#This Row],[id]],"-",-1)</f>
        <v>rt8378</v>
      </c>
      <c r="G37" t="str">
        <f>_xlfn.TEXTAFTER(_xlfn.TEXTBEFORE(Table3[[#This Row],[id]],"-"&amp;Table3[[#This Row],[enz]]),"_",-1)</f>
        <v>FWD</v>
      </c>
      <c r="H37" t="str">
        <f>_xlfn.TEXTBEFORE(Table3[[#This Row],[id]],"_"&amp;Table3[[#This Row],[dir]])</f>
        <v>AKGCITta_m</v>
      </c>
      <c r="I37" t="str">
        <f>_xlfn.XLOOKUP(Table3[[#This Row],[rxn]],Table1[id],Table1[subsystem],"")</f>
        <v>Transport</v>
      </c>
      <c r="J37" t="str">
        <f>_xlfn.XLOOKUP(Table3[[#This Row],[enz]],'[1]scRBA (raw)'!$N:$N,'[1]scRBA (raw)'!$K:$K,"")</f>
        <v>YMR241W</v>
      </c>
      <c r="K37">
        <f>_xlfn.XLOOKUP(Table3[[#This Row],[SC enz]],Table2[id],Table2[Abundance in SC (g protein/g all proteins)],"")</f>
        <v>6.5049670863243694E-5</v>
      </c>
      <c r="L37">
        <f>_xlfn.XLOOKUP(Table3[[#This Row],[SC enz]],Table2[id],Table2[Abundance in RT (g protein/g all proteins)],"")</f>
        <v>2.63E-4</v>
      </c>
      <c r="M37">
        <f>Table3[[#This Row],[log(y)]]-Table3[[#This Row],[log(x)]]/SQRT(2)</f>
        <v>5.2449477759697212</v>
      </c>
      <c r="N37">
        <f>ABS(Table3[[#This Row],[dist from 45-degree (RT - SC)]])</f>
        <v>5.2449477759697212</v>
      </c>
      <c r="P37" t="str">
        <v>Pyrimidine metabolism</v>
      </c>
      <c r="Q37" cm="1">
        <f t="array" ref="Q37">MEDIAN(_xlfn._xlws.FILTER(Table3[dist from 45-degree (RT - SC)],Table3[subsystem]=P37))</f>
        <v>1.236394060700976</v>
      </c>
      <c r="R37" t="str">
        <v>Nicotinate and nicotinamide metabolism</v>
      </c>
      <c r="S37">
        <v>0.58339908579582844</v>
      </c>
    </row>
    <row r="38" spans="1:19" x14ac:dyDescent="0.2">
      <c r="A38" t="s">
        <v>2934</v>
      </c>
      <c r="B38">
        <v>327265.91861399962</v>
      </c>
      <c r="C38">
        <v>701809.36672368995</v>
      </c>
      <c r="D38">
        <f>LOG(Table3[[#This Row],[scRBA $k_{app}$ ($h^{-1}$)]])</f>
        <v>5.5149007803506152</v>
      </c>
      <c r="E38">
        <f>LOG(Table3[[#This Row],[rtRBA $k_{app}$ ($h^{-1}$)]])</f>
        <v>5.8462191602448268</v>
      </c>
      <c r="F38" t="str">
        <f>_xlfn.TEXTAFTER(Table3[[#This Row],[id]],"-",-1)</f>
        <v>KGDCPLX2</v>
      </c>
      <c r="G38" t="str">
        <f>_xlfn.TEXTAFTER(_xlfn.TEXTBEFORE(Table3[[#This Row],[id]],"-"&amp;Table3[[#This Row],[enz]]),"_",-1)</f>
        <v>FWD</v>
      </c>
      <c r="H38" t="str">
        <f>_xlfn.TEXTBEFORE(Table3[[#This Row],[id]],"_"&amp;Table3[[#This Row],[dir]])</f>
        <v>AKGDH_m</v>
      </c>
      <c r="I38" t="str">
        <f>_xlfn.XLOOKUP(Table3[[#This Row],[rxn]],Table1[id],Table1[subsystem],"")</f>
        <v>Citric acid cycle</v>
      </c>
      <c r="J38" t="str">
        <f>_xlfn.XLOOKUP(Table3[[#This Row],[enz]],'[1]scRBA (raw)'!$N:$N,'[1]scRBA (raw)'!$K:$K,"")</f>
        <v/>
      </c>
      <c r="K38" t="str">
        <f>_xlfn.XLOOKUP(Table3[[#This Row],[SC enz]],Table2[id],Table2[Abundance in SC (g protein/g all proteins)],"")</f>
        <v/>
      </c>
      <c r="L38" t="str">
        <f>_xlfn.XLOOKUP(Table3[[#This Row],[SC enz]],Table2[id],Table2[Abundance in RT (g protein/g all proteins)],"")</f>
        <v/>
      </c>
      <c r="M38">
        <f>Table3[[#This Row],[log(y)]]-Table3[[#This Row],[log(x)]]/SQRT(2)</f>
        <v>1.9465954208879244</v>
      </c>
      <c r="N38">
        <f>ABS(Table3[[#This Row],[dist from 45-degree (RT - SC)]])</f>
        <v>1.9465954208879244</v>
      </c>
      <c r="P38" t="str">
        <v>Riboflavin metabolism</v>
      </c>
      <c r="Q38" cm="1">
        <f t="array" ref="Q38">MEDIAN(_xlfn._xlws.FILTER(Table3[dist from 45-degree (RT - SC)],Table3[subsystem]=P38))</f>
        <v>2.7808307994995507E-2</v>
      </c>
      <c r="R38" t="str">
        <v>Heme metabolism</v>
      </c>
      <c r="S38">
        <v>0.49825681871523875</v>
      </c>
    </row>
    <row r="39" spans="1:19" x14ac:dyDescent="0.2">
      <c r="A39" t="s">
        <v>3233</v>
      </c>
      <c r="B39">
        <v>172355.37046733781</v>
      </c>
      <c r="C39">
        <v>596807.67904390383</v>
      </c>
      <c r="D39">
        <f>LOG(Table3[[#This Row],[scRBA $k_{app}$ ($h^{-1}$)]])</f>
        <v>5.2364248202533501</v>
      </c>
      <c r="E39">
        <f>LOG(Table3[[#This Row],[rtRBA $k_{app}$ ($h^{-1}$)]])</f>
        <v>5.77583440250908</v>
      </c>
      <c r="F39" t="str">
        <f>_xlfn.TEXTAFTER(Table3[[#This Row],[id]],"-",-1)</f>
        <v>rt2267</v>
      </c>
      <c r="G39" t="str">
        <f>_xlfn.TEXTAFTER(_xlfn.TEXTBEFORE(Table3[[#This Row],[id]],"-"&amp;Table3[[#This Row],[enz]]),"_",-1)</f>
        <v>FWD</v>
      </c>
      <c r="H39" t="str">
        <f>_xlfn.TEXTBEFORE(Table3[[#This Row],[id]],"_"&amp;Table3[[#This Row],[dir]])</f>
        <v>AKGMALta_m</v>
      </c>
      <c r="I39" t="str">
        <f>_xlfn.XLOOKUP(Table3[[#This Row],[rxn]],Table1[id],Table1[subsystem],"")</f>
        <v>Transport</v>
      </c>
      <c r="J39" t="str">
        <f>_xlfn.XLOOKUP(Table3[[#This Row],[enz]],'[1]scRBA (raw)'!$N:$N,'[1]scRBA (raw)'!$K:$K,"")</f>
        <v>YOR222W</v>
      </c>
      <c r="K39">
        <f>_xlfn.XLOOKUP(Table3[[#This Row],[SC enz]],Table2[id],Table2[Abundance in SC (g protein/g all proteins)],"")</f>
        <v>8.3709115787836605E-6</v>
      </c>
      <c r="L39">
        <f>_xlfn.XLOOKUP(Table3[[#This Row],[SC enz]],Table2[id],Table2[Abundance in RT (g protein/g all proteins)],"")</f>
        <v>4.7599999999999998E-5</v>
      </c>
      <c r="M39">
        <f>Table3[[#This Row],[log(y)]]-Table3[[#This Row],[log(x)]]/SQRT(2)</f>
        <v>2.0731229029343883</v>
      </c>
      <c r="N39">
        <f>ABS(Table3[[#This Row],[dist from 45-degree (RT - SC)]])</f>
        <v>2.0731229029343883</v>
      </c>
      <c r="P39" t="str">
        <v>Starch and sucrose metabolism</v>
      </c>
      <c r="Q39" cm="1">
        <f t="array" ref="Q39">MEDIAN(_xlfn._xlws.FILTER(Table3[dist from 45-degree (RT - SC)],Table3[subsystem]=P39))</f>
        <v>1.5711481599472004</v>
      </c>
      <c r="R39" t="str">
        <v>Fatty acid elongation</v>
      </c>
      <c r="S39">
        <v>0.45478527683106407</v>
      </c>
    </row>
    <row r="40" spans="1:19" x14ac:dyDescent="0.2">
      <c r="A40" t="s">
        <v>2935</v>
      </c>
      <c r="B40">
        <v>181.71313917111971</v>
      </c>
      <c r="C40">
        <v>131.1170561772125</v>
      </c>
      <c r="D40">
        <f>LOG(Table3[[#This Row],[scRBA $k_{app}$ ($h^{-1}$)]])</f>
        <v>2.2593863310681161</v>
      </c>
      <c r="E40">
        <f>LOG(Table3[[#This Row],[rtRBA $k_{app}$ ($h^{-1}$)]])</f>
        <v>2.1176591899496877</v>
      </c>
      <c r="F40" t="str">
        <f>_xlfn.TEXTAFTER(Table3[[#This Row],[id]],"-",-1)</f>
        <v>rt0309</v>
      </c>
      <c r="G40" t="str">
        <f>_xlfn.TEXTAFTER(_xlfn.TEXTBEFORE(Table3[[#This Row],[id]],"-"&amp;Table3[[#This Row],[enz]]),"_",-1)</f>
        <v>FWD</v>
      </c>
      <c r="H40" t="str">
        <f>_xlfn.TEXTBEFORE(Table3[[#This Row],[id]],"_"&amp;Table3[[#This Row],[dir]])</f>
        <v>ALAS_m</v>
      </c>
      <c r="I40" t="str">
        <f>_xlfn.XLOOKUP(Table3[[#This Row],[rxn]],Table1[id],Table1[subsystem],"")</f>
        <v>Glycine, serine and threonine metabolism</v>
      </c>
      <c r="J40" t="str">
        <f>_xlfn.XLOOKUP(Table3[[#This Row],[enz]],'[1]scRBA (raw)'!$N:$N,'[1]scRBA (raw)'!$K:$K,"")</f>
        <v>YDR232W</v>
      </c>
      <c r="K40">
        <f>_xlfn.XLOOKUP(Table3[[#This Row],[SC enz]],Table2[id],Table2[Abundance in SC (g protein/g all proteins)],"")</f>
        <v>4.24957326057156E-5</v>
      </c>
      <c r="L40">
        <f>_xlfn.XLOOKUP(Table3[[#This Row],[SC enz]],Table2[id],Table2[Abundance in RT (g protein/g all proteins)],"")</f>
        <v>3.3500000000000001E-6</v>
      </c>
      <c r="M40">
        <f>Table3[[#This Row],[log(y)]]-Table3[[#This Row],[log(x)]]/SQRT(2)</f>
        <v>0.52003179393122889</v>
      </c>
      <c r="N40">
        <f>ABS(Table3[[#This Row],[dist from 45-degree (RT - SC)]])</f>
        <v>0.52003179393122889</v>
      </c>
      <c r="P40" t="str">
        <v>Sulfur metabolism</v>
      </c>
      <c r="Q40" cm="1">
        <f t="array" ref="Q40">MEDIAN(_xlfn._xlws.FILTER(Table3[dist from 45-degree (RT - SC)],Table3[subsystem]=P40))</f>
        <v>1.3810143211015973</v>
      </c>
      <c r="R40" t="str">
        <v>Pentose and glucuronate interconversions</v>
      </c>
      <c r="S40">
        <v>0.37697494340212412</v>
      </c>
    </row>
    <row r="41" spans="1:19" x14ac:dyDescent="0.2">
      <c r="A41" t="s">
        <v>2936</v>
      </c>
      <c r="B41">
        <v>17029.166308476229</v>
      </c>
      <c r="C41">
        <v>38803.445353853684</v>
      </c>
      <c r="D41">
        <f>LOG(Table3[[#This Row],[scRBA $k_{app}$ ($h^{-1}$)]])</f>
        <v>4.2311933868650637</v>
      </c>
      <c r="E41">
        <f>LOG(Table3[[#This Row],[rtRBA $k_{app}$ ($h^{-1}$)]])</f>
        <v>4.5888702882678363</v>
      </c>
      <c r="F41" t="str">
        <f>_xlfn.TEXTAFTER(Table3[[#This Row],[id]],"-",-1)</f>
        <v>rt3605</v>
      </c>
      <c r="G41" t="str">
        <f>_xlfn.TEXTAFTER(_xlfn.TEXTBEFORE(Table3[[#This Row],[id]],"-"&amp;Table3[[#This Row],[enz]]),"_",-1)</f>
        <v>FWD</v>
      </c>
      <c r="H41" t="str">
        <f>_xlfn.TEXTBEFORE(Table3[[#This Row],[id]],"_"&amp;Table3[[#This Row],[dir]])</f>
        <v>ALATRS_c</v>
      </c>
      <c r="I41" t="str">
        <f>_xlfn.XLOOKUP(Table3[[#This Row],[rxn]],Table1[id],Table1[subsystem],"")</f>
        <v>Aminoacyl-tRNA biosynthesis</v>
      </c>
      <c r="J41" t="str">
        <f>_xlfn.XLOOKUP(Table3[[#This Row],[enz]],'[1]scRBA (raw)'!$N:$N,'[1]scRBA (raw)'!$K:$K,"")</f>
        <v>YOR335C</v>
      </c>
      <c r="K41">
        <f>_xlfn.XLOOKUP(Table3[[#This Row],[SC enz]],Table2[id],Table2[Abundance in SC (g protein/g all proteins)],"")</f>
        <v>1.7487348469654601E-5</v>
      </c>
      <c r="L41">
        <f>_xlfn.XLOOKUP(Table3[[#This Row],[SC enz]],Table2[id],Table2[Abundance in RT (g protein/g all proteins)],"")</f>
        <v>4.3699999999999998E-5</v>
      </c>
      <c r="M41">
        <f>Table3[[#This Row],[log(y)]]-Table3[[#This Row],[log(x)]]/SQRT(2)</f>
        <v>1.596964751903875</v>
      </c>
      <c r="N41">
        <f>ABS(Table3[[#This Row],[dist from 45-degree (RT - SC)]])</f>
        <v>1.596964751903875</v>
      </c>
      <c r="P41" t="str">
        <v>Terpenoid backbone biosynthesis</v>
      </c>
      <c r="Q41" cm="1">
        <f t="array" ref="Q41">MEDIAN(_xlfn._xlws.FILTER(Table3[dist from 45-degree (RT - SC)],Table3[subsystem]=P41))</f>
        <v>1.5924166435154929</v>
      </c>
      <c r="R41" t="str">
        <v>Glyoxylate metabolism</v>
      </c>
      <c r="S41">
        <v>0.3011126393082999</v>
      </c>
    </row>
    <row r="42" spans="1:19" x14ac:dyDescent="0.2">
      <c r="A42" t="s">
        <v>2937</v>
      </c>
      <c r="B42">
        <v>130607.1698005911</v>
      </c>
      <c r="C42">
        <v>50006.98131196326</v>
      </c>
      <c r="D42">
        <f>LOG(Table3[[#This Row],[scRBA $k_{app}$ ($h^{-1}$)]])</f>
        <v>5.1159670185880897</v>
      </c>
      <c r="E42">
        <f>LOG(Table3[[#This Row],[rtRBA $k_{app}$ ($h^{-1}$)]])</f>
        <v>4.6990306390082637</v>
      </c>
      <c r="F42" t="str">
        <f>_xlfn.TEXTAFTER(Table3[[#This Row],[id]],"-",-1)</f>
        <v>rt1532</v>
      </c>
      <c r="G42" t="str">
        <f>_xlfn.TEXTAFTER(_xlfn.TEXTBEFORE(Table3[[#This Row],[id]],"-"&amp;Table3[[#This Row],[enz]]),"_",-1)</f>
        <v>FWD</v>
      </c>
      <c r="H42" t="str">
        <f>_xlfn.TEXTBEFORE(Table3[[#This Row],[id]],"_"&amp;Table3[[#This Row],[dir]])</f>
        <v>ANPRT_c</v>
      </c>
      <c r="I42" t="str">
        <f>_xlfn.XLOOKUP(Table3[[#This Row],[rxn]],Table1[id],Table1[subsystem],"")</f>
        <v>Phenylalanine, tyrosine and tryptophan metabolism</v>
      </c>
      <c r="J42" t="str">
        <f>_xlfn.XLOOKUP(Table3[[#This Row],[enz]],'[1]scRBA (raw)'!$N:$N,'[1]scRBA (raw)'!$K:$K,"")</f>
        <v>YDR354W</v>
      </c>
      <c r="K42">
        <f>_xlfn.XLOOKUP(Table3[[#This Row],[SC enz]],Table2[id],Table2[Abundance in SC (g protein/g all proteins)],"")</f>
        <v>1.4411711539230799E-4</v>
      </c>
      <c r="L42">
        <f>_xlfn.XLOOKUP(Table3[[#This Row],[SC enz]],Table2[id],Table2[Abundance in RT (g protein/g all proteins)],"")</f>
        <v>2.4800000000000001E-4</v>
      </c>
      <c r="M42">
        <f>Table3[[#This Row],[log(y)]]-Table3[[#This Row],[log(x)]]/SQRT(2)</f>
        <v>1.0814956678379017</v>
      </c>
      <c r="N42">
        <f>ABS(Table3[[#This Row],[dist from 45-degree (RT - SC)]])</f>
        <v>1.0814956678379017</v>
      </c>
      <c r="P42" t="str">
        <v>Transport</v>
      </c>
      <c r="Q42" cm="1">
        <f t="array" ref="Q42">MEDIAN(_xlfn._xlws.FILTER(Table3[dist from 45-degree (RT - SC)],Table3[subsystem]=P42))</f>
        <v>1.994517993815232</v>
      </c>
      <c r="R42" t="str">
        <v>Riboflavin metabolism</v>
      </c>
      <c r="S42">
        <v>2.7808307994995507E-2</v>
      </c>
    </row>
    <row r="43" spans="1:19" x14ac:dyDescent="0.2">
      <c r="A43" t="s">
        <v>2938</v>
      </c>
      <c r="B43">
        <v>90711.917372349417</v>
      </c>
      <c r="C43">
        <v>22612.543276171051</v>
      </c>
      <c r="D43">
        <f>LOG(Table3[[#This Row],[scRBA $k_{app}$ ($h^{-1}$)]])</f>
        <v>4.9576643466968884</v>
      </c>
      <c r="E43">
        <f>LOG(Table3[[#This Row],[rtRBA $k_{app}$ ($h^{-1}$)]])</f>
        <v>4.3543494110269325</v>
      </c>
      <c r="F43" t="str">
        <f>_xlfn.TEXTAFTER(Table3[[#This Row],[id]],"-",-1)</f>
        <v>TRP23</v>
      </c>
      <c r="G43" t="str">
        <f>_xlfn.TEXTAFTER(_xlfn.TEXTBEFORE(Table3[[#This Row],[id]],"-"&amp;Table3[[#This Row],[enz]]),"_",-1)</f>
        <v>FWD</v>
      </c>
      <c r="H43" t="str">
        <f>_xlfn.TEXTBEFORE(Table3[[#This Row],[id]],"_"&amp;Table3[[#This Row],[dir]])</f>
        <v>ANS_c</v>
      </c>
      <c r="I43" t="str">
        <f>_xlfn.XLOOKUP(Table3[[#This Row],[rxn]],Table1[id],Table1[subsystem],"")</f>
        <v>Phenylalanine, tyrosine and tryptophan metabolism</v>
      </c>
      <c r="J43" t="str">
        <f>_xlfn.XLOOKUP(Table3[[#This Row],[enz]],'[1]scRBA (raw)'!$N:$N,'[1]scRBA (raw)'!$K:$K,"")</f>
        <v/>
      </c>
      <c r="K43" t="str">
        <f>_xlfn.XLOOKUP(Table3[[#This Row],[SC enz]],Table2[id],Table2[Abundance in SC (g protein/g all proteins)],"")</f>
        <v/>
      </c>
      <c r="L43" t="str">
        <f>_xlfn.XLOOKUP(Table3[[#This Row],[SC enz]],Table2[id],Table2[Abundance in RT (g protein/g all proteins)],"")</f>
        <v/>
      </c>
      <c r="M43">
        <f>Table3[[#This Row],[log(y)]]-Table3[[#This Row],[log(x)]]/SQRT(2)</f>
        <v>0.84875133263078784</v>
      </c>
      <c r="N43">
        <f>ABS(Table3[[#This Row],[dist from 45-degree (RT - SC)]])</f>
        <v>0.84875133263078784</v>
      </c>
      <c r="P43" t="str">
        <v>Triacylglycerol biosynthesis</v>
      </c>
      <c r="Q43" cm="1">
        <f t="array" ref="Q43">MEDIAN(_xlfn._xlws.FILTER(Table3[dist from 45-degree (RT - SC)],Table3[subsystem]=P43))</f>
        <v>4.1038937765865091</v>
      </c>
      <c r="R43" t="str">
        <v>Phospholipid biosynthesis</v>
      </c>
      <c r="S43">
        <v>-0.53655819210360667</v>
      </c>
    </row>
    <row r="44" spans="1:19" x14ac:dyDescent="0.2">
      <c r="A44" t="s">
        <v>2939</v>
      </c>
      <c r="B44">
        <v>45680.683695699292</v>
      </c>
      <c r="C44">
        <v>9512.494250015272</v>
      </c>
      <c r="D44">
        <f>LOG(Table3[[#This Row],[scRBA $k_{app}$ ($h^{-1}$)]])</f>
        <v>4.6597325953045052</v>
      </c>
      <c r="E44">
        <f>LOG(Table3[[#This Row],[rtRBA $k_{app}$ ($h^{-1}$)]])</f>
        <v>3.9782944072622146</v>
      </c>
      <c r="F44" t="str">
        <f>_xlfn.TEXTAFTER(Table3[[#This Row],[id]],"-",-1)</f>
        <v>rt3236</v>
      </c>
      <c r="G44" t="str">
        <f>_xlfn.TEXTAFTER(_xlfn.TEXTBEFORE(Table3[[#This Row],[id]],"-"&amp;Table3[[#This Row],[enz]]),"_",-1)</f>
        <v>FWD</v>
      </c>
      <c r="H44" t="str">
        <f>_xlfn.TEXTBEFORE(Table3[[#This Row],[id]],"_"&amp;Table3[[#This Row],[dir]])</f>
        <v>ARGSL_c</v>
      </c>
      <c r="I44" t="str">
        <f>_xlfn.XLOOKUP(Table3[[#This Row],[rxn]],Table1[id],Table1[subsystem],"")</f>
        <v>Arginine and proline metabolism</v>
      </c>
      <c r="J44" t="str">
        <f>_xlfn.XLOOKUP(Table3[[#This Row],[enz]],'[1]scRBA (raw)'!$N:$N,'[1]scRBA (raw)'!$K:$K,"")</f>
        <v>YHR018C</v>
      </c>
      <c r="K44">
        <f>_xlfn.XLOOKUP(Table3[[#This Row],[SC enz]],Table2[id],Table2[Abundance in SC (g protein/g all proteins)],"")</f>
        <v>1.43440775190131E-5</v>
      </c>
      <c r="L44">
        <f>_xlfn.XLOOKUP(Table3[[#This Row],[SC enz]],Table2[id],Table2[Abundance in RT (g protein/g all proteins)],"")</f>
        <v>7.2999999999999999E-5</v>
      </c>
      <c r="M44">
        <f>Table3[[#This Row],[log(y)]]-Table3[[#This Row],[log(x)]]/SQRT(2)</f>
        <v>0.68336589060640884</v>
      </c>
      <c r="N44">
        <f>ABS(Table3[[#This Row],[dist from 45-degree (RT - SC)]])</f>
        <v>0.68336589060640884</v>
      </c>
      <c r="P44" t="str">
        <v>Unassigned</v>
      </c>
      <c r="Q44" cm="1">
        <f t="array" ref="Q44">MEDIAN(_xlfn._xlws.FILTER(Table3[dist from 45-degree (RT - SC)],Table3[subsystem]=P44))</f>
        <v>1.2043260204374944</v>
      </c>
      <c r="R44" t="str">
        <v>Pantothenate and CoA biosynthesis</v>
      </c>
      <c r="S44">
        <v>-3.7217282766218656</v>
      </c>
    </row>
    <row r="45" spans="1:19" x14ac:dyDescent="0.2">
      <c r="A45" t="s">
        <v>3234</v>
      </c>
      <c r="B45">
        <v>35874.594579158424</v>
      </c>
      <c r="C45">
        <v>6352.473530635003</v>
      </c>
      <c r="D45">
        <f>LOG(Table3[[#This Row],[scRBA $k_{app}$ ($h^{-1}$)]])</f>
        <v>4.5547870017830459</v>
      </c>
      <c r="E45">
        <f>LOG(Table3[[#This Row],[rtRBA $k_{app}$ ($h^{-1}$)]])</f>
        <v>3.8029428641162508</v>
      </c>
      <c r="F45" t="str">
        <f>_xlfn.TEXTAFTER(Table3[[#This Row],[id]],"-",-1)</f>
        <v>rt7828</v>
      </c>
      <c r="G45" t="str">
        <f>_xlfn.TEXTAFTER(_xlfn.TEXTBEFORE(Table3[[#This Row],[id]],"-"&amp;Table3[[#This Row],[enz]]),"_",-1)</f>
        <v>FWD</v>
      </c>
      <c r="H45" t="str">
        <f>_xlfn.TEXTBEFORE(Table3[[#This Row],[id]],"_"&amp;Table3[[#This Row],[dir]])</f>
        <v>ARGSS_c</v>
      </c>
      <c r="I45" t="str">
        <f>_xlfn.XLOOKUP(Table3[[#This Row],[rxn]],Table1[id],Table1[subsystem],"")</f>
        <v>Arginine and proline metabolism</v>
      </c>
      <c r="J45" t="str">
        <f>_xlfn.XLOOKUP(Table3[[#This Row],[enz]],'[1]scRBA (raw)'!$N:$N,'[1]scRBA (raw)'!$K:$K,"")</f>
        <v>YOL058W</v>
      </c>
      <c r="K45">
        <f>_xlfn.XLOOKUP(Table3[[#This Row],[SC enz]],Table2[id],Table2[Abundance in SC (g protein/g all proteins)],"")</f>
        <v>2.4980476749231799E-5</v>
      </c>
      <c r="L45">
        <f>_xlfn.XLOOKUP(Table3[[#This Row],[SC enz]],Table2[id],Table2[Abundance in RT (g protein/g all proteins)],"")</f>
        <v>6.7500000000000001E-5</v>
      </c>
      <c r="M45">
        <f>Table3[[#This Row],[log(y)]]-Table3[[#This Row],[log(x)]]/SQRT(2)</f>
        <v>0.5822220882951159</v>
      </c>
      <c r="N45">
        <f>ABS(Table3[[#This Row],[dist from 45-degree (RT - SC)]])</f>
        <v>0.5822220882951159</v>
      </c>
      <c r="P45" t="str">
        <v>Valine, leucine and isoleucine metabolism</v>
      </c>
      <c r="Q45" cm="1">
        <f t="array" ref="Q45">MEDIAN(_xlfn._xlws.FILTER(Table3[dist from 45-degree (RT - SC)],Table3[subsystem]=P45))</f>
        <v>1.3993346000792433</v>
      </c>
      <c r="R45" t="str">
        <v>Fatty acid degradation</v>
      </c>
      <c r="S45">
        <v>-6.0453604834318195</v>
      </c>
    </row>
    <row r="46" spans="1:19" x14ac:dyDescent="0.2">
      <c r="A46" t="s">
        <v>2940</v>
      </c>
      <c r="B46">
        <v>13817.245676264511</v>
      </c>
      <c r="C46">
        <v>14089.8073435816</v>
      </c>
      <c r="D46">
        <f>LOG(Table3[[#This Row],[scRBA $k_{app}$ ($h^{-1}$)]])</f>
        <v>4.1404214795927716</v>
      </c>
      <c r="E46">
        <f>LOG(Table3[[#This Row],[rtRBA $k_{app}$ ($h^{-1}$)]])</f>
        <v>4.1489050548416886</v>
      </c>
      <c r="F46" t="str">
        <f>_xlfn.TEXTAFTER(Table3[[#This Row],[id]],"-",-1)</f>
        <v>rt1711</v>
      </c>
      <c r="G46" t="str">
        <f>_xlfn.TEXTAFTER(_xlfn.TEXTBEFORE(Table3[[#This Row],[id]],"-"&amp;Table3[[#This Row],[enz]]),"_",-1)</f>
        <v>FWD</v>
      </c>
      <c r="H46" t="str">
        <f>_xlfn.TEXTBEFORE(Table3[[#This Row],[id]],"_"&amp;Table3[[#This Row],[dir]])</f>
        <v>ARGTRS_c</v>
      </c>
      <c r="I46" t="str">
        <f>_xlfn.XLOOKUP(Table3[[#This Row],[rxn]],Table1[id],Table1[subsystem],"")</f>
        <v>Aminoacyl-tRNA biosynthesis</v>
      </c>
      <c r="J46" t="str">
        <f>_xlfn.XLOOKUP(Table3[[#This Row],[enz]],'[1]scRBA (raw)'!$N:$N,'[1]scRBA (raw)'!$K:$K,"")</f>
        <v>YDR341C</v>
      </c>
      <c r="K46">
        <f>_xlfn.XLOOKUP(Table3[[#This Row],[SC enz]],Table2[id],Table2[Abundance in SC (g protein/g all proteins)],"")</f>
        <v>1.21920453866087E-4</v>
      </c>
      <c r="L46">
        <f>_xlfn.XLOOKUP(Table3[[#This Row],[SC enz]],Table2[id],Table2[Abundance in RT (g protein/g all proteins)],"")</f>
        <v>3.0200000000000002E-4</v>
      </c>
      <c r="M46">
        <f>Table3[[#This Row],[log(y)]]-Table3[[#This Row],[log(x)]]/SQRT(2)</f>
        <v>1.2211849496512013</v>
      </c>
      <c r="N46">
        <f>ABS(Table3[[#This Row],[dist from 45-degree (RT - SC)]])</f>
        <v>1.2211849496512013</v>
      </c>
      <c r="Q46" t="e" cm="1" vm="1">
        <f t="array" ref="Q46">MEDIAN(_xlfn._xlws.FILTER(Table3[dist from 45-degree (RT - SC)],Table3[subsystem]=P46))</f>
        <v>#VALUE!</v>
      </c>
    </row>
    <row r="47" spans="1:19" x14ac:dyDescent="0.2">
      <c r="A47" t="s">
        <v>2941</v>
      </c>
      <c r="B47">
        <v>52200.704706730248</v>
      </c>
      <c r="C47">
        <v>16945.536532068749</v>
      </c>
      <c r="D47">
        <f>LOG(Table3[[#This Row],[scRBA $k_{app}$ ($h^{-1}$)]])</f>
        <v>4.7176763659941869</v>
      </c>
      <c r="E47">
        <f>LOG(Table3[[#This Row],[rtRBA $k_{app}$ ($h^{-1}$)]])</f>
        <v>4.2290553240868194</v>
      </c>
      <c r="F47" t="str">
        <f>_xlfn.TEXTAFTER(Table3[[#This Row],[id]],"-",-1)</f>
        <v>rt1962</v>
      </c>
      <c r="G47" t="str">
        <f>_xlfn.TEXTAFTER(_xlfn.TEXTBEFORE(Table3[[#This Row],[id]],"-"&amp;Table3[[#This Row],[enz]]),"_",-1)</f>
        <v>FWD</v>
      </c>
      <c r="H47" t="str">
        <f>_xlfn.TEXTBEFORE(Table3[[#This Row],[id]],"_"&amp;Table3[[#This Row],[dir]])</f>
        <v>ASAD_c</v>
      </c>
      <c r="I47" t="str">
        <f>_xlfn.XLOOKUP(Table3[[#This Row],[rxn]],Table1[id],Table1[subsystem],"")</f>
        <v>Glycine, serine and threonine metabolism</v>
      </c>
      <c r="J47" t="str">
        <f>_xlfn.XLOOKUP(Table3[[#This Row],[enz]],'[1]scRBA (raw)'!$N:$N,'[1]scRBA (raw)'!$K:$K,"")</f>
        <v>YDR158W</v>
      </c>
      <c r="K47">
        <f>_xlfn.XLOOKUP(Table3[[#This Row],[SC enz]],Table2[id],Table2[Abundance in SC (g protein/g all proteins)],"")</f>
        <v>2.4582129256127099E-5</v>
      </c>
      <c r="L47">
        <f>_xlfn.XLOOKUP(Table3[[#This Row],[SC enz]],Table2[id],Table2[Abundance in RT (g protein/g all proteins)],"")</f>
        <v>6.41E-5</v>
      </c>
      <c r="M47">
        <f>Table3[[#This Row],[log(y)]]-Table3[[#This Row],[log(x)]]/SQRT(2)</f>
        <v>0.89315437424882127</v>
      </c>
      <c r="N47">
        <f>ABS(Table3[[#This Row],[dist from 45-degree (RT - SC)]])</f>
        <v>0.89315437424882127</v>
      </c>
      <c r="Q47" t="e" cm="1" vm="1">
        <f t="array" ref="Q47">MEDIAN(_xlfn._xlws.FILTER(Table3[dist from 45-degree (RT - SC)],Table3[subsystem]=P47))</f>
        <v>#VALUE!</v>
      </c>
    </row>
    <row r="48" spans="1:19" x14ac:dyDescent="0.2">
      <c r="A48" t="s">
        <v>2942</v>
      </c>
      <c r="B48">
        <v>46128.988707180892</v>
      </c>
      <c r="C48">
        <v>3692.3305856315901</v>
      </c>
      <c r="D48">
        <f>LOG(Table3[[#This Row],[scRBA $k_{app}$ ($h^{-1}$)]])</f>
        <v>4.663973933608804</v>
      </c>
      <c r="E48">
        <f>LOG(Table3[[#This Row],[rtRBA $k_{app}$ ($h^{-1}$)]])</f>
        <v>3.5673005778057179</v>
      </c>
      <c r="F48" t="str">
        <f>_xlfn.TEXTAFTER(Table3[[#This Row],[id]],"-",-1)</f>
        <v>rt6769</v>
      </c>
      <c r="G48" t="str">
        <f>_xlfn.TEXTAFTER(_xlfn.TEXTBEFORE(Table3[[#This Row],[id]],"-"&amp;Table3[[#This Row],[enz]]),"_",-1)</f>
        <v>FWD</v>
      </c>
      <c r="H48" t="str">
        <f>_xlfn.TEXTBEFORE(Table3[[#This Row],[id]],"_"&amp;Table3[[#This Row],[dir]])</f>
        <v>ASNS1_c</v>
      </c>
      <c r="I48" t="str">
        <f>_xlfn.XLOOKUP(Table3[[#This Row],[rxn]],Table1[id],Table1[subsystem],"")</f>
        <v>Alanine, aspartate and glutamate metabolism</v>
      </c>
      <c r="J48" t="str">
        <f>_xlfn.XLOOKUP(Table3[[#This Row],[enz]],'[1]scRBA (raw)'!$N:$N,'[1]scRBA (raw)'!$K:$K,"")</f>
        <v>YGR124W</v>
      </c>
      <c r="K48">
        <f>_xlfn.XLOOKUP(Table3[[#This Row],[SC enz]],Table2[id],Table2[Abundance in SC (g protein/g all proteins)],"")</f>
        <v>7.8012513408637392E-6</v>
      </c>
      <c r="L48">
        <f>_xlfn.XLOOKUP(Table3[[#This Row],[SC enz]],Table2[id],Table2[Abundance in RT (g protein/g all proteins)],"")</f>
        <v>3.1199999999999999E-5</v>
      </c>
      <c r="M48">
        <f>Table3[[#This Row],[log(y)]]-Table3[[#This Row],[log(x)]]/SQRT(2)</f>
        <v>0.26937298207363636</v>
      </c>
      <c r="N48">
        <f>ABS(Table3[[#This Row],[dist from 45-degree (RT - SC)]])</f>
        <v>0.26937298207363636</v>
      </c>
      <c r="Q48" t="e" cm="1" vm="1">
        <f t="array" ref="Q48">MEDIAN(_xlfn._xlws.FILTER(Table3[dist from 45-degree (RT - SC)],Table3[subsystem]=P48))</f>
        <v>#VALUE!</v>
      </c>
    </row>
    <row r="49" spans="1:17" x14ac:dyDescent="0.2">
      <c r="A49" t="s">
        <v>2943</v>
      </c>
      <c r="B49">
        <v>6209.6151021633741</v>
      </c>
      <c r="C49">
        <v>12227.249492774239</v>
      </c>
      <c r="D49">
        <f>LOG(Table3[[#This Row],[scRBA $k_{app}$ ($h^{-1}$)]])</f>
        <v>3.7930646816279423</v>
      </c>
      <c r="E49">
        <f>LOG(Table3[[#This Row],[rtRBA $k_{app}$ ($h^{-1}$)]])</f>
        <v>4.0873287739247015</v>
      </c>
      <c r="F49" t="str">
        <f>_xlfn.TEXTAFTER(Table3[[#This Row],[id]],"-",-1)</f>
        <v>rt0799</v>
      </c>
      <c r="G49" t="str">
        <f>_xlfn.TEXTAFTER(_xlfn.TEXTBEFORE(Table3[[#This Row],[id]],"-"&amp;Table3[[#This Row],[enz]]),"_",-1)</f>
        <v>FWD</v>
      </c>
      <c r="H49" t="str">
        <f>_xlfn.TEXTBEFORE(Table3[[#This Row],[id]],"_"&amp;Table3[[#This Row],[dir]])</f>
        <v>ASNTRS_c</v>
      </c>
      <c r="I49" t="str">
        <f>_xlfn.XLOOKUP(Table3[[#This Row],[rxn]],Table1[id],Table1[subsystem],"")</f>
        <v>Aminoacyl-tRNA biosynthesis</v>
      </c>
      <c r="J49" t="str">
        <f>_xlfn.XLOOKUP(Table3[[#This Row],[enz]],'[1]scRBA (raw)'!$N:$N,'[1]scRBA (raw)'!$K:$K,"")</f>
        <v>YHR019C</v>
      </c>
      <c r="K49">
        <f>_xlfn.XLOOKUP(Table3[[#This Row],[SC enz]],Table2[id],Table2[Abundance in SC (g protein/g all proteins)],"")</f>
        <v>9.6840937322151598E-6</v>
      </c>
      <c r="L49">
        <f>_xlfn.XLOOKUP(Table3[[#This Row],[SC enz]],Table2[id],Table2[Abundance in RT (g protein/g all proteins)],"")</f>
        <v>1.54E-7</v>
      </c>
      <c r="M49">
        <f>Table3[[#This Row],[log(y)]]-Table3[[#This Row],[log(x)]]/SQRT(2)</f>
        <v>1.4052270160663909</v>
      </c>
      <c r="N49">
        <f>ABS(Table3[[#This Row],[dist from 45-degree (RT - SC)]])</f>
        <v>1.4052270160663909</v>
      </c>
      <c r="Q49" t="e" cm="1" vm="1">
        <f t="array" ref="Q49">MEDIAN(_xlfn._xlws.FILTER(Table3[dist from 45-degree (RT - SC)],Table3[subsystem]=P49))</f>
        <v>#VALUE!</v>
      </c>
    </row>
    <row r="50" spans="1:17" x14ac:dyDescent="0.2">
      <c r="A50" t="s">
        <v>3235</v>
      </c>
      <c r="B50">
        <v>13004.233778757811</v>
      </c>
      <c r="C50">
        <v>2564946472007.4229</v>
      </c>
      <c r="D50">
        <f>LOG(Table3[[#This Row],[scRBA $k_{app}$ ($h^{-1}$)]])</f>
        <v>4.1140847682611774</v>
      </c>
      <c r="E50">
        <f>LOG(Table3[[#This Row],[rtRBA $k_{app}$ ($h^{-1}$)]])</f>
        <v>12.409078306229755</v>
      </c>
      <c r="F50" t="str">
        <f>_xlfn.TEXTAFTER(Table3[[#This Row],[id]],"-",-1)</f>
        <v>rt8313</v>
      </c>
      <c r="G50" t="str">
        <f>_xlfn.TEXTAFTER(_xlfn.TEXTBEFORE(Table3[[#This Row],[id]],"-"&amp;Table3[[#This Row],[enz]]),"_",-1)</f>
        <v>FWD</v>
      </c>
      <c r="H50" t="str">
        <f>_xlfn.TEXTBEFORE(Table3[[#This Row],[id]],"_"&amp;Table3[[#This Row],[dir]])</f>
        <v>ASPCT_c</v>
      </c>
      <c r="I50" t="str">
        <f>_xlfn.XLOOKUP(Table3[[#This Row],[rxn]],Table1[id],Table1[subsystem],"")</f>
        <v>Pyrimidine metabolism</v>
      </c>
      <c r="J50" t="str">
        <f>_xlfn.XLOOKUP(Table3[[#This Row],[enz]],'[1]scRBA (raw)'!$N:$N,'[1]scRBA (raw)'!$K:$K,"")</f>
        <v>YJL130C</v>
      </c>
      <c r="K50">
        <f>_xlfn.XLOOKUP(Table3[[#This Row],[SC enz]],Table2[id],Table2[Abundance in SC (g protein/g all proteins)],"")</f>
        <v>5.4580136588864401E-5</v>
      </c>
      <c r="L50">
        <f>_xlfn.XLOOKUP(Table3[[#This Row],[SC enz]],Table2[id],Table2[Abundance in RT (g protein/g all proteins)],"")</f>
        <v>2.6899999999999998E-4</v>
      </c>
      <c r="M50">
        <f>Table3[[#This Row],[log(y)]]-Table3[[#This Row],[log(x)]]/SQRT(2)</f>
        <v>9.4999810682159911</v>
      </c>
      <c r="N50">
        <f>ABS(Table3[[#This Row],[dist from 45-degree (RT - SC)]])</f>
        <v>9.4999810682159911</v>
      </c>
    </row>
    <row r="51" spans="1:17" x14ac:dyDescent="0.2">
      <c r="A51" t="s">
        <v>2944</v>
      </c>
      <c r="B51">
        <v>108480.3930827836</v>
      </c>
      <c r="C51">
        <v>44230.936765677623</v>
      </c>
      <c r="D51">
        <f>LOG(Table3[[#This Row],[scRBA $k_{app}$ ($h^{-1}$)]])</f>
        <v>5.0353512502082252</v>
      </c>
      <c r="E51">
        <f>LOG(Table3[[#This Row],[rtRBA $k_{app}$ ($h^{-1}$)]])</f>
        <v>4.6457261373767587</v>
      </c>
      <c r="F51" t="str">
        <f>_xlfn.TEXTAFTER(Table3[[#This Row],[id]],"-",-1)</f>
        <v>rt6294</v>
      </c>
      <c r="G51" t="str">
        <f>_xlfn.TEXTAFTER(_xlfn.TEXTBEFORE(Table3[[#This Row],[id]],"-"&amp;Table3[[#This Row],[enz]]),"_",-1)</f>
        <v>FWD</v>
      </c>
      <c r="H51" t="str">
        <f>_xlfn.TEXTBEFORE(Table3[[#This Row],[id]],"_"&amp;Table3[[#This Row],[dir]])</f>
        <v>ASPK_c</v>
      </c>
      <c r="I51" t="str">
        <f>_xlfn.XLOOKUP(Table3[[#This Row],[rxn]],Table1[id],Table1[subsystem],"")</f>
        <v>Glycine, serine and threonine metabolism</v>
      </c>
      <c r="J51" t="str">
        <f>_xlfn.XLOOKUP(Table3[[#This Row],[enz]],'[1]scRBA (raw)'!$N:$N,'[1]scRBA (raw)'!$K:$K,"")</f>
        <v>YER052C</v>
      </c>
      <c r="K51">
        <f>_xlfn.XLOOKUP(Table3[[#This Row],[SC enz]],Table2[id],Table2[Abundance in SC (g protein/g all proteins)],"")</f>
        <v>8.5417391171082097E-5</v>
      </c>
      <c r="L51">
        <f>_xlfn.XLOOKUP(Table3[[#This Row],[SC enz]],Table2[id],Table2[Abundance in RT (g protein/g all proteins)],"")</f>
        <v>4.6900000000000002E-4</v>
      </c>
      <c r="M51">
        <f>Table3[[#This Row],[log(y)]]-Table3[[#This Row],[log(x)]]/SQRT(2)</f>
        <v>1.0851951226983627</v>
      </c>
      <c r="N51">
        <f>ABS(Table3[[#This Row],[dist from 45-degree (RT - SC)]])</f>
        <v>1.0851951226983627</v>
      </c>
    </row>
    <row r="52" spans="1:17" x14ac:dyDescent="0.2">
      <c r="A52" t="s">
        <v>2945</v>
      </c>
      <c r="B52">
        <v>25975.784249517059</v>
      </c>
      <c r="C52">
        <v>10694.76237343283</v>
      </c>
      <c r="D52">
        <f>LOG(Table3[[#This Row],[scRBA $k_{app}$ ($h^{-1}$)]])</f>
        <v>4.414568668456206</v>
      </c>
      <c r="E52">
        <f>LOG(Table3[[#This Row],[rtRBA $k_{app}$ ($h^{-1}$)]])</f>
        <v>4.0291711394401917</v>
      </c>
      <c r="F52" t="str">
        <f>_xlfn.TEXTAFTER(Table3[[#This Row],[id]],"-",-1)</f>
        <v>rt5890</v>
      </c>
      <c r="G52" t="str">
        <f>_xlfn.TEXTAFTER(_xlfn.TEXTBEFORE(Table3[[#This Row],[id]],"-"&amp;Table3[[#This Row],[enz]]),"_",-1)</f>
        <v>FWD</v>
      </c>
      <c r="H52" t="str">
        <f>_xlfn.TEXTBEFORE(Table3[[#This Row],[id]],"_"&amp;Table3[[#This Row],[dir]])</f>
        <v>ASPTRS_c</v>
      </c>
      <c r="I52" t="str">
        <f>_xlfn.XLOOKUP(Table3[[#This Row],[rxn]],Table1[id],Table1[subsystem],"")</f>
        <v>Aminoacyl-tRNA biosynthesis</v>
      </c>
      <c r="J52" t="str">
        <f>_xlfn.XLOOKUP(Table3[[#This Row],[enz]],'[1]scRBA (raw)'!$N:$N,'[1]scRBA (raw)'!$K:$K,"")</f>
        <v>YLL018C</v>
      </c>
      <c r="K52">
        <f>_xlfn.XLOOKUP(Table3[[#This Row],[SC enz]],Table2[id],Table2[Abundance in SC (g protein/g all proteins)],"")</f>
        <v>2.1920365898880499E-4</v>
      </c>
      <c r="L52">
        <f>_xlfn.XLOOKUP(Table3[[#This Row],[SC enz]],Table2[id],Table2[Abundance in RT (g protein/g all proteins)],"")</f>
        <v>8.6199999999999995E-5</v>
      </c>
      <c r="M52">
        <f>Table3[[#This Row],[log(y)]]-Table3[[#This Row],[log(x)]]/SQRT(2)</f>
        <v>0.90759969796114115</v>
      </c>
      <c r="N52">
        <f>ABS(Table3[[#This Row],[dist from 45-degree (RT - SC)]])</f>
        <v>0.90759969796114115</v>
      </c>
    </row>
    <row r="53" spans="1:17" x14ac:dyDescent="0.2">
      <c r="A53" t="s">
        <v>2946</v>
      </c>
      <c r="B53">
        <v>65219.842158328393</v>
      </c>
      <c r="C53">
        <v>102923.02129670689</v>
      </c>
      <c r="D53">
        <f>LOG(Table3[[#This Row],[scRBA $k_{app}$ ($h^{-1}$)]])</f>
        <v>4.814379743414281</v>
      </c>
      <c r="E53">
        <f>LOG(Table3[[#This Row],[rtRBA $k_{app}$ ($h^{-1}$)]])</f>
        <v>5.0125125264037287</v>
      </c>
      <c r="F53" t="str">
        <f>_xlfn.TEXTAFTER(Table3[[#This Row],[id]],"-",-1)</f>
        <v>rt0602_c</v>
      </c>
      <c r="G53" t="str">
        <f>_xlfn.TEXTAFTER(_xlfn.TEXTBEFORE(Table3[[#This Row],[id]],"-"&amp;Table3[[#This Row],[enz]]),"_",-1)</f>
        <v>FWD</v>
      </c>
      <c r="H53" t="str">
        <f>_xlfn.TEXTBEFORE(Table3[[#This Row],[id]],"_"&amp;Table3[[#This Row],[dir]])</f>
        <v>ATPASEP2e_c</v>
      </c>
      <c r="I53" t="str">
        <f>_xlfn.XLOOKUP(Table3[[#This Row],[rxn]],Table1[id],Table1[subsystem],"")</f>
        <v>Oxidative phosphorylation</v>
      </c>
      <c r="J53" t="str">
        <f>_xlfn.XLOOKUP(Table3[[#This Row],[enz]],'[1]scRBA (raw)'!$N:$N,'[1]scRBA (raw)'!$K:$K,"")</f>
        <v/>
      </c>
      <c r="K53" t="str">
        <f>_xlfn.XLOOKUP(Table3[[#This Row],[SC enz]],Table2[id],Table2[Abundance in SC (g protein/g all proteins)],"")</f>
        <v/>
      </c>
      <c r="L53" t="str">
        <f>_xlfn.XLOOKUP(Table3[[#This Row],[SC enz]],Table2[id],Table2[Abundance in RT (g protein/g all proteins)],"")</f>
        <v/>
      </c>
      <c r="M53">
        <f>Table3[[#This Row],[log(y)]]-Table3[[#This Row],[log(x)]]/SQRT(2)</f>
        <v>1.6082319626283401</v>
      </c>
      <c r="N53">
        <f>ABS(Table3[[#This Row],[dist from 45-degree (RT - SC)]])</f>
        <v>1.6082319626283401</v>
      </c>
    </row>
    <row r="54" spans="1:17" x14ac:dyDescent="0.2">
      <c r="A54" t="s">
        <v>2947</v>
      </c>
      <c r="B54">
        <v>3341.0173996378371</v>
      </c>
      <c r="C54">
        <v>3502.2956382511488</v>
      </c>
      <c r="D54">
        <f>LOG(Table3[[#This Row],[scRBA $k_{app}$ ($h^{-1}$)]])</f>
        <v>3.5238787374001856</v>
      </c>
      <c r="E54">
        <f>LOG(Table3[[#This Row],[rtRBA $k_{app}$ ($h^{-1}$)]])</f>
        <v>3.5443528032671066</v>
      </c>
      <c r="F54" t="str">
        <f>_xlfn.TEXTAFTER(Table3[[#This Row],[id]],"-",-1)</f>
        <v>rt1520</v>
      </c>
      <c r="G54" t="str">
        <f>_xlfn.TEXTAFTER(_xlfn.TEXTBEFORE(Table3[[#This Row],[id]],"-"&amp;Table3[[#This Row],[enz]]),"_",-1)</f>
        <v>FWD</v>
      </c>
      <c r="H54" t="str">
        <f>_xlfn.TEXTBEFORE(Table3[[#This Row],[id]],"_"&amp;Table3[[#This Row],[dir]])</f>
        <v>ATPPRT_c</v>
      </c>
      <c r="I54" t="str">
        <f>_xlfn.XLOOKUP(Table3[[#This Row],[rxn]],Table1[id],Table1[subsystem],"")</f>
        <v>Histidine metabolism</v>
      </c>
      <c r="J54" t="str">
        <f>_xlfn.XLOOKUP(Table3[[#This Row],[enz]],'[1]scRBA (raw)'!$N:$N,'[1]scRBA (raw)'!$K:$K,"")</f>
        <v>YER055C</v>
      </c>
      <c r="K54">
        <f>_xlfn.XLOOKUP(Table3[[#This Row],[SC enz]],Table2[id],Table2[Abundance in SC (g protein/g all proteins)],"")</f>
        <v>3.6348781335876203E-4</v>
      </c>
      <c r="L54">
        <f>_xlfn.XLOOKUP(Table3[[#This Row],[SC enz]],Table2[id],Table2[Abundance in RT (g protein/g all proteins)],"")</f>
        <v>1.63E-4</v>
      </c>
      <c r="M54">
        <f>Table3[[#This Row],[log(y)]]-Table3[[#This Row],[log(x)]]/SQRT(2)</f>
        <v>1.0525942519723461</v>
      </c>
      <c r="N54">
        <f>ABS(Table3[[#This Row],[dist from 45-degree (RT - SC)]])</f>
        <v>1.0525942519723461</v>
      </c>
    </row>
    <row r="55" spans="1:17" x14ac:dyDescent="0.2">
      <c r="A55" t="s">
        <v>3294</v>
      </c>
      <c r="B55">
        <v>35984.096963871591</v>
      </c>
      <c r="C55">
        <v>3375700.3968092259</v>
      </c>
      <c r="D55">
        <f>LOG(Table3[[#This Row],[scRBA $k_{app}$ ($h^{-1}$)]])</f>
        <v>4.556110608356609</v>
      </c>
      <c r="E55">
        <f>LOG(Table3[[#This Row],[rtRBA $k_{app}$ ($h^{-1}$)]])</f>
        <v>6.5283638947704334</v>
      </c>
      <c r="F55" t="str">
        <f>_xlfn.TEXTAFTER(Table3[[#This Row],[id]],"-",-1)</f>
        <v>ATPSCPLX</v>
      </c>
      <c r="G55" t="str">
        <f>_xlfn.TEXTAFTER(_xlfn.TEXTBEFORE(Table3[[#This Row],[id]],"-"&amp;Table3[[#This Row],[enz]]),"_",-1)</f>
        <v>FWD</v>
      </c>
      <c r="H55" t="str">
        <f>_xlfn.TEXTBEFORE(Table3[[#This Row],[id]],"_"&amp;Table3[[#This Row],[dir]])</f>
        <v>ATPS_m</v>
      </c>
      <c r="I55" t="str">
        <f>_xlfn.XLOOKUP(Table3[[#This Row],[rxn]],Table1[id],Table1[subsystem],"")</f>
        <v>Oxidative phosphorylation</v>
      </c>
      <c r="J55" t="str">
        <f>_xlfn.XLOOKUP(Table3[[#This Row],[enz]],'[1]scRBA (raw)'!$N:$N,'[1]scRBA (raw)'!$K:$K,"")</f>
        <v/>
      </c>
      <c r="K55" t="str">
        <f>_xlfn.XLOOKUP(Table3[[#This Row],[SC enz]],Table2[id],Table2[Abundance in SC (g protein/g all proteins)],"")</f>
        <v/>
      </c>
      <c r="L55" t="str">
        <f>_xlfn.XLOOKUP(Table3[[#This Row],[SC enz]],Table2[id],Table2[Abundance in RT (g protein/g all proteins)],"")</f>
        <v/>
      </c>
      <c r="M55">
        <f>Table3[[#This Row],[log(y)]]-Table3[[#This Row],[log(x)]]/SQRT(2)</f>
        <v>3.3067071877655092</v>
      </c>
      <c r="N55">
        <f>ABS(Table3[[#This Row],[dist from 45-degree (RT - SC)]])</f>
        <v>3.3067071877655092</v>
      </c>
    </row>
    <row r="56" spans="1:17" x14ac:dyDescent="0.2">
      <c r="A56" t="s">
        <v>2948</v>
      </c>
      <c r="B56">
        <v>12376.56005482157</v>
      </c>
      <c r="C56">
        <v>6561.0908219505773</v>
      </c>
      <c r="D56">
        <f>LOG(Table3[[#This Row],[scRBA $k_{app}$ ($h^{-1}$)]])</f>
        <v>4.0925999535044406</v>
      </c>
      <c r="E56">
        <f>LOG(Table3[[#This Row],[rtRBA $k_{app}$ ($h^{-1}$)]])</f>
        <v>3.816976049523642</v>
      </c>
      <c r="F56" t="str">
        <f>_xlfn.TEXTAFTER(Table3[[#This Row],[id]],"-",-1)</f>
        <v>rt2305</v>
      </c>
      <c r="G56" t="str">
        <f>_xlfn.TEXTAFTER(_xlfn.TEXTBEFORE(Table3[[#This Row],[id]],"-"&amp;Table3[[#This Row],[enz]]),"_",-1)</f>
        <v>FWD</v>
      </c>
      <c r="H56" t="str">
        <f>_xlfn.TEXTBEFORE(Table3[[#This Row],[id]],"_"&amp;Table3[[#This Row],[dir]])</f>
        <v>BPNT_c</v>
      </c>
      <c r="I56" t="str">
        <f>_xlfn.XLOOKUP(Table3[[#This Row],[rxn]],Table1[id],Table1[subsystem],"")</f>
        <v>Sulfur metabolism</v>
      </c>
      <c r="J56" t="str">
        <f>_xlfn.XLOOKUP(Table3[[#This Row],[enz]],'[1]scRBA (raw)'!$N:$N,'[1]scRBA (raw)'!$K:$K,"")</f>
        <v>YOL064C</v>
      </c>
      <c r="K56">
        <f>_xlfn.XLOOKUP(Table3[[#This Row],[SC enz]],Table2[id],Table2[Abundance in SC (g protein/g all proteins)],"")</f>
        <v>2.4042694577147599E-5</v>
      </c>
      <c r="L56">
        <f>_xlfn.XLOOKUP(Table3[[#This Row],[SC enz]],Table2[id],Table2[Abundance in RT (g protein/g all proteins)],"")</f>
        <v>3.2000000000000003E-4</v>
      </c>
      <c r="M56">
        <f>Table3[[#This Row],[log(y)]]-Table3[[#This Row],[log(x)]]/SQRT(2)</f>
        <v>0.923070869716903</v>
      </c>
      <c r="N56">
        <f>ABS(Table3[[#This Row],[dist from 45-degree (RT - SC)]])</f>
        <v>0.923070869716903</v>
      </c>
    </row>
    <row r="57" spans="1:17" x14ac:dyDescent="0.2">
      <c r="A57" t="s">
        <v>3236</v>
      </c>
      <c r="B57">
        <v>9934.4058117835921</v>
      </c>
      <c r="C57">
        <v>10904.256241687601</v>
      </c>
      <c r="D57">
        <f>LOG(Table3[[#This Row],[scRBA $k_{app}$ ($h^{-1}$)]])</f>
        <v>3.9971418965710823</v>
      </c>
      <c r="E57">
        <f>LOG(Table3[[#This Row],[rtRBA $k_{app}$ ($h^{-1}$)]])</f>
        <v>4.037596048534926</v>
      </c>
      <c r="F57" t="str">
        <f>_xlfn.TEXTAFTER(Table3[[#This Row],[id]],"-",-1)</f>
        <v>rt3348</v>
      </c>
      <c r="G57" t="str">
        <f>_xlfn.TEXTAFTER(_xlfn.TEXTBEFORE(Table3[[#This Row],[id]],"-"&amp;Table3[[#This Row],[enz]]),"_",-1)</f>
        <v>FWD</v>
      </c>
      <c r="H57" t="str">
        <f>_xlfn.TEXTBEFORE(Table3[[#This Row],[id]],"_"&amp;Table3[[#This Row],[dir]])</f>
        <v>C22STDSy_c</v>
      </c>
      <c r="I57" t="str">
        <f>_xlfn.XLOOKUP(Table3[[#This Row],[rxn]],Table1[id],Table1[subsystem],"")</f>
        <v>Ergosterol biosynthesis</v>
      </c>
      <c r="J57" t="str">
        <f>_xlfn.XLOOKUP(Table3[[#This Row],[enz]],'[1]scRBA (raw)'!$N:$N,'[1]scRBA (raw)'!$K:$K,"")</f>
        <v>YMR015C</v>
      </c>
      <c r="K57">
        <f>_xlfn.XLOOKUP(Table3[[#This Row],[SC enz]],Table2[id],Table2[Abundance in SC (g protein/g all proteins)],"")</f>
        <v>4.8754231698712003E-4</v>
      </c>
      <c r="L57">
        <f>_xlfn.XLOOKUP(Table3[[#This Row],[SC enz]],Table2[id],Table2[Abundance in RT (g protein/g all proteins)],"")</f>
        <v>6.2500000000000001E-4</v>
      </c>
      <c r="M57">
        <f>Table3[[#This Row],[log(y)]]-Table3[[#This Row],[log(x)]]/SQRT(2)</f>
        <v>1.2111899081046564</v>
      </c>
      <c r="N57">
        <f>ABS(Table3[[#This Row],[dist from 45-degree (RT - SC)]])</f>
        <v>1.2111899081046564</v>
      </c>
    </row>
    <row r="58" spans="1:17" x14ac:dyDescent="0.2">
      <c r="A58" t="s">
        <v>2949</v>
      </c>
      <c r="B58">
        <v>12063.066002732259</v>
      </c>
      <c r="C58">
        <v>5050.358805186208</v>
      </c>
      <c r="D58">
        <f>LOG(Table3[[#This Row],[scRBA $k_{app}$ ($h^{-1}$)]])</f>
        <v>4.0814577040593303</v>
      </c>
      <c r="E58">
        <f>LOG(Table3[[#This Row],[rtRBA $k_{app}$ ($h^{-1}$)]])</f>
        <v>3.7033222338764658</v>
      </c>
      <c r="F58" t="str">
        <f>_xlfn.TEXTAFTER(Table3[[#This Row],[id]],"-",-1)</f>
        <v>rt2613</v>
      </c>
      <c r="G58" t="str">
        <f>_xlfn.TEXTAFTER(_xlfn.TEXTBEFORE(Table3[[#This Row],[id]],"-"&amp;Table3[[#This Row],[enz]]),"_",-1)</f>
        <v>FWD</v>
      </c>
      <c r="H58" t="str">
        <f>_xlfn.TEXTBEFORE(Table3[[#This Row],[id]],"_"&amp;Table3[[#This Row],[dir]])</f>
        <v>C24STR_r</v>
      </c>
      <c r="I58" t="str">
        <f>_xlfn.XLOOKUP(Table3[[#This Row],[rxn]],Table1[id],Table1[subsystem],"")</f>
        <v>Ergosterol biosynthesis</v>
      </c>
      <c r="J58" t="str">
        <f>_xlfn.XLOOKUP(Table3[[#This Row],[enz]],'[1]scRBA (raw)'!$N:$N,'[1]scRBA (raw)'!$K:$K,"")</f>
        <v>YGL012W</v>
      </c>
      <c r="K58">
        <f>_xlfn.XLOOKUP(Table3[[#This Row],[SC enz]],Table2[id],Table2[Abundance in SC (g protein/g all proteins)],"")</f>
        <v>7.2585133213585003E-6</v>
      </c>
      <c r="L58">
        <f>_xlfn.XLOOKUP(Table3[[#This Row],[SC enz]],Table2[id],Table2[Abundance in RT (g protein/g all proteins)],"")</f>
        <v>8.8499999999999996E-5</v>
      </c>
      <c r="M58">
        <f>Table3[[#This Row],[log(y)]]-Table3[[#This Row],[log(x)]]/SQRT(2)</f>
        <v>0.81729581421003639</v>
      </c>
      <c r="N58">
        <f>ABS(Table3[[#This Row],[dist from 45-degree (RT - SC)]])</f>
        <v>0.81729581421003639</v>
      </c>
    </row>
    <row r="59" spans="1:17" x14ac:dyDescent="0.2">
      <c r="A59" t="s">
        <v>3237</v>
      </c>
      <c r="B59">
        <v>9746.1762467357821</v>
      </c>
      <c r="C59">
        <v>27750.074133169699</v>
      </c>
      <c r="D59">
        <f>LOG(Table3[[#This Row],[scRBA $k_{app}$ ($h^{-1}$)]])</f>
        <v>3.988834260758872</v>
      </c>
      <c r="E59">
        <f>LOG(Table3[[#This Row],[rtRBA $k_{app}$ ($h^{-1}$)]])</f>
        <v>4.4432641476599031</v>
      </c>
      <c r="F59" t="str">
        <f>_xlfn.TEXTAFTER(Table3[[#This Row],[id]],"-",-1)</f>
        <v>rt0413</v>
      </c>
      <c r="G59" t="str">
        <f>_xlfn.TEXTAFTER(_xlfn.TEXTBEFORE(Table3[[#This Row],[id]],"-"&amp;Table3[[#This Row],[enz]]),"_",-1)</f>
        <v>FWD</v>
      </c>
      <c r="H59" t="str">
        <f>_xlfn.TEXTBEFORE(Table3[[#This Row],[id]],"_"&amp;Table3[[#This Row],[dir]])</f>
        <v>C5STDS_c</v>
      </c>
      <c r="I59" t="str">
        <f>_xlfn.XLOOKUP(Table3[[#This Row],[rxn]],Table1[id],Table1[subsystem],"")</f>
        <v>Ergosterol biosynthesis</v>
      </c>
      <c r="J59" t="str">
        <f>_xlfn.XLOOKUP(Table3[[#This Row],[enz]],'[1]scRBA (raw)'!$N:$N,'[1]scRBA (raw)'!$K:$K,"")</f>
        <v>YLR056W</v>
      </c>
      <c r="K59">
        <f>_xlfn.XLOOKUP(Table3[[#This Row],[SC enz]],Table2[id],Table2[Abundance in SC (g protein/g all proteins)],"")</f>
        <v>4.4678098287481303E-6</v>
      </c>
      <c r="L59">
        <f>_xlfn.XLOOKUP(Table3[[#This Row],[SC enz]],Table2[id],Table2[Abundance in RT (g protein/g all proteins)],"")</f>
        <v>7.8499999999999997E-5</v>
      </c>
      <c r="M59">
        <f>Table3[[#This Row],[log(y)]]-Table3[[#This Row],[log(x)]]/SQRT(2)</f>
        <v>1.6227323928480755</v>
      </c>
      <c r="N59">
        <f>ABS(Table3[[#This Row],[dist from 45-degree (RT - SC)]])</f>
        <v>1.6227323928480755</v>
      </c>
    </row>
    <row r="60" spans="1:17" x14ac:dyDescent="0.2">
      <c r="A60" t="s">
        <v>3238</v>
      </c>
      <c r="B60">
        <v>4285.2571729624806</v>
      </c>
      <c r="C60">
        <v>12342.044698088081</v>
      </c>
      <c r="D60">
        <f>LOG(Table3[[#This Row],[scRBA $k_{app}$ ($h^{-1}$)]])</f>
        <v>3.6319768905409018</v>
      </c>
      <c r="E60">
        <f>LOG(Table3[[#This Row],[rtRBA $k_{app}$ ($h^{-1}$)]])</f>
        <v>4.0913871149270022</v>
      </c>
      <c r="F60" t="str">
        <f>_xlfn.TEXTAFTER(Table3[[#This Row],[id]],"-",-1)</f>
        <v>rt1745</v>
      </c>
      <c r="G60" t="str">
        <f>_xlfn.TEXTAFTER(_xlfn.TEXTBEFORE(Table3[[#This Row],[id]],"-"&amp;Table3[[#This Row],[enz]]),"_",-1)</f>
        <v>FWD</v>
      </c>
      <c r="H60" t="str">
        <f>_xlfn.TEXTBEFORE(Table3[[#This Row],[id]],"_"&amp;Table3[[#This Row],[dir]])</f>
        <v>C8STI_c</v>
      </c>
      <c r="I60" t="str">
        <f>_xlfn.XLOOKUP(Table3[[#This Row],[rxn]],Table1[id],Table1[subsystem],"")</f>
        <v>Ergosterol biosynthesis</v>
      </c>
      <c r="J60" t="str">
        <f>_xlfn.XLOOKUP(Table3[[#This Row],[enz]],'[1]scRBA (raw)'!$N:$N,'[1]scRBA (raw)'!$K:$K,"")</f>
        <v>YMR202W</v>
      </c>
      <c r="K60">
        <f>_xlfn.XLOOKUP(Table3[[#This Row],[SC enz]],Table2[id],Table2[Abundance in SC (g protein/g all proteins)],"")</f>
        <v>5.0435816437902395E-4</v>
      </c>
      <c r="L60">
        <f>_xlfn.XLOOKUP(Table3[[#This Row],[SC enz]],Table2[id],Table2[Abundance in RT (g protein/g all proteins)],"")</f>
        <v>6.4099999999999997E-4</v>
      </c>
      <c r="M60">
        <f>Table3[[#This Row],[log(y)]]-Table3[[#This Row],[log(x)]]/SQRT(2)</f>
        <v>1.5231916265126997</v>
      </c>
      <c r="N60">
        <f>ABS(Table3[[#This Row],[dist from 45-degree (RT - SC)]])</f>
        <v>1.5231916265126997</v>
      </c>
    </row>
    <row r="61" spans="1:17" x14ac:dyDescent="0.2">
      <c r="A61" t="s">
        <v>3239</v>
      </c>
      <c r="B61">
        <v>13004.233778757811</v>
      </c>
      <c r="C61">
        <v>12053.448318973929</v>
      </c>
      <c r="D61">
        <f>LOG(Table3[[#This Row],[scRBA $k_{app}$ ($h^{-1}$)]])</f>
        <v>4.1140847682611774</v>
      </c>
      <c r="E61">
        <f>LOG(Table3[[#This Row],[rtRBA $k_{app}$ ($h^{-1}$)]])</f>
        <v>4.0811113101194225</v>
      </c>
      <c r="F61" t="str">
        <f>_xlfn.TEXTAFTER(Table3[[#This Row],[id]],"-",-1)</f>
        <v>rt3934</v>
      </c>
      <c r="G61" t="str">
        <f>_xlfn.TEXTAFTER(_xlfn.TEXTBEFORE(Table3[[#This Row],[id]],"-"&amp;Table3[[#This Row],[enz]]),"_",-1)</f>
        <v>FWD</v>
      </c>
      <c r="H61" t="str">
        <f>_xlfn.TEXTBEFORE(Table3[[#This Row],[id]],"_"&amp;Table3[[#This Row],[dir]])</f>
        <v>CBPS_c</v>
      </c>
      <c r="I61" t="str">
        <f>_xlfn.XLOOKUP(Table3[[#This Row],[rxn]],Table1[id],Table1[subsystem],"")</f>
        <v>Pyrimidine metabolism</v>
      </c>
      <c r="J61" t="str">
        <f>_xlfn.XLOOKUP(Table3[[#This Row],[enz]],'[1]scRBA (raw)'!$N:$N,'[1]scRBA (raw)'!$K:$K,"")</f>
        <v/>
      </c>
      <c r="K61" t="str">
        <f>_xlfn.XLOOKUP(Table3[[#This Row],[SC enz]],Table2[id],Table2[Abundance in SC (g protein/g all proteins)],"")</f>
        <v/>
      </c>
      <c r="L61" t="str">
        <f>_xlfn.XLOOKUP(Table3[[#This Row],[SC enz]],Table2[id],Table2[Abundance in RT (g protein/g all proteins)],"")</f>
        <v/>
      </c>
      <c r="M61">
        <f>Table3[[#This Row],[log(y)]]-Table3[[#This Row],[log(x)]]/SQRT(2)</f>
        <v>1.1720140721056582</v>
      </c>
      <c r="N61">
        <f>ABS(Table3[[#This Row],[dist from 45-degree (RT - SC)]])</f>
        <v>1.1720140721056582</v>
      </c>
    </row>
    <row r="62" spans="1:17" x14ac:dyDescent="0.2">
      <c r="A62" t="s">
        <v>2950</v>
      </c>
      <c r="B62">
        <v>24669.86417185151</v>
      </c>
      <c r="C62">
        <v>33088.649529443668</v>
      </c>
      <c r="D62">
        <f>LOG(Table3[[#This Row],[scRBA $k_{app}$ ($h^{-1}$)]])</f>
        <v>4.3921667583434951</v>
      </c>
      <c r="E62">
        <f>LOG(Table3[[#This Row],[rtRBA $k_{app}$ ($h^{-1}$)]])</f>
        <v>4.5196790423523856</v>
      </c>
      <c r="F62" t="str">
        <f>_xlfn.TEXTAFTER(Table3[[#This Row],[id]],"-",-1)</f>
        <v>rt4513_rm</v>
      </c>
      <c r="G62" t="str">
        <f>_xlfn.TEXTAFTER(_xlfn.TEXTBEFORE(Table3[[#This Row],[id]],"-"&amp;Table3[[#This Row],[enz]]),"_",-1)</f>
        <v>FWD</v>
      </c>
      <c r="H62" t="str">
        <f>_xlfn.TEXTBEFORE(Table3[[#This Row],[id]],"_"&amp;Table3[[#This Row],[dir]])</f>
        <v>CDPDAGS_rm</v>
      </c>
      <c r="I62" t="str">
        <f>_xlfn.XLOOKUP(Table3[[#This Row],[rxn]],Table1[id],Table1[subsystem],"")</f>
        <v>Glycerophospholipid biosynthesis</v>
      </c>
      <c r="J62" t="str">
        <f>_xlfn.XLOOKUP(Table3[[#This Row],[enz]],'[1]scRBA (raw)'!$N:$N,'[1]scRBA (raw)'!$K:$K,"")</f>
        <v/>
      </c>
      <c r="K62" t="str">
        <f>_xlfn.XLOOKUP(Table3[[#This Row],[SC enz]],Table2[id],Table2[Abundance in SC (g protein/g all proteins)],"")</f>
        <v/>
      </c>
      <c r="L62" t="str">
        <f>_xlfn.XLOOKUP(Table3[[#This Row],[SC enz]],Table2[id],Table2[Abundance in RT (g protein/g all proteins)],"")</f>
        <v/>
      </c>
      <c r="M62">
        <f>Table3[[#This Row],[log(y)]]-Table3[[#This Row],[log(x)]]/SQRT(2)</f>
        <v>1.4139481434255643</v>
      </c>
      <c r="N62">
        <f>ABS(Table3[[#This Row],[dist from 45-degree (RT - SC)]])</f>
        <v>1.4139481434255643</v>
      </c>
    </row>
    <row r="63" spans="1:17" x14ac:dyDescent="0.2">
      <c r="A63" t="s">
        <v>2951</v>
      </c>
      <c r="B63">
        <v>121075.0424481346</v>
      </c>
      <c r="C63">
        <v>36690.200057334303</v>
      </c>
      <c r="D63">
        <f>LOG(Table3[[#This Row],[scRBA $k_{app}$ ($h^{-1}$)]])</f>
        <v>5.0830546299794683</v>
      </c>
      <c r="E63">
        <f>LOG(Table3[[#This Row],[rtRBA $k_{app}$ ($h^{-1}$)]])</f>
        <v>4.5645500798006324</v>
      </c>
      <c r="F63" t="str">
        <f>_xlfn.TEXTAFTER(Table3[[#This Row],[id]],"-",-1)</f>
        <v>rt1336</v>
      </c>
      <c r="G63" t="str">
        <f>_xlfn.TEXTAFTER(_xlfn.TEXTBEFORE(Table3[[#This Row],[id]],"-"&amp;Table3[[#This Row],[enz]]),"_",-1)</f>
        <v>FWD</v>
      </c>
      <c r="H63" t="str">
        <f>_xlfn.TEXTBEFORE(Table3[[#This Row],[id]],"_"&amp;Table3[[#This Row],[dir]])</f>
        <v>CHORM_c</v>
      </c>
      <c r="I63" t="str">
        <f>_xlfn.XLOOKUP(Table3[[#This Row],[rxn]],Table1[id],Table1[subsystem],"")</f>
        <v>Phenylalanine, tyrosine and tryptophan metabolism</v>
      </c>
      <c r="J63" t="str">
        <f>_xlfn.XLOOKUP(Table3[[#This Row],[enz]],'[1]scRBA (raw)'!$N:$N,'[1]scRBA (raw)'!$K:$K,"")</f>
        <v>YPR060C</v>
      </c>
      <c r="K63" t="str">
        <f>_xlfn.XLOOKUP(Table3[[#This Row],[SC enz]],Table2[id],Table2[Abundance in SC (g protein/g all proteins)],"")</f>
        <v/>
      </c>
      <c r="L63" t="str">
        <f>_xlfn.XLOOKUP(Table3[[#This Row],[SC enz]],Table2[id],Table2[Abundance in RT (g protein/g all proteins)],"")</f>
        <v/>
      </c>
      <c r="M63">
        <f>Table3[[#This Row],[log(y)]]-Table3[[#This Row],[log(x)]]/SQRT(2)</f>
        <v>0.97028768180047331</v>
      </c>
      <c r="N63">
        <f>ABS(Table3[[#This Row],[dist from 45-degree (RT - SC)]])</f>
        <v>0.97028768180047331</v>
      </c>
    </row>
    <row r="64" spans="1:17" x14ac:dyDescent="0.2">
      <c r="A64" t="s">
        <v>2952</v>
      </c>
      <c r="B64">
        <v>58940.027730999289</v>
      </c>
      <c r="C64">
        <v>19666.113754122809</v>
      </c>
      <c r="D64">
        <f>LOG(Table3[[#This Row],[scRBA $k_{app}$ ($h^{-1}$)]])</f>
        <v>4.7704103358474175</v>
      </c>
      <c r="E64">
        <f>LOG(Table3[[#This Row],[rtRBA $k_{app}$ ($h^{-1}$)]])</f>
        <v>4.29371854691016</v>
      </c>
      <c r="F64" t="str">
        <f>_xlfn.TEXTAFTER(Table3[[#This Row],[id]],"-",-1)</f>
        <v>rt5669</v>
      </c>
      <c r="G64" t="str">
        <f>_xlfn.TEXTAFTER(_xlfn.TEXTBEFORE(Table3[[#This Row],[id]],"-"&amp;Table3[[#This Row],[enz]]),"_",-1)</f>
        <v>FWD</v>
      </c>
      <c r="H64" t="str">
        <f>_xlfn.TEXTBEFORE(Table3[[#This Row],[id]],"_"&amp;Table3[[#This Row],[dir]])</f>
        <v>CHORS_c</v>
      </c>
      <c r="I64" t="str">
        <f>_xlfn.XLOOKUP(Table3[[#This Row],[rxn]],Table1[id],Table1[subsystem],"")</f>
        <v>Phenylalanine, tyrosine and tryptophan metabolism</v>
      </c>
      <c r="J64" t="str">
        <f>_xlfn.XLOOKUP(Table3[[#This Row],[enz]],'[1]scRBA (raw)'!$N:$N,'[1]scRBA (raw)'!$K:$K,"")</f>
        <v>YGL148W</v>
      </c>
      <c r="K64">
        <f>_xlfn.XLOOKUP(Table3[[#This Row],[SC enz]],Table2[id],Table2[Abundance in SC (g protein/g all proteins)],"")</f>
        <v>6.8664278209055302E-4</v>
      </c>
      <c r="L64">
        <f>_xlfn.XLOOKUP(Table3[[#This Row],[SC enz]],Table2[id],Table2[Abundance in RT (g protein/g all proteins)],"")</f>
        <v>4.2700000000000002E-4</v>
      </c>
      <c r="M64">
        <f>Table3[[#This Row],[log(y)]]-Table3[[#This Row],[log(x)]]/SQRT(2)</f>
        <v>0.92052904939005575</v>
      </c>
      <c r="N64">
        <f>ABS(Table3[[#This Row],[dist from 45-degree (RT - SC)]])</f>
        <v>0.92052904939005575</v>
      </c>
    </row>
    <row r="65" spans="1:14" x14ac:dyDescent="0.2">
      <c r="A65" t="s">
        <v>3240</v>
      </c>
      <c r="B65">
        <v>21272.83334627666</v>
      </c>
      <c r="C65">
        <v>2864.4069834477559</v>
      </c>
      <c r="D65">
        <f>LOG(Table3[[#This Row],[scRBA $k_{app}$ ($h^{-1}$)]])</f>
        <v>4.327825337796642</v>
      </c>
      <c r="E65">
        <f>LOG(Table3[[#This Row],[rtRBA $k_{app}$ ($h^{-1}$)]])</f>
        <v>3.4570347238691848</v>
      </c>
      <c r="F65" t="str">
        <f>_xlfn.TEXTAFTER(Table3[[#This Row],[id]],"-",-1)</f>
        <v>rt0073</v>
      </c>
      <c r="G65" t="str">
        <f>_xlfn.TEXTAFTER(_xlfn.TEXTBEFORE(Table3[[#This Row],[id]],"-"&amp;Table3[[#This Row],[enz]]),"_",-1)</f>
        <v>FWD</v>
      </c>
      <c r="H65" t="str">
        <f>_xlfn.TEXTBEFORE(Table3[[#This Row],[id]],"_"&amp;Table3[[#This Row],[dir]])</f>
        <v>CHTNS_c</v>
      </c>
      <c r="I65" t="str">
        <f>_xlfn.XLOOKUP(Table3[[#This Row],[rxn]],Table1[id],Table1[subsystem],"")</f>
        <v>Amino sugar and nucleotide sugar metabolism</v>
      </c>
      <c r="J65" t="str">
        <f>_xlfn.XLOOKUP(Table3[[#This Row],[enz]],'[1]scRBA (raw)'!$N:$N,'[1]scRBA (raw)'!$K:$K,"")</f>
        <v/>
      </c>
      <c r="K65" t="str">
        <f>_xlfn.XLOOKUP(Table3[[#This Row],[SC enz]],Table2[id],Table2[Abundance in SC (g protein/g all proteins)],"")</f>
        <v/>
      </c>
      <c r="L65" t="str">
        <f>_xlfn.XLOOKUP(Table3[[#This Row],[SC enz]],Table2[id],Table2[Abundance in RT (g protein/g all proteins)],"")</f>
        <v/>
      </c>
      <c r="M65">
        <f>Table3[[#This Row],[log(y)]]-Table3[[#This Row],[log(x)]]/SQRT(2)</f>
        <v>0.39680007972221887</v>
      </c>
      <c r="N65">
        <f>ABS(Table3[[#This Row],[dist from 45-degree (RT - SC)]])</f>
        <v>0.39680007972221887</v>
      </c>
    </row>
    <row r="66" spans="1:14" x14ac:dyDescent="0.2">
      <c r="A66" t="s">
        <v>2953</v>
      </c>
      <c r="B66">
        <v>669586.97136022418</v>
      </c>
      <c r="C66">
        <v>798591.77661988605</v>
      </c>
      <c r="D66">
        <f>LOG(Table3[[#This Row],[scRBA $k_{app}$ ($h^{-1}$)]])</f>
        <v>5.8258069946844131</v>
      </c>
      <c r="E66">
        <f>LOG(Table3[[#This Row],[rtRBA $k_{app}$ ($h^{-1}$)]])</f>
        <v>5.9023248337984713</v>
      </c>
      <c r="F66" t="str">
        <f>_xlfn.TEXTAFTER(Table3[[#This Row],[id]],"-",-1)</f>
        <v>rt2146</v>
      </c>
      <c r="G66" t="str">
        <f>_xlfn.TEXTAFTER(_xlfn.TEXTBEFORE(Table3[[#This Row],[id]],"-"&amp;Table3[[#This Row],[enz]]),"_",-1)</f>
        <v>FWD</v>
      </c>
      <c r="H66" t="str">
        <f>_xlfn.TEXTBEFORE(Table3[[#This Row],[id]],"_"&amp;Table3[[#This Row],[dir]])</f>
        <v>CITMALta_m</v>
      </c>
      <c r="I66" t="str">
        <f>_xlfn.XLOOKUP(Table3[[#This Row],[rxn]],Table1[id],Table1[subsystem],"")</f>
        <v>Transport</v>
      </c>
      <c r="J66" t="str">
        <f>_xlfn.XLOOKUP(Table3[[#This Row],[enz]],'[1]scRBA (raw)'!$N:$N,'[1]scRBA (raw)'!$K:$K,"")</f>
        <v>YBR291C</v>
      </c>
      <c r="K66">
        <f>_xlfn.XLOOKUP(Table3[[#This Row],[SC enz]],Table2[id],Table2[Abundance in SC (g protein/g all proteins)],"")</f>
        <v>2.5186497635357598E-4</v>
      </c>
      <c r="L66">
        <f>_xlfn.XLOOKUP(Table3[[#This Row],[SC enz]],Table2[id],Table2[Abundance in RT (g protein/g all proteins)],"")</f>
        <v>3.1199999999999999E-4</v>
      </c>
      <c r="M66">
        <f>Table3[[#This Row],[log(y)]]-Table3[[#This Row],[log(x)]]/SQRT(2)</f>
        <v>1.7828572019731022</v>
      </c>
      <c r="N66">
        <f>ABS(Table3[[#This Row],[dist from 45-degree (RT - SC)]])</f>
        <v>1.7828572019731022</v>
      </c>
    </row>
    <row r="67" spans="1:14" x14ac:dyDescent="0.2">
      <c r="A67" t="s">
        <v>3295</v>
      </c>
      <c r="B67">
        <v>25.699774040393269</v>
      </c>
      <c r="C67">
        <v>21.097522739002731</v>
      </c>
      <c r="D67">
        <f>LOG(Table3[[#This Row],[scRBA $k_{app}$ ($h^{-1}$)]])</f>
        <v>1.4099293049094368</v>
      </c>
      <c r="E67">
        <f>LOG(Table3[[#This Row],[rtRBA $k_{app}$ ($h^{-1}$)]])</f>
        <v>1.3242314636416546</v>
      </c>
      <c r="F67" t="str">
        <f>_xlfn.TEXTAFTER(Table3[[#This Row],[id]],"-",-1)</f>
        <v>rt5829</v>
      </c>
      <c r="G67" t="str">
        <f>_xlfn.TEXTAFTER(_xlfn.TEXTBEFORE(Table3[[#This Row],[id]],"-"&amp;Table3[[#This Row],[enz]]),"_",-1)</f>
        <v>FWD</v>
      </c>
      <c r="H67" t="str">
        <f>_xlfn.TEXTBEFORE(Table3[[#This Row],[id]],"_"&amp;Table3[[#This Row],[dir]])</f>
        <v>CPPPGO_c</v>
      </c>
      <c r="I67" t="str">
        <f>_xlfn.XLOOKUP(Table3[[#This Row],[rxn]],Table1[id],Table1[subsystem],"")</f>
        <v>Heme metabolism</v>
      </c>
      <c r="J67" t="str">
        <f>_xlfn.XLOOKUP(Table3[[#This Row],[enz]],'[1]scRBA (raw)'!$N:$N,'[1]scRBA (raw)'!$K:$K,"")</f>
        <v>YDR044W</v>
      </c>
      <c r="K67">
        <f>_xlfn.XLOOKUP(Table3[[#This Row],[SC enz]],Table2[id],Table2[Abundance in SC (g protein/g all proteins)],"")</f>
        <v>9.0575734210671298E-5</v>
      </c>
      <c r="L67">
        <f>_xlfn.XLOOKUP(Table3[[#This Row],[SC enz]],Table2[id],Table2[Abundance in RT (g protein/g all proteins)],"")</f>
        <v>1.4100000000000001E-4</v>
      </c>
      <c r="M67">
        <f>Table3[[#This Row],[log(y)]]-Table3[[#This Row],[log(x)]]/SQRT(2)</f>
        <v>0.32726089114655643</v>
      </c>
      <c r="N67">
        <f>ABS(Table3[[#This Row],[dist from 45-degree (RT - SC)]])</f>
        <v>0.32726089114655643</v>
      </c>
    </row>
    <row r="68" spans="1:14" x14ac:dyDescent="0.2">
      <c r="A68" t="s">
        <v>3241</v>
      </c>
      <c r="B68">
        <v>218910.9213977888</v>
      </c>
      <c r="C68">
        <v>54616.44692014272</v>
      </c>
      <c r="D68">
        <f>LOG(Table3[[#This Row],[scRBA $k_{app}$ ($h^{-1}$)]])</f>
        <v>5.3402674289250651</v>
      </c>
      <c r="E68">
        <f>LOG(Table3[[#This Row],[rtRBA $k_{app}$ ($h^{-1}$)]])</f>
        <v>4.7373234436402685</v>
      </c>
      <c r="F68" t="str">
        <f>_xlfn.TEXTAFTER(Table3[[#This Row],[id]],"-",-1)</f>
        <v>CIT13</v>
      </c>
      <c r="G68" t="str">
        <f>_xlfn.TEXTAFTER(_xlfn.TEXTBEFORE(Table3[[#This Row],[id]],"-"&amp;Table3[[#This Row],[enz]]),"_",-1)</f>
        <v>FWD</v>
      </c>
      <c r="H68" t="str">
        <f>_xlfn.TEXTBEFORE(Table3[[#This Row],[id]],"_"&amp;Table3[[#This Row],[dir]])</f>
        <v>CS_m</v>
      </c>
      <c r="I68" t="str">
        <f>_xlfn.XLOOKUP(Table3[[#This Row],[rxn]],Table1[id],Table1[subsystem],"")</f>
        <v>Citric acid cycle</v>
      </c>
      <c r="J68" t="str">
        <f>_xlfn.XLOOKUP(Table3[[#This Row],[enz]],'[1]scRBA (raw)'!$N:$N,'[1]scRBA (raw)'!$K:$K,"")</f>
        <v/>
      </c>
      <c r="K68" t="str">
        <f>_xlfn.XLOOKUP(Table3[[#This Row],[SC enz]],Table2[id],Table2[Abundance in SC (g protein/g all proteins)],"")</f>
        <v/>
      </c>
      <c r="L68" t="str">
        <f>_xlfn.XLOOKUP(Table3[[#This Row],[SC enz]],Table2[id],Table2[Abundance in RT (g protein/g all proteins)],"")</f>
        <v/>
      </c>
      <c r="M68">
        <f>Table3[[#This Row],[log(y)]]-Table3[[#This Row],[log(x)]]/SQRT(2)</f>
        <v>0.96118413129770586</v>
      </c>
      <c r="N68">
        <f>ABS(Table3[[#This Row],[dist from 45-degree (RT - SC)]])</f>
        <v>0.96118413129770586</v>
      </c>
    </row>
    <row r="69" spans="1:14" x14ac:dyDescent="0.2">
      <c r="A69" t="s">
        <v>3242</v>
      </c>
      <c r="B69">
        <v>12066.042647638669</v>
      </c>
      <c r="C69">
        <v>9827.4769617861766</v>
      </c>
      <c r="D69">
        <f>LOG(Table3[[#This Row],[scRBA $k_{app}$ ($h^{-1}$)]])</f>
        <v>4.0815648560045368</v>
      </c>
      <c r="E69">
        <f>LOG(Table3[[#This Row],[rtRBA $k_{app}$ ($h^{-1}$)]])</f>
        <v>3.9924420343918099</v>
      </c>
      <c r="F69" t="str">
        <f>_xlfn.TEXTAFTER(Table3[[#This Row],[id]],"-",-1)</f>
        <v>rt8107</v>
      </c>
      <c r="G69" t="str">
        <f>_xlfn.TEXTAFTER(_xlfn.TEXTBEFORE(Table3[[#This Row],[id]],"-"&amp;Table3[[#This Row],[enz]]),"_",-1)</f>
        <v>FWD</v>
      </c>
      <c r="H69" t="str">
        <f>_xlfn.TEXTBEFORE(Table3[[#This Row],[id]],"_"&amp;Table3[[#This Row],[dir]])</f>
        <v>CTPS2_c</v>
      </c>
      <c r="I69" t="str">
        <f>_xlfn.XLOOKUP(Table3[[#This Row],[rxn]],Table1[id],Table1[subsystem],"")</f>
        <v>Pyrimidine metabolism</v>
      </c>
      <c r="J69" t="str">
        <f>_xlfn.XLOOKUP(Table3[[#This Row],[enz]],'[1]scRBA (raw)'!$N:$N,'[1]scRBA (raw)'!$K:$K,"")</f>
        <v>YBL039C</v>
      </c>
      <c r="K69">
        <f>_xlfn.XLOOKUP(Table3[[#This Row],[SC enz]],Table2[id],Table2[Abundance in SC (g protein/g all proteins)],"")</f>
        <v>5.9043312825832704E-6</v>
      </c>
      <c r="L69">
        <f>_xlfn.XLOOKUP(Table3[[#This Row],[SC enz]],Table2[id],Table2[Abundance in RT (g protein/g all proteins)],"")</f>
        <v>7.9400000000000002E-6</v>
      </c>
      <c r="M69">
        <f>Table3[[#This Row],[log(y)]]-Table3[[#This Row],[log(x)]]/SQRT(2)</f>
        <v>1.1063398468583077</v>
      </c>
      <c r="N69">
        <f>ABS(Table3[[#This Row],[dist from 45-degree (RT - SC)]])</f>
        <v>1.1063398468583077</v>
      </c>
    </row>
    <row r="70" spans="1:14" x14ac:dyDescent="0.2">
      <c r="A70" t="s">
        <v>3243</v>
      </c>
      <c r="B70">
        <v>3406.6126634080779</v>
      </c>
      <c r="C70">
        <v>1409.5522291890591</v>
      </c>
      <c r="D70">
        <f>LOG(Table3[[#This Row],[scRBA $k_{app}$ ($h^{-1}$)]])</f>
        <v>3.5323227564890787</v>
      </c>
      <c r="E70">
        <f>LOG(Table3[[#This Row],[rtRBA $k_{app}$ ($h^{-1}$)]])</f>
        <v>3.1490811727428145</v>
      </c>
      <c r="F70" t="str">
        <f>_xlfn.TEXTAFTER(Table3[[#This Row],[id]],"-",-1)</f>
        <v>rt3663</v>
      </c>
      <c r="G70" t="str">
        <f>_xlfn.TEXTAFTER(_xlfn.TEXTBEFORE(Table3[[#This Row],[id]],"-"&amp;Table3[[#This Row],[enz]]),"_",-1)</f>
        <v>FWD</v>
      </c>
      <c r="H70" t="str">
        <f>_xlfn.TEXTBEFORE(Table3[[#This Row],[id]],"_"&amp;Table3[[#This Row],[dir]])</f>
        <v>CYSS_c</v>
      </c>
      <c r="I70" t="str">
        <f>_xlfn.XLOOKUP(Table3[[#This Row],[rxn]],Table1[id],Table1[subsystem],"")</f>
        <v>Cysteine and methionine metabolism</v>
      </c>
      <c r="J70" t="str">
        <f>_xlfn.XLOOKUP(Table3[[#This Row],[enz]],'[1]scRBA (raw)'!$N:$N,'[1]scRBA (raw)'!$K:$K,"")</f>
        <v/>
      </c>
      <c r="K70" t="str">
        <f>_xlfn.XLOOKUP(Table3[[#This Row],[SC enz]],Table2[id],Table2[Abundance in SC (g protein/g all proteins)],"")</f>
        <v/>
      </c>
      <c r="L70" t="str">
        <f>_xlfn.XLOOKUP(Table3[[#This Row],[SC enz]],Table2[id],Table2[Abundance in RT (g protein/g all proteins)],"")</f>
        <v/>
      </c>
      <c r="M70">
        <f>Table3[[#This Row],[log(y)]]-Table3[[#This Row],[log(x)]]/SQRT(2)</f>
        <v>0.65135179828982936</v>
      </c>
      <c r="N70">
        <f>ABS(Table3[[#This Row],[dist from 45-degree (RT - SC)]])</f>
        <v>0.65135179828982936</v>
      </c>
    </row>
    <row r="71" spans="1:14" x14ac:dyDescent="0.2">
      <c r="A71" t="s">
        <v>2954</v>
      </c>
      <c r="B71">
        <v>13858.71111582983</v>
      </c>
      <c r="C71">
        <v>12400.301228266489</v>
      </c>
      <c r="D71">
        <f>LOG(Table3[[#This Row],[scRBA $k_{app}$ ($h^{-1}$)]])</f>
        <v>4.1417228420137953</v>
      </c>
      <c r="E71">
        <f>LOG(Table3[[#This Row],[rtRBA $k_{app}$ ($h^{-1}$)]])</f>
        <v>4.0934322351771506</v>
      </c>
      <c r="F71" t="str">
        <f>_xlfn.TEXTAFTER(Table3[[#This Row],[id]],"-",-1)</f>
        <v>rt1131</v>
      </c>
      <c r="G71" t="str">
        <f>_xlfn.TEXTAFTER(_xlfn.TEXTBEFORE(Table3[[#This Row],[id]],"-"&amp;Table3[[#This Row],[enz]]),"_",-1)</f>
        <v>FWD</v>
      </c>
      <c r="H71" t="str">
        <f>_xlfn.TEXTBEFORE(Table3[[#This Row],[id]],"_"&amp;Table3[[#This Row],[dir]])</f>
        <v>CYSTGL_c</v>
      </c>
      <c r="I71" t="str">
        <f>_xlfn.XLOOKUP(Table3[[#This Row],[rxn]],Table1[id],Table1[subsystem],"")</f>
        <v>Glycine, serine and threonine metabolism</v>
      </c>
      <c r="J71" t="str">
        <f>_xlfn.XLOOKUP(Table3[[#This Row],[enz]],'[1]scRBA (raw)'!$N:$N,'[1]scRBA (raw)'!$K:$K,"")</f>
        <v>YAL012W</v>
      </c>
      <c r="K71">
        <f>_xlfn.XLOOKUP(Table3[[#This Row],[SC enz]],Table2[id],Table2[Abundance in SC (g protein/g all proteins)],"")</f>
        <v>3.4488684822614502E-6</v>
      </c>
      <c r="L71">
        <f>_xlfn.XLOOKUP(Table3[[#This Row],[SC enz]],Table2[id],Table2[Abundance in RT (g protein/g all proteins)],"")</f>
        <v>2.0599999999999999E-4</v>
      </c>
      <c r="M71">
        <f>Table3[[#This Row],[log(y)]]-Table3[[#This Row],[log(x)]]/SQRT(2)</f>
        <v>1.1647919277939764</v>
      </c>
      <c r="N71">
        <f>ABS(Table3[[#This Row],[dist from 45-degree (RT - SC)]])</f>
        <v>1.1647919277939764</v>
      </c>
    </row>
    <row r="72" spans="1:14" x14ac:dyDescent="0.2">
      <c r="A72" t="s">
        <v>2955</v>
      </c>
      <c r="B72">
        <v>9704.6394463412325</v>
      </c>
      <c r="C72">
        <v>8848.9812445919251</v>
      </c>
      <c r="D72">
        <f>LOG(Table3[[#This Row],[scRBA $k_{app}$ ($h^{-1}$)]])</f>
        <v>3.9869794048069984</v>
      </c>
      <c r="E72">
        <f>LOG(Table3[[#This Row],[rtRBA $k_{app}$ ($h^{-1}$)]])</f>
        <v>3.9468932746165244</v>
      </c>
      <c r="F72" t="str">
        <f>_xlfn.TEXTAFTER(Table3[[#This Row],[id]],"-",-1)</f>
        <v>rt1487</v>
      </c>
      <c r="G72" t="str">
        <f>_xlfn.TEXTAFTER(_xlfn.TEXTBEFORE(Table3[[#This Row],[id]],"-"&amp;Table3[[#This Row],[enz]]),"_",-1)</f>
        <v>FWD</v>
      </c>
      <c r="H72" t="str">
        <f>_xlfn.TEXTBEFORE(Table3[[#This Row],[id]],"_"&amp;Table3[[#This Row],[dir]])</f>
        <v>CYSTRS_c</v>
      </c>
      <c r="I72" t="str">
        <f>_xlfn.XLOOKUP(Table3[[#This Row],[rxn]],Table1[id],Table1[subsystem],"")</f>
        <v>Aminoacyl-tRNA biosynthesis</v>
      </c>
      <c r="J72" t="str">
        <f>_xlfn.XLOOKUP(Table3[[#This Row],[enz]],'[1]scRBA (raw)'!$N:$N,'[1]scRBA (raw)'!$K:$K,"")</f>
        <v>YNL247W</v>
      </c>
      <c r="K72">
        <f>_xlfn.XLOOKUP(Table3[[#This Row],[SC enz]],Table2[id],Table2[Abundance in SC (g protein/g all proteins)],"")</f>
        <v>5.0062331346111802E-4</v>
      </c>
      <c r="L72">
        <f>_xlfn.XLOOKUP(Table3[[#This Row],[SC enz]],Table2[id],Table2[Abundance in RT (g protein/g all proteins)],"")</f>
        <v>3.5500000000000001E-4</v>
      </c>
      <c r="M72">
        <f>Table3[[#This Row],[log(y)]]-Table3[[#This Row],[log(x)]]/SQRT(2)</f>
        <v>1.127673101026391</v>
      </c>
      <c r="N72">
        <f>ABS(Table3[[#This Row],[dist from 45-degree (RT - SC)]])</f>
        <v>1.127673101026391</v>
      </c>
    </row>
    <row r="73" spans="1:14" x14ac:dyDescent="0.2">
      <c r="A73" t="s">
        <v>2956</v>
      </c>
      <c r="B73">
        <v>18568.452286400639</v>
      </c>
      <c r="C73">
        <v>13127.32981224449</v>
      </c>
      <c r="D73">
        <f>LOG(Table3[[#This Row],[scRBA $k_{app}$ ($h^{-1}$)]])</f>
        <v>4.2687757060290643</v>
      </c>
      <c r="E73">
        <f>LOG(Table3[[#This Row],[rtRBA $k_{app}$ ($h^{-1}$)]])</f>
        <v>4.1181763966347971</v>
      </c>
      <c r="F73" t="str">
        <f>_xlfn.TEXTAFTER(Table3[[#This Row],[id]],"-",-1)</f>
        <v>rt7344</v>
      </c>
      <c r="G73" t="str">
        <f>_xlfn.TEXTAFTER(_xlfn.TEXTBEFORE(Table3[[#This Row],[id]],"-"&amp;Table3[[#This Row],[enz]]),"_",-1)</f>
        <v>FWD</v>
      </c>
      <c r="H73" t="str">
        <f>_xlfn.TEXTBEFORE(Table3[[#This Row],[id]],"_"&amp;Table3[[#This Row],[dir]])</f>
        <v>CYSTS_c</v>
      </c>
      <c r="I73" t="str">
        <f>_xlfn.XLOOKUP(Table3[[#This Row],[rxn]],Table1[id],Table1[subsystem],"")</f>
        <v>Glycine, serine and threonine metabolism</v>
      </c>
      <c r="J73" t="str">
        <f>_xlfn.XLOOKUP(Table3[[#This Row],[enz]],'[1]scRBA (raw)'!$N:$N,'[1]scRBA (raw)'!$K:$K,"")</f>
        <v>YGR155W</v>
      </c>
      <c r="K73">
        <f>_xlfn.XLOOKUP(Table3[[#This Row],[SC enz]],Table2[id],Table2[Abundance in SC (g protein/g all proteins)],"")</f>
        <v>8.2385992299829299E-6</v>
      </c>
      <c r="L73">
        <f>_xlfn.XLOOKUP(Table3[[#This Row],[SC enz]],Table2[id],Table2[Abundance in RT (g protein/g all proteins)],"")</f>
        <v>4.6300000000000001E-5</v>
      </c>
      <c r="M73">
        <f>Table3[[#This Row],[log(y)]]-Table3[[#This Row],[log(x)]]/SQRT(2)</f>
        <v>1.0996961475372538</v>
      </c>
      <c r="N73">
        <f>ABS(Table3[[#This Row],[dist from 45-degree (RT - SC)]])</f>
        <v>1.0996961475372538</v>
      </c>
    </row>
    <row r="74" spans="1:14" x14ac:dyDescent="0.2">
      <c r="A74" t="s">
        <v>3244</v>
      </c>
      <c r="B74">
        <v>11002.7089090439</v>
      </c>
      <c r="C74">
        <v>8215.3013350562651</v>
      </c>
      <c r="D74">
        <f>LOG(Table3[[#This Row],[scRBA $k_{app}$ ($h^{-1}$)]])</f>
        <v>4.0414996232866667</v>
      </c>
      <c r="E74">
        <f>LOG(Table3[[#This Row],[rtRBA $k_{app}$ ($h^{-1}$)]])</f>
        <v>3.9146234978687078</v>
      </c>
      <c r="F74" t="str">
        <f>_xlfn.TEXTAFTER(Table3[[#This Row],[id]],"-",-1)</f>
        <v>rt2234_c</v>
      </c>
      <c r="G74" t="str">
        <f>_xlfn.TEXTAFTER(_xlfn.TEXTBEFORE(Table3[[#This Row],[id]],"-"&amp;Table3[[#This Row],[enz]]),"_",-1)</f>
        <v>FWD</v>
      </c>
      <c r="H74" t="str">
        <f>_xlfn.TEXTBEFORE(Table3[[#This Row],[id]],"_"&amp;Table3[[#This Row],[dir]])</f>
        <v>DDPA_c</v>
      </c>
      <c r="I74" t="str">
        <f>_xlfn.XLOOKUP(Table3[[#This Row],[rxn]],Table1[id],Table1[subsystem],"")</f>
        <v>Phenylalanine, tyrosine and tryptophan metabolism</v>
      </c>
      <c r="J74" t="str">
        <f>_xlfn.XLOOKUP(Table3[[#This Row],[enz]],'[1]scRBA (raw)'!$N:$N,'[1]scRBA (raw)'!$K:$K,"")</f>
        <v/>
      </c>
      <c r="K74" t="str">
        <f>_xlfn.XLOOKUP(Table3[[#This Row],[SC enz]],Table2[id],Table2[Abundance in SC (g protein/g all proteins)],"")</f>
        <v/>
      </c>
      <c r="L74" t="str">
        <f>_xlfn.XLOOKUP(Table3[[#This Row],[SC enz]],Table2[id],Table2[Abundance in RT (g protein/g all proteins)],"")</f>
        <v/>
      </c>
      <c r="M74">
        <f>Table3[[#This Row],[log(y)]]-Table3[[#This Row],[log(x)]]/SQRT(2)</f>
        <v>1.0568517080798285</v>
      </c>
      <c r="N74">
        <f>ABS(Table3[[#This Row],[dist from 45-degree (RT - SC)]])</f>
        <v>1.0568517080798285</v>
      </c>
    </row>
    <row r="75" spans="1:14" x14ac:dyDescent="0.2">
      <c r="A75" t="s">
        <v>2957</v>
      </c>
      <c r="B75">
        <v>9130.336498101964</v>
      </c>
      <c r="C75">
        <v>147662231754.66849</v>
      </c>
      <c r="D75">
        <f>LOG(Table3[[#This Row],[scRBA $k_{app}$ ($h^{-1}$)]])</f>
        <v>3.9604867837309961</v>
      </c>
      <c r="E75">
        <f>LOG(Table3[[#This Row],[rtRBA $k_{app}$ ($h^{-1}$)]])</f>
        <v>11.169269428026666</v>
      </c>
      <c r="F75" t="str">
        <f>_xlfn.TEXTAFTER(Table3[[#This Row],[id]],"-",-1)</f>
        <v>rt8092_rm</v>
      </c>
      <c r="G75" t="str">
        <f>_xlfn.TEXTAFTER(_xlfn.TEXTBEFORE(Table3[[#This Row],[id]],"-"&amp;Table3[[#This Row],[enz]]),"_",-1)</f>
        <v>FWD</v>
      </c>
      <c r="H75" t="str">
        <f>_xlfn.TEXTBEFORE(Table3[[#This Row],[id]],"_"&amp;Table3[[#This Row],[dir]])</f>
        <v>DGAT_rm</v>
      </c>
      <c r="I75" t="str">
        <f>_xlfn.XLOOKUP(Table3[[#This Row],[rxn]],Table1[id],Table1[subsystem],"")</f>
        <v>Triacylglycerol biosynthesis</v>
      </c>
      <c r="J75" t="str">
        <f>_xlfn.XLOOKUP(Table3[[#This Row],[enz]],'[1]scRBA (raw)'!$N:$N,'[1]scRBA (raw)'!$K:$K,"")</f>
        <v/>
      </c>
      <c r="K75" t="str">
        <f>_xlfn.XLOOKUP(Table3[[#This Row],[SC enz]],Table2[id],Table2[Abundance in SC (g protein/g all proteins)],"")</f>
        <v/>
      </c>
      <c r="L75" t="str">
        <f>_xlfn.XLOOKUP(Table3[[#This Row],[SC enz]],Table2[id],Table2[Abundance in RT (g protein/g all proteins)],"")</f>
        <v/>
      </c>
      <c r="M75">
        <f>Table3[[#This Row],[log(y)]]-Table3[[#This Row],[log(x)]]/SQRT(2)</f>
        <v>8.3687823664507803</v>
      </c>
      <c r="N75">
        <f>ABS(Table3[[#This Row],[dist from 45-degree (RT - SC)]])</f>
        <v>8.3687823664507803</v>
      </c>
    </row>
    <row r="76" spans="1:14" x14ac:dyDescent="0.2">
      <c r="A76" t="s">
        <v>2958</v>
      </c>
      <c r="B76">
        <v>35360.014052341437</v>
      </c>
      <c r="C76">
        <v>41268.490418886293</v>
      </c>
      <c r="D76">
        <f>LOG(Table3[[#This Row],[scRBA $k_{app}$ ($h^{-1}$)]])</f>
        <v>4.5485124289330354</v>
      </c>
      <c r="E76">
        <f>LOG(Table3[[#This Row],[rtRBA $k_{app}$ ($h^{-1}$)]])</f>
        <v>4.6156185828890868</v>
      </c>
      <c r="F76" t="str">
        <f>_xlfn.TEXTAFTER(Table3[[#This Row],[id]],"-",-1)</f>
        <v>rt1321</v>
      </c>
      <c r="G76" t="str">
        <f>_xlfn.TEXTAFTER(_xlfn.TEXTBEFORE(Table3[[#This Row],[id]],"-"&amp;Table3[[#This Row],[enz]]),"_",-1)</f>
        <v>FWD</v>
      </c>
      <c r="H76" t="str">
        <f>_xlfn.TEXTBEFORE(Table3[[#This Row],[id]],"_"&amp;Table3[[#This Row],[dir]])</f>
        <v>DHAD1_m</v>
      </c>
      <c r="I76" t="str">
        <f>_xlfn.XLOOKUP(Table3[[#This Row],[rxn]],Table1[id],Table1[subsystem],"")</f>
        <v>Valine, leucine and isoleucine metabolism</v>
      </c>
      <c r="J76" t="str">
        <f>_xlfn.XLOOKUP(Table3[[#This Row],[enz]],'[1]scRBA (raw)'!$N:$N,'[1]scRBA (raw)'!$K:$K,"")</f>
        <v/>
      </c>
      <c r="K76" t="str">
        <f>_xlfn.XLOOKUP(Table3[[#This Row],[SC enz]],Table2[id],Table2[Abundance in SC (g protein/g all proteins)],"")</f>
        <v/>
      </c>
      <c r="L76" t="str">
        <f>_xlfn.XLOOKUP(Table3[[#This Row],[SC enz]],Table2[id],Table2[Abundance in RT (g protein/g all proteins)],"")</f>
        <v/>
      </c>
      <c r="M76">
        <f>Table3[[#This Row],[log(y)]]-Table3[[#This Row],[log(x)]]/SQRT(2)</f>
        <v>1.3993346000792433</v>
      </c>
      <c r="N76">
        <f>ABS(Table3[[#This Row],[dist from 45-degree (RT - SC)]])</f>
        <v>1.3993346000792433</v>
      </c>
    </row>
    <row r="77" spans="1:14" x14ac:dyDescent="0.2">
      <c r="A77" t="s">
        <v>2959</v>
      </c>
      <c r="B77">
        <v>35360.014052341437</v>
      </c>
      <c r="C77">
        <v>41268.490418886293</v>
      </c>
      <c r="D77">
        <f>LOG(Table3[[#This Row],[scRBA $k_{app}$ ($h^{-1}$)]])</f>
        <v>4.5485124289330354</v>
      </c>
      <c r="E77">
        <f>LOG(Table3[[#This Row],[rtRBA $k_{app}$ ($h^{-1}$)]])</f>
        <v>4.6156185828890868</v>
      </c>
      <c r="F77" t="str">
        <f>_xlfn.TEXTAFTER(Table3[[#This Row],[id]],"-",-1)</f>
        <v>rt1321</v>
      </c>
      <c r="G77" t="str">
        <f>_xlfn.TEXTAFTER(_xlfn.TEXTBEFORE(Table3[[#This Row],[id]],"-"&amp;Table3[[#This Row],[enz]]),"_",-1)</f>
        <v>FWD</v>
      </c>
      <c r="H77" t="str">
        <f>_xlfn.TEXTBEFORE(Table3[[#This Row],[id]],"_"&amp;Table3[[#This Row],[dir]])</f>
        <v>DHAD2_m</v>
      </c>
      <c r="I77" t="str">
        <f>_xlfn.XLOOKUP(Table3[[#This Row],[rxn]],Table1[id],Table1[subsystem],"")</f>
        <v>Valine, leucine and isoleucine metabolism</v>
      </c>
      <c r="J77" t="str">
        <f>_xlfn.XLOOKUP(Table3[[#This Row],[enz]],'[1]scRBA (raw)'!$N:$N,'[1]scRBA (raw)'!$K:$K,"")</f>
        <v/>
      </c>
      <c r="K77" t="str">
        <f>_xlfn.XLOOKUP(Table3[[#This Row],[SC enz]],Table2[id],Table2[Abundance in SC (g protein/g all proteins)],"")</f>
        <v/>
      </c>
      <c r="L77" t="str">
        <f>_xlfn.XLOOKUP(Table3[[#This Row],[SC enz]],Table2[id],Table2[Abundance in RT (g protein/g all proteins)],"")</f>
        <v/>
      </c>
      <c r="M77">
        <f>Table3[[#This Row],[log(y)]]-Table3[[#This Row],[log(x)]]/SQRT(2)</f>
        <v>1.3993346000792433</v>
      </c>
      <c r="N77">
        <f>ABS(Table3[[#This Row],[dist from 45-degree (RT - SC)]])</f>
        <v>1.3993346000792433</v>
      </c>
    </row>
    <row r="78" spans="1:14" x14ac:dyDescent="0.2">
      <c r="A78" t="s">
        <v>2960</v>
      </c>
      <c r="B78">
        <v>4004.75933493307</v>
      </c>
      <c r="C78">
        <v>635.77825866891419</v>
      </c>
      <c r="D78">
        <f>LOG(Table3[[#This Row],[scRBA $k_{app}$ ($h^{-1}$)]])</f>
        <v>3.6025764223800496</v>
      </c>
      <c r="E78">
        <f>LOG(Table3[[#This Row],[rtRBA $k_{app}$ ($h^{-1}$)]])</f>
        <v>2.8033056725225074</v>
      </c>
      <c r="F78" t="str">
        <f>_xlfn.TEXTAFTER(Table3[[#This Row],[id]],"-",-1)</f>
        <v>rt3791_c</v>
      </c>
      <c r="G78" t="str">
        <f>_xlfn.TEXTAFTER(_xlfn.TEXTBEFORE(Table3[[#This Row],[id]],"-"&amp;Table3[[#This Row],[enz]]),"_",-1)</f>
        <v>FWD</v>
      </c>
      <c r="H78" t="str">
        <f>_xlfn.TEXTBEFORE(Table3[[#This Row],[id]],"_"&amp;Table3[[#This Row],[dir]])</f>
        <v>DHFRi_c</v>
      </c>
      <c r="I78" t="str">
        <f>_xlfn.XLOOKUP(Table3[[#This Row],[rxn]],Table1[id],Table1[subsystem],"")</f>
        <v>Folate metabolism</v>
      </c>
      <c r="J78" t="str">
        <f>_xlfn.XLOOKUP(Table3[[#This Row],[enz]],'[1]scRBA (raw)'!$N:$N,'[1]scRBA (raw)'!$K:$K,"")</f>
        <v/>
      </c>
      <c r="K78" t="str">
        <f>_xlfn.XLOOKUP(Table3[[#This Row],[SC enz]],Table2[id],Table2[Abundance in SC (g protein/g all proteins)],"")</f>
        <v/>
      </c>
      <c r="L78" t="str">
        <f>_xlfn.XLOOKUP(Table3[[#This Row],[SC enz]],Table2[id],Table2[Abundance in RT (g protein/g all proteins)],"")</f>
        <v/>
      </c>
      <c r="M78">
        <f>Table3[[#This Row],[log(y)]]-Table3[[#This Row],[log(x)]]/SQRT(2)</f>
        <v>0.25589945451480256</v>
      </c>
      <c r="N78">
        <f>ABS(Table3[[#This Row],[dist from 45-degree (RT - SC)]])</f>
        <v>0.25589945451480256</v>
      </c>
    </row>
    <row r="79" spans="1:14" x14ac:dyDescent="0.2">
      <c r="A79" t="s">
        <v>2961</v>
      </c>
      <c r="B79">
        <v>24522.818524445691</v>
      </c>
      <c r="C79">
        <v>24014.473464660321</v>
      </c>
      <c r="D79">
        <f>LOG(Table3[[#This Row],[scRBA $k_{app}$ ($h^{-1}$)]])</f>
        <v>4.389570384250419</v>
      </c>
      <c r="E79">
        <f>LOG(Table3[[#This Row],[rtRBA $k_{app}$ ($h^{-1}$)]])</f>
        <v>4.3804730688471682</v>
      </c>
      <c r="F79" t="str">
        <f>_xlfn.TEXTAFTER(Table3[[#This Row],[id]],"-",-1)</f>
        <v>rt6498</v>
      </c>
      <c r="G79" t="str">
        <f>_xlfn.TEXTAFTER(_xlfn.TEXTBEFORE(Table3[[#This Row],[id]],"-"&amp;Table3[[#This Row],[enz]]),"_",-1)</f>
        <v>FWD</v>
      </c>
      <c r="H79" t="str">
        <f>_xlfn.TEXTBEFORE(Table3[[#This Row],[id]],"_"&amp;Table3[[#This Row],[dir]])</f>
        <v>DHORDfum_c</v>
      </c>
      <c r="I79" t="str">
        <f>_xlfn.XLOOKUP(Table3[[#This Row],[rxn]],Table1[id],Table1[subsystem],"")</f>
        <v>Pyrimidine metabolism</v>
      </c>
      <c r="J79" t="str">
        <f>_xlfn.XLOOKUP(Table3[[#This Row],[enz]],'[1]scRBA (raw)'!$N:$N,'[1]scRBA (raw)'!$K:$K,"")</f>
        <v>YKL216W</v>
      </c>
      <c r="K79">
        <f>_xlfn.XLOOKUP(Table3[[#This Row],[SC enz]],Table2[id],Table2[Abundance in SC (g protein/g all proteins)],"")</f>
        <v>4.9966164004106501E-5</v>
      </c>
      <c r="L79">
        <f>_xlfn.XLOOKUP(Table3[[#This Row],[SC enz]],Table2[id],Table2[Abundance in RT (g protein/g all proteins)],"")</f>
        <v>4.2500000000000003E-5</v>
      </c>
      <c r="M79">
        <f>Table3[[#This Row],[log(y)]]-Table3[[#This Row],[log(x)]]/SQRT(2)</f>
        <v>1.276578083648058</v>
      </c>
      <c r="N79">
        <f>ABS(Table3[[#This Row],[dist from 45-degree (RT - SC)]])</f>
        <v>1.276578083648058</v>
      </c>
    </row>
    <row r="80" spans="1:14" x14ac:dyDescent="0.2">
      <c r="A80" t="s">
        <v>2962</v>
      </c>
      <c r="B80">
        <v>14983.543302258349</v>
      </c>
      <c r="C80">
        <v>29082.80682186364</v>
      </c>
      <c r="D80">
        <f>LOG(Table3[[#This Row],[scRBA $k_{app}$ ($h^{-1}$)]])</f>
        <v>4.1756145272921819</v>
      </c>
      <c r="E80">
        <f>LOG(Table3[[#This Row],[rtRBA $k_{app}$ ($h^{-1}$)]])</f>
        <v>4.4636363185701535</v>
      </c>
      <c r="F80" t="str">
        <f>_xlfn.TEXTAFTER(Table3[[#This Row],[id]],"-",-1)</f>
        <v>rt3923</v>
      </c>
      <c r="G80" t="str">
        <f>_xlfn.TEXTAFTER(_xlfn.TEXTBEFORE(Table3[[#This Row],[id]],"-"&amp;Table3[[#This Row],[enz]]),"_",-1)</f>
        <v>REV</v>
      </c>
      <c r="H80" t="str">
        <f>_xlfn.TEXTBEFORE(Table3[[#This Row],[id]],"_"&amp;Table3[[#This Row],[dir]])</f>
        <v>DHORTS_c</v>
      </c>
      <c r="I80" t="str">
        <f>_xlfn.XLOOKUP(Table3[[#This Row],[rxn]],Table1[id],Table1[subsystem],"")</f>
        <v>Pyrimidine metabolism</v>
      </c>
      <c r="J80" t="str">
        <f>_xlfn.XLOOKUP(Table3[[#This Row],[enz]],'[1]scRBA (raw)'!$N:$N,'[1]scRBA (raw)'!$K:$K,"")</f>
        <v>YLR420W</v>
      </c>
      <c r="K80">
        <f>_xlfn.XLOOKUP(Table3[[#This Row],[SC enz]],Table2[id],Table2[Abundance in SC (g protein/g all proteins)],"")</f>
        <v>2.2862664439413499E-5</v>
      </c>
      <c r="L80">
        <f>_xlfn.XLOOKUP(Table3[[#This Row],[SC enz]],Table2[id],Table2[Abundance in RT (g protein/g all proteins)],"")</f>
        <v>1.8600000000000001E-5</v>
      </c>
      <c r="M80">
        <f>Table3[[#This Row],[log(y)]]-Table3[[#This Row],[log(x)]]/SQRT(2)</f>
        <v>1.5110309707007916</v>
      </c>
      <c r="N80">
        <f>ABS(Table3[[#This Row],[dist from 45-degree (RT - SC)]])</f>
        <v>1.5110309707007916</v>
      </c>
    </row>
    <row r="81" spans="1:14" x14ac:dyDescent="0.2">
      <c r="A81" t="s">
        <v>2963</v>
      </c>
      <c r="B81">
        <v>265929.8632596141</v>
      </c>
      <c r="C81">
        <v>291580.97068509721</v>
      </c>
      <c r="D81">
        <f>LOG(Table3[[#This Row],[scRBA $k_{app}$ ($h^{-1}$)]])</f>
        <v>5.4247671102560364</v>
      </c>
      <c r="E81">
        <f>LOG(Table3[[#This Row],[rtRBA $k_{app}$ ($h^{-1}$)]])</f>
        <v>5.4647591774095643</v>
      </c>
      <c r="F81" t="str">
        <f>_xlfn.TEXTAFTER(Table3[[#This Row],[id]],"-",-1)</f>
        <v>rt5884</v>
      </c>
      <c r="G81" t="str">
        <f>_xlfn.TEXTAFTER(_xlfn.TEXTBEFORE(Table3[[#This Row],[id]],"-"&amp;Table3[[#This Row],[enz]]),"_",-1)</f>
        <v>FWD</v>
      </c>
      <c r="H81" t="str">
        <f>_xlfn.TEXTBEFORE(Table3[[#This Row],[id]],"_"&amp;Table3[[#This Row],[dir]])</f>
        <v>DHQS_c</v>
      </c>
      <c r="I81" t="str">
        <f>_xlfn.XLOOKUP(Table3[[#This Row],[rxn]],Table1[id],Table1[subsystem],"")</f>
        <v>Phenylalanine, tyrosine and tryptophan metabolism</v>
      </c>
      <c r="J81" t="str">
        <f>_xlfn.XLOOKUP(Table3[[#This Row],[enz]],'[1]scRBA (raw)'!$N:$N,'[1]scRBA (raw)'!$K:$K,"")</f>
        <v>YDR127W</v>
      </c>
      <c r="K81">
        <f>_xlfn.XLOOKUP(Table3[[#This Row],[SC enz]],Table2[id],Table2[Abundance in SC (g protein/g all proteins)],"")</f>
        <v>9.1921827720001497E-5</v>
      </c>
      <c r="L81">
        <f>_xlfn.XLOOKUP(Table3[[#This Row],[SC enz]],Table2[id],Table2[Abundance in RT (g protein/g all proteins)],"")</f>
        <v>2.9200000000000002E-5</v>
      </c>
      <c r="M81">
        <f>Table3[[#This Row],[log(y)]]-Table3[[#This Row],[log(x)]]/SQRT(2)</f>
        <v>1.6288695673897697</v>
      </c>
      <c r="N81">
        <f>ABS(Table3[[#This Row],[dist from 45-degree (RT - SC)]])</f>
        <v>1.6288695673897697</v>
      </c>
    </row>
    <row r="82" spans="1:14" x14ac:dyDescent="0.2">
      <c r="A82" t="s">
        <v>2964</v>
      </c>
      <c r="B82">
        <v>265929.8632596141</v>
      </c>
      <c r="C82">
        <v>291580.97068509721</v>
      </c>
      <c r="D82">
        <f>LOG(Table3[[#This Row],[scRBA $k_{app}$ ($h^{-1}$)]])</f>
        <v>5.4247671102560364</v>
      </c>
      <c r="E82">
        <f>LOG(Table3[[#This Row],[rtRBA $k_{app}$ ($h^{-1}$)]])</f>
        <v>5.4647591774095643</v>
      </c>
      <c r="F82" t="str">
        <f>_xlfn.TEXTAFTER(Table3[[#This Row],[id]],"-",-1)</f>
        <v>rt5884</v>
      </c>
      <c r="G82" t="str">
        <f>_xlfn.TEXTAFTER(_xlfn.TEXTBEFORE(Table3[[#This Row],[id]],"-"&amp;Table3[[#This Row],[enz]]),"_",-1)</f>
        <v>FWD</v>
      </c>
      <c r="H82" t="str">
        <f>_xlfn.TEXTBEFORE(Table3[[#This Row],[id]],"_"&amp;Table3[[#This Row],[dir]])</f>
        <v>DHQTi_c</v>
      </c>
      <c r="I82" t="str">
        <f>_xlfn.XLOOKUP(Table3[[#This Row],[rxn]],Table1[id],Table1[subsystem],"")</f>
        <v>Phenylalanine, tyrosine and tryptophan metabolism</v>
      </c>
      <c r="J82" t="str">
        <f>_xlfn.XLOOKUP(Table3[[#This Row],[enz]],'[1]scRBA (raw)'!$N:$N,'[1]scRBA (raw)'!$K:$K,"")</f>
        <v>YDR127W</v>
      </c>
      <c r="K82">
        <f>_xlfn.XLOOKUP(Table3[[#This Row],[SC enz]],Table2[id],Table2[Abundance in SC (g protein/g all proteins)],"")</f>
        <v>9.1921827720001497E-5</v>
      </c>
      <c r="L82">
        <f>_xlfn.XLOOKUP(Table3[[#This Row],[SC enz]],Table2[id],Table2[Abundance in RT (g protein/g all proteins)],"")</f>
        <v>2.9200000000000002E-5</v>
      </c>
      <c r="M82">
        <f>Table3[[#This Row],[log(y)]]-Table3[[#This Row],[log(x)]]/SQRT(2)</f>
        <v>1.6288695673897697</v>
      </c>
      <c r="N82">
        <f>ABS(Table3[[#This Row],[dist from 45-degree (RT - SC)]])</f>
        <v>1.6288695673897697</v>
      </c>
    </row>
    <row r="83" spans="1:14" x14ac:dyDescent="0.2">
      <c r="A83" t="s">
        <v>2965</v>
      </c>
      <c r="B83">
        <v>5319.1368429251388</v>
      </c>
      <c r="C83">
        <v>18294.139705634021</v>
      </c>
      <c r="D83">
        <f>LOG(Table3[[#This Row],[scRBA $k_{app}$ ($h^{-1}$)]])</f>
        <v>3.7258411633536324</v>
      </c>
      <c r="E83">
        <f>LOG(Table3[[#This Row],[rtRBA $k_{app}$ ($h^{-1}$)]])</f>
        <v>4.2623119913093328</v>
      </c>
      <c r="F83" t="str">
        <f>_xlfn.TEXTAFTER(Table3[[#This Row],[id]],"-",-1)</f>
        <v>rt4576</v>
      </c>
      <c r="G83" t="str">
        <f>_xlfn.TEXTAFTER(_xlfn.TEXTBEFORE(Table3[[#This Row],[id]],"-"&amp;Table3[[#This Row],[enz]]),"_",-1)</f>
        <v>FWD</v>
      </c>
      <c r="H83" t="str">
        <f>_xlfn.TEXTBEFORE(Table3[[#This Row],[id]],"_"&amp;Table3[[#This Row],[dir]])</f>
        <v>DMATT_c</v>
      </c>
      <c r="I83" t="str">
        <f>_xlfn.XLOOKUP(Table3[[#This Row],[rxn]],Table1[id],Table1[subsystem],"")</f>
        <v>Terpenoid backbone biosynthesis</v>
      </c>
      <c r="J83" t="str">
        <f>_xlfn.XLOOKUP(Table3[[#This Row],[enz]],'[1]scRBA (raw)'!$N:$N,'[1]scRBA (raw)'!$K:$K,"")</f>
        <v>YJL167W</v>
      </c>
      <c r="K83">
        <f>_xlfn.XLOOKUP(Table3[[#This Row],[SC enz]],Table2[id],Table2[Abundance in SC (g protein/g all proteins)],"")</f>
        <v>1.03072081711946E-6</v>
      </c>
      <c r="L83">
        <f>_xlfn.XLOOKUP(Table3[[#This Row],[SC enz]],Table2[id],Table2[Abundance in RT (g protein/g all proteins)],"")</f>
        <v>4.7100000000000001E-4</v>
      </c>
      <c r="M83">
        <f>Table3[[#This Row],[log(y)]]-Table3[[#This Row],[log(x)]]/SQRT(2)</f>
        <v>1.6277444390780045</v>
      </c>
      <c r="N83">
        <f>ABS(Table3[[#This Row],[dist from 45-degree (RT - SC)]])</f>
        <v>1.6277444390780045</v>
      </c>
    </row>
    <row r="84" spans="1:14" x14ac:dyDescent="0.2">
      <c r="A84" t="s">
        <v>2966</v>
      </c>
      <c r="B84">
        <v>160143.4252464789</v>
      </c>
      <c r="C84">
        <v>253892.4401577618</v>
      </c>
      <c r="D84">
        <f>LOG(Table3[[#This Row],[scRBA $k_{app}$ ($h^{-1}$)]])</f>
        <v>5.2045091132290775</v>
      </c>
      <c r="E84">
        <f>LOG(Table3[[#This Row],[rtRBA $k_{app}$ ($h^{-1}$)]])</f>
        <v>5.4046497696147719</v>
      </c>
      <c r="F84" t="str">
        <f>_xlfn.TEXTAFTER(Table3[[#This Row],[id]],"-",-1)</f>
        <v>PMT12</v>
      </c>
      <c r="G84" t="str">
        <f>_xlfn.TEXTAFTER(_xlfn.TEXTBEFORE(Table3[[#This Row],[id]],"-"&amp;Table3[[#This Row],[enz]]),"_",-1)</f>
        <v>FWD</v>
      </c>
      <c r="H84" t="str">
        <f>_xlfn.TEXTBEFORE(Table3[[#This Row],[id]],"_"&amp;Table3[[#This Row],[dir]])</f>
        <v>DOLPMMT_r</v>
      </c>
      <c r="I84" t="str">
        <f>_xlfn.XLOOKUP(Table3[[#This Row],[rxn]],Table1[id],Table1[subsystem],"")</f>
        <v>O-Glycan biosynthesis</v>
      </c>
      <c r="J84" t="str">
        <f>_xlfn.XLOOKUP(Table3[[#This Row],[enz]],'[1]scRBA (raw)'!$N:$N,'[1]scRBA (raw)'!$K:$K,"")</f>
        <v/>
      </c>
      <c r="K84" t="str">
        <f>_xlfn.XLOOKUP(Table3[[#This Row],[SC enz]],Table2[id],Table2[Abundance in SC (g protein/g all proteins)],"")</f>
        <v/>
      </c>
      <c r="L84" t="str">
        <f>_xlfn.XLOOKUP(Table3[[#This Row],[SC enz]],Table2[id],Table2[Abundance in RT (g protein/g all proteins)],"")</f>
        <v/>
      </c>
      <c r="M84">
        <f>Table3[[#This Row],[log(y)]]-Table3[[#This Row],[log(x)]]/SQRT(2)</f>
        <v>1.7245060829033063</v>
      </c>
      <c r="N84">
        <f>ABS(Table3[[#This Row],[dist from 45-degree (RT - SC)]])</f>
        <v>1.7245060829033063</v>
      </c>
    </row>
    <row r="85" spans="1:14" x14ac:dyDescent="0.2">
      <c r="A85" t="s">
        <v>2967</v>
      </c>
      <c r="B85">
        <v>18763.258837234371</v>
      </c>
      <c r="C85">
        <v>519914.59357704048</v>
      </c>
      <c r="D85">
        <f>LOG(Table3[[#This Row],[scRBA $k_{app}$ ($h^{-1}$)]])</f>
        <v>4.2733082696568871</v>
      </c>
      <c r="E85">
        <f>LOG(Table3[[#This Row],[rtRBA $k_{app}$ ($h^{-1}$)]])</f>
        <v>5.7159320078952627</v>
      </c>
      <c r="F85" t="str">
        <f>_xlfn.TEXTAFTER(Table3[[#This Row],[id]],"-",-1)</f>
        <v>rt5116</v>
      </c>
      <c r="G85" t="str">
        <f>_xlfn.TEXTAFTER(_xlfn.TEXTBEFORE(Table3[[#This Row],[id]],"-"&amp;Table3[[#This Row],[enz]]),"_",-1)</f>
        <v>FWD</v>
      </c>
      <c r="H85" t="str">
        <f>_xlfn.TEXTBEFORE(Table3[[#This Row],[id]],"_"&amp;Table3[[#This Row],[dir]])</f>
        <v>DOLPMT_c</v>
      </c>
      <c r="I85" t="str">
        <f>_xlfn.XLOOKUP(Table3[[#This Row],[rxn]],Table1[id],Table1[subsystem],"")</f>
        <v>N-Glycan biosynthesis</v>
      </c>
      <c r="J85" t="str">
        <f>_xlfn.XLOOKUP(Table3[[#This Row],[enz]],'[1]scRBA (raw)'!$N:$N,'[1]scRBA (raw)'!$K:$K,"")</f>
        <v>YPR183W</v>
      </c>
      <c r="K85" t="str">
        <f>_xlfn.XLOOKUP(Table3[[#This Row],[SC enz]],Table2[id],Table2[Abundance in SC (g protein/g all proteins)],"")</f>
        <v/>
      </c>
      <c r="L85" t="str">
        <f>_xlfn.XLOOKUP(Table3[[#This Row],[SC enz]],Table2[id],Table2[Abundance in RT (g protein/g all proteins)],"")</f>
        <v/>
      </c>
      <c r="M85">
        <f>Table3[[#This Row],[log(y)]]-Table3[[#This Row],[log(x)]]/SQRT(2)</f>
        <v>2.6942467523203262</v>
      </c>
      <c r="N85">
        <f>ABS(Table3[[#This Row],[dist from 45-degree (RT - SC)]])</f>
        <v>2.6942467523203262</v>
      </c>
    </row>
    <row r="86" spans="1:14" x14ac:dyDescent="0.2">
      <c r="A86" t="s">
        <v>2968</v>
      </c>
      <c r="B86">
        <v>15690.085354906631</v>
      </c>
      <c r="C86">
        <v>36238.628164532573</v>
      </c>
      <c r="D86">
        <f>LOG(Table3[[#This Row],[scRBA $k_{app}$ ($h^{-1}$)]])</f>
        <v>4.195625306178659</v>
      </c>
      <c r="E86">
        <f>LOG(Table3[[#This Row],[rtRBA $k_{app}$ ($h^{-1}$)]])</f>
        <v>4.5591717488323074</v>
      </c>
      <c r="F86" t="str">
        <f>_xlfn.TEXTAFTER(Table3[[#This Row],[id]],"-",-1)</f>
        <v>rt3542</v>
      </c>
      <c r="G86" t="str">
        <f>_xlfn.TEXTAFTER(_xlfn.TEXTBEFORE(Table3[[#This Row],[id]],"-"&amp;Table3[[#This Row],[enz]]),"_",-1)</f>
        <v>FWD</v>
      </c>
      <c r="H86" t="str">
        <f>_xlfn.TEXTBEFORE(Table3[[#This Row],[id]],"_"&amp;Table3[[#This Row],[dir]])</f>
        <v>DPMVD_c</v>
      </c>
      <c r="I86" t="str">
        <f>_xlfn.XLOOKUP(Table3[[#This Row],[rxn]],Table1[id],Table1[subsystem],"")</f>
        <v>Terpenoid backbone biosynthesis</v>
      </c>
      <c r="J86" t="str">
        <f>_xlfn.XLOOKUP(Table3[[#This Row],[enz]],'[1]scRBA (raw)'!$N:$N,'[1]scRBA (raw)'!$K:$K,"")</f>
        <v>YNR043W</v>
      </c>
      <c r="K86">
        <f>_xlfn.XLOOKUP(Table3[[#This Row],[SC enz]],Table2[id],Table2[Abundance in SC (g protein/g all proteins)],"")</f>
        <v>1.24016624772744E-5</v>
      </c>
      <c r="L86">
        <f>_xlfn.XLOOKUP(Table3[[#This Row],[SC enz]],Table2[id],Table2[Abundance in RT (g protein/g all proteins)],"")</f>
        <v>4.1399999999999998E-4</v>
      </c>
      <c r="M86">
        <f>Table3[[#This Row],[log(y)]]-Table3[[#This Row],[log(x)]]/SQRT(2)</f>
        <v>1.5924166435154929</v>
      </c>
      <c r="N86">
        <f>ABS(Table3[[#This Row],[dist from 45-degree (RT - SC)]])</f>
        <v>1.5924166435154929</v>
      </c>
    </row>
    <row r="87" spans="1:14" x14ac:dyDescent="0.2">
      <c r="A87" t="s">
        <v>2969</v>
      </c>
      <c r="B87">
        <v>6577.992056542359</v>
      </c>
      <c r="C87">
        <v>2892.524838725803</v>
      </c>
      <c r="D87">
        <f>LOG(Table3[[#This Row],[scRBA $k_{app}$ ($h^{-1}$)]])</f>
        <v>3.8180933447012264</v>
      </c>
      <c r="E87">
        <f>LOG(Table3[[#This Row],[rtRBA $k_{app}$ ($h^{-1}$)]])</f>
        <v>3.461277097018856</v>
      </c>
      <c r="F87" t="str">
        <f>_xlfn.TEXTAFTER(Table3[[#This Row],[id]],"-",-1)</f>
        <v>rt6884</v>
      </c>
      <c r="G87" t="str">
        <f>_xlfn.TEXTAFTER(_xlfn.TEXTBEFORE(Table3[[#This Row],[id]],"-"&amp;Table3[[#This Row],[enz]]),"_",-1)</f>
        <v>FWD</v>
      </c>
      <c r="H87" t="str">
        <f>_xlfn.TEXTBEFORE(Table3[[#This Row],[id]],"_"&amp;Table3[[#This Row],[dir]])</f>
        <v>DTMPK_c</v>
      </c>
      <c r="I87" t="str">
        <f>_xlfn.XLOOKUP(Table3[[#This Row],[rxn]],Table1[id],Table1[subsystem],"")</f>
        <v>Pyrimidine metabolism</v>
      </c>
      <c r="J87" t="str">
        <f>_xlfn.XLOOKUP(Table3[[#This Row],[enz]],'[1]scRBA (raw)'!$N:$N,'[1]scRBA (raw)'!$K:$K,"")</f>
        <v>YJR057W</v>
      </c>
      <c r="K87">
        <f>_xlfn.XLOOKUP(Table3[[#This Row],[SC enz]],Table2[id],Table2[Abundance in SC (g protein/g all proteins)],"")</f>
        <v>5.8072378102874303E-6</v>
      </c>
      <c r="L87">
        <f>_xlfn.XLOOKUP(Table3[[#This Row],[SC enz]],Table2[id],Table2[Abundance in RT (g protein/g all proteins)],"")</f>
        <v>1.26E-5</v>
      </c>
      <c r="M87">
        <f>Table3[[#This Row],[log(y)]]-Table3[[#This Row],[log(x)]]/SQRT(2)</f>
        <v>0.76147740177739287</v>
      </c>
      <c r="N87">
        <f>ABS(Table3[[#This Row],[dist from 45-degree (RT - SC)]])</f>
        <v>0.76147740177739287</v>
      </c>
    </row>
    <row r="88" spans="1:14" x14ac:dyDescent="0.2">
      <c r="A88" t="s">
        <v>3245</v>
      </c>
      <c r="B88">
        <v>741.9963280351102</v>
      </c>
      <c r="C88">
        <v>622.40437176497323</v>
      </c>
      <c r="D88">
        <f>LOG(Table3[[#This Row],[scRBA $k_{app}$ ($h^{-1}$)]])</f>
        <v>2.8704017560633459</v>
      </c>
      <c r="E88">
        <f>LOG(Table3[[#This Row],[rtRBA $k_{app}$ ($h^{-1}$)]])</f>
        <v>2.7940726344744604</v>
      </c>
      <c r="F88" t="str">
        <f>_xlfn.TEXTAFTER(Table3[[#This Row],[id]],"-",-1)</f>
        <v>rt5532</v>
      </c>
      <c r="G88" t="str">
        <f>_xlfn.TEXTAFTER(_xlfn.TEXTBEFORE(Table3[[#This Row],[id]],"-"&amp;Table3[[#This Row],[enz]]),"_",-1)</f>
        <v>FWD</v>
      </c>
      <c r="H88" t="str">
        <f>_xlfn.TEXTBEFORE(Table3[[#This Row],[id]],"_"&amp;Table3[[#This Row],[dir]])</f>
        <v>DUTPDP_c</v>
      </c>
      <c r="I88" t="str">
        <f>_xlfn.XLOOKUP(Table3[[#This Row],[rxn]],Table1[id],Table1[subsystem],"")</f>
        <v>Pyrimidine metabolism</v>
      </c>
      <c r="J88" t="str">
        <f>_xlfn.XLOOKUP(Table3[[#This Row],[enz]],'[1]scRBA (raw)'!$N:$N,'[1]scRBA (raw)'!$K:$K,"")</f>
        <v>YJR069C</v>
      </c>
      <c r="K88" t="str">
        <f>_xlfn.XLOOKUP(Table3[[#This Row],[SC enz]],Table2[id],Table2[Abundance in SC (g protein/g all proteins)],"")</f>
        <v/>
      </c>
      <c r="L88" t="str">
        <f>_xlfn.XLOOKUP(Table3[[#This Row],[SC enz]],Table2[id],Table2[Abundance in RT (g protein/g all proteins)],"")</f>
        <v/>
      </c>
      <c r="M88">
        <f>Table3[[#This Row],[log(y)]]-Table3[[#This Row],[log(x)]]/SQRT(2)</f>
        <v>0.7643920880322943</v>
      </c>
      <c r="N88">
        <f>ABS(Table3[[#This Row],[dist from 45-degree (RT - SC)]])</f>
        <v>0.7643920880322943</v>
      </c>
    </row>
    <row r="89" spans="1:14" x14ac:dyDescent="0.2">
      <c r="A89" t="s">
        <v>3296</v>
      </c>
      <c r="B89">
        <v>8558443.340694841</v>
      </c>
      <c r="C89">
        <v>0.13253155059484881</v>
      </c>
      <c r="D89">
        <f>LOG(Table3[[#This Row],[scRBA $k_{app}$ ($h^{-1}$)]])</f>
        <v>6.9323947798612044</v>
      </c>
      <c r="E89">
        <f>LOG(Table3[[#This Row],[rtRBA $k_{app}$ ($h^{-1}$)]])</f>
        <v>-0.87768072083563742</v>
      </c>
      <c r="F89" t="str">
        <f>_xlfn.TEXTAFTER(Table3[[#This Row],[id]],"-",-1)</f>
        <v>rt8147</v>
      </c>
      <c r="G89" t="str">
        <f>_xlfn.TEXTAFTER(_xlfn.TEXTBEFORE(Table3[[#This Row],[id]],"-"&amp;Table3[[#This Row],[enz]]),"_",-1)</f>
        <v>FWD</v>
      </c>
      <c r="H89" t="str">
        <f>_xlfn.TEXTBEFORE(Table3[[#This Row],[id]],"_"&amp;Table3[[#This Row],[dir]])</f>
        <v>ECOAH100_x</v>
      </c>
      <c r="I89" t="str">
        <f>_xlfn.XLOOKUP(Table3[[#This Row],[rxn]],Table1[id],Table1[subsystem],"")</f>
        <v>Fatty acid degradation</v>
      </c>
      <c r="J89" t="str">
        <f>_xlfn.XLOOKUP(Table3[[#This Row],[enz]],'[1]scRBA (raw)'!$N:$N,'[1]scRBA (raw)'!$K:$K,"")</f>
        <v/>
      </c>
      <c r="K89" t="str">
        <f>_xlfn.XLOOKUP(Table3[[#This Row],[SC enz]],Table2[id],Table2[Abundance in SC (g protein/g all proteins)],"")</f>
        <v/>
      </c>
      <c r="L89" t="str">
        <f>_xlfn.XLOOKUP(Table3[[#This Row],[SC enz]],Table2[id],Table2[Abundance in RT (g protein/g all proteins)],"")</f>
        <v/>
      </c>
      <c r="M89">
        <f>Table3[[#This Row],[log(y)]]-Table3[[#This Row],[log(x)]]/SQRT(2)</f>
        <v>-5.7796240795377178</v>
      </c>
      <c r="N89">
        <f>ABS(Table3[[#This Row],[dist from 45-degree (RT - SC)]])</f>
        <v>5.7796240795377178</v>
      </c>
    </row>
    <row r="90" spans="1:14" x14ac:dyDescent="0.2">
      <c r="A90" t="s">
        <v>2970</v>
      </c>
      <c r="B90">
        <v>262690.10943938402</v>
      </c>
      <c r="C90">
        <v>11711.641638537891</v>
      </c>
      <c r="D90">
        <f>LOG(Table3[[#This Row],[scRBA $k_{app}$ ($h^{-1}$)]])</f>
        <v>5.419443721447049</v>
      </c>
      <c r="E90">
        <f>LOG(Table3[[#This Row],[rtRBA $k_{app}$ ($h^{-1}$)]])</f>
        <v>4.0686177750542578</v>
      </c>
      <c r="F90" t="str">
        <f>_xlfn.TEXTAFTER(Table3[[#This Row],[id]],"-",-1)</f>
        <v>rt7873</v>
      </c>
      <c r="G90" t="str">
        <f>_xlfn.TEXTAFTER(_xlfn.TEXTBEFORE(Table3[[#This Row],[id]],"-"&amp;Table3[[#This Row],[enz]]),"_",-1)</f>
        <v>FWD</v>
      </c>
      <c r="H90" t="str">
        <f>_xlfn.TEXTBEFORE(Table3[[#This Row],[id]],"_"&amp;Table3[[#This Row],[dir]])</f>
        <v>ECOAR260_rm</v>
      </c>
      <c r="I90" t="str">
        <f>_xlfn.XLOOKUP(Table3[[#This Row],[rxn]],Table1[id],Table1[subsystem],"")</f>
        <v>Fatty acid elongation</v>
      </c>
      <c r="J90" t="str">
        <f>_xlfn.XLOOKUP(Table3[[#This Row],[enz]],'[1]scRBA (raw)'!$N:$N,'[1]scRBA (raw)'!$K:$K,"")</f>
        <v>YDL015C</v>
      </c>
      <c r="K90">
        <f>_xlfn.XLOOKUP(Table3[[#This Row],[SC enz]],Table2[id],Table2[Abundance in SC (g protein/g all proteins)],"")</f>
        <v>5.2948199401197501E-5</v>
      </c>
      <c r="L90">
        <f>_xlfn.XLOOKUP(Table3[[#This Row],[SC enz]],Table2[id],Table2[Abundance in RT (g protein/g all proteins)],"")</f>
        <v>3.0400000000000002E-4</v>
      </c>
      <c r="M90">
        <f>Table3[[#This Row],[log(y)]]-Table3[[#This Row],[log(x)]]/SQRT(2)</f>
        <v>0.23649236936019058</v>
      </c>
      <c r="N90">
        <f>ABS(Table3[[#This Row],[dist from 45-degree (RT - SC)]])</f>
        <v>0.23649236936019058</v>
      </c>
    </row>
    <row r="91" spans="1:14" x14ac:dyDescent="0.2">
      <c r="A91" t="s">
        <v>2971</v>
      </c>
      <c r="B91">
        <v>496701.10520725738</v>
      </c>
      <c r="C91">
        <v>104673.84753843441</v>
      </c>
      <c r="D91">
        <f>LOG(Table3[[#This Row],[scRBA $k_{app}$ ($h^{-1}$)]])</f>
        <v>5.6960951263428763</v>
      </c>
      <c r="E91">
        <f>LOG(Table3[[#This Row],[rtRBA $k_{app}$ ($h^{-1}$)]])</f>
        <v>5.0198381879969549</v>
      </c>
      <c r="F91" t="str">
        <f>_xlfn.TEXTAFTER(Table3[[#This Row],[id]],"-",-1)</f>
        <v>rt0669</v>
      </c>
      <c r="G91" t="str">
        <f>_xlfn.TEXTAFTER(_xlfn.TEXTBEFORE(Table3[[#This Row],[id]],"-"&amp;Table3[[#This Row],[enz]]),"_",-1)</f>
        <v>FWD</v>
      </c>
      <c r="H91" t="str">
        <f>_xlfn.TEXTBEFORE(Table3[[#This Row],[id]],"_"&amp;Table3[[#This Row],[dir]])</f>
        <v>ENO_c</v>
      </c>
      <c r="I91" t="str">
        <f>_xlfn.XLOOKUP(Table3[[#This Row],[rxn]],Table1[id],Table1[subsystem],"")</f>
        <v>Glycolysis / Gluconeogenesis</v>
      </c>
      <c r="J91" t="str">
        <f>_xlfn.XLOOKUP(Table3[[#This Row],[enz]],'[1]scRBA (raw)'!$N:$N,'[1]scRBA (raw)'!$K:$K,"")</f>
        <v>YGR254W</v>
      </c>
      <c r="K91">
        <f>_xlfn.XLOOKUP(Table3[[#This Row],[SC enz]],Table2[id],Table2[Abundance in SC (g protein/g all proteins)],"")</f>
        <v>5.4594011492852202E-5</v>
      </c>
      <c r="L91">
        <f>_xlfn.XLOOKUP(Table3[[#This Row],[SC enz]],Table2[id],Table2[Abundance in RT (g protein/g all proteins)],"")</f>
        <v>8.1499999999999999E-6</v>
      </c>
      <c r="M91">
        <f>Table3[[#This Row],[log(y)]]-Table3[[#This Row],[log(x)]]/SQRT(2)</f>
        <v>0.99209069787626358</v>
      </c>
      <c r="N91">
        <f>ABS(Table3[[#This Row],[dist from 45-degree (RT - SC)]])</f>
        <v>0.99209069787626358</v>
      </c>
    </row>
    <row r="92" spans="1:14" x14ac:dyDescent="0.2">
      <c r="A92" t="s">
        <v>2972</v>
      </c>
      <c r="B92">
        <v>401434.67002229037</v>
      </c>
      <c r="C92">
        <v>91350.284826540024</v>
      </c>
      <c r="D92">
        <f>LOG(Table3[[#This Row],[scRBA $k_{app}$ ($h^{-1}$)]])</f>
        <v>5.6036148777407755</v>
      </c>
      <c r="E92">
        <f>LOG(Table3[[#This Row],[rtRBA $k_{app}$ ($h^{-1}$)]])</f>
        <v>4.9607099058035189</v>
      </c>
      <c r="F92" t="str">
        <f>_xlfn.TEXTAFTER(Table3[[#This Row],[id]],"-",-1)</f>
        <v>rt7052</v>
      </c>
      <c r="G92" t="str">
        <f>_xlfn.TEXTAFTER(_xlfn.TEXTBEFORE(Table3[[#This Row],[id]],"-"&amp;Table3[[#This Row],[enz]]),"_",-1)</f>
        <v>FWD</v>
      </c>
      <c r="H92" t="str">
        <f>_xlfn.TEXTBEFORE(Table3[[#This Row],[id]],"_"&amp;Table3[[#This Row],[dir]])</f>
        <v>FBA_c</v>
      </c>
      <c r="I92" t="str">
        <f>_xlfn.XLOOKUP(Table3[[#This Row],[rxn]],Table1[id],Table1[subsystem],"")</f>
        <v>Glycolysis / Gluconeogenesis</v>
      </c>
      <c r="J92" t="str">
        <f>_xlfn.XLOOKUP(Table3[[#This Row],[enz]],'[1]scRBA (raw)'!$N:$N,'[1]scRBA (raw)'!$K:$K,"")</f>
        <v>YKL060C</v>
      </c>
      <c r="K92">
        <f>_xlfn.XLOOKUP(Table3[[#This Row],[SC enz]],Table2[id],Table2[Abundance in SC (g protein/g all proteins)],"")</f>
        <v>1.31373031673407E-5</v>
      </c>
      <c r="L92">
        <f>_xlfn.XLOOKUP(Table3[[#This Row],[SC enz]],Table2[id],Table2[Abundance in RT (g protein/g all proteins)],"")</f>
        <v>2.8600000000000001E-5</v>
      </c>
      <c r="M92">
        <f>Table3[[#This Row],[log(y)]]-Table3[[#This Row],[log(x)]]/SQRT(2)</f>
        <v>0.99835582659519018</v>
      </c>
      <c r="N92">
        <f>ABS(Table3[[#This Row],[dist from 45-degree (RT - SC)]])</f>
        <v>0.99835582659519018</v>
      </c>
    </row>
    <row r="93" spans="1:14" x14ac:dyDescent="0.2">
      <c r="A93" t="s">
        <v>3297</v>
      </c>
      <c r="B93">
        <v>8.820442001467093</v>
      </c>
      <c r="C93">
        <v>17.81859782622487</v>
      </c>
      <c r="D93">
        <f>LOG(Table3[[#This Row],[scRBA $k_{app}$ ($h^{-1}$)]])</f>
        <v>0.94549034862257308</v>
      </c>
      <c r="E93">
        <f>LOG(Table3[[#This Row],[rtRBA $k_{app}$ ($h^{-1}$)]])</f>
        <v>1.250873525722604</v>
      </c>
      <c r="F93" t="str">
        <f>_xlfn.TEXTAFTER(Table3[[#This Row],[id]],"-",-1)</f>
        <v>rt7907</v>
      </c>
      <c r="G93" t="str">
        <f>_xlfn.TEXTAFTER(_xlfn.TEXTBEFORE(Table3[[#This Row],[id]],"-"&amp;Table3[[#This Row],[enz]]),"_",-1)</f>
        <v>FWD</v>
      </c>
      <c r="H93" t="str">
        <f>_xlfn.TEXTBEFORE(Table3[[#This Row],[id]],"_"&amp;Table3[[#This Row],[dir]])</f>
        <v>FCLT_m</v>
      </c>
      <c r="I93" t="str">
        <f>_xlfn.XLOOKUP(Table3[[#This Row],[rxn]],Table1[id],Table1[subsystem],"")</f>
        <v>Heme metabolism</v>
      </c>
      <c r="J93" t="str">
        <f>_xlfn.XLOOKUP(Table3[[#This Row],[enz]],'[1]scRBA (raw)'!$N:$N,'[1]scRBA (raw)'!$K:$K,"")</f>
        <v/>
      </c>
      <c r="K93" t="str">
        <f>_xlfn.XLOOKUP(Table3[[#This Row],[SC enz]],Table2[id],Table2[Abundance in SC (g protein/g all proteins)],"")</f>
        <v/>
      </c>
      <c r="L93" t="str">
        <f>_xlfn.XLOOKUP(Table3[[#This Row],[SC enz]],Table2[id],Table2[Abundance in RT (g protein/g all proteins)],"")</f>
        <v/>
      </c>
      <c r="M93">
        <f>Table3[[#This Row],[log(y)]]-Table3[[#This Row],[log(x)]]/SQRT(2)</f>
        <v>0.5823108886651498</v>
      </c>
      <c r="N93">
        <f>ABS(Table3[[#This Row],[dist from 45-degree (RT - SC)]])</f>
        <v>0.5823108886651498</v>
      </c>
    </row>
    <row r="94" spans="1:14" x14ac:dyDescent="0.2">
      <c r="A94" t="s">
        <v>3246</v>
      </c>
      <c r="B94">
        <v>385395324.39158553</v>
      </c>
      <c r="C94">
        <v>70917624981111.312</v>
      </c>
      <c r="D94">
        <f>LOG(Table3[[#This Row],[scRBA $k_{app}$ ($h^{-1}$)]])</f>
        <v>8.5859064414993735</v>
      </c>
      <c r="E94">
        <f>LOG(Table3[[#This Row],[rtRBA $k_{app}$ ($h^{-1}$)]])</f>
        <v>13.850754182725986</v>
      </c>
      <c r="F94" t="str">
        <f>_xlfn.TEXTAFTER(Table3[[#This Row],[id]],"-",-1)</f>
        <v>rt3584</v>
      </c>
      <c r="G94" t="str">
        <f>_xlfn.TEXTAFTER(_xlfn.TEXTBEFORE(Table3[[#This Row],[id]],"-"&amp;Table3[[#This Row],[enz]]),"_",-1)</f>
        <v>FWD</v>
      </c>
      <c r="H94" t="str">
        <f>_xlfn.TEXTBEFORE(Table3[[#This Row],[id]],"_"&amp;Table3[[#This Row],[dir]])</f>
        <v>FDH_c</v>
      </c>
      <c r="I94" t="str">
        <f>_xlfn.XLOOKUP(Table3[[#This Row],[rxn]],Table1[id],Table1[subsystem],"")</f>
        <v>Detoxification</v>
      </c>
      <c r="J94" t="str">
        <f>_xlfn.XLOOKUP(Table3[[#This Row],[enz]],'[1]scRBA (raw)'!$N:$N,'[1]scRBA (raw)'!$K:$K,"")</f>
        <v>YOR388C</v>
      </c>
      <c r="K94">
        <f>_xlfn.XLOOKUP(Table3[[#This Row],[SC enz]],Table2[id],Table2[Abundance in SC (g protein/g all proteins)],"")</f>
        <v>2.1768648996704501E-5</v>
      </c>
      <c r="L94">
        <f>_xlfn.XLOOKUP(Table3[[#This Row],[SC enz]],Table2[id],Table2[Abundance in RT (g protein/g all proteins)],"")</f>
        <v>3.3599999999999997E-5</v>
      </c>
      <c r="M94">
        <f>Table3[[#This Row],[log(y)]]-Table3[[#This Row],[log(x)]]/SQRT(2)</f>
        <v>7.7796015153085198</v>
      </c>
      <c r="N94">
        <f>ABS(Table3[[#This Row],[dist from 45-degree (RT - SC)]])</f>
        <v>7.7796015153085198</v>
      </c>
    </row>
    <row r="95" spans="1:14" x14ac:dyDescent="0.2">
      <c r="A95" t="s">
        <v>2973</v>
      </c>
      <c r="B95">
        <v>339.56599393635099</v>
      </c>
      <c r="C95">
        <v>54.314494469296783</v>
      </c>
      <c r="D95">
        <f>LOG(Table3[[#This Row],[scRBA $k_{app}$ ($h^{-1}$)]])</f>
        <v>2.5309241910381184</v>
      </c>
      <c r="E95">
        <f>LOG(Table3[[#This Row],[rtRBA $k_{app}$ ($h^{-1}$)]])</f>
        <v>1.7349157417072403</v>
      </c>
      <c r="F95" t="str">
        <f>_xlfn.TEXTAFTER(Table3[[#This Row],[id]],"-",-1)</f>
        <v>rt0996</v>
      </c>
      <c r="G95" t="str">
        <f>_xlfn.TEXTAFTER(_xlfn.TEXTBEFORE(Table3[[#This Row],[id]],"-"&amp;Table3[[#This Row],[enz]]),"_",-1)</f>
        <v>FWD</v>
      </c>
      <c r="H95" t="str">
        <f>_xlfn.TEXTBEFORE(Table3[[#This Row],[id]],"_"&amp;Table3[[#This Row],[dir]])</f>
        <v>FE2t_c_e</v>
      </c>
      <c r="I95" t="str">
        <f>_xlfn.XLOOKUP(Table3[[#This Row],[rxn]],Table1[id],Table1[subsystem],"")</f>
        <v>Transport</v>
      </c>
      <c r="J95" t="str">
        <f>_xlfn.XLOOKUP(Table3[[#This Row],[enz]],'[1]scRBA (raw)'!$N:$N,'[1]scRBA (raw)'!$K:$K,"")</f>
        <v>YMR058W</v>
      </c>
      <c r="K95" t="str">
        <f>_xlfn.XLOOKUP(Table3[[#This Row],[SC enz]],Table2[id],Table2[Abundance in SC (g protein/g all proteins)],"")</f>
        <v/>
      </c>
      <c r="L95" t="str">
        <f>_xlfn.XLOOKUP(Table3[[#This Row],[SC enz]],Table2[id],Table2[Abundance in RT (g protein/g all proteins)],"")</f>
        <v/>
      </c>
      <c r="M95">
        <f>Table3[[#This Row],[log(y)]]-Table3[[#This Row],[log(x)]]/SQRT(2)</f>
        <v>-5.4717916444890102E-2</v>
      </c>
      <c r="N95">
        <f>ABS(Table3[[#This Row],[dist from 45-degree (RT - SC)]])</f>
        <v>5.4717916444890102E-2</v>
      </c>
    </row>
    <row r="96" spans="1:14" x14ac:dyDescent="0.2">
      <c r="A96" t="s">
        <v>2974</v>
      </c>
      <c r="B96">
        <v>1922045.6162447089</v>
      </c>
      <c r="C96">
        <v>134784.2998981823</v>
      </c>
      <c r="D96">
        <f>LOG(Table3[[#This Row],[scRBA $k_{app}$ ($h^{-1}$)]])</f>
        <v>6.2837636906417211</v>
      </c>
      <c r="E96">
        <f>LOG(Table3[[#This Row],[rtRBA $k_{app}$ ($h^{-1}$)]])</f>
        <v>5.1296393071496889</v>
      </c>
      <c r="F96" t="str">
        <f>_xlfn.TEXTAFTER(Table3[[#This Row],[id]],"-",-1)</f>
        <v>rt6998</v>
      </c>
      <c r="G96" t="str">
        <f>_xlfn.TEXTAFTER(_xlfn.TEXTBEFORE(Table3[[#This Row],[id]],"-"&amp;Table3[[#This Row],[enz]]),"_",-1)</f>
        <v>REV</v>
      </c>
      <c r="H96" t="str">
        <f>_xlfn.TEXTBEFORE(Table3[[#This Row],[id]],"_"&amp;Table3[[#This Row],[dir]])</f>
        <v>FTHFL_m</v>
      </c>
      <c r="I96" t="str">
        <f>_xlfn.XLOOKUP(Table3[[#This Row],[rxn]],Table1[id],Table1[subsystem],"")</f>
        <v>Folate metabolism</v>
      </c>
      <c r="J96" t="str">
        <f>_xlfn.XLOOKUP(Table3[[#This Row],[enz]],'[1]scRBA (raw)'!$N:$N,'[1]scRBA (raw)'!$K:$K,"")</f>
        <v>YBR084W</v>
      </c>
      <c r="K96">
        <f>_xlfn.XLOOKUP(Table3[[#This Row],[SC enz]],Table2[id],Table2[Abundance in SC (g protein/g all proteins)],"")</f>
        <v>2.7773580226695999E-3</v>
      </c>
      <c r="L96">
        <f>_xlfn.XLOOKUP(Table3[[#This Row],[SC enz]],Table2[id],Table2[Abundance in RT (g protein/g all proteins)],"")</f>
        <v>2.039E-3</v>
      </c>
      <c r="M96">
        <f>Table3[[#This Row],[log(y)]]-Table3[[#This Row],[log(x)]]/SQRT(2)</f>
        <v>0.68634739012312096</v>
      </c>
      <c r="N96">
        <f>ABS(Table3[[#This Row],[dist from 45-degree (RT - SC)]])</f>
        <v>0.68634739012312096</v>
      </c>
    </row>
    <row r="97" spans="1:14" x14ac:dyDescent="0.2">
      <c r="A97" t="s">
        <v>3247</v>
      </c>
      <c r="B97">
        <v>234177.08137781799</v>
      </c>
      <c r="C97">
        <v>18956.9196572943</v>
      </c>
      <c r="D97">
        <f>LOG(Table3[[#This Row],[scRBA $k_{app}$ ($h^{-1}$)]])</f>
        <v>5.3695443889507102</v>
      </c>
      <c r="E97">
        <f>LOG(Table3[[#This Row],[rtRBA $k_{app}$ ($h^{-1}$)]])</f>
        <v>4.2777677694723888</v>
      </c>
      <c r="F97" t="str">
        <f>_xlfn.TEXTAFTER(Table3[[#This Row],[id]],"-",-1)</f>
        <v>rt5633_c</v>
      </c>
      <c r="G97" t="str">
        <f>_xlfn.TEXTAFTER(_xlfn.TEXTBEFORE(Table3[[#This Row],[id]],"-"&amp;Table3[[#This Row],[enz]]),"_",-1)</f>
        <v>FWD</v>
      </c>
      <c r="H97" t="str">
        <f>_xlfn.TEXTBEFORE(Table3[[#This Row],[id]],"_"&amp;Table3[[#This Row],[dir]])</f>
        <v>FUM_c</v>
      </c>
      <c r="I97" t="str">
        <f>_xlfn.XLOOKUP(Table3[[#This Row],[rxn]],Table1[id],Table1[subsystem],"")</f>
        <v>Glyoxylate metabolism</v>
      </c>
      <c r="J97" t="str">
        <f>_xlfn.XLOOKUP(Table3[[#This Row],[enz]],'[1]scRBA (raw)'!$N:$N,'[1]scRBA (raw)'!$K:$K,"")</f>
        <v/>
      </c>
      <c r="K97" t="str">
        <f>_xlfn.XLOOKUP(Table3[[#This Row],[SC enz]],Table2[id],Table2[Abundance in SC (g protein/g all proteins)],"")</f>
        <v/>
      </c>
      <c r="L97" t="str">
        <f>_xlfn.XLOOKUP(Table3[[#This Row],[SC enz]],Table2[id],Table2[Abundance in RT (g protein/g all proteins)],"")</f>
        <v/>
      </c>
      <c r="M97">
        <f>Table3[[#This Row],[log(y)]]-Table3[[#This Row],[log(x)]]/SQRT(2)</f>
        <v>0.48092652016316517</v>
      </c>
      <c r="N97">
        <f>ABS(Table3[[#This Row],[dist from 45-degree (RT - SC)]])</f>
        <v>0.48092652016316517</v>
      </c>
    </row>
    <row r="98" spans="1:14" x14ac:dyDescent="0.2">
      <c r="A98" t="s">
        <v>2975</v>
      </c>
      <c r="B98">
        <v>556873.04898040835</v>
      </c>
      <c r="C98">
        <v>82949152314501.047</v>
      </c>
      <c r="D98">
        <f>LOG(Table3[[#This Row],[scRBA $k_{app}$ ($h^{-1}$)]])</f>
        <v>5.7457561998213054</v>
      </c>
      <c r="E98">
        <f>LOG(Table3[[#This Row],[rtRBA $k_{app}$ ($h^{-1}$)]])</f>
        <v>13.918811952180564</v>
      </c>
      <c r="F98" t="str">
        <f>_xlfn.TEXTAFTER(Table3[[#This Row],[id]],"-",-1)</f>
        <v>rt5633_m</v>
      </c>
      <c r="G98" t="str">
        <f>_xlfn.TEXTAFTER(_xlfn.TEXTBEFORE(Table3[[#This Row],[id]],"-"&amp;Table3[[#This Row],[enz]]),"_",-1)</f>
        <v>FWD</v>
      </c>
      <c r="H98" t="str">
        <f>_xlfn.TEXTBEFORE(Table3[[#This Row],[id]],"_"&amp;Table3[[#This Row],[dir]])</f>
        <v>FUM_m</v>
      </c>
      <c r="I98" t="str">
        <f>_xlfn.XLOOKUP(Table3[[#This Row],[rxn]],Table1[id],Table1[subsystem],"")</f>
        <v>Citric acid cycle</v>
      </c>
      <c r="J98" t="str">
        <f>_xlfn.XLOOKUP(Table3[[#This Row],[enz]],'[1]scRBA (raw)'!$N:$N,'[1]scRBA (raw)'!$K:$K,"")</f>
        <v/>
      </c>
      <c r="K98" t="str">
        <f>_xlfn.XLOOKUP(Table3[[#This Row],[SC enz]],Table2[id],Table2[Abundance in SC (g protein/g all proteins)],"")</f>
        <v/>
      </c>
      <c r="L98" t="str">
        <f>_xlfn.XLOOKUP(Table3[[#This Row],[SC enz]],Table2[id],Table2[Abundance in RT (g protein/g all proteins)],"")</f>
        <v/>
      </c>
      <c r="M98">
        <f>Table3[[#This Row],[log(y)]]-Table3[[#This Row],[log(x)]]/SQRT(2)</f>
        <v>9.8559487802422723</v>
      </c>
      <c r="N98">
        <f>ABS(Table3[[#This Row],[dist from 45-degree (RT - SC)]])</f>
        <v>9.8559487802422723</v>
      </c>
    </row>
    <row r="99" spans="1:14" x14ac:dyDescent="0.2">
      <c r="A99" t="s">
        <v>3248</v>
      </c>
      <c r="B99">
        <v>18568.45228640065</v>
      </c>
      <c r="C99">
        <v>61400.812970471678</v>
      </c>
      <c r="D99">
        <f>LOG(Table3[[#This Row],[scRBA $k_{app}$ ($h^{-1}$)]])</f>
        <v>4.2687757060290643</v>
      </c>
      <c r="E99">
        <f>LOG(Table3[[#This Row],[rtRBA $k_{app}$ ($h^{-1}$)]])</f>
        <v>4.7881741214058646</v>
      </c>
      <c r="F99" t="str">
        <f>_xlfn.TEXTAFTER(Table3[[#This Row],[id]],"-",-1)</f>
        <v>rt7067</v>
      </c>
      <c r="G99" t="str">
        <f>_xlfn.TEXTAFTER(_xlfn.TEXTBEFORE(Table3[[#This Row],[id]],"-"&amp;Table3[[#This Row],[enz]]),"_",-1)</f>
        <v>FWD</v>
      </c>
      <c r="H99" t="str">
        <f>_xlfn.TEXTBEFORE(Table3[[#This Row],[id]],"_"&amp;Table3[[#This Row],[dir]])</f>
        <v>G3PAT_rm</v>
      </c>
      <c r="I99" t="str">
        <f>_xlfn.XLOOKUP(Table3[[#This Row],[rxn]],Table1[id],Table1[subsystem],"")</f>
        <v>Glycerophospholipid biosynthesis</v>
      </c>
      <c r="J99" t="str">
        <f>_xlfn.XLOOKUP(Table3[[#This Row],[enz]],'[1]scRBA (raw)'!$N:$N,'[1]scRBA (raw)'!$K:$K,"")</f>
        <v>YBL011W</v>
      </c>
      <c r="K99">
        <f>_xlfn.XLOOKUP(Table3[[#This Row],[SC enz]],Table2[id],Table2[Abundance in SC (g protein/g all proteins)],"")</f>
        <v>2.5294900140742302E-3</v>
      </c>
      <c r="L99">
        <f>_xlfn.XLOOKUP(Table3[[#This Row],[SC enz]],Table2[id],Table2[Abundance in RT (g protein/g all proteins)],"")</f>
        <v>8.4510000000000002E-3</v>
      </c>
      <c r="M99">
        <f>Table3[[#This Row],[log(y)]]-Table3[[#This Row],[log(x)]]/SQRT(2)</f>
        <v>1.7696938723083213</v>
      </c>
      <c r="N99">
        <f>ABS(Table3[[#This Row],[dist from 45-degree (RT - SC)]])</f>
        <v>1.7696938723083213</v>
      </c>
    </row>
    <row r="100" spans="1:14" x14ac:dyDescent="0.2">
      <c r="A100" t="s">
        <v>2976</v>
      </c>
      <c r="B100">
        <v>708616.72377506574</v>
      </c>
      <c r="C100">
        <v>3983.890380098625</v>
      </c>
      <c r="D100">
        <f>LOG(Table3[[#This Row],[scRBA $k_{app}$ ($h^{-1}$)]])</f>
        <v>5.8504113977255257</v>
      </c>
      <c r="E100">
        <f>LOG(Table3[[#This Row],[rtRBA $k_{app}$ ($h^{-1}$)]])</f>
        <v>3.60030737995918</v>
      </c>
      <c r="F100" t="str">
        <f>_xlfn.TEXTAFTER(Table3[[#This Row],[id]],"-",-1)</f>
        <v>rt3786_c</v>
      </c>
      <c r="G100" t="str">
        <f>_xlfn.TEXTAFTER(_xlfn.TEXTBEFORE(Table3[[#This Row],[id]],"-"&amp;Table3[[#This Row],[enz]]),"_",-1)</f>
        <v>FWD</v>
      </c>
      <c r="H100" t="str">
        <f>_xlfn.TEXTBEFORE(Table3[[#This Row],[id]],"_"&amp;Table3[[#This Row],[dir]])</f>
        <v>G3PD1r_c</v>
      </c>
      <c r="I100" t="str">
        <f>_xlfn.XLOOKUP(Table3[[#This Row],[rxn]],Table1[id],Table1[subsystem],"")</f>
        <v>Phospholipid biosynthesis</v>
      </c>
      <c r="J100" t="str">
        <f>_xlfn.XLOOKUP(Table3[[#This Row],[enz]],'[1]scRBA (raw)'!$N:$N,'[1]scRBA (raw)'!$K:$K,"")</f>
        <v/>
      </c>
      <c r="K100" t="str">
        <f>_xlfn.XLOOKUP(Table3[[#This Row],[SC enz]],Table2[id],Table2[Abundance in SC (g protein/g all proteins)],"")</f>
        <v/>
      </c>
      <c r="L100" t="str">
        <f>_xlfn.XLOOKUP(Table3[[#This Row],[SC enz]],Table2[id],Table2[Abundance in RT (g protein/g all proteins)],"")</f>
        <v/>
      </c>
      <c r="M100">
        <f>Table3[[#This Row],[log(y)]]-Table3[[#This Row],[log(x)]]/SQRT(2)</f>
        <v>-0.53655819210360667</v>
      </c>
      <c r="N100">
        <f>ABS(Table3[[#This Row],[dist from 45-degree (RT - SC)]])</f>
        <v>0.53655819210360667</v>
      </c>
    </row>
    <row r="101" spans="1:14" x14ac:dyDescent="0.2">
      <c r="A101" t="s">
        <v>3249</v>
      </c>
      <c r="B101">
        <v>54049.6002045817</v>
      </c>
      <c r="C101">
        <v>0.37756021349567148</v>
      </c>
      <c r="D101">
        <f>LOG(Table3[[#This Row],[scRBA $k_{app}$ ($h^{-1}$)]])</f>
        <v>4.7327924859010553</v>
      </c>
      <c r="E101">
        <f>LOG(Table3[[#This Row],[rtRBA $k_{app}$ ($h^{-1}$)]])</f>
        <v>-0.42301377700550374</v>
      </c>
      <c r="F101" t="str">
        <f>_xlfn.TEXTAFTER(Table3[[#This Row],[id]],"-",-1)</f>
        <v>rt7905</v>
      </c>
      <c r="G101" t="str">
        <f>_xlfn.TEXTAFTER(_xlfn.TEXTBEFORE(Table3[[#This Row],[id]],"-"&amp;Table3[[#This Row],[enz]]),"_",-1)</f>
        <v>FWD</v>
      </c>
      <c r="H101" t="str">
        <f>_xlfn.TEXTBEFORE(Table3[[#This Row],[id]],"_"&amp;Table3[[#This Row],[dir]])</f>
        <v>G5SDy_c</v>
      </c>
      <c r="I101" t="str">
        <f>_xlfn.XLOOKUP(Table3[[#This Row],[rxn]],Table1[id],Table1[subsystem],"")</f>
        <v>Arginine and proline metabolism</v>
      </c>
      <c r="J101" t="str">
        <f>_xlfn.XLOOKUP(Table3[[#This Row],[enz]],'[1]scRBA (raw)'!$N:$N,'[1]scRBA (raw)'!$K:$K,"")</f>
        <v>YOR323C</v>
      </c>
      <c r="K101">
        <f>_xlfn.XLOOKUP(Table3[[#This Row],[SC enz]],Table2[id],Table2[Abundance in SC (g protein/g all proteins)],"")</f>
        <v>1.19851943293937E-4</v>
      </c>
      <c r="L101">
        <f>_xlfn.XLOOKUP(Table3[[#This Row],[SC enz]],Table2[id],Table2[Abundance in RT (g protein/g all proteins)],"")</f>
        <v>1.93E-4</v>
      </c>
      <c r="M101">
        <f>Table3[[#This Row],[log(y)]]-Table3[[#This Row],[log(x)]]/SQRT(2)</f>
        <v>-3.7696034377348773</v>
      </c>
      <c r="N101">
        <f>ABS(Table3[[#This Row],[dist from 45-degree (RT - SC)]])</f>
        <v>3.7696034377348773</v>
      </c>
    </row>
    <row r="102" spans="1:14" x14ac:dyDescent="0.2">
      <c r="A102" t="s">
        <v>3250</v>
      </c>
      <c r="B102">
        <v>118557.5380167461</v>
      </c>
      <c r="C102">
        <v>238200.63485987071</v>
      </c>
      <c r="D102">
        <f>LOG(Table3[[#This Row],[scRBA $k_{app}$ ($h^{-1}$)]])</f>
        <v>5.0739291721058715</v>
      </c>
      <c r="E102">
        <f>LOG(Table3[[#This Row],[rtRBA $k_{app}$ ($h^{-1}$)]])</f>
        <v>5.3769429146436991</v>
      </c>
      <c r="F102" t="str">
        <f>_xlfn.TEXTAFTER(Table3[[#This Row],[id]],"-",-1)</f>
        <v>rt1632</v>
      </c>
      <c r="G102" t="str">
        <f>_xlfn.TEXTAFTER(_xlfn.TEXTBEFORE(Table3[[#This Row],[id]],"-"&amp;Table3[[#This Row],[enz]]),"_",-1)</f>
        <v>FWD</v>
      </c>
      <c r="H102" t="str">
        <f>_xlfn.TEXTBEFORE(Table3[[#This Row],[id]],"_"&amp;Table3[[#This Row],[dir]])</f>
        <v>G6PDH2i_c</v>
      </c>
      <c r="I102" t="str">
        <f>_xlfn.XLOOKUP(Table3[[#This Row],[rxn]],Table1[id],Table1[subsystem],"")</f>
        <v>Pentose phosphate pathway</v>
      </c>
      <c r="J102" t="str">
        <f>_xlfn.XLOOKUP(Table3[[#This Row],[enz]],'[1]scRBA (raw)'!$N:$N,'[1]scRBA (raw)'!$K:$K,"")</f>
        <v>YNL241C</v>
      </c>
      <c r="K102">
        <f>_xlfn.XLOOKUP(Table3[[#This Row],[SC enz]],Table2[id],Table2[Abundance in SC (g protein/g all proteins)],"")</f>
        <v>2.47912251964476E-6</v>
      </c>
      <c r="L102">
        <f>_xlfn.XLOOKUP(Table3[[#This Row],[SC enz]],Table2[id],Table2[Abundance in RT (g protein/g all proteins)],"")</f>
        <v>7.3300000000000001E-6</v>
      </c>
      <c r="M102">
        <f>Table3[[#This Row],[log(y)]]-Table3[[#This Row],[log(x)]]/SQRT(2)</f>
        <v>1.7891331897873926</v>
      </c>
      <c r="N102">
        <f>ABS(Table3[[#This Row],[dist from 45-degree (RT - SC)]])</f>
        <v>1.7891331897873926</v>
      </c>
    </row>
    <row r="103" spans="1:14" x14ac:dyDescent="0.2">
      <c r="A103" t="s">
        <v>2977</v>
      </c>
      <c r="B103">
        <v>846433.61701023357</v>
      </c>
      <c r="C103">
        <v>37018.266835026327</v>
      </c>
      <c r="D103">
        <f>LOG(Table3[[#This Row],[scRBA $k_{app}$ ($h^{-1}$)]])</f>
        <v>5.9275929035003232</v>
      </c>
      <c r="E103">
        <f>LOG(Table3[[#This Row],[rtRBA $k_{app}$ ($h^{-1}$)]])</f>
        <v>4.5684160815804589</v>
      </c>
      <c r="F103" t="str">
        <f>_xlfn.TEXTAFTER(Table3[[#This Row],[id]],"-",-1)</f>
        <v>rt3384</v>
      </c>
      <c r="G103" t="str">
        <f>_xlfn.TEXTAFTER(_xlfn.TEXTBEFORE(Table3[[#This Row],[id]],"-"&amp;Table3[[#This Row],[enz]]),"_",-1)</f>
        <v>FWD</v>
      </c>
      <c r="H103" t="str">
        <f>_xlfn.TEXTBEFORE(Table3[[#This Row],[id]],"_"&amp;Table3[[#This Row],[dir]])</f>
        <v>GALUi_c</v>
      </c>
      <c r="I103" t="str">
        <f>_xlfn.XLOOKUP(Table3[[#This Row],[rxn]],Table1[id],Table1[subsystem],"")</f>
        <v>Pentose and glucuronate interconversions</v>
      </c>
      <c r="J103" t="str">
        <f>_xlfn.XLOOKUP(Table3[[#This Row],[enz]],'[1]scRBA (raw)'!$N:$N,'[1]scRBA (raw)'!$K:$K,"")</f>
        <v>YKL035W</v>
      </c>
      <c r="K103">
        <f>_xlfn.XLOOKUP(Table3[[#This Row],[SC enz]],Table2[id],Table2[Abundance in SC (g protein/g all proteins)],"")</f>
        <v>9.1277196866582002E-3</v>
      </c>
      <c r="L103">
        <f>_xlfn.XLOOKUP(Table3[[#This Row],[SC enz]],Table2[id],Table2[Abundance in RT (g protein/g all proteins)],"")</f>
        <v>7.2200000000000003E-6</v>
      </c>
      <c r="M103">
        <f>Table3[[#This Row],[log(y)]]-Table3[[#This Row],[log(x)]]/SQRT(2)</f>
        <v>0.37697494340212412</v>
      </c>
      <c r="N103">
        <f>ABS(Table3[[#This Row],[dist from 45-degree (RT - SC)]])</f>
        <v>0.37697494340212412</v>
      </c>
    </row>
    <row r="104" spans="1:14" x14ac:dyDescent="0.2">
      <c r="A104" t="s">
        <v>2978</v>
      </c>
      <c r="B104">
        <v>716723.38034904341</v>
      </c>
      <c r="C104">
        <v>329186.2207189633</v>
      </c>
      <c r="D104">
        <f>LOG(Table3[[#This Row],[scRBA $k_{app}$ ($h^{-1}$)]])</f>
        <v>5.8553515718909939</v>
      </c>
      <c r="E104">
        <f>LOG(Table3[[#This Row],[rtRBA $k_{app}$ ($h^{-1}$)]])</f>
        <v>5.5174416479528583</v>
      </c>
      <c r="F104" t="str">
        <f>_xlfn.TEXTAFTER(Table3[[#This Row],[id]],"-",-1)</f>
        <v>rt2245</v>
      </c>
      <c r="G104" t="str">
        <f>_xlfn.TEXTAFTER(_xlfn.TEXTBEFORE(Table3[[#This Row],[id]],"-"&amp;Table3[[#This Row],[enz]]),"_",-1)</f>
        <v>FWD</v>
      </c>
      <c r="H104" t="str">
        <f>_xlfn.TEXTBEFORE(Table3[[#This Row],[id]],"_"&amp;Table3[[#This Row],[dir]])</f>
        <v>GAPD_c</v>
      </c>
      <c r="I104" t="str">
        <f>_xlfn.XLOOKUP(Table3[[#This Row],[rxn]],Table1[id],Table1[subsystem],"")</f>
        <v>Glycolysis / Gluconeogenesis</v>
      </c>
      <c r="J104" t="str">
        <f>_xlfn.XLOOKUP(Table3[[#This Row],[enz]],'[1]scRBA (raw)'!$N:$N,'[1]scRBA (raw)'!$K:$K,"")</f>
        <v>YJL052W</v>
      </c>
      <c r="K104">
        <f>_xlfn.XLOOKUP(Table3[[#This Row],[SC enz]],Table2[id],Table2[Abundance in SC (g protein/g all proteins)],"")</f>
        <v>4.2263801417787E-3</v>
      </c>
      <c r="L104">
        <f>_xlfn.XLOOKUP(Table3[[#This Row],[SC enz]],Table2[id],Table2[Abundance in RT (g protein/g all proteins)],"")</f>
        <v>1.451E-3</v>
      </c>
      <c r="M104">
        <f>Table3[[#This Row],[log(y)]]-Table3[[#This Row],[log(x)]]/SQRT(2)</f>
        <v>1.3770828452374264</v>
      </c>
      <c r="N104">
        <f>ABS(Table3[[#This Row],[dist from 45-degree (RT - SC)]])</f>
        <v>1.3770828452374264</v>
      </c>
    </row>
    <row r="105" spans="1:14" x14ac:dyDescent="0.2">
      <c r="A105" t="s">
        <v>2979</v>
      </c>
      <c r="B105">
        <v>18606.443910439149</v>
      </c>
      <c r="C105">
        <v>38558.764106266382</v>
      </c>
      <c r="D105">
        <f>LOG(Table3[[#This Row],[scRBA $k_{app}$ ($h^{-1}$)]])</f>
        <v>4.2696633780933126</v>
      </c>
      <c r="E105">
        <f>LOG(Table3[[#This Row],[rtRBA $k_{app}$ ($h^{-1}$)]])</f>
        <v>4.5861231053544831</v>
      </c>
      <c r="F105" t="str">
        <f>_xlfn.TEXTAFTER(Table3[[#This Row],[id]],"-",-1)</f>
        <v>rt5227</v>
      </c>
      <c r="G105" t="str">
        <f>_xlfn.TEXTAFTER(_xlfn.TEXTBEFORE(Table3[[#This Row],[id]],"-"&amp;Table3[[#This Row],[enz]]),"_",-1)</f>
        <v>FWD</v>
      </c>
      <c r="H105" t="str">
        <f>_xlfn.TEXTBEFORE(Table3[[#This Row],[id]],"_"&amp;Table3[[#This Row],[dir]])</f>
        <v>GARFT_c</v>
      </c>
      <c r="I105" t="str">
        <f>_xlfn.XLOOKUP(Table3[[#This Row],[rxn]],Table1[id],Table1[subsystem],"")</f>
        <v>Purine metabolism</v>
      </c>
      <c r="J105" t="str">
        <f>_xlfn.XLOOKUP(Table3[[#This Row],[enz]],'[1]scRBA (raw)'!$N:$N,'[1]scRBA (raw)'!$K:$K,"")</f>
        <v>YDR408C</v>
      </c>
      <c r="K105">
        <f>_xlfn.XLOOKUP(Table3[[#This Row],[SC enz]],Table2[id],Table2[Abundance in SC (g protein/g all proteins)],"")</f>
        <v>4.3018525675991899E-5</v>
      </c>
      <c r="L105">
        <f>_xlfn.XLOOKUP(Table3[[#This Row],[SC enz]],Table2[id],Table2[Abundance in RT (g protein/g all proteins)],"")</f>
        <v>1.7499999999999998E-5</v>
      </c>
      <c r="M105">
        <f>Table3[[#This Row],[log(y)]]-Table3[[#This Row],[log(x)]]/SQRT(2)</f>
        <v>1.5670151773208398</v>
      </c>
      <c r="N105">
        <f>ABS(Table3[[#This Row],[dist from 45-degree (RT - SC)]])</f>
        <v>1.5670151773208398</v>
      </c>
    </row>
    <row r="106" spans="1:14" x14ac:dyDescent="0.2">
      <c r="A106" t="s">
        <v>2980</v>
      </c>
      <c r="B106">
        <v>2699.5580067050769</v>
      </c>
      <c r="C106">
        <v>227728895809.78781</v>
      </c>
      <c r="D106">
        <f>LOG(Table3[[#This Row],[scRBA $k_{app}$ ($h^{-1}$)]])</f>
        <v>3.4312926638025458</v>
      </c>
      <c r="E106">
        <f>LOG(Table3[[#This Row],[rtRBA $k_{app}$ ($h^{-1}$)]])</f>
        <v>11.357418140384739</v>
      </c>
      <c r="F106" t="str">
        <f>_xlfn.TEXTAFTER(Table3[[#This Row],[id]],"-",-1)</f>
        <v>rt3731</v>
      </c>
      <c r="G106" t="str">
        <f>_xlfn.TEXTAFTER(_xlfn.TEXTBEFORE(Table3[[#This Row],[id]],"-"&amp;Table3[[#This Row],[enz]]),"_",-1)</f>
        <v>FWD</v>
      </c>
      <c r="H106" t="str">
        <f>_xlfn.TEXTBEFORE(Table3[[#This Row],[id]],"_"&amp;Table3[[#This Row],[dir]])</f>
        <v>GF6PTA_c</v>
      </c>
      <c r="I106" t="str">
        <f>_xlfn.XLOOKUP(Table3[[#This Row],[rxn]],Table1[id],Table1[subsystem],"")</f>
        <v>Alanine, aspartate and glutamate metabolism</v>
      </c>
      <c r="J106" t="str">
        <f>_xlfn.XLOOKUP(Table3[[#This Row],[enz]],'[1]scRBA (raw)'!$N:$N,'[1]scRBA (raw)'!$K:$K,"")</f>
        <v>YKL104C</v>
      </c>
      <c r="K106">
        <f>_xlfn.XLOOKUP(Table3[[#This Row],[SC enz]],Table2[id],Table2[Abundance in SC (g protein/g all proteins)],"")</f>
        <v>5.4614232412826901E-5</v>
      </c>
      <c r="L106">
        <f>_xlfn.XLOOKUP(Table3[[#This Row],[SC enz]],Table2[id],Table2[Abundance in RT (g protein/g all proteins)],"")</f>
        <v>3.6299999999999999E-4</v>
      </c>
      <c r="M106">
        <f>Table3[[#This Row],[log(y)]]-Table3[[#This Row],[log(x)]]/SQRT(2)</f>
        <v>8.931127829574308</v>
      </c>
      <c r="N106">
        <f>ABS(Table3[[#This Row],[dist from 45-degree (RT - SC)]])</f>
        <v>8.931127829574308</v>
      </c>
    </row>
    <row r="107" spans="1:14" x14ac:dyDescent="0.2">
      <c r="A107" t="s">
        <v>3251</v>
      </c>
      <c r="B107">
        <v>132765.4032245437</v>
      </c>
      <c r="C107">
        <v>116095.8069685782</v>
      </c>
      <c r="D107">
        <f>LOG(Table3[[#This Row],[scRBA $k_{app}$ ($h^{-1}$)]])</f>
        <v>5.1230849188107825</v>
      </c>
      <c r="E107">
        <f>LOG(Table3[[#This Row],[rtRBA $k_{app}$ ($h^{-1}$)]])</f>
        <v>5.0648165346111558</v>
      </c>
      <c r="F107" t="str">
        <f>_xlfn.TEXTAFTER(Table3[[#This Row],[id]],"-",-1)</f>
        <v>rt1299</v>
      </c>
      <c r="G107" t="str">
        <f>_xlfn.TEXTAFTER(_xlfn.TEXTBEFORE(Table3[[#This Row],[id]],"-"&amp;Table3[[#This Row],[enz]]),"_",-1)</f>
        <v>FWD</v>
      </c>
      <c r="H107" t="str">
        <f>_xlfn.TEXTBEFORE(Table3[[#This Row],[id]],"_"&amp;Table3[[#This Row],[dir]])</f>
        <v>GHMT2r_c</v>
      </c>
      <c r="I107" t="str">
        <f>_xlfn.XLOOKUP(Table3[[#This Row],[rxn]],Table1[id],Table1[subsystem],"")</f>
        <v>Glycine, serine and threonine metabolism</v>
      </c>
      <c r="J107" t="str">
        <f>_xlfn.XLOOKUP(Table3[[#This Row],[enz]],'[1]scRBA (raw)'!$N:$N,'[1]scRBA (raw)'!$K:$K,"")</f>
        <v>YLR058C</v>
      </c>
      <c r="K107">
        <f>_xlfn.XLOOKUP(Table3[[#This Row],[SC enz]],Table2[id],Table2[Abundance in SC (g protein/g all proteins)],"")</f>
        <v>5.6006701783464698E-4</v>
      </c>
      <c r="L107">
        <f>_xlfn.XLOOKUP(Table3[[#This Row],[SC enz]],Table2[id],Table2[Abundance in RT (g protein/g all proteins)],"")</f>
        <v>1.2769999999999999E-3</v>
      </c>
      <c r="M107">
        <f>Table3[[#This Row],[log(y)]]-Table3[[#This Row],[log(x)]]/SQRT(2)</f>
        <v>1.4422484479255182</v>
      </c>
      <c r="N107">
        <f>ABS(Table3[[#This Row],[dist from 45-degree (RT - SC)]])</f>
        <v>1.4422484479255182</v>
      </c>
    </row>
    <row r="108" spans="1:14" x14ac:dyDescent="0.2">
      <c r="A108" t="s">
        <v>2981</v>
      </c>
      <c r="B108">
        <v>4036.9179369784201</v>
      </c>
      <c r="C108">
        <v>4575.0888825285547</v>
      </c>
      <c r="D108">
        <f>LOG(Table3[[#This Row],[scRBA $k_{app}$ ($h^{-1}$)]])</f>
        <v>3.6060499211022439</v>
      </c>
      <c r="E108">
        <f>LOG(Table3[[#This Row],[rtRBA $k_{app}$ ($h^{-1}$)]])</f>
        <v>3.6603995357394559</v>
      </c>
      <c r="F108" t="str">
        <f>_xlfn.TEXTAFTER(Table3[[#This Row],[id]],"-",-1)</f>
        <v>rt3157</v>
      </c>
      <c r="G108" t="str">
        <f>_xlfn.TEXTAFTER(_xlfn.TEXTBEFORE(Table3[[#This Row],[id]],"-"&amp;Table3[[#This Row],[enz]]),"_",-1)</f>
        <v>FWD</v>
      </c>
      <c r="H108" t="str">
        <f>_xlfn.TEXTBEFORE(Table3[[#This Row],[id]],"_"&amp;Table3[[#This Row],[dir]])</f>
        <v>GK1_c</v>
      </c>
      <c r="I108" t="str">
        <f>_xlfn.XLOOKUP(Table3[[#This Row],[rxn]],Table1[id],Table1[subsystem],"")</f>
        <v>Purine metabolism</v>
      </c>
      <c r="J108" t="str">
        <f>_xlfn.XLOOKUP(Table3[[#This Row],[enz]],'[1]scRBA (raw)'!$N:$N,'[1]scRBA (raw)'!$K:$K,"")</f>
        <v>YDR454C</v>
      </c>
      <c r="K108">
        <f>_xlfn.XLOOKUP(Table3[[#This Row],[SC enz]],Table2[id],Table2[Abundance in SC (g protein/g all proteins)],"")</f>
        <v>6.1350355493241398E-4</v>
      </c>
      <c r="L108">
        <f>_xlfn.XLOOKUP(Table3[[#This Row],[SC enz]],Table2[id],Table2[Abundance in RT (g protein/g all proteins)],"")</f>
        <v>6.0599999999999998E-4</v>
      </c>
      <c r="M108">
        <f>Table3[[#This Row],[log(y)]]-Table3[[#This Row],[log(x)]]/SQRT(2)</f>
        <v>1.1105371832308446</v>
      </c>
      <c r="N108">
        <f>ABS(Table3[[#This Row],[dist from 45-degree (RT - SC)]])</f>
        <v>1.1105371832308446</v>
      </c>
    </row>
    <row r="109" spans="1:14" x14ac:dyDescent="0.2">
      <c r="A109" t="s">
        <v>3252</v>
      </c>
      <c r="B109">
        <v>5611787.4575472716</v>
      </c>
      <c r="C109">
        <v>20706067.785283402</v>
      </c>
      <c r="D109">
        <f>LOG(Table3[[#This Row],[scRBA $k_{app}$ ($h^{-1}$)]])</f>
        <v>6.7491012140736455</v>
      </c>
      <c r="E109">
        <f>LOG(Table3[[#This Row],[rtRBA $k_{app}$ ($h^{-1}$)]])</f>
        <v>7.3160976314237223</v>
      </c>
      <c r="F109" t="str">
        <f>_xlfn.TEXTAFTER(Table3[[#This Row],[id]],"-",-1)</f>
        <v>rt4674</v>
      </c>
      <c r="G109" t="str">
        <f>_xlfn.TEXTAFTER(_xlfn.TEXTBEFORE(Table3[[#This Row],[id]],"-"&amp;Table3[[#This Row],[enz]]),"_",-1)</f>
        <v>FWD</v>
      </c>
      <c r="H109" t="str">
        <f>_xlfn.TEXTBEFORE(Table3[[#This Row],[id]],"_"&amp;Table3[[#This Row],[dir]])</f>
        <v>GLCt_c_e</v>
      </c>
      <c r="I109" t="str">
        <f>_xlfn.XLOOKUP(Table3[[#This Row],[rxn]],Table1[id],Table1[subsystem],"")</f>
        <v>Transport</v>
      </c>
      <c r="J109" t="str">
        <f>_xlfn.XLOOKUP(Table3[[#This Row],[enz]],'[1]scRBA (raw)'!$N:$N,'[1]scRBA (raw)'!$K:$K,"")</f>
        <v>YOL103W</v>
      </c>
      <c r="K109">
        <f>_xlfn.XLOOKUP(Table3[[#This Row],[SC enz]],Table2[id],Table2[Abundance in SC (g protein/g all proteins)],"")</f>
        <v>1.0413284665110901E-5</v>
      </c>
      <c r="L109">
        <f>_xlfn.XLOOKUP(Table3[[#This Row],[SC enz]],Table2[id],Table2[Abundance in RT (g protein/g all proteins)],"")</f>
        <v>3.3100000000000001E-6</v>
      </c>
      <c r="M109">
        <f>Table3[[#This Row],[log(y)]]-Table3[[#This Row],[log(x)]]/SQRT(2)</f>
        <v>2.543762396037887</v>
      </c>
      <c r="N109">
        <f>ABS(Table3[[#This Row],[dist from 45-degree (RT - SC)]])</f>
        <v>2.543762396037887</v>
      </c>
    </row>
    <row r="110" spans="1:14" x14ac:dyDescent="0.2">
      <c r="A110" t="s">
        <v>2982</v>
      </c>
      <c r="B110">
        <v>1103315.835534354</v>
      </c>
      <c r="C110">
        <v>284564.88301007362</v>
      </c>
      <c r="D110">
        <f>LOG(Table3[[#This Row],[scRBA $k_{app}$ ($h^{-1}$)]])</f>
        <v>6.0426998515112214</v>
      </c>
      <c r="E110">
        <f>LOG(Table3[[#This Row],[rtRBA $k_{app}$ ($h^{-1}$)]])</f>
        <v>5.4541813045467675</v>
      </c>
      <c r="F110" t="str">
        <f>_xlfn.TEXTAFTER(Table3[[#This Row],[id]],"-",-1)</f>
        <v>rt3476</v>
      </c>
      <c r="G110" t="str">
        <f>_xlfn.TEXTAFTER(_xlfn.TEXTBEFORE(Table3[[#This Row],[id]],"-"&amp;Table3[[#This Row],[enz]]),"_",-1)</f>
        <v>FWD</v>
      </c>
      <c r="H110" t="str">
        <f>_xlfn.TEXTBEFORE(Table3[[#This Row],[id]],"_"&amp;Table3[[#This Row],[dir]])</f>
        <v>GLNS_c</v>
      </c>
      <c r="I110" t="str">
        <f>_xlfn.XLOOKUP(Table3[[#This Row],[rxn]],Table1[id],Table1[subsystem],"")</f>
        <v>Alanine, aspartate and glutamate metabolism</v>
      </c>
      <c r="J110" t="str">
        <f>_xlfn.XLOOKUP(Table3[[#This Row],[enz]],'[1]scRBA (raw)'!$N:$N,'[1]scRBA (raw)'!$K:$K,"")</f>
        <v>YPR035W</v>
      </c>
      <c r="K110" t="str">
        <f>_xlfn.XLOOKUP(Table3[[#This Row],[SC enz]],Table2[id],Table2[Abundance in SC (g protein/g all proteins)],"")</f>
        <v/>
      </c>
      <c r="L110" t="str">
        <f>_xlfn.XLOOKUP(Table3[[#This Row],[SC enz]],Table2[id],Table2[Abundance in RT (g protein/g all proteins)],"")</f>
        <v/>
      </c>
      <c r="M110">
        <f>Table3[[#This Row],[log(y)]]-Table3[[#This Row],[log(x)]]/SQRT(2)</f>
        <v>1.1813472628682398</v>
      </c>
      <c r="N110">
        <f>ABS(Table3[[#This Row],[dist from 45-degree (RT - SC)]])</f>
        <v>1.1813472628682398</v>
      </c>
    </row>
    <row r="111" spans="1:14" x14ac:dyDescent="0.2">
      <c r="A111" t="s">
        <v>2983</v>
      </c>
      <c r="B111">
        <v>17315.474743214971</v>
      </c>
      <c r="C111">
        <v>19027.071271667799</v>
      </c>
      <c r="D111">
        <f>LOG(Table3[[#This Row],[scRBA $k_{app}$ ($h^{-1}$)]])</f>
        <v>4.2384344032220165</v>
      </c>
      <c r="E111">
        <f>LOG(Table3[[#This Row],[rtRBA $k_{app}$ ($h^{-1}$)]])</f>
        <v>4.2793719449638914</v>
      </c>
      <c r="F111" t="str">
        <f>_xlfn.TEXTAFTER(Table3[[#This Row],[id]],"-",-1)</f>
        <v>rt5012</v>
      </c>
      <c r="G111" t="str">
        <f>_xlfn.TEXTAFTER(_xlfn.TEXTBEFORE(Table3[[#This Row],[id]],"-"&amp;Table3[[#This Row],[enz]]),"_",-1)</f>
        <v>FWD</v>
      </c>
      <c r="H111" t="str">
        <f>_xlfn.TEXTBEFORE(Table3[[#This Row],[id]],"_"&amp;Table3[[#This Row],[dir]])</f>
        <v>GLNTRS_c</v>
      </c>
      <c r="I111" t="str">
        <f>_xlfn.XLOOKUP(Table3[[#This Row],[rxn]],Table1[id],Table1[subsystem],"")</f>
        <v>Aminoacyl-tRNA biosynthesis</v>
      </c>
      <c r="J111" t="str">
        <f>_xlfn.XLOOKUP(Table3[[#This Row],[enz]],'[1]scRBA (raw)'!$N:$N,'[1]scRBA (raw)'!$K:$K,"")</f>
        <v>YOR168W</v>
      </c>
      <c r="K111">
        <f>_xlfn.XLOOKUP(Table3[[#This Row],[SC enz]],Table2[id],Table2[Abundance in SC (g protein/g all proteins)],"")</f>
        <v>6.6285265575311898E-5</v>
      </c>
      <c r="L111">
        <f>_xlfn.XLOOKUP(Table3[[#This Row],[SC enz]],Table2[id],Table2[Abundance in RT (g protein/g all proteins)],"")</f>
        <v>1.4100000000000001E-4</v>
      </c>
      <c r="M111">
        <f>Table3[[#This Row],[log(y)]]-Table3[[#This Row],[log(x)]]/SQRT(2)</f>
        <v>1.2823462368312462</v>
      </c>
      <c r="N111">
        <f>ABS(Table3[[#This Row],[dist from 45-degree (RT - SC)]])</f>
        <v>1.2823462368312462</v>
      </c>
    </row>
    <row r="112" spans="1:14" x14ac:dyDescent="0.2">
      <c r="A112" t="s">
        <v>3253</v>
      </c>
      <c r="B112">
        <v>205857.52517500479</v>
      </c>
      <c r="C112">
        <v>4.4119677623890521</v>
      </c>
      <c r="D112">
        <f>LOG(Table3[[#This Row],[scRBA $k_{app}$ ($h^{-1}$)]])</f>
        <v>5.3135667473706452</v>
      </c>
      <c r="E112">
        <f>LOG(Table3[[#This Row],[rtRBA $k_{app}$ ($h^{-1}$)]])</f>
        <v>0.64463233045271906</v>
      </c>
      <c r="F112" t="str">
        <f>_xlfn.TEXTAFTER(Table3[[#This Row],[id]],"-",-1)</f>
        <v>rt6820</v>
      </c>
      <c r="G112" t="str">
        <f>_xlfn.TEXTAFTER(_xlfn.TEXTBEFORE(Table3[[#This Row],[id]],"-"&amp;Table3[[#This Row],[enz]]),"_",-1)</f>
        <v>FWD</v>
      </c>
      <c r="H112" t="str">
        <f>_xlfn.TEXTBEFORE(Table3[[#This Row],[id]],"_"&amp;Table3[[#This Row],[dir]])</f>
        <v>GLU5K_c</v>
      </c>
      <c r="I112" t="str">
        <f>_xlfn.XLOOKUP(Table3[[#This Row],[rxn]],Table1[id],Table1[subsystem],"")</f>
        <v>Arginine and proline metabolism</v>
      </c>
      <c r="J112" t="str">
        <f>_xlfn.XLOOKUP(Table3[[#This Row],[enz]],'[1]scRBA (raw)'!$N:$N,'[1]scRBA (raw)'!$K:$K,"")</f>
        <v>YDR300C</v>
      </c>
      <c r="K112">
        <f>_xlfn.XLOOKUP(Table3[[#This Row],[SC enz]],Table2[id],Table2[Abundance in SC (g protein/g all proteins)],"")</f>
        <v>1.4777270331986801E-4</v>
      </c>
      <c r="L112">
        <f>_xlfn.XLOOKUP(Table3[[#This Row],[SC enz]],Table2[id],Table2[Abundance in RT (g protein/g all proteins)],"")</f>
        <v>2.8600000000000001E-4</v>
      </c>
      <c r="M112">
        <f>Table3[[#This Row],[log(y)]]-Table3[[#This Row],[log(x)]]/SQRT(2)</f>
        <v>-3.1126267489004107</v>
      </c>
      <c r="N112">
        <f>ABS(Table3[[#This Row],[dist from 45-degree (RT - SC)]])</f>
        <v>3.1126267489004107</v>
      </c>
    </row>
    <row r="113" spans="1:14" x14ac:dyDescent="0.2">
      <c r="A113" t="s">
        <v>3254</v>
      </c>
      <c r="B113">
        <v>112672.3890786229</v>
      </c>
      <c r="C113">
        <v>696117.86295958795</v>
      </c>
      <c r="D113">
        <f>LOG(Table3[[#This Row],[scRBA $k_{app}$ ($h^{-1}$)]])</f>
        <v>5.051817503091943</v>
      </c>
      <c r="E113">
        <f>LOG(Table3[[#This Row],[rtRBA $k_{app}$ ($h^{-1}$)]])</f>
        <v>5.8426827782590545</v>
      </c>
      <c r="F113" t="str">
        <f>_xlfn.TEXTAFTER(Table3[[#This Row],[id]],"-",-1)</f>
        <v>rt3880</v>
      </c>
      <c r="G113" t="str">
        <f>_xlfn.TEXTAFTER(_xlfn.TEXTBEFORE(Table3[[#This Row],[id]],"-"&amp;Table3[[#This Row],[enz]]),"_",-1)</f>
        <v>FWD</v>
      </c>
      <c r="H113" t="str">
        <f>_xlfn.TEXTBEFORE(Table3[[#This Row],[id]],"_"&amp;Table3[[#This Row],[dir]])</f>
        <v>GLUDy_c</v>
      </c>
      <c r="I113" t="str">
        <f>_xlfn.XLOOKUP(Table3[[#This Row],[rxn]],Table1[id],Table1[subsystem],"")</f>
        <v>Arginine and proline metabolism</v>
      </c>
      <c r="J113" t="str">
        <f>_xlfn.XLOOKUP(Table3[[#This Row],[enz]],'[1]scRBA (raw)'!$N:$N,'[1]scRBA (raw)'!$K:$K,"")</f>
        <v>YAL062W</v>
      </c>
      <c r="K113">
        <f>_xlfn.XLOOKUP(Table3[[#This Row],[SC enz]],Table2[id],Table2[Abundance in SC (g protein/g all proteins)],"")</f>
        <v>6.3355285806496403E-4</v>
      </c>
      <c r="L113">
        <f>_xlfn.XLOOKUP(Table3[[#This Row],[SC enz]],Table2[id],Table2[Abundance in RT (g protein/g all proteins)],"")</f>
        <v>5.0299999999999997E-4</v>
      </c>
      <c r="M113">
        <f>Table3[[#This Row],[log(y)]]-Table3[[#This Row],[log(x)]]/SQRT(2)</f>
        <v>2.2705083645058495</v>
      </c>
      <c r="N113">
        <f>ABS(Table3[[#This Row],[dist from 45-degree (RT - SC)]])</f>
        <v>2.2705083645058495</v>
      </c>
    </row>
    <row r="114" spans="1:14" x14ac:dyDescent="0.2">
      <c r="A114" t="s">
        <v>2984</v>
      </c>
      <c r="B114">
        <v>10189.93477578383</v>
      </c>
      <c r="C114">
        <v>23054.058200324689</v>
      </c>
      <c r="D114">
        <f>LOG(Table3[[#This Row],[scRBA $k_{app}$ ($h^{-1}$)]])</f>
        <v>4.0081714041626748</v>
      </c>
      <c r="E114">
        <f>LOG(Table3[[#This Row],[rtRBA $k_{app}$ ($h^{-1}$)]])</f>
        <v>4.3627473852083654</v>
      </c>
      <c r="F114" t="str">
        <f>_xlfn.TEXTAFTER(Table3[[#This Row],[id]],"-",-1)</f>
        <v>rt6932</v>
      </c>
      <c r="G114" t="str">
        <f>_xlfn.TEXTAFTER(_xlfn.TEXTBEFORE(Table3[[#This Row],[id]],"-"&amp;Table3[[#This Row],[enz]]),"_",-1)</f>
        <v>FWD</v>
      </c>
      <c r="H114" t="str">
        <f>_xlfn.TEXTBEFORE(Table3[[#This Row],[id]],"_"&amp;Table3[[#This Row],[dir]])</f>
        <v>GLUPRT_c</v>
      </c>
      <c r="I114" t="str">
        <f>_xlfn.XLOOKUP(Table3[[#This Row],[rxn]],Table1[id],Table1[subsystem],"")</f>
        <v>Purine metabolism</v>
      </c>
      <c r="J114" t="str">
        <f>_xlfn.XLOOKUP(Table3[[#This Row],[enz]],'[1]scRBA (raw)'!$N:$N,'[1]scRBA (raw)'!$K:$K,"")</f>
        <v>YMR300C</v>
      </c>
      <c r="K114">
        <f>_xlfn.XLOOKUP(Table3[[#This Row],[SC enz]],Table2[id],Table2[Abundance in SC (g protein/g all proteins)],"")</f>
        <v>3.8587383702412298E-4</v>
      </c>
      <c r="L114">
        <f>_xlfn.XLOOKUP(Table3[[#This Row],[SC enz]],Table2[id],Table2[Abundance in RT (g protein/g all proteins)],"")</f>
        <v>5.2099999999999998E-4</v>
      </c>
      <c r="M114">
        <f>Table3[[#This Row],[log(y)]]-Table3[[#This Row],[log(x)]]/SQRT(2)</f>
        <v>1.5285422051669322</v>
      </c>
      <c r="N114">
        <f>ABS(Table3[[#This Row],[dist from 45-degree (RT - SC)]])</f>
        <v>1.5285422051669322</v>
      </c>
    </row>
    <row r="115" spans="1:14" x14ac:dyDescent="0.2">
      <c r="A115" t="s">
        <v>2986</v>
      </c>
      <c r="B115">
        <v>29478.848800836378</v>
      </c>
      <c r="C115">
        <v>22472.05061588834</v>
      </c>
      <c r="D115">
        <f>LOG(Table3[[#This Row],[scRBA $k_{app}$ ($h^{-1}$)]])</f>
        <v>4.469510519580286</v>
      </c>
      <c r="E115">
        <f>LOG(Table3[[#This Row],[rtRBA $k_{app}$ ($h^{-1}$)]])</f>
        <v>4.3516427043964514</v>
      </c>
      <c r="F115" t="str">
        <f>_xlfn.TEXTAFTER(Table3[[#This Row],[id]],"-",-1)</f>
        <v>rt2385</v>
      </c>
      <c r="G115" t="str">
        <f>_xlfn.TEXTAFTER(_xlfn.TEXTBEFORE(Table3[[#This Row],[id]],"-"&amp;Table3[[#This Row],[enz]]),"_",-1)</f>
        <v>FWD</v>
      </c>
      <c r="H115" t="str">
        <f>_xlfn.TEXTBEFORE(Table3[[#This Row],[id]],"_"&amp;Table3[[#This Row],[dir]])</f>
        <v>GLUTRS_c</v>
      </c>
      <c r="I115" t="str">
        <f>_xlfn.XLOOKUP(Table3[[#This Row],[rxn]],Table1[id],Table1[subsystem],"")</f>
        <v>Aminoacyl-tRNA biosynthesis</v>
      </c>
      <c r="J115" t="str">
        <f>_xlfn.XLOOKUP(Table3[[#This Row],[enz]],'[1]scRBA (raw)'!$N:$N,'[1]scRBA (raw)'!$K:$K,"")</f>
        <v/>
      </c>
      <c r="K115" t="str">
        <f>_xlfn.XLOOKUP(Table3[[#This Row],[SC enz]],Table2[id],Table2[Abundance in SC (g protein/g all proteins)],"")</f>
        <v/>
      </c>
      <c r="L115" t="str">
        <f>_xlfn.XLOOKUP(Table3[[#This Row],[SC enz]],Table2[id],Table2[Abundance in RT (g protein/g all proteins)],"")</f>
        <v/>
      </c>
      <c r="M115">
        <f>Table3[[#This Row],[log(y)]]-Table3[[#This Row],[log(x)]]/SQRT(2)</f>
        <v>1.1912215074166221</v>
      </c>
      <c r="N115">
        <f>ABS(Table3[[#This Row],[dist from 45-degree (RT - SC)]])</f>
        <v>1.1912215074166221</v>
      </c>
    </row>
    <row r="116" spans="1:14" x14ac:dyDescent="0.2">
      <c r="A116" t="s">
        <v>2985</v>
      </c>
      <c r="B116">
        <v>1018791.95153693</v>
      </c>
      <c r="C116">
        <v>1566008.667156989</v>
      </c>
      <c r="D116">
        <f>LOG(Table3[[#This Row],[scRBA $k_{app}$ ($h^{-1}$)]])</f>
        <v>6.0080855053758864</v>
      </c>
      <c r="E116">
        <f>LOG(Table3[[#This Row],[rtRBA $k_{app}$ ($h^{-1}$)]])</f>
        <v>6.1947941613541326</v>
      </c>
      <c r="F116" t="str">
        <f>_xlfn.TEXTAFTER(Table3[[#This Row],[id]],"-",-1)</f>
        <v>rt4150</v>
      </c>
      <c r="G116" t="str">
        <f>_xlfn.TEXTAFTER(_xlfn.TEXTBEFORE(Table3[[#This Row],[id]],"-"&amp;Table3[[#This Row],[enz]]),"_",-1)</f>
        <v>FWD</v>
      </c>
      <c r="H116" t="str">
        <f>_xlfn.TEXTBEFORE(Table3[[#This Row],[id]],"_"&amp;Table3[[#This Row],[dir]])</f>
        <v>GLUt_c_m</v>
      </c>
      <c r="I116" t="str">
        <f>_xlfn.XLOOKUP(Table3[[#This Row],[rxn]],Table1[id],Table1[subsystem],"")</f>
        <v>Transport</v>
      </c>
      <c r="J116" t="str">
        <f>_xlfn.XLOOKUP(Table3[[#This Row],[enz]],'[1]scRBA (raw)'!$N:$N,'[1]scRBA (raw)'!$K:$K,"")</f>
        <v>YBR104W</v>
      </c>
      <c r="K116" t="str">
        <f>_xlfn.XLOOKUP(Table3[[#This Row],[SC enz]],Table2[id],Table2[Abundance in SC (g protein/g all proteins)],"")</f>
        <v/>
      </c>
      <c r="L116" t="str">
        <f>_xlfn.XLOOKUP(Table3[[#This Row],[SC enz]],Table2[id],Table2[Abundance in RT (g protein/g all proteins)],"")</f>
        <v/>
      </c>
      <c r="M116">
        <f>Table3[[#This Row],[log(y)]]-Table3[[#This Row],[log(x)]]/SQRT(2)</f>
        <v>1.9464361585542385</v>
      </c>
      <c r="N116">
        <f>ABS(Table3[[#This Row],[dist from 45-degree (RT - SC)]])</f>
        <v>1.9464361585542385</v>
      </c>
    </row>
    <row r="117" spans="1:14" x14ac:dyDescent="0.2">
      <c r="A117" t="s">
        <v>2987</v>
      </c>
      <c r="B117">
        <v>244947.94110743521</v>
      </c>
      <c r="C117">
        <v>621911.57634385675</v>
      </c>
      <c r="D117">
        <f>LOG(Table3[[#This Row],[scRBA $k_{app}$ ($h^{-1}$)]])</f>
        <v>5.3890737933761921</v>
      </c>
      <c r="E117">
        <f>LOG(Table3[[#This Row],[rtRBA $k_{app}$ ($h^{-1}$)]])</f>
        <v>5.7937286409033542</v>
      </c>
      <c r="F117" t="str">
        <f>_xlfn.TEXTAFTER(Table3[[#This Row],[id]],"-",-1)</f>
        <v>GCV123LPD1</v>
      </c>
      <c r="G117" t="str">
        <f>_xlfn.TEXTAFTER(_xlfn.TEXTBEFORE(Table3[[#This Row],[id]],"-"&amp;Table3[[#This Row],[enz]]),"_",-1)</f>
        <v>FWD</v>
      </c>
      <c r="H117" t="str">
        <f>_xlfn.TEXTBEFORE(Table3[[#This Row],[id]],"_"&amp;Table3[[#This Row],[dir]])</f>
        <v>GLYCL_m</v>
      </c>
      <c r="I117" t="str">
        <f>_xlfn.XLOOKUP(Table3[[#This Row],[rxn]],Table1[id],Table1[subsystem],"")</f>
        <v>Glycine, serine and threonine metabolism</v>
      </c>
      <c r="J117" t="str">
        <f>_xlfn.XLOOKUP(Table3[[#This Row],[enz]],'[1]scRBA (raw)'!$N:$N,'[1]scRBA (raw)'!$K:$K,"")</f>
        <v/>
      </c>
      <c r="K117" t="str">
        <f>_xlfn.XLOOKUP(Table3[[#This Row],[SC enz]],Table2[id],Table2[Abundance in SC (g protein/g all proteins)],"")</f>
        <v/>
      </c>
      <c r="L117" t="str">
        <f>_xlfn.XLOOKUP(Table3[[#This Row],[SC enz]],Table2[id],Table2[Abundance in RT (g protein/g all proteins)],"")</f>
        <v/>
      </c>
      <c r="M117">
        <f>Table3[[#This Row],[log(y)]]-Table3[[#This Row],[log(x)]]/SQRT(2)</f>
        <v>1.9830780172923377</v>
      </c>
      <c r="N117">
        <f>ABS(Table3[[#This Row],[dist from 45-degree (RT - SC)]])</f>
        <v>1.9830780172923377</v>
      </c>
    </row>
    <row r="118" spans="1:14" x14ac:dyDescent="0.2">
      <c r="A118" t="s">
        <v>2988</v>
      </c>
      <c r="B118">
        <v>1071109.1752930761</v>
      </c>
      <c r="C118">
        <v>234143.44198391051</v>
      </c>
      <c r="D118">
        <f>LOG(Table3[[#This Row],[scRBA $k_{app}$ ($h^{-1}$)]])</f>
        <v>6.0298337395628154</v>
      </c>
      <c r="E118">
        <f>LOG(Table3[[#This Row],[rtRBA $k_{app}$ ($h^{-1}$)]])</f>
        <v>5.3694819983338355</v>
      </c>
      <c r="F118" t="str">
        <f>_xlfn.TEXTAFTER(Table3[[#This Row],[id]],"-",-1)</f>
        <v>rt12285634</v>
      </c>
      <c r="G118" t="str">
        <f>_xlfn.TEXTAFTER(_xlfn.TEXTBEFORE(Table3[[#This Row],[id]],"-"&amp;Table3[[#This Row],[enz]]),"_",-1)</f>
        <v>FWD</v>
      </c>
      <c r="H118" t="str">
        <f>_xlfn.TEXTBEFORE(Table3[[#This Row],[id]],"_"&amp;Table3[[#This Row],[dir]])</f>
        <v>GLYGS_c</v>
      </c>
      <c r="I118" t="str">
        <f>_xlfn.XLOOKUP(Table3[[#This Row],[rxn]],Table1[id],Table1[subsystem],"")</f>
        <v>Starch and sucrose metabolism</v>
      </c>
      <c r="J118" t="str">
        <f>_xlfn.XLOOKUP(Table3[[#This Row],[enz]],'[1]scRBA (raw)'!$N:$N,'[1]scRBA (raw)'!$K:$K,"")</f>
        <v/>
      </c>
      <c r="K118" t="str">
        <f>_xlfn.XLOOKUP(Table3[[#This Row],[SC enz]],Table2[id],Table2[Abundance in SC (g protein/g all proteins)],"")</f>
        <v/>
      </c>
      <c r="L118" t="str">
        <f>_xlfn.XLOOKUP(Table3[[#This Row],[SC enz]],Table2[id],Table2[Abundance in RT (g protein/g all proteins)],"")</f>
        <v/>
      </c>
      <c r="M118">
        <f>Table3[[#This Row],[log(y)]]-Table3[[#This Row],[log(x)]]/SQRT(2)</f>
        <v>1.1057456716615306</v>
      </c>
      <c r="N118">
        <f>ABS(Table3[[#This Row],[dist from 45-degree (RT - SC)]])</f>
        <v>1.1057456716615306</v>
      </c>
    </row>
    <row r="119" spans="1:14" x14ac:dyDescent="0.2">
      <c r="A119" t="s">
        <v>2990</v>
      </c>
      <c r="B119">
        <v>22748.030851298448</v>
      </c>
      <c r="C119">
        <v>17941.154852859709</v>
      </c>
      <c r="D119">
        <f>LOG(Table3[[#This Row],[scRBA $k_{app}$ ($h^{-1}$)]])</f>
        <v>4.3569438085787056</v>
      </c>
      <c r="E119">
        <f>LOG(Table3[[#This Row],[rtRBA $k_{app}$ ($h^{-1}$)]])</f>
        <v>4.2538503946769719</v>
      </c>
      <c r="F119" t="str">
        <f>_xlfn.TEXTAFTER(Table3[[#This Row],[id]],"-",-1)</f>
        <v>rt7136</v>
      </c>
      <c r="G119" t="str">
        <f>_xlfn.TEXTAFTER(_xlfn.TEXTBEFORE(Table3[[#This Row],[id]],"-"&amp;Table3[[#This Row],[enz]]),"_",-1)</f>
        <v>FWD</v>
      </c>
      <c r="H119" t="str">
        <f>_xlfn.TEXTBEFORE(Table3[[#This Row],[id]],"_"&amp;Table3[[#This Row],[dir]])</f>
        <v>GLYTRS_c</v>
      </c>
      <c r="I119" t="str">
        <f>_xlfn.XLOOKUP(Table3[[#This Row],[rxn]],Table1[id],Table1[subsystem],"")</f>
        <v>Aminoacyl-tRNA biosynthesis</v>
      </c>
      <c r="J119" t="str">
        <f>_xlfn.XLOOKUP(Table3[[#This Row],[enz]],'[1]scRBA (raw)'!$N:$N,'[1]scRBA (raw)'!$K:$K,"")</f>
        <v>YBR121C</v>
      </c>
      <c r="K119">
        <f>_xlfn.XLOOKUP(Table3[[#This Row],[SC enz]],Table2[id],Table2[Abundance in SC (g protein/g all proteins)],"")</f>
        <v>8.0445386751612502E-4</v>
      </c>
      <c r="L119">
        <f>_xlfn.XLOOKUP(Table3[[#This Row],[SC enz]],Table2[id],Table2[Abundance in RT (g protein/g all proteins)],"")</f>
        <v>7.9900000000000001E-4</v>
      </c>
      <c r="M119">
        <f>Table3[[#This Row],[log(y)]]-Table3[[#This Row],[log(x)]]/SQRT(2)</f>
        <v>1.1730258823822264</v>
      </c>
      <c r="N119">
        <f>ABS(Table3[[#This Row],[dist from 45-degree (RT - SC)]])</f>
        <v>1.1730258823822264</v>
      </c>
    </row>
    <row r="120" spans="1:14" x14ac:dyDescent="0.2">
      <c r="A120" t="s">
        <v>2989</v>
      </c>
      <c r="B120">
        <v>709928.0773123157</v>
      </c>
      <c r="C120">
        <v>1566008.667156989</v>
      </c>
      <c r="D120">
        <f>LOG(Table3[[#This Row],[scRBA $k_{app}$ ($h^{-1}$)]])</f>
        <v>5.8512143526506675</v>
      </c>
      <c r="E120">
        <f>LOG(Table3[[#This Row],[rtRBA $k_{app}$ ($h^{-1}$)]])</f>
        <v>6.1947941613541326</v>
      </c>
      <c r="F120" t="str">
        <f>_xlfn.TEXTAFTER(Table3[[#This Row],[id]],"-",-1)</f>
        <v>rt4150</v>
      </c>
      <c r="G120" t="str">
        <f>_xlfn.TEXTAFTER(_xlfn.TEXTBEFORE(Table3[[#This Row],[id]],"-"&amp;Table3[[#This Row],[enz]]),"_",-1)</f>
        <v>FWD</v>
      </c>
      <c r="H120" t="str">
        <f>_xlfn.TEXTBEFORE(Table3[[#This Row],[id]],"_"&amp;Table3[[#This Row],[dir]])</f>
        <v>GLYt_c_m</v>
      </c>
      <c r="I120" t="str">
        <f>_xlfn.XLOOKUP(Table3[[#This Row],[rxn]],Table1[id],Table1[subsystem],"")</f>
        <v>Transport</v>
      </c>
      <c r="J120" t="str">
        <f>_xlfn.XLOOKUP(Table3[[#This Row],[enz]],'[1]scRBA (raw)'!$N:$N,'[1]scRBA (raw)'!$K:$K,"")</f>
        <v>YBR104W</v>
      </c>
      <c r="K120" t="str">
        <f>_xlfn.XLOOKUP(Table3[[#This Row],[SC enz]],Table2[id],Table2[Abundance in SC (g protein/g all proteins)],"")</f>
        <v/>
      </c>
      <c r="L120" t="str">
        <f>_xlfn.XLOOKUP(Table3[[#This Row],[SC enz]],Table2[id],Table2[Abundance in RT (g protein/g all proteins)],"")</f>
        <v/>
      </c>
      <c r="M120">
        <f>Table3[[#This Row],[log(y)]]-Table3[[#This Row],[log(x)]]/SQRT(2)</f>
        <v>2.0573608144187912</v>
      </c>
      <c r="N120">
        <f>ABS(Table3[[#This Row],[dist from 45-degree (RT - SC)]])</f>
        <v>2.0573608144187912</v>
      </c>
    </row>
    <row r="121" spans="1:14" x14ac:dyDescent="0.2">
      <c r="A121" t="s">
        <v>3255</v>
      </c>
      <c r="B121">
        <v>32686.12794731501</v>
      </c>
      <c r="C121">
        <v>135550.114375045</v>
      </c>
      <c r="D121">
        <f>LOG(Table3[[#This Row],[scRBA $k_{app}$ ($h^{-1}$)]])</f>
        <v>4.5143634763859977</v>
      </c>
      <c r="E121">
        <f>LOG(Table3[[#This Row],[rtRBA $k_{app}$ ($h^{-1}$)]])</f>
        <v>5.1320998883674811</v>
      </c>
      <c r="F121" t="str">
        <f>_xlfn.TEXTAFTER(Table3[[#This Row],[id]],"-",-1)</f>
        <v>rt2224</v>
      </c>
      <c r="G121" t="str">
        <f>_xlfn.TEXTAFTER(_xlfn.TEXTBEFORE(Table3[[#This Row],[id]],"-"&amp;Table3[[#This Row],[enz]]),"_",-1)</f>
        <v>FWD</v>
      </c>
      <c r="H121" t="str">
        <f>_xlfn.TEXTBEFORE(Table3[[#This Row],[id]],"_"&amp;Table3[[#This Row],[dir]])</f>
        <v>GND_c</v>
      </c>
      <c r="I121" t="str">
        <f>_xlfn.XLOOKUP(Table3[[#This Row],[rxn]],Table1[id],Table1[subsystem],"")</f>
        <v>Pentose phosphate pathway</v>
      </c>
      <c r="J121" t="str">
        <f>_xlfn.XLOOKUP(Table3[[#This Row],[enz]],'[1]scRBA (raw)'!$N:$N,'[1]scRBA (raw)'!$K:$K,"")</f>
        <v/>
      </c>
      <c r="K121" t="str">
        <f>_xlfn.XLOOKUP(Table3[[#This Row],[SC enz]],Table2[id],Table2[Abundance in SC (g protein/g all proteins)],"")</f>
        <v/>
      </c>
      <c r="L121" t="str">
        <f>_xlfn.XLOOKUP(Table3[[#This Row],[SC enz]],Table2[id],Table2[Abundance in RT (g protein/g all proteins)],"")</f>
        <v/>
      </c>
      <c r="M121">
        <f>Table3[[#This Row],[log(y)]]-Table3[[#This Row],[log(x)]]/SQRT(2)</f>
        <v>1.9399628614740658</v>
      </c>
      <c r="N121">
        <f>ABS(Table3[[#This Row],[dist from 45-degree (RT - SC)]])</f>
        <v>1.9399628614740658</v>
      </c>
    </row>
    <row r="122" spans="1:14" x14ac:dyDescent="0.2">
      <c r="A122" t="s">
        <v>2991</v>
      </c>
      <c r="B122">
        <v>5319.1368429251388</v>
      </c>
      <c r="C122">
        <v>18294.139705634021</v>
      </c>
      <c r="D122">
        <f>LOG(Table3[[#This Row],[scRBA $k_{app}$ ($h^{-1}$)]])</f>
        <v>3.7258411633536324</v>
      </c>
      <c r="E122">
        <f>LOG(Table3[[#This Row],[rtRBA $k_{app}$ ($h^{-1}$)]])</f>
        <v>4.2623119913093328</v>
      </c>
      <c r="F122" t="str">
        <f>_xlfn.TEXTAFTER(Table3[[#This Row],[id]],"-",-1)</f>
        <v>rt4576</v>
      </c>
      <c r="G122" t="str">
        <f>_xlfn.TEXTAFTER(_xlfn.TEXTBEFORE(Table3[[#This Row],[id]],"-"&amp;Table3[[#This Row],[enz]]),"_",-1)</f>
        <v>FWD</v>
      </c>
      <c r="H122" t="str">
        <f>_xlfn.TEXTBEFORE(Table3[[#This Row],[id]],"_"&amp;Table3[[#This Row],[dir]])</f>
        <v>GRTT_c</v>
      </c>
      <c r="I122" t="str">
        <f>_xlfn.XLOOKUP(Table3[[#This Row],[rxn]],Table1[id],Table1[subsystem],"")</f>
        <v>Terpenoid backbone biosynthesis</v>
      </c>
      <c r="J122" t="str">
        <f>_xlfn.XLOOKUP(Table3[[#This Row],[enz]],'[1]scRBA (raw)'!$N:$N,'[1]scRBA (raw)'!$K:$K,"")</f>
        <v>YJL167W</v>
      </c>
      <c r="K122">
        <f>_xlfn.XLOOKUP(Table3[[#This Row],[SC enz]],Table2[id],Table2[Abundance in SC (g protein/g all proteins)],"")</f>
        <v>1.03072081711946E-6</v>
      </c>
      <c r="L122">
        <f>_xlfn.XLOOKUP(Table3[[#This Row],[SC enz]],Table2[id],Table2[Abundance in RT (g protein/g all proteins)],"")</f>
        <v>4.7100000000000001E-4</v>
      </c>
      <c r="M122">
        <f>Table3[[#This Row],[log(y)]]-Table3[[#This Row],[log(x)]]/SQRT(2)</f>
        <v>1.6277444390780045</v>
      </c>
      <c r="N122">
        <f>ABS(Table3[[#This Row],[dist from 45-degree (RT - SC)]])</f>
        <v>1.6277444390780045</v>
      </c>
    </row>
    <row r="123" spans="1:14" x14ac:dyDescent="0.2">
      <c r="A123" t="s">
        <v>3298</v>
      </c>
      <c r="B123">
        <v>8558443.340694841</v>
      </c>
      <c r="C123">
        <v>3.8980416158685298E-2</v>
      </c>
      <c r="D123">
        <f>LOG(Table3[[#This Row],[scRBA $k_{app}$ ($h^{-1}$)]])</f>
        <v>6.9323947798612044</v>
      </c>
      <c r="E123">
        <f>LOG(Table3[[#This Row],[rtRBA $k_{app}$ ($h^{-1}$)]])</f>
        <v>-1.4091535286238401</v>
      </c>
      <c r="F123" t="str">
        <f>_xlfn.TEXTAFTER(Table3[[#This Row],[id]],"-",-1)</f>
        <v>rt2994</v>
      </c>
      <c r="G123" t="str">
        <f>_xlfn.TEXTAFTER(_xlfn.TEXTBEFORE(Table3[[#This Row],[id]],"-"&amp;Table3[[#This Row],[enz]]),"_",-1)</f>
        <v>FWD</v>
      </c>
      <c r="H123" t="str">
        <f>_xlfn.TEXTBEFORE(Table3[[#This Row],[id]],"_"&amp;Table3[[#This Row],[dir]])</f>
        <v>HACD100i_x</v>
      </c>
      <c r="I123" t="str">
        <f>_xlfn.XLOOKUP(Table3[[#This Row],[rxn]],Table1[id],Table1[subsystem],"")</f>
        <v>Fatty acid degradation</v>
      </c>
      <c r="J123" t="str">
        <f>_xlfn.XLOOKUP(Table3[[#This Row],[enz]],'[1]scRBA (raw)'!$N:$N,'[1]scRBA (raw)'!$K:$K,"")</f>
        <v>YKR009C</v>
      </c>
      <c r="K123">
        <f>_xlfn.XLOOKUP(Table3[[#This Row],[SC enz]],Table2[id],Table2[Abundance in SC (g protein/g all proteins)],"")</f>
        <v>4.3387301881583997E-5</v>
      </c>
      <c r="L123">
        <f>_xlfn.XLOOKUP(Table3[[#This Row],[SC enz]],Table2[id],Table2[Abundance in RT (g protein/g all proteins)],"")</f>
        <v>2.14E-4</v>
      </c>
      <c r="M123">
        <f>Table3[[#This Row],[log(y)]]-Table3[[#This Row],[log(x)]]/SQRT(2)</f>
        <v>-6.3110968873259203</v>
      </c>
      <c r="N123">
        <f>ABS(Table3[[#This Row],[dist from 45-degree (RT - SC)]])</f>
        <v>6.3110968873259203</v>
      </c>
    </row>
    <row r="124" spans="1:14" x14ac:dyDescent="0.2">
      <c r="A124" t="s">
        <v>3256</v>
      </c>
      <c r="B124">
        <v>9601.3076040076157</v>
      </c>
      <c r="C124">
        <v>2484720.7730387128</v>
      </c>
      <c r="D124">
        <f>LOG(Table3[[#This Row],[scRBA $k_{app}$ ($h^{-1}$)]])</f>
        <v>3.9823303837200963</v>
      </c>
      <c r="E124">
        <f>LOG(Table3[[#This Row],[rtRBA $k_{app}$ ($h^{-1}$)]])</f>
        <v>6.3952775908391448</v>
      </c>
      <c r="F124" t="str">
        <f>_xlfn.TEXTAFTER(Table3[[#This Row],[id]],"-",-1)</f>
        <v>rt6232</v>
      </c>
      <c r="G124" t="str">
        <f>_xlfn.TEXTAFTER(_xlfn.TEXTBEFORE(Table3[[#This Row],[id]],"-"&amp;Table3[[#This Row],[enz]]),"_",-1)</f>
        <v>FWD</v>
      </c>
      <c r="H124" t="str">
        <f>_xlfn.TEXTBEFORE(Table3[[#This Row],[id]],"_"&amp;Table3[[#This Row],[dir]])</f>
        <v>HACNH_m</v>
      </c>
      <c r="I124" t="str">
        <f>_xlfn.XLOOKUP(Table3[[#This Row],[rxn]],Table1[id],Table1[subsystem],"")</f>
        <v>Lysine metabolism</v>
      </c>
      <c r="J124" t="str">
        <f>_xlfn.XLOOKUP(Table3[[#This Row],[enz]],'[1]scRBA (raw)'!$N:$N,'[1]scRBA (raw)'!$K:$K,"")</f>
        <v>YJL200C</v>
      </c>
      <c r="K124" t="str">
        <f>_xlfn.XLOOKUP(Table3[[#This Row],[SC enz]],Table2[id],Table2[Abundance in SC (g protein/g all proteins)],"")</f>
        <v/>
      </c>
      <c r="L124" t="str">
        <f>_xlfn.XLOOKUP(Table3[[#This Row],[SC enz]],Table2[id],Table2[Abundance in RT (g protein/g all proteins)],"")</f>
        <v/>
      </c>
      <c r="M124">
        <f>Table3[[#This Row],[log(y)]]-Table3[[#This Row],[log(x)]]/SQRT(2)</f>
        <v>3.579344771585439</v>
      </c>
      <c r="N124">
        <f>ABS(Table3[[#This Row],[dist from 45-degree (RT - SC)]])</f>
        <v>3.579344771585439</v>
      </c>
    </row>
    <row r="125" spans="1:14" x14ac:dyDescent="0.2">
      <c r="A125" t="s">
        <v>3257</v>
      </c>
      <c r="B125">
        <v>41659.544697713653</v>
      </c>
      <c r="C125">
        <v>48394.296010244769</v>
      </c>
      <c r="D125">
        <f>LOG(Table3[[#This Row],[scRBA $k_{app}$ ($h^{-1}$)]])</f>
        <v>4.6197145191798716</v>
      </c>
      <c r="E125">
        <f>LOG(Table3[[#This Row],[rtRBA $k_{app}$ ($h^{-1}$)]])</f>
        <v>4.6847941765770997</v>
      </c>
      <c r="F125" t="str">
        <f>_xlfn.TEXTAFTER(Table3[[#This Row],[id]],"-",-1)</f>
        <v>rt7648</v>
      </c>
      <c r="G125" t="str">
        <f>_xlfn.TEXTAFTER(_xlfn.TEXTBEFORE(Table3[[#This Row],[id]],"-"&amp;Table3[[#This Row],[enz]]),"_",-1)</f>
        <v>FWD</v>
      </c>
      <c r="H125" t="str">
        <f>_xlfn.TEXTBEFORE(Table3[[#This Row],[id]],"_"&amp;Table3[[#This Row],[dir]])</f>
        <v>HCITR_m</v>
      </c>
      <c r="I125" t="str">
        <f>_xlfn.XLOOKUP(Table3[[#This Row],[rxn]],Table1[id],Table1[subsystem],"")</f>
        <v>Lysine metabolism</v>
      </c>
      <c r="J125" t="str">
        <f>_xlfn.XLOOKUP(Table3[[#This Row],[enz]],'[1]scRBA (raw)'!$N:$N,'[1]scRBA (raw)'!$K:$K,"")</f>
        <v>YDR234W</v>
      </c>
      <c r="K125">
        <f>_xlfn.XLOOKUP(Table3[[#This Row],[SC enz]],Table2[id],Table2[Abundance in SC (g protein/g all proteins)],"")</f>
        <v>6.7038719917549504E-4</v>
      </c>
      <c r="L125">
        <f>_xlfn.XLOOKUP(Table3[[#This Row],[SC enz]],Table2[id],Table2[Abundance in RT (g protein/g all proteins)],"")</f>
        <v>4.9200000000000003E-5</v>
      </c>
      <c r="M125">
        <f>Table3[[#This Row],[log(y)]]-Table3[[#This Row],[log(x)]]/SQRT(2)</f>
        <v>1.4181627129190617</v>
      </c>
      <c r="N125">
        <f>ABS(Table3[[#This Row],[dist from 45-degree (RT - SC)]])</f>
        <v>1.4181627129190617</v>
      </c>
    </row>
    <row r="126" spans="1:14" x14ac:dyDescent="0.2">
      <c r="A126" t="s">
        <v>2992</v>
      </c>
      <c r="B126">
        <v>7502.8713224863041</v>
      </c>
      <c r="C126">
        <v>3899547576839.2451</v>
      </c>
      <c r="D126">
        <f>LOG(Table3[[#This Row],[scRBA $k_{app}$ ($h^{-1}$)]])</f>
        <v>3.8752274981743611</v>
      </c>
      <c r="E126">
        <f>LOG(Table3[[#This Row],[rtRBA $k_{app}$ ($h^{-1}$)]])</f>
        <v>12.591014223365015</v>
      </c>
      <c r="F126" t="str">
        <f>_xlfn.TEXTAFTER(Table3[[#This Row],[id]],"-",-1)</f>
        <v>rt6488_m</v>
      </c>
      <c r="G126" t="str">
        <f>_xlfn.TEXTAFTER(_xlfn.TEXTBEFORE(Table3[[#This Row],[id]],"-"&amp;Table3[[#This Row],[enz]]),"_",-1)</f>
        <v>FWD</v>
      </c>
      <c r="H126" t="str">
        <f>_xlfn.TEXTBEFORE(Table3[[#This Row],[id]],"_"&amp;Table3[[#This Row],[dir]])</f>
        <v>HCITS_m</v>
      </c>
      <c r="I126" t="str">
        <f>_xlfn.XLOOKUP(Table3[[#This Row],[rxn]],Table1[id],Table1[subsystem],"")</f>
        <v>Lysine metabolism</v>
      </c>
      <c r="J126" t="str">
        <f>_xlfn.XLOOKUP(Table3[[#This Row],[enz]],'[1]scRBA (raw)'!$N:$N,'[1]scRBA (raw)'!$K:$K,"")</f>
        <v/>
      </c>
      <c r="K126" t="str">
        <f>_xlfn.XLOOKUP(Table3[[#This Row],[SC enz]],Table2[id],Table2[Abundance in SC (g protein/g all proteins)],"")</f>
        <v/>
      </c>
      <c r="L126" t="str">
        <f>_xlfn.XLOOKUP(Table3[[#This Row],[SC enz]],Table2[id],Table2[Abundance in RT (g protein/g all proteins)],"")</f>
        <v/>
      </c>
      <c r="M126">
        <f>Table3[[#This Row],[log(y)]]-Table3[[#This Row],[log(x)]]/SQRT(2)</f>
        <v>9.8508145807653449</v>
      </c>
      <c r="N126">
        <f>ABS(Table3[[#This Row],[dist from 45-degree (RT - SC)]])</f>
        <v>9.8508145807653449</v>
      </c>
    </row>
    <row r="127" spans="1:14" x14ac:dyDescent="0.2">
      <c r="A127" t="s">
        <v>2993</v>
      </c>
      <c r="B127">
        <v>622936.8010802411</v>
      </c>
      <c r="C127">
        <v>307341.09422795981</v>
      </c>
      <c r="D127">
        <f>LOG(Table3[[#This Row],[scRBA $k_{app}$ ($h^{-1}$)]])</f>
        <v>5.7944439883375702</v>
      </c>
      <c r="E127">
        <f>LOG(Table3[[#This Row],[rtRBA $k_{app}$ ($h^{-1}$)]])</f>
        <v>5.4876206331598505</v>
      </c>
      <c r="F127" t="str">
        <f>_xlfn.TEXTAFTER(Table3[[#This Row],[id]],"-",-1)</f>
        <v>rt4213</v>
      </c>
      <c r="G127" t="str">
        <f>_xlfn.TEXTAFTER(_xlfn.TEXTBEFORE(Table3[[#This Row],[id]],"-"&amp;Table3[[#This Row],[enz]]),"_",-1)</f>
        <v>FWD</v>
      </c>
      <c r="H127" t="str">
        <f>_xlfn.TEXTBEFORE(Table3[[#This Row],[id]],"_"&amp;Table3[[#This Row],[dir]])</f>
        <v>HCO3E_c</v>
      </c>
      <c r="I127" t="str">
        <f>_xlfn.XLOOKUP(Table3[[#This Row],[rxn]],Table1[id],Table1[subsystem],"")</f>
        <v>Nitrogen metabolism</v>
      </c>
      <c r="J127" t="str">
        <f>_xlfn.XLOOKUP(Table3[[#This Row],[enz]],'[1]scRBA (raw)'!$N:$N,'[1]scRBA (raw)'!$K:$K,"")</f>
        <v>YNL036W</v>
      </c>
      <c r="K127" t="str">
        <f>_xlfn.XLOOKUP(Table3[[#This Row],[SC enz]],Table2[id],Table2[Abundance in SC (g protein/g all proteins)],"")</f>
        <v/>
      </c>
      <c r="L127" t="str">
        <f>_xlfn.XLOOKUP(Table3[[#This Row],[SC enz]],Table2[id],Table2[Abundance in RT (g protein/g all proteins)],"")</f>
        <v/>
      </c>
      <c r="M127">
        <f>Table3[[#This Row],[log(y)]]-Table3[[#This Row],[log(x)]]/SQRT(2)</f>
        <v>1.3903299958007311</v>
      </c>
      <c r="N127">
        <f>ABS(Table3[[#This Row],[dist from 45-degree (RT - SC)]])</f>
        <v>1.3903299958007311</v>
      </c>
    </row>
    <row r="128" spans="1:14" x14ac:dyDescent="0.2">
      <c r="A128" t="s">
        <v>3299</v>
      </c>
      <c r="B128">
        <v>966396.14975562156</v>
      </c>
      <c r="C128">
        <v>37095.089282946341</v>
      </c>
      <c r="D128">
        <f>LOG(Table3[[#This Row],[scRBA $k_{app}$ ($h^{-1}$)]])</f>
        <v>5.9851551909964087</v>
      </c>
      <c r="E128">
        <f>LOG(Table3[[#This Row],[rtRBA $k_{app}$ ($h^{-1}$)]])</f>
        <v>4.5693164207072945</v>
      </c>
      <c r="F128" t="str">
        <f>_xlfn.TEXTAFTER(Table3[[#This Row],[id]],"-",-1)</f>
        <v>rt2735</v>
      </c>
      <c r="G128" t="str">
        <f>_xlfn.TEXTAFTER(_xlfn.TEXTBEFORE(Table3[[#This Row],[id]],"-"&amp;Table3[[#This Row],[enz]]),"_",-1)</f>
        <v>FWD</v>
      </c>
      <c r="H128" t="str">
        <f>_xlfn.TEXTBEFORE(Table3[[#This Row],[id]],"_"&amp;Table3[[#This Row],[dir]])</f>
        <v>HEMEOS_m</v>
      </c>
      <c r="I128" t="str">
        <f>_xlfn.XLOOKUP(Table3[[#This Row],[rxn]],Table1[id],Table1[subsystem],"")</f>
        <v>Heme metabolism</v>
      </c>
      <c r="J128" t="str">
        <f>_xlfn.XLOOKUP(Table3[[#This Row],[enz]],'[1]scRBA (raw)'!$N:$N,'[1]scRBA (raw)'!$K:$K,"")</f>
        <v>YPL172C</v>
      </c>
      <c r="K128" t="str">
        <f>_xlfn.XLOOKUP(Table3[[#This Row],[SC enz]],Table2[id],Table2[Abundance in SC (g protein/g all proteins)],"")</f>
        <v/>
      </c>
      <c r="L128" t="str">
        <f>_xlfn.XLOOKUP(Table3[[#This Row],[SC enz]],Table2[id],Table2[Abundance in RT (g protein/g all proteins)],"")</f>
        <v/>
      </c>
      <c r="M128">
        <f>Table3[[#This Row],[log(y)]]-Table3[[#This Row],[log(x)]]/SQRT(2)</f>
        <v>0.33717259869986815</v>
      </c>
      <c r="N128">
        <f>ABS(Table3[[#This Row],[dist from 45-degree (RT - SC)]])</f>
        <v>0.33717259869986815</v>
      </c>
    </row>
    <row r="129" spans="1:14" x14ac:dyDescent="0.2">
      <c r="A129" t="s">
        <v>2994</v>
      </c>
      <c r="B129">
        <v>1266756.205724464</v>
      </c>
      <c r="C129">
        <v>373468.73087063071</v>
      </c>
      <c r="D129">
        <f>LOG(Table3[[#This Row],[scRBA $k_{app}$ ($h^{-1}$)]])</f>
        <v>6.1026930405374387</v>
      </c>
      <c r="E129">
        <f>LOG(Table3[[#This Row],[rtRBA $k_{app}$ ($h^{-1}$)]])</f>
        <v>5.5722542458332791</v>
      </c>
      <c r="F129" t="str">
        <f>_xlfn.TEXTAFTER(Table3[[#This Row],[id]],"-",-1)</f>
        <v>rt1896</v>
      </c>
      <c r="G129" t="str">
        <f>_xlfn.TEXTAFTER(_xlfn.TEXTBEFORE(Table3[[#This Row],[id]],"-"&amp;Table3[[#This Row],[enz]]),"_",-1)</f>
        <v>FWD</v>
      </c>
      <c r="H129" t="str">
        <f>_xlfn.TEXTBEFORE(Table3[[#This Row],[id]],"_"&amp;Table3[[#This Row],[dir]])</f>
        <v>HEX1_c</v>
      </c>
      <c r="I129" t="str">
        <f>_xlfn.XLOOKUP(Table3[[#This Row],[rxn]],Table1[id],Table1[subsystem],"")</f>
        <v>Glycolysis / Gluconeogenesis</v>
      </c>
      <c r="J129" t="str">
        <f>_xlfn.XLOOKUP(Table3[[#This Row],[enz]],'[1]scRBA (raw)'!$N:$N,'[1]scRBA (raw)'!$K:$K,"")</f>
        <v/>
      </c>
      <c r="K129" t="str">
        <f>_xlfn.XLOOKUP(Table3[[#This Row],[SC enz]],Table2[id],Table2[Abundance in SC (g protein/g all proteins)],"")</f>
        <v/>
      </c>
      <c r="L129" t="str">
        <f>_xlfn.XLOOKUP(Table3[[#This Row],[SC enz]],Table2[id],Table2[Abundance in RT (g protein/g all proteins)],"")</f>
        <v/>
      </c>
      <c r="M129">
        <f>Table3[[#This Row],[log(y)]]-Table3[[#This Row],[log(x)]]/SQRT(2)</f>
        <v>1.2569986133693067</v>
      </c>
      <c r="N129">
        <f>ABS(Table3[[#This Row],[dist from 45-degree (RT - SC)]])</f>
        <v>1.2569986133693067</v>
      </c>
    </row>
    <row r="130" spans="1:14" x14ac:dyDescent="0.2">
      <c r="A130" t="s">
        <v>2995</v>
      </c>
      <c r="B130">
        <v>6590.7327437033846</v>
      </c>
      <c r="C130">
        <v>5429.8862529545549</v>
      </c>
      <c r="D130">
        <f>LOG(Table3[[#This Row],[scRBA $k_{app}$ ($h^{-1}$)]])</f>
        <v>3.8189337012186679</v>
      </c>
      <c r="E130">
        <f>LOG(Table3[[#This Row],[rtRBA $k_{app}$ ($h^{-1}$)]])</f>
        <v>3.7347907319403042</v>
      </c>
      <c r="F130" t="str">
        <f>_xlfn.TEXTAFTER(Table3[[#This Row],[id]],"-",-1)</f>
        <v>rt2060</v>
      </c>
      <c r="G130" t="str">
        <f>_xlfn.TEXTAFTER(_xlfn.TEXTBEFORE(Table3[[#This Row],[id]],"-"&amp;Table3[[#This Row],[enz]]),"_",-1)</f>
        <v>FWD</v>
      </c>
      <c r="H130" t="str">
        <f>_xlfn.TEXTBEFORE(Table3[[#This Row],[id]],"_"&amp;Table3[[#This Row],[dir]])</f>
        <v>HICITD_m</v>
      </c>
      <c r="I130" t="str">
        <f>_xlfn.XLOOKUP(Table3[[#This Row],[rxn]],Table1[id],Table1[subsystem],"")</f>
        <v>Lysine metabolism</v>
      </c>
      <c r="J130" t="str">
        <f>_xlfn.XLOOKUP(Table3[[#This Row],[enz]],'[1]scRBA (raw)'!$N:$N,'[1]scRBA (raw)'!$K:$K,"")</f>
        <v>YIL094C</v>
      </c>
      <c r="K130">
        <f>_xlfn.XLOOKUP(Table3[[#This Row],[SC enz]],Table2[id],Table2[Abundance in SC (g protein/g all proteins)],"")</f>
        <v>3.9214319302214299E-4</v>
      </c>
      <c r="L130">
        <f>_xlfn.XLOOKUP(Table3[[#This Row],[SC enz]],Table2[id],Table2[Abundance in RT (g protein/g all proteins)],"")</f>
        <v>2.4499999999999999E-4</v>
      </c>
      <c r="M130">
        <f>Table3[[#This Row],[log(y)]]-Table3[[#This Row],[log(x)]]/SQRT(2)</f>
        <v>1.0343968149067435</v>
      </c>
      <c r="N130">
        <f>ABS(Table3[[#This Row],[dist from 45-degree (RT - SC)]])</f>
        <v>1.0343968149067435</v>
      </c>
    </row>
    <row r="131" spans="1:14" x14ac:dyDescent="0.2">
      <c r="A131" t="s">
        <v>2996</v>
      </c>
      <c r="B131">
        <v>5784.7122674116063</v>
      </c>
      <c r="C131">
        <v>37095.089282946341</v>
      </c>
      <c r="D131">
        <f>LOG(Table3[[#This Row],[scRBA $k_{app}$ ($h^{-1}$)]])</f>
        <v>3.762281761942369</v>
      </c>
      <c r="E131">
        <f>LOG(Table3[[#This Row],[rtRBA $k_{app}$ ($h^{-1}$)]])</f>
        <v>4.5693164207072945</v>
      </c>
      <c r="F131" t="str">
        <f>_xlfn.TEXTAFTER(Table3[[#This Row],[id]],"-",-1)</f>
        <v>rt3278</v>
      </c>
      <c r="G131" t="str">
        <f>_xlfn.TEXTAFTER(_xlfn.TEXTBEFORE(Table3[[#This Row],[id]],"-"&amp;Table3[[#This Row],[enz]]),"_",-1)</f>
        <v>FWD</v>
      </c>
      <c r="H131" t="str">
        <f>_xlfn.TEXTBEFORE(Table3[[#This Row],[id]],"_"&amp;Table3[[#This Row],[dir]])</f>
        <v>HISTD_c</v>
      </c>
      <c r="I131" t="str">
        <f>_xlfn.XLOOKUP(Table3[[#This Row],[rxn]],Table1[id],Table1[subsystem],"")</f>
        <v>Histidine metabolism</v>
      </c>
      <c r="J131" t="str">
        <f>_xlfn.XLOOKUP(Table3[[#This Row],[enz]],'[1]scRBA (raw)'!$N:$N,'[1]scRBA (raw)'!$K:$K,"")</f>
        <v>YCL030C</v>
      </c>
      <c r="K131">
        <f>_xlfn.XLOOKUP(Table3[[#This Row],[SC enz]],Table2[id],Table2[Abundance in SC (g protein/g all proteins)],"")</f>
        <v>7.6735013115051596E-5</v>
      </c>
      <c r="L131">
        <f>_xlfn.XLOOKUP(Table3[[#This Row],[SC enz]],Table2[id],Table2[Abundance in RT (g protein/g all proteins)],"")</f>
        <v>6.69E-5</v>
      </c>
      <c r="M131">
        <f>Table3[[#This Row],[log(y)]]-Table3[[#This Row],[log(x)]]/SQRT(2)</f>
        <v>1.9089814741033737</v>
      </c>
      <c r="N131">
        <f>ABS(Table3[[#This Row],[dist from 45-degree (RT - SC)]])</f>
        <v>1.9089814741033737</v>
      </c>
    </row>
    <row r="132" spans="1:14" x14ac:dyDescent="0.2">
      <c r="A132" t="s">
        <v>2997</v>
      </c>
      <c r="B132">
        <v>77451.782842653076</v>
      </c>
      <c r="C132">
        <v>115484.6912942312</v>
      </c>
      <c r="D132">
        <f>LOG(Table3[[#This Row],[scRBA $k_{app}$ ($h^{-1}$)]])</f>
        <v>4.8890314191231754</v>
      </c>
      <c r="E132">
        <f>LOG(Table3[[#This Row],[rtRBA $k_{app}$ ($h^{-1}$)]])</f>
        <v>5.0625244177599011</v>
      </c>
      <c r="F132" t="str">
        <f>_xlfn.TEXTAFTER(Table3[[#This Row],[id]],"-",-1)</f>
        <v>rt1838</v>
      </c>
      <c r="G132" t="str">
        <f>_xlfn.TEXTAFTER(_xlfn.TEXTBEFORE(Table3[[#This Row],[id]],"-"&amp;Table3[[#This Row],[enz]]),"_",-1)</f>
        <v>FWD</v>
      </c>
      <c r="H132" t="str">
        <f>_xlfn.TEXTBEFORE(Table3[[#This Row],[id]],"_"&amp;Table3[[#This Row],[dir]])</f>
        <v>HISTP_c</v>
      </c>
      <c r="I132" t="str">
        <f>_xlfn.XLOOKUP(Table3[[#This Row],[rxn]],Table1[id],Table1[subsystem],"")</f>
        <v>Histidine metabolism</v>
      </c>
      <c r="J132" t="str">
        <f>_xlfn.XLOOKUP(Table3[[#This Row],[enz]],'[1]scRBA (raw)'!$N:$N,'[1]scRBA (raw)'!$K:$K,"")</f>
        <v>YFR025C</v>
      </c>
      <c r="K132">
        <f>_xlfn.XLOOKUP(Table3[[#This Row],[SC enz]],Table2[id],Table2[Abundance in SC (g protein/g all proteins)],"")</f>
        <v>5.3864890320119703E-5</v>
      </c>
      <c r="L132">
        <f>_xlfn.XLOOKUP(Table3[[#This Row],[SC enz]],Table2[id],Table2[Abundance in RT (g protein/g all proteins)],"")</f>
        <v>4.4399999999999998E-6</v>
      </c>
      <c r="M132">
        <f>Table3[[#This Row],[log(y)]]-Table3[[#This Row],[log(x)]]/SQRT(2)</f>
        <v>1.6054571478638144</v>
      </c>
      <c r="N132">
        <f>ABS(Table3[[#This Row],[dist from 45-degree (RT - SC)]])</f>
        <v>1.6054571478638144</v>
      </c>
    </row>
    <row r="133" spans="1:14" x14ac:dyDescent="0.2">
      <c r="A133" t="s">
        <v>2998</v>
      </c>
      <c r="B133">
        <v>6690.3238403266851</v>
      </c>
      <c r="C133">
        <v>12705.947676877269</v>
      </c>
      <c r="D133">
        <f>LOG(Table3[[#This Row],[scRBA $k_{app}$ ($h^{-1}$)]])</f>
        <v>3.8254471399894978</v>
      </c>
      <c r="E133">
        <f>LOG(Table3[[#This Row],[rtRBA $k_{app}$ ($h^{-1}$)]])</f>
        <v>4.1040070625772165</v>
      </c>
      <c r="F133" t="str">
        <f>_xlfn.TEXTAFTER(Table3[[#This Row],[id]],"-",-1)</f>
        <v>rt0207_c</v>
      </c>
      <c r="G133" t="str">
        <f>_xlfn.TEXTAFTER(_xlfn.TEXTBEFORE(Table3[[#This Row],[id]],"-"&amp;Table3[[#This Row],[enz]]),"_",-1)</f>
        <v>FWD</v>
      </c>
      <c r="H133" t="str">
        <f>_xlfn.TEXTBEFORE(Table3[[#This Row],[id]],"_"&amp;Table3[[#This Row],[dir]])</f>
        <v>HISTRS_c</v>
      </c>
      <c r="I133" t="str">
        <f>_xlfn.XLOOKUP(Table3[[#This Row],[rxn]],Table1[id],Table1[subsystem],"")</f>
        <v>Aminoacyl-tRNA biosynthesis</v>
      </c>
      <c r="J133" t="str">
        <f>_xlfn.XLOOKUP(Table3[[#This Row],[enz]],'[1]scRBA (raw)'!$N:$N,'[1]scRBA (raw)'!$K:$K,"")</f>
        <v/>
      </c>
      <c r="K133" t="str">
        <f>_xlfn.XLOOKUP(Table3[[#This Row],[SC enz]],Table2[id],Table2[Abundance in SC (g protein/g all proteins)],"")</f>
        <v/>
      </c>
      <c r="L133" t="str">
        <f>_xlfn.XLOOKUP(Table3[[#This Row],[SC enz]],Table2[id],Table2[Abundance in RT (g protein/g all proteins)],"")</f>
        <v/>
      </c>
      <c r="M133">
        <f>Table3[[#This Row],[log(y)]]-Table3[[#This Row],[log(x)]]/SQRT(2)</f>
        <v>1.3990074488199586</v>
      </c>
      <c r="N133">
        <f>ABS(Table3[[#This Row],[dist from 45-degree (RT - SC)]])</f>
        <v>1.3990074488199586</v>
      </c>
    </row>
    <row r="134" spans="1:14" x14ac:dyDescent="0.2">
      <c r="A134" t="s">
        <v>2999</v>
      </c>
      <c r="B134">
        <v>65378.24283816044</v>
      </c>
      <c r="C134">
        <v>305457.30807161279</v>
      </c>
      <c r="D134">
        <f>LOG(Table3[[#This Row],[scRBA $k_{app}$ ($h^{-1}$)]])</f>
        <v>4.8154332439294851</v>
      </c>
      <c r="E134">
        <f>LOG(Table3[[#This Row],[rtRBA $k_{app}$ ($h^{-1}$)]])</f>
        <v>5.4849505200956505</v>
      </c>
      <c r="F134" t="str">
        <f>_xlfn.TEXTAFTER(Table3[[#This Row],[id]],"-",-1)</f>
        <v>rt1206</v>
      </c>
      <c r="G134" t="str">
        <f>_xlfn.TEXTAFTER(_xlfn.TEXTBEFORE(Table3[[#This Row],[id]],"-"&amp;Table3[[#This Row],[enz]]),"_",-1)</f>
        <v>FWD</v>
      </c>
      <c r="H134" t="str">
        <f>_xlfn.TEXTBEFORE(Table3[[#This Row],[id]],"_"&amp;Table3[[#This Row],[dir]])</f>
        <v>HMGCOAR_c</v>
      </c>
      <c r="I134" t="str">
        <f>_xlfn.XLOOKUP(Table3[[#This Row],[rxn]],Table1[id],Table1[subsystem],"")</f>
        <v>Terpenoid backbone biosynthesis</v>
      </c>
      <c r="J134" t="str">
        <f>_xlfn.XLOOKUP(Table3[[#This Row],[enz]],'[1]scRBA (raw)'!$N:$N,'[1]scRBA (raw)'!$K:$K,"")</f>
        <v>YLR450W</v>
      </c>
      <c r="K134">
        <f>_xlfn.XLOOKUP(Table3[[#This Row],[SC enz]],Table2[id],Table2[Abundance in SC (g protein/g all proteins)],"")</f>
        <v>7.7904904529080294E-6</v>
      </c>
      <c r="L134">
        <f>_xlfn.XLOOKUP(Table3[[#This Row],[SC enz]],Table2[id],Table2[Abundance in RT (g protein/g all proteins)],"")</f>
        <v>2.6949999999999999E-3</v>
      </c>
      <c r="M134">
        <f>Table3[[#This Row],[log(y)]]-Table3[[#This Row],[log(x)]]/SQRT(2)</f>
        <v>2.0799250189619776</v>
      </c>
      <c r="N134">
        <f>ABS(Table3[[#This Row],[dist from 45-degree (RT - SC)]])</f>
        <v>2.0799250189619776</v>
      </c>
    </row>
    <row r="135" spans="1:14" x14ac:dyDescent="0.2">
      <c r="A135" t="s">
        <v>3000</v>
      </c>
      <c r="B135">
        <v>10145.795050752449</v>
      </c>
      <c r="C135">
        <v>11291.61630071268</v>
      </c>
      <c r="D135">
        <f>LOG(Table3[[#This Row],[scRBA $k_{app}$ ($h^{-1}$)]])</f>
        <v>4.00628608514221</v>
      </c>
      <c r="E135">
        <f>LOG(Table3[[#This Row],[rtRBA $k_{app}$ ($h^{-1}$)]])</f>
        <v>4.0527561120081419</v>
      </c>
      <c r="F135" t="str">
        <f>_xlfn.TEXTAFTER(Table3[[#This Row],[id]],"-",-1)</f>
        <v>rt3754_c</v>
      </c>
      <c r="G135" t="str">
        <f>_xlfn.TEXTAFTER(_xlfn.TEXTBEFORE(Table3[[#This Row],[id]],"-"&amp;Table3[[#This Row],[enz]]),"_",-1)</f>
        <v>FWD</v>
      </c>
      <c r="H135" t="str">
        <f>_xlfn.TEXTBEFORE(Table3[[#This Row],[id]],"_"&amp;Table3[[#This Row],[dir]])</f>
        <v>HMGCOAS_c</v>
      </c>
      <c r="I135" t="str">
        <f>_xlfn.XLOOKUP(Table3[[#This Row],[rxn]],Table1[id],Table1[subsystem],"")</f>
        <v>Terpenoid backbone biosynthesis</v>
      </c>
      <c r="J135" t="str">
        <f>_xlfn.XLOOKUP(Table3[[#This Row],[enz]],'[1]scRBA (raw)'!$N:$N,'[1]scRBA (raw)'!$K:$K,"")</f>
        <v/>
      </c>
      <c r="K135" t="str">
        <f>_xlfn.XLOOKUP(Table3[[#This Row],[SC enz]],Table2[id],Table2[Abundance in SC (g protein/g all proteins)],"")</f>
        <v/>
      </c>
      <c r="L135" t="str">
        <f>_xlfn.XLOOKUP(Table3[[#This Row],[SC enz]],Table2[id],Table2[Abundance in RT (g protein/g all proteins)],"")</f>
        <v/>
      </c>
      <c r="M135">
        <f>Table3[[#This Row],[log(y)]]-Table3[[#This Row],[log(x)]]/SQRT(2)</f>
        <v>1.2198840538307794</v>
      </c>
      <c r="N135">
        <f>ABS(Table3[[#This Row],[dist from 45-degree (RT - SC)]])</f>
        <v>1.2198840538307794</v>
      </c>
    </row>
    <row r="136" spans="1:14" x14ac:dyDescent="0.2">
      <c r="A136" t="s">
        <v>3001</v>
      </c>
      <c r="B136">
        <v>101488.2297119603</v>
      </c>
      <c r="C136">
        <v>30865.993610051559</v>
      </c>
      <c r="D136">
        <f>LOG(Table3[[#This Row],[scRBA $k_{app}$ ($h^{-1}$)]])</f>
        <v>5.0064156770516135</v>
      </c>
      <c r="E136">
        <f>LOG(Table3[[#This Row],[rtRBA $k_{app}$ ($h^{-1}$)]])</f>
        <v>4.4894802619419405</v>
      </c>
      <c r="F136" t="str">
        <f>_xlfn.TEXTAFTER(Table3[[#This Row],[id]],"-",-1)</f>
        <v>rt4145</v>
      </c>
      <c r="G136" t="str">
        <f>_xlfn.TEXTAFTER(_xlfn.TEXTBEFORE(Table3[[#This Row],[id]],"-"&amp;Table3[[#This Row],[enz]]),"_",-1)</f>
        <v>FWD</v>
      </c>
      <c r="H136" t="str">
        <f>_xlfn.TEXTBEFORE(Table3[[#This Row],[id]],"_"&amp;Table3[[#This Row],[dir]])</f>
        <v>HSERTA_c</v>
      </c>
      <c r="I136" t="str">
        <f>_xlfn.XLOOKUP(Table3[[#This Row],[rxn]],Table1[id],Table1[subsystem],"")</f>
        <v>Cysteine and methionine metabolism</v>
      </c>
      <c r="J136" t="str">
        <f>_xlfn.XLOOKUP(Table3[[#This Row],[enz]],'[1]scRBA (raw)'!$N:$N,'[1]scRBA (raw)'!$K:$K,"")</f>
        <v>YNL277W</v>
      </c>
      <c r="K136">
        <f>_xlfn.XLOOKUP(Table3[[#This Row],[SC enz]],Table2[id],Table2[Abundance in SC (g protein/g all proteins)],"")</f>
        <v>1.3524518767111301E-5</v>
      </c>
      <c r="L136">
        <f>_xlfn.XLOOKUP(Table3[[#This Row],[SC enz]],Table2[id],Table2[Abundance in RT (g protein/g all proteins)],"")</f>
        <v>1.6799999999999999E-4</v>
      </c>
      <c r="M136">
        <f>Table3[[#This Row],[log(y)]]-Table3[[#This Row],[log(x)]]/SQRT(2)</f>
        <v>0.94940978726010439</v>
      </c>
      <c r="N136">
        <f>ABS(Table3[[#This Row],[dist from 45-degree (RT - SC)]])</f>
        <v>0.94940978726010439</v>
      </c>
    </row>
    <row r="137" spans="1:14" x14ac:dyDescent="0.2">
      <c r="A137" t="s">
        <v>3002</v>
      </c>
      <c r="B137">
        <v>103363.80341603501</v>
      </c>
      <c r="C137">
        <v>106054.86851779489</v>
      </c>
      <c r="D137">
        <f>LOG(Table3[[#This Row],[scRBA $k_{app}$ ($h^{-1}$)]])</f>
        <v>5.014368481419254</v>
      </c>
      <c r="E137">
        <f>LOG(Table3[[#This Row],[rtRBA $k_{app}$ ($h^{-1}$)]])</f>
        <v>5.0255306098811694</v>
      </c>
      <c r="F137" t="str">
        <f>_xlfn.TEXTAFTER(Table3[[#This Row],[id]],"-",-1)</f>
        <v>rt0283</v>
      </c>
      <c r="G137" t="str">
        <f>_xlfn.TEXTAFTER(_xlfn.TEXTBEFORE(Table3[[#This Row],[id]],"-"&amp;Table3[[#This Row],[enz]]),"_",-1)</f>
        <v>FWD</v>
      </c>
      <c r="H137" t="str">
        <f>_xlfn.TEXTBEFORE(Table3[[#This Row],[id]],"_"&amp;Table3[[#This Row],[dir]])</f>
        <v>HSK_c</v>
      </c>
      <c r="I137" t="str">
        <f>_xlfn.XLOOKUP(Table3[[#This Row],[rxn]],Table1[id],Table1[subsystem],"")</f>
        <v>Glycine, serine and threonine metabolism</v>
      </c>
      <c r="J137" t="str">
        <f>_xlfn.XLOOKUP(Table3[[#This Row],[enz]],'[1]scRBA (raw)'!$N:$N,'[1]scRBA (raw)'!$K:$K,"")</f>
        <v>YHR025W</v>
      </c>
      <c r="K137">
        <f>_xlfn.XLOOKUP(Table3[[#This Row],[SC enz]],Table2[id],Table2[Abundance in SC (g protein/g all proteins)],"")</f>
        <v>9.4615787928506906E-5</v>
      </c>
      <c r="L137">
        <f>_xlfn.XLOOKUP(Table3[[#This Row],[SC enz]],Table2[id],Table2[Abundance in RT (g protein/g all proteins)],"")</f>
        <v>1.2300000000000001E-4</v>
      </c>
      <c r="M137">
        <f>Table3[[#This Row],[log(y)]]-Table3[[#This Row],[log(x)]]/SQRT(2)</f>
        <v>1.4798366533015246</v>
      </c>
      <c r="N137">
        <f>ABS(Table3[[#This Row],[dist from 45-degree (RT - SC)]])</f>
        <v>1.4798366533015246</v>
      </c>
    </row>
    <row r="138" spans="1:14" x14ac:dyDescent="0.2">
      <c r="A138" t="s">
        <v>3003</v>
      </c>
      <c r="B138">
        <v>4203.0029968235076</v>
      </c>
      <c r="C138">
        <v>9266.6501746936519</v>
      </c>
      <c r="D138">
        <f>LOG(Table3[[#This Row],[scRBA $k_{app}$ ($h^{-1}$)]])</f>
        <v>3.6235596996660244</v>
      </c>
      <c r="E138">
        <f>LOG(Table3[[#This Row],[rtRBA $k_{app}$ ($h^{-1}$)]])</f>
        <v>3.9669227682797898</v>
      </c>
      <c r="F138" t="str">
        <f>_xlfn.TEXTAFTER(Table3[[#This Row],[id]],"-",-1)</f>
        <v>rt4862</v>
      </c>
      <c r="G138" t="str">
        <f>_xlfn.TEXTAFTER(_xlfn.TEXTBEFORE(Table3[[#This Row],[id]],"-"&amp;Table3[[#This Row],[enz]]),"_",-1)</f>
        <v>FWD</v>
      </c>
      <c r="H138" t="str">
        <f>_xlfn.TEXTBEFORE(Table3[[#This Row],[id]],"_"&amp;Table3[[#This Row],[dir]])</f>
        <v>HSTPT_c</v>
      </c>
      <c r="I138" t="str">
        <f>_xlfn.XLOOKUP(Table3[[#This Row],[rxn]],Table1[id],Table1[subsystem],"")</f>
        <v>Histidine metabolism</v>
      </c>
      <c r="J138" t="str">
        <f>_xlfn.XLOOKUP(Table3[[#This Row],[enz]],'[1]scRBA (raw)'!$N:$N,'[1]scRBA (raw)'!$K:$K,"")</f>
        <v>YIL116W</v>
      </c>
      <c r="K138">
        <f>_xlfn.XLOOKUP(Table3[[#This Row],[SC enz]],Table2[id],Table2[Abundance in SC (g protein/g all proteins)],"")</f>
        <v>1.65844297834081E-4</v>
      </c>
      <c r="L138">
        <f>_xlfn.XLOOKUP(Table3[[#This Row],[SC enz]],Table2[id],Table2[Abundance in RT (g protein/g all proteins)],"")</f>
        <v>1.2899999999999999E-4</v>
      </c>
      <c r="M138">
        <f>Table3[[#This Row],[log(y)]]-Table3[[#This Row],[log(x)]]/SQRT(2)</f>
        <v>1.4046791326116548</v>
      </c>
      <c r="N138">
        <f>ABS(Table3[[#This Row],[dist from 45-degree (RT - SC)]])</f>
        <v>1.4046791326116548</v>
      </c>
    </row>
    <row r="139" spans="1:14" x14ac:dyDescent="0.2">
      <c r="A139" t="s">
        <v>3258</v>
      </c>
      <c r="B139">
        <v>5.1783405860194198E-2</v>
      </c>
      <c r="C139">
        <v>642629.47210508899</v>
      </c>
      <c r="D139">
        <f>LOG(Table3[[#This Row],[scRBA $k_{app}$ ($h^{-1}$)]])</f>
        <v>-1.2858093888635889</v>
      </c>
      <c r="E139">
        <f>LOG(Table3[[#This Row],[rtRBA $k_{app}$ ($h^{-1}$)]])</f>
        <v>5.8079606391723937</v>
      </c>
      <c r="F139" t="str">
        <f>_xlfn.TEXTAFTER(Table3[[#This Row],[id]],"-",-1)</f>
        <v>IDH12</v>
      </c>
      <c r="G139" t="str">
        <f>_xlfn.TEXTAFTER(_xlfn.TEXTBEFORE(Table3[[#This Row],[id]],"-"&amp;Table3[[#This Row],[enz]]),"_",-1)</f>
        <v>FWD</v>
      </c>
      <c r="H139" t="str">
        <f>_xlfn.TEXTBEFORE(Table3[[#This Row],[id]],"_"&amp;Table3[[#This Row],[dir]])</f>
        <v>ICDHx_m</v>
      </c>
      <c r="I139" t="str">
        <f>_xlfn.XLOOKUP(Table3[[#This Row],[rxn]],Table1[id],Table1[subsystem],"")</f>
        <v>Citric acid cycle</v>
      </c>
      <c r="J139" t="str">
        <f>_xlfn.XLOOKUP(Table3[[#This Row],[enz]],'[1]scRBA (raw)'!$N:$N,'[1]scRBA (raw)'!$K:$K,"")</f>
        <v/>
      </c>
      <c r="K139" t="str">
        <f>_xlfn.XLOOKUP(Table3[[#This Row],[SC enz]],Table2[id],Table2[Abundance in SC (g protein/g all proteins)],"")</f>
        <v/>
      </c>
      <c r="L139" t="str">
        <f>_xlfn.XLOOKUP(Table3[[#This Row],[SC enz]],Table2[id],Table2[Abundance in RT (g protein/g all proteins)],"")</f>
        <v/>
      </c>
      <c r="M139">
        <f>Table3[[#This Row],[log(y)]]-Table3[[#This Row],[log(x)]]/SQRT(2)</f>
        <v>6.717165177351168</v>
      </c>
      <c r="N139">
        <f>ABS(Table3[[#This Row],[dist from 45-degree (RT - SC)]])</f>
        <v>6.717165177351168</v>
      </c>
    </row>
    <row r="140" spans="1:14" x14ac:dyDescent="0.2">
      <c r="A140" t="s">
        <v>3004</v>
      </c>
      <c r="B140">
        <v>4341.6056137396963</v>
      </c>
      <c r="C140">
        <v>8190.4524519320221</v>
      </c>
      <c r="D140">
        <f>LOG(Table3[[#This Row],[scRBA $k_{app}$ ($h^{-1}$)]])</f>
        <v>3.6376503701189131</v>
      </c>
      <c r="E140">
        <f>LOG(Table3[[#This Row],[rtRBA $k_{app}$ ($h^{-1}$)]])</f>
        <v>3.9133078934514942</v>
      </c>
      <c r="F140" t="str">
        <f>_xlfn.TEXTAFTER(Table3[[#This Row],[id]],"-",-1)</f>
        <v>rt0716</v>
      </c>
      <c r="G140" t="str">
        <f>_xlfn.TEXTAFTER(_xlfn.TEXTBEFORE(Table3[[#This Row],[id]],"-"&amp;Table3[[#This Row],[enz]]),"_",-1)</f>
        <v>FWD</v>
      </c>
      <c r="H140" t="str">
        <f>_xlfn.TEXTBEFORE(Table3[[#This Row],[id]],"_"&amp;Table3[[#This Row],[dir]])</f>
        <v>IG3PS_c</v>
      </c>
      <c r="I140" t="str">
        <f>_xlfn.XLOOKUP(Table3[[#This Row],[rxn]],Table1[id],Table1[subsystem],"")</f>
        <v>Histidine metabolism</v>
      </c>
      <c r="J140" t="str">
        <f>_xlfn.XLOOKUP(Table3[[#This Row],[enz]],'[1]scRBA (raw)'!$N:$N,'[1]scRBA (raw)'!$K:$K,"")</f>
        <v>YBR248C</v>
      </c>
      <c r="K140">
        <f>_xlfn.XLOOKUP(Table3[[#This Row],[SC enz]],Table2[id],Table2[Abundance in SC (g protein/g all proteins)],"")</f>
        <v>1.2148959550129899E-6</v>
      </c>
      <c r="L140">
        <f>_xlfn.XLOOKUP(Table3[[#This Row],[SC enz]],Table2[id],Table2[Abundance in RT (g protein/g all proteins)],"")</f>
        <v>1.8099999999999999E-7</v>
      </c>
      <c r="M140">
        <f>Table3[[#This Row],[log(y)]]-Table3[[#This Row],[log(x)]]/SQRT(2)</f>
        <v>1.3411006491546567</v>
      </c>
      <c r="N140">
        <f>ABS(Table3[[#This Row],[dist from 45-degree (RT - SC)]])</f>
        <v>1.3411006491546567</v>
      </c>
    </row>
    <row r="141" spans="1:14" x14ac:dyDescent="0.2">
      <c r="A141" t="s">
        <v>3005</v>
      </c>
      <c r="B141">
        <v>6675.9556626258218</v>
      </c>
      <c r="C141">
        <v>25473.90896715222</v>
      </c>
      <c r="D141">
        <f>LOG(Table3[[#This Row],[scRBA $k_{app}$ ($h^{-1}$)]])</f>
        <v>3.824513443714086</v>
      </c>
      <c r="E141">
        <f>LOG(Table3[[#This Row],[rtRBA $k_{app}$ ($h^{-1}$)]])</f>
        <v>4.4060955924942782</v>
      </c>
      <c r="F141" t="str">
        <f>_xlfn.TEXTAFTER(Table3[[#This Row],[id]],"-",-1)</f>
        <v>rt0339</v>
      </c>
      <c r="G141" t="str">
        <f>_xlfn.TEXTAFTER(_xlfn.TEXTBEFORE(Table3[[#This Row],[id]],"-"&amp;Table3[[#This Row],[enz]]),"_",-1)</f>
        <v>FWD</v>
      </c>
      <c r="H141" t="str">
        <f>_xlfn.TEXTBEFORE(Table3[[#This Row],[id]],"_"&amp;Table3[[#This Row],[dir]])</f>
        <v>IGPDH_c</v>
      </c>
      <c r="I141" t="str">
        <f>_xlfn.XLOOKUP(Table3[[#This Row],[rxn]],Table1[id],Table1[subsystem],"")</f>
        <v>Histidine metabolism</v>
      </c>
      <c r="J141" t="str">
        <f>_xlfn.XLOOKUP(Table3[[#This Row],[enz]],'[1]scRBA (raw)'!$N:$N,'[1]scRBA (raw)'!$K:$K,"")</f>
        <v>YOR202W</v>
      </c>
      <c r="K141">
        <f>_xlfn.XLOOKUP(Table3[[#This Row],[SC enz]],Table2[id],Table2[Abundance in SC (g protein/g all proteins)],"")</f>
        <v>7.4254046229609602E-5</v>
      </c>
      <c r="L141">
        <f>_xlfn.XLOOKUP(Table3[[#This Row],[SC enz]],Table2[id],Table2[Abundance in RT (g protein/g all proteins)],"")</f>
        <v>7.0399999999999998E-4</v>
      </c>
      <c r="M141">
        <f>Table3[[#This Row],[log(y)]]-Table3[[#This Row],[log(x)]]/SQRT(2)</f>
        <v>1.7017562017049328</v>
      </c>
      <c r="N141">
        <f>ABS(Table3[[#This Row],[dist from 45-degree (RT - SC)]])</f>
        <v>1.7017562017049328</v>
      </c>
    </row>
    <row r="142" spans="1:14" x14ac:dyDescent="0.2">
      <c r="A142" t="s">
        <v>3006</v>
      </c>
      <c r="B142">
        <v>90711.917372349417</v>
      </c>
      <c r="C142">
        <v>24653.727123789409</v>
      </c>
      <c r="D142">
        <f>LOG(Table3[[#This Row],[scRBA $k_{app}$ ($h^{-1}$)]])</f>
        <v>4.9576643466968884</v>
      </c>
      <c r="E142">
        <f>LOG(Table3[[#This Row],[rtRBA $k_{app}$ ($h^{-1}$)]])</f>
        <v>4.3918825847464991</v>
      </c>
      <c r="F142" t="str">
        <f>_xlfn.TEXTAFTER(Table3[[#This Row],[id]],"-",-1)</f>
        <v>rt8196</v>
      </c>
      <c r="G142" t="str">
        <f>_xlfn.TEXTAFTER(_xlfn.TEXTBEFORE(Table3[[#This Row],[id]],"-"&amp;Table3[[#This Row],[enz]]),"_",-1)</f>
        <v>FWD</v>
      </c>
      <c r="H142" t="str">
        <f>_xlfn.TEXTBEFORE(Table3[[#This Row],[id]],"_"&amp;Table3[[#This Row],[dir]])</f>
        <v>IGPS_c</v>
      </c>
      <c r="I142" t="str">
        <f>_xlfn.XLOOKUP(Table3[[#This Row],[rxn]],Table1[id],Table1[subsystem],"")</f>
        <v>Phenylalanine, tyrosine and tryptophan metabolism</v>
      </c>
      <c r="J142" t="str">
        <f>_xlfn.XLOOKUP(Table3[[#This Row],[enz]],'[1]scRBA (raw)'!$N:$N,'[1]scRBA (raw)'!$K:$K,"")</f>
        <v/>
      </c>
      <c r="K142" t="str">
        <f>_xlfn.XLOOKUP(Table3[[#This Row],[SC enz]],Table2[id],Table2[Abundance in SC (g protein/g all proteins)],"")</f>
        <v/>
      </c>
      <c r="L142" t="str">
        <f>_xlfn.XLOOKUP(Table3[[#This Row],[SC enz]],Table2[id],Table2[Abundance in RT (g protein/g all proteins)],"")</f>
        <v/>
      </c>
      <c r="M142">
        <f>Table3[[#This Row],[log(y)]]-Table3[[#This Row],[log(x)]]/SQRT(2)</f>
        <v>0.88628450635035438</v>
      </c>
      <c r="N142">
        <f>ABS(Table3[[#This Row],[dist from 45-degree (RT - SC)]])</f>
        <v>0.88628450635035438</v>
      </c>
    </row>
    <row r="143" spans="1:14" x14ac:dyDescent="0.2">
      <c r="A143" t="s">
        <v>3007</v>
      </c>
      <c r="B143">
        <v>14309.04320510554</v>
      </c>
      <c r="C143">
        <v>15165.10446519942</v>
      </c>
      <c r="D143">
        <f>LOG(Table3[[#This Row],[scRBA $k_{app}$ ($h^{-1}$)]])</f>
        <v>4.1556105950012023</v>
      </c>
      <c r="E143">
        <f>LOG(Table3[[#This Row],[rtRBA $k_{app}$ ($h^{-1}$)]])</f>
        <v>4.1808454063053304</v>
      </c>
      <c r="F143" t="str">
        <f>_xlfn.TEXTAFTER(Table3[[#This Row],[id]],"-",-1)</f>
        <v>rt5078</v>
      </c>
      <c r="G143" t="str">
        <f>_xlfn.TEXTAFTER(_xlfn.TEXTBEFORE(Table3[[#This Row],[id]],"-"&amp;Table3[[#This Row],[enz]]),"_",-1)</f>
        <v>FWD</v>
      </c>
      <c r="H143" t="str">
        <f>_xlfn.TEXTBEFORE(Table3[[#This Row],[id]],"_"&amp;Table3[[#This Row],[dir]])</f>
        <v>ILETRS_c</v>
      </c>
      <c r="I143" t="str">
        <f>_xlfn.XLOOKUP(Table3[[#This Row],[rxn]],Table1[id],Table1[subsystem],"")</f>
        <v>Aminoacyl-tRNA biosynthesis</v>
      </c>
      <c r="J143" t="str">
        <f>_xlfn.XLOOKUP(Table3[[#This Row],[enz]],'[1]scRBA (raw)'!$N:$N,'[1]scRBA (raw)'!$K:$K,"")</f>
        <v>YBL076C</v>
      </c>
      <c r="K143">
        <f>_xlfn.XLOOKUP(Table3[[#This Row],[SC enz]],Table2[id],Table2[Abundance in SC (g protein/g all proteins)],"")</f>
        <v>4.5872255955271298E-5</v>
      </c>
      <c r="L143">
        <f>_xlfn.XLOOKUP(Table3[[#This Row],[SC enz]],Table2[id],Table2[Abundance in RT (g protein/g all proteins)],"")</f>
        <v>2.6100000000000001E-5</v>
      </c>
      <c r="M143">
        <f>Table3[[#This Row],[log(y)]]-Table3[[#This Row],[log(x)]]/SQRT(2)</f>
        <v>1.2423849746093167</v>
      </c>
      <c r="N143">
        <f>ABS(Table3[[#This Row],[dist from 45-degree (RT - SC)]])</f>
        <v>1.2423849746093167</v>
      </c>
    </row>
    <row r="144" spans="1:14" x14ac:dyDescent="0.2">
      <c r="A144" t="s">
        <v>3259</v>
      </c>
      <c r="B144">
        <v>115517.9447339925</v>
      </c>
      <c r="C144">
        <v>11862.194428612351</v>
      </c>
      <c r="D144">
        <f>LOG(Table3[[#This Row],[scRBA $k_{app}$ ($h^{-1}$)]])</f>
        <v>5.0626494534369018</v>
      </c>
      <c r="E144">
        <f>LOG(Table3[[#This Row],[rtRBA $k_{app}$ ($h^{-1}$)]])</f>
        <v>4.0741650381074876</v>
      </c>
      <c r="F144" t="str">
        <f>_xlfn.TEXTAFTER(Table3[[#This Row],[id]],"-",-1)</f>
        <v>rt4053</v>
      </c>
      <c r="G144" t="str">
        <f>_xlfn.TEXTAFTER(_xlfn.TEXTBEFORE(Table3[[#This Row],[id]],"-"&amp;Table3[[#This Row],[enz]]),"_",-1)</f>
        <v>FWD</v>
      </c>
      <c r="H144" t="str">
        <f>_xlfn.TEXTBEFORE(Table3[[#This Row],[id]],"_"&amp;Table3[[#This Row],[dir]])</f>
        <v>IMPC_c</v>
      </c>
      <c r="I144" t="str">
        <f>_xlfn.XLOOKUP(Table3[[#This Row],[rxn]],Table1[id],Table1[subsystem],"")</f>
        <v>Purine metabolism</v>
      </c>
      <c r="J144" t="str">
        <f>_xlfn.XLOOKUP(Table3[[#This Row],[enz]],'[1]scRBA (raw)'!$N:$N,'[1]scRBA (raw)'!$K:$K,"")</f>
        <v/>
      </c>
      <c r="K144" t="str">
        <f>_xlfn.XLOOKUP(Table3[[#This Row],[SC enz]],Table2[id],Table2[Abundance in SC (g protein/g all proteins)],"")</f>
        <v/>
      </c>
      <c r="L144" t="str">
        <f>_xlfn.XLOOKUP(Table3[[#This Row],[SC enz]],Table2[id],Table2[Abundance in RT (g protein/g all proteins)],"")</f>
        <v/>
      </c>
      <c r="M144">
        <f>Table3[[#This Row],[log(y)]]-Table3[[#This Row],[log(x)]]/SQRT(2)</f>
        <v>0.49433127881188632</v>
      </c>
      <c r="N144">
        <f>ABS(Table3[[#This Row],[dist from 45-degree (RT - SC)]])</f>
        <v>0.49433127881188632</v>
      </c>
    </row>
    <row r="145" spans="1:14" x14ac:dyDescent="0.2">
      <c r="A145" t="s">
        <v>3008</v>
      </c>
      <c r="B145">
        <v>7537.5047210093007</v>
      </c>
      <c r="C145">
        <v>18346.285842039051</v>
      </c>
      <c r="D145">
        <f>LOG(Table3[[#This Row],[scRBA $k_{app}$ ($h^{-1}$)]])</f>
        <v>3.8772275971624892</v>
      </c>
      <c r="E145">
        <f>LOG(Table3[[#This Row],[rtRBA $k_{app}$ ($h^{-1}$)]])</f>
        <v>4.2635481556957897</v>
      </c>
      <c r="F145" t="str">
        <f>_xlfn.TEXTAFTER(Table3[[#This Row],[id]],"-",-1)</f>
        <v>rt0027</v>
      </c>
      <c r="G145" t="str">
        <f>_xlfn.TEXTAFTER(_xlfn.TEXTBEFORE(Table3[[#This Row],[id]],"-"&amp;Table3[[#This Row],[enz]]),"_",-1)</f>
        <v>FWD</v>
      </c>
      <c r="H145" t="str">
        <f>_xlfn.TEXTBEFORE(Table3[[#This Row],[id]],"_"&amp;Table3[[#This Row],[dir]])</f>
        <v>IMPD_c</v>
      </c>
      <c r="I145" t="str">
        <f>_xlfn.XLOOKUP(Table3[[#This Row],[rxn]],Table1[id],Table1[subsystem],"")</f>
        <v>Purine metabolism</v>
      </c>
      <c r="J145" t="str">
        <f>_xlfn.XLOOKUP(Table3[[#This Row],[enz]],'[1]scRBA (raw)'!$N:$N,'[1]scRBA (raw)'!$K:$K,"")</f>
        <v/>
      </c>
      <c r="K145" t="str">
        <f>_xlfn.XLOOKUP(Table3[[#This Row],[SC enz]],Table2[id],Table2[Abundance in SC (g protein/g all proteins)],"")</f>
        <v/>
      </c>
      <c r="L145" t="str">
        <f>_xlfn.XLOOKUP(Table3[[#This Row],[SC enz]],Table2[id],Table2[Abundance in RT (g protein/g all proteins)],"")</f>
        <v/>
      </c>
      <c r="M145">
        <f>Table3[[#This Row],[log(y)]]-Table3[[#This Row],[log(x)]]/SQRT(2)</f>
        <v>1.5219342295385703</v>
      </c>
      <c r="N145">
        <f>ABS(Table3[[#This Row],[dist from 45-degree (RT - SC)]])</f>
        <v>1.5219342295385703</v>
      </c>
    </row>
    <row r="146" spans="1:14" x14ac:dyDescent="0.2">
      <c r="A146" t="s">
        <v>3300</v>
      </c>
      <c r="B146">
        <v>1172.8960646772789</v>
      </c>
      <c r="C146">
        <v>20706067.785283402</v>
      </c>
      <c r="D146">
        <f>LOG(Table3[[#This Row],[scRBA $k_{app}$ ($h^{-1}$)]])</f>
        <v>3.0692595291342566</v>
      </c>
      <c r="E146">
        <f>LOG(Table3[[#This Row],[rtRBA $k_{app}$ ($h^{-1}$)]])</f>
        <v>7.3160976314237223</v>
      </c>
      <c r="F146" t="str">
        <f>_xlfn.TEXTAFTER(Table3[[#This Row],[id]],"-",-1)</f>
        <v>rt4674</v>
      </c>
      <c r="G146" t="str">
        <f>_xlfn.TEXTAFTER(_xlfn.TEXTBEFORE(Table3[[#This Row],[id]],"-"&amp;Table3[[#This Row],[enz]]),"_",-1)</f>
        <v>FWD</v>
      </c>
      <c r="H146" t="str">
        <f>_xlfn.TEXTBEFORE(Table3[[#This Row],[id]],"_"&amp;Table3[[#This Row],[dir]])</f>
        <v>INOSTtps_e</v>
      </c>
      <c r="I146" t="str">
        <f>_xlfn.XLOOKUP(Table3[[#This Row],[rxn]],Table1[id],Table1[subsystem],"")</f>
        <v>Transport</v>
      </c>
      <c r="J146" t="str">
        <f>_xlfn.XLOOKUP(Table3[[#This Row],[enz]],'[1]scRBA (raw)'!$N:$N,'[1]scRBA (raw)'!$K:$K,"")</f>
        <v>YOL103W</v>
      </c>
      <c r="K146">
        <f>_xlfn.XLOOKUP(Table3[[#This Row],[SC enz]],Table2[id],Table2[Abundance in SC (g protein/g all proteins)],"")</f>
        <v>1.0413284665110901E-5</v>
      </c>
      <c r="L146">
        <f>_xlfn.XLOOKUP(Table3[[#This Row],[SC enz]],Table2[id],Table2[Abundance in RT (g protein/g all proteins)],"")</f>
        <v>3.3100000000000001E-6</v>
      </c>
      <c r="M146">
        <f>Table3[[#This Row],[log(y)]]-Table3[[#This Row],[log(x)]]/SQRT(2)</f>
        <v>5.1458034051514598</v>
      </c>
      <c r="N146">
        <f>ABS(Table3[[#This Row],[dist from 45-degree (RT - SC)]])</f>
        <v>5.1458034051514598</v>
      </c>
    </row>
    <row r="147" spans="1:14" x14ac:dyDescent="0.2">
      <c r="A147" t="s">
        <v>3009</v>
      </c>
      <c r="B147">
        <v>9168.3197999281019</v>
      </c>
      <c r="C147">
        <v>15822.426172063149</v>
      </c>
      <c r="D147">
        <f>LOG(Table3[[#This Row],[scRBA $k_{app}$ ($h^{-1}$)]])</f>
        <v>3.9622897535022195</v>
      </c>
      <c r="E147">
        <f>LOG(Table3[[#This Row],[rtRBA $k_{app}$ ($h^{-1}$)]])</f>
        <v>4.1992730779196359</v>
      </c>
      <c r="F147" t="str">
        <f>_xlfn.TEXTAFTER(Table3[[#This Row],[id]],"-",-1)</f>
        <v>rt7835</v>
      </c>
      <c r="G147" t="str">
        <f>_xlfn.TEXTAFTER(_xlfn.TEXTBEFORE(Table3[[#This Row],[id]],"-"&amp;Table3[[#This Row],[enz]]),"_",-1)</f>
        <v>FWD</v>
      </c>
      <c r="H147" t="str">
        <f>_xlfn.TEXTBEFORE(Table3[[#This Row],[id]],"_"&amp;Table3[[#This Row],[dir]])</f>
        <v>IPDDI_c</v>
      </c>
      <c r="I147" t="str">
        <f>_xlfn.XLOOKUP(Table3[[#This Row],[rxn]],Table1[id],Table1[subsystem],"")</f>
        <v>Terpenoid backbone biosynthesis</v>
      </c>
      <c r="J147" t="str">
        <f>_xlfn.XLOOKUP(Table3[[#This Row],[enz]],'[1]scRBA (raw)'!$N:$N,'[1]scRBA (raw)'!$K:$K,"")</f>
        <v>YPL117C</v>
      </c>
      <c r="K147" t="str">
        <f>_xlfn.XLOOKUP(Table3[[#This Row],[SC enz]],Table2[id],Table2[Abundance in SC (g protein/g all proteins)],"")</f>
        <v/>
      </c>
      <c r="L147" t="str">
        <f>_xlfn.XLOOKUP(Table3[[#This Row],[SC enz]],Table2[id],Table2[Abundance in RT (g protein/g all proteins)],"")</f>
        <v/>
      </c>
      <c r="M147">
        <f>Table3[[#This Row],[log(y)]]-Table3[[#This Row],[log(x)]]/SQRT(2)</f>
        <v>1.3975111241922429</v>
      </c>
      <c r="N147">
        <f>ABS(Table3[[#This Row],[dist from 45-degree (RT - SC)]])</f>
        <v>1.3975111241922429</v>
      </c>
    </row>
    <row r="148" spans="1:14" x14ac:dyDescent="0.2">
      <c r="A148" t="s">
        <v>3010</v>
      </c>
      <c r="B148">
        <v>19003.556903457211</v>
      </c>
      <c r="C148">
        <v>15988.464394701839</v>
      </c>
      <c r="D148">
        <f>LOG(Table3[[#This Row],[scRBA $k_{app}$ ($h^{-1}$)]])</f>
        <v>4.2788348956354589</v>
      </c>
      <c r="E148">
        <f>LOG(Table3[[#This Row],[rtRBA $k_{app}$ ($h^{-1}$)]])</f>
        <v>4.2038067541194275</v>
      </c>
      <c r="F148" t="str">
        <f>_xlfn.TEXTAFTER(Table3[[#This Row],[id]],"-",-1)</f>
        <v>rt5526</v>
      </c>
      <c r="G148" t="str">
        <f>_xlfn.TEXTAFTER(_xlfn.TEXTBEFORE(Table3[[#This Row],[id]],"-"&amp;Table3[[#This Row],[enz]]),"_",-1)</f>
        <v>FWD</v>
      </c>
      <c r="H148" t="str">
        <f>_xlfn.TEXTBEFORE(Table3[[#This Row],[id]],"_"&amp;Table3[[#This Row],[dir]])</f>
        <v>IPMD_c</v>
      </c>
      <c r="I148" t="str">
        <f>_xlfn.XLOOKUP(Table3[[#This Row],[rxn]],Table1[id],Table1[subsystem],"")</f>
        <v>Valine, leucine and isoleucine metabolism</v>
      </c>
      <c r="J148" t="str">
        <f>_xlfn.XLOOKUP(Table3[[#This Row],[enz]],'[1]scRBA (raw)'!$N:$N,'[1]scRBA (raw)'!$K:$K,"")</f>
        <v>YCL018W</v>
      </c>
      <c r="K148">
        <f>_xlfn.XLOOKUP(Table3[[#This Row],[SC enz]],Table2[id],Table2[Abundance in SC (g protein/g all proteins)],"")</f>
        <v>1.25407360308644E-3</v>
      </c>
      <c r="L148">
        <f>_xlfn.XLOOKUP(Table3[[#This Row],[SC enz]],Table2[id],Table2[Abundance in RT (g protein/g all proteins)],"")</f>
        <v>2.82E-3</v>
      </c>
      <c r="M148">
        <f>Table3[[#This Row],[log(y)]]-Table3[[#This Row],[log(x)]]/SQRT(2)</f>
        <v>1.1782135838379615</v>
      </c>
      <c r="N148">
        <f>ABS(Table3[[#This Row],[dist from 45-degree (RT - SC)]])</f>
        <v>1.1782135838379615</v>
      </c>
    </row>
    <row r="149" spans="1:14" x14ac:dyDescent="0.2">
      <c r="A149" t="s">
        <v>3011</v>
      </c>
      <c r="B149">
        <v>24574.703609222579</v>
      </c>
      <c r="C149">
        <v>38065.404256480491</v>
      </c>
      <c r="D149">
        <f>LOG(Table3[[#This Row],[scRBA $k_{app}$ ($h^{-1}$)]])</f>
        <v>4.3904882885934775</v>
      </c>
      <c r="E149">
        <f>LOG(Table3[[#This Row],[rtRBA $k_{app}$ ($h^{-1}$)]])</f>
        <v>4.5805304463827516</v>
      </c>
      <c r="F149" t="str">
        <f>_xlfn.TEXTAFTER(Table3[[#This Row],[id]],"-",-1)</f>
        <v>rt6546</v>
      </c>
      <c r="G149" t="str">
        <f>_xlfn.TEXTAFTER(_xlfn.TEXTBEFORE(Table3[[#This Row],[id]],"-"&amp;Table3[[#This Row],[enz]]),"_",-1)</f>
        <v>REV</v>
      </c>
      <c r="H149" t="str">
        <f>_xlfn.TEXTBEFORE(Table3[[#This Row],[id]],"_"&amp;Table3[[#This Row],[dir]])</f>
        <v>IPPMIa_c</v>
      </c>
      <c r="I149" t="str">
        <f>_xlfn.XLOOKUP(Table3[[#This Row],[rxn]],Table1[id],Table1[subsystem],"")</f>
        <v>Valine, leucine and isoleucine metabolism</v>
      </c>
      <c r="J149" t="str">
        <f>_xlfn.XLOOKUP(Table3[[#This Row],[enz]],'[1]scRBA (raw)'!$N:$N,'[1]scRBA (raw)'!$K:$K,"")</f>
        <v>YGL009C</v>
      </c>
      <c r="K149">
        <f>_xlfn.XLOOKUP(Table3[[#This Row],[SC enz]],Table2[id],Table2[Abundance in SC (g protein/g all proteins)],"")</f>
        <v>3.6722732821932902E-6</v>
      </c>
      <c r="L149">
        <f>_xlfn.XLOOKUP(Table3[[#This Row],[SC enz]],Table2[id],Table2[Abundance in RT (g protein/g all proteins)],"")</f>
        <v>7.2999999999999999E-5</v>
      </c>
      <c r="M149">
        <f>Table3[[#This Row],[log(y)]]-Table3[[#This Row],[log(x)]]/SQRT(2)</f>
        <v>1.4759864047981841</v>
      </c>
      <c r="N149">
        <f>ABS(Table3[[#This Row],[dist from 45-degree (RT - SC)]])</f>
        <v>1.4759864047981841</v>
      </c>
    </row>
    <row r="150" spans="1:14" x14ac:dyDescent="0.2">
      <c r="A150" t="s">
        <v>3012</v>
      </c>
      <c r="B150">
        <v>24574.703609222579</v>
      </c>
      <c r="C150">
        <v>38065.404256480491</v>
      </c>
      <c r="D150">
        <f>LOG(Table3[[#This Row],[scRBA $k_{app}$ ($h^{-1}$)]])</f>
        <v>4.3904882885934775</v>
      </c>
      <c r="E150">
        <f>LOG(Table3[[#This Row],[rtRBA $k_{app}$ ($h^{-1}$)]])</f>
        <v>4.5805304463827516</v>
      </c>
      <c r="F150" t="str">
        <f>_xlfn.TEXTAFTER(Table3[[#This Row],[id]],"-",-1)</f>
        <v>rt6546</v>
      </c>
      <c r="G150" t="str">
        <f>_xlfn.TEXTAFTER(_xlfn.TEXTBEFORE(Table3[[#This Row],[id]],"-"&amp;Table3[[#This Row],[enz]]),"_",-1)</f>
        <v>REV</v>
      </c>
      <c r="H150" t="str">
        <f>_xlfn.TEXTBEFORE(Table3[[#This Row],[id]],"_"&amp;Table3[[#This Row],[dir]])</f>
        <v>IPPMIb_c</v>
      </c>
      <c r="I150" t="str">
        <f>_xlfn.XLOOKUP(Table3[[#This Row],[rxn]],Table1[id],Table1[subsystem],"")</f>
        <v>Valine, leucine and isoleucine metabolism</v>
      </c>
      <c r="J150" t="str">
        <f>_xlfn.XLOOKUP(Table3[[#This Row],[enz]],'[1]scRBA (raw)'!$N:$N,'[1]scRBA (raw)'!$K:$K,"")</f>
        <v>YGL009C</v>
      </c>
      <c r="K150">
        <f>_xlfn.XLOOKUP(Table3[[#This Row],[SC enz]],Table2[id],Table2[Abundance in SC (g protein/g all proteins)],"")</f>
        <v>3.6722732821932902E-6</v>
      </c>
      <c r="L150">
        <f>_xlfn.XLOOKUP(Table3[[#This Row],[SC enz]],Table2[id],Table2[Abundance in RT (g protein/g all proteins)],"")</f>
        <v>7.2999999999999999E-5</v>
      </c>
      <c r="M150">
        <f>Table3[[#This Row],[log(y)]]-Table3[[#This Row],[log(x)]]/SQRT(2)</f>
        <v>1.4759864047981841</v>
      </c>
      <c r="N150">
        <f>ABS(Table3[[#This Row],[dist from 45-degree (RT - SC)]])</f>
        <v>1.4759864047981841</v>
      </c>
    </row>
    <row r="151" spans="1:14" x14ac:dyDescent="0.2">
      <c r="A151" t="s">
        <v>3260</v>
      </c>
      <c r="B151">
        <v>45114.839561570509</v>
      </c>
      <c r="C151">
        <v>9105.1639997470793</v>
      </c>
      <c r="D151">
        <f>LOG(Table3[[#This Row],[scRBA $k_{app}$ ($h^{-1}$)]])</f>
        <v>4.6543194172584057</v>
      </c>
      <c r="E151">
        <f>LOG(Table3[[#This Row],[rtRBA $k_{app}$ ($h^{-1}$)]])</f>
        <v>3.9592877725959306</v>
      </c>
      <c r="F151" t="str">
        <f>_xlfn.TEXTAFTER(Table3[[#This Row],[id]],"-",-1)</f>
        <v>rt7120</v>
      </c>
      <c r="G151" t="str">
        <f>_xlfn.TEXTAFTER(_xlfn.TEXTBEFORE(Table3[[#This Row],[id]],"-"&amp;Table3[[#This Row],[enz]]),"_",-1)</f>
        <v>FWD</v>
      </c>
      <c r="H151" t="str">
        <f>_xlfn.TEXTBEFORE(Table3[[#This Row],[id]],"_"&amp;Table3[[#This Row],[dir]])</f>
        <v>IPPS_c</v>
      </c>
      <c r="I151" t="str">
        <f>_xlfn.XLOOKUP(Table3[[#This Row],[rxn]],Table1[id],Table1[subsystem],"")</f>
        <v>Valine, leucine and isoleucine metabolism</v>
      </c>
      <c r="J151" t="str">
        <f>_xlfn.XLOOKUP(Table3[[#This Row],[enz]],'[1]scRBA (raw)'!$N:$N,'[1]scRBA (raw)'!$K:$K,"")</f>
        <v/>
      </c>
      <c r="K151" t="str">
        <f>_xlfn.XLOOKUP(Table3[[#This Row],[SC enz]],Table2[id],Table2[Abundance in SC (g protein/g all proteins)],"")</f>
        <v/>
      </c>
      <c r="L151" t="str">
        <f>_xlfn.XLOOKUP(Table3[[#This Row],[SC enz]],Table2[id],Table2[Abundance in RT (g protein/g all proteins)],"")</f>
        <v/>
      </c>
      <c r="M151">
        <f>Table3[[#This Row],[log(y)]]-Table3[[#This Row],[log(x)]]/SQRT(2)</f>
        <v>0.66818695084429214</v>
      </c>
      <c r="N151">
        <f>ABS(Table3[[#This Row],[dist from 45-degree (RT - SC)]])</f>
        <v>0.66818695084429214</v>
      </c>
    </row>
    <row r="152" spans="1:14" x14ac:dyDescent="0.2">
      <c r="A152" t="s">
        <v>3013</v>
      </c>
      <c r="B152">
        <v>6862.4409266444081</v>
      </c>
      <c r="C152">
        <v>7709.0498989612106</v>
      </c>
      <c r="D152">
        <f>LOG(Table3[[#This Row],[scRBA $k_{app}$ ($h^{-1}$)]])</f>
        <v>3.8364786189746827</v>
      </c>
      <c r="E152">
        <f>LOG(Table3[[#This Row],[rtRBA $k_{app}$ ($h^{-1}$)]])</f>
        <v>3.8870008567715497</v>
      </c>
      <c r="F152" t="str">
        <f>_xlfn.TEXTAFTER(Table3[[#This Row],[id]],"-",-1)</f>
        <v>rt0808</v>
      </c>
      <c r="G152" t="str">
        <f>_xlfn.TEXTAFTER(_xlfn.TEXTBEFORE(Table3[[#This Row],[id]],"-"&amp;Table3[[#This Row],[enz]]),"_",-1)</f>
        <v>FWD</v>
      </c>
      <c r="H152" t="str">
        <f>_xlfn.TEXTBEFORE(Table3[[#This Row],[id]],"_"&amp;Table3[[#This Row],[dir]])</f>
        <v>KARA1i_m</v>
      </c>
      <c r="I152" t="str">
        <f>_xlfn.XLOOKUP(Table3[[#This Row],[rxn]],Table1[id],Table1[subsystem],"")</f>
        <v>Valine, leucine and isoleucine metabolism</v>
      </c>
      <c r="J152" t="str">
        <f>_xlfn.XLOOKUP(Table3[[#This Row],[enz]],'[1]scRBA (raw)'!$N:$N,'[1]scRBA (raw)'!$K:$K,"")</f>
        <v>YLR355C</v>
      </c>
      <c r="K152">
        <f>_xlfn.XLOOKUP(Table3[[#This Row],[SC enz]],Table2[id],Table2[Abundance in SC (g protein/g all proteins)],"")</f>
        <v>4.1695365100541901E-5</v>
      </c>
      <c r="L152">
        <f>_xlfn.XLOOKUP(Table3[[#This Row],[SC enz]],Table2[id],Table2[Abundance in RT (g protein/g all proteins)],"")</f>
        <v>9.87E-5</v>
      </c>
      <c r="M152">
        <f>Table3[[#This Row],[log(y)]]-Table3[[#This Row],[log(x)]]/SQRT(2)</f>
        <v>1.1742008094173508</v>
      </c>
      <c r="N152">
        <f>ABS(Table3[[#This Row],[dist from 45-degree (RT - SC)]])</f>
        <v>1.1742008094173508</v>
      </c>
    </row>
    <row r="153" spans="1:14" x14ac:dyDescent="0.2">
      <c r="A153" t="s">
        <v>3014</v>
      </c>
      <c r="B153">
        <v>6862.4409266444081</v>
      </c>
      <c r="C153">
        <v>7709.0498989612106</v>
      </c>
      <c r="D153">
        <f>LOG(Table3[[#This Row],[scRBA $k_{app}$ ($h^{-1}$)]])</f>
        <v>3.8364786189746827</v>
      </c>
      <c r="E153">
        <f>LOG(Table3[[#This Row],[rtRBA $k_{app}$ ($h^{-1}$)]])</f>
        <v>3.8870008567715497</v>
      </c>
      <c r="F153" t="str">
        <f>_xlfn.TEXTAFTER(Table3[[#This Row],[id]],"-",-1)</f>
        <v>rt0808</v>
      </c>
      <c r="G153" t="str">
        <f>_xlfn.TEXTAFTER(_xlfn.TEXTBEFORE(Table3[[#This Row],[id]],"-"&amp;Table3[[#This Row],[enz]]),"_",-1)</f>
        <v>FWD</v>
      </c>
      <c r="H153" t="str">
        <f>_xlfn.TEXTBEFORE(Table3[[#This Row],[id]],"_"&amp;Table3[[#This Row],[dir]])</f>
        <v>KARA2i_m</v>
      </c>
      <c r="I153" t="str">
        <f>_xlfn.XLOOKUP(Table3[[#This Row],[rxn]],Table1[id],Table1[subsystem],"")</f>
        <v>Valine, leucine and isoleucine metabolism</v>
      </c>
      <c r="J153" t="str">
        <f>_xlfn.XLOOKUP(Table3[[#This Row],[enz]],'[1]scRBA (raw)'!$N:$N,'[1]scRBA (raw)'!$K:$K,"")</f>
        <v>YLR355C</v>
      </c>
      <c r="K153">
        <f>_xlfn.XLOOKUP(Table3[[#This Row],[SC enz]],Table2[id],Table2[Abundance in SC (g protein/g all proteins)],"")</f>
        <v>4.1695365100541901E-5</v>
      </c>
      <c r="L153">
        <f>_xlfn.XLOOKUP(Table3[[#This Row],[SC enz]],Table2[id],Table2[Abundance in RT (g protein/g all proteins)],"")</f>
        <v>9.87E-5</v>
      </c>
      <c r="M153">
        <f>Table3[[#This Row],[log(y)]]-Table3[[#This Row],[log(x)]]/SQRT(2)</f>
        <v>1.1742008094173508</v>
      </c>
      <c r="N153">
        <f>ABS(Table3[[#This Row],[dist from 45-degree (RT - SC)]])</f>
        <v>1.1742008094173508</v>
      </c>
    </row>
    <row r="154" spans="1:14" x14ac:dyDescent="0.2">
      <c r="A154" t="s">
        <v>3015</v>
      </c>
      <c r="B154">
        <v>3039403.4909217008</v>
      </c>
      <c r="C154">
        <v>715765.33657586167</v>
      </c>
      <c r="D154">
        <f>LOG(Table3[[#This Row],[scRBA $k_{app}$ ($h^{-1}$)]])</f>
        <v>6.4827883579439893</v>
      </c>
      <c r="E154">
        <f>LOG(Table3[[#This Row],[rtRBA $k_{app}$ ($h^{-1}$)]])</f>
        <v>5.8547706623435278</v>
      </c>
      <c r="F154" t="str">
        <f>_xlfn.TEXTAFTER(Table3[[#This Row],[id]],"-",-1)</f>
        <v>rt5646</v>
      </c>
      <c r="G154" t="str">
        <f>_xlfn.TEXTAFTER(_xlfn.TEXTBEFORE(Table3[[#This Row],[id]],"-"&amp;Table3[[#This Row],[enz]]),"_",-1)</f>
        <v>REV</v>
      </c>
      <c r="H154" t="str">
        <f>_xlfn.TEXTBEFORE(Table3[[#This Row],[id]],"_"&amp;Table3[[#This Row],[dir]])</f>
        <v>LEUTA_c</v>
      </c>
      <c r="I154" t="str">
        <f>_xlfn.XLOOKUP(Table3[[#This Row],[rxn]],Table1[id],Table1[subsystem],"")</f>
        <v>Cysteine and methionine metabolism</v>
      </c>
      <c r="J154" t="str">
        <f>_xlfn.XLOOKUP(Table3[[#This Row],[enz]],'[1]scRBA (raw)'!$N:$N,'[1]scRBA (raw)'!$K:$K,"")</f>
        <v>YJR148W</v>
      </c>
      <c r="K154">
        <f>_xlfn.XLOOKUP(Table3[[#This Row],[SC enz]],Table2[id],Table2[Abundance in SC (g protein/g all proteins)],"")</f>
        <v>1.6749442232668601E-4</v>
      </c>
      <c r="L154">
        <f>_xlfn.XLOOKUP(Table3[[#This Row],[SC enz]],Table2[id],Table2[Abundance in RT (g protein/g all proteins)],"")</f>
        <v>4.0200000000000001E-5</v>
      </c>
      <c r="M154">
        <f>Table3[[#This Row],[log(y)]]-Table3[[#This Row],[log(x)]]/SQRT(2)</f>
        <v>1.2707470534441301</v>
      </c>
      <c r="N154">
        <f>ABS(Table3[[#This Row],[dist from 45-degree (RT - SC)]])</f>
        <v>1.2707470534441301</v>
      </c>
    </row>
    <row r="155" spans="1:14" x14ac:dyDescent="0.2">
      <c r="A155" t="s">
        <v>3016</v>
      </c>
      <c r="B155">
        <v>24631.787356948989</v>
      </c>
      <c r="C155">
        <v>17773.918517156872</v>
      </c>
      <c r="D155">
        <f>LOG(Table3[[#This Row],[scRBA $k_{app}$ ($h^{-1}$)]])</f>
        <v>4.391495926702941</v>
      </c>
      <c r="E155">
        <f>LOG(Table3[[#This Row],[rtRBA $k_{app}$ ($h^{-1}$)]])</f>
        <v>4.2497831848549668</v>
      </c>
      <c r="F155" t="str">
        <f>_xlfn.TEXTAFTER(Table3[[#This Row],[id]],"-",-1)</f>
        <v>rt1776</v>
      </c>
      <c r="G155" t="str">
        <f>_xlfn.TEXTAFTER(_xlfn.TEXTBEFORE(Table3[[#This Row],[id]],"-"&amp;Table3[[#This Row],[enz]]),"_",-1)</f>
        <v>FWD</v>
      </c>
      <c r="H155" t="str">
        <f>_xlfn.TEXTBEFORE(Table3[[#This Row],[id]],"_"&amp;Table3[[#This Row],[dir]])</f>
        <v>LEUTRS_c</v>
      </c>
      <c r="I155" t="str">
        <f>_xlfn.XLOOKUP(Table3[[#This Row],[rxn]],Table1[id],Table1[subsystem],"")</f>
        <v>Aminoacyl-tRNA biosynthesis</v>
      </c>
      <c r="J155" t="str">
        <f>_xlfn.XLOOKUP(Table3[[#This Row],[enz]],'[1]scRBA (raw)'!$N:$N,'[1]scRBA (raw)'!$K:$K,"")</f>
        <v>YPL160W</v>
      </c>
      <c r="K155" t="str">
        <f>_xlfn.XLOOKUP(Table3[[#This Row],[SC enz]],Table2[id],Table2[Abundance in SC (g protein/g all proteins)],"")</f>
        <v/>
      </c>
      <c r="L155" t="str">
        <f>_xlfn.XLOOKUP(Table3[[#This Row],[SC enz]],Table2[id],Table2[Abundance in RT (g protein/g all proteins)],"")</f>
        <v/>
      </c>
      <c r="M155">
        <f>Table3[[#This Row],[log(y)]]-Table3[[#This Row],[log(x)]]/SQRT(2)</f>
        <v>1.1445266355302159</v>
      </c>
      <c r="N155">
        <f>ABS(Table3[[#This Row],[dist from 45-degree (RT - SC)]])</f>
        <v>1.1445266355302159</v>
      </c>
    </row>
    <row r="156" spans="1:14" x14ac:dyDescent="0.2">
      <c r="A156" t="s">
        <v>3017</v>
      </c>
      <c r="B156">
        <v>22766.539572572688</v>
      </c>
      <c r="C156">
        <v>11921.46801522159</v>
      </c>
      <c r="D156">
        <f>LOG(Table3[[#This Row],[scRBA $k_{app}$ ($h^{-1}$)]])</f>
        <v>4.3572970245218512</v>
      </c>
      <c r="E156">
        <f>LOG(Table3[[#This Row],[rtRBA $k_{app}$ ($h^{-1}$)]])</f>
        <v>4.076329737925553</v>
      </c>
      <c r="F156" t="str">
        <f>_xlfn.TEXTAFTER(Table3[[#This Row],[id]],"-",-1)</f>
        <v>rt3577</v>
      </c>
      <c r="G156" t="str">
        <f>_xlfn.TEXTAFTER(_xlfn.TEXTBEFORE(Table3[[#This Row],[id]],"-"&amp;Table3[[#This Row],[enz]]),"_",-1)</f>
        <v>FWD</v>
      </c>
      <c r="H156" t="str">
        <f>_xlfn.TEXTBEFORE(Table3[[#This Row],[id]],"_"&amp;Table3[[#This Row],[dir]])</f>
        <v>LYSTRS_c</v>
      </c>
      <c r="I156" t="str">
        <f>_xlfn.XLOOKUP(Table3[[#This Row],[rxn]],Table1[id],Table1[subsystem],"")</f>
        <v>Aminoacyl-tRNA biosynthesis</v>
      </c>
      <c r="J156" t="str">
        <f>_xlfn.XLOOKUP(Table3[[#This Row],[enz]],'[1]scRBA (raw)'!$N:$N,'[1]scRBA (raw)'!$K:$K,"")</f>
        <v>YDR037W</v>
      </c>
      <c r="K156">
        <f>_xlfn.XLOOKUP(Table3[[#This Row],[SC enz]],Table2[id],Table2[Abundance in SC (g protein/g all proteins)],"")</f>
        <v>1.8522256150003501E-5</v>
      </c>
      <c r="L156">
        <f>_xlfn.XLOOKUP(Table3[[#This Row],[SC enz]],Table2[id],Table2[Abundance in RT (g protein/g all proteins)],"")</f>
        <v>5.3900000000000002E-5</v>
      </c>
      <c r="M156">
        <f>Table3[[#This Row],[log(y)]]-Table3[[#This Row],[log(x)]]/SQRT(2)</f>
        <v>0.99525546424218581</v>
      </c>
      <c r="N156">
        <f>ABS(Table3[[#This Row],[dist from 45-degree (RT - SC)]])</f>
        <v>0.99525546424218581</v>
      </c>
    </row>
    <row r="157" spans="1:14" x14ac:dyDescent="0.2">
      <c r="A157" t="s">
        <v>3018</v>
      </c>
      <c r="B157">
        <v>4265.9147133664083</v>
      </c>
      <c r="C157">
        <v>10802.48139899952</v>
      </c>
      <c r="D157">
        <f>LOG(Table3[[#This Row],[scRBA $k_{app}$ ($h^{-1}$)]])</f>
        <v>3.6300121685338027</v>
      </c>
      <c r="E157">
        <f>LOG(Table3[[#This Row],[rtRBA $k_{app}$ ($h^{-1}$)]])</f>
        <v>4.033523527163891</v>
      </c>
      <c r="F157" t="str">
        <f>_xlfn.TEXTAFTER(Table3[[#This Row],[id]],"-",-1)</f>
        <v>rt6588</v>
      </c>
      <c r="G157" t="str">
        <f>_xlfn.TEXTAFTER(_xlfn.TEXTBEFORE(Table3[[#This Row],[id]],"-"&amp;Table3[[#This Row],[enz]]),"_",-1)</f>
        <v>FWD</v>
      </c>
      <c r="H157" t="str">
        <f>_xlfn.TEXTBEFORE(Table3[[#This Row],[id]],"_"&amp;Table3[[#This Row],[dir]])</f>
        <v>MAN1PT_c</v>
      </c>
      <c r="I157" t="str">
        <f>_xlfn.XLOOKUP(Table3[[#This Row],[rxn]],Table1[id],Table1[subsystem],"")</f>
        <v>Fructose and mannose metabolism</v>
      </c>
      <c r="J157" t="str">
        <f>_xlfn.XLOOKUP(Table3[[#This Row],[enz]],'[1]scRBA (raw)'!$N:$N,'[1]scRBA (raw)'!$K:$K,"")</f>
        <v>YDL055C</v>
      </c>
      <c r="K157">
        <f>_xlfn.XLOOKUP(Table3[[#This Row],[SC enz]],Table2[id],Table2[Abundance in SC (g protein/g all proteins)],"")</f>
        <v>2.6781032974726102E-4</v>
      </c>
      <c r="L157">
        <f>_xlfn.XLOOKUP(Table3[[#This Row],[SC enz]],Table2[id],Table2[Abundance in RT (g protein/g all proteins)],"")</f>
        <v>4.08E-4</v>
      </c>
      <c r="M157">
        <f>Table3[[#This Row],[log(y)]]-Table3[[#This Row],[log(x)]]/SQRT(2)</f>
        <v>1.4667173070039548</v>
      </c>
      <c r="N157">
        <f>ABS(Table3[[#This Row],[dist from 45-degree (RT - SC)]])</f>
        <v>1.4667173070039548</v>
      </c>
    </row>
    <row r="158" spans="1:14" x14ac:dyDescent="0.2">
      <c r="A158" t="s">
        <v>3019</v>
      </c>
      <c r="B158">
        <v>17362.854937162701</v>
      </c>
      <c r="C158">
        <v>35550.913648350397</v>
      </c>
      <c r="D158">
        <f>LOG(Table3[[#This Row],[scRBA $k_{app}$ ($h^{-1}$)]])</f>
        <v>4.239621136826341</v>
      </c>
      <c r="E158">
        <f>LOG(Table3[[#This Row],[rtRBA $k_{app}$ ($h^{-1}$)]])</f>
        <v>4.5508507664536388</v>
      </c>
      <c r="F158" t="str">
        <f>_xlfn.TEXTAFTER(Table3[[#This Row],[id]],"-",-1)</f>
        <v>rt0239</v>
      </c>
      <c r="G158" t="str">
        <f>_xlfn.TEXTAFTER(_xlfn.TEXTBEFORE(Table3[[#This Row],[id]],"-"&amp;Table3[[#This Row],[enz]]),"_",-1)</f>
        <v>REV</v>
      </c>
      <c r="H158" t="str">
        <f>_xlfn.TEXTBEFORE(Table3[[#This Row],[id]],"_"&amp;Table3[[#This Row],[dir]])</f>
        <v>MAN6PI_c</v>
      </c>
      <c r="I158" t="str">
        <f>_xlfn.XLOOKUP(Table3[[#This Row],[rxn]],Table1[id],Table1[subsystem],"")</f>
        <v>Fructose and mannose metabolism</v>
      </c>
      <c r="J158" t="str">
        <f>_xlfn.XLOOKUP(Table3[[#This Row],[enz]],'[1]scRBA (raw)'!$N:$N,'[1]scRBA (raw)'!$K:$K,"")</f>
        <v>YER003C</v>
      </c>
      <c r="K158">
        <f>_xlfn.XLOOKUP(Table3[[#This Row],[SC enz]],Table2[id],Table2[Abundance in SC (g protein/g all proteins)],"")</f>
        <v>1.05798023572055E-5</v>
      </c>
      <c r="L158">
        <f>_xlfn.XLOOKUP(Table3[[#This Row],[SC enz]],Table2[id],Table2[Abundance in RT (g protein/g all proteins)],"")</f>
        <v>3.77E-4</v>
      </c>
      <c r="M158">
        <f>Table3[[#This Row],[log(y)]]-Table3[[#This Row],[log(x)]]/SQRT(2)</f>
        <v>1.5529859109419135</v>
      </c>
      <c r="N158">
        <f>ABS(Table3[[#This Row],[dist from 45-degree (RT - SC)]])</f>
        <v>1.5529859109419135</v>
      </c>
    </row>
    <row r="159" spans="1:14" x14ac:dyDescent="0.2">
      <c r="A159" t="s">
        <v>3020</v>
      </c>
      <c r="B159">
        <v>19547978.909139968</v>
      </c>
      <c r="C159">
        <v>189184.83791773871</v>
      </c>
      <c r="D159">
        <f>LOG(Table3[[#This Row],[scRBA $k_{app}$ ($h^{-1}$)]])</f>
        <v>7.2911018617839494</v>
      </c>
      <c r="E159">
        <f>LOG(Table3[[#This Row],[rtRBA $k_{app}$ ($h^{-1}$)]])</f>
        <v>5.2768863272427264</v>
      </c>
      <c r="F159" t="str">
        <f>_xlfn.TEXTAFTER(Table3[[#This Row],[id]],"-",-1)</f>
        <v>rt2246</v>
      </c>
      <c r="G159" t="str">
        <f>_xlfn.TEXTAFTER(_xlfn.TEXTBEFORE(Table3[[#This Row],[id]],"-"&amp;Table3[[#This Row],[enz]]),"_",-1)</f>
        <v>REV</v>
      </c>
      <c r="H159" t="str">
        <f>_xlfn.TEXTBEFORE(Table3[[#This Row],[id]],"_"&amp;Table3[[#This Row],[dir]])</f>
        <v>MDH_c</v>
      </c>
      <c r="I159" t="str">
        <f>_xlfn.XLOOKUP(Table3[[#This Row],[rxn]],Table1[id],Table1[subsystem],"")</f>
        <v>Glyoxylate metabolism</v>
      </c>
      <c r="J159" t="str">
        <f>_xlfn.XLOOKUP(Table3[[#This Row],[enz]],'[1]scRBA (raw)'!$N:$N,'[1]scRBA (raw)'!$K:$K,"")</f>
        <v>YOL126C</v>
      </c>
      <c r="K159">
        <f>_xlfn.XLOOKUP(Table3[[#This Row],[SC enz]],Table2[id],Table2[Abundance in SC (g protein/g all proteins)],"")</f>
        <v>3.56920635476857E-4</v>
      </c>
      <c r="L159">
        <f>_xlfn.XLOOKUP(Table3[[#This Row],[SC enz]],Table2[id],Table2[Abundance in RT (g protein/g all proteins)],"")</f>
        <v>4.2499999999999998E-4</v>
      </c>
      <c r="M159">
        <f>Table3[[#This Row],[log(y)]]-Table3[[#This Row],[log(x)]]/SQRT(2)</f>
        <v>0.12129875845343463</v>
      </c>
      <c r="N159">
        <f>ABS(Table3[[#This Row],[dist from 45-degree (RT - SC)]])</f>
        <v>0.12129875845343463</v>
      </c>
    </row>
    <row r="160" spans="1:14" x14ac:dyDescent="0.2">
      <c r="A160" t="s">
        <v>3021</v>
      </c>
      <c r="B160">
        <v>34107.300134353784</v>
      </c>
      <c r="C160">
        <v>143182.00581754479</v>
      </c>
      <c r="D160">
        <f>LOG(Table3[[#This Row],[scRBA $k_{app}$ ($h^{-1}$)]])</f>
        <v>4.5328473428855958</v>
      </c>
      <c r="E160">
        <f>LOG(Table3[[#This Row],[rtRBA $k_{app}$ ($h^{-1}$)]])</f>
        <v>5.1558884420976669</v>
      </c>
      <c r="F160" t="str">
        <f>_xlfn.TEXTAFTER(Table3[[#This Row],[id]],"-",-1)</f>
        <v>rt2810</v>
      </c>
      <c r="G160" t="str">
        <f>_xlfn.TEXTAFTER(_xlfn.TEXTBEFORE(Table3[[#This Row],[id]],"-"&amp;Table3[[#This Row],[enz]]),"_",-1)</f>
        <v>FWD</v>
      </c>
      <c r="H160" t="str">
        <f>_xlfn.TEXTBEFORE(Table3[[#This Row],[id]],"_"&amp;Table3[[#This Row],[dir]])</f>
        <v>MDH_m</v>
      </c>
      <c r="I160" t="str">
        <f>_xlfn.XLOOKUP(Table3[[#This Row],[rxn]],Table1[id],Table1[subsystem],"")</f>
        <v>Citric acid cycle</v>
      </c>
      <c r="J160" t="str">
        <f>_xlfn.XLOOKUP(Table3[[#This Row],[enz]],'[1]scRBA (raw)'!$N:$N,'[1]scRBA (raw)'!$K:$K,"")</f>
        <v>YKL085W</v>
      </c>
      <c r="K160">
        <f>_xlfn.XLOOKUP(Table3[[#This Row],[SC enz]],Table2[id],Table2[Abundance in SC (g protein/g all proteins)],"")</f>
        <v>1.71815783930115E-3</v>
      </c>
      <c r="L160">
        <f>_xlfn.XLOOKUP(Table3[[#This Row],[SC enz]],Table2[id],Table2[Abundance in RT (g protein/g all proteins)],"")</f>
        <v>8.7500000000000002E-4</v>
      </c>
      <c r="M160">
        <f>Table3[[#This Row],[log(y)]]-Table3[[#This Row],[log(x)]]/SQRT(2)</f>
        <v>1.950681347859839</v>
      </c>
      <c r="N160">
        <f>ABS(Table3[[#This Row],[dist from 45-degree (RT - SC)]])</f>
        <v>1.950681347859839</v>
      </c>
    </row>
    <row r="161" spans="1:14" x14ac:dyDescent="0.2">
      <c r="A161" t="s">
        <v>3261</v>
      </c>
      <c r="B161">
        <v>228406.73824603861</v>
      </c>
      <c r="C161">
        <v>496256.36106946121</v>
      </c>
      <c r="D161">
        <f>LOG(Table3[[#This Row],[scRBA $k_{app}$ ($h^{-1}$)]])</f>
        <v>5.3587089119201599</v>
      </c>
      <c r="E161">
        <f>LOG(Table3[[#This Row],[rtRBA $k_{app}$ ($h^{-1}$)]])</f>
        <v>5.6957060866420237</v>
      </c>
      <c r="F161" t="str">
        <f>_xlfn.TEXTAFTER(Table3[[#This Row],[id]],"-",-1)</f>
        <v>rt5549</v>
      </c>
      <c r="G161" t="str">
        <f>_xlfn.TEXTAFTER(_xlfn.TEXTBEFORE(Table3[[#This Row],[id]],"-"&amp;Table3[[#This Row],[enz]]),"_",-1)</f>
        <v>FWD</v>
      </c>
      <c r="H161" t="str">
        <f>_xlfn.TEXTBEFORE(Table3[[#This Row],[id]],"_"&amp;Table3[[#This Row],[dir]])</f>
        <v>ME1_m</v>
      </c>
      <c r="I161" t="str">
        <f>_xlfn.XLOOKUP(Table3[[#This Row],[rxn]],Table1[id],Table1[subsystem],"")</f>
        <v>Citric acid cycle</v>
      </c>
      <c r="J161" t="str">
        <f>_xlfn.XLOOKUP(Table3[[#This Row],[enz]],'[1]scRBA (raw)'!$N:$N,'[1]scRBA (raw)'!$K:$K,"")</f>
        <v>YKL029C</v>
      </c>
      <c r="K161">
        <f>_xlfn.XLOOKUP(Table3[[#This Row],[SC enz]],Table2[id],Table2[Abundance in SC (g protein/g all proteins)],"")</f>
        <v>2.7485456572948701E-4</v>
      </c>
      <c r="L161">
        <f>_xlfn.XLOOKUP(Table3[[#This Row],[SC enz]],Table2[id],Table2[Abundance in RT (g protein/g all proteins)],"")</f>
        <v>2.0799999999999999E-4</v>
      </c>
      <c r="M161">
        <f>Table3[[#This Row],[log(y)]]-Table3[[#This Row],[log(x)]]/SQRT(2)</f>
        <v>1.9065266766184932</v>
      </c>
      <c r="N161">
        <f>ABS(Table3[[#This Row],[dist from 45-degree (RT - SC)]])</f>
        <v>1.9065266766184932</v>
      </c>
    </row>
    <row r="162" spans="1:14" x14ac:dyDescent="0.2">
      <c r="A162" t="s">
        <v>3022</v>
      </c>
      <c r="B162">
        <v>2751.1356743182032</v>
      </c>
      <c r="C162">
        <v>1075.166790929645</v>
      </c>
      <c r="D162">
        <f>LOG(Table3[[#This Row],[scRBA $k_{app}$ ($h^{-1}$)]])</f>
        <v>3.439512008475762</v>
      </c>
      <c r="E162">
        <f>LOG(Table3[[#This Row],[rtRBA $k_{app}$ ($h^{-1}$)]])</f>
        <v>3.0314758417042267</v>
      </c>
      <c r="F162" t="str">
        <f>_xlfn.TEXTAFTER(Table3[[#This Row],[id]],"-",-1)</f>
        <v>rt5403</v>
      </c>
      <c r="G162" t="str">
        <f>_xlfn.TEXTAFTER(_xlfn.TEXTBEFORE(Table3[[#This Row],[id]],"-"&amp;Table3[[#This Row],[enz]]),"_",-1)</f>
        <v>FWD</v>
      </c>
      <c r="H162" t="str">
        <f>_xlfn.TEXTBEFORE(Table3[[#This Row],[id]],"_"&amp;Table3[[#This Row],[dir]])</f>
        <v>METAT_c</v>
      </c>
      <c r="I162" t="str">
        <f>_xlfn.XLOOKUP(Table3[[#This Row],[rxn]],Table1[id],Table1[subsystem],"")</f>
        <v>Cysteine and methionine metabolism</v>
      </c>
      <c r="J162" t="str">
        <f>_xlfn.XLOOKUP(Table3[[#This Row],[enz]],'[1]scRBA (raw)'!$N:$N,'[1]scRBA (raw)'!$K:$K,"")</f>
        <v>YDR502C</v>
      </c>
      <c r="K162">
        <f>_xlfn.XLOOKUP(Table3[[#This Row],[SC enz]],Table2[id],Table2[Abundance in SC (g protein/g all proteins)],"")</f>
        <v>1.57169317349283E-3</v>
      </c>
      <c r="L162">
        <f>_xlfn.XLOOKUP(Table3[[#This Row],[SC enz]],Table2[id],Table2[Abundance in RT (g protein/g all proteins)],"")</f>
        <v>2.0790000000000001E-3</v>
      </c>
      <c r="M162">
        <f>Table3[[#This Row],[log(y)]]-Table3[[#This Row],[log(x)]]/SQRT(2)</f>
        <v>0.5993735765384538</v>
      </c>
      <c r="N162">
        <f>ABS(Table3[[#This Row],[dist from 45-degree (RT - SC)]])</f>
        <v>0.5993735765384538</v>
      </c>
    </row>
    <row r="163" spans="1:14" x14ac:dyDescent="0.2">
      <c r="A163" t="s">
        <v>3023</v>
      </c>
      <c r="B163">
        <v>651.02273379495819</v>
      </c>
      <c r="C163">
        <v>1113.4151419384959</v>
      </c>
      <c r="D163">
        <f>LOG(Table3[[#This Row],[scRBA $k_{app}$ ($h^{-1}$)]])</f>
        <v>2.8135961544503965</v>
      </c>
      <c r="E163">
        <f>LOG(Table3[[#This Row],[rtRBA $k_{app}$ ($h^{-1}$)]])</f>
        <v>3.0466571232181066</v>
      </c>
      <c r="F163" t="str">
        <f>_xlfn.TEXTAFTER(Table3[[#This Row],[id]],"-",-1)</f>
        <v>rt1457</v>
      </c>
      <c r="G163" t="str">
        <f>_xlfn.TEXTAFTER(_xlfn.TEXTBEFORE(Table3[[#This Row],[id]],"-"&amp;Table3[[#This Row],[enz]]),"_",-1)</f>
        <v>FWD</v>
      </c>
      <c r="H163" t="str">
        <f>_xlfn.TEXTBEFORE(Table3[[#This Row],[id]],"_"&amp;Table3[[#This Row],[dir]])</f>
        <v>METS_c</v>
      </c>
      <c r="I163" t="str">
        <f>_xlfn.XLOOKUP(Table3[[#This Row],[rxn]],Table1[id],Table1[subsystem],"")</f>
        <v>Cysteine and methionine metabolism</v>
      </c>
      <c r="J163" t="str">
        <f>_xlfn.XLOOKUP(Table3[[#This Row],[enz]],'[1]scRBA (raw)'!$N:$N,'[1]scRBA (raw)'!$K:$K,"")</f>
        <v>YER091C</v>
      </c>
      <c r="K163">
        <f>_xlfn.XLOOKUP(Table3[[#This Row],[SC enz]],Table2[id],Table2[Abundance in SC (g protein/g all proteins)],"")</f>
        <v>1.61955010130962E-6</v>
      </c>
      <c r="L163">
        <f>_xlfn.XLOOKUP(Table3[[#This Row],[SC enz]],Table2[id],Table2[Abundance in RT (g protein/g all proteins)],"")</f>
        <v>2.91E-7</v>
      </c>
      <c r="M163">
        <f>Table3[[#This Row],[log(y)]]-Table3[[#This Row],[log(x)]]/SQRT(2)</f>
        <v>1.0571442028858387</v>
      </c>
      <c r="N163">
        <f>ABS(Table3[[#This Row],[dist from 45-degree (RT - SC)]])</f>
        <v>1.0571442028858387</v>
      </c>
    </row>
    <row r="164" spans="1:14" x14ac:dyDescent="0.2">
      <c r="A164" t="s">
        <v>3024</v>
      </c>
      <c r="B164">
        <v>6759.8339975949011</v>
      </c>
      <c r="C164">
        <v>12887.76335761611</v>
      </c>
      <c r="D164">
        <f>LOG(Table3[[#This Row],[scRBA $k_{app}$ ($h^{-1}$)]])</f>
        <v>3.8299360310283634</v>
      </c>
      <c r="E164">
        <f>LOG(Table3[[#This Row],[rtRBA $k_{app}$ ($h^{-1}$)]])</f>
        <v>4.1101775530609874</v>
      </c>
      <c r="F164" t="str">
        <f>_xlfn.TEXTAFTER(Table3[[#This Row],[id]],"-",-1)</f>
        <v>rt4772</v>
      </c>
      <c r="G164" t="str">
        <f>_xlfn.TEXTAFTER(_xlfn.TEXTBEFORE(Table3[[#This Row],[id]],"-"&amp;Table3[[#This Row],[enz]]),"_",-1)</f>
        <v>FWD</v>
      </c>
      <c r="H164" t="str">
        <f>_xlfn.TEXTBEFORE(Table3[[#This Row],[id]],"_"&amp;Table3[[#This Row],[dir]])</f>
        <v>METTRS_c</v>
      </c>
      <c r="I164" t="str">
        <f>_xlfn.XLOOKUP(Table3[[#This Row],[rxn]],Table1[id],Table1[subsystem],"")</f>
        <v>Aminoacyl-tRNA biosynthesis</v>
      </c>
      <c r="J164" t="str">
        <f>_xlfn.XLOOKUP(Table3[[#This Row],[enz]],'[1]scRBA (raw)'!$N:$N,'[1]scRBA (raw)'!$K:$K,"")</f>
        <v/>
      </c>
      <c r="K164" t="str">
        <f>_xlfn.XLOOKUP(Table3[[#This Row],[SC enz]],Table2[id],Table2[Abundance in SC (g protein/g all proteins)],"")</f>
        <v/>
      </c>
      <c r="L164" t="str">
        <f>_xlfn.XLOOKUP(Table3[[#This Row],[SC enz]],Table2[id],Table2[Abundance in RT (g protein/g all proteins)],"")</f>
        <v/>
      </c>
      <c r="M164">
        <f>Table3[[#This Row],[log(y)]]-Table3[[#This Row],[log(x)]]/SQRT(2)</f>
        <v>1.4020038140101403</v>
      </c>
      <c r="N164">
        <f>ABS(Table3[[#This Row],[dist from 45-degree (RT - SC)]])</f>
        <v>1.4020038140101403</v>
      </c>
    </row>
    <row r="165" spans="1:14" x14ac:dyDescent="0.2">
      <c r="A165" t="s">
        <v>3025</v>
      </c>
      <c r="B165">
        <v>78641.793603532482</v>
      </c>
      <c r="C165">
        <v>20334.292386662779</v>
      </c>
      <c r="D165">
        <f>LOG(Table3[[#This Row],[scRBA $k_{app}$ ($h^{-1}$)]])</f>
        <v>4.8956534100025371</v>
      </c>
      <c r="E165">
        <f>LOG(Table3[[#This Row],[rtRBA $k_{app}$ ($h^{-1}$)]])</f>
        <v>4.3082290639835517</v>
      </c>
      <c r="F165" t="str">
        <f>_xlfn.TEXTAFTER(Table3[[#This Row],[id]],"-",-1)</f>
        <v>rt0390</v>
      </c>
      <c r="G165" t="str">
        <f>_xlfn.TEXTAFTER(_xlfn.TEXTBEFORE(Table3[[#This Row],[id]],"-"&amp;Table3[[#This Row],[enz]]),"_",-1)</f>
        <v>FWD</v>
      </c>
      <c r="H165" t="str">
        <f>_xlfn.TEXTBEFORE(Table3[[#This Row],[id]],"_"&amp;Table3[[#This Row],[dir]])</f>
        <v>MEVK1_c</v>
      </c>
      <c r="I165" t="str">
        <f>_xlfn.XLOOKUP(Table3[[#This Row],[rxn]],Table1[id],Table1[subsystem],"")</f>
        <v>Terpenoid backbone biosynthesis</v>
      </c>
      <c r="J165" t="str">
        <f>_xlfn.XLOOKUP(Table3[[#This Row],[enz]],'[1]scRBA (raw)'!$N:$N,'[1]scRBA (raw)'!$K:$K,"")</f>
        <v>YMR208W</v>
      </c>
      <c r="K165">
        <f>_xlfn.XLOOKUP(Table3[[#This Row],[SC enz]],Table2[id],Table2[Abundance in SC (g protein/g all proteins)],"")</f>
        <v>1.9212403339961799E-3</v>
      </c>
      <c r="L165">
        <f>_xlfn.XLOOKUP(Table3[[#This Row],[SC enz]],Table2[id],Table2[Abundance in RT (g protein/g all proteins)],"")</f>
        <v>9.8400000000000007E-4</v>
      </c>
      <c r="M165">
        <f>Table3[[#This Row],[log(y)]]-Table3[[#This Row],[log(x)]]/SQRT(2)</f>
        <v>0.8464793394317125</v>
      </c>
      <c r="N165">
        <f>ABS(Table3[[#This Row],[dist from 45-degree (RT - SC)]])</f>
        <v>0.8464793394317125</v>
      </c>
    </row>
    <row r="166" spans="1:14" x14ac:dyDescent="0.2">
      <c r="A166" t="s">
        <v>3026</v>
      </c>
      <c r="B166">
        <v>1922045.6162447089</v>
      </c>
      <c r="C166">
        <v>134784.2998981823</v>
      </c>
      <c r="D166">
        <f>LOG(Table3[[#This Row],[scRBA $k_{app}$ ($h^{-1}$)]])</f>
        <v>6.2837636906417211</v>
      </c>
      <c r="E166">
        <f>LOG(Table3[[#This Row],[rtRBA $k_{app}$ ($h^{-1}$)]])</f>
        <v>5.1296393071496889</v>
      </c>
      <c r="F166" t="str">
        <f>_xlfn.TEXTAFTER(Table3[[#This Row],[id]],"-",-1)</f>
        <v>rt6998</v>
      </c>
      <c r="G166" t="str">
        <f>_xlfn.TEXTAFTER(_xlfn.TEXTBEFORE(Table3[[#This Row],[id]],"-"&amp;Table3[[#This Row],[enz]]),"_",-1)</f>
        <v>FWD</v>
      </c>
      <c r="H166" t="str">
        <f>_xlfn.TEXTBEFORE(Table3[[#This Row],[id]],"_"&amp;Table3[[#This Row],[dir]])</f>
        <v>MTHFC_m</v>
      </c>
      <c r="I166" t="str">
        <f>_xlfn.XLOOKUP(Table3[[#This Row],[rxn]],Table1[id],Table1[subsystem],"")</f>
        <v>Folate metabolism</v>
      </c>
      <c r="J166" t="str">
        <f>_xlfn.XLOOKUP(Table3[[#This Row],[enz]],'[1]scRBA (raw)'!$N:$N,'[1]scRBA (raw)'!$K:$K,"")</f>
        <v>YBR084W</v>
      </c>
      <c r="K166">
        <f>_xlfn.XLOOKUP(Table3[[#This Row],[SC enz]],Table2[id],Table2[Abundance in SC (g protein/g all proteins)],"")</f>
        <v>2.7773580226695999E-3</v>
      </c>
      <c r="L166">
        <f>_xlfn.XLOOKUP(Table3[[#This Row],[SC enz]],Table2[id],Table2[Abundance in RT (g protein/g all proteins)],"")</f>
        <v>2.039E-3</v>
      </c>
      <c r="M166">
        <f>Table3[[#This Row],[log(y)]]-Table3[[#This Row],[log(x)]]/SQRT(2)</f>
        <v>0.68634739012312096</v>
      </c>
      <c r="N166">
        <f>ABS(Table3[[#This Row],[dist from 45-degree (RT - SC)]])</f>
        <v>0.68634739012312096</v>
      </c>
    </row>
    <row r="167" spans="1:14" x14ac:dyDescent="0.2">
      <c r="A167" t="s">
        <v>3262</v>
      </c>
      <c r="B167">
        <v>3.8811781399637299E-2</v>
      </c>
      <c r="C167">
        <v>1357416.898328512</v>
      </c>
      <c r="D167">
        <f>LOG(Table3[[#This Row],[scRBA $k_{app}$ ($h^{-1}$)]])</f>
        <v>-1.4110364233698134</v>
      </c>
      <c r="E167">
        <f>LOG(Table3[[#This Row],[rtRBA $k_{app}$ ($h^{-1}$)]])</f>
        <v>6.1327132513716887</v>
      </c>
      <c r="F167" t="str">
        <f>_xlfn.TEXTAFTER(Table3[[#This Row],[id]],"-",-1)</f>
        <v>rt4257</v>
      </c>
      <c r="G167" t="str">
        <f>_xlfn.TEXTAFTER(_xlfn.TEXTBEFORE(Table3[[#This Row],[id]],"-"&amp;Table3[[#This Row],[enz]]),"_",-1)</f>
        <v>FWD</v>
      </c>
      <c r="H167" t="str">
        <f>_xlfn.TEXTBEFORE(Table3[[#This Row],[id]],"_"&amp;Table3[[#This Row],[dir]])</f>
        <v>MTHFD2i_c</v>
      </c>
      <c r="I167" t="str">
        <f>_xlfn.XLOOKUP(Table3[[#This Row],[rxn]],Table1[id],Table1[subsystem],"")</f>
        <v>Folate metabolism</v>
      </c>
      <c r="J167" t="str">
        <f>_xlfn.XLOOKUP(Table3[[#This Row],[enz]],'[1]scRBA (raw)'!$N:$N,'[1]scRBA (raw)'!$K:$K,"")</f>
        <v>YKR080W</v>
      </c>
      <c r="K167">
        <f>_xlfn.XLOOKUP(Table3[[#This Row],[SC enz]],Table2[id],Table2[Abundance in SC (g protein/g all proteins)],"")</f>
        <v>1.20197071032618E-5</v>
      </c>
      <c r="L167">
        <f>_xlfn.XLOOKUP(Table3[[#This Row],[SC enz]],Table2[id],Table2[Abundance in RT (g protein/g all proteins)],"")</f>
        <v>5.5399999999999998E-5</v>
      </c>
      <c r="M167">
        <f>Table3[[#This Row],[log(y)]]-Table3[[#This Row],[log(x)]]/SQRT(2)</f>
        <v>7.1304666748376961</v>
      </c>
      <c r="N167">
        <f>ABS(Table3[[#This Row],[dist from 45-degree (RT - SC)]])</f>
        <v>7.1304666748376961</v>
      </c>
    </row>
    <row r="168" spans="1:14" x14ac:dyDescent="0.2">
      <c r="A168" t="s">
        <v>3027</v>
      </c>
      <c r="B168">
        <v>439442.63759401249</v>
      </c>
      <c r="C168">
        <v>134784.2998981823</v>
      </c>
      <c r="D168">
        <f>LOG(Table3[[#This Row],[scRBA $k_{app}$ ($h^{-1}$)]])</f>
        <v>5.642902192715213</v>
      </c>
      <c r="E168">
        <f>LOG(Table3[[#This Row],[rtRBA $k_{app}$ ($h^{-1}$)]])</f>
        <v>5.1296393071496889</v>
      </c>
      <c r="F168" t="str">
        <f>_xlfn.TEXTAFTER(Table3[[#This Row],[id]],"-",-1)</f>
        <v>rt6998</v>
      </c>
      <c r="G168" t="str">
        <f>_xlfn.TEXTAFTER(_xlfn.TEXTBEFORE(Table3[[#This Row],[id]],"-"&amp;Table3[[#This Row],[enz]]),"_",-1)</f>
        <v>FWD</v>
      </c>
      <c r="H168" t="str">
        <f>_xlfn.TEXTBEFORE(Table3[[#This Row],[id]],"_"&amp;Table3[[#This Row],[dir]])</f>
        <v>MTHFD_c</v>
      </c>
      <c r="I168" t="str">
        <f>_xlfn.XLOOKUP(Table3[[#This Row],[rxn]],Table1[id],Table1[subsystem],"")</f>
        <v>Folate metabolism</v>
      </c>
      <c r="J168" t="str">
        <f>_xlfn.XLOOKUP(Table3[[#This Row],[enz]],'[1]scRBA (raw)'!$N:$N,'[1]scRBA (raw)'!$K:$K,"")</f>
        <v>YBR084W</v>
      </c>
      <c r="K168">
        <f>_xlfn.XLOOKUP(Table3[[#This Row],[SC enz]],Table2[id],Table2[Abundance in SC (g protein/g all proteins)],"")</f>
        <v>2.7773580226695999E-3</v>
      </c>
      <c r="L168">
        <f>_xlfn.XLOOKUP(Table3[[#This Row],[SC enz]],Table2[id],Table2[Abundance in RT (g protein/g all proteins)],"")</f>
        <v>2.039E-3</v>
      </c>
      <c r="M168">
        <f>Table3[[#This Row],[log(y)]]-Table3[[#This Row],[log(x)]]/SQRT(2)</f>
        <v>1.1395049011083236</v>
      </c>
      <c r="N168">
        <f>ABS(Table3[[#This Row],[dist from 45-degree (RT - SC)]])</f>
        <v>1.1395049011083236</v>
      </c>
    </row>
    <row r="169" spans="1:14" x14ac:dyDescent="0.2">
      <c r="A169" t="s">
        <v>3028</v>
      </c>
      <c r="B169">
        <v>1922045.6162447089</v>
      </c>
      <c r="C169">
        <v>134784.2998981823</v>
      </c>
      <c r="D169">
        <f>LOG(Table3[[#This Row],[scRBA $k_{app}$ ($h^{-1}$)]])</f>
        <v>6.2837636906417211</v>
      </c>
      <c r="E169">
        <f>LOG(Table3[[#This Row],[rtRBA $k_{app}$ ($h^{-1}$)]])</f>
        <v>5.1296393071496889</v>
      </c>
      <c r="F169" t="str">
        <f>_xlfn.TEXTAFTER(Table3[[#This Row],[id]],"-",-1)</f>
        <v>rt6998</v>
      </c>
      <c r="G169" t="str">
        <f>_xlfn.TEXTAFTER(_xlfn.TEXTBEFORE(Table3[[#This Row],[id]],"-"&amp;Table3[[#This Row],[enz]]),"_",-1)</f>
        <v>FWD</v>
      </c>
      <c r="H169" t="str">
        <f>_xlfn.TEXTBEFORE(Table3[[#This Row],[id]],"_"&amp;Table3[[#This Row],[dir]])</f>
        <v>MTHFD_m</v>
      </c>
      <c r="I169" t="str">
        <f>_xlfn.XLOOKUP(Table3[[#This Row],[rxn]],Table1[id],Table1[subsystem],"")</f>
        <v>Folate metabolism</v>
      </c>
      <c r="J169" t="str">
        <f>_xlfn.XLOOKUP(Table3[[#This Row],[enz]],'[1]scRBA (raw)'!$N:$N,'[1]scRBA (raw)'!$K:$K,"")</f>
        <v>YBR084W</v>
      </c>
      <c r="K169">
        <f>_xlfn.XLOOKUP(Table3[[#This Row],[SC enz]],Table2[id],Table2[Abundance in SC (g protein/g all proteins)],"")</f>
        <v>2.7773580226695999E-3</v>
      </c>
      <c r="L169">
        <f>_xlfn.XLOOKUP(Table3[[#This Row],[SC enz]],Table2[id],Table2[Abundance in RT (g protein/g all proteins)],"")</f>
        <v>2.039E-3</v>
      </c>
      <c r="M169">
        <f>Table3[[#This Row],[log(y)]]-Table3[[#This Row],[log(x)]]/SQRT(2)</f>
        <v>0.68634739012312096</v>
      </c>
      <c r="N169">
        <f>ABS(Table3[[#This Row],[dist from 45-degree (RT - SC)]])</f>
        <v>0.68634739012312096</v>
      </c>
    </row>
    <row r="170" spans="1:14" x14ac:dyDescent="0.2">
      <c r="A170" t="s">
        <v>3029</v>
      </c>
      <c r="B170">
        <v>13137.11180539718</v>
      </c>
      <c r="C170">
        <v>48801.445038824939</v>
      </c>
      <c r="D170">
        <f>LOG(Table3[[#This Row],[scRBA $k_{app}$ ($h^{-1}$)]])</f>
        <v>4.1184998960570587</v>
      </c>
      <c r="E170">
        <f>LOG(Table3[[#This Row],[rtRBA $k_{app}$ ($h^{-1}$)]])</f>
        <v>4.6884326819022251</v>
      </c>
      <c r="F170" t="str">
        <f>_xlfn.TEXTAFTER(Table3[[#This Row],[id]],"-",-1)</f>
        <v>MET1213</v>
      </c>
      <c r="G170" t="str">
        <f>_xlfn.TEXTAFTER(_xlfn.TEXTBEFORE(Table3[[#This Row],[id]],"-"&amp;Table3[[#This Row],[enz]]),"_",-1)</f>
        <v>FWD</v>
      </c>
      <c r="H170" t="str">
        <f>_xlfn.TEXTBEFORE(Table3[[#This Row],[id]],"_"&amp;Table3[[#This Row],[dir]])</f>
        <v>MTHFR3_c</v>
      </c>
      <c r="I170" t="str">
        <f>_xlfn.XLOOKUP(Table3[[#This Row],[rxn]],Table1[id],Table1[subsystem],"")</f>
        <v>Folate metabolism</v>
      </c>
      <c r="J170" t="str">
        <f>_xlfn.XLOOKUP(Table3[[#This Row],[enz]],'[1]scRBA (raw)'!$N:$N,'[1]scRBA (raw)'!$K:$K,"")</f>
        <v/>
      </c>
      <c r="K170" t="str">
        <f>_xlfn.XLOOKUP(Table3[[#This Row],[SC enz]],Table2[id],Table2[Abundance in SC (g protein/g all proteins)],"")</f>
        <v/>
      </c>
      <c r="L170" t="str">
        <f>_xlfn.XLOOKUP(Table3[[#This Row],[SC enz]],Table2[id],Table2[Abundance in RT (g protein/g all proteins)],"")</f>
        <v/>
      </c>
      <c r="M170">
        <f>Table3[[#This Row],[log(y)]]-Table3[[#This Row],[log(x)]]/SQRT(2)</f>
        <v>1.776213477084188</v>
      </c>
      <c r="N170">
        <f>ABS(Table3[[#This Row],[dist from 45-degree (RT - SC)]])</f>
        <v>1.776213477084188</v>
      </c>
    </row>
    <row r="171" spans="1:14" x14ac:dyDescent="0.2">
      <c r="A171" t="s">
        <v>3030</v>
      </c>
      <c r="B171">
        <v>20312.939599309269</v>
      </c>
      <c r="C171">
        <v>28535.936513958412</v>
      </c>
      <c r="D171">
        <f>LOG(Table3[[#This Row],[scRBA $k_{app}$ ($h^{-1}$)]])</f>
        <v>4.3077727771408405</v>
      </c>
      <c r="E171">
        <f>LOG(Table3[[#This Row],[rtRBA $k_{app}$ ($h^{-1}$)]])</f>
        <v>4.4553921301238146</v>
      </c>
      <c r="F171" t="str">
        <f>_xlfn.TEXTAFTER(Table3[[#This Row],[id]],"-",-1)</f>
        <v>rt3853</v>
      </c>
      <c r="G171" t="str">
        <f>_xlfn.TEXTAFTER(_xlfn.TEXTBEFORE(Table3[[#This Row],[id]],"-"&amp;Table3[[#This Row],[enz]]),"_",-1)</f>
        <v>FWD</v>
      </c>
      <c r="H171" t="str">
        <f>_xlfn.TEXTBEFORE(Table3[[#This Row],[id]],"_"&amp;Table3[[#This Row],[dir]])</f>
        <v>NACt_c_e</v>
      </c>
      <c r="I171" t="str">
        <f>_xlfn.XLOOKUP(Table3[[#This Row],[rxn]],Table1[id],Table1[subsystem],"")</f>
        <v>Transport</v>
      </c>
      <c r="J171" t="str">
        <f>_xlfn.XLOOKUP(Table3[[#This Row],[enz]],'[1]scRBA (raw)'!$N:$N,'[1]scRBA (raw)'!$K:$K,"")</f>
        <v>YGR260W</v>
      </c>
      <c r="K171">
        <f>_xlfn.XLOOKUP(Table3[[#This Row],[SC enz]],Table2[id],Table2[Abundance in SC (g protein/g all proteins)],"")</f>
        <v>5.3154503431190601E-5</v>
      </c>
      <c r="L171">
        <f>_xlfn.XLOOKUP(Table3[[#This Row],[SC enz]],Table2[id],Table2[Abundance in RT (g protein/g all proteins)],"")</f>
        <v>8.7399999999999997E-5</v>
      </c>
      <c r="M171">
        <f>Table3[[#This Row],[log(y)]]-Table3[[#This Row],[log(x)]]/SQRT(2)</f>
        <v>1.4093367875967204</v>
      </c>
      <c r="N171">
        <f>ABS(Table3[[#This Row],[dist from 45-degree (RT - SC)]])</f>
        <v>1.4093367875967204</v>
      </c>
    </row>
    <row r="172" spans="1:14" x14ac:dyDescent="0.2">
      <c r="A172" t="s">
        <v>3263</v>
      </c>
      <c r="B172">
        <v>367496.10970648052</v>
      </c>
      <c r="C172">
        <v>3026.7427963679411</v>
      </c>
      <c r="D172">
        <f>LOG(Table3[[#This Row],[scRBA $k_{app}$ ($h^{-1}$)]])</f>
        <v>5.5652527460271495</v>
      </c>
      <c r="E172">
        <f>LOG(Table3[[#This Row],[rtRBA $k_{app}$ ($h^{-1}$)]])</f>
        <v>3.4809755174666317</v>
      </c>
      <c r="F172" t="str">
        <f>_xlfn.TEXTAFTER(Table3[[#This Row],[id]],"-",-1)</f>
        <v>rt1814_c</v>
      </c>
      <c r="G172" t="str">
        <f>_xlfn.TEXTAFTER(_xlfn.TEXTBEFORE(Table3[[#This Row],[id]],"-"&amp;Table3[[#This Row],[enz]]),"_",-1)</f>
        <v>FWD</v>
      </c>
      <c r="H172" t="str">
        <f>_xlfn.TEXTBEFORE(Table3[[#This Row],[id]],"_"&amp;Table3[[#This Row],[dir]])</f>
        <v>NADK_c</v>
      </c>
      <c r="I172" t="str">
        <f>_xlfn.XLOOKUP(Table3[[#This Row],[rxn]],Table1[id],Table1[subsystem],"")</f>
        <v>Nicotinate and nicotinamide metabolism</v>
      </c>
      <c r="J172" t="str">
        <f>_xlfn.XLOOKUP(Table3[[#This Row],[enz]],'[1]scRBA (raw)'!$N:$N,'[1]scRBA (raw)'!$K:$K,"")</f>
        <v/>
      </c>
      <c r="K172" t="str">
        <f>_xlfn.XLOOKUP(Table3[[#This Row],[SC enz]],Table2[id],Table2[Abundance in SC (g protein/g all proteins)],"")</f>
        <v/>
      </c>
      <c r="L172" t="str">
        <f>_xlfn.XLOOKUP(Table3[[#This Row],[SC enz]],Table2[id],Table2[Abundance in RT (g protein/g all proteins)],"")</f>
        <v/>
      </c>
      <c r="M172">
        <f>Table3[[#This Row],[log(y)]]-Table3[[#This Row],[log(x)]]/SQRT(2)</f>
        <v>-0.45425243826622053</v>
      </c>
      <c r="N172">
        <f>ABS(Table3[[#This Row],[dist from 45-degree (RT - SC)]])</f>
        <v>0.45425243826622053</v>
      </c>
    </row>
    <row r="173" spans="1:14" x14ac:dyDescent="0.2">
      <c r="A173" t="s">
        <v>3031</v>
      </c>
      <c r="B173">
        <v>1606.507613279945</v>
      </c>
      <c r="C173">
        <v>866.33421391933769</v>
      </c>
      <c r="D173">
        <f>LOG(Table3[[#This Row],[scRBA $k_{app}$ ($h^{-1}$)]])</f>
        <v>3.2058827880248755</v>
      </c>
      <c r="E173">
        <f>LOG(Table3[[#This Row],[rtRBA $k_{app}$ ($h^{-1}$)]])</f>
        <v>2.9376854662204979</v>
      </c>
      <c r="F173" t="str">
        <f>_xlfn.TEXTAFTER(Table3[[#This Row],[id]],"-",-1)</f>
        <v>rt0915_c</v>
      </c>
      <c r="G173" t="str">
        <f>_xlfn.TEXTAFTER(_xlfn.TEXTBEFORE(Table3[[#This Row],[id]],"-"&amp;Table3[[#This Row],[enz]]),"_",-1)</f>
        <v>FWD</v>
      </c>
      <c r="H173" t="str">
        <f>_xlfn.TEXTBEFORE(Table3[[#This Row],[id]],"_"&amp;Table3[[#This Row],[dir]])</f>
        <v>NADS2_c</v>
      </c>
      <c r="I173" t="str">
        <f>_xlfn.XLOOKUP(Table3[[#This Row],[rxn]],Table1[id],Table1[subsystem],"")</f>
        <v>Nicotinate and nicotinamide metabolism</v>
      </c>
      <c r="J173" t="str">
        <f>_xlfn.XLOOKUP(Table3[[#This Row],[enz]],'[1]scRBA (raw)'!$N:$N,'[1]scRBA (raw)'!$K:$K,"")</f>
        <v/>
      </c>
      <c r="K173" t="str">
        <f>_xlfn.XLOOKUP(Table3[[#This Row],[SC enz]],Table2[id],Table2[Abundance in SC (g protein/g all proteins)],"")</f>
        <v/>
      </c>
      <c r="L173" t="str">
        <f>_xlfn.XLOOKUP(Table3[[#This Row],[SC enz]],Table2[id],Table2[Abundance in RT (g protein/g all proteins)],"")</f>
        <v/>
      </c>
      <c r="M173">
        <f>Table3[[#This Row],[log(y)]]-Table3[[#This Row],[log(x)]]/SQRT(2)</f>
        <v>0.67078400711887332</v>
      </c>
      <c r="N173">
        <f>ABS(Table3[[#This Row],[dist from 45-degree (RT - SC)]])</f>
        <v>0.67078400711887332</v>
      </c>
    </row>
    <row r="174" spans="1:14" x14ac:dyDescent="0.2">
      <c r="A174" t="s">
        <v>3032</v>
      </c>
      <c r="B174">
        <v>525.52977430740066</v>
      </c>
      <c r="C174">
        <v>322.17341908750592</v>
      </c>
      <c r="D174">
        <f>LOG(Table3[[#This Row],[scRBA $k_{app}$ ($h^{-1}$)]])</f>
        <v>2.7205973263606396</v>
      </c>
      <c r="E174">
        <f>LOG(Table3[[#This Row],[rtRBA $k_{app}$ ($h^{-1}$)]])</f>
        <v>2.508089706102369</v>
      </c>
      <c r="F174" t="str">
        <f>_xlfn.TEXTAFTER(Table3[[#This Row],[id]],"-",-1)</f>
        <v>rt1924_c</v>
      </c>
      <c r="G174" t="str">
        <f>_xlfn.TEXTAFTER(_xlfn.TEXTBEFORE(Table3[[#This Row],[id]],"-"&amp;Table3[[#This Row],[enz]]),"_",-1)</f>
        <v>FWD</v>
      </c>
      <c r="H174" t="str">
        <f>_xlfn.TEXTBEFORE(Table3[[#This Row],[id]],"_"&amp;Table3[[#This Row],[dir]])</f>
        <v>NAMNPP_c</v>
      </c>
      <c r="I174" t="str">
        <f>_xlfn.XLOOKUP(Table3[[#This Row],[rxn]],Table1[id],Table1[subsystem],"")</f>
        <v>Nicotinate and nicotinamide metabolism</v>
      </c>
      <c r="J174" t="str">
        <f>_xlfn.XLOOKUP(Table3[[#This Row],[enz]],'[1]scRBA (raw)'!$N:$N,'[1]scRBA (raw)'!$K:$K,"")</f>
        <v/>
      </c>
      <c r="K174" t="str">
        <f>_xlfn.XLOOKUP(Table3[[#This Row],[SC enz]],Table2[id],Table2[Abundance in SC (g protein/g all proteins)],"")</f>
        <v/>
      </c>
      <c r="L174" t="str">
        <f>_xlfn.XLOOKUP(Table3[[#This Row],[SC enz]],Table2[id],Table2[Abundance in RT (g protein/g all proteins)],"")</f>
        <v/>
      </c>
      <c r="M174">
        <f>Table3[[#This Row],[log(y)]]-Table3[[#This Row],[log(x)]]/SQRT(2)</f>
        <v>0.58433688775477011</v>
      </c>
      <c r="N174">
        <f>ABS(Table3[[#This Row],[dist from 45-degree (RT - SC)]])</f>
        <v>0.58433688775477011</v>
      </c>
    </row>
    <row r="175" spans="1:14" x14ac:dyDescent="0.2">
      <c r="A175" t="s">
        <v>3033</v>
      </c>
      <c r="B175">
        <v>1585861.2087938809</v>
      </c>
      <c r="C175">
        <v>58226.064564545894</v>
      </c>
      <c r="D175">
        <f>LOG(Table3[[#This Row],[scRBA $k_{app}$ ($h^{-1}$)]])</f>
        <v>6.2002651761136773</v>
      </c>
      <c r="E175">
        <f>LOG(Table3[[#This Row],[rtRBA $k_{app}$ ($h^{-1}$)]])</f>
        <v>4.7651174376151575</v>
      </c>
      <c r="F175" t="str">
        <f>_xlfn.TEXTAFTER(Table3[[#This Row],[id]],"-",-1)</f>
        <v>rt7311</v>
      </c>
      <c r="G175" t="str">
        <f>_xlfn.TEXTAFTER(_xlfn.TEXTBEFORE(Table3[[#This Row],[id]],"-"&amp;Table3[[#This Row],[enz]]),"_",-1)</f>
        <v>FWD</v>
      </c>
      <c r="H175" t="str">
        <f>_xlfn.TEXTBEFORE(Table3[[#This Row],[id]],"_"&amp;Table3[[#This Row],[dir]])</f>
        <v>NDPK1_c</v>
      </c>
      <c r="I175" t="str">
        <f>_xlfn.XLOOKUP(Table3[[#This Row],[rxn]],Table1[id],Table1[subsystem],"")</f>
        <v>Purine metabolism</v>
      </c>
      <c r="J175" t="str">
        <f>_xlfn.XLOOKUP(Table3[[#This Row],[enz]],'[1]scRBA (raw)'!$N:$N,'[1]scRBA (raw)'!$K:$K,"")</f>
        <v>YKL067W</v>
      </c>
      <c r="K175">
        <f>_xlfn.XLOOKUP(Table3[[#This Row],[SC enz]],Table2[id],Table2[Abundance in SC (g protein/g all proteins)],"")</f>
        <v>2.2526926640567E-3</v>
      </c>
      <c r="L175">
        <f>_xlfn.XLOOKUP(Table3[[#This Row],[SC enz]],Table2[id],Table2[Abundance in RT (g protein/g all proteins)],"")</f>
        <v>5.8560000000000001E-3</v>
      </c>
      <c r="M175">
        <f>Table3[[#This Row],[log(y)]]-Table3[[#This Row],[log(x)]]/SQRT(2)</f>
        <v>0.38086788643037295</v>
      </c>
      <c r="N175">
        <f>ABS(Table3[[#This Row],[dist from 45-degree (RT - SC)]])</f>
        <v>0.38086788643037295</v>
      </c>
    </row>
    <row r="176" spans="1:14" x14ac:dyDescent="0.2">
      <c r="A176" t="s">
        <v>3034</v>
      </c>
      <c r="B176">
        <v>1585861.2087938809</v>
      </c>
      <c r="C176">
        <v>58226.064564545894</v>
      </c>
      <c r="D176">
        <f>LOG(Table3[[#This Row],[scRBA $k_{app}$ ($h^{-1}$)]])</f>
        <v>6.2002651761136773</v>
      </c>
      <c r="E176">
        <f>LOG(Table3[[#This Row],[rtRBA $k_{app}$ ($h^{-1}$)]])</f>
        <v>4.7651174376151575</v>
      </c>
      <c r="F176" t="str">
        <f>_xlfn.TEXTAFTER(Table3[[#This Row],[id]],"-",-1)</f>
        <v>rt7311</v>
      </c>
      <c r="G176" t="str">
        <f>_xlfn.TEXTAFTER(_xlfn.TEXTBEFORE(Table3[[#This Row],[id]],"-"&amp;Table3[[#This Row],[enz]]),"_",-1)</f>
        <v>FWD</v>
      </c>
      <c r="H176" t="str">
        <f>_xlfn.TEXTBEFORE(Table3[[#This Row],[id]],"_"&amp;Table3[[#This Row],[dir]])</f>
        <v>NDPK2_c</v>
      </c>
      <c r="I176" t="str">
        <f>_xlfn.XLOOKUP(Table3[[#This Row],[rxn]],Table1[id],Table1[subsystem],"")</f>
        <v>Purine metabolism</v>
      </c>
      <c r="J176" t="str">
        <f>_xlfn.XLOOKUP(Table3[[#This Row],[enz]],'[1]scRBA (raw)'!$N:$N,'[1]scRBA (raw)'!$K:$K,"")</f>
        <v>YKL067W</v>
      </c>
      <c r="K176">
        <f>_xlfn.XLOOKUP(Table3[[#This Row],[SC enz]],Table2[id],Table2[Abundance in SC (g protein/g all proteins)],"")</f>
        <v>2.2526926640567E-3</v>
      </c>
      <c r="L176">
        <f>_xlfn.XLOOKUP(Table3[[#This Row],[SC enz]],Table2[id],Table2[Abundance in RT (g protein/g all proteins)],"")</f>
        <v>5.8560000000000001E-3</v>
      </c>
      <c r="M176">
        <f>Table3[[#This Row],[log(y)]]-Table3[[#This Row],[log(x)]]/SQRT(2)</f>
        <v>0.38086788643037295</v>
      </c>
      <c r="N176">
        <f>ABS(Table3[[#This Row],[dist from 45-degree (RT - SC)]])</f>
        <v>0.38086788643037295</v>
      </c>
    </row>
    <row r="177" spans="1:14" x14ac:dyDescent="0.2">
      <c r="A177" t="s">
        <v>3035</v>
      </c>
      <c r="B177">
        <v>1585861.2087938809</v>
      </c>
      <c r="C177">
        <v>58226.064564545894</v>
      </c>
      <c r="D177">
        <f>LOG(Table3[[#This Row],[scRBA $k_{app}$ ($h^{-1}$)]])</f>
        <v>6.2002651761136773</v>
      </c>
      <c r="E177">
        <f>LOG(Table3[[#This Row],[rtRBA $k_{app}$ ($h^{-1}$)]])</f>
        <v>4.7651174376151575</v>
      </c>
      <c r="F177" t="str">
        <f>_xlfn.TEXTAFTER(Table3[[#This Row],[id]],"-",-1)</f>
        <v>rt7311</v>
      </c>
      <c r="G177" t="str">
        <f>_xlfn.TEXTAFTER(_xlfn.TEXTBEFORE(Table3[[#This Row],[id]],"-"&amp;Table3[[#This Row],[enz]]),"_",-1)</f>
        <v>FWD</v>
      </c>
      <c r="H177" t="str">
        <f>_xlfn.TEXTBEFORE(Table3[[#This Row],[id]],"_"&amp;Table3[[#This Row],[dir]])</f>
        <v>NDPK3_c</v>
      </c>
      <c r="I177" t="str">
        <f>_xlfn.XLOOKUP(Table3[[#This Row],[rxn]],Table1[id],Table1[subsystem],"")</f>
        <v>Purine metabolism</v>
      </c>
      <c r="J177" t="str">
        <f>_xlfn.XLOOKUP(Table3[[#This Row],[enz]],'[1]scRBA (raw)'!$N:$N,'[1]scRBA (raw)'!$K:$K,"")</f>
        <v>YKL067W</v>
      </c>
      <c r="K177">
        <f>_xlfn.XLOOKUP(Table3[[#This Row],[SC enz]],Table2[id],Table2[Abundance in SC (g protein/g all proteins)],"")</f>
        <v>2.2526926640567E-3</v>
      </c>
      <c r="L177">
        <f>_xlfn.XLOOKUP(Table3[[#This Row],[SC enz]],Table2[id],Table2[Abundance in RT (g protein/g all proteins)],"")</f>
        <v>5.8560000000000001E-3</v>
      </c>
      <c r="M177">
        <f>Table3[[#This Row],[log(y)]]-Table3[[#This Row],[log(x)]]/SQRT(2)</f>
        <v>0.38086788643037295</v>
      </c>
      <c r="N177">
        <f>ABS(Table3[[#This Row],[dist from 45-degree (RT - SC)]])</f>
        <v>0.38086788643037295</v>
      </c>
    </row>
    <row r="178" spans="1:14" x14ac:dyDescent="0.2">
      <c r="A178" t="s">
        <v>3036</v>
      </c>
      <c r="B178">
        <v>1585861.2087938809</v>
      </c>
      <c r="C178">
        <v>58226.064564545894</v>
      </c>
      <c r="D178">
        <f>LOG(Table3[[#This Row],[scRBA $k_{app}$ ($h^{-1}$)]])</f>
        <v>6.2002651761136773</v>
      </c>
      <c r="E178">
        <f>LOG(Table3[[#This Row],[rtRBA $k_{app}$ ($h^{-1}$)]])</f>
        <v>4.7651174376151575</v>
      </c>
      <c r="F178" t="str">
        <f>_xlfn.TEXTAFTER(Table3[[#This Row],[id]],"-",-1)</f>
        <v>rt7311</v>
      </c>
      <c r="G178" t="str">
        <f>_xlfn.TEXTAFTER(_xlfn.TEXTBEFORE(Table3[[#This Row],[id]],"-"&amp;Table3[[#This Row],[enz]]),"_",-1)</f>
        <v>FWD</v>
      </c>
      <c r="H178" t="str">
        <f>_xlfn.TEXTBEFORE(Table3[[#This Row],[id]],"_"&amp;Table3[[#This Row],[dir]])</f>
        <v>NDPK4_c</v>
      </c>
      <c r="I178" t="str">
        <f>_xlfn.XLOOKUP(Table3[[#This Row],[rxn]],Table1[id],Table1[subsystem],"")</f>
        <v>Purine metabolism</v>
      </c>
      <c r="J178" t="str">
        <f>_xlfn.XLOOKUP(Table3[[#This Row],[enz]],'[1]scRBA (raw)'!$N:$N,'[1]scRBA (raw)'!$K:$K,"")</f>
        <v>YKL067W</v>
      </c>
      <c r="K178">
        <f>_xlfn.XLOOKUP(Table3[[#This Row],[SC enz]],Table2[id],Table2[Abundance in SC (g protein/g all proteins)],"")</f>
        <v>2.2526926640567E-3</v>
      </c>
      <c r="L178">
        <f>_xlfn.XLOOKUP(Table3[[#This Row],[SC enz]],Table2[id],Table2[Abundance in RT (g protein/g all proteins)],"")</f>
        <v>5.8560000000000001E-3</v>
      </c>
      <c r="M178">
        <f>Table3[[#This Row],[log(y)]]-Table3[[#This Row],[log(x)]]/SQRT(2)</f>
        <v>0.38086788643037295</v>
      </c>
      <c r="N178">
        <f>ABS(Table3[[#This Row],[dist from 45-degree (RT - SC)]])</f>
        <v>0.38086788643037295</v>
      </c>
    </row>
    <row r="179" spans="1:14" x14ac:dyDescent="0.2">
      <c r="A179" t="s">
        <v>3037</v>
      </c>
      <c r="B179">
        <v>1585861.2087938809</v>
      </c>
      <c r="C179">
        <v>58226.064564545894</v>
      </c>
      <c r="D179">
        <f>LOG(Table3[[#This Row],[scRBA $k_{app}$ ($h^{-1}$)]])</f>
        <v>6.2002651761136773</v>
      </c>
      <c r="E179">
        <f>LOG(Table3[[#This Row],[rtRBA $k_{app}$ ($h^{-1}$)]])</f>
        <v>4.7651174376151575</v>
      </c>
      <c r="F179" t="str">
        <f>_xlfn.TEXTAFTER(Table3[[#This Row],[id]],"-",-1)</f>
        <v>rt7311</v>
      </c>
      <c r="G179" t="str">
        <f>_xlfn.TEXTAFTER(_xlfn.TEXTBEFORE(Table3[[#This Row],[id]],"-"&amp;Table3[[#This Row],[enz]]),"_",-1)</f>
        <v>FWD</v>
      </c>
      <c r="H179" t="str">
        <f>_xlfn.TEXTBEFORE(Table3[[#This Row],[id]],"_"&amp;Table3[[#This Row],[dir]])</f>
        <v>NDPK5_c</v>
      </c>
      <c r="I179" t="str">
        <f>_xlfn.XLOOKUP(Table3[[#This Row],[rxn]],Table1[id],Table1[subsystem],"")</f>
        <v>Purine metabolism</v>
      </c>
      <c r="J179" t="str">
        <f>_xlfn.XLOOKUP(Table3[[#This Row],[enz]],'[1]scRBA (raw)'!$N:$N,'[1]scRBA (raw)'!$K:$K,"")</f>
        <v>YKL067W</v>
      </c>
      <c r="K179">
        <f>_xlfn.XLOOKUP(Table3[[#This Row],[SC enz]],Table2[id],Table2[Abundance in SC (g protein/g all proteins)],"")</f>
        <v>2.2526926640567E-3</v>
      </c>
      <c r="L179">
        <f>_xlfn.XLOOKUP(Table3[[#This Row],[SC enz]],Table2[id],Table2[Abundance in RT (g protein/g all proteins)],"")</f>
        <v>5.8560000000000001E-3</v>
      </c>
      <c r="M179">
        <f>Table3[[#This Row],[log(y)]]-Table3[[#This Row],[log(x)]]/SQRT(2)</f>
        <v>0.38086788643037295</v>
      </c>
      <c r="N179">
        <f>ABS(Table3[[#This Row],[dist from 45-degree (RT - SC)]])</f>
        <v>0.38086788643037295</v>
      </c>
    </row>
    <row r="180" spans="1:14" x14ac:dyDescent="0.2">
      <c r="A180" t="s">
        <v>3301</v>
      </c>
      <c r="B180">
        <v>1585861.2087938809</v>
      </c>
      <c r="C180">
        <v>58226.064564545894</v>
      </c>
      <c r="D180">
        <f>LOG(Table3[[#This Row],[scRBA $k_{app}$ ($h^{-1}$)]])</f>
        <v>6.2002651761136773</v>
      </c>
      <c r="E180">
        <f>LOG(Table3[[#This Row],[rtRBA $k_{app}$ ($h^{-1}$)]])</f>
        <v>4.7651174376151575</v>
      </c>
      <c r="F180" t="str">
        <f>_xlfn.TEXTAFTER(Table3[[#This Row],[id]],"-",-1)</f>
        <v>rt7311</v>
      </c>
      <c r="G180" t="str">
        <f>_xlfn.TEXTAFTER(_xlfn.TEXTBEFORE(Table3[[#This Row],[id]],"-"&amp;Table3[[#This Row],[enz]]),"_",-1)</f>
        <v>FWD</v>
      </c>
      <c r="H180" t="str">
        <f>_xlfn.TEXTBEFORE(Table3[[#This Row],[id]],"_"&amp;Table3[[#This Row],[dir]])</f>
        <v>NDPK6_c</v>
      </c>
      <c r="I180" t="str">
        <f>_xlfn.XLOOKUP(Table3[[#This Row],[rxn]],Table1[id],Table1[subsystem],"")</f>
        <v>Purine metabolism</v>
      </c>
      <c r="J180" t="str">
        <f>_xlfn.XLOOKUP(Table3[[#This Row],[enz]],'[1]scRBA (raw)'!$N:$N,'[1]scRBA (raw)'!$K:$K,"")</f>
        <v>YKL067W</v>
      </c>
      <c r="K180">
        <f>_xlfn.XLOOKUP(Table3[[#This Row],[SC enz]],Table2[id],Table2[Abundance in SC (g protein/g all proteins)],"")</f>
        <v>2.2526926640567E-3</v>
      </c>
      <c r="L180">
        <f>_xlfn.XLOOKUP(Table3[[#This Row],[SC enz]],Table2[id],Table2[Abundance in RT (g protein/g all proteins)],"")</f>
        <v>5.8560000000000001E-3</v>
      </c>
      <c r="M180">
        <f>Table3[[#This Row],[log(y)]]-Table3[[#This Row],[log(x)]]/SQRT(2)</f>
        <v>0.38086788643037295</v>
      </c>
      <c r="N180">
        <f>ABS(Table3[[#This Row],[dist from 45-degree (RT - SC)]])</f>
        <v>0.38086788643037295</v>
      </c>
    </row>
    <row r="181" spans="1:14" x14ac:dyDescent="0.2">
      <c r="A181" t="s">
        <v>3038</v>
      </c>
      <c r="B181">
        <v>1585861.2087938809</v>
      </c>
      <c r="C181">
        <v>58226.064564545894</v>
      </c>
      <c r="D181">
        <f>LOG(Table3[[#This Row],[scRBA $k_{app}$ ($h^{-1}$)]])</f>
        <v>6.2002651761136773</v>
      </c>
      <c r="E181">
        <f>LOG(Table3[[#This Row],[rtRBA $k_{app}$ ($h^{-1}$)]])</f>
        <v>4.7651174376151575</v>
      </c>
      <c r="F181" t="str">
        <f>_xlfn.TEXTAFTER(Table3[[#This Row],[id]],"-",-1)</f>
        <v>rt7311</v>
      </c>
      <c r="G181" t="str">
        <f>_xlfn.TEXTAFTER(_xlfn.TEXTBEFORE(Table3[[#This Row],[id]],"-"&amp;Table3[[#This Row],[enz]]),"_",-1)</f>
        <v>FWD</v>
      </c>
      <c r="H181" t="str">
        <f>_xlfn.TEXTBEFORE(Table3[[#This Row],[id]],"_"&amp;Table3[[#This Row],[dir]])</f>
        <v>NDPK7_c</v>
      </c>
      <c r="I181" t="str">
        <f>_xlfn.XLOOKUP(Table3[[#This Row],[rxn]],Table1[id],Table1[subsystem],"")</f>
        <v>Purine metabolism</v>
      </c>
      <c r="J181" t="str">
        <f>_xlfn.XLOOKUP(Table3[[#This Row],[enz]],'[1]scRBA (raw)'!$N:$N,'[1]scRBA (raw)'!$K:$K,"")</f>
        <v>YKL067W</v>
      </c>
      <c r="K181">
        <f>_xlfn.XLOOKUP(Table3[[#This Row],[SC enz]],Table2[id],Table2[Abundance in SC (g protein/g all proteins)],"")</f>
        <v>2.2526926640567E-3</v>
      </c>
      <c r="L181">
        <f>_xlfn.XLOOKUP(Table3[[#This Row],[SC enz]],Table2[id],Table2[Abundance in RT (g protein/g all proteins)],"")</f>
        <v>5.8560000000000001E-3</v>
      </c>
      <c r="M181">
        <f>Table3[[#This Row],[log(y)]]-Table3[[#This Row],[log(x)]]/SQRT(2)</f>
        <v>0.38086788643037295</v>
      </c>
      <c r="N181">
        <f>ABS(Table3[[#This Row],[dist from 45-degree (RT - SC)]])</f>
        <v>0.38086788643037295</v>
      </c>
    </row>
    <row r="182" spans="1:14" x14ac:dyDescent="0.2">
      <c r="A182" t="s">
        <v>3039</v>
      </c>
      <c r="B182">
        <v>3539615.5778232408</v>
      </c>
      <c r="C182">
        <v>2634329.7329692491</v>
      </c>
      <c r="D182">
        <f>LOG(Table3[[#This Row],[scRBA $k_{app}$ ($h^{-1}$)]])</f>
        <v>6.5489560977614527</v>
      </c>
      <c r="E182">
        <f>LOG(Table3[[#This Row],[rtRBA $k_{app}$ ($h^{-1}$)]])</f>
        <v>6.4206701336654728</v>
      </c>
      <c r="F182" t="str">
        <f>_xlfn.TEXTAFTER(Table3[[#This Row],[id]],"-",-1)</f>
        <v>rt4558</v>
      </c>
      <c r="G182" t="str">
        <f>_xlfn.TEXTAFTER(_xlfn.TEXTBEFORE(Table3[[#This Row],[id]],"-"&amp;Table3[[#This Row],[enz]]),"_",-1)</f>
        <v>FWD</v>
      </c>
      <c r="H182" t="str">
        <f>_xlfn.TEXTBEFORE(Table3[[#This Row],[id]],"_"&amp;Table3[[#This Row],[dir]])</f>
        <v>NH4t_c_e</v>
      </c>
      <c r="I182" t="str">
        <f>_xlfn.XLOOKUP(Table3[[#This Row],[rxn]],Table1[id],Table1[subsystem],"")</f>
        <v>Transport</v>
      </c>
      <c r="J182" t="str">
        <f>_xlfn.XLOOKUP(Table3[[#This Row],[enz]],'[1]scRBA (raw)'!$N:$N,'[1]scRBA (raw)'!$K:$K,"")</f>
        <v>YNL142W</v>
      </c>
      <c r="K182">
        <f>_xlfn.XLOOKUP(Table3[[#This Row],[SC enz]],Table2[id],Table2[Abundance in SC (g protein/g all proteins)],"")</f>
        <v>1.0703815881231399E-5</v>
      </c>
      <c r="L182">
        <f>_xlfn.XLOOKUP(Table3[[#This Row],[SC enz]],Table2[id],Table2[Abundance in RT (g protein/g all proteins)],"")</f>
        <v>1.787E-3</v>
      </c>
      <c r="M182">
        <f>Table3[[#This Row],[log(y)]]-Table3[[#This Row],[log(x)]]/SQRT(2)</f>
        <v>1.7898588672453597</v>
      </c>
      <c r="N182">
        <f>ABS(Table3[[#This Row],[dist from 45-degree (RT - SC)]])</f>
        <v>1.7898588672453597</v>
      </c>
    </row>
    <row r="183" spans="1:14" x14ac:dyDescent="0.2">
      <c r="A183" t="s">
        <v>3040</v>
      </c>
      <c r="B183">
        <v>10974.545267340591</v>
      </c>
      <c r="C183">
        <v>2750.717565592221</v>
      </c>
      <c r="D183">
        <f>LOG(Table3[[#This Row],[scRBA $k_{app}$ ($h^{-1}$)]])</f>
        <v>4.0403865342010707</v>
      </c>
      <c r="E183">
        <f>LOG(Table3[[#This Row],[rtRBA $k_{app}$ ($h^{-1}$)]])</f>
        <v>3.4394460007852761</v>
      </c>
      <c r="F183" t="str">
        <f>_xlfn.TEXTAFTER(Table3[[#This Row],[id]],"-",-1)</f>
        <v>rt2062_c</v>
      </c>
      <c r="G183" t="str">
        <f>_xlfn.TEXTAFTER(_xlfn.TEXTBEFORE(Table3[[#This Row],[id]],"-"&amp;Table3[[#This Row],[enz]]),"_",-1)</f>
        <v>FWD</v>
      </c>
      <c r="H183" t="str">
        <f>_xlfn.TEXTBEFORE(Table3[[#This Row],[id]],"_"&amp;Table3[[#This Row],[dir]])</f>
        <v>NNATi_c</v>
      </c>
      <c r="I183" t="str">
        <f>_xlfn.XLOOKUP(Table3[[#This Row],[rxn]],Table1[id],Table1[subsystem],"")</f>
        <v>Nicotinate and nicotinamide metabolism</v>
      </c>
      <c r="J183" t="str">
        <f>_xlfn.XLOOKUP(Table3[[#This Row],[enz]],'[1]scRBA (raw)'!$N:$N,'[1]scRBA (raw)'!$K:$K,"")</f>
        <v/>
      </c>
      <c r="K183" t="str">
        <f>_xlfn.XLOOKUP(Table3[[#This Row],[SC enz]],Table2[id],Table2[Abundance in SC (g protein/g all proteins)],"")</f>
        <v/>
      </c>
      <c r="L183" t="str">
        <f>_xlfn.XLOOKUP(Table3[[#This Row],[SC enz]],Table2[id],Table2[Abundance in RT (g protein/g all proteins)],"")</f>
        <v/>
      </c>
      <c r="M183">
        <f>Table3[[#This Row],[log(y)]]-Table3[[#This Row],[log(x)]]/SQRT(2)</f>
        <v>0.58246128383688678</v>
      </c>
      <c r="N183">
        <f>ABS(Table3[[#This Row],[dist from 45-degree (RT - SC)]])</f>
        <v>0.58246128383688678</v>
      </c>
    </row>
    <row r="184" spans="1:14" x14ac:dyDescent="0.2">
      <c r="A184" t="s">
        <v>3041</v>
      </c>
      <c r="B184">
        <v>10954.306079485301</v>
      </c>
      <c r="C184">
        <v>13784.076970062681</v>
      </c>
      <c r="D184">
        <f>LOG(Table3[[#This Row],[scRBA $k_{app}$ ($h^{-1}$)]])</f>
        <v>4.0395848715913392</v>
      </c>
      <c r="E184">
        <f>LOG(Table3[[#This Row],[rtRBA $k_{app}$ ($h^{-1}$)]])</f>
        <v>4.1393776895401002</v>
      </c>
      <c r="F184" t="str">
        <f>_xlfn.TEXTAFTER(Table3[[#This Row],[id]],"-",-1)</f>
        <v>rt4934</v>
      </c>
      <c r="G184" t="str">
        <f>_xlfn.TEXTAFTER(_xlfn.TEXTBEFORE(Table3[[#This Row],[id]],"-"&amp;Table3[[#This Row],[enz]]),"_",-1)</f>
        <v>FWD</v>
      </c>
      <c r="H184" t="str">
        <f>_xlfn.TEXTBEFORE(Table3[[#This Row],[id]],"_"&amp;Table3[[#This Row],[dir]])</f>
        <v>OCBT_c</v>
      </c>
      <c r="I184" t="str">
        <f>_xlfn.XLOOKUP(Table3[[#This Row],[rxn]],Table1[id],Table1[subsystem],"")</f>
        <v>Arginine and proline metabolism</v>
      </c>
      <c r="J184" t="str">
        <f>_xlfn.XLOOKUP(Table3[[#This Row],[enz]],'[1]scRBA (raw)'!$N:$N,'[1]scRBA (raw)'!$K:$K,"")</f>
        <v>YJL088W</v>
      </c>
      <c r="K184">
        <f>_xlfn.XLOOKUP(Table3[[#This Row],[SC enz]],Table2[id],Table2[Abundance in SC (g protein/g all proteins)],"")</f>
        <v>3.96223133708004E-4</v>
      </c>
      <c r="L184">
        <f>_xlfn.XLOOKUP(Table3[[#This Row],[SC enz]],Table2[id],Table2[Abundance in RT (g protein/g all proteins)],"")</f>
        <v>2.31E-4</v>
      </c>
      <c r="M184">
        <f>Table3[[#This Row],[log(y)]]-Table3[[#This Row],[log(x)]]/SQRT(2)</f>
        <v>1.2829598336592758</v>
      </c>
      <c r="N184">
        <f>ABS(Table3[[#This Row],[dist from 45-degree (RT - SC)]])</f>
        <v>1.2829598336592758</v>
      </c>
    </row>
    <row r="185" spans="1:14" x14ac:dyDescent="0.2">
      <c r="A185" t="s">
        <v>3042</v>
      </c>
      <c r="B185">
        <v>3039403.4909217008</v>
      </c>
      <c r="C185">
        <v>715765.33657586167</v>
      </c>
      <c r="D185">
        <f>LOG(Table3[[#This Row],[scRBA $k_{app}$ ($h^{-1}$)]])</f>
        <v>6.4827883579439893</v>
      </c>
      <c r="E185">
        <f>LOG(Table3[[#This Row],[rtRBA $k_{app}$ ($h^{-1}$)]])</f>
        <v>5.8547706623435278</v>
      </c>
      <c r="F185" t="str">
        <f>_xlfn.TEXTAFTER(Table3[[#This Row],[id]],"-",-1)</f>
        <v>rt5646</v>
      </c>
      <c r="G185" t="str">
        <f>_xlfn.TEXTAFTER(_xlfn.TEXTBEFORE(Table3[[#This Row],[id]],"-"&amp;Table3[[#This Row],[enz]]),"_",-1)</f>
        <v>FWD</v>
      </c>
      <c r="H185" t="str">
        <f>_xlfn.TEXTBEFORE(Table3[[#This Row],[id]],"_"&amp;Table3[[#This Row],[dir]])</f>
        <v>OMCDC_c</v>
      </c>
      <c r="I185" t="str">
        <f>_xlfn.XLOOKUP(Table3[[#This Row],[rxn]],Table1[id],Table1[subsystem],"")</f>
        <v>Cysteine and methionine metabolism</v>
      </c>
      <c r="J185" t="str">
        <f>_xlfn.XLOOKUP(Table3[[#This Row],[enz]],'[1]scRBA (raw)'!$N:$N,'[1]scRBA (raw)'!$K:$K,"")</f>
        <v>YJR148W</v>
      </c>
      <c r="K185">
        <f>_xlfn.XLOOKUP(Table3[[#This Row],[SC enz]],Table2[id],Table2[Abundance in SC (g protein/g all proteins)],"")</f>
        <v>1.6749442232668601E-4</v>
      </c>
      <c r="L185">
        <f>_xlfn.XLOOKUP(Table3[[#This Row],[SC enz]],Table2[id],Table2[Abundance in RT (g protein/g all proteins)],"")</f>
        <v>4.0200000000000001E-5</v>
      </c>
      <c r="M185">
        <f>Table3[[#This Row],[log(y)]]-Table3[[#This Row],[log(x)]]/SQRT(2)</f>
        <v>1.2707470534441301</v>
      </c>
      <c r="N185">
        <f>ABS(Table3[[#This Row],[dist from 45-degree (RT - SC)]])</f>
        <v>1.2707470534441301</v>
      </c>
    </row>
    <row r="186" spans="1:14" x14ac:dyDescent="0.2">
      <c r="A186" t="s">
        <v>3043</v>
      </c>
      <c r="B186">
        <v>12481.96694581984</v>
      </c>
      <c r="C186">
        <v>13580.11874910694</v>
      </c>
      <c r="D186">
        <f>LOG(Table3[[#This Row],[scRBA $k_{app}$ ($h^{-1}$)]])</f>
        <v>4.0962830281673881</v>
      </c>
      <c r="E186">
        <f>LOG(Table3[[#This Row],[rtRBA $k_{app}$ ($h^{-1}$)]])</f>
        <v>4.1329035675775012</v>
      </c>
      <c r="F186" t="str">
        <f>_xlfn.TEXTAFTER(Table3[[#This Row],[id]],"-",-1)</f>
        <v>rt3750</v>
      </c>
      <c r="G186" t="str">
        <f>_xlfn.TEXTAFTER(_xlfn.TEXTBEFORE(Table3[[#This Row],[id]],"-"&amp;Table3[[#This Row],[enz]]),"_",-1)</f>
        <v>FWD</v>
      </c>
      <c r="H186" t="str">
        <f>_xlfn.TEXTBEFORE(Table3[[#This Row],[id]],"_"&amp;Table3[[#This Row],[dir]])</f>
        <v>OMPDC_c</v>
      </c>
      <c r="I186" t="str">
        <f>_xlfn.XLOOKUP(Table3[[#This Row],[rxn]],Table1[id],Table1[subsystem],"")</f>
        <v>Pyrimidine metabolism</v>
      </c>
      <c r="J186" t="str">
        <f>_xlfn.XLOOKUP(Table3[[#This Row],[enz]],'[1]scRBA (raw)'!$N:$N,'[1]scRBA (raw)'!$K:$K,"")</f>
        <v>YEL021W</v>
      </c>
      <c r="K186">
        <f>_xlfn.XLOOKUP(Table3[[#This Row],[SC enz]],Table2[id],Table2[Abundance in SC (g protein/g all proteins)],"")</f>
        <v>4.5022058118436997E-6</v>
      </c>
      <c r="L186">
        <f>_xlfn.XLOOKUP(Table3[[#This Row],[SC enz]],Table2[id],Table2[Abundance in RT (g protein/g all proteins)],"")</f>
        <v>1.08E-4</v>
      </c>
      <c r="M186">
        <f>Table3[[#This Row],[log(y)]]-Table3[[#This Row],[log(x)]]/SQRT(2)</f>
        <v>1.236394060700976</v>
      </c>
      <c r="N186">
        <f>ABS(Table3[[#This Row],[dist from 45-degree (RT - SC)]])</f>
        <v>1.236394060700976</v>
      </c>
    </row>
    <row r="187" spans="1:14" x14ac:dyDescent="0.2">
      <c r="A187" t="s">
        <v>3044</v>
      </c>
      <c r="B187">
        <v>123794.45458209291</v>
      </c>
      <c r="C187">
        <v>63669.693473298321</v>
      </c>
      <c r="D187">
        <f>LOG(Table3[[#This Row],[scRBA $k_{app}$ ($h^{-1}$)]])</f>
        <v>5.0927011907395316</v>
      </c>
      <c r="E187">
        <f>LOG(Table3[[#This Row],[rtRBA $k_{app}$ ($h^{-1}$)]])</f>
        <v>4.8039327590333789</v>
      </c>
      <c r="F187" t="str">
        <f>_xlfn.TEXTAFTER(Table3[[#This Row],[id]],"-",-1)</f>
        <v>rt7840</v>
      </c>
      <c r="G187" t="str">
        <f>_xlfn.TEXTAFTER(_xlfn.TEXTBEFORE(Table3[[#This Row],[id]],"-"&amp;Table3[[#This Row],[enz]]),"_",-1)</f>
        <v>FWD</v>
      </c>
      <c r="H187" t="str">
        <f>_xlfn.TEXTBEFORE(Table3[[#This Row],[id]],"_"&amp;Table3[[#This Row],[dir]])</f>
        <v>ORNTACi_m</v>
      </c>
      <c r="I187" t="str">
        <f>_xlfn.XLOOKUP(Table3[[#This Row],[rxn]],Table1[id],Table1[subsystem],"")</f>
        <v>Arginine and proline metabolism</v>
      </c>
      <c r="J187" t="str">
        <f>_xlfn.XLOOKUP(Table3[[#This Row],[enz]],'[1]scRBA (raw)'!$N:$N,'[1]scRBA (raw)'!$K:$K,"")</f>
        <v>YMR062C</v>
      </c>
      <c r="K187">
        <f>_xlfn.XLOOKUP(Table3[[#This Row],[SC enz]],Table2[id],Table2[Abundance in SC (g protein/g all proteins)],"")</f>
        <v>1.4718745584008501E-4</v>
      </c>
      <c r="L187">
        <f>_xlfn.XLOOKUP(Table3[[#This Row],[SC enz]],Table2[id],Table2[Abundance in RT (g protein/g all proteins)],"")</f>
        <v>6.2399999999999999E-5</v>
      </c>
      <c r="M187">
        <f>Table3[[#This Row],[log(y)]]-Table3[[#This Row],[log(x)]]/SQRT(2)</f>
        <v>1.2028492125046513</v>
      </c>
      <c r="N187">
        <f>ABS(Table3[[#This Row],[dist from 45-degree (RT - SC)]])</f>
        <v>1.2028492125046513</v>
      </c>
    </row>
    <row r="188" spans="1:14" x14ac:dyDescent="0.2">
      <c r="A188" t="s">
        <v>3264</v>
      </c>
      <c r="B188">
        <v>408470.46059505362</v>
      </c>
      <c r="C188">
        <v>14596.295635871649</v>
      </c>
      <c r="D188">
        <f>LOG(Table3[[#This Row],[scRBA $k_{app}$ ($h^{-1}$)]])</f>
        <v>5.6111606550803641</v>
      </c>
      <c r="E188">
        <f>LOG(Table3[[#This Row],[rtRBA $k_{app}$ ($h^{-1}$)]])</f>
        <v>4.1642426510565089</v>
      </c>
      <c r="F188" t="str">
        <f>_xlfn.TEXTAFTER(Table3[[#This Row],[id]],"-",-1)</f>
        <v>rt6698</v>
      </c>
      <c r="G188" t="str">
        <f>_xlfn.TEXTAFTER(_xlfn.TEXTBEFORE(Table3[[#This Row],[id]],"-"&amp;Table3[[#This Row],[enz]]),"_",-1)</f>
        <v>FWD</v>
      </c>
      <c r="H188" t="str">
        <f>_xlfn.TEXTBEFORE(Table3[[#This Row],[id]],"_"&amp;Table3[[#This Row],[dir]])</f>
        <v>ORNTA_c</v>
      </c>
      <c r="I188" t="str">
        <f>_xlfn.XLOOKUP(Table3[[#This Row],[rxn]],Table1[id],Table1[subsystem],"")</f>
        <v>Arginine and proline metabolism</v>
      </c>
      <c r="J188" t="str">
        <f>_xlfn.XLOOKUP(Table3[[#This Row],[enz]],'[1]scRBA (raw)'!$N:$N,'[1]scRBA (raw)'!$K:$K,"")</f>
        <v>YLR438W</v>
      </c>
      <c r="K188">
        <f>_xlfn.XLOOKUP(Table3[[#This Row],[SC enz]],Table2[id],Table2[Abundance in SC (g protein/g all proteins)],"")</f>
        <v>4.6731231906819201E-4</v>
      </c>
      <c r="L188">
        <f>_xlfn.XLOOKUP(Table3[[#This Row],[SC enz]],Table2[id],Table2[Abundance in RT (g protein/g all proteins)],"")</f>
        <v>4.6099999999999998E-4</v>
      </c>
      <c r="M188">
        <f>Table3[[#This Row],[log(y)]]-Table3[[#This Row],[log(x)]]/SQRT(2)</f>
        <v>0.19655290152203353</v>
      </c>
      <c r="N188">
        <f>ABS(Table3[[#This Row],[dist from 45-degree (RT - SC)]])</f>
        <v>0.19655290152203353</v>
      </c>
    </row>
    <row r="189" spans="1:14" x14ac:dyDescent="0.2">
      <c r="A189" t="s">
        <v>3045</v>
      </c>
      <c r="B189">
        <v>719912.1853378712</v>
      </c>
      <c r="C189">
        <v>1341108.471833471</v>
      </c>
      <c r="D189">
        <f>LOG(Table3[[#This Row],[scRBA $k_{app}$ ($h^{-1}$)]])</f>
        <v>5.8572795245575273</v>
      </c>
      <c r="E189">
        <f>LOG(Table3[[#This Row],[rtRBA $k_{app}$ ($h^{-1}$)]])</f>
        <v>6.1274639059750431</v>
      </c>
      <c r="F189" t="str">
        <f>_xlfn.TEXTAFTER(Table3[[#This Row],[id]],"-",-1)</f>
        <v>rt4951</v>
      </c>
      <c r="G189" t="str">
        <f>_xlfn.TEXTAFTER(_xlfn.TEXTBEFORE(Table3[[#This Row],[id]],"-"&amp;Table3[[#This Row],[enz]]),"_",-1)</f>
        <v>FWD</v>
      </c>
      <c r="H189" t="str">
        <f>_xlfn.TEXTBEFORE(Table3[[#This Row],[id]],"_"&amp;Table3[[#This Row],[dir]])</f>
        <v>ORNtpa_m</v>
      </c>
      <c r="I189" t="str">
        <f>_xlfn.XLOOKUP(Table3[[#This Row],[rxn]],Table1[id],Table1[subsystem],"")</f>
        <v>Transport</v>
      </c>
      <c r="J189" t="str">
        <f>_xlfn.XLOOKUP(Table3[[#This Row],[enz]],'[1]scRBA (raw)'!$N:$N,'[1]scRBA (raw)'!$K:$K,"")</f>
        <v>YOR130C</v>
      </c>
      <c r="K189">
        <f>_xlfn.XLOOKUP(Table3[[#This Row],[SC enz]],Table2[id],Table2[Abundance in SC (g protein/g all proteins)],"")</f>
        <v>7.1782442141578705E-5</v>
      </c>
      <c r="L189">
        <f>_xlfn.XLOOKUP(Table3[[#This Row],[SC enz]],Table2[id],Table2[Abundance in RT (g protein/g all proteins)],"")</f>
        <v>2.1100000000000001E-4</v>
      </c>
      <c r="M189">
        <f>Table3[[#This Row],[log(y)]]-Table3[[#This Row],[log(x)]]/SQRT(2)</f>
        <v>1.9857418348552986</v>
      </c>
      <c r="N189">
        <f>ABS(Table3[[#This Row],[dist from 45-degree (RT - SC)]])</f>
        <v>1.9857418348552986</v>
      </c>
    </row>
    <row r="190" spans="1:14" x14ac:dyDescent="0.2">
      <c r="A190" t="s">
        <v>3046</v>
      </c>
      <c r="B190">
        <v>8355.9159294809779</v>
      </c>
      <c r="C190">
        <v>18204.991528750681</v>
      </c>
      <c r="D190">
        <f>LOG(Table3[[#This Row],[scRBA $k_{app}$ ($h^{-1}$)]])</f>
        <v>3.9219940618077711</v>
      </c>
      <c r="E190">
        <f>LOG(Table3[[#This Row],[rtRBA $k_{app}$ ($h^{-1}$)]])</f>
        <v>4.2601904811816524</v>
      </c>
      <c r="F190" t="str">
        <f>_xlfn.TEXTAFTER(Table3[[#This Row],[id]],"-",-1)</f>
        <v>rt2348</v>
      </c>
      <c r="G190" t="str">
        <f>_xlfn.TEXTAFTER(_xlfn.TEXTBEFORE(Table3[[#This Row],[id]],"-"&amp;Table3[[#This Row],[enz]]),"_",-1)</f>
        <v>REV</v>
      </c>
      <c r="H190" t="str">
        <f>_xlfn.TEXTBEFORE(Table3[[#This Row],[id]],"_"&amp;Table3[[#This Row],[dir]])</f>
        <v>ORPT_c</v>
      </c>
      <c r="I190" t="str">
        <f>_xlfn.XLOOKUP(Table3[[#This Row],[rxn]],Table1[id],Table1[subsystem],"")</f>
        <v>Pyrimidine metabolism</v>
      </c>
      <c r="J190" t="str">
        <f>_xlfn.XLOOKUP(Table3[[#This Row],[enz]],'[1]scRBA (raw)'!$N:$N,'[1]scRBA (raw)'!$K:$K,"")</f>
        <v>YML106W</v>
      </c>
      <c r="K190">
        <f>_xlfn.XLOOKUP(Table3[[#This Row],[SC enz]],Table2[id],Table2[Abundance in SC (g protein/g all proteins)],"")</f>
        <v>2.52431143358945E-5</v>
      </c>
      <c r="L190">
        <f>_xlfn.XLOOKUP(Table3[[#This Row],[SC enz]],Table2[id],Table2[Abundance in RT (g protein/g all proteins)],"")</f>
        <v>3.82E-5</v>
      </c>
      <c r="M190">
        <f>Table3[[#This Row],[log(y)]]-Table3[[#This Row],[log(x)]]/SQRT(2)</f>
        <v>1.4869218843040062</v>
      </c>
      <c r="N190">
        <f>ABS(Table3[[#This Row],[dist from 45-degree (RT - SC)]])</f>
        <v>1.4869218843040062</v>
      </c>
    </row>
    <row r="191" spans="1:14" x14ac:dyDescent="0.2">
      <c r="A191" t="s">
        <v>3047</v>
      </c>
      <c r="B191">
        <v>230379.60943807609</v>
      </c>
      <c r="C191">
        <v>20292.814334939299</v>
      </c>
      <c r="D191">
        <f>LOG(Table3[[#This Row],[scRBA $k_{app}$ ($h^{-1}$)]])</f>
        <v>5.362444037683427</v>
      </c>
      <c r="E191">
        <f>LOG(Table3[[#This Row],[rtRBA $k_{app}$ ($h^{-1}$)]])</f>
        <v>4.3073422818966174</v>
      </c>
      <c r="F191" t="str">
        <f>_xlfn.TEXTAFTER(Table3[[#This Row],[id]],"-",-1)</f>
        <v>rt5064</v>
      </c>
      <c r="G191" t="str">
        <f>_xlfn.TEXTAFTER(_xlfn.TEXTBEFORE(Table3[[#This Row],[id]],"-"&amp;Table3[[#This Row],[enz]]),"_",-1)</f>
        <v>FWD</v>
      </c>
      <c r="H191" t="str">
        <f>_xlfn.TEXTBEFORE(Table3[[#This Row],[id]],"_"&amp;Table3[[#This Row],[dir]])</f>
        <v>P5CR_c</v>
      </c>
      <c r="I191" t="str">
        <f>_xlfn.XLOOKUP(Table3[[#This Row],[rxn]],Table1[id],Table1[subsystem],"")</f>
        <v>Arginine and proline metabolism</v>
      </c>
      <c r="J191" t="str">
        <f>_xlfn.XLOOKUP(Table3[[#This Row],[enz]],'[1]scRBA (raw)'!$N:$N,'[1]scRBA (raw)'!$K:$K,"")</f>
        <v>YER023W</v>
      </c>
      <c r="K191">
        <f>_xlfn.XLOOKUP(Table3[[#This Row],[SC enz]],Table2[id],Table2[Abundance in SC (g protein/g all proteins)],"")</f>
        <v>3.2825583741340603E-5</v>
      </c>
      <c r="L191">
        <f>_xlfn.XLOOKUP(Table3[[#This Row],[SC enz]],Table2[id],Table2[Abundance in RT (g protein/g all proteins)],"")</f>
        <v>1.16E-4</v>
      </c>
      <c r="M191">
        <f>Table3[[#This Row],[log(y)]]-Table3[[#This Row],[log(x)]]/SQRT(2)</f>
        <v>0.51552173911729637</v>
      </c>
      <c r="N191">
        <f>ABS(Table3[[#This Row],[dist from 45-degree (RT - SC)]])</f>
        <v>0.51552173911729637</v>
      </c>
    </row>
    <row r="192" spans="1:14" x14ac:dyDescent="0.2">
      <c r="A192" t="s">
        <v>3048</v>
      </c>
      <c r="B192">
        <v>1620.1624820220079</v>
      </c>
      <c r="C192">
        <v>2867.7040706902849</v>
      </c>
      <c r="D192">
        <f>LOG(Table3[[#This Row],[scRBA $k_{app}$ ($h^{-1}$)]])</f>
        <v>3.2095585710284658</v>
      </c>
      <c r="E192">
        <f>LOG(Table3[[#This Row],[rtRBA $k_{app}$ ($h^{-1}$)]])</f>
        <v>3.4575343328056394</v>
      </c>
      <c r="F192" t="str">
        <f>_xlfn.TEXTAFTER(Table3[[#This Row],[id]],"-",-1)</f>
        <v>rt6753</v>
      </c>
      <c r="G192" t="str">
        <f>_xlfn.TEXTAFTER(_xlfn.TEXTBEFORE(Table3[[#This Row],[id]],"-"&amp;Table3[[#This Row],[enz]]),"_",-1)</f>
        <v>FWD</v>
      </c>
      <c r="H192" t="str">
        <f>_xlfn.TEXTBEFORE(Table3[[#This Row],[id]],"_"&amp;Table3[[#This Row],[dir]])</f>
        <v>PAILS_rm</v>
      </c>
      <c r="I192" t="str">
        <f>_xlfn.XLOOKUP(Table3[[#This Row],[rxn]],Table1[id],Table1[subsystem],"")</f>
        <v>Glycerophospholipid biosynthesis</v>
      </c>
      <c r="J192" t="str">
        <f>_xlfn.XLOOKUP(Table3[[#This Row],[enz]],'[1]scRBA (raw)'!$N:$N,'[1]scRBA (raw)'!$K:$K,"")</f>
        <v>YPR113W</v>
      </c>
      <c r="K192" t="str">
        <f>_xlfn.XLOOKUP(Table3[[#This Row],[SC enz]],Table2[id],Table2[Abundance in SC (g protein/g all proteins)],"")</f>
        <v/>
      </c>
      <c r="L192" t="str">
        <f>_xlfn.XLOOKUP(Table3[[#This Row],[SC enz]],Table2[id],Table2[Abundance in RT (g protein/g all proteins)],"")</f>
        <v/>
      </c>
      <c r="M192">
        <f>Table3[[#This Row],[log(y)]]-Table3[[#This Row],[log(x)]]/SQRT(2)</f>
        <v>1.1880337026160062</v>
      </c>
      <c r="N192">
        <f>ABS(Table3[[#This Row],[dist from 45-degree (RT - SC)]])</f>
        <v>1.1880337026160062</v>
      </c>
    </row>
    <row r="193" spans="1:14" x14ac:dyDescent="0.2">
      <c r="A193" t="s">
        <v>3050</v>
      </c>
      <c r="B193">
        <v>18597.007639605959</v>
      </c>
      <c r="C193">
        <v>25116.924921773068</v>
      </c>
      <c r="D193">
        <f>LOG(Table3[[#This Row],[scRBA $k_{app}$ ($h^{-1}$)]])</f>
        <v>4.2694430694783998</v>
      </c>
      <c r="E193">
        <f>LOG(Table3[[#This Row],[rtRBA $k_{app}$ ($h^{-1}$)]])</f>
        <v>4.3999664674196817</v>
      </c>
      <c r="F193" t="str">
        <f>_xlfn.TEXTAFTER(Table3[[#This Row],[id]],"-",-1)</f>
        <v>MET16TRX1</v>
      </c>
      <c r="G193" t="str">
        <f>_xlfn.TEXTAFTER(_xlfn.TEXTBEFORE(Table3[[#This Row],[id]],"-"&amp;Table3[[#This Row],[enz]]),"_",-1)</f>
        <v>FWD</v>
      </c>
      <c r="H193" t="str">
        <f>_xlfn.TEXTBEFORE(Table3[[#This Row],[id]],"_"&amp;Table3[[#This Row],[dir]])</f>
        <v>PAPSR_c</v>
      </c>
      <c r="I193" t="str">
        <f>_xlfn.XLOOKUP(Table3[[#This Row],[rxn]],Table1[id],Table1[subsystem],"")</f>
        <v>Sulfur metabolism</v>
      </c>
      <c r="J193" t="str">
        <f>_xlfn.XLOOKUP(Table3[[#This Row],[enz]],'[1]scRBA (raw)'!$N:$N,'[1]scRBA (raw)'!$K:$K,"")</f>
        <v/>
      </c>
      <c r="K193" t="str">
        <f>_xlfn.XLOOKUP(Table3[[#This Row],[SC enz]],Table2[id],Table2[Abundance in SC (g protein/g all proteins)],"")</f>
        <v/>
      </c>
      <c r="L193" t="str">
        <f>_xlfn.XLOOKUP(Table3[[#This Row],[SC enz]],Table2[id],Table2[Abundance in RT (g protein/g all proteins)],"")</f>
        <v/>
      </c>
      <c r="M193">
        <f>Table3[[#This Row],[log(y)]]-Table3[[#This Row],[log(x)]]/SQRT(2)</f>
        <v>1.3810143211015973</v>
      </c>
      <c r="N193">
        <f>ABS(Table3[[#This Row],[dist from 45-degree (RT - SC)]])</f>
        <v>1.3810143211015973</v>
      </c>
    </row>
    <row r="194" spans="1:14" x14ac:dyDescent="0.2">
      <c r="A194" t="s">
        <v>3049</v>
      </c>
      <c r="B194">
        <v>1702985.9659646561</v>
      </c>
      <c r="C194">
        <v>17584.773899216882</v>
      </c>
      <c r="D194">
        <f>LOG(Table3[[#This Row],[scRBA $k_{app}$ ($h^{-1}$)]])</f>
        <v>6.2312110690258882</v>
      </c>
      <c r="E194">
        <f>LOG(Table3[[#This Row],[rtRBA $k_{app}$ ($h^{-1}$)]])</f>
        <v>4.2451367886351203</v>
      </c>
      <c r="F194" t="str">
        <f>_xlfn.TEXTAFTER(Table3[[#This Row],[id]],"-",-1)</f>
        <v>rt4117</v>
      </c>
      <c r="G194" t="str">
        <f>_xlfn.TEXTAFTER(_xlfn.TEXTBEFORE(Table3[[#This Row],[id]],"-"&amp;Table3[[#This Row],[enz]]),"_",-1)</f>
        <v>FWD</v>
      </c>
      <c r="H194" t="str">
        <f>_xlfn.TEXTBEFORE(Table3[[#This Row],[id]],"_"&amp;Table3[[#This Row],[dir]])</f>
        <v>PAP_rm</v>
      </c>
      <c r="I194" t="str">
        <f>_xlfn.XLOOKUP(Table3[[#This Row],[rxn]],Table1[id],Table1[subsystem],"")</f>
        <v>Triacylglycerol biosynthesis</v>
      </c>
      <c r="J194" t="str">
        <f>_xlfn.XLOOKUP(Table3[[#This Row],[enz]],'[1]scRBA (raw)'!$N:$N,'[1]scRBA (raw)'!$K:$K,"")</f>
        <v>YMR165C</v>
      </c>
      <c r="K194">
        <f>_xlfn.XLOOKUP(Table3[[#This Row],[SC enz]],Table2[id],Table2[Abundance in SC (g protein/g all proteins)],"")</f>
        <v>1.77291432968996E-5</v>
      </c>
      <c r="L194">
        <f>_xlfn.XLOOKUP(Table3[[#This Row],[SC enz]],Table2[id],Table2[Abundance in RT (g protein/g all proteins)],"")</f>
        <v>5.57E-6</v>
      </c>
      <c r="M194">
        <f>Table3[[#This Row],[log(y)]]-Table3[[#This Row],[log(x)]]/SQRT(2)</f>
        <v>-0.16099481327776122</v>
      </c>
      <c r="N194">
        <f>ABS(Table3[[#This Row],[dist from 45-degree (RT - SC)]])</f>
        <v>0.16099481327776122</v>
      </c>
    </row>
    <row r="195" spans="1:14" x14ac:dyDescent="0.2">
      <c r="A195" t="s">
        <v>3265</v>
      </c>
      <c r="B195">
        <v>1059980.4121039819</v>
      </c>
      <c r="C195">
        <v>82709.657308169408</v>
      </c>
      <c r="D195">
        <f>LOG(Table3[[#This Row],[scRBA $k_{app}$ ($h^{-1}$)]])</f>
        <v>6.0252978397989647</v>
      </c>
      <c r="E195">
        <f>LOG(Table3[[#This Row],[rtRBA $k_{app}$ ($h^{-1}$)]])</f>
        <v>4.917556221412072</v>
      </c>
      <c r="F195" t="str">
        <f>_xlfn.TEXTAFTER(Table3[[#This Row],[id]],"-",-1)</f>
        <v>rt7325</v>
      </c>
      <c r="G195" t="str">
        <f>_xlfn.TEXTAFTER(_xlfn.TEXTBEFORE(Table3[[#This Row],[id]],"-"&amp;Table3[[#This Row],[enz]]),"_",-1)</f>
        <v>FWD</v>
      </c>
      <c r="H195" t="str">
        <f>_xlfn.TEXTBEFORE(Table3[[#This Row],[id]],"_"&amp;Table3[[#This Row],[dir]])</f>
        <v>PC_c</v>
      </c>
      <c r="I195" t="str">
        <f>_xlfn.XLOOKUP(Table3[[#This Row],[rxn]],Table1[id],Table1[subsystem],"")</f>
        <v>Acetyl-CoA synthesis</v>
      </c>
      <c r="J195" t="str">
        <f>_xlfn.XLOOKUP(Table3[[#This Row],[enz]],'[1]scRBA (raw)'!$N:$N,'[1]scRBA (raw)'!$K:$K,"")</f>
        <v>YGL062W</v>
      </c>
      <c r="K195">
        <f>_xlfn.XLOOKUP(Table3[[#This Row],[SC enz]],Table2[id],Table2[Abundance in SC (g protein/g all proteins)],"")</f>
        <v>6.0154784122872396E-4</v>
      </c>
      <c r="L195">
        <f>_xlfn.XLOOKUP(Table3[[#This Row],[SC enz]],Table2[id],Table2[Abundance in RT (g protein/g all proteins)],"")</f>
        <v>1.63E-5</v>
      </c>
      <c r="M195">
        <f>Table3[[#This Row],[log(y)]]-Table3[[#This Row],[log(x)]]/SQRT(2)</f>
        <v>0.6570272602215681</v>
      </c>
      <c r="N195">
        <f>ABS(Table3[[#This Row],[dist from 45-degree (RT - SC)]])</f>
        <v>0.6570272602215681</v>
      </c>
    </row>
    <row r="196" spans="1:14" x14ac:dyDescent="0.2">
      <c r="A196" t="s">
        <v>3051</v>
      </c>
      <c r="B196">
        <v>821072.85849943419</v>
      </c>
      <c r="C196">
        <v>717013.73870816757</v>
      </c>
      <c r="D196">
        <f>LOG(Table3[[#This Row],[scRBA $k_{app}$ ($h^{-1}$)]])</f>
        <v>5.9143816962672267</v>
      </c>
      <c r="E196">
        <f>LOG(Table3[[#This Row],[rtRBA $k_{app}$ ($h^{-1}$)]])</f>
        <v>5.8555274772688906</v>
      </c>
      <c r="F196" t="str">
        <f>_xlfn.TEXTAFTER(Table3[[#This Row],[id]],"-",-1)</f>
        <v>PDHCPLX</v>
      </c>
      <c r="G196" t="str">
        <f>_xlfn.TEXTAFTER(_xlfn.TEXTBEFORE(Table3[[#This Row],[id]],"-"&amp;Table3[[#This Row],[enz]]),"_",-1)</f>
        <v>FWD</v>
      </c>
      <c r="H196" t="str">
        <f>_xlfn.TEXTBEFORE(Table3[[#This Row],[id]],"_"&amp;Table3[[#This Row],[dir]])</f>
        <v>PDH_m</v>
      </c>
      <c r="I196" t="str">
        <f>_xlfn.XLOOKUP(Table3[[#This Row],[rxn]],Table1[id],Table1[subsystem],"")</f>
        <v>Acetyl-CoA synthesis</v>
      </c>
      <c r="J196" t="str">
        <f>_xlfn.XLOOKUP(Table3[[#This Row],[enz]],'[1]scRBA (raw)'!$N:$N,'[1]scRBA (raw)'!$K:$K,"")</f>
        <v/>
      </c>
      <c r="K196" t="str">
        <f>_xlfn.XLOOKUP(Table3[[#This Row],[SC enz]],Table2[id],Table2[Abundance in SC (g protein/g all proteins)],"")</f>
        <v/>
      </c>
      <c r="L196" t="str">
        <f>_xlfn.XLOOKUP(Table3[[#This Row],[SC enz]],Table2[id],Table2[Abundance in RT (g protein/g all proteins)],"")</f>
        <v/>
      </c>
      <c r="M196">
        <f>Table3[[#This Row],[log(y)]]-Table3[[#This Row],[log(x)]]/SQRT(2)</f>
        <v>1.6734280733127394</v>
      </c>
      <c r="N196">
        <f>ABS(Table3[[#This Row],[dist from 45-degree (RT - SC)]])</f>
        <v>1.6734280733127394</v>
      </c>
    </row>
    <row r="197" spans="1:14" x14ac:dyDescent="0.2">
      <c r="A197" t="s">
        <v>3266</v>
      </c>
      <c r="B197">
        <v>18351.365618372129</v>
      </c>
      <c r="C197">
        <v>6267.9247292735727</v>
      </c>
      <c r="D197">
        <f>LOG(Table3[[#This Row],[scRBA $k_{app}$ ($h^{-1}$)]])</f>
        <v>4.2636683878500037</v>
      </c>
      <c r="E197">
        <f>LOG(Table3[[#This Row],[rtRBA $k_{app}$ ($h^{-1}$)]])</f>
        <v>3.7971237724395936</v>
      </c>
      <c r="F197" t="str">
        <f>_xlfn.TEXTAFTER(Table3[[#This Row],[id]],"-",-1)</f>
        <v>rt4380</v>
      </c>
      <c r="G197" t="str">
        <f>_xlfn.TEXTAFTER(_xlfn.TEXTBEFORE(Table3[[#This Row],[id]],"-"&amp;Table3[[#This Row],[enz]]),"_",-1)</f>
        <v>FWD</v>
      </c>
      <c r="H197" t="str">
        <f>_xlfn.TEXTBEFORE(Table3[[#This Row],[id]],"_"&amp;Table3[[#This Row],[dir]])</f>
        <v>PDMEMT_rm</v>
      </c>
      <c r="I197" t="str">
        <f>_xlfn.XLOOKUP(Table3[[#This Row],[rxn]],Table1[id],Table1[subsystem],"")</f>
        <v>Glycerophospholipid metabolism</v>
      </c>
      <c r="J197" t="str">
        <f>_xlfn.XLOOKUP(Table3[[#This Row],[enz]],'[1]scRBA (raw)'!$N:$N,'[1]scRBA (raw)'!$K:$K,"")</f>
        <v>YJR073C</v>
      </c>
      <c r="K197">
        <f>_xlfn.XLOOKUP(Table3[[#This Row],[SC enz]],Table2[id],Table2[Abundance in SC (g protein/g all proteins)],"")</f>
        <v>1.12614438160574E-3</v>
      </c>
      <c r="L197">
        <f>_xlfn.XLOOKUP(Table3[[#This Row],[SC enz]],Table2[id],Table2[Abundance in RT (g protein/g all proteins)],"")</f>
        <v>3.7300000000000001E-4</v>
      </c>
      <c r="M197">
        <f>Table3[[#This Row],[log(y)]]-Table3[[#This Row],[log(x)]]/SQRT(2)</f>
        <v>0.78225494266014151</v>
      </c>
      <c r="N197">
        <f>ABS(Table3[[#This Row],[dist from 45-degree (RT - SC)]])</f>
        <v>0.78225494266014151</v>
      </c>
    </row>
    <row r="198" spans="1:14" x14ac:dyDescent="0.2">
      <c r="A198" t="s">
        <v>3052</v>
      </c>
      <c r="B198">
        <v>12217.22775769034</v>
      </c>
      <c r="C198">
        <v>6267.9247292735727</v>
      </c>
      <c r="D198">
        <f>LOG(Table3[[#This Row],[scRBA $k_{app}$ ($h^{-1}$)]])</f>
        <v>4.0869726702170794</v>
      </c>
      <c r="E198">
        <f>LOG(Table3[[#This Row],[rtRBA $k_{app}$ ($h^{-1}$)]])</f>
        <v>3.7971237724395936</v>
      </c>
      <c r="F198" t="str">
        <f>_xlfn.TEXTAFTER(Table3[[#This Row],[id]],"-",-1)</f>
        <v>rt4380</v>
      </c>
      <c r="G198" t="str">
        <f>_xlfn.TEXTAFTER(_xlfn.TEXTBEFORE(Table3[[#This Row],[id]],"-"&amp;Table3[[#This Row],[enz]]),"_",-1)</f>
        <v>FWD</v>
      </c>
      <c r="H198" t="str">
        <f>_xlfn.TEXTBEFORE(Table3[[#This Row],[id]],"_"&amp;Table3[[#This Row],[dir]])</f>
        <v>PEMT_rm</v>
      </c>
      <c r="I198" t="str">
        <f>_xlfn.XLOOKUP(Table3[[#This Row],[rxn]],Table1[id],Table1[subsystem],"")</f>
        <v>Glycerophospholipid metabolism</v>
      </c>
      <c r="J198" t="str">
        <f>_xlfn.XLOOKUP(Table3[[#This Row],[enz]],'[1]scRBA (raw)'!$N:$N,'[1]scRBA (raw)'!$K:$K,"")</f>
        <v>YJR073C</v>
      </c>
      <c r="K198">
        <f>_xlfn.XLOOKUP(Table3[[#This Row],[SC enz]],Table2[id],Table2[Abundance in SC (g protein/g all proteins)],"")</f>
        <v>1.12614438160574E-3</v>
      </c>
      <c r="L198">
        <f>_xlfn.XLOOKUP(Table3[[#This Row],[SC enz]],Table2[id],Table2[Abundance in RT (g protein/g all proteins)],"")</f>
        <v>3.7300000000000001E-4</v>
      </c>
      <c r="M198">
        <f>Table3[[#This Row],[log(y)]]-Table3[[#This Row],[log(x)]]/SQRT(2)</f>
        <v>0.90719768280500546</v>
      </c>
      <c r="N198">
        <f>ABS(Table3[[#This Row],[dist from 45-degree (RT - SC)]])</f>
        <v>0.90719768280500546</v>
      </c>
    </row>
    <row r="199" spans="1:14" x14ac:dyDescent="0.2">
      <c r="A199" t="s">
        <v>3053</v>
      </c>
      <c r="B199">
        <v>10805534.255441779</v>
      </c>
      <c r="C199">
        <v>11346447.071639661</v>
      </c>
      <c r="D199">
        <f>LOG(Table3[[#This Row],[scRBA $k_{app}$ ($h^{-1}$)]])</f>
        <v>7.0336462444681489</v>
      </c>
      <c r="E199">
        <f>LOG(Table3[[#This Row],[rtRBA $k_{app}$ ($h^{-1}$)]])</f>
        <v>7.0548598915961183</v>
      </c>
      <c r="F199" t="str">
        <f>_xlfn.TEXTAFTER(Table3[[#This Row],[id]],"-",-1)</f>
        <v>rt0499</v>
      </c>
      <c r="G199" t="str">
        <f>_xlfn.TEXTAFTER(_xlfn.TEXTBEFORE(Table3[[#This Row],[id]],"-"&amp;Table3[[#This Row],[enz]]),"_",-1)</f>
        <v>FWD</v>
      </c>
      <c r="H199" t="str">
        <f>_xlfn.TEXTBEFORE(Table3[[#This Row],[id]],"_"&amp;Table3[[#This Row],[dir]])</f>
        <v>PFK_c</v>
      </c>
      <c r="I199" t="str">
        <f>_xlfn.XLOOKUP(Table3[[#This Row],[rxn]],Table1[id],Table1[subsystem],"")</f>
        <v>Glycolysis / Gluconeogenesis</v>
      </c>
      <c r="J199" t="str">
        <f>_xlfn.XLOOKUP(Table3[[#This Row],[enz]],'[1]scRBA (raw)'!$N:$N,'[1]scRBA (raw)'!$K:$K,"")</f>
        <v/>
      </c>
      <c r="K199" t="str">
        <f>_xlfn.XLOOKUP(Table3[[#This Row],[SC enz]],Table2[id],Table2[Abundance in SC (g protein/g all proteins)],"")</f>
        <v/>
      </c>
      <c r="L199" t="str">
        <f>_xlfn.XLOOKUP(Table3[[#This Row],[SC enz]],Table2[id],Table2[Abundance in RT (g protein/g all proteins)],"")</f>
        <v/>
      </c>
      <c r="M199">
        <f>Table3[[#This Row],[log(y)]]-Table3[[#This Row],[log(x)]]/SQRT(2)</f>
        <v>2.0813209356653974</v>
      </c>
      <c r="N199">
        <f>ABS(Table3[[#This Row],[dist from 45-degree (RT - SC)]])</f>
        <v>2.0813209356653974</v>
      </c>
    </row>
    <row r="200" spans="1:14" x14ac:dyDescent="0.2">
      <c r="A200" t="s">
        <v>3054</v>
      </c>
      <c r="B200">
        <v>50285.003006251492</v>
      </c>
      <c r="C200">
        <v>8397435.7557679005</v>
      </c>
      <c r="D200">
        <f>LOG(Table3[[#This Row],[scRBA $k_{app}$ ($h^{-1}$)]])</f>
        <v>4.7014384804283242</v>
      </c>
      <c r="E200">
        <f>LOG(Table3[[#This Row],[rtRBA $k_{app}$ ($h^{-1}$)]])</f>
        <v>6.9241466899745863</v>
      </c>
      <c r="F200" t="str">
        <f>_xlfn.TEXTAFTER(Table3[[#This Row],[id]],"-",-1)</f>
        <v>rt3683</v>
      </c>
      <c r="G200" t="str">
        <f>_xlfn.TEXTAFTER(_xlfn.TEXTBEFORE(Table3[[#This Row],[id]],"-"&amp;Table3[[#This Row],[enz]]),"_",-1)</f>
        <v>FWD</v>
      </c>
      <c r="H200" t="str">
        <f>_xlfn.TEXTBEFORE(Table3[[#This Row],[id]],"_"&amp;Table3[[#This Row],[dir]])</f>
        <v>PGCD_c</v>
      </c>
      <c r="I200" t="str">
        <f>_xlfn.XLOOKUP(Table3[[#This Row],[rxn]],Table1[id],Table1[subsystem],"")</f>
        <v>Glycine, serine and threonine metabolism</v>
      </c>
      <c r="J200" t="str">
        <f>_xlfn.XLOOKUP(Table3[[#This Row],[enz]],'[1]scRBA (raw)'!$N:$N,'[1]scRBA (raw)'!$K:$K,"")</f>
        <v/>
      </c>
      <c r="K200" t="str">
        <f>_xlfn.XLOOKUP(Table3[[#This Row],[SC enz]],Table2[id],Table2[Abundance in SC (g protein/g all proteins)],"")</f>
        <v/>
      </c>
      <c r="L200" t="str">
        <f>_xlfn.XLOOKUP(Table3[[#This Row],[SC enz]],Table2[id],Table2[Abundance in RT (g protein/g all proteins)],"")</f>
        <v/>
      </c>
      <c r="M200">
        <f>Table3[[#This Row],[log(y)]]-Table3[[#This Row],[log(x)]]/SQRT(2)</f>
        <v>3.5997276591323408</v>
      </c>
      <c r="N200">
        <f>ABS(Table3[[#This Row],[dist from 45-degree (RT - SC)]])</f>
        <v>3.5997276591323408</v>
      </c>
    </row>
    <row r="201" spans="1:14" x14ac:dyDescent="0.2">
      <c r="A201" t="s">
        <v>3055</v>
      </c>
      <c r="B201">
        <v>3136270.2870238819</v>
      </c>
      <c r="C201">
        <v>95435.512727733207</v>
      </c>
      <c r="D201">
        <f>LOG(Table3[[#This Row],[scRBA $k_{app}$ ($h^{-1}$)]])</f>
        <v>6.4964134835738525</v>
      </c>
      <c r="E201">
        <f>LOG(Table3[[#This Row],[rtRBA $k_{app}$ ($h^{-1}$)]])</f>
        <v>4.9797100110960795</v>
      </c>
      <c r="F201" t="str">
        <f>_xlfn.TEXTAFTER(Table3[[#This Row],[id]],"-",-1)</f>
        <v>rt1221</v>
      </c>
      <c r="G201" t="str">
        <f>_xlfn.TEXTAFTER(_xlfn.TEXTBEFORE(Table3[[#This Row],[id]],"-"&amp;Table3[[#This Row],[enz]]),"_",-1)</f>
        <v>FWD</v>
      </c>
      <c r="H201" t="str">
        <f>_xlfn.TEXTBEFORE(Table3[[#This Row],[id]],"_"&amp;Table3[[#This Row],[dir]])</f>
        <v>PGI_c</v>
      </c>
      <c r="I201" t="str">
        <f>_xlfn.XLOOKUP(Table3[[#This Row],[rxn]],Table1[id],Table1[subsystem],"")</f>
        <v>Glycolysis / Gluconeogenesis</v>
      </c>
      <c r="J201" t="str">
        <f>_xlfn.XLOOKUP(Table3[[#This Row],[enz]],'[1]scRBA (raw)'!$N:$N,'[1]scRBA (raw)'!$K:$K,"")</f>
        <v>YBR196C</v>
      </c>
      <c r="K201">
        <f>_xlfn.XLOOKUP(Table3[[#This Row],[SC enz]],Table2[id],Table2[Abundance in SC (g protein/g all proteins)],"")</f>
        <v>2.5538331833353601E-3</v>
      </c>
      <c r="L201">
        <f>_xlfn.XLOOKUP(Table3[[#This Row],[SC enz]],Table2[id],Table2[Abundance in RT (g protein/g all proteins)],"")</f>
        <v>5.3399999999999997E-4</v>
      </c>
      <c r="M201">
        <f>Table3[[#This Row],[log(y)]]-Table3[[#This Row],[log(x)]]/SQRT(2)</f>
        <v>0.3860519834692866</v>
      </c>
      <c r="N201">
        <f>ABS(Table3[[#This Row],[dist from 45-degree (RT - SC)]])</f>
        <v>0.3860519834692866</v>
      </c>
    </row>
    <row r="202" spans="1:14" x14ac:dyDescent="0.2">
      <c r="A202" t="s">
        <v>3056</v>
      </c>
      <c r="B202">
        <v>413350.42388999171</v>
      </c>
      <c r="C202">
        <v>272791.27669119881</v>
      </c>
      <c r="D202">
        <f>LOG(Table3[[#This Row],[scRBA $k_{app}$ ($h^{-1}$)]])</f>
        <v>5.6163183873320977</v>
      </c>
      <c r="E202">
        <f>LOG(Table3[[#This Row],[rtRBA $k_{app}$ ($h^{-1}$)]])</f>
        <v>5.435830478354494</v>
      </c>
      <c r="F202" t="str">
        <f>_xlfn.TEXTAFTER(Table3[[#This Row],[id]],"-",-1)</f>
        <v>rt7353</v>
      </c>
      <c r="G202" t="str">
        <f>_xlfn.TEXTAFTER(_xlfn.TEXTBEFORE(Table3[[#This Row],[id]],"-"&amp;Table3[[#This Row],[enz]]),"_",-1)</f>
        <v>FWD</v>
      </c>
      <c r="H202" t="str">
        <f>_xlfn.TEXTBEFORE(Table3[[#This Row],[id]],"_"&amp;Table3[[#This Row],[dir]])</f>
        <v>PGK_c</v>
      </c>
      <c r="I202" t="str">
        <f>_xlfn.XLOOKUP(Table3[[#This Row],[rxn]],Table1[id],Table1[subsystem],"")</f>
        <v>Glycolysis / Gluconeogenesis</v>
      </c>
      <c r="J202" t="str">
        <f>_xlfn.XLOOKUP(Table3[[#This Row],[enz]],'[1]scRBA (raw)'!$N:$N,'[1]scRBA (raw)'!$K:$K,"")</f>
        <v>YCR012W</v>
      </c>
      <c r="K202">
        <f>_xlfn.XLOOKUP(Table3[[#This Row],[SC enz]],Table2[id],Table2[Abundance in SC (g protein/g all proteins)],"")</f>
        <v>2.2603026343632999E-6</v>
      </c>
      <c r="L202">
        <f>_xlfn.XLOOKUP(Table3[[#This Row],[SC enz]],Table2[id],Table2[Abundance in RT (g protein/g all proteins)],"")</f>
        <v>1.9999999999999999E-6</v>
      </c>
      <c r="M202">
        <f>Table3[[#This Row],[log(y)]]-Table3[[#This Row],[log(x)]]/SQRT(2)</f>
        <v>1.4644936613692732</v>
      </c>
      <c r="N202">
        <f>ABS(Table3[[#This Row],[dist from 45-degree (RT - SC)]])</f>
        <v>1.4644936613692732</v>
      </c>
    </row>
    <row r="203" spans="1:14" x14ac:dyDescent="0.2">
      <c r="A203" t="s">
        <v>3267</v>
      </c>
      <c r="B203">
        <v>132153.27083871869</v>
      </c>
      <c r="C203">
        <v>295282.8095742577</v>
      </c>
      <c r="D203">
        <f>LOG(Table3[[#This Row],[scRBA $k_{app}$ ($h^{-1}$)]])</f>
        <v>5.1210779165379341</v>
      </c>
      <c r="E203">
        <f>LOG(Table3[[#This Row],[rtRBA $k_{app}$ ($h^{-1}$)]])</f>
        <v>5.4702381644579603</v>
      </c>
      <c r="F203" t="str">
        <f>_xlfn.TEXTAFTER(Table3[[#This Row],[id]],"-",-1)</f>
        <v>rt6131</v>
      </c>
      <c r="G203" t="str">
        <f>_xlfn.TEXTAFTER(_xlfn.TEXTBEFORE(Table3[[#This Row],[id]],"-"&amp;Table3[[#This Row],[enz]]),"_",-1)</f>
        <v>FWD</v>
      </c>
      <c r="H203" t="str">
        <f>_xlfn.TEXTBEFORE(Table3[[#This Row],[id]],"_"&amp;Table3[[#This Row],[dir]])</f>
        <v>PGL_c</v>
      </c>
      <c r="I203" t="str">
        <f>_xlfn.XLOOKUP(Table3[[#This Row],[rxn]],Table1[id],Table1[subsystem],"")</f>
        <v>Pentose phosphate pathway</v>
      </c>
      <c r="J203" t="str">
        <f>_xlfn.XLOOKUP(Table3[[#This Row],[enz]],'[1]scRBA (raw)'!$N:$N,'[1]scRBA (raw)'!$K:$K,"")</f>
        <v/>
      </c>
      <c r="K203" t="str">
        <f>_xlfn.XLOOKUP(Table3[[#This Row],[SC enz]],Table2[id],Table2[Abundance in SC (g protein/g all proteins)],"")</f>
        <v/>
      </c>
      <c r="L203" t="str">
        <f>_xlfn.XLOOKUP(Table3[[#This Row],[SC enz]],Table2[id],Table2[Abundance in RT (g protein/g all proteins)],"")</f>
        <v/>
      </c>
      <c r="M203">
        <f>Table3[[#This Row],[log(y)]]-Table3[[#This Row],[log(x)]]/SQRT(2)</f>
        <v>1.8490892426893111</v>
      </c>
      <c r="N203">
        <f>ABS(Table3[[#This Row],[dist from 45-degree (RT - SC)]])</f>
        <v>1.8490892426893111</v>
      </c>
    </row>
    <row r="204" spans="1:14" x14ac:dyDescent="0.2">
      <c r="A204" t="s">
        <v>3058</v>
      </c>
      <c r="B204">
        <v>368557.13566183433</v>
      </c>
      <c r="C204">
        <v>30883.861230600021</v>
      </c>
      <c r="D204">
        <f>LOG(Table3[[#This Row],[scRBA $k_{app}$ ($h^{-1}$)]])</f>
        <v>5.5665048240245953</v>
      </c>
      <c r="E204">
        <f>LOG(Table3[[#This Row],[rtRBA $k_{app}$ ($h^{-1}$)]])</f>
        <v>4.4897315923862156</v>
      </c>
      <c r="F204" t="str">
        <f>_xlfn.TEXTAFTER(Table3[[#This Row],[id]],"-",-1)</f>
        <v>rt1591</v>
      </c>
      <c r="G204" t="str">
        <f>_xlfn.TEXTAFTER(_xlfn.TEXTBEFORE(Table3[[#This Row],[id]],"-"&amp;Table3[[#This Row],[enz]]),"_",-1)</f>
        <v>FWD</v>
      </c>
      <c r="H204" t="str">
        <f>_xlfn.TEXTBEFORE(Table3[[#This Row],[id]],"_"&amp;Table3[[#This Row],[dir]])</f>
        <v>PGMT_c</v>
      </c>
      <c r="I204" t="str">
        <f>_xlfn.XLOOKUP(Table3[[#This Row],[rxn]],Table1[id],Table1[subsystem],"")</f>
        <v>Cell wall biosynthesis</v>
      </c>
      <c r="J204" t="str">
        <f>_xlfn.XLOOKUP(Table3[[#This Row],[enz]],'[1]scRBA (raw)'!$N:$N,'[1]scRBA (raw)'!$K:$K,"")</f>
        <v/>
      </c>
      <c r="K204" t="str">
        <f>_xlfn.XLOOKUP(Table3[[#This Row],[SC enz]],Table2[id],Table2[Abundance in SC (g protein/g all proteins)],"")</f>
        <v/>
      </c>
      <c r="L204" t="str">
        <f>_xlfn.XLOOKUP(Table3[[#This Row],[SC enz]],Table2[id],Table2[Abundance in RT (g protein/g all proteins)],"")</f>
        <v/>
      </c>
      <c r="M204">
        <f>Table3[[#This Row],[log(y)]]-Table3[[#This Row],[log(x)]]/SQRT(2)</f>
        <v>0.55361828381079503</v>
      </c>
      <c r="N204">
        <f>ABS(Table3[[#This Row],[dist from 45-degree (RT - SC)]])</f>
        <v>0.55361828381079503</v>
      </c>
    </row>
    <row r="205" spans="1:14" x14ac:dyDescent="0.2">
      <c r="A205" t="s">
        <v>3057</v>
      </c>
      <c r="B205">
        <v>2200782.1596900332</v>
      </c>
      <c r="C205">
        <v>116947.81061022769</v>
      </c>
      <c r="D205">
        <f>LOG(Table3[[#This Row],[scRBA $k_{app}$ ($h^{-1}$)]])</f>
        <v>6.3425770568529201</v>
      </c>
      <c r="E205">
        <f>LOG(Table3[[#This Row],[rtRBA $k_{app}$ ($h^{-1}$)]])</f>
        <v>5.0679920957578508</v>
      </c>
      <c r="F205" t="str">
        <f>_xlfn.TEXTAFTER(Table3[[#This Row],[id]],"-",-1)</f>
        <v>rt1542</v>
      </c>
      <c r="G205" t="str">
        <f>_xlfn.TEXTAFTER(_xlfn.TEXTBEFORE(Table3[[#This Row],[id]],"-"&amp;Table3[[#This Row],[enz]]),"_",-1)</f>
        <v>FWD</v>
      </c>
      <c r="H205" t="str">
        <f>_xlfn.TEXTBEFORE(Table3[[#This Row],[id]],"_"&amp;Table3[[#This Row],[dir]])</f>
        <v>PGM_c</v>
      </c>
      <c r="I205" t="str">
        <f>_xlfn.XLOOKUP(Table3[[#This Row],[rxn]],Table1[id],Table1[subsystem],"")</f>
        <v>Glycolysis / Gluconeogenesis</v>
      </c>
      <c r="J205" t="str">
        <f>_xlfn.XLOOKUP(Table3[[#This Row],[enz]],'[1]scRBA (raw)'!$N:$N,'[1]scRBA (raw)'!$K:$K,"")</f>
        <v>YKL152C</v>
      </c>
      <c r="K205">
        <f>_xlfn.XLOOKUP(Table3[[#This Row],[SC enz]],Table2[id],Table2[Abundance in SC (g protein/g all proteins)],"")</f>
        <v>2.0714156090689201E-5</v>
      </c>
      <c r="L205">
        <f>_xlfn.XLOOKUP(Table3[[#This Row],[SC enz]],Table2[id],Table2[Abundance in RT (g protein/g all proteins)],"")</f>
        <v>1.1E-4</v>
      </c>
      <c r="M205">
        <f>Table3[[#This Row],[log(y)]]-Table3[[#This Row],[log(x)]]/SQRT(2)</f>
        <v>0.58311284865893676</v>
      </c>
      <c r="N205">
        <f>ABS(Table3[[#This Row],[dist from 45-degree (RT - SC)]])</f>
        <v>0.58311284865893676</v>
      </c>
    </row>
    <row r="206" spans="1:14" x14ac:dyDescent="0.2">
      <c r="A206" t="s">
        <v>3268</v>
      </c>
      <c r="B206">
        <v>61343.547799231623</v>
      </c>
      <c r="C206">
        <v>417154.88235568022</v>
      </c>
      <c r="D206">
        <f>LOG(Table3[[#This Row],[scRBA $k_{app}$ ($h^{-1}$)]])</f>
        <v>4.7877688897598123</v>
      </c>
      <c r="E206">
        <f>LOG(Table3[[#This Row],[rtRBA $k_{app}$ ($h^{-1}$)]])</f>
        <v>5.6202973309061095</v>
      </c>
      <c r="F206" t="str">
        <f>_xlfn.TEXTAFTER(Table3[[#This Row],[id]],"-",-1)</f>
        <v>rt7471</v>
      </c>
      <c r="G206" t="str">
        <f>_xlfn.TEXTAFTER(_xlfn.TEXTBEFORE(Table3[[#This Row],[id]],"-"&amp;Table3[[#This Row],[enz]]),"_",-1)</f>
        <v>REV</v>
      </c>
      <c r="H206" t="str">
        <f>_xlfn.TEXTBEFORE(Table3[[#This Row],[id]],"_"&amp;Table3[[#This Row],[dir]])</f>
        <v>PHETA1_c</v>
      </c>
      <c r="I206" t="str">
        <f>_xlfn.XLOOKUP(Table3[[#This Row],[rxn]],Table1[id],Table1[subsystem],"")</f>
        <v>Phenylalanine, tyrosine and tryptophan metabolism</v>
      </c>
      <c r="J206" t="str">
        <f>_xlfn.XLOOKUP(Table3[[#This Row],[enz]],'[1]scRBA (raw)'!$N:$N,'[1]scRBA (raw)'!$K:$K,"")</f>
        <v>YGL202W</v>
      </c>
      <c r="K206">
        <f>_xlfn.XLOOKUP(Table3[[#This Row],[SC enz]],Table2[id],Table2[Abundance in SC (g protein/g all proteins)],"")</f>
        <v>1.47985558522502E-6</v>
      </c>
      <c r="L206">
        <f>_xlfn.XLOOKUP(Table3[[#This Row],[SC enz]],Table2[id],Table2[Abundance in RT (g protein/g all proteins)],"")</f>
        <v>6.3700000000000003E-5</v>
      </c>
      <c r="M206">
        <f>Table3[[#This Row],[log(y)]]-Table3[[#This Row],[log(x)]]/SQRT(2)</f>
        <v>2.2348334822029585</v>
      </c>
      <c r="N206">
        <f>ABS(Table3[[#This Row],[dist from 45-degree (RT - SC)]])</f>
        <v>2.2348334822029585</v>
      </c>
    </row>
    <row r="207" spans="1:14" x14ac:dyDescent="0.2">
      <c r="A207" t="s">
        <v>3059</v>
      </c>
      <c r="B207">
        <v>25358.251521477869</v>
      </c>
      <c r="C207">
        <v>25428.430448492149</v>
      </c>
      <c r="D207">
        <f>LOG(Table3[[#This Row],[scRBA $k_{app}$ ($h^{-1}$)]])</f>
        <v>4.4041193051737153</v>
      </c>
      <c r="E207">
        <f>LOG(Table3[[#This Row],[rtRBA $k_{app}$ ($h^{-1}$)]])</f>
        <v>4.4053195544896848</v>
      </c>
      <c r="F207" t="str">
        <f>_xlfn.TEXTAFTER(Table3[[#This Row],[id]],"-",-1)</f>
        <v>FRS12</v>
      </c>
      <c r="G207" t="str">
        <f>_xlfn.TEXTAFTER(_xlfn.TEXTBEFORE(Table3[[#This Row],[id]],"-"&amp;Table3[[#This Row],[enz]]),"_",-1)</f>
        <v>FWD</v>
      </c>
      <c r="H207" t="str">
        <f>_xlfn.TEXTBEFORE(Table3[[#This Row],[id]],"_"&amp;Table3[[#This Row],[dir]])</f>
        <v>PHETRS_c</v>
      </c>
      <c r="I207" t="str">
        <f>_xlfn.XLOOKUP(Table3[[#This Row],[rxn]],Table1[id],Table1[subsystem],"")</f>
        <v>Aminoacyl-tRNA biosynthesis</v>
      </c>
      <c r="J207" t="str">
        <f>_xlfn.XLOOKUP(Table3[[#This Row],[enz]],'[1]scRBA (raw)'!$N:$N,'[1]scRBA (raw)'!$K:$K,"")</f>
        <v/>
      </c>
      <c r="K207" t="str">
        <f>_xlfn.XLOOKUP(Table3[[#This Row],[SC enz]],Table2[id],Table2[Abundance in SC (g protein/g all proteins)],"")</f>
        <v/>
      </c>
      <c r="L207" t="str">
        <f>_xlfn.XLOOKUP(Table3[[#This Row],[SC enz]],Table2[id],Table2[Abundance in RT (g protein/g all proteins)],"")</f>
        <v/>
      </c>
      <c r="M207">
        <f>Table3[[#This Row],[log(y)]]-Table3[[#This Row],[log(x)]]/SQRT(2)</f>
        <v>1.2911369286467651</v>
      </c>
      <c r="N207">
        <f>ABS(Table3[[#This Row],[dist from 45-degree (RT - SC)]])</f>
        <v>1.2911369286467651</v>
      </c>
    </row>
    <row r="208" spans="1:14" x14ac:dyDescent="0.2">
      <c r="A208" t="s">
        <v>3060</v>
      </c>
      <c r="B208">
        <v>1038731.677507144</v>
      </c>
      <c r="C208">
        <v>1809691.260738617</v>
      </c>
      <c r="D208">
        <f>LOG(Table3[[#This Row],[scRBA $k_{app}$ ($h^{-1}$)]])</f>
        <v>6.0165033762119293</v>
      </c>
      <c r="E208">
        <f>LOG(Table3[[#This Row],[rtRBA $k_{app}$ ($h^{-1}$)]])</f>
        <v>6.2576044891263782</v>
      </c>
      <c r="F208" t="str">
        <f>_xlfn.TEXTAFTER(Table3[[#This Row],[id]],"-",-1)</f>
        <v>rt1948</v>
      </c>
      <c r="G208" t="str">
        <f>_xlfn.TEXTAFTER(_xlfn.TEXTBEFORE(Table3[[#This Row],[id]],"-"&amp;Table3[[#This Row],[enz]]),"_",-1)</f>
        <v>FWD</v>
      </c>
      <c r="H208" t="str">
        <f>_xlfn.TEXTBEFORE(Table3[[#This Row],[id]],"_"&amp;Table3[[#This Row],[dir]])</f>
        <v>PItps_e</v>
      </c>
      <c r="I208" t="str">
        <f>_xlfn.XLOOKUP(Table3[[#This Row],[rxn]],Table1[id],Table1[subsystem],"")</f>
        <v>Transport</v>
      </c>
      <c r="J208" t="str">
        <f>_xlfn.XLOOKUP(Table3[[#This Row],[enz]],'[1]scRBA (raw)'!$N:$N,'[1]scRBA (raw)'!$K:$K,"")</f>
        <v>YML123C</v>
      </c>
      <c r="K208">
        <f>_xlfn.XLOOKUP(Table3[[#This Row],[SC enz]],Table2[id],Table2[Abundance in SC (g protein/g all proteins)],"")</f>
        <v>8.5139891750939003E-4</v>
      </c>
      <c r="L208">
        <f>_xlfn.XLOOKUP(Table3[[#This Row],[SC enz]],Table2[id],Table2[Abundance in RT (g protein/g all proteins)],"")</f>
        <v>5.9599999999999996E-4</v>
      </c>
      <c r="M208">
        <f>Table3[[#This Row],[log(y)]]-Table3[[#This Row],[log(x)]]/SQRT(2)</f>
        <v>2.0032941527751653</v>
      </c>
      <c r="N208">
        <f>ABS(Table3[[#This Row],[dist from 45-degree (RT - SC)]])</f>
        <v>2.0032941527751653</v>
      </c>
    </row>
    <row r="209" spans="1:14" x14ac:dyDescent="0.2">
      <c r="A209" t="s">
        <v>3269</v>
      </c>
      <c r="B209">
        <v>421028.74704060022</v>
      </c>
      <c r="C209">
        <v>1896676.876475679</v>
      </c>
      <c r="D209">
        <f>LOG(Table3[[#This Row],[scRBA $k_{app}$ ($h^{-1}$)]])</f>
        <v>5.624311749647732</v>
      </c>
      <c r="E209">
        <f>LOG(Table3[[#This Row],[rtRBA $k_{app}$ ($h^{-1}$)]])</f>
        <v>6.2779933494882982</v>
      </c>
      <c r="F209" t="str">
        <f>_xlfn.TEXTAFTER(Table3[[#This Row],[id]],"-",-1)</f>
        <v>rt0521</v>
      </c>
      <c r="G209" t="str">
        <f>_xlfn.TEXTAFTER(_xlfn.TEXTBEFORE(Table3[[#This Row],[id]],"-"&amp;Table3[[#This Row],[enz]]),"_",-1)</f>
        <v>FWD</v>
      </c>
      <c r="H209" t="str">
        <f>_xlfn.TEXTBEFORE(Table3[[#This Row],[id]],"_"&amp;Table3[[#This Row],[dir]])</f>
        <v>PItps_m</v>
      </c>
      <c r="I209" t="str">
        <f>_xlfn.XLOOKUP(Table3[[#This Row],[rxn]],Table1[id],Table1[subsystem],"")</f>
        <v>Transport</v>
      </c>
      <c r="J209" t="str">
        <f>_xlfn.XLOOKUP(Table3[[#This Row],[enz]],'[1]scRBA (raw)'!$N:$N,'[1]scRBA (raw)'!$K:$K,"")</f>
        <v>YER053C</v>
      </c>
      <c r="K209">
        <f>_xlfn.XLOOKUP(Table3[[#This Row],[SC enz]],Table2[id],Table2[Abundance in SC (g protein/g all proteins)],"")</f>
        <v>1.41639932563231E-3</v>
      </c>
      <c r="L209">
        <f>_xlfn.XLOOKUP(Table3[[#This Row],[SC enz]],Table2[id],Table2[Abundance in RT (g protein/g all proteins)],"")</f>
        <v>6.2200000000000005E-4</v>
      </c>
      <c r="M209">
        <f>Table3[[#This Row],[log(y)]]-Table3[[#This Row],[log(x)]]/SQRT(2)</f>
        <v>2.3010043718052113</v>
      </c>
      <c r="N209">
        <f>ABS(Table3[[#This Row],[dist from 45-degree (RT - SC)]])</f>
        <v>2.3010043718052113</v>
      </c>
    </row>
    <row r="210" spans="1:14" x14ac:dyDescent="0.2">
      <c r="A210" t="s">
        <v>3061</v>
      </c>
      <c r="B210">
        <v>31732.015757196419</v>
      </c>
      <c r="C210">
        <v>22671.38110398814</v>
      </c>
      <c r="D210">
        <f>LOG(Table3[[#This Row],[scRBA $k_{app}$ ($h^{-1}$)]])</f>
        <v>4.5014976612722064</v>
      </c>
      <c r="E210">
        <f>LOG(Table3[[#This Row],[rtRBA $k_{app}$ ($h^{-1}$)]])</f>
        <v>4.355477977452102</v>
      </c>
      <c r="F210" t="str">
        <f>_xlfn.TEXTAFTER(Table3[[#This Row],[id]],"-",-1)</f>
        <v>rt0873</v>
      </c>
      <c r="G210" t="str">
        <f>_xlfn.TEXTAFTER(_xlfn.TEXTBEFORE(Table3[[#This Row],[id]],"-"&amp;Table3[[#This Row],[enz]]),"_",-1)</f>
        <v>REV</v>
      </c>
      <c r="H210" t="str">
        <f>_xlfn.TEXTBEFORE(Table3[[#This Row],[id]],"_"&amp;Table3[[#This Row],[dir]])</f>
        <v>PMANM_c</v>
      </c>
      <c r="I210" t="str">
        <f>_xlfn.XLOOKUP(Table3[[#This Row],[rxn]],Table1[id],Table1[subsystem],"")</f>
        <v>Fructose and mannose metabolism</v>
      </c>
      <c r="J210" t="str">
        <f>_xlfn.XLOOKUP(Table3[[#This Row],[enz]],'[1]scRBA (raw)'!$N:$N,'[1]scRBA (raw)'!$K:$K,"")</f>
        <v>YFL045C</v>
      </c>
      <c r="K210">
        <f>_xlfn.XLOOKUP(Table3[[#This Row],[SC enz]],Table2[id],Table2[Abundance in SC (g protein/g all proteins)],"")</f>
        <v>7.9221338329273105E-5</v>
      </c>
      <c r="L210">
        <f>_xlfn.XLOOKUP(Table3[[#This Row],[SC enz]],Table2[id],Table2[Abundance in RT (g protein/g all proteins)],"")</f>
        <v>4.5899999999999998E-5</v>
      </c>
      <c r="M210">
        <f>Table3[[#This Row],[log(y)]]-Table3[[#This Row],[log(x)]]/SQRT(2)</f>
        <v>1.1724384556711409</v>
      </c>
      <c r="N210">
        <f>ABS(Table3[[#This Row],[dist from 45-degree (RT - SC)]])</f>
        <v>1.1724384556711409</v>
      </c>
    </row>
    <row r="211" spans="1:14" x14ac:dyDescent="0.2">
      <c r="A211" t="s">
        <v>3270</v>
      </c>
      <c r="B211">
        <v>18351.365618372129</v>
      </c>
      <c r="C211">
        <v>6267.9247292735727</v>
      </c>
      <c r="D211">
        <f>LOG(Table3[[#This Row],[scRBA $k_{app}$ ($h^{-1}$)]])</f>
        <v>4.2636683878500037</v>
      </c>
      <c r="E211">
        <f>LOG(Table3[[#This Row],[rtRBA $k_{app}$ ($h^{-1}$)]])</f>
        <v>3.7971237724395936</v>
      </c>
      <c r="F211" t="str">
        <f>_xlfn.TEXTAFTER(Table3[[#This Row],[id]],"-",-1)</f>
        <v>rt4380</v>
      </c>
      <c r="G211" t="str">
        <f>_xlfn.TEXTAFTER(_xlfn.TEXTBEFORE(Table3[[#This Row],[id]],"-"&amp;Table3[[#This Row],[enz]]),"_",-1)</f>
        <v>FWD</v>
      </c>
      <c r="H211" t="str">
        <f>_xlfn.TEXTBEFORE(Table3[[#This Row],[id]],"_"&amp;Table3[[#This Row],[dir]])</f>
        <v>PMEMT_rm</v>
      </c>
      <c r="I211" t="str">
        <f>_xlfn.XLOOKUP(Table3[[#This Row],[rxn]],Table1[id],Table1[subsystem],"")</f>
        <v>Glycerophospholipid metabolism</v>
      </c>
      <c r="J211" t="str">
        <f>_xlfn.XLOOKUP(Table3[[#This Row],[enz]],'[1]scRBA (raw)'!$N:$N,'[1]scRBA (raw)'!$K:$K,"")</f>
        <v>YJR073C</v>
      </c>
      <c r="K211">
        <f>_xlfn.XLOOKUP(Table3[[#This Row],[SC enz]],Table2[id],Table2[Abundance in SC (g protein/g all proteins)],"")</f>
        <v>1.12614438160574E-3</v>
      </c>
      <c r="L211">
        <f>_xlfn.XLOOKUP(Table3[[#This Row],[SC enz]],Table2[id],Table2[Abundance in RT (g protein/g all proteins)],"")</f>
        <v>3.7300000000000001E-4</v>
      </c>
      <c r="M211">
        <f>Table3[[#This Row],[log(y)]]-Table3[[#This Row],[log(x)]]/SQRT(2)</f>
        <v>0.78225494266014151</v>
      </c>
      <c r="N211">
        <f>ABS(Table3[[#This Row],[dist from 45-degree (RT - SC)]])</f>
        <v>0.78225494266014151</v>
      </c>
    </row>
    <row r="212" spans="1:14" x14ac:dyDescent="0.2">
      <c r="A212" t="s">
        <v>3062</v>
      </c>
      <c r="B212">
        <v>72800.832798835923</v>
      </c>
      <c r="C212">
        <v>210911.48375417519</v>
      </c>
      <c r="D212">
        <f>LOG(Table3[[#This Row],[scRBA $k_{app}$ ($h^{-1}$)]])</f>
        <v>4.8621363474156505</v>
      </c>
      <c r="E212">
        <f>LOG(Table3[[#This Row],[rtRBA $k_{app}$ ($h^{-1}$)]])</f>
        <v>5.3241002269433348</v>
      </c>
      <c r="F212" t="str">
        <f>_xlfn.TEXTAFTER(Table3[[#This Row],[id]],"-",-1)</f>
        <v>rt0334</v>
      </c>
      <c r="G212" t="str">
        <f>_xlfn.TEXTAFTER(_xlfn.TEXTBEFORE(Table3[[#This Row],[id]],"-"&amp;Table3[[#This Row],[enz]]),"_",-1)</f>
        <v>FWD</v>
      </c>
      <c r="H212" t="str">
        <f>_xlfn.TEXTBEFORE(Table3[[#This Row],[id]],"_"&amp;Table3[[#This Row],[dir]])</f>
        <v>PMEVK_c</v>
      </c>
      <c r="I212" t="str">
        <f>_xlfn.XLOOKUP(Table3[[#This Row],[rxn]],Table1[id],Table1[subsystem],"")</f>
        <v>Terpenoid backbone biosynthesis</v>
      </c>
      <c r="J212" t="str">
        <f>_xlfn.XLOOKUP(Table3[[#This Row],[enz]],'[1]scRBA (raw)'!$N:$N,'[1]scRBA (raw)'!$K:$K,"")</f>
        <v>YMR220W</v>
      </c>
      <c r="K212">
        <f>_xlfn.XLOOKUP(Table3[[#This Row],[SC enz]],Table2[id],Table2[Abundance in SC (g protein/g all proteins)],"")</f>
        <v>6.6634392840435601E-4</v>
      </c>
      <c r="L212">
        <f>_xlfn.XLOOKUP(Table3[[#This Row],[SC enz]],Table2[id],Table2[Abundance in RT (g protein/g all proteins)],"")</f>
        <v>1.3999999999999999E-4</v>
      </c>
      <c r="M212">
        <f>Table3[[#This Row],[log(y)]]-Table3[[#This Row],[log(x)]]/SQRT(2)</f>
        <v>1.8860506446321375</v>
      </c>
      <c r="N212">
        <f>ABS(Table3[[#This Row],[dist from 45-degree (RT - SC)]])</f>
        <v>1.8860506446321375</v>
      </c>
    </row>
    <row r="213" spans="1:14" x14ac:dyDescent="0.2">
      <c r="A213" t="s">
        <v>3063</v>
      </c>
      <c r="B213">
        <v>59.886079862420289</v>
      </c>
      <c r="C213">
        <v>3.4279218251178998E-3</v>
      </c>
      <c r="D213">
        <f>LOG(Table3[[#This Row],[scRBA $k_{app}$ ($h^{-1}$)]])</f>
        <v>1.7773258851356277</v>
      </c>
      <c r="E213">
        <f>LOG(Table3[[#This Row],[rtRBA $k_{app}$ ($h^{-1}$)]])</f>
        <v>-2.4649690908640807</v>
      </c>
      <c r="F213" t="str">
        <f>_xlfn.TEXTAFTER(Table3[[#This Row],[id]],"-",-1)</f>
        <v>rt5817</v>
      </c>
      <c r="G213" t="str">
        <f>_xlfn.TEXTAFTER(_xlfn.TEXTBEFORE(Table3[[#This Row],[id]],"-"&amp;Table3[[#This Row],[enz]]),"_",-1)</f>
        <v>FWD</v>
      </c>
      <c r="H213" t="str">
        <f>_xlfn.TEXTBEFORE(Table3[[#This Row],[id]],"_"&amp;Table3[[#This Row],[dir]])</f>
        <v>PNTK_c</v>
      </c>
      <c r="I213" t="str">
        <f>_xlfn.XLOOKUP(Table3[[#This Row],[rxn]],Table1[id],Table1[subsystem],"")</f>
        <v>Pantothenate and CoA biosynthesis</v>
      </c>
      <c r="J213" t="str">
        <f>_xlfn.XLOOKUP(Table3[[#This Row],[enz]],'[1]scRBA (raw)'!$N:$N,'[1]scRBA (raw)'!$K:$K,"")</f>
        <v>YDR531W</v>
      </c>
      <c r="K213">
        <f>_xlfn.XLOOKUP(Table3[[#This Row],[SC enz]],Table2[id],Table2[Abundance in SC (g protein/g all proteins)],"")</f>
        <v>2.0279602282563099E-2</v>
      </c>
      <c r="L213">
        <f>_xlfn.XLOOKUP(Table3[[#This Row],[SC enz]],Table2[id],Table2[Abundance in RT (g protein/g all proteins)],"")</f>
        <v>1.4135E-2</v>
      </c>
      <c r="M213">
        <f>Table3[[#This Row],[log(y)]]-Table3[[#This Row],[log(x)]]/SQRT(2)</f>
        <v>-3.7217282766218656</v>
      </c>
      <c r="N213">
        <f>ABS(Table3[[#This Row],[dist from 45-degree (RT - SC)]])</f>
        <v>3.7217282766218656</v>
      </c>
    </row>
    <row r="214" spans="1:14" x14ac:dyDescent="0.2">
      <c r="A214" t="s">
        <v>3064</v>
      </c>
      <c r="B214">
        <v>6815.1858000741777</v>
      </c>
      <c r="C214">
        <v>1.0690498939654069</v>
      </c>
      <c r="D214">
        <f>LOG(Table3[[#This Row],[scRBA $k_{app}$ ($h^{-1}$)]])</f>
        <v>3.8334777003536717</v>
      </c>
      <c r="E214">
        <f>LOG(Table3[[#This Row],[rtRBA $k_{app}$ ($h^{-1}$)]])</f>
        <v>2.8997974776781649E-2</v>
      </c>
      <c r="F214" t="str">
        <f>_xlfn.TEXTAFTER(Table3[[#This Row],[id]],"-",-1)</f>
        <v>rt3985</v>
      </c>
      <c r="G214" t="str">
        <f>_xlfn.TEXTAFTER(_xlfn.TEXTBEFORE(Table3[[#This Row],[id]],"-"&amp;Table3[[#This Row],[enz]]),"_",-1)</f>
        <v>FWD</v>
      </c>
      <c r="H214" t="str">
        <f>_xlfn.TEXTBEFORE(Table3[[#This Row],[id]],"_"&amp;Table3[[#This Row],[dir]])</f>
        <v>PNTOtps_e</v>
      </c>
      <c r="I214" t="str">
        <f>_xlfn.XLOOKUP(Table3[[#This Row],[rxn]],Table1[id],Table1[subsystem],"")</f>
        <v>Transport</v>
      </c>
      <c r="J214" t="str">
        <f>_xlfn.XLOOKUP(Table3[[#This Row],[enz]],'[1]scRBA (raw)'!$N:$N,'[1]scRBA (raw)'!$K:$K,"")</f>
        <v>YCR028C</v>
      </c>
      <c r="K214">
        <f>_xlfn.XLOOKUP(Table3[[#This Row],[SC enz]],Table2[id],Table2[Abundance in SC (g protein/g all proteins)],"")</f>
        <v>1.4072726880052201E-3</v>
      </c>
      <c r="L214">
        <f>_xlfn.XLOOKUP(Table3[[#This Row],[SC enz]],Table2[id],Table2[Abundance in RT (g protein/g all proteins)],"")</f>
        <v>9.9099999999999991E-4</v>
      </c>
      <c r="M214">
        <f>Table3[[#This Row],[log(y)]]-Table3[[#This Row],[log(x)]]/SQRT(2)</f>
        <v>-2.6816801026707116</v>
      </c>
      <c r="N214">
        <f>ABS(Table3[[#This Row],[dist from 45-degree (RT - SC)]])</f>
        <v>2.6816801026707116</v>
      </c>
    </row>
    <row r="215" spans="1:14" x14ac:dyDescent="0.2">
      <c r="A215" t="s">
        <v>3065</v>
      </c>
      <c r="B215">
        <v>60630.068064245948</v>
      </c>
      <c r="C215">
        <v>88418.809620566419</v>
      </c>
      <c r="D215">
        <f>LOG(Table3[[#This Row],[scRBA $k_{app}$ ($h^{-1}$)]])</f>
        <v>4.7826880557808984</v>
      </c>
      <c r="E215">
        <f>LOG(Table3[[#This Row],[rtRBA $k_{app}$ ($h^{-1}$)]])</f>
        <v>4.94654466371734</v>
      </c>
      <c r="F215" t="str">
        <f>_xlfn.TEXTAFTER(Table3[[#This Row],[id]],"-",-1)</f>
        <v>rt7511</v>
      </c>
      <c r="G215" t="str">
        <f>_xlfn.TEXTAFTER(_xlfn.TEXTBEFORE(Table3[[#This Row],[id]],"-"&amp;Table3[[#This Row],[enz]]),"_",-1)</f>
        <v>FWD</v>
      </c>
      <c r="H215" t="str">
        <f>_xlfn.TEXTBEFORE(Table3[[#This Row],[id]],"_"&amp;Table3[[#This Row],[dir]])</f>
        <v>PPA_c</v>
      </c>
      <c r="I215" t="str">
        <f>_xlfn.XLOOKUP(Table3[[#This Row],[rxn]],Table1[id],Table1[subsystem],"")</f>
        <v>Oxidative phosphorylation</v>
      </c>
      <c r="J215" t="str">
        <f>_xlfn.XLOOKUP(Table3[[#This Row],[enz]],'[1]scRBA (raw)'!$N:$N,'[1]scRBA (raw)'!$K:$K,"")</f>
        <v>YBR011C</v>
      </c>
      <c r="K215">
        <f>_xlfn.XLOOKUP(Table3[[#This Row],[SC enz]],Table2[id],Table2[Abundance in SC (g protein/g all proteins)],"")</f>
        <v>3.0442482375869798E-6</v>
      </c>
      <c r="L215">
        <f>_xlfn.XLOOKUP(Table3[[#This Row],[SC enz]],Table2[id],Table2[Abundance in RT (g protein/g all proteins)],"")</f>
        <v>6.3100000000000008E-7</v>
      </c>
      <c r="M215">
        <f>Table3[[#This Row],[log(y)]]-Table3[[#This Row],[log(x)]]/SQRT(2)</f>
        <v>1.5646735071747622</v>
      </c>
      <c r="N215">
        <f>ABS(Table3[[#This Row],[dist from 45-degree (RT - SC)]])</f>
        <v>1.5646735071747622</v>
      </c>
    </row>
    <row r="216" spans="1:14" x14ac:dyDescent="0.2">
      <c r="A216" t="s">
        <v>3302</v>
      </c>
      <c r="B216">
        <v>13.39213889663197</v>
      </c>
      <c r="C216">
        <v>31.68917045364363</v>
      </c>
      <c r="D216">
        <f>LOG(Table3[[#This Row],[scRBA $k_{app}$ ($h^{-1}$)]])</f>
        <v>1.1268499449598182</v>
      </c>
      <c r="E216">
        <f>LOG(Table3[[#This Row],[rtRBA $k_{app}$ ($h^{-1}$)]])</f>
        <v>1.5009108705528602</v>
      </c>
      <c r="F216" t="str">
        <f>_xlfn.TEXTAFTER(Table3[[#This Row],[id]],"-",-1)</f>
        <v>rt6350</v>
      </c>
      <c r="G216" t="str">
        <f>_xlfn.TEXTAFTER(_xlfn.TEXTBEFORE(Table3[[#This Row],[id]],"-"&amp;Table3[[#This Row],[enz]]),"_",-1)</f>
        <v>FWD</v>
      </c>
      <c r="H216" t="str">
        <f>_xlfn.TEXTBEFORE(Table3[[#This Row],[id]],"_"&amp;Table3[[#This Row],[dir]])</f>
        <v>PPBNGD_c</v>
      </c>
      <c r="I216" t="str">
        <f>_xlfn.XLOOKUP(Table3[[#This Row],[rxn]],Table1[id],Table1[subsystem],"")</f>
        <v>Heme metabolism</v>
      </c>
      <c r="J216" t="str">
        <f>_xlfn.XLOOKUP(Table3[[#This Row],[enz]],'[1]scRBA (raw)'!$N:$N,'[1]scRBA (raw)'!$K:$K,"")</f>
        <v>YDL205C</v>
      </c>
      <c r="K216">
        <f>_xlfn.XLOOKUP(Table3[[#This Row],[SC enz]],Table2[id],Table2[Abundance in SC (g protein/g all proteins)],"")</f>
        <v>9.0393160117268802E-6</v>
      </c>
      <c r="L216">
        <f>_xlfn.XLOOKUP(Table3[[#This Row],[SC enz]],Table2[id],Table2[Abundance in RT (g protein/g all proteins)],"")</f>
        <v>1.1600000000000001E-5</v>
      </c>
      <c r="M216">
        <f>Table3[[#This Row],[log(y)]]-Table3[[#This Row],[log(x)]]/SQRT(2)</f>
        <v>0.70410763309208502</v>
      </c>
      <c r="N216">
        <f>ABS(Table3[[#This Row],[dist from 45-degree (RT - SC)]])</f>
        <v>0.70410763309208502</v>
      </c>
    </row>
    <row r="217" spans="1:14" x14ac:dyDescent="0.2">
      <c r="A217" t="s">
        <v>3303</v>
      </c>
      <c r="B217">
        <v>113.30043291728209</v>
      </c>
      <c r="C217">
        <v>126.0714221902509</v>
      </c>
      <c r="D217">
        <f>LOG(Table3[[#This Row],[scRBA $k_{app}$ ($h^{-1}$)]])</f>
        <v>2.0542315692917072</v>
      </c>
      <c r="E217">
        <f>LOG(Table3[[#This Row],[rtRBA $k_{app}$ ($h^{-1}$)]])</f>
        <v>2.1006166520635383</v>
      </c>
      <c r="F217" t="str">
        <f>_xlfn.TEXTAFTER(Table3[[#This Row],[id]],"-",-1)</f>
        <v>rt5026</v>
      </c>
      <c r="G217" t="str">
        <f>_xlfn.TEXTAFTER(_xlfn.TEXTBEFORE(Table3[[#This Row],[id]],"-"&amp;Table3[[#This Row],[enz]]),"_",-1)</f>
        <v>FWD</v>
      </c>
      <c r="H217" t="str">
        <f>_xlfn.TEXTBEFORE(Table3[[#This Row],[id]],"_"&amp;Table3[[#This Row],[dir]])</f>
        <v>PPBNGS_1_c</v>
      </c>
      <c r="I217" t="str">
        <f>_xlfn.XLOOKUP(Table3[[#This Row],[rxn]],Table1[id],Table1[subsystem],"")</f>
        <v>Heme metabolism</v>
      </c>
      <c r="J217" t="str">
        <f>_xlfn.XLOOKUP(Table3[[#This Row],[enz]],'[1]scRBA (raw)'!$N:$N,'[1]scRBA (raw)'!$K:$K,"")</f>
        <v>YGL040C</v>
      </c>
      <c r="K217">
        <f>_xlfn.XLOOKUP(Table3[[#This Row],[SC enz]],Table2[id],Table2[Abundance in SC (g protein/g all proteins)],"")</f>
        <v>7.6020452423641703E-5</v>
      </c>
      <c r="L217">
        <f>_xlfn.XLOOKUP(Table3[[#This Row],[SC enz]],Table2[id],Table2[Abundance in RT (g protein/g all proteins)],"")</f>
        <v>5.2499999999999997E-4</v>
      </c>
      <c r="M217">
        <f>Table3[[#This Row],[log(y)]]-Table3[[#This Row],[log(x)]]/SQRT(2)</f>
        <v>0.64805557928988899</v>
      </c>
      <c r="N217">
        <f>ABS(Table3[[#This Row],[dist from 45-degree (RT - SC)]])</f>
        <v>0.64805557928988899</v>
      </c>
    </row>
    <row r="218" spans="1:14" x14ac:dyDescent="0.2">
      <c r="A218" t="s">
        <v>3066</v>
      </c>
      <c r="B218">
        <v>259.8114779535934</v>
      </c>
      <c r="C218">
        <v>37095.089282946341</v>
      </c>
      <c r="D218">
        <f>LOG(Table3[[#This Row],[scRBA $k_{app}$ ($h^{-1}$)]])</f>
        <v>2.4146583334259928</v>
      </c>
      <c r="E218">
        <f>LOG(Table3[[#This Row],[rtRBA $k_{app}$ ($h^{-1}$)]])</f>
        <v>4.5693164207072945</v>
      </c>
      <c r="F218" t="str">
        <f>_xlfn.TEXTAFTER(Table3[[#This Row],[id]],"-",-1)</f>
        <v>rt0168</v>
      </c>
      <c r="G218" t="str">
        <f>_xlfn.TEXTAFTER(_xlfn.TEXTBEFORE(Table3[[#This Row],[id]],"-"&amp;Table3[[#This Row],[enz]]),"_",-1)</f>
        <v>FWD</v>
      </c>
      <c r="H218" t="str">
        <f>_xlfn.TEXTBEFORE(Table3[[#This Row],[id]],"_"&amp;Table3[[#This Row],[dir]])</f>
        <v>PPCDC_c</v>
      </c>
      <c r="I218" t="str">
        <f>_xlfn.XLOOKUP(Table3[[#This Row],[rxn]],Table1[id],Table1[subsystem],"")</f>
        <v>Pantothenate and CoA biosynthesis</v>
      </c>
      <c r="J218" t="str">
        <f>_xlfn.XLOOKUP(Table3[[#This Row],[enz]],'[1]scRBA (raw)'!$N:$N,'[1]scRBA (raw)'!$K:$K,"")</f>
        <v/>
      </c>
      <c r="K218" t="str">
        <f>_xlfn.XLOOKUP(Table3[[#This Row],[SC enz]],Table2[id],Table2[Abundance in SC (g protein/g all proteins)],"")</f>
        <v/>
      </c>
      <c r="L218" t="str">
        <f>_xlfn.XLOOKUP(Table3[[#This Row],[SC enz]],Table2[id],Table2[Abundance in RT (g protein/g all proteins)],"")</f>
        <v/>
      </c>
      <c r="M218">
        <f>Table3[[#This Row],[log(y)]]-Table3[[#This Row],[log(x)]]/SQRT(2)</f>
        <v>2.8618951388931677</v>
      </c>
      <c r="N218">
        <f>ABS(Table3[[#This Row],[dist from 45-degree (RT - SC)]])</f>
        <v>2.8618951388931677</v>
      </c>
    </row>
    <row r="219" spans="1:14" x14ac:dyDescent="0.2">
      <c r="A219" t="s">
        <v>3067</v>
      </c>
      <c r="B219">
        <v>117.6730722504989</v>
      </c>
      <c r="C219">
        <v>1.3554373646061E-3</v>
      </c>
      <c r="D219">
        <f>LOG(Table3[[#This Row],[scRBA $k_{app}$ ($h^{-1}$)]])</f>
        <v>2.070677092316827</v>
      </c>
      <c r="E219">
        <f>LOG(Table3[[#This Row],[rtRBA $k_{app}$ ($h^{-1}$)]])</f>
        <v>-2.8679205465707303</v>
      </c>
      <c r="F219" t="str">
        <f>_xlfn.TEXTAFTER(Table3[[#This Row],[id]],"-",-1)</f>
        <v>rt0510</v>
      </c>
      <c r="G219" t="str">
        <f>_xlfn.TEXTAFTER(_xlfn.TEXTBEFORE(Table3[[#This Row],[id]],"-"&amp;Table3[[#This Row],[enz]]),"_",-1)</f>
        <v>FWD</v>
      </c>
      <c r="H219" t="str">
        <f>_xlfn.TEXTBEFORE(Table3[[#This Row],[id]],"_"&amp;Table3[[#This Row],[dir]])</f>
        <v>PPNCL2_c</v>
      </c>
      <c r="I219" t="str">
        <f>_xlfn.XLOOKUP(Table3[[#This Row],[rxn]],Table1[id],Table1[subsystem],"")</f>
        <v>Pantothenate and CoA biosynthesis</v>
      </c>
      <c r="J219" t="str">
        <f>_xlfn.XLOOKUP(Table3[[#This Row],[enz]],'[1]scRBA (raw)'!$N:$N,'[1]scRBA (raw)'!$K:$K,"")</f>
        <v>YIL083C</v>
      </c>
      <c r="K219">
        <f>_xlfn.XLOOKUP(Table3[[#This Row],[SC enz]],Table2[id],Table2[Abundance in SC (g protein/g all proteins)],"")</f>
        <v>1.29330277469776E-6</v>
      </c>
      <c r="L219">
        <f>_xlfn.XLOOKUP(Table3[[#This Row],[SC enz]],Table2[id],Table2[Abundance in RT (g protein/g all proteins)],"")</f>
        <v>2.1399999999999998E-6</v>
      </c>
      <c r="M219">
        <f>Table3[[#This Row],[log(y)]]-Table3[[#This Row],[log(x)]]/SQRT(2)</f>
        <v>-4.3321103601956015</v>
      </c>
      <c r="N219">
        <f>ABS(Table3[[#This Row],[dist from 45-degree (RT - SC)]])</f>
        <v>4.3321103601956015</v>
      </c>
    </row>
    <row r="220" spans="1:14" x14ac:dyDescent="0.2">
      <c r="A220" t="s">
        <v>3068</v>
      </c>
      <c r="B220">
        <v>59613.630842898492</v>
      </c>
      <c r="C220">
        <v>54267.779645633971</v>
      </c>
      <c r="D220">
        <f>LOG(Table3[[#This Row],[scRBA $k_{app}$ ($h^{-1}$)]])</f>
        <v>4.7753455738847421</v>
      </c>
      <c r="E220">
        <f>LOG(Table3[[#This Row],[rtRBA $k_{app}$ ($h^{-1}$)]])</f>
        <v>4.7345420528789868</v>
      </c>
      <c r="F220" t="str">
        <f>_xlfn.TEXTAFTER(Table3[[#This Row],[id]],"-",-1)</f>
        <v>rt7857</v>
      </c>
      <c r="G220" t="str">
        <f>_xlfn.TEXTAFTER(_xlfn.TEXTBEFORE(Table3[[#This Row],[id]],"-"&amp;Table3[[#This Row],[enz]]),"_",-1)</f>
        <v>FWD</v>
      </c>
      <c r="H220" t="str">
        <f>_xlfn.TEXTBEFORE(Table3[[#This Row],[id]],"_"&amp;Table3[[#This Row],[dir]])</f>
        <v>PPND2_c</v>
      </c>
      <c r="I220" t="str">
        <f>_xlfn.XLOOKUP(Table3[[#This Row],[rxn]],Table1[id],Table1[subsystem],"")</f>
        <v>Phenylalanine, tyrosine and tryptophan metabolism</v>
      </c>
      <c r="J220" t="str">
        <f>_xlfn.XLOOKUP(Table3[[#This Row],[enz]],'[1]scRBA (raw)'!$N:$N,'[1]scRBA (raw)'!$K:$K,"")</f>
        <v>YBR166C</v>
      </c>
      <c r="K220">
        <f>_xlfn.XLOOKUP(Table3[[#This Row],[SC enz]],Table2[id],Table2[Abundance in SC (g protein/g all proteins)],"")</f>
        <v>2.6648137429804601E-4</v>
      </c>
      <c r="L220">
        <f>_xlfn.XLOOKUP(Table3[[#This Row],[SC enz]],Table2[id],Table2[Abundance in RT (g protein/g all proteins)],"")</f>
        <v>8.03E-5</v>
      </c>
      <c r="M220">
        <f>Table3[[#This Row],[log(y)]]-Table3[[#This Row],[log(x)]]/SQRT(2)</f>
        <v>1.3578628150759204</v>
      </c>
      <c r="N220">
        <f>ABS(Table3[[#This Row],[dist from 45-degree (RT - SC)]])</f>
        <v>1.3578628150759204</v>
      </c>
    </row>
    <row r="221" spans="1:14" x14ac:dyDescent="0.2">
      <c r="A221" t="s">
        <v>3069</v>
      </c>
      <c r="B221">
        <v>114730.1208833828</v>
      </c>
      <c r="C221">
        <v>347882.77529647818</v>
      </c>
      <c r="D221">
        <f>LOG(Table3[[#This Row],[scRBA $k_{app}$ ($h^{-1}$)]])</f>
        <v>5.0596774511717726</v>
      </c>
      <c r="E221">
        <f>LOG(Table3[[#This Row],[rtRBA $k_{app}$ ($h^{-1}$)]])</f>
        <v>5.5414329260776203</v>
      </c>
      <c r="F221" t="str">
        <f>_xlfn.TEXTAFTER(Table3[[#This Row],[id]],"-",-1)</f>
        <v>rt5827</v>
      </c>
      <c r="G221" t="str">
        <f>_xlfn.TEXTAFTER(_xlfn.TEXTBEFORE(Table3[[#This Row],[id]],"-"&amp;Table3[[#This Row],[enz]]),"_",-1)</f>
        <v>FWD</v>
      </c>
      <c r="H221" t="str">
        <f>_xlfn.TEXTBEFORE(Table3[[#This Row],[id]],"_"&amp;Table3[[#This Row],[dir]])</f>
        <v>PPNDH_c</v>
      </c>
      <c r="I221" t="str">
        <f>_xlfn.XLOOKUP(Table3[[#This Row],[rxn]],Table1[id],Table1[subsystem],"")</f>
        <v>Phenylalanine, tyrosine and tryptophan metabolism</v>
      </c>
      <c r="J221" t="str">
        <f>_xlfn.XLOOKUP(Table3[[#This Row],[enz]],'[1]scRBA (raw)'!$N:$N,'[1]scRBA (raw)'!$K:$K,"")</f>
        <v>YNL316C</v>
      </c>
      <c r="K221">
        <f>_xlfn.XLOOKUP(Table3[[#This Row],[SC enz]],Table2[id],Table2[Abundance in SC (g protein/g all proteins)],"")</f>
        <v>2.7425394087660202E-3</v>
      </c>
      <c r="L221">
        <f>_xlfn.XLOOKUP(Table3[[#This Row],[SC enz]],Table2[id],Table2[Abundance in RT (g protein/g all proteins)],"")</f>
        <v>3.5560000000000001E-3</v>
      </c>
      <c r="M221">
        <f>Table3[[#This Row],[log(y)]]-Table3[[#This Row],[log(x)]]/SQRT(2)</f>
        <v>1.9637006897373936</v>
      </c>
      <c r="N221">
        <f>ABS(Table3[[#This Row],[dist from 45-degree (RT - SC)]])</f>
        <v>1.9637006897373936</v>
      </c>
    </row>
    <row r="222" spans="1:14" x14ac:dyDescent="0.2">
      <c r="A222" t="s">
        <v>3304</v>
      </c>
      <c r="B222">
        <v>14.37232740114392</v>
      </c>
      <c r="C222">
        <v>20.245250475236581</v>
      </c>
      <c r="D222">
        <f>LOG(Table3[[#This Row],[scRBA $k_{app}$ ($h^{-1}$)]])</f>
        <v>1.1575271018592634</v>
      </c>
      <c r="E222">
        <f>LOG(Table3[[#This Row],[rtRBA $k_{app}$ ($h^{-1}$)]])</f>
        <v>1.3063231542504032</v>
      </c>
      <c r="F222" t="str">
        <f>_xlfn.TEXTAFTER(Table3[[#This Row],[id]],"-",-1)</f>
        <v>rt3499</v>
      </c>
      <c r="G222" t="str">
        <f>_xlfn.TEXTAFTER(_xlfn.TEXTBEFORE(Table3[[#This Row],[id]],"-"&amp;Table3[[#This Row],[enz]]),"_",-1)</f>
        <v>FWD</v>
      </c>
      <c r="H222" t="str">
        <f>_xlfn.TEXTBEFORE(Table3[[#This Row],[id]],"_"&amp;Table3[[#This Row],[dir]])</f>
        <v>PPPGO_m</v>
      </c>
      <c r="I222" t="str">
        <f>_xlfn.XLOOKUP(Table3[[#This Row],[rxn]],Table1[id],Table1[subsystem],"")</f>
        <v>Heme metabolism</v>
      </c>
      <c r="J222" t="str">
        <f>_xlfn.XLOOKUP(Table3[[#This Row],[enz]],'[1]scRBA (raw)'!$N:$N,'[1]scRBA (raw)'!$K:$K,"")</f>
        <v>YER014W</v>
      </c>
      <c r="K222">
        <f>_xlfn.XLOOKUP(Table3[[#This Row],[SC enz]],Table2[id],Table2[Abundance in SC (g protein/g all proteins)],"")</f>
        <v>3.8962619439284301E-5</v>
      </c>
      <c r="L222">
        <f>_xlfn.XLOOKUP(Table3[[#This Row],[SC enz]],Table2[id],Table2[Abundance in RT (g protein/g all proteins)],"")</f>
        <v>2.5599999999999999E-5</v>
      </c>
      <c r="M222">
        <f>Table3[[#This Row],[log(y)]]-Table3[[#This Row],[log(x)]]/SQRT(2)</f>
        <v>0.48782789111850655</v>
      </c>
      <c r="N222">
        <f>ABS(Table3[[#This Row],[dist from 45-degree (RT - SC)]])</f>
        <v>0.48782789111850655</v>
      </c>
    </row>
    <row r="223" spans="1:14" x14ac:dyDescent="0.2">
      <c r="A223" t="s">
        <v>3070</v>
      </c>
      <c r="B223">
        <v>4674.2284213981002</v>
      </c>
      <c r="C223">
        <v>15560.23443154606</v>
      </c>
      <c r="D223">
        <f>LOG(Table3[[#This Row],[scRBA $k_{app}$ ($h^{-1}$)]])</f>
        <v>3.6697099317893671</v>
      </c>
      <c r="E223">
        <f>LOG(Table3[[#This Row],[rtRBA $k_{app}$ ($h^{-1}$)]])</f>
        <v>4.192016135813045</v>
      </c>
      <c r="F223" t="str">
        <f>_xlfn.TEXTAFTER(Table3[[#This Row],[id]],"-",-1)</f>
        <v>rt5891</v>
      </c>
      <c r="G223" t="str">
        <f>_xlfn.TEXTAFTER(_xlfn.TEXTBEFORE(Table3[[#This Row],[id]],"-"&amp;Table3[[#This Row],[enz]]),"_",-1)</f>
        <v>FWD</v>
      </c>
      <c r="H223" t="str">
        <f>_xlfn.TEXTBEFORE(Table3[[#This Row],[id]],"_"&amp;Table3[[#This Row],[dir]])</f>
        <v>PRAGSi_c</v>
      </c>
      <c r="I223" t="str">
        <f>_xlfn.XLOOKUP(Table3[[#This Row],[rxn]],Table1[id],Table1[subsystem],"")</f>
        <v>Purine metabolism</v>
      </c>
      <c r="J223" t="str">
        <f>_xlfn.XLOOKUP(Table3[[#This Row],[enz]],'[1]scRBA (raw)'!$N:$N,'[1]scRBA (raw)'!$K:$K,"")</f>
        <v>YGL234W</v>
      </c>
      <c r="K223">
        <f>_xlfn.XLOOKUP(Table3[[#This Row],[SC enz]],Table2[id],Table2[Abundance in SC (g protein/g all proteins)],"")</f>
        <v>9.7402248673042697E-4</v>
      </c>
      <c r="L223">
        <f>_xlfn.XLOOKUP(Table3[[#This Row],[SC enz]],Table2[id],Table2[Abundance in RT (g protein/g all proteins)],"")</f>
        <v>1.101E-3</v>
      </c>
      <c r="M223">
        <f>Table3[[#This Row],[log(y)]]-Table3[[#This Row],[log(x)]]/SQRT(2)</f>
        <v>1.5971393580571611</v>
      </c>
      <c r="N223">
        <f>ABS(Table3[[#This Row],[dist from 45-degree (RT - SC)]])</f>
        <v>1.5971393580571611</v>
      </c>
    </row>
    <row r="224" spans="1:14" x14ac:dyDescent="0.2">
      <c r="A224" t="s">
        <v>3072</v>
      </c>
      <c r="B224">
        <v>4674.2284213981002</v>
      </c>
      <c r="C224">
        <v>15560.23443154606</v>
      </c>
      <c r="D224">
        <f>LOG(Table3[[#This Row],[scRBA $k_{app}$ ($h^{-1}$)]])</f>
        <v>3.6697099317893671</v>
      </c>
      <c r="E224">
        <f>LOG(Table3[[#This Row],[rtRBA $k_{app}$ ($h^{-1}$)]])</f>
        <v>4.192016135813045</v>
      </c>
      <c r="F224" t="str">
        <f>_xlfn.TEXTAFTER(Table3[[#This Row],[id]],"-",-1)</f>
        <v>rt5891</v>
      </c>
      <c r="G224" t="str">
        <f>_xlfn.TEXTAFTER(_xlfn.TEXTBEFORE(Table3[[#This Row],[id]],"-"&amp;Table3[[#This Row],[enz]]),"_",-1)</f>
        <v>FWD</v>
      </c>
      <c r="H224" t="str">
        <f>_xlfn.TEXTBEFORE(Table3[[#This Row],[id]],"_"&amp;Table3[[#This Row],[dir]])</f>
        <v>PRAIS_c</v>
      </c>
      <c r="I224" t="str">
        <f>_xlfn.XLOOKUP(Table3[[#This Row],[rxn]],Table1[id],Table1[subsystem],"")</f>
        <v>Purine metabolism</v>
      </c>
      <c r="J224" t="str">
        <f>_xlfn.XLOOKUP(Table3[[#This Row],[enz]],'[1]scRBA (raw)'!$N:$N,'[1]scRBA (raw)'!$K:$K,"")</f>
        <v>YGL234W</v>
      </c>
      <c r="K224">
        <f>_xlfn.XLOOKUP(Table3[[#This Row],[SC enz]],Table2[id],Table2[Abundance in SC (g protein/g all proteins)],"")</f>
        <v>9.7402248673042697E-4</v>
      </c>
      <c r="L224">
        <f>_xlfn.XLOOKUP(Table3[[#This Row],[SC enz]],Table2[id],Table2[Abundance in RT (g protein/g all proteins)],"")</f>
        <v>1.101E-3</v>
      </c>
      <c r="M224">
        <f>Table3[[#This Row],[log(y)]]-Table3[[#This Row],[log(x)]]/SQRT(2)</f>
        <v>1.5971393580571611</v>
      </c>
      <c r="N224">
        <f>ABS(Table3[[#This Row],[dist from 45-degree (RT - SC)]])</f>
        <v>1.5971393580571611</v>
      </c>
    </row>
    <row r="225" spans="1:14" x14ac:dyDescent="0.2">
      <c r="A225" t="s">
        <v>3071</v>
      </c>
      <c r="B225">
        <v>345804.21667221229</v>
      </c>
      <c r="C225">
        <v>24653.727123789409</v>
      </c>
      <c r="D225">
        <f>LOG(Table3[[#This Row],[scRBA $k_{app}$ ($h^{-1}$)]])</f>
        <v>5.5388302846762167</v>
      </c>
      <c r="E225">
        <f>LOG(Table3[[#This Row],[rtRBA $k_{app}$ ($h^{-1}$)]])</f>
        <v>4.3918825847464991</v>
      </c>
      <c r="F225" t="str">
        <f>_xlfn.TEXTAFTER(Table3[[#This Row],[id]],"-",-1)</f>
        <v>rt8196</v>
      </c>
      <c r="G225" t="str">
        <f>_xlfn.TEXTAFTER(_xlfn.TEXTBEFORE(Table3[[#This Row],[id]],"-"&amp;Table3[[#This Row],[enz]]),"_",-1)</f>
        <v>FWD</v>
      </c>
      <c r="H225" t="str">
        <f>_xlfn.TEXTBEFORE(Table3[[#This Row],[id]],"_"&amp;Table3[[#This Row],[dir]])</f>
        <v>PRAIi_c</v>
      </c>
      <c r="I225" t="str">
        <f>_xlfn.XLOOKUP(Table3[[#This Row],[rxn]],Table1[id],Table1[subsystem],"")</f>
        <v>Phenylalanine, tyrosine and tryptophan metabolism</v>
      </c>
      <c r="J225" t="str">
        <f>_xlfn.XLOOKUP(Table3[[#This Row],[enz]],'[1]scRBA (raw)'!$N:$N,'[1]scRBA (raw)'!$K:$K,"")</f>
        <v/>
      </c>
      <c r="K225" t="str">
        <f>_xlfn.XLOOKUP(Table3[[#This Row],[SC enz]],Table2[id],Table2[Abundance in SC (g protein/g all proteins)],"")</f>
        <v/>
      </c>
      <c r="L225" t="str">
        <f>_xlfn.XLOOKUP(Table3[[#This Row],[SC enz]],Table2[id],Table2[Abundance in RT (g protein/g all proteins)],"")</f>
        <v/>
      </c>
      <c r="M225">
        <f>Table3[[#This Row],[log(y)]]-Table3[[#This Row],[log(x)]]/SQRT(2)</f>
        <v>0.4753381306105311</v>
      </c>
      <c r="N225">
        <f>ABS(Table3[[#This Row],[dist from 45-degree (RT - SC)]])</f>
        <v>0.4753381306105311</v>
      </c>
    </row>
    <row r="226" spans="1:14" x14ac:dyDescent="0.2">
      <c r="A226" t="s">
        <v>3073</v>
      </c>
      <c r="B226">
        <v>5784.7122674116063</v>
      </c>
      <c r="C226">
        <v>37095.089282946341</v>
      </c>
      <c r="D226">
        <f>LOG(Table3[[#This Row],[scRBA $k_{app}$ ($h^{-1}$)]])</f>
        <v>3.762281761942369</v>
      </c>
      <c r="E226">
        <f>LOG(Table3[[#This Row],[rtRBA $k_{app}$ ($h^{-1}$)]])</f>
        <v>4.5693164207072945</v>
      </c>
      <c r="F226" t="str">
        <f>_xlfn.TEXTAFTER(Table3[[#This Row],[id]],"-",-1)</f>
        <v>rt3278</v>
      </c>
      <c r="G226" t="str">
        <f>_xlfn.TEXTAFTER(_xlfn.TEXTBEFORE(Table3[[#This Row],[id]],"-"&amp;Table3[[#This Row],[enz]]),"_",-1)</f>
        <v>FWD</v>
      </c>
      <c r="H226" t="str">
        <f>_xlfn.TEXTBEFORE(Table3[[#This Row],[id]],"_"&amp;Table3[[#This Row],[dir]])</f>
        <v>PRAMPC_c</v>
      </c>
      <c r="I226" t="str">
        <f>_xlfn.XLOOKUP(Table3[[#This Row],[rxn]],Table1[id],Table1[subsystem],"")</f>
        <v>Histidine metabolism</v>
      </c>
      <c r="J226" t="str">
        <f>_xlfn.XLOOKUP(Table3[[#This Row],[enz]],'[1]scRBA (raw)'!$N:$N,'[1]scRBA (raw)'!$K:$K,"")</f>
        <v>YCL030C</v>
      </c>
      <c r="K226">
        <f>_xlfn.XLOOKUP(Table3[[#This Row],[SC enz]],Table2[id],Table2[Abundance in SC (g protein/g all proteins)],"")</f>
        <v>7.6735013115051596E-5</v>
      </c>
      <c r="L226">
        <f>_xlfn.XLOOKUP(Table3[[#This Row],[SC enz]],Table2[id],Table2[Abundance in RT (g protein/g all proteins)],"")</f>
        <v>6.69E-5</v>
      </c>
      <c r="M226">
        <f>Table3[[#This Row],[log(y)]]-Table3[[#This Row],[log(x)]]/SQRT(2)</f>
        <v>1.9089814741033737</v>
      </c>
      <c r="N226">
        <f>ABS(Table3[[#This Row],[dist from 45-degree (RT - SC)]])</f>
        <v>1.9089814741033737</v>
      </c>
    </row>
    <row r="227" spans="1:14" x14ac:dyDescent="0.2">
      <c r="A227" t="s">
        <v>3074</v>
      </c>
      <c r="B227">
        <v>4192.7126720486413</v>
      </c>
      <c r="C227">
        <v>9070.4972426119602</v>
      </c>
      <c r="D227">
        <f>LOG(Table3[[#This Row],[scRBA $k_{app}$ ($h^{-1}$)]])</f>
        <v>3.6224951010824498</v>
      </c>
      <c r="E227">
        <f>LOG(Table3[[#This Row],[rtRBA $k_{app}$ ($h^{-1}$)]])</f>
        <v>3.957631095638185</v>
      </c>
      <c r="F227" t="str">
        <f>_xlfn.TEXTAFTER(Table3[[#This Row],[id]],"-",-1)</f>
        <v>rt0852</v>
      </c>
      <c r="G227" t="str">
        <f>_xlfn.TEXTAFTER(_xlfn.TEXTBEFORE(Table3[[#This Row],[id]],"-"&amp;Table3[[#This Row],[enz]]),"_",-1)</f>
        <v>FWD</v>
      </c>
      <c r="H227" t="str">
        <f>_xlfn.TEXTBEFORE(Table3[[#This Row],[id]],"_"&amp;Table3[[#This Row],[dir]])</f>
        <v>PRASCSi_c</v>
      </c>
      <c r="I227" t="str">
        <f>_xlfn.XLOOKUP(Table3[[#This Row],[rxn]],Table1[id],Table1[subsystem],"")</f>
        <v>Purine metabolism</v>
      </c>
      <c r="J227" t="str">
        <f>_xlfn.XLOOKUP(Table3[[#This Row],[enz]],'[1]scRBA (raw)'!$N:$N,'[1]scRBA (raw)'!$K:$K,"")</f>
        <v>YAR015W</v>
      </c>
      <c r="K227">
        <f>_xlfn.XLOOKUP(Table3[[#This Row],[SC enz]],Table2[id],Table2[Abundance in SC (g protein/g all proteins)],"")</f>
        <v>1.46682026278927E-5</v>
      </c>
      <c r="L227">
        <f>_xlfn.XLOOKUP(Table3[[#This Row],[SC enz]],Table2[id],Table2[Abundance in RT (g protein/g all proteins)],"")</f>
        <v>1.76E-4</v>
      </c>
      <c r="M227">
        <f>Table3[[#This Row],[log(y)]]-Table3[[#This Row],[log(x)]]/SQRT(2)</f>
        <v>1.3961402448477371</v>
      </c>
      <c r="N227">
        <f>ABS(Table3[[#This Row],[dist from 45-degree (RT - SC)]])</f>
        <v>1.3961402448477371</v>
      </c>
    </row>
    <row r="228" spans="1:14" x14ac:dyDescent="0.2">
      <c r="A228" t="s">
        <v>3075</v>
      </c>
      <c r="B228">
        <v>5784.7122674116063</v>
      </c>
      <c r="C228">
        <v>37095.089282946341</v>
      </c>
      <c r="D228">
        <f>LOG(Table3[[#This Row],[scRBA $k_{app}$ ($h^{-1}$)]])</f>
        <v>3.762281761942369</v>
      </c>
      <c r="E228">
        <f>LOG(Table3[[#This Row],[rtRBA $k_{app}$ ($h^{-1}$)]])</f>
        <v>4.5693164207072945</v>
      </c>
      <c r="F228" t="str">
        <f>_xlfn.TEXTAFTER(Table3[[#This Row],[id]],"-",-1)</f>
        <v>rt3278</v>
      </c>
      <c r="G228" t="str">
        <f>_xlfn.TEXTAFTER(_xlfn.TEXTBEFORE(Table3[[#This Row],[id]],"-"&amp;Table3[[#This Row],[enz]]),"_",-1)</f>
        <v>FWD</v>
      </c>
      <c r="H228" t="str">
        <f>_xlfn.TEXTBEFORE(Table3[[#This Row],[id]],"_"&amp;Table3[[#This Row],[dir]])</f>
        <v>PRATPP_c</v>
      </c>
      <c r="I228" t="str">
        <f>_xlfn.XLOOKUP(Table3[[#This Row],[rxn]],Table1[id],Table1[subsystem],"")</f>
        <v>Histidine metabolism</v>
      </c>
      <c r="J228" t="str">
        <f>_xlfn.XLOOKUP(Table3[[#This Row],[enz]],'[1]scRBA (raw)'!$N:$N,'[1]scRBA (raw)'!$K:$K,"")</f>
        <v>YCL030C</v>
      </c>
      <c r="K228">
        <f>_xlfn.XLOOKUP(Table3[[#This Row],[SC enz]],Table2[id],Table2[Abundance in SC (g protein/g all proteins)],"")</f>
        <v>7.6735013115051596E-5</v>
      </c>
      <c r="L228">
        <f>_xlfn.XLOOKUP(Table3[[#This Row],[SC enz]],Table2[id],Table2[Abundance in RT (g protein/g all proteins)],"")</f>
        <v>6.69E-5</v>
      </c>
      <c r="M228">
        <f>Table3[[#This Row],[log(y)]]-Table3[[#This Row],[log(x)]]/SQRT(2)</f>
        <v>1.9089814741033737</v>
      </c>
      <c r="N228">
        <f>ABS(Table3[[#This Row],[dist from 45-degree (RT - SC)]])</f>
        <v>1.9089814741033737</v>
      </c>
    </row>
    <row r="229" spans="1:14" x14ac:dyDescent="0.2">
      <c r="A229" t="s">
        <v>3076</v>
      </c>
      <c r="B229">
        <v>5254.227782418362</v>
      </c>
      <c r="C229">
        <v>12325.48132579605</v>
      </c>
      <c r="D229">
        <f>LOG(Table3[[#This Row],[scRBA $k_{app}$ ($h^{-1}$)]])</f>
        <v>3.7205088964864119</v>
      </c>
      <c r="E229">
        <f>LOG(Table3[[#This Row],[rtRBA $k_{app}$ ($h^{-1}$)]])</f>
        <v>4.0908038880349133</v>
      </c>
      <c r="F229" t="str">
        <f>_xlfn.TEXTAFTER(Table3[[#This Row],[id]],"-",-1)</f>
        <v>rt6665</v>
      </c>
      <c r="G229" t="str">
        <f>_xlfn.TEXTAFTER(_xlfn.TEXTBEFORE(Table3[[#This Row],[id]],"-"&amp;Table3[[#This Row],[enz]]),"_",-1)</f>
        <v>FWD</v>
      </c>
      <c r="H229" t="str">
        <f>_xlfn.TEXTBEFORE(Table3[[#This Row],[id]],"_"&amp;Table3[[#This Row],[dir]])</f>
        <v>PRFGS_c</v>
      </c>
      <c r="I229" t="str">
        <f>_xlfn.XLOOKUP(Table3[[#This Row],[rxn]],Table1[id],Table1[subsystem],"")</f>
        <v>Purine metabolism</v>
      </c>
      <c r="J229" t="str">
        <f>_xlfn.XLOOKUP(Table3[[#This Row],[enz]],'[1]scRBA (raw)'!$N:$N,'[1]scRBA (raw)'!$K:$K,"")</f>
        <v>YGR061C</v>
      </c>
      <c r="K229">
        <f>_xlfn.XLOOKUP(Table3[[#This Row],[SC enz]],Table2[id],Table2[Abundance in SC (g protein/g all proteins)],"")</f>
        <v>7.1959202415832304E-4</v>
      </c>
      <c r="L229">
        <f>_xlfn.XLOOKUP(Table3[[#This Row],[SC enz]],Table2[id],Table2[Abundance in RT (g protein/g all proteins)],"")</f>
        <v>6.1799999999999998E-5</v>
      </c>
      <c r="M229">
        <f>Table3[[#This Row],[log(y)]]-Table3[[#This Row],[log(x)]]/SQRT(2)</f>
        <v>1.4600068178644929</v>
      </c>
      <c r="N229">
        <f>ABS(Table3[[#This Row],[dist from 45-degree (RT - SC)]])</f>
        <v>1.4600068178644929</v>
      </c>
    </row>
    <row r="230" spans="1:14" x14ac:dyDescent="0.2">
      <c r="A230" t="s">
        <v>3077</v>
      </c>
      <c r="B230">
        <v>54146.896406878142</v>
      </c>
      <c r="C230">
        <v>20885.086367346528</v>
      </c>
      <c r="D230">
        <f>LOG(Table3[[#This Row],[scRBA $k_{app}$ ($h^{-1}$)]])</f>
        <v>4.7335735687730685</v>
      </c>
      <c r="E230">
        <f>LOG(Table3[[#This Row],[rtRBA $k_{app}$ ($h^{-1}$)]])</f>
        <v>4.319836275568794</v>
      </c>
      <c r="F230" t="str">
        <f>_xlfn.TEXTAFTER(Table3[[#This Row],[id]],"-",-1)</f>
        <v>rt3242_c</v>
      </c>
      <c r="G230" t="str">
        <f>_xlfn.TEXTAFTER(_xlfn.TEXTBEFORE(Table3[[#This Row],[id]],"-"&amp;Table3[[#This Row],[enz]]),"_",-1)</f>
        <v>FWD</v>
      </c>
      <c r="H230" t="str">
        <f>_xlfn.TEXTBEFORE(Table3[[#This Row],[id]],"_"&amp;Table3[[#This Row],[dir]])</f>
        <v>PRMICI_c</v>
      </c>
      <c r="I230" t="str">
        <f>_xlfn.XLOOKUP(Table3[[#This Row],[rxn]],Table1[id],Table1[subsystem],"")</f>
        <v>Histidine metabolism</v>
      </c>
      <c r="J230" t="str">
        <f>_xlfn.XLOOKUP(Table3[[#This Row],[enz]],'[1]scRBA (raw)'!$N:$N,'[1]scRBA (raw)'!$K:$K,"")</f>
        <v/>
      </c>
      <c r="K230" t="str">
        <f>_xlfn.XLOOKUP(Table3[[#This Row],[SC enz]],Table2[id],Table2[Abundance in SC (g protein/g all proteins)],"")</f>
        <v/>
      </c>
      <c r="L230" t="str">
        <f>_xlfn.XLOOKUP(Table3[[#This Row],[SC enz]],Table2[id],Table2[Abundance in RT (g protein/g all proteins)],"")</f>
        <v/>
      </c>
      <c r="M230">
        <f>Table3[[#This Row],[log(y)]]-Table3[[#This Row],[log(x)]]/SQRT(2)</f>
        <v>0.97269430584395122</v>
      </c>
      <c r="N230">
        <f>ABS(Table3[[#This Row],[dist from 45-degree (RT - SC)]])</f>
        <v>0.97269430584395122</v>
      </c>
    </row>
    <row r="231" spans="1:14" x14ac:dyDescent="0.2">
      <c r="A231" t="s">
        <v>3078</v>
      </c>
      <c r="B231">
        <v>10629.862083933051</v>
      </c>
      <c r="C231">
        <v>5386.2753248434592</v>
      </c>
      <c r="D231">
        <f>LOG(Table3[[#This Row],[scRBA $k_{app}$ ($h^{-1}$)]])</f>
        <v>4.0265276298501647</v>
      </c>
      <c r="E231">
        <f>LOG(Table3[[#This Row],[rtRBA $k_{app}$ ($h^{-1}$)]])</f>
        <v>3.7312885490391325</v>
      </c>
      <c r="F231" t="str">
        <f>_xlfn.TEXTAFTER(Table3[[#This Row],[id]],"-",-1)</f>
        <v>rt3118</v>
      </c>
      <c r="G231" t="str">
        <f>_xlfn.TEXTAFTER(_xlfn.TEXTBEFORE(Table3[[#This Row],[id]],"-"&amp;Table3[[#This Row],[enz]]),"_",-1)</f>
        <v>FWD</v>
      </c>
      <c r="H231" t="str">
        <f>_xlfn.TEXTBEFORE(Table3[[#This Row],[id]],"_"&amp;Table3[[#This Row],[dir]])</f>
        <v>PROTRS_c</v>
      </c>
      <c r="I231" t="str">
        <f>_xlfn.XLOOKUP(Table3[[#This Row],[rxn]],Table1[id],Table1[subsystem],"")</f>
        <v>Aminoacyl-tRNA biosynthesis</v>
      </c>
      <c r="J231" t="str">
        <f>_xlfn.XLOOKUP(Table3[[#This Row],[enz]],'[1]scRBA (raw)'!$N:$N,'[1]scRBA (raw)'!$K:$K,"")</f>
        <v>YHR020W</v>
      </c>
      <c r="K231">
        <f>_xlfn.XLOOKUP(Table3[[#This Row],[SC enz]],Table2[id],Table2[Abundance in SC (g protein/g all proteins)],"")</f>
        <v>9.4345605555694095E-5</v>
      </c>
      <c r="L231">
        <f>_xlfn.XLOOKUP(Table3[[#This Row],[SC enz]],Table2[id],Table2[Abundance in RT (g protein/g all proteins)],"")</f>
        <v>1.5200000000000001E-4</v>
      </c>
      <c r="M231">
        <f>Table3[[#This Row],[log(y)]]-Table3[[#This Row],[log(x)]]/SQRT(2)</f>
        <v>0.88410355733708457</v>
      </c>
      <c r="N231">
        <f>ABS(Table3[[#This Row],[dist from 45-degree (RT - SC)]])</f>
        <v>0.88410355733708457</v>
      </c>
    </row>
    <row r="232" spans="1:14" x14ac:dyDescent="0.2">
      <c r="A232" t="s">
        <v>3079</v>
      </c>
      <c r="B232">
        <v>51693.976637256223</v>
      </c>
      <c r="C232">
        <v>79002.974550315354</v>
      </c>
      <c r="D232">
        <f>LOG(Table3[[#This Row],[scRBA $k_{app}$ ($h^{-1}$)]])</f>
        <v>4.7134399422119539</v>
      </c>
      <c r="E232">
        <f>LOG(Table3[[#This Row],[rtRBA $k_{app}$ ($h^{-1}$)]])</f>
        <v>4.8976434432710532</v>
      </c>
      <c r="F232" t="str">
        <f>_xlfn.TEXTAFTER(Table3[[#This Row],[id]],"-",-1)</f>
        <v>PRS23</v>
      </c>
      <c r="G232" t="str">
        <f>_xlfn.TEXTAFTER(_xlfn.TEXTBEFORE(Table3[[#This Row],[id]],"-"&amp;Table3[[#This Row],[enz]]),"_",-1)</f>
        <v>FWD</v>
      </c>
      <c r="H232" t="str">
        <f>_xlfn.TEXTBEFORE(Table3[[#This Row],[id]],"_"&amp;Table3[[#This Row],[dir]])</f>
        <v>PRPPS_c</v>
      </c>
      <c r="I232" t="str">
        <f>_xlfn.XLOOKUP(Table3[[#This Row],[rxn]],Table1[id],Table1[subsystem],"")</f>
        <v>Histidine metabolism</v>
      </c>
      <c r="J232" t="str">
        <f>_xlfn.XLOOKUP(Table3[[#This Row],[enz]],'[1]scRBA (raw)'!$N:$N,'[1]scRBA (raw)'!$K:$K,"")</f>
        <v/>
      </c>
      <c r="K232" t="str">
        <f>_xlfn.XLOOKUP(Table3[[#This Row],[SC enz]],Table2[id],Table2[Abundance in SC (g protein/g all proteins)],"")</f>
        <v/>
      </c>
      <c r="L232" t="str">
        <f>_xlfn.XLOOKUP(Table3[[#This Row],[SC enz]],Table2[id],Table2[Abundance in RT (g protein/g all proteins)],"")</f>
        <v/>
      </c>
      <c r="M232">
        <f>Table3[[#This Row],[log(y)]]-Table3[[#This Row],[log(x)]]/SQRT(2)</f>
        <v>1.5647380974174521</v>
      </c>
      <c r="N232">
        <f>ABS(Table3[[#This Row],[dist from 45-degree (RT - SC)]])</f>
        <v>1.5647380974174521</v>
      </c>
    </row>
    <row r="233" spans="1:14" x14ac:dyDescent="0.2">
      <c r="A233" t="s">
        <v>3271</v>
      </c>
      <c r="B233">
        <v>265929.8632596141</v>
      </c>
      <c r="C233">
        <v>291580.97068509721</v>
      </c>
      <c r="D233">
        <f>LOG(Table3[[#This Row],[scRBA $k_{app}$ ($h^{-1}$)]])</f>
        <v>5.4247671102560364</v>
      </c>
      <c r="E233">
        <f>LOG(Table3[[#This Row],[rtRBA $k_{app}$ ($h^{-1}$)]])</f>
        <v>5.4647591774095643</v>
      </c>
      <c r="F233" t="str">
        <f>_xlfn.TEXTAFTER(Table3[[#This Row],[id]],"-",-1)</f>
        <v>rt5884</v>
      </c>
      <c r="G233" t="str">
        <f>_xlfn.TEXTAFTER(_xlfn.TEXTBEFORE(Table3[[#This Row],[id]],"-"&amp;Table3[[#This Row],[enz]]),"_",-1)</f>
        <v>FWD</v>
      </c>
      <c r="H233" t="str">
        <f>_xlfn.TEXTBEFORE(Table3[[#This Row],[id]],"_"&amp;Table3[[#This Row],[dir]])</f>
        <v>PSCIT_c</v>
      </c>
      <c r="I233" t="str">
        <f>_xlfn.XLOOKUP(Table3[[#This Row],[rxn]],Table1[id],Table1[subsystem],"")</f>
        <v>Phenylalanine, tyrosine and tryptophan metabolism</v>
      </c>
      <c r="J233" t="str">
        <f>_xlfn.XLOOKUP(Table3[[#This Row],[enz]],'[1]scRBA (raw)'!$N:$N,'[1]scRBA (raw)'!$K:$K,"")</f>
        <v>YDR127W</v>
      </c>
      <c r="K233">
        <f>_xlfn.XLOOKUP(Table3[[#This Row],[SC enz]],Table2[id],Table2[Abundance in SC (g protein/g all proteins)],"")</f>
        <v>9.1921827720001497E-5</v>
      </c>
      <c r="L233">
        <f>_xlfn.XLOOKUP(Table3[[#This Row],[SC enz]],Table2[id],Table2[Abundance in RT (g protein/g all proteins)],"")</f>
        <v>2.9200000000000002E-5</v>
      </c>
      <c r="M233">
        <f>Table3[[#This Row],[log(y)]]-Table3[[#This Row],[log(x)]]/SQRT(2)</f>
        <v>1.6288695673897697</v>
      </c>
      <c r="N233">
        <f>ABS(Table3[[#This Row],[dist from 45-degree (RT - SC)]])</f>
        <v>1.6288695673897697</v>
      </c>
    </row>
    <row r="234" spans="1:14" x14ac:dyDescent="0.2">
      <c r="A234" t="s">
        <v>3272</v>
      </c>
      <c r="B234">
        <v>18440.144018464161</v>
      </c>
      <c r="C234">
        <v>10060.98942899159</v>
      </c>
      <c r="D234">
        <f>LOG(Table3[[#This Row],[scRBA $k_{app}$ ($h^{-1}$)]])</f>
        <v>4.2657643085928836</v>
      </c>
      <c r="E234">
        <f>LOG(Table3[[#This Row],[rtRBA $k_{app}$ ($h^{-1}$)]])</f>
        <v>4.0026406926902265</v>
      </c>
      <c r="F234" t="str">
        <f>_xlfn.TEXTAFTER(Table3[[#This Row],[id]],"-",-1)</f>
        <v>rt2136</v>
      </c>
      <c r="G234" t="str">
        <f>_xlfn.TEXTAFTER(_xlfn.TEXTBEFORE(Table3[[#This Row],[id]],"-"&amp;Table3[[#This Row],[enz]]),"_",-1)</f>
        <v>FWD</v>
      </c>
      <c r="H234" t="str">
        <f>_xlfn.TEXTBEFORE(Table3[[#This Row],[id]],"_"&amp;Table3[[#This Row],[dir]])</f>
        <v>PSD_mm</v>
      </c>
      <c r="I234" t="str">
        <f>_xlfn.XLOOKUP(Table3[[#This Row],[rxn]],Table1[id],Table1[subsystem],"")</f>
        <v>Glycerophospholipid metabolism</v>
      </c>
      <c r="J234" t="str">
        <f>_xlfn.XLOOKUP(Table3[[#This Row],[enz]],'[1]scRBA (raw)'!$N:$N,'[1]scRBA (raw)'!$K:$K,"")</f>
        <v/>
      </c>
      <c r="K234" t="str">
        <f>_xlfn.XLOOKUP(Table3[[#This Row],[SC enz]],Table2[id],Table2[Abundance in SC (g protein/g all proteins)],"")</f>
        <v/>
      </c>
      <c r="L234" t="str">
        <f>_xlfn.XLOOKUP(Table3[[#This Row],[SC enz]],Table2[id],Table2[Abundance in RT (g protein/g all proteins)],"")</f>
        <v/>
      </c>
      <c r="M234">
        <f>Table3[[#This Row],[log(y)]]-Table3[[#This Row],[log(x)]]/SQRT(2)</f>
        <v>0.9862898231406545</v>
      </c>
      <c r="N234">
        <f>ABS(Table3[[#This Row],[dist from 45-degree (RT - SC)]])</f>
        <v>0.9862898231406545</v>
      </c>
    </row>
    <row r="235" spans="1:14" x14ac:dyDescent="0.2">
      <c r="A235" t="s">
        <v>3080</v>
      </c>
      <c r="B235">
        <v>247772.31636183351</v>
      </c>
      <c r="C235">
        <v>533762.55648081528</v>
      </c>
      <c r="D235">
        <f>LOG(Table3[[#This Row],[scRBA $k_{app}$ ($h^{-1}$)]])</f>
        <v>5.3940527809628565</v>
      </c>
      <c r="E235">
        <f>LOG(Table3[[#This Row],[rtRBA $k_{app}$ ($h^{-1}$)]])</f>
        <v>5.7273481047004111</v>
      </c>
      <c r="F235" t="str">
        <f>_xlfn.TEXTAFTER(Table3[[#This Row],[id]],"-",-1)</f>
        <v>rt7036</v>
      </c>
      <c r="G235" t="str">
        <f>_xlfn.TEXTAFTER(_xlfn.TEXTBEFORE(Table3[[#This Row],[id]],"-"&amp;Table3[[#This Row],[enz]]),"_",-1)</f>
        <v>FWD</v>
      </c>
      <c r="H235" t="str">
        <f>_xlfn.TEXTBEFORE(Table3[[#This Row],[id]],"_"&amp;Table3[[#This Row],[dir]])</f>
        <v>PSERT_c</v>
      </c>
      <c r="I235" t="str">
        <f>_xlfn.XLOOKUP(Table3[[#This Row],[rxn]],Table1[id],Table1[subsystem],"")</f>
        <v>Glycine, serine and threonine metabolism</v>
      </c>
      <c r="J235" t="str">
        <f>_xlfn.XLOOKUP(Table3[[#This Row],[enz]],'[1]scRBA (raw)'!$N:$N,'[1]scRBA (raw)'!$K:$K,"")</f>
        <v>YOR184W</v>
      </c>
      <c r="K235">
        <f>_xlfn.XLOOKUP(Table3[[#This Row],[SC enz]],Table2[id],Table2[Abundance in SC (g protein/g all proteins)],"")</f>
        <v>4.2507166163650403E-5</v>
      </c>
      <c r="L235">
        <f>_xlfn.XLOOKUP(Table3[[#This Row],[SC enz]],Table2[id],Table2[Abundance in RT (g protein/g all proteins)],"")</f>
        <v>3.5899999999999998E-5</v>
      </c>
      <c r="M235">
        <f>Table3[[#This Row],[log(y)]]-Table3[[#This Row],[log(x)]]/SQRT(2)</f>
        <v>1.9131768052034208</v>
      </c>
      <c r="N235">
        <f>ABS(Table3[[#This Row],[dist from 45-degree (RT - SC)]])</f>
        <v>1.9131768052034208</v>
      </c>
    </row>
    <row r="236" spans="1:14" x14ac:dyDescent="0.2">
      <c r="A236" t="s">
        <v>3081</v>
      </c>
      <c r="B236">
        <v>669122.12234489759</v>
      </c>
      <c r="C236">
        <v>8397435.7557679005</v>
      </c>
      <c r="D236">
        <f>LOG(Table3[[#This Row],[scRBA $k_{app}$ ($h^{-1}$)]])</f>
        <v>5.8255053886501553</v>
      </c>
      <c r="E236">
        <f>LOG(Table3[[#This Row],[rtRBA $k_{app}$ ($h^{-1}$)]])</f>
        <v>6.9241466899745863</v>
      </c>
      <c r="F236" t="str">
        <f>_xlfn.TEXTAFTER(Table3[[#This Row],[id]],"-",-1)</f>
        <v>rt3683</v>
      </c>
      <c r="G236" t="str">
        <f>_xlfn.TEXTAFTER(_xlfn.TEXTBEFORE(Table3[[#This Row],[id]],"-"&amp;Table3[[#This Row],[enz]]),"_",-1)</f>
        <v>FWD</v>
      </c>
      <c r="H236" t="str">
        <f>_xlfn.TEXTBEFORE(Table3[[#This Row],[id]],"_"&amp;Table3[[#This Row],[dir]])</f>
        <v>PSP_L_c</v>
      </c>
      <c r="I236" t="str">
        <f>_xlfn.XLOOKUP(Table3[[#This Row],[rxn]],Table1[id],Table1[subsystem],"")</f>
        <v>Glycine, serine and threonine metabolism</v>
      </c>
      <c r="J236" t="str">
        <f>_xlfn.XLOOKUP(Table3[[#This Row],[enz]],'[1]scRBA (raw)'!$N:$N,'[1]scRBA (raw)'!$K:$K,"")</f>
        <v/>
      </c>
      <c r="K236" t="str">
        <f>_xlfn.XLOOKUP(Table3[[#This Row],[SC enz]],Table2[id],Table2[Abundance in SC (g protein/g all proteins)],"")</f>
        <v/>
      </c>
      <c r="L236" t="str">
        <f>_xlfn.XLOOKUP(Table3[[#This Row],[SC enz]],Table2[id],Table2[Abundance in RT (g protein/g all proteins)],"")</f>
        <v/>
      </c>
      <c r="M236">
        <f>Table3[[#This Row],[log(y)]]-Table3[[#This Row],[log(x)]]/SQRT(2)</f>
        <v>2.8048923258212879</v>
      </c>
      <c r="N236">
        <f>ABS(Table3[[#This Row],[dist from 45-degree (RT - SC)]])</f>
        <v>2.8048923258212879</v>
      </c>
    </row>
    <row r="237" spans="1:14" x14ac:dyDescent="0.2">
      <c r="A237" t="s">
        <v>3082</v>
      </c>
      <c r="B237">
        <v>7142.1379234225624</v>
      </c>
      <c r="C237">
        <v>63329.575602625417</v>
      </c>
      <c r="D237">
        <f>LOG(Table3[[#This Row],[scRBA $k_{app}$ ($h^{-1}$)]])</f>
        <v>3.8538282326956002</v>
      </c>
      <c r="E237">
        <f>LOG(Table3[[#This Row],[rtRBA $k_{app}$ ($h^{-1}$)]])</f>
        <v>4.8016065776522119</v>
      </c>
      <c r="F237" t="str">
        <f>_xlfn.TEXTAFTER(Table3[[#This Row],[id]],"-",-1)</f>
        <v>rt3215</v>
      </c>
      <c r="G237" t="str">
        <f>_xlfn.TEXTAFTER(_xlfn.TEXTBEFORE(Table3[[#This Row],[id]],"-"&amp;Table3[[#This Row],[enz]]),"_",-1)</f>
        <v>FWD</v>
      </c>
      <c r="H237" t="str">
        <f>_xlfn.TEXTBEFORE(Table3[[#This Row],[id]],"_"&amp;Table3[[#This Row],[dir]])</f>
        <v>PSSA_rm</v>
      </c>
      <c r="I237" t="str">
        <f>_xlfn.XLOOKUP(Table3[[#This Row],[rxn]],Table1[id],Table1[subsystem],"")</f>
        <v>Glycerophospholipid biosynthesis</v>
      </c>
      <c r="J237" t="str">
        <f>_xlfn.XLOOKUP(Table3[[#This Row],[enz]],'[1]scRBA (raw)'!$N:$N,'[1]scRBA (raw)'!$K:$K,"")</f>
        <v>YER026C</v>
      </c>
      <c r="K237">
        <f>_xlfn.XLOOKUP(Table3[[#This Row],[SC enz]],Table2[id],Table2[Abundance in SC (g protein/g all proteins)],"")</f>
        <v>1.28258027055313E-4</v>
      </c>
      <c r="L237">
        <f>_xlfn.XLOOKUP(Table3[[#This Row],[SC enz]],Table2[id],Table2[Abundance in RT (g protein/g all proteins)],"")</f>
        <v>2.61E-4</v>
      </c>
      <c r="M237">
        <f>Table3[[#This Row],[log(y)]]-Table3[[#This Row],[log(x)]]/SQRT(2)</f>
        <v>2.0765385007849853</v>
      </c>
      <c r="N237">
        <f>ABS(Table3[[#This Row],[dist from 45-degree (RT - SC)]])</f>
        <v>2.0765385007849853</v>
      </c>
    </row>
    <row r="238" spans="1:14" x14ac:dyDescent="0.2">
      <c r="A238" t="s">
        <v>3083</v>
      </c>
      <c r="B238">
        <v>1852523.2752828081</v>
      </c>
      <c r="C238">
        <v>125792.9206506753</v>
      </c>
      <c r="D238">
        <f>LOG(Table3[[#This Row],[scRBA $k_{app}$ ($h^{-1}$)]])</f>
        <v>6.2677636732038016</v>
      </c>
      <c r="E238">
        <f>LOG(Table3[[#This Row],[rtRBA $k_{app}$ ($h^{-1}$)]])</f>
        <v>5.099656200657269</v>
      </c>
      <c r="F238" t="str">
        <f>_xlfn.TEXTAFTER(Table3[[#This Row],[id]],"-",-1)</f>
        <v>rt4634</v>
      </c>
      <c r="G238" t="str">
        <f>_xlfn.TEXTAFTER(_xlfn.TEXTBEFORE(Table3[[#This Row],[id]],"-"&amp;Table3[[#This Row],[enz]]),"_",-1)</f>
        <v>FWD</v>
      </c>
      <c r="H238" t="str">
        <f>_xlfn.TEXTBEFORE(Table3[[#This Row],[id]],"_"&amp;Table3[[#This Row],[dir]])</f>
        <v>PYK_c</v>
      </c>
      <c r="I238" t="str">
        <f>_xlfn.XLOOKUP(Table3[[#This Row],[rxn]],Table1[id],Table1[subsystem],"")</f>
        <v>Glycolysis / Gluconeogenesis</v>
      </c>
      <c r="J238" t="str">
        <f>_xlfn.XLOOKUP(Table3[[#This Row],[enz]],'[1]scRBA (raw)'!$N:$N,'[1]scRBA (raw)'!$K:$K,"")</f>
        <v>YAL038W</v>
      </c>
      <c r="K238">
        <f>_xlfn.XLOOKUP(Table3[[#This Row],[SC enz]],Table2[id],Table2[Abundance in SC (g protein/g all proteins)],"")</f>
        <v>1.5751896805680401E-4</v>
      </c>
      <c r="L238">
        <f>_xlfn.XLOOKUP(Table3[[#This Row],[SC enz]],Table2[id],Table2[Abundance in RT (g protein/g all proteins)],"")</f>
        <v>4.4499999999999997E-4</v>
      </c>
      <c r="M238">
        <f>Table3[[#This Row],[log(y)]]-Table3[[#This Row],[log(x)]]/SQRT(2)</f>
        <v>0.66767800446015713</v>
      </c>
      <c r="N238">
        <f>ABS(Table3[[#This Row],[dist from 45-degree (RT - SC)]])</f>
        <v>0.66767800446015713</v>
      </c>
    </row>
    <row r="239" spans="1:14" x14ac:dyDescent="0.2">
      <c r="A239" t="s">
        <v>3273</v>
      </c>
      <c r="B239">
        <v>314030.97729233443</v>
      </c>
      <c r="C239">
        <v>143900261179767.41</v>
      </c>
      <c r="D239">
        <f>LOG(Table3[[#This Row],[scRBA $k_{app}$ ($h^{-1}$)]])</f>
        <v>5.4969724907597142</v>
      </c>
      <c r="E239">
        <f>LOG(Table3[[#This Row],[rtRBA $k_{app}$ ($h^{-1}$)]])</f>
        <v>14.1580615821842</v>
      </c>
      <c r="F239" t="str">
        <f>_xlfn.TEXTAFTER(Table3[[#This Row],[id]],"-",-1)</f>
        <v>MPC13</v>
      </c>
      <c r="G239" t="str">
        <f>_xlfn.TEXTAFTER(_xlfn.TEXTBEFORE(Table3[[#This Row],[id]],"-"&amp;Table3[[#This Row],[enz]]),"_",-1)</f>
        <v>FWD</v>
      </c>
      <c r="H239" t="str">
        <f>_xlfn.TEXTBEFORE(Table3[[#This Row],[id]],"_"&amp;Table3[[#This Row],[dir]])</f>
        <v>PYRtps_m</v>
      </c>
      <c r="I239" t="str">
        <f>_xlfn.XLOOKUP(Table3[[#This Row],[rxn]],Table1[id],Table1[subsystem],"")</f>
        <v>Transport</v>
      </c>
      <c r="J239" t="str">
        <f>_xlfn.XLOOKUP(Table3[[#This Row],[enz]],'[1]scRBA (raw)'!$N:$N,'[1]scRBA (raw)'!$K:$K,"")</f>
        <v/>
      </c>
      <c r="K239" t="str">
        <f>_xlfn.XLOOKUP(Table3[[#This Row],[SC enz]],Table2[id],Table2[Abundance in SC (g protein/g all proteins)],"")</f>
        <v/>
      </c>
      <c r="L239" t="str">
        <f>_xlfn.XLOOKUP(Table3[[#This Row],[SC enz]],Table2[id],Table2[Abundance in RT (g protein/g all proteins)],"")</f>
        <v/>
      </c>
      <c r="M239">
        <f>Table3[[#This Row],[log(y)]]-Table3[[#This Row],[log(x)]]/SQRT(2)</f>
        <v>10.2711150579721</v>
      </c>
      <c r="N239">
        <f>ABS(Table3[[#This Row],[dist from 45-degree (RT - SC)]])</f>
        <v>10.2711150579721</v>
      </c>
    </row>
    <row r="240" spans="1:14" x14ac:dyDescent="0.2">
      <c r="A240" t="s">
        <v>3084</v>
      </c>
      <c r="B240">
        <v>35.67006327169954</v>
      </c>
      <c r="C240">
        <v>8.0926045417097132</v>
      </c>
      <c r="D240">
        <f>LOG(Table3[[#This Row],[scRBA $k_{app}$ ($h^{-1}$)]])</f>
        <v>1.5523038796923097</v>
      </c>
      <c r="E240">
        <f>LOG(Table3[[#This Row],[rtRBA $k_{app}$ ($h^{-1}$)]])</f>
        <v>0.90808831840447179</v>
      </c>
      <c r="F240" t="str">
        <f>_xlfn.TEXTAFTER(Table3[[#This Row],[id]],"-",-1)</f>
        <v>rt0930_c</v>
      </c>
      <c r="G240" t="str">
        <f>_xlfn.TEXTAFTER(_xlfn.TEXTBEFORE(Table3[[#This Row],[id]],"-"&amp;Table3[[#This Row],[enz]]),"_",-1)</f>
        <v>FWD</v>
      </c>
      <c r="H240" t="str">
        <f>_xlfn.TEXTBEFORE(Table3[[#This Row],[id]],"_"&amp;Table3[[#This Row],[dir]])</f>
        <v>RBFK_c</v>
      </c>
      <c r="I240" t="str">
        <f>_xlfn.XLOOKUP(Table3[[#This Row],[rxn]],Table1[id],Table1[subsystem],"")</f>
        <v>Riboflavin metabolism</v>
      </c>
      <c r="J240" t="str">
        <f>_xlfn.XLOOKUP(Table3[[#This Row],[enz]],'[1]scRBA (raw)'!$N:$N,'[1]scRBA (raw)'!$K:$K,"")</f>
        <v/>
      </c>
      <c r="K240" t="str">
        <f>_xlfn.XLOOKUP(Table3[[#This Row],[SC enz]],Table2[id],Table2[Abundance in SC (g protein/g all proteins)],"")</f>
        <v/>
      </c>
      <c r="L240" t="str">
        <f>_xlfn.XLOOKUP(Table3[[#This Row],[SC enz]],Table2[id],Table2[Abundance in RT (g protein/g all proteins)],"")</f>
        <v/>
      </c>
      <c r="M240">
        <f>Table3[[#This Row],[log(y)]]-Table3[[#This Row],[log(x)]]/SQRT(2)</f>
        <v>-0.18955628138814695</v>
      </c>
      <c r="N240">
        <f>ABS(Table3[[#This Row],[dist from 45-degree (RT - SC)]])</f>
        <v>0.18955628138814695</v>
      </c>
    </row>
    <row r="241" spans="1:14" x14ac:dyDescent="0.2">
      <c r="A241" t="s">
        <v>3274</v>
      </c>
      <c r="B241">
        <v>2171.8058490892081</v>
      </c>
      <c r="C241">
        <v>25908.18570643674</v>
      </c>
      <c r="D241">
        <f>LOG(Table3[[#This Row],[scRBA $k_{app}$ ($h^{-1}$)]])</f>
        <v>3.3368209984315516</v>
      </c>
      <c r="E241">
        <f>LOG(Table3[[#This Row],[rtRBA $k_{app}$ ($h^{-1}$)]])</f>
        <v>4.4134370013582211</v>
      </c>
      <c r="F241" t="str">
        <f>_xlfn.TEXTAFTER(Table3[[#This Row],[id]],"-",-1)</f>
        <v>RNR124</v>
      </c>
      <c r="G241" t="str">
        <f>_xlfn.TEXTAFTER(_xlfn.TEXTBEFORE(Table3[[#This Row],[id]],"-"&amp;Table3[[#This Row],[enz]]),"_",-1)</f>
        <v>FWD</v>
      </c>
      <c r="H241" t="str">
        <f>_xlfn.TEXTBEFORE(Table3[[#This Row],[id]],"_"&amp;Table3[[#This Row],[dir]])</f>
        <v>RNDR1_c</v>
      </c>
      <c r="I241" t="str">
        <f>_xlfn.XLOOKUP(Table3[[#This Row],[rxn]],Table1[id],Table1[subsystem],"")</f>
        <v>Purine metabolism</v>
      </c>
      <c r="J241" t="str">
        <f>_xlfn.XLOOKUP(Table3[[#This Row],[enz]],'[1]scRBA (raw)'!$N:$N,'[1]scRBA (raw)'!$K:$K,"")</f>
        <v/>
      </c>
      <c r="K241" t="str">
        <f>_xlfn.XLOOKUP(Table3[[#This Row],[SC enz]],Table2[id],Table2[Abundance in SC (g protein/g all proteins)],"")</f>
        <v/>
      </c>
      <c r="L241" t="str">
        <f>_xlfn.XLOOKUP(Table3[[#This Row],[SC enz]],Table2[id],Table2[Abundance in RT (g protein/g all proteins)],"")</f>
        <v/>
      </c>
      <c r="M241">
        <f>Table3[[#This Row],[log(y)]]-Table3[[#This Row],[log(x)]]/SQRT(2)</f>
        <v>2.053948245761605</v>
      </c>
      <c r="N241">
        <f>ABS(Table3[[#This Row],[dist from 45-degree (RT - SC)]])</f>
        <v>2.053948245761605</v>
      </c>
    </row>
    <row r="242" spans="1:14" x14ac:dyDescent="0.2">
      <c r="A242" t="s">
        <v>3275</v>
      </c>
      <c r="B242">
        <v>2171.8058490892081</v>
      </c>
      <c r="C242">
        <v>25908.18570643674</v>
      </c>
      <c r="D242">
        <f>LOG(Table3[[#This Row],[scRBA $k_{app}$ ($h^{-1}$)]])</f>
        <v>3.3368209984315516</v>
      </c>
      <c r="E242">
        <f>LOG(Table3[[#This Row],[rtRBA $k_{app}$ ($h^{-1}$)]])</f>
        <v>4.4134370013582211</v>
      </c>
      <c r="F242" t="str">
        <f>_xlfn.TEXTAFTER(Table3[[#This Row],[id]],"-",-1)</f>
        <v>RNR124</v>
      </c>
      <c r="G242" t="str">
        <f>_xlfn.TEXTAFTER(_xlfn.TEXTBEFORE(Table3[[#This Row],[id]],"-"&amp;Table3[[#This Row],[enz]]),"_",-1)</f>
        <v>FWD</v>
      </c>
      <c r="H242" t="str">
        <f>_xlfn.TEXTBEFORE(Table3[[#This Row],[id]],"_"&amp;Table3[[#This Row],[dir]])</f>
        <v>RNDR2_c</v>
      </c>
      <c r="I242" t="str">
        <f>_xlfn.XLOOKUP(Table3[[#This Row],[rxn]],Table1[id],Table1[subsystem],"")</f>
        <v>Pyrimidine metabolism</v>
      </c>
      <c r="J242" t="str">
        <f>_xlfn.XLOOKUP(Table3[[#This Row],[enz]],'[1]scRBA (raw)'!$N:$N,'[1]scRBA (raw)'!$K:$K,"")</f>
        <v/>
      </c>
      <c r="K242" t="str">
        <f>_xlfn.XLOOKUP(Table3[[#This Row],[SC enz]],Table2[id],Table2[Abundance in SC (g protein/g all proteins)],"")</f>
        <v/>
      </c>
      <c r="L242" t="str">
        <f>_xlfn.XLOOKUP(Table3[[#This Row],[SC enz]],Table2[id],Table2[Abundance in RT (g protein/g all proteins)],"")</f>
        <v/>
      </c>
      <c r="M242">
        <f>Table3[[#This Row],[log(y)]]-Table3[[#This Row],[log(x)]]/SQRT(2)</f>
        <v>2.053948245761605</v>
      </c>
      <c r="N242">
        <f>ABS(Table3[[#This Row],[dist from 45-degree (RT - SC)]])</f>
        <v>2.053948245761605</v>
      </c>
    </row>
    <row r="243" spans="1:14" x14ac:dyDescent="0.2">
      <c r="A243" t="s">
        <v>3276</v>
      </c>
      <c r="B243">
        <v>2171.8058490892081</v>
      </c>
      <c r="C243">
        <v>25908.18570643674</v>
      </c>
      <c r="D243">
        <f>LOG(Table3[[#This Row],[scRBA $k_{app}$ ($h^{-1}$)]])</f>
        <v>3.3368209984315516</v>
      </c>
      <c r="E243">
        <f>LOG(Table3[[#This Row],[rtRBA $k_{app}$ ($h^{-1}$)]])</f>
        <v>4.4134370013582211</v>
      </c>
      <c r="F243" t="str">
        <f>_xlfn.TEXTAFTER(Table3[[#This Row],[id]],"-",-1)</f>
        <v>RNR124</v>
      </c>
      <c r="G243" t="str">
        <f>_xlfn.TEXTAFTER(_xlfn.TEXTBEFORE(Table3[[#This Row],[id]],"-"&amp;Table3[[#This Row],[enz]]),"_",-1)</f>
        <v>FWD</v>
      </c>
      <c r="H243" t="str">
        <f>_xlfn.TEXTBEFORE(Table3[[#This Row],[id]],"_"&amp;Table3[[#This Row],[dir]])</f>
        <v>RNDR3_c</v>
      </c>
      <c r="I243" t="str">
        <f>_xlfn.XLOOKUP(Table3[[#This Row],[rxn]],Table1[id],Table1[subsystem],"")</f>
        <v>Purine metabolism</v>
      </c>
      <c r="J243" t="str">
        <f>_xlfn.XLOOKUP(Table3[[#This Row],[enz]],'[1]scRBA (raw)'!$N:$N,'[1]scRBA (raw)'!$K:$K,"")</f>
        <v/>
      </c>
      <c r="K243" t="str">
        <f>_xlfn.XLOOKUP(Table3[[#This Row],[SC enz]],Table2[id],Table2[Abundance in SC (g protein/g all proteins)],"")</f>
        <v/>
      </c>
      <c r="L243" t="str">
        <f>_xlfn.XLOOKUP(Table3[[#This Row],[SC enz]],Table2[id],Table2[Abundance in RT (g protein/g all proteins)],"")</f>
        <v/>
      </c>
      <c r="M243">
        <f>Table3[[#This Row],[log(y)]]-Table3[[#This Row],[log(x)]]/SQRT(2)</f>
        <v>2.053948245761605</v>
      </c>
      <c r="N243">
        <f>ABS(Table3[[#This Row],[dist from 45-degree (RT - SC)]])</f>
        <v>2.053948245761605</v>
      </c>
    </row>
    <row r="244" spans="1:14" x14ac:dyDescent="0.2">
      <c r="A244" t="s">
        <v>3085</v>
      </c>
      <c r="B244">
        <v>208487.2424236493</v>
      </c>
      <c r="C244">
        <v>900160.70980553748</v>
      </c>
      <c r="D244">
        <f>LOG(Table3[[#This Row],[scRBA $k_{app}$ ($h^{-1}$)]])</f>
        <v>5.3190794851393957</v>
      </c>
      <c r="E244">
        <f>LOG(Table3[[#This Row],[rtRBA $k_{app}$ ($h^{-1}$)]])</f>
        <v>5.9543200529403446</v>
      </c>
      <c r="F244" t="str">
        <f>_xlfn.TEXTAFTER(Table3[[#This Row],[id]],"-",-1)</f>
        <v>rt3505</v>
      </c>
      <c r="G244" t="str">
        <f>_xlfn.TEXTAFTER(_xlfn.TEXTBEFORE(Table3[[#This Row],[id]],"-"&amp;Table3[[#This Row],[enz]]),"_",-1)</f>
        <v>FWD</v>
      </c>
      <c r="H244" t="str">
        <f>_xlfn.TEXTBEFORE(Table3[[#This Row],[id]],"_"&amp;Table3[[#This Row],[dir]])</f>
        <v>RPE_c</v>
      </c>
      <c r="I244" t="str">
        <f>_xlfn.XLOOKUP(Table3[[#This Row],[rxn]],Table1[id],Table1[subsystem],"")</f>
        <v>Pentose phosphate pathway</v>
      </c>
      <c r="J244" t="str">
        <f>_xlfn.XLOOKUP(Table3[[#This Row],[enz]],'[1]scRBA (raw)'!$N:$N,'[1]scRBA (raw)'!$K:$K,"")</f>
        <v/>
      </c>
      <c r="K244" t="str">
        <f>_xlfn.XLOOKUP(Table3[[#This Row],[SC enz]],Table2[id],Table2[Abundance in SC (g protein/g all proteins)],"")</f>
        <v/>
      </c>
      <c r="L244" t="str">
        <f>_xlfn.XLOOKUP(Table3[[#This Row],[SC enz]],Table2[id],Table2[Abundance in RT (g protein/g all proteins)],"")</f>
        <v/>
      </c>
      <c r="M244">
        <f>Table3[[#This Row],[log(y)]]-Table3[[#This Row],[log(x)]]/SQRT(2)</f>
        <v>2.1931628793280282</v>
      </c>
      <c r="N244">
        <f>ABS(Table3[[#This Row],[dist from 45-degree (RT - SC)]])</f>
        <v>2.1931628793280282</v>
      </c>
    </row>
    <row r="245" spans="1:14" x14ac:dyDescent="0.2">
      <c r="A245" t="s">
        <v>3086</v>
      </c>
      <c r="B245">
        <v>164516.16087793</v>
      </c>
      <c r="C245">
        <v>371009.01715304499</v>
      </c>
      <c r="D245">
        <f>LOG(Table3[[#This Row],[scRBA $k_{app}$ ($h^{-1}$)]])</f>
        <v>5.2162085663307902</v>
      </c>
      <c r="E245">
        <f>LOG(Table3[[#This Row],[rtRBA $k_{app}$ ($h^{-1}$)]])</f>
        <v>5.5693844650118658</v>
      </c>
      <c r="F245" t="str">
        <f>_xlfn.TEXTAFTER(Table3[[#This Row],[id]],"-",-1)</f>
        <v>rt4920</v>
      </c>
      <c r="G245" t="str">
        <f>_xlfn.TEXTAFTER(_xlfn.TEXTBEFORE(Table3[[#This Row],[id]],"-"&amp;Table3[[#This Row],[enz]]),"_",-1)</f>
        <v>FWD</v>
      </c>
      <c r="H245" t="str">
        <f>_xlfn.TEXTBEFORE(Table3[[#This Row],[id]],"_"&amp;Table3[[#This Row],[dir]])</f>
        <v>RPI_c</v>
      </c>
      <c r="I245" t="str">
        <f>_xlfn.XLOOKUP(Table3[[#This Row],[rxn]],Table1[id],Table1[subsystem],"")</f>
        <v>Pentose phosphate pathway</v>
      </c>
      <c r="J245" t="str">
        <f>_xlfn.XLOOKUP(Table3[[#This Row],[enz]],'[1]scRBA (raw)'!$N:$N,'[1]scRBA (raw)'!$K:$K,"")</f>
        <v>YOR095C</v>
      </c>
      <c r="K245">
        <f>_xlfn.XLOOKUP(Table3[[#This Row],[SC enz]],Table2[id],Table2[Abundance in SC (g protein/g all proteins)],"")</f>
        <v>1.7707069211357601E-5</v>
      </c>
      <c r="L245">
        <f>_xlfn.XLOOKUP(Table3[[#This Row],[SC enz]],Table2[id],Table2[Abundance in RT (g protein/g all proteins)],"")</f>
        <v>1.76E-4</v>
      </c>
      <c r="M245">
        <f>Table3[[#This Row],[log(y)]]-Table3[[#This Row],[log(x)]]/SQRT(2)</f>
        <v>1.8809680156760051</v>
      </c>
      <c r="N245">
        <f>ABS(Table3[[#This Row],[dist from 45-degree (RT - SC)]])</f>
        <v>1.8809680156760051</v>
      </c>
    </row>
    <row r="246" spans="1:14" x14ac:dyDescent="0.2">
      <c r="A246" t="s">
        <v>3087</v>
      </c>
      <c r="B246">
        <v>5174.9343520003213</v>
      </c>
      <c r="C246">
        <v>15117.71190980087</v>
      </c>
      <c r="D246">
        <f>LOG(Table3[[#This Row],[scRBA $k_{app}$ ($h^{-1}$)]])</f>
        <v>3.7139048448062795</v>
      </c>
      <c r="E246">
        <f>LOG(Table3[[#This Row],[rtRBA $k_{app}$ ($h^{-1}$)]])</f>
        <v>4.1794860649652401</v>
      </c>
      <c r="F246" t="str">
        <f>_xlfn.TEXTAFTER(Table3[[#This Row],[id]],"-",-1)</f>
        <v>rt8465</v>
      </c>
      <c r="G246" t="str">
        <f>_xlfn.TEXTAFTER(_xlfn.TEXTBEFORE(Table3[[#This Row],[id]],"-"&amp;Table3[[#This Row],[enz]]),"_",-1)</f>
        <v>FWD</v>
      </c>
      <c r="H246" t="str">
        <f>_xlfn.TEXTBEFORE(Table3[[#This Row],[id]],"_"&amp;Table3[[#This Row],[dir]])</f>
        <v>SACCD1_c</v>
      </c>
      <c r="I246" t="str">
        <f>_xlfn.XLOOKUP(Table3[[#This Row],[rxn]],Table1[id],Table1[subsystem],"")</f>
        <v>Lysine metabolism</v>
      </c>
      <c r="J246" t="str">
        <f>_xlfn.XLOOKUP(Table3[[#This Row],[enz]],'[1]scRBA (raw)'!$N:$N,'[1]scRBA (raw)'!$K:$K,"")</f>
        <v>YNR050C</v>
      </c>
      <c r="K246">
        <f>_xlfn.XLOOKUP(Table3[[#This Row],[SC enz]],Table2[id],Table2[Abundance in SC (g protein/g all proteins)],"")</f>
        <v>1.0568283063289901E-3</v>
      </c>
      <c r="L246">
        <f>_xlfn.XLOOKUP(Table3[[#This Row],[SC enz]],Table2[id],Table2[Abundance in RT (g protein/g all proteins)],"")</f>
        <v>1.879E-3</v>
      </c>
      <c r="M246">
        <f>Table3[[#This Row],[log(y)]]-Table3[[#This Row],[log(x)]]/SQRT(2)</f>
        <v>1.5533587645211475</v>
      </c>
      <c r="N246">
        <f>ABS(Table3[[#This Row],[dist from 45-degree (RT - SC)]])</f>
        <v>1.5533587645211475</v>
      </c>
    </row>
    <row r="247" spans="1:14" x14ac:dyDescent="0.2">
      <c r="A247" t="s">
        <v>3088</v>
      </c>
      <c r="B247">
        <v>11964.02100059463</v>
      </c>
      <c r="C247">
        <v>15117.71190980087</v>
      </c>
      <c r="D247">
        <f>LOG(Table3[[#This Row],[scRBA $k_{app}$ ($h^{-1}$)]])</f>
        <v>4.0778771666824465</v>
      </c>
      <c r="E247">
        <f>LOG(Table3[[#This Row],[rtRBA $k_{app}$ ($h^{-1}$)]])</f>
        <v>4.1794860649652401</v>
      </c>
      <c r="F247" t="str">
        <f>_xlfn.TEXTAFTER(Table3[[#This Row],[id]],"-",-1)</f>
        <v>rt8465</v>
      </c>
      <c r="G247" t="str">
        <f>_xlfn.TEXTAFTER(_xlfn.TEXTBEFORE(Table3[[#This Row],[id]],"-"&amp;Table3[[#This Row],[enz]]),"_",-1)</f>
        <v>FWD</v>
      </c>
      <c r="H247" t="str">
        <f>_xlfn.TEXTBEFORE(Table3[[#This Row],[id]],"_"&amp;Table3[[#This Row],[dir]])</f>
        <v>SACCD2_c</v>
      </c>
      <c r="I247" t="str">
        <f>_xlfn.XLOOKUP(Table3[[#This Row],[rxn]],Table1[id],Table1[subsystem],"")</f>
        <v>Lysine metabolism</v>
      </c>
      <c r="J247" t="str">
        <f>_xlfn.XLOOKUP(Table3[[#This Row],[enz]],'[1]scRBA (raw)'!$N:$N,'[1]scRBA (raw)'!$K:$K,"")</f>
        <v>YNR050C</v>
      </c>
      <c r="K247">
        <f>_xlfn.XLOOKUP(Table3[[#This Row],[SC enz]],Table2[id],Table2[Abundance in SC (g protein/g all proteins)],"")</f>
        <v>1.0568283063289901E-3</v>
      </c>
      <c r="L247">
        <f>_xlfn.XLOOKUP(Table3[[#This Row],[SC enz]],Table2[id],Table2[Abundance in RT (g protein/g all proteins)],"")</f>
        <v>1.879E-3</v>
      </c>
      <c r="M247">
        <f>Table3[[#This Row],[log(y)]]-Table3[[#This Row],[log(x)]]/SQRT(2)</f>
        <v>1.2959914675582973</v>
      </c>
      <c r="N247">
        <f>ABS(Table3[[#This Row],[dist from 45-degree (RT - SC)]])</f>
        <v>1.2959914675582973</v>
      </c>
    </row>
    <row r="248" spans="1:14" x14ac:dyDescent="0.2">
      <c r="A248" t="s">
        <v>3089</v>
      </c>
      <c r="B248">
        <v>15583.98616093314</v>
      </c>
      <c r="C248">
        <v>20654.26083107627</v>
      </c>
      <c r="D248">
        <f>LOG(Table3[[#This Row],[scRBA $k_{app}$ ($h^{-1}$)]])</f>
        <v>4.1926785538676361</v>
      </c>
      <c r="E248">
        <f>LOG(Table3[[#This Row],[rtRBA $k_{app}$ ($h^{-1}$)]])</f>
        <v>4.3150096571809691</v>
      </c>
      <c r="F248" t="str">
        <f>_xlfn.TEXTAFTER(Table3[[#This Row],[id]],"-",-1)</f>
        <v>rt5075</v>
      </c>
      <c r="G248" t="str">
        <f>_xlfn.TEXTAFTER(_xlfn.TEXTBEFORE(Table3[[#This Row],[id]],"-"&amp;Table3[[#This Row],[enz]]),"_",-1)</f>
        <v>FWD</v>
      </c>
      <c r="H248" t="str">
        <f>_xlfn.TEXTBEFORE(Table3[[#This Row],[id]],"_"&amp;Table3[[#This Row],[dir]])</f>
        <v>SADT_c</v>
      </c>
      <c r="I248" t="str">
        <f>_xlfn.XLOOKUP(Table3[[#This Row],[rxn]],Table1[id],Table1[subsystem],"")</f>
        <v>Purine metabolism</v>
      </c>
      <c r="J248" t="str">
        <f>_xlfn.XLOOKUP(Table3[[#This Row],[enz]],'[1]scRBA (raw)'!$N:$N,'[1]scRBA (raw)'!$K:$K,"")</f>
        <v>YJR010W</v>
      </c>
      <c r="K248">
        <f>_xlfn.XLOOKUP(Table3[[#This Row],[SC enz]],Table2[id],Table2[Abundance in SC (g protein/g all proteins)],"")</f>
        <v>4.6060721423992203E-5</v>
      </c>
      <c r="L248">
        <f>_xlfn.XLOOKUP(Table3[[#This Row],[SC enz]],Table2[id],Table2[Abundance in RT (g protein/g all proteins)],"")</f>
        <v>2.2900000000000001E-5</v>
      </c>
      <c r="M248">
        <f>Table3[[#This Row],[log(y)]]-Table3[[#This Row],[log(x)]]/SQRT(2)</f>
        <v>1.3503382204057561</v>
      </c>
      <c r="N248">
        <f>ABS(Table3[[#This Row],[dist from 45-degree (RT - SC)]])</f>
        <v>1.3503382204057561</v>
      </c>
    </row>
    <row r="249" spans="1:14" x14ac:dyDescent="0.2">
      <c r="A249" t="s">
        <v>3277</v>
      </c>
      <c r="B249">
        <v>867.90100173533449</v>
      </c>
      <c r="C249">
        <v>6572.8340135742228</v>
      </c>
      <c r="D249">
        <f>LOG(Table3[[#This Row],[scRBA $k_{app}$ ($h^{-1}$)]])</f>
        <v>2.9384701896326262</v>
      </c>
      <c r="E249">
        <f>LOG(Table3[[#This Row],[rtRBA $k_{app}$ ($h^{-1}$)]])</f>
        <v>3.8177526650053033</v>
      </c>
      <c r="F249" t="str">
        <f>_xlfn.TEXTAFTER(Table3[[#This Row],[id]],"-",-1)</f>
        <v>rt4692</v>
      </c>
      <c r="G249" t="str">
        <f>_xlfn.TEXTAFTER(_xlfn.TEXTBEFORE(Table3[[#This Row],[id]],"-"&amp;Table3[[#This Row],[enz]]),"_",-1)</f>
        <v>FWD</v>
      </c>
      <c r="H249" t="str">
        <f>_xlfn.TEXTBEFORE(Table3[[#This Row],[id]],"_"&amp;Table3[[#This Row],[dir]])</f>
        <v>SAM24MT_c</v>
      </c>
      <c r="I249" t="str">
        <f>_xlfn.XLOOKUP(Table3[[#This Row],[rxn]],Table1[id],Table1[subsystem],"")</f>
        <v>Ergosterol biosynthesis</v>
      </c>
      <c r="J249" t="str">
        <f>_xlfn.XLOOKUP(Table3[[#This Row],[enz]],'[1]scRBA (raw)'!$N:$N,'[1]scRBA (raw)'!$K:$K,"")</f>
        <v>YML008C</v>
      </c>
      <c r="K249">
        <f>_xlfn.XLOOKUP(Table3[[#This Row],[SC enz]],Table2[id],Table2[Abundance in SC (g protein/g all proteins)],"")</f>
        <v>2.9246071599382199E-5</v>
      </c>
      <c r="L249">
        <f>_xlfn.XLOOKUP(Table3[[#This Row],[SC enz]],Table2[id],Table2[Abundance in RT (g protein/g all proteins)],"")</f>
        <v>1.2400000000000001E-4</v>
      </c>
      <c r="M249">
        <f>Table3[[#This Row],[log(y)]]-Table3[[#This Row],[log(x)]]/SQRT(2)</f>
        <v>1.7399404676015533</v>
      </c>
      <c r="N249">
        <f>ABS(Table3[[#This Row],[dist from 45-degree (RT - SC)]])</f>
        <v>1.7399404676015533</v>
      </c>
    </row>
    <row r="250" spans="1:14" x14ac:dyDescent="0.2">
      <c r="A250" t="s">
        <v>3278</v>
      </c>
      <c r="B250">
        <v>23194.468837220891</v>
      </c>
      <c r="C250">
        <v>30594.540476350721</v>
      </c>
      <c r="D250">
        <f>LOG(Table3[[#This Row],[scRBA $k_{app}$ ($h^{-1}$)]])</f>
        <v>4.3653844314482129</v>
      </c>
      <c r="E250">
        <f>LOG(Table3[[#This Row],[rtRBA $k_{app}$ ($h^{-1}$)]])</f>
        <v>4.4856439345686567</v>
      </c>
      <c r="F250" t="str">
        <f>_xlfn.TEXTAFTER(Table3[[#This Row],[id]],"-",-1)</f>
        <v>rt6880</v>
      </c>
      <c r="G250" t="str">
        <f>_xlfn.TEXTAFTER(_xlfn.TEXTBEFORE(Table3[[#This Row],[id]],"-"&amp;Table3[[#This Row],[enz]]),"_",-1)</f>
        <v>FWD</v>
      </c>
      <c r="H250" t="str">
        <f>_xlfn.TEXTBEFORE(Table3[[#This Row],[id]],"_"&amp;Table3[[#This Row],[dir]])</f>
        <v>SERAT_c</v>
      </c>
      <c r="I250" t="str">
        <f>_xlfn.XLOOKUP(Table3[[#This Row],[rxn]],Table1[id],Table1[subsystem],"")</f>
        <v>Cysteine and methionine metabolism</v>
      </c>
      <c r="J250" t="str">
        <f>_xlfn.XLOOKUP(Table3[[#This Row],[enz]],'[1]scRBA (raw)'!$N:$N,'[1]scRBA (raw)'!$K:$K,"")</f>
        <v/>
      </c>
      <c r="K250" t="str">
        <f>_xlfn.XLOOKUP(Table3[[#This Row],[SC enz]],Table2[id],Table2[Abundance in SC (g protein/g all proteins)],"")</f>
        <v/>
      </c>
      <c r="L250" t="str">
        <f>_xlfn.XLOOKUP(Table3[[#This Row],[SC enz]],Table2[id],Table2[Abundance in RT (g protein/g all proteins)],"")</f>
        <v/>
      </c>
      <c r="M250">
        <f>Table3[[#This Row],[log(y)]]-Table3[[#This Row],[log(x)]]/SQRT(2)</f>
        <v>1.3988510006054442</v>
      </c>
      <c r="N250">
        <f>ABS(Table3[[#This Row],[dist from 45-degree (RT - SC)]])</f>
        <v>1.3988510006054442</v>
      </c>
    </row>
    <row r="251" spans="1:14" x14ac:dyDescent="0.2">
      <c r="A251" t="s">
        <v>3279</v>
      </c>
      <c r="B251">
        <v>16073.67819388007</v>
      </c>
      <c r="C251">
        <v>14740.62911320013</v>
      </c>
      <c r="D251">
        <f>LOG(Table3[[#This Row],[scRBA $k_{app}$ ($h^{-1}$)]])</f>
        <v>4.2061152692039245</v>
      </c>
      <c r="E251">
        <f>LOG(Table3[[#This Row],[rtRBA $k_{app}$ ($h^{-1}$)]])</f>
        <v>4.1685160191106077</v>
      </c>
      <c r="F251" t="str">
        <f>_xlfn.TEXTAFTER(Table3[[#This Row],[id]],"-",-1)</f>
        <v>rt1878</v>
      </c>
      <c r="G251" t="str">
        <f>_xlfn.TEXTAFTER(_xlfn.TEXTBEFORE(Table3[[#This Row],[id]],"-"&amp;Table3[[#This Row],[enz]]),"_",-1)</f>
        <v>FWD</v>
      </c>
      <c r="H251" t="str">
        <f>_xlfn.TEXTBEFORE(Table3[[#This Row],[id]],"_"&amp;Table3[[#This Row],[dir]])</f>
        <v>SERTRS_c</v>
      </c>
      <c r="I251" t="str">
        <f>_xlfn.XLOOKUP(Table3[[#This Row],[rxn]],Table1[id],Table1[subsystem],"")</f>
        <v>Aminoacyl-tRNA biosynthesis</v>
      </c>
      <c r="J251" t="str">
        <f>_xlfn.XLOOKUP(Table3[[#This Row],[enz]],'[1]scRBA (raw)'!$N:$N,'[1]scRBA (raw)'!$K:$K,"")</f>
        <v>YDR023W</v>
      </c>
      <c r="K251">
        <f>_xlfn.XLOOKUP(Table3[[#This Row],[SC enz]],Table2[id],Table2[Abundance in SC (g protein/g all proteins)],"")</f>
        <v>1.0201020764760401E-5</v>
      </c>
      <c r="L251">
        <f>_xlfn.XLOOKUP(Table3[[#This Row],[SC enz]],Table2[id],Table2[Abundance in RT (g protein/g all proteins)],"")</f>
        <v>2.9E-5</v>
      </c>
      <c r="M251">
        <f>Table3[[#This Row],[log(y)]]-Table3[[#This Row],[log(x)]]/SQRT(2)</f>
        <v>1.1943433898042319</v>
      </c>
      <c r="N251">
        <f>ABS(Table3[[#This Row],[dist from 45-degree (RT - SC)]])</f>
        <v>1.1943433898042319</v>
      </c>
    </row>
    <row r="252" spans="1:14" x14ac:dyDescent="0.2">
      <c r="A252" t="s">
        <v>3305</v>
      </c>
      <c r="B252">
        <v>17.055026613070439</v>
      </c>
      <c r="C252">
        <v>23.40496549416282</v>
      </c>
      <c r="D252">
        <f>LOG(Table3[[#This Row],[scRBA $k_{app}$ ($h^{-1}$)]])</f>
        <v>1.2318524014274161</v>
      </c>
      <c r="E252">
        <f>LOG(Table3[[#This Row],[rtRBA $k_{app}$ ($h^{-1}$)]])</f>
        <v>1.3693080051854978</v>
      </c>
      <c r="F252" t="str">
        <f>_xlfn.TEXTAFTER(Table3[[#This Row],[id]],"-",-1)</f>
        <v>rt5201</v>
      </c>
      <c r="G252" t="str">
        <f>_xlfn.TEXTAFTER(_xlfn.TEXTBEFORE(Table3[[#This Row],[id]],"-"&amp;Table3[[#This Row],[enz]]),"_",-1)</f>
        <v>FWD</v>
      </c>
      <c r="H252" t="str">
        <f>_xlfn.TEXTBEFORE(Table3[[#This Row],[id]],"_"&amp;Table3[[#This Row],[dir]])</f>
        <v>SHCHD2_c</v>
      </c>
      <c r="I252" t="str">
        <f>_xlfn.XLOOKUP(Table3[[#This Row],[rxn]],Table1[id],Table1[subsystem],"")</f>
        <v>Heme metabolism</v>
      </c>
      <c r="J252" t="str">
        <f>_xlfn.XLOOKUP(Table3[[#This Row],[enz]],'[1]scRBA (raw)'!$N:$N,'[1]scRBA (raw)'!$K:$K,"")</f>
        <v>YBR213W</v>
      </c>
      <c r="K252">
        <f>_xlfn.XLOOKUP(Table3[[#This Row],[SC enz]],Table2[id],Table2[Abundance in SC (g protein/g all proteins)],"")</f>
        <v>4.4126120690723302E-6</v>
      </c>
      <c r="L252">
        <f>_xlfn.XLOOKUP(Table3[[#This Row],[SC enz]],Table2[id],Table2[Abundance in RT (g protein/g all proteins)],"")</f>
        <v>6.6300000000000015E-7</v>
      </c>
      <c r="M252">
        <f>Table3[[#This Row],[log(y)]]-Table3[[#This Row],[log(x)]]/SQRT(2)</f>
        <v>0.49825681871523875</v>
      </c>
      <c r="N252">
        <f>ABS(Table3[[#This Row],[dist from 45-degree (RT - SC)]])</f>
        <v>0.49825681871523875</v>
      </c>
    </row>
    <row r="253" spans="1:14" x14ac:dyDescent="0.2">
      <c r="A253" t="s">
        <v>3306</v>
      </c>
      <c r="B253">
        <v>17.055026613070439</v>
      </c>
      <c r="C253">
        <v>23.40496549416282</v>
      </c>
      <c r="D253">
        <f>LOG(Table3[[#This Row],[scRBA $k_{app}$ ($h^{-1}$)]])</f>
        <v>1.2318524014274161</v>
      </c>
      <c r="E253">
        <f>LOG(Table3[[#This Row],[rtRBA $k_{app}$ ($h^{-1}$)]])</f>
        <v>1.3693080051854978</v>
      </c>
      <c r="F253" t="str">
        <f>_xlfn.TEXTAFTER(Table3[[#This Row],[id]],"-",-1)</f>
        <v>rt5201</v>
      </c>
      <c r="G253" t="str">
        <f>_xlfn.TEXTAFTER(_xlfn.TEXTBEFORE(Table3[[#This Row],[id]],"-"&amp;Table3[[#This Row],[enz]]),"_",-1)</f>
        <v>FWD</v>
      </c>
      <c r="H253" t="str">
        <f>_xlfn.TEXTBEFORE(Table3[[#This Row],[id]],"_"&amp;Table3[[#This Row],[dir]])</f>
        <v>SHCHF_c</v>
      </c>
      <c r="I253" t="str">
        <f>_xlfn.XLOOKUP(Table3[[#This Row],[rxn]],Table1[id],Table1[subsystem],"")</f>
        <v>Heme metabolism</v>
      </c>
      <c r="J253" t="str">
        <f>_xlfn.XLOOKUP(Table3[[#This Row],[enz]],'[1]scRBA (raw)'!$N:$N,'[1]scRBA (raw)'!$K:$K,"")</f>
        <v>YBR213W</v>
      </c>
      <c r="K253">
        <f>_xlfn.XLOOKUP(Table3[[#This Row],[SC enz]],Table2[id],Table2[Abundance in SC (g protein/g all proteins)],"")</f>
        <v>4.4126120690723302E-6</v>
      </c>
      <c r="L253">
        <f>_xlfn.XLOOKUP(Table3[[#This Row],[SC enz]],Table2[id],Table2[Abundance in RT (g protein/g all proteins)],"")</f>
        <v>6.6300000000000015E-7</v>
      </c>
      <c r="M253">
        <f>Table3[[#This Row],[log(y)]]-Table3[[#This Row],[log(x)]]/SQRT(2)</f>
        <v>0.49825681871523875</v>
      </c>
      <c r="N253">
        <f>ABS(Table3[[#This Row],[dist from 45-degree (RT - SC)]])</f>
        <v>0.49825681871523875</v>
      </c>
    </row>
    <row r="254" spans="1:14" x14ac:dyDescent="0.2">
      <c r="A254" t="s">
        <v>3280</v>
      </c>
      <c r="B254">
        <v>265929.8632596141</v>
      </c>
      <c r="C254">
        <v>291580.97068509721</v>
      </c>
      <c r="D254">
        <f>LOG(Table3[[#This Row],[scRBA $k_{app}$ ($h^{-1}$)]])</f>
        <v>5.4247671102560364</v>
      </c>
      <c r="E254">
        <f>LOG(Table3[[#This Row],[rtRBA $k_{app}$ ($h^{-1}$)]])</f>
        <v>5.4647591774095643</v>
      </c>
      <c r="F254" t="str">
        <f>_xlfn.TEXTAFTER(Table3[[#This Row],[id]],"-",-1)</f>
        <v>rt5884</v>
      </c>
      <c r="G254" t="str">
        <f>_xlfn.TEXTAFTER(_xlfn.TEXTBEFORE(Table3[[#This Row],[id]],"-"&amp;Table3[[#This Row],[enz]]),"_",-1)</f>
        <v>FWD</v>
      </c>
      <c r="H254" t="str">
        <f>_xlfn.TEXTBEFORE(Table3[[#This Row],[id]],"_"&amp;Table3[[#This Row],[dir]])</f>
        <v>SHK3Di_c</v>
      </c>
      <c r="I254" t="str">
        <f>_xlfn.XLOOKUP(Table3[[#This Row],[rxn]],Table1[id],Table1[subsystem],"")</f>
        <v>Phenylalanine, tyrosine and tryptophan metabolism</v>
      </c>
      <c r="J254" t="str">
        <f>_xlfn.XLOOKUP(Table3[[#This Row],[enz]],'[1]scRBA (raw)'!$N:$N,'[1]scRBA (raw)'!$K:$K,"")</f>
        <v>YDR127W</v>
      </c>
      <c r="K254">
        <f>_xlfn.XLOOKUP(Table3[[#This Row],[SC enz]],Table2[id],Table2[Abundance in SC (g protein/g all proteins)],"")</f>
        <v>9.1921827720001497E-5</v>
      </c>
      <c r="L254">
        <f>_xlfn.XLOOKUP(Table3[[#This Row],[SC enz]],Table2[id],Table2[Abundance in RT (g protein/g all proteins)],"")</f>
        <v>2.9200000000000002E-5</v>
      </c>
      <c r="M254">
        <f>Table3[[#This Row],[log(y)]]-Table3[[#This Row],[log(x)]]/SQRT(2)</f>
        <v>1.6288695673897697</v>
      </c>
      <c r="N254">
        <f>ABS(Table3[[#This Row],[dist from 45-degree (RT - SC)]])</f>
        <v>1.6288695673897697</v>
      </c>
    </row>
    <row r="255" spans="1:14" x14ac:dyDescent="0.2">
      <c r="A255" t="s">
        <v>3281</v>
      </c>
      <c r="B255">
        <v>265929.8632596141</v>
      </c>
      <c r="C255">
        <v>291580.97068509721</v>
      </c>
      <c r="D255">
        <f>LOG(Table3[[#This Row],[scRBA $k_{app}$ ($h^{-1}$)]])</f>
        <v>5.4247671102560364</v>
      </c>
      <c r="E255">
        <f>LOG(Table3[[#This Row],[rtRBA $k_{app}$ ($h^{-1}$)]])</f>
        <v>5.4647591774095643</v>
      </c>
      <c r="F255" t="str">
        <f>_xlfn.TEXTAFTER(Table3[[#This Row],[id]],"-",-1)</f>
        <v>rt5884</v>
      </c>
      <c r="G255" t="str">
        <f>_xlfn.TEXTAFTER(_xlfn.TEXTBEFORE(Table3[[#This Row],[id]],"-"&amp;Table3[[#This Row],[enz]]),"_",-1)</f>
        <v>FWD</v>
      </c>
      <c r="H255" t="str">
        <f>_xlfn.TEXTBEFORE(Table3[[#This Row],[id]],"_"&amp;Table3[[#This Row],[dir]])</f>
        <v>SHKK_c</v>
      </c>
      <c r="I255" t="str">
        <f>_xlfn.XLOOKUP(Table3[[#This Row],[rxn]],Table1[id],Table1[subsystem],"")</f>
        <v>Phenylalanine, tyrosine and tryptophan metabolism</v>
      </c>
      <c r="J255" t="str">
        <f>_xlfn.XLOOKUP(Table3[[#This Row],[enz]],'[1]scRBA (raw)'!$N:$N,'[1]scRBA (raw)'!$K:$K,"")</f>
        <v>YDR127W</v>
      </c>
      <c r="K255">
        <f>_xlfn.XLOOKUP(Table3[[#This Row],[SC enz]],Table2[id],Table2[Abundance in SC (g protein/g all proteins)],"")</f>
        <v>9.1921827720001497E-5</v>
      </c>
      <c r="L255">
        <f>_xlfn.XLOOKUP(Table3[[#This Row],[SC enz]],Table2[id],Table2[Abundance in RT (g protein/g all proteins)],"")</f>
        <v>2.9200000000000002E-5</v>
      </c>
      <c r="M255">
        <f>Table3[[#This Row],[log(y)]]-Table3[[#This Row],[log(x)]]/SQRT(2)</f>
        <v>1.6288695673897697</v>
      </c>
      <c r="N255">
        <f>ABS(Table3[[#This Row],[dist from 45-degree (RT - SC)]])</f>
        <v>1.6288695673897697</v>
      </c>
    </row>
    <row r="256" spans="1:14" x14ac:dyDescent="0.2">
      <c r="A256" t="s">
        <v>3090</v>
      </c>
      <c r="B256">
        <v>9980.8361695430394</v>
      </c>
      <c r="C256">
        <v>24389.211413085352</v>
      </c>
      <c r="D256">
        <f>LOG(Table3[[#This Row],[scRBA $k_{app}$ ($h^{-1}$)]])</f>
        <v>3.9991669269192762</v>
      </c>
      <c r="E256">
        <f>LOG(Table3[[#This Row],[rtRBA $k_{app}$ ($h^{-1}$)]])</f>
        <v>4.3871977583095392</v>
      </c>
      <c r="F256" t="str">
        <f>_xlfn.TEXTAFTER(Table3[[#This Row],[id]],"-",-1)</f>
        <v>rt20063076</v>
      </c>
      <c r="G256" t="str">
        <f>_xlfn.TEXTAFTER(_xlfn.TEXTBEFORE(Table3[[#This Row],[id]],"-"&amp;Table3[[#This Row],[enz]]),"_",-1)</f>
        <v>FWD</v>
      </c>
      <c r="H256" t="str">
        <f>_xlfn.TEXTBEFORE(Table3[[#This Row],[id]],"_"&amp;Table3[[#This Row],[dir]])</f>
        <v>SO3R_c</v>
      </c>
      <c r="I256" t="str">
        <f>_xlfn.XLOOKUP(Table3[[#This Row],[rxn]],Table1[id],Table1[subsystem],"")</f>
        <v>Sulfur metabolism</v>
      </c>
      <c r="J256" t="str">
        <f>_xlfn.XLOOKUP(Table3[[#This Row],[enz]],'[1]scRBA (raw)'!$N:$N,'[1]scRBA (raw)'!$K:$K,"")</f>
        <v/>
      </c>
      <c r="K256" t="str">
        <f>_xlfn.XLOOKUP(Table3[[#This Row],[SC enz]],Table2[id],Table2[Abundance in SC (g protein/g all proteins)],"")</f>
        <v/>
      </c>
      <c r="L256" t="str">
        <f>_xlfn.XLOOKUP(Table3[[#This Row],[SC enz]],Table2[id],Table2[Abundance in RT (g protein/g all proteins)],"")</f>
        <v/>
      </c>
      <c r="M256">
        <f>Table3[[#This Row],[log(y)]]-Table3[[#This Row],[log(x)]]/SQRT(2)</f>
        <v>1.5593597051879531</v>
      </c>
      <c r="N256">
        <f>ABS(Table3[[#This Row],[dist from 45-degree (RT - SC)]])</f>
        <v>1.5593597051879531</v>
      </c>
    </row>
    <row r="257" spans="1:14" x14ac:dyDescent="0.2">
      <c r="A257" t="s">
        <v>3091</v>
      </c>
      <c r="B257">
        <v>132289.708308498</v>
      </c>
      <c r="C257">
        <v>293211.50148664467</v>
      </c>
      <c r="D257">
        <f>LOG(Table3[[#This Row],[scRBA $k_{app}$ ($h^{-1}$)]])</f>
        <v>5.1215260588610834</v>
      </c>
      <c r="E257">
        <f>LOG(Table3[[#This Row],[rtRBA $k_{app}$ ($h^{-1}$)]])</f>
        <v>5.4671810018975178</v>
      </c>
      <c r="F257" t="str">
        <f>_xlfn.TEXTAFTER(Table3[[#This Row],[id]],"-",-1)</f>
        <v>rt7368</v>
      </c>
      <c r="G257" t="str">
        <f>_xlfn.TEXTAFTER(_xlfn.TEXTBEFORE(Table3[[#This Row],[id]],"-"&amp;Table3[[#This Row],[enz]]),"_",-1)</f>
        <v>FWD</v>
      </c>
      <c r="H257" t="str">
        <f>_xlfn.TEXTBEFORE(Table3[[#This Row],[id]],"_"&amp;Table3[[#This Row],[dir]])</f>
        <v>SO4t_c_e</v>
      </c>
      <c r="I257" t="str">
        <f>_xlfn.XLOOKUP(Table3[[#This Row],[rxn]],Table1[id],Table1[subsystem],"")</f>
        <v>Transport</v>
      </c>
      <c r="J257" t="str">
        <f>_xlfn.XLOOKUP(Table3[[#This Row],[enz]],'[1]scRBA (raw)'!$N:$N,'[1]scRBA (raw)'!$K:$K,"")</f>
        <v/>
      </c>
      <c r="K257" t="str">
        <f>_xlfn.XLOOKUP(Table3[[#This Row],[SC enz]],Table2[id],Table2[Abundance in SC (g protein/g all proteins)],"")</f>
        <v/>
      </c>
      <c r="L257" t="str">
        <f>_xlfn.XLOOKUP(Table3[[#This Row],[SC enz]],Table2[id],Table2[Abundance in RT (g protein/g all proteins)],"")</f>
        <v/>
      </c>
      <c r="M257">
        <f>Table3[[#This Row],[log(y)]]-Table3[[#This Row],[log(x)]]/SQRT(2)</f>
        <v>1.8457151956532329</v>
      </c>
      <c r="N257">
        <f>ABS(Table3[[#This Row],[dist from 45-degree (RT - SC)]])</f>
        <v>1.8457151956532329</v>
      </c>
    </row>
    <row r="258" spans="1:14" x14ac:dyDescent="0.2">
      <c r="A258" t="s">
        <v>3282</v>
      </c>
      <c r="B258">
        <v>93890.190073897116</v>
      </c>
      <c r="C258">
        <v>155630.89161964101</v>
      </c>
      <c r="D258">
        <f>LOG(Table3[[#This Row],[scRBA $k_{app}$ ($h^{-1}$)]])</f>
        <v>4.9726202182582719</v>
      </c>
      <c r="E258">
        <f>LOG(Table3[[#This Row],[rtRBA $k_{app}$ ($h^{-1}$)]])</f>
        <v>5.1920958055608875</v>
      </c>
      <c r="F258" t="str">
        <f>_xlfn.TEXTAFTER(Table3[[#This Row],[id]],"-",-1)</f>
        <v>LSC12</v>
      </c>
      <c r="G258" t="str">
        <f>_xlfn.TEXTAFTER(_xlfn.TEXTBEFORE(Table3[[#This Row],[id]],"-"&amp;Table3[[#This Row],[enz]]),"_",-1)</f>
        <v>FWD</v>
      </c>
      <c r="H258" t="str">
        <f>_xlfn.TEXTBEFORE(Table3[[#This Row],[id]],"_"&amp;Table3[[#This Row],[dir]])</f>
        <v>SUCOAS_m</v>
      </c>
      <c r="I258" t="str">
        <f>_xlfn.XLOOKUP(Table3[[#This Row],[rxn]],Table1[id],Table1[subsystem],"")</f>
        <v>Citric acid cycle</v>
      </c>
      <c r="J258" t="str">
        <f>_xlfn.XLOOKUP(Table3[[#This Row],[enz]],'[1]scRBA (raw)'!$N:$N,'[1]scRBA (raw)'!$K:$K,"")</f>
        <v/>
      </c>
      <c r="K258" t="str">
        <f>_xlfn.XLOOKUP(Table3[[#This Row],[SC enz]],Table2[id],Table2[Abundance in SC (g protein/g all proteins)],"")</f>
        <v/>
      </c>
      <c r="L258" t="str">
        <f>_xlfn.XLOOKUP(Table3[[#This Row],[SC enz]],Table2[id],Table2[Abundance in RT (g protein/g all proteins)],"")</f>
        <v/>
      </c>
      <c r="M258">
        <f>Table3[[#This Row],[log(y)]]-Table3[[#This Row],[log(x)]]/SQRT(2)</f>
        <v>1.6759223289651337</v>
      </c>
      <c r="N258">
        <f>ABS(Table3[[#This Row],[dist from 45-degree (RT - SC)]])</f>
        <v>1.6759223289651337</v>
      </c>
    </row>
    <row r="259" spans="1:14" x14ac:dyDescent="0.2">
      <c r="A259" t="s">
        <v>3092</v>
      </c>
      <c r="B259">
        <v>35667.149697372493</v>
      </c>
      <c r="C259">
        <v>15017.42839789238</v>
      </c>
      <c r="D259">
        <f>LOG(Table3[[#This Row],[scRBA $k_{app}$ ($h^{-1}$)]])</f>
        <v>4.5522684045398361</v>
      </c>
      <c r="E259">
        <f>LOG(Table3[[#This Row],[rtRBA $k_{app}$ ($h^{-1}$)]])</f>
        <v>4.1765955699368984</v>
      </c>
      <c r="F259" t="str">
        <f>_xlfn.TEXTAFTER(Table3[[#This Row],[id]],"-",-1)</f>
        <v>rt1805</v>
      </c>
      <c r="G259" t="str">
        <f>_xlfn.TEXTAFTER(_xlfn.TEXTBEFORE(Table3[[#This Row],[id]],"-"&amp;Table3[[#This Row],[enz]]),"_",-1)</f>
        <v>FWD</v>
      </c>
      <c r="H259" t="str">
        <f>_xlfn.TEXTBEFORE(Table3[[#This Row],[id]],"_"&amp;Table3[[#This Row],[dir]])</f>
        <v>TALA_c</v>
      </c>
      <c r="I259" t="str">
        <f>_xlfn.XLOOKUP(Table3[[#This Row],[rxn]],Table1[id],Table1[subsystem],"")</f>
        <v>Pentose phosphate pathway</v>
      </c>
      <c r="J259" t="str">
        <f>_xlfn.XLOOKUP(Table3[[#This Row],[enz]],'[1]scRBA (raw)'!$N:$N,'[1]scRBA (raw)'!$K:$K,"")</f>
        <v>YLR354C</v>
      </c>
      <c r="K259">
        <f>_xlfn.XLOOKUP(Table3[[#This Row],[SC enz]],Table2[id],Table2[Abundance in SC (g protein/g all proteins)],"")</f>
        <v>1.41745906920484E-4</v>
      </c>
      <c r="L259">
        <f>_xlfn.XLOOKUP(Table3[[#This Row],[SC enz]],Table2[id],Table2[Abundance in RT (g protein/g all proteins)],"")</f>
        <v>1.2400000000000001E-4</v>
      </c>
      <c r="M259">
        <f>Table3[[#This Row],[log(y)]]-Table3[[#This Row],[log(x)]]/SQRT(2)</f>
        <v>0.95765571130551486</v>
      </c>
      <c r="N259">
        <f>ABS(Table3[[#This Row],[dist from 45-degree (RT - SC)]])</f>
        <v>0.95765571130551486</v>
      </c>
    </row>
    <row r="260" spans="1:14" x14ac:dyDescent="0.2">
      <c r="A260" t="s">
        <v>3283</v>
      </c>
      <c r="B260">
        <v>273968804381.2529</v>
      </c>
      <c r="C260">
        <v>62896.631467173407</v>
      </c>
      <c r="D260">
        <f>LOG(Table3[[#This Row],[scRBA $k_{app}$ ($h^{-1}$)]])</f>
        <v>11.437701114439429</v>
      </c>
      <c r="E260">
        <f>LOG(Table3[[#This Row],[rtRBA $k_{app}$ ($h^{-1}$)]])</f>
        <v>4.7986273867108817</v>
      </c>
      <c r="F260" t="str">
        <f>_xlfn.TEXTAFTER(Table3[[#This Row],[id]],"-",-1)</f>
        <v>rt3541</v>
      </c>
      <c r="G260" t="str">
        <f>_xlfn.TEXTAFTER(_xlfn.TEXTBEFORE(Table3[[#This Row],[id]],"-"&amp;Table3[[#This Row],[enz]]),"_",-1)</f>
        <v>FWD</v>
      </c>
      <c r="H260" t="str">
        <f>_xlfn.TEXTBEFORE(Table3[[#This Row],[id]],"_"&amp;Table3[[#This Row],[dir]])</f>
        <v>THRD_L_m</v>
      </c>
      <c r="I260" t="str">
        <f>_xlfn.XLOOKUP(Table3[[#This Row],[rxn]],Table1[id],Table1[subsystem],"")</f>
        <v>Glycine, serine and threonine metabolism</v>
      </c>
      <c r="J260" t="str">
        <f>_xlfn.XLOOKUP(Table3[[#This Row],[enz]],'[1]scRBA (raw)'!$N:$N,'[1]scRBA (raw)'!$K:$K,"")</f>
        <v/>
      </c>
      <c r="K260" t="str">
        <f>_xlfn.XLOOKUP(Table3[[#This Row],[SC enz]],Table2[id],Table2[Abundance in SC (g protein/g all proteins)],"")</f>
        <v/>
      </c>
      <c r="L260" t="str">
        <f>_xlfn.XLOOKUP(Table3[[#This Row],[SC enz]],Table2[id],Table2[Abundance in RT (g protein/g all proteins)],"")</f>
        <v/>
      </c>
      <c r="M260">
        <f>Table3[[#This Row],[log(y)]]-Table3[[#This Row],[log(x)]]/SQRT(2)</f>
        <v>-3.2890486324941701</v>
      </c>
      <c r="N260">
        <f>ABS(Table3[[#This Row],[dist from 45-degree (RT - SC)]])</f>
        <v>3.2890486324941701</v>
      </c>
    </row>
    <row r="261" spans="1:14" x14ac:dyDescent="0.2">
      <c r="A261" t="s">
        <v>3093</v>
      </c>
      <c r="B261">
        <v>32807.979196401102</v>
      </c>
      <c r="C261">
        <v>25398.066432849289</v>
      </c>
      <c r="D261">
        <f>LOG(Table3[[#This Row],[scRBA $k_{app}$ ($h^{-1}$)]])</f>
        <v>4.5159794808926002</v>
      </c>
      <c r="E261">
        <f>LOG(Table3[[#This Row],[rtRBA $k_{app}$ ($h^{-1}$)]])</f>
        <v>4.4048006548282865</v>
      </c>
      <c r="F261" t="str">
        <f>_xlfn.TEXTAFTER(Table3[[#This Row],[id]],"-",-1)</f>
        <v>rt1374</v>
      </c>
      <c r="G261" t="str">
        <f>_xlfn.TEXTAFTER(_xlfn.TEXTBEFORE(Table3[[#This Row],[id]],"-"&amp;Table3[[#This Row],[enz]]),"_",-1)</f>
        <v>FWD</v>
      </c>
      <c r="H261" t="str">
        <f>_xlfn.TEXTBEFORE(Table3[[#This Row],[id]],"_"&amp;Table3[[#This Row],[dir]])</f>
        <v>THRS_c</v>
      </c>
      <c r="I261" t="str">
        <f>_xlfn.XLOOKUP(Table3[[#This Row],[rxn]],Table1[id],Table1[subsystem],"")</f>
        <v>Glycine, serine and threonine metabolism</v>
      </c>
      <c r="J261" t="str">
        <f>_xlfn.XLOOKUP(Table3[[#This Row],[enz]],'[1]scRBA (raw)'!$N:$N,'[1]scRBA (raw)'!$K:$K,"")</f>
        <v>YCR053W</v>
      </c>
      <c r="K261">
        <f>_xlfn.XLOOKUP(Table3[[#This Row],[SC enz]],Table2[id],Table2[Abundance in SC (g protein/g all proteins)],"")</f>
        <v>2.2944500987922E-4</v>
      </c>
      <c r="L261">
        <f>_xlfn.XLOOKUP(Table3[[#This Row],[SC enz]],Table2[id],Table2[Abundance in RT (g protein/g all proteins)],"")</f>
        <v>5.5099999999999995E-4</v>
      </c>
      <c r="M261">
        <f>Table3[[#This Row],[log(y)]]-Table3[[#This Row],[log(x)]]/SQRT(2)</f>
        <v>1.2115209401898244</v>
      </c>
      <c r="N261">
        <f>ABS(Table3[[#This Row],[dist from 45-degree (RT - SC)]])</f>
        <v>1.2115209401898244</v>
      </c>
    </row>
    <row r="262" spans="1:14" x14ac:dyDescent="0.2">
      <c r="A262" t="s">
        <v>3094</v>
      </c>
      <c r="B262">
        <v>12929.821646930641</v>
      </c>
      <c r="C262">
        <v>15215.062438807299</v>
      </c>
      <c r="D262">
        <f>LOG(Table3[[#This Row],[scRBA $k_{app}$ ($h^{-1}$)]])</f>
        <v>4.1115925342935364</v>
      </c>
      <c r="E262">
        <f>LOG(Table3[[#This Row],[rtRBA $k_{app}$ ($h^{-1}$)]])</f>
        <v>4.1822737389336746</v>
      </c>
      <c r="F262" t="str">
        <f>_xlfn.TEXTAFTER(Table3[[#This Row],[id]],"-",-1)</f>
        <v>rt7480</v>
      </c>
      <c r="G262" t="str">
        <f>_xlfn.TEXTAFTER(_xlfn.TEXTBEFORE(Table3[[#This Row],[id]],"-"&amp;Table3[[#This Row],[enz]]),"_",-1)</f>
        <v>FWD</v>
      </c>
      <c r="H262" t="str">
        <f>_xlfn.TEXTBEFORE(Table3[[#This Row],[id]],"_"&amp;Table3[[#This Row],[dir]])</f>
        <v>THRTRS_c</v>
      </c>
      <c r="I262" t="str">
        <f>_xlfn.XLOOKUP(Table3[[#This Row],[rxn]],Table1[id],Table1[subsystem],"")</f>
        <v>Aminoacyl-tRNA biosynthesis</v>
      </c>
      <c r="J262" t="str">
        <f>_xlfn.XLOOKUP(Table3[[#This Row],[enz]],'[1]scRBA (raw)'!$N:$N,'[1]scRBA (raw)'!$K:$K,"")</f>
        <v>YIL078W</v>
      </c>
      <c r="K262">
        <f>_xlfn.XLOOKUP(Table3[[#This Row],[SC enz]],Table2[id],Table2[Abundance in SC (g protein/g all proteins)],"")</f>
        <v>1.39754232416909E-5</v>
      </c>
      <c r="L262">
        <f>_xlfn.XLOOKUP(Table3[[#This Row],[SC enz]],Table2[id],Table2[Abundance in RT (g protein/g all proteins)],"")</f>
        <v>5.2899999999999998E-5</v>
      </c>
      <c r="M262">
        <f>Table3[[#This Row],[log(y)]]-Table3[[#This Row],[log(x)]]/SQRT(2)</f>
        <v>1.2749387764587325</v>
      </c>
      <c r="N262">
        <f>ABS(Table3[[#This Row],[dist from 45-degree (RT - SC)]])</f>
        <v>1.2749387764587325</v>
      </c>
    </row>
    <row r="263" spans="1:14" x14ac:dyDescent="0.2">
      <c r="A263" t="s">
        <v>3284</v>
      </c>
      <c r="B263">
        <v>1391006.8306521981</v>
      </c>
      <c r="C263">
        <v>190443.52213105079</v>
      </c>
      <c r="D263">
        <f>LOG(Table3[[#This Row],[scRBA $k_{app}$ ($h^{-1}$)]])</f>
        <v>6.1433292626356648</v>
      </c>
      <c r="E263">
        <f>LOG(Table3[[#This Row],[rtRBA $k_{app}$ ($h^{-1}$)]])</f>
        <v>5.2797662048752256</v>
      </c>
      <c r="F263" t="str">
        <f>_xlfn.TEXTAFTER(Table3[[#This Row],[id]],"-",-1)</f>
        <v>rt7263_c</v>
      </c>
      <c r="G263" t="str">
        <f>_xlfn.TEXTAFTER(_xlfn.TEXTBEFORE(Table3[[#This Row],[id]],"-"&amp;Table3[[#This Row],[enz]]),"_",-1)</f>
        <v>FWD</v>
      </c>
      <c r="H263" t="str">
        <f>_xlfn.TEXTBEFORE(Table3[[#This Row],[id]],"_"&amp;Table3[[#This Row],[dir]])</f>
        <v>TKT1_c</v>
      </c>
      <c r="I263" t="str">
        <f>_xlfn.XLOOKUP(Table3[[#This Row],[rxn]],Table1[id],Table1[subsystem],"")</f>
        <v>Pentose phosphate pathway</v>
      </c>
      <c r="J263" t="str">
        <f>_xlfn.XLOOKUP(Table3[[#This Row],[enz]],'[1]scRBA (raw)'!$N:$N,'[1]scRBA (raw)'!$K:$K,"")</f>
        <v/>
      </c>
      <c r="K263" t="str">
        <f>_xlfn.XLOOKUP(Table3[[#This Row],[SC enz]],Table2[id],Table2[Abundance in SC (g protein/g all proteins)],"")</f>
        <v/>
      </c>
      <c r="L263" t="str">
        <f>_xlfn.XLOOKUP(Table3[[#This Row],[SC enz]],Table2[id],Table2[Abundance in RT (g protein/g all proteins)],"")</f>
        <v/>
      </c>
      <c r="M263">
        <f>Table3[[#This Row],[log(y)]]-Table3[[#This Row],[log(x)]]/SQRT(2)</f>
        <v>0.93577642420379448</v>
      </c>
      <c r="N263">
        <f>ABS(Table3[[#This Row],[dist from 45-degree (RT - SC)]])</f>
        <v>0.93577642420379448</v>
      </c>
    </row>
    <row r="264" spans="1:14" x14ac:dyDescent="0.2">
      <c r="A264" t="s">
        <v>3285</v>
      </c>
      <c r="B264">
        <v>1391006.8306521981</v>
      </c>
      <c r="C264">
        <v>190443.52213105079</v>
      </c>
      <c r="D264">
        <f>LOG(Table3[[#This Row],[scRBA $k_{app}$ ($h^{-1}$)]])</f>
        <v>6.1433292626356648</v>
      </c>
      <c r="E264">
        <f>LOG(Table3[[#This Row],[rtRBA $k_{app}$ ($h^{-1}$)]])</f>
        <v>5.2797662048752256</v>
      </c>
      <c r="F264" t="str">
        <f>_xlfn.TEXTAFTER(Table3[[#This Row],[id]],"-",-1)</f>
        <v>rt7263_c</v>
      </c>
      <c r="G264" t="str">
        <f>_xlfn.TEXTAFTER(_xlfn.TEXTBEFORE(Table3[[#This Row],[id]],"-"&amp;Table3[[#This Row],[enz]]),"_",-1)</f>
        <v>FWD</v>
      </c>
      <c r="H264" t="str">
        <f>_xlfn.TEXTBEFORE(Table3[[#This Row],[id]],"_"&amp;Table3[[#This Row],[dir]])</f>
        <v>TKT2_c</v>
      </c>
      <c r="I264" t="str">
        <f>_xlfn.XLOOKUP(Table3[[#This Row],[rxn]],Table1[id],Table1[subsystem],"")</f>
        <v>Pentose phosphate pathway</v>
      </c>
      <c r="J264" t="str">
        <f>_xlfn.XLOOKUP(Table3[[#This Row],[enz]],'[1]scRBA (raw)'!$N:$N,'[1]scRBA (raw)'!$K:$K,"")</f>
        <v/>
      </c>
      <c r="K264" t="str">
        <f>_xlfn.XLOOKUP(Table3[[#This Row],[SC enz]],Table2[id],Table2[Abundance in SC (g protein/g all proteins)],"")</f>
        <v/>
      </c>
      <c r="L264" t="str">
        <f>_xlfn.XLOOKUP(Table3[[#This Row],[SC enz]],Table2[id],Table2[Abundance in RT (g protein/g all proteins)],"")</f>
        <v/>
      </c>
      <c r="M264">
        <f>Table3[[#This Row],[log(y)]]-Table3[[#This Row],[log(x)]]/SQRT(2)</f>
        <v>0.93577642420379448</v>
      </c>
      <c r="N264">
        <f>ABS(Table3[[#This Row],[dist from 45-degree (RT - SC)]])</f>
        <v>0.93577642420379448</v>
      </c>
    </row>
    <row r="265" spans="1:14" x14ac:dyDescent="0.2">
      <c r="A265" t="s">
        <v>3095</v>
      </c>
      <c r="B265">
        <v>1127.7442276279639</v>
      </c>
      <c r="C265">
        <v>976.2379336915044</v>
      </c>
      <c r="D265">
        <f>LOG(Table3[[#This Row],[scRBA $k_{app}$ ($h^{-1}$)]])</f>
        <v>3.0522106128340454</v>
      </c>
      <c r="E265">
        <f>LOG(Table3[[#This Row],[rtRBA $k_{app}$ ($h^{-1}$)]])</f>
        <v>2.989555679035337</v>
      </c>
      <c r="F265" t="str">
        <f>_xlfn.TEXTAFTER(Table3[[#This Row],[id]],"-",-1)</f>
        <v>rt2477</v>
      </c>
      <c r="G265" t="str">
        <f>_xlfn.TEXTAFTER(_xlfn.TEXTBEFORE(Table3[[#This Row],[id]],"-"&amp;Table3[[#This Row],[enz]]),"_",-1)</f>
        <v>FWD</v>
      </c>
      <c r="H265" t="str">
        <f>_xlfn.TEXTBEFORE(Table3[[#This Row],[id]],"_"&amp;Table3[[#This Row],[dir]])</f>
        <v>TMDS_c</v>
      </c>
      <c r="I265" t="str">
        <f>_xlfn.XLOOKUP(Table3[[#This Row],[rxn]],Table1[id],Table1[subsystem],"")</f>
        <v>Pyrimidine metabolism</v>
      </c>
      <c r="J265" t="str">
        <f>_xlfn.XLOOKUP(Table3[[#This Row],[enz]],'[1]scRBA (raw)'!$N:$N,'[1]scRBA (raw)'!$K:$K,"")</f>
        <v>YOR074C</v>
      </c>
      <c r="K265">
        <f>_xlfn.XLOOKUP(Table3[[#This Row],[SC enz]],Table2[id],Table2[Abundance in SC (g protein/g all proteins)],"")</f>
        <v>5.32652677179994E-5</v>
      </c>
      <c r="L265">
        <f>_xlfn.XLOOKUP(Table3[[#This Row],[SC enz]],Table2[id],Table2[Abundance in RT (g protein/g all proteins)],"")</f>
        <v>3.2499999999999997E-5</v>
      </c>
      <c r="M265">
        <f>Table3[[#This Row],[log(y)]]-Table3[[#This Row],[log(x)]]/SQRT(2)</f>
        <v>0.8313168570908358</v>
      </c>
      <c r="N265">
        <f>ABS(Table3[[#This Row],[dist from 45-degree (RT - SC)]])</f>
        <v>0.8313168570908358</v>
      </c>
    </row>
    <row r="266" spans="1:14" x14ac:dyDescent="0.2">
      <c r="A266" t="s">
        <v>3096</v>
      </c>
      <c r="B266">
        <v>517648.6715474528</v>
      </c>
      <c r="C266">
        <v>288114.55793497688</v>
      </c>
      <c r="D266">
        <f>LOG(Table3[[#This Row],[scRBA $k_{app}$ ($h^{-1}$)]])</f>
        <v>5.7140351038096409</v>
      </c>
      <c r="E266">
        <f>LOG(Table3[[#This Row],[rtRBA $k_{app}$ ($h^{-1}$)]])</f>
        <v>5.4595652029909125</v>
      </c>
      <c r="F266" t="str">
        <f>_xlfn.TEXTAFTER(Table3[[#This Row],[id]],"-",-1)</f>
        <v>rt0932</v>
      </c>
      <c r="G266" t="str">
        <f>_xlfn.TEXTAFTER(_xlfn.TEXTBEFORE(Table3[[#This Row],[id]],"-"&amp;Table3[[#This Row],[enz]]),"_",-1)</f>
        <v>FWD</v>
      </c>
      <c r="H266" t="str">
        <f>_xlfn.TEXTBEFORE(Table3[[#This Row],[id]],"_"&amp;Table3[[#This Row],[dir]])</f>
        <v>TPI_c</v>
      </c>
      <c r="I266" t="str">
        <f>_xlfn.XLOOKUP(Table3[[#This Row],[rxn]],Table1[id],Table1[subsystem],"")</f>
        <v>Glycolysis / Gluconeogenesis</v>
      </c>
      <c r="J266" t="str">
        <f>_xlfn.XLOOKUP(Table3[[#This Row],[enz]],'[1]scRBA (raw)'!$N:$N,'[1]scRBA (raw)'!$K:$K,"")</f>
        <v>YDR050C</v>
      </c>
      <c r="K266">
        <f>_xlfn.XLOOKUP(Table3[[#This Row],[SC enz]],Table2[id],Table2[Abundance in SC (g protein/g all proteins)],"")</f>
        <v>5.9697116156084301E-4</v>
      </c>
      <c r="L266">
        <f>_xlfn.XLOOKUP(Table3[[#This Row],[SC enz]],Table2[id],Table2[Abundance in RT (g protein/g all proteins)],"")</f>
        <v>2.1489999999999999E-3</v>
      </c>
      <c r="M266">
        <f>Table3[[#This Row],[log(y)]]-Table3[[#This Row],[log(x)]]/SQRT(2)</f>
        <v>1.4191322331491376</v>
      </c>
      <c r="N266">
        <f>ABS(Table3[[#This Row],[dist from 45-degree (RT - SC)]])</f>
        <v>1.4191322331491376</v>
      </c>
    </row>
    <row r="267" spans="1:14" x14ac:dyDescent="0.2">
      <c r="A267" t="s">
        <v>3097</v>
      </c>
      <c r="B267">
        <v>6943.2339688035381</v>
      </c>
      <c r="C267">
        <v>8331.4466873586407</v>
      </c>
      <c r="D267">
        <f>LOG(Table3[[#This Row],[scRBA $k_{app}$ ($h^{-1}$)]])</f>
        <v>3.8415618000899503</v>
      </c>
      <c r="E267">
        <f>LOG(Table3[[#This Row],[rtRBA $k_{app}$ ($h^{-1}$)]])</f>
        <v>3.9207204196282981</v>
      </c>
      <c r="F267" t="str">
        <f>_xlfn.TEXTAFTER(Table3[[#This Row],[id]],"-",-1)</f>
        <v>rt1320</v>
      </c>
      <c r="G267" t="str">
        <f>_xlfn.TEXTAFTER(_xlfn.TEXTBEFORE(Table3[[#This Row],[id]],"-"&amp;Table3[[#This Row],[enz]]),"_",-1)</f>
        <v>FWD</v>
      </c>
      <c r="H267" t="str">
        <f>_xlfn.TEXTBEFORE(Table3[[#This Row],[id]],"_"&amp;Table3[[#This Row],[dir]])</f>
        <v>TRDR_c</v>
      </c>
      <c r="I267" t="str">
        <f>_xlfn.XLOOKUP(Table3[[#This Row],[rxn]],Table1[id],Table1[subsystem],"")</f>
        <v>Unassigned</v>
      </c>
      <c r="J267" t="str">
        <f>_xlfn.XLOOKUP(Table3[[#This Row],[enz]],'[1]scRBA (raw)'!$N:$N,'[1]scRBA (raw)'!$K:$K,"")</f>
        <v>YDR353W</v>
      </c>
      <c r="K267">
        <f>_xlfn.XLOOKUP(Table3[[#This Row],[SC enz]],Table2[id],Table2[Abundance in SC (g protein/g all proteins)],"")</f>
        <v>9.1598326274484399E-5</v>
      </c>
      <c r="L267">
        <f>_xlfn.XLOOKUP(Table3[[#This Row],[SC enz]],Table2[id],Table2[Abundance in RT (g protein/g all proteins)],"")</f>
        <v>5.6100000000000002E-5</v>
      </c>
      <c r="M267">
        <f>Table3[[#This Row],[log(y)]]-Table3[[#This Row],[log(x)]]/SQRT(2)</f>
        <v>1.2043260204374944</v>
      </c>
      <c r="N267">
        <f>ABS(Table3[[#This Row],[dist from 45-degree (RT - SC)]])</f>
        <v>1.2043260204374944</v>
      </c>
    </row>
    <row r="268" spans="1:14" x14ac:dyDescent="0.2">
      <c r="A268" t="s">
        <v>3286</v>
      </c>
      <c r="B268">
        <v>39658.692694051962</v>
      </c>
      <c r="C268">
        <v>66475.929806839384</v>
      </c>
      <c r="D268">
        <f>LOG(Table3[[#This Row],[scRBA $k_{app}$ ($h^{-1}$)]])</f>
        <v>4.5983383940569533</v>
      </c>
      <c r="E268">
        <f>LOG(Table3[[#This Row],[rtRBA $k_{app}$ ($h^{-1}$)]])</f>
        <v>4.8226644205753306</v>
      </c>
      <c r="F268" t="str">
        <f>_xlfn.TEXTAFTER(Table3[[#This Row],[id]],"-",-1)</f>
        <v>TPS12TSL1</v>
      </c>
      <c r="G268" t="str">
        <f>_xlfn.TEXTAFTER(_xlfn.TEXTBEFORE(Table3[[#This Row],[id]],"-"&amp;Table3[[#This Row],[enz]]),"_",-1)</f>
        <v>FWD</v>
      </c>
      <c r="H268" t="str">
        <f>_xlfn.TEXTBEFORE(Table3[[#This Row],[id]],"_"&amp;Table3[[#This Row],[dir]])</f>
        <v>TRE6PP_c</v>
      </c>
      <c r="I268" t="str">
        <f>_xlfn.XLOOKUP(Table3[[#This Row],[rxn]],Table1[id],Table1[subsystem],"")</f>
        <v>Starch and sucrose metabolism</v>
      </c>
      <c r="J268" t="str">
        <f>_xlfn.XLOOKUP(Table3[[#This Row],[enz]],'[1]scRBA (raw)'!$N:$N,'[1]scRBA (raw)'!$K:$K,"")</f>
        <v/>
      </c>
      <c r="K268" t="str">
        <f>_xlfn.XLOOKUP(Table3[[#This Row],[SC enz]],Table2[id],Table2[Abundance in SC (g protein/g all proteins)],"")</f>
        <v/>
      </c>
      <c r="L268" t="str">
        <f>_xlfn.XLOOKUP(Table3[[#This Row],[SC enz]],Table2[id],Table2[Abundance in RT (g protein/g all proteins)],"")</f>
        <v/>
      </c>
      <c r="M268">
        <f>Table3[[#This Row],[log(y)]]-Table3[[#This Row],[log(x)]]/SQRT(2)</f>
        <v>1.5711481599472004</v>
      </c>
      <c r="N268">
        <f>ABS(Table3[[#This Row],[dist from 45-degree (RT - SC)]])</f>
        <v>1.5711481599472004</v>
      </c>
    </row>
    <row r="269" spans="1:14" x14ac:dyDescent="0.2">
      <c r="A269" t="s">
        <v>3287</v>
      </c>
      <c r="B269">
        <v>39658.692694051962</v>
      </c>
      <c r="C269">
        <v>66475.929806839384</v>
      </c>
      <c r="D269">
        <f>LOG(Table3[[#This Row],[scRBA $k_{app}$ ($h^{-1}$)]])</f>
        <v>4.5983383940569533</v>
      </c>
      <c r="E269">
        <f>LOG(Table3[[#This Row],[rtRBA $k_{app}$ ($h^{-1}$)]])</f>
        <v>4.8226644205753306</v>
      </c>
      <c r="F269" t="str">
        <f>_xlfn.TEXTAFTER(Table3[[#This Row],[id]],"-",-1)</f>
        <v>TPS12TSL1</v>
      </c>
      <c r="G269" t="str">
        <f>_xlfn.TEXTAFTER(_xlfn.TEXTBEFORE(Table3[[#This Row],[id]],"-"&amp;Table3[[#This Row],[enz]]),"_",-1)</f>
        <v>FWD</v>
      </c>
      <c r="H269" t="str">
        <f>_xlfn.TEXTBEFORE(Table3[[#This Row],[id]],"_"&amp;Table3[[#This Row],[dir]])</f>
        <v>TRE6PS_c</v>
      </c>
      <c r="I269" t="str">
        <f>_xlfn.XLOOKUP(Table3[[#This Row],[rxn]],Table1[id],Table1[subsystem],"")</f>
        <v>Starch and sucrose metabolism</v>
      </c>
      <c r="J269" t="str">
        <f>_xlfn.XLOOKUP(Table3[[#This Row],[enz]],'[1]scRBA (raw)'!$N:$N,'[1]scRBA (raw)'!$K:$K,"")</f>
        <v/>
      </c>
      <c r="K269" t="str">
        <f>_xlfn.XLOOKUP(Table3[[#This Row],[SC enz]],Table2[id],Table2[Abundance in SC (g protein/g all proteins)],"")</f>
        <v/>
      </c>
      <c r="L269" t="str">
        <f>_xlfn.XLOOKUP(Table3[[#This Row],[SC enz]],Table2[id],Table2[Abundance in RT (g protein/g all proteins)],"")</f>
        <v/>
      </c>
      <c r="M269">
        <f>Table3[[#This Row],[log(y)]]-Table3[[#This Row],[log(x)]]/SQRT(2)</f>
        <v>1.5711481599472004</v>
      </c>
      <c r="N269">
        <f>ABS(Table3[[#This Row],[dist from 45-degree (RT - SC)]])</f>
        <v>1.5711481599472004</v>
      </c>
    </row>
    <row r="270" spans="1:14" x14ac:dyDescent="0.2">
      <c r="A270" t="s">
        <v>3098</v>
      </c>
      <c r="B270">
        <v>14929.458512753299</v>
      </c>
      <c r="C270">
        <v>4275.9491664233637</v>
      </c>
      <c r="D270">
        <f>LOG(Table3[[#This Row],[scRBA $k_{app}$ ($h^{-1}$)]])</f>
        <v>4.1740440562723871</v>
      </c>
      <c r="E270">
        <f>LOG(Table3[[#This Row],[rtRBA $k_{app}$ ($h^{-1}$)]])</f>
        <v>3.631032533563622</v>
      </c>
      <c r="F270" t="str">
        <f>_xlfn.TEXTAFTER(Table3[[#This Row],[id]],"-",-1)</f>
        <v>rt0894</v>
      </c>
      <c r="G270" t="str">
        <f>_xlfn.TEXTAFTER(_xlfn.TEXTBEFORE(Table3[[#This Row],[id]],"-"&amp;Table3[[#This Row],[enz]]),"_",-1)</f>
        <v>FWD</v>
      </c>
      <c r="H270" t="str">
        <f>_xlfn.TEXTBEFORE(Table3[[#This Row],[id]],"_"&amp;Table3[[#This Row],[dir]])</f>
        <v>TRPS1_c</v>
      </c>
      <c r="I270" t="str">
        <f>_xlfn.XLOOKUP(Table3[[#This Row],[rxn]],Table1[id],Table1[subsystem],"")</f>
        <v>Glycine, serine and threonine metabolism</v>
      </c>
      <c r="J270" t="str">
        <f>_xlfn.XLOOKUP(Table3[[#This Row],[enz]],'[1]scRBA (raw)'!$N:$N,'[1]scRBA (raw)'!$K:$K,"")</f>
        <v>YGL026C</v>
      </c>
      <c r="K270">
        <f>_xlfn.XLOOKUP(Table3[[#This Row],[SC enz]],Table2[id],Table2[Abundance in SC (g protein/g all proteins)],"")</f>
        <v>3.8779678745605998E-4</v>
      </c>
      <c r="L270">
        <f>_xlfn.XLOOKUP(Table3[[#This Row],[SC enz]],Table2[id],Table2[Abundance in RT (g protein/g all proteins)],"")</f>
        <v>3.6900000000000002E-5</v>
      </c>
      <c r="M270">
        <f>Table3[[#This Row],[log(y)]]-Table3[[#This Row],[log(x)]]/SQRT(2)</f>
        <v>0.67953767640201423</v>
      </c>
      <c r="N270">
        <f>ABS(Table3[[#This Row],[dist from 45-degree (RT - SC)]])</f>
        <v>0.67953767640201423</v>
      </c>
    </row>
    <row r="271" spans="1:14" x14ac:dyDescent="0.2">
      <c r="A271" t="s">
        <v>3099</v>
      </c>
      <c r="B271">
        <v>8968.76481861305</v>
      </c>
      <c r="C271">
        <v>3485.6320559648871</v>
      </c>
      <c r="D271">
        <f>LOG(Table3[[#This Row],[scRBA $k_{app}$ ($h^{-1}$)]])</f>
        <v>3.9527326359763508</v>
      </c>
      <c r="E271">
        <f>LOG(Table3[[#This Row],[rtRBA $k_{app}$ ($h^{-1}$)]])</f>
        <v>3.5422815409788355</v>
      </c>
      <c r="F271" t="str">
        <f>_xlfn.TEXTAFTER(Table3[[#This Row],[id]],"-",-1)</f>
        <v>rt6341</v>
      </c>
      <c r="G271" t="str">
        <f>_xlfn.TEXTAFTER(_xlfn.TEXTBEFORE(Table3[[#This Row],[id]],"-"&amp;Table3[[#This Row],[enz]]),"_",-1)</f>
        <v>FWD</v>
      </c>
      <c r="H271" t="str">
        <f>_xlfn.TEXTBEFORE(Table3[[#This Row],[id]],"_"&amp;Table3[[#This Row],[dir]])</f>
        <v>TRPTRS_c</v>
      </c>
      <c r="I271" t="str">
        <f>_xlfn.XLOOKUP(Table3[[#This Row],[rxn]],Table1[id],Table1[subsystem],"")</f>
        <v>Aminoacyl-tRNA biosynthesis</v>
      </c>
      <c r="J271" t="str">
        <f>_xlfn.XLOOKUP(Table3[[#This Row],[enz]],'[1]scRBA (raw)'!$N:$N,'[1]scRBA (raw)'!$K:$K,"")</f>
        <v>YOL097C</v>
      </c>
      <c r="K271">
        <f>_xlfn.XLOOKUP(Table3[[#This Row],[SC enz]],Table2[id],Table2[Abundance in SC (g protein/g all proteins)],"")</f>
        <v>1.1398107859138599E-5</v>
      </c>
      <c r="L271">
        <f>_xlfn.XLOOKUP(Table3[[#This Row],[SC enz]],Table2[id],Table2[Abundance in RT (g protein/g all proteins)],"")</f>
        <v>1.1600000000000001E-5</v>
      </c>
      <c r="M271">
        <f>Table3[[#This Row],[log(y)]]-Table3[[#This Row],[log(x)]]/SQRT(2)</f>
        <v>0.74727748986258113</v>
      </c>
      <c r="N271">
        <f>ABS(Table3[[#This Row],[dist from 45-degree (RT - SC)]])</f>
        <v>0.74727748986258113</v>
      </c>
    </row>
    <row r="272" spans="1:14" x14ac:dyDescent="0.2">
      <c r="A272" t="s">
        <v>3288</v>
      </c>
      <c r="B272">
        <v>61343.547799231623</v>
      </c>
      <c r="C272">
        <v>417154.88235568022</v>
      </c>
      <c r="D272">
        <f>LOG(Table3[[#This Row],[scRBA $k_{app}$ ($h^{-1}$)]])</f>
        <v>4.7877688897598123</v>
      </c>
      <c r="E272">
        <f>LOG(Table3[[#This Row],[rtRBA $k_{app}$ ($h^{-1}$)]])</f>
        <v>5.6202973309061095</v>
      </c>
      <c r="F272" t="str">
        <f>_xlfn.TEXTAFTER(Table3[[#This Row],[id]],"-",-1)</f>
        <v>rt7471</v>
      </c>
      <c r="G272" t="str">
        <f>_xlfn.TEXTAFTER(_xlfn.TEXTBEFORE(Table3[[#This Row],[id]],"-"&amp;Table3[[#This Row],[enz]]),"_",-1)</f>
        <v>FWD</v>
      </c>
      <c r="H272" t="str">
        <f>_xlfn.TEXTBEFORE(Table3[[#This Row],[id]],"_"&amp;Table3[[#This Row],[dir]])</f>
        <v>TYRTA_c</v>
      </c>
      <c r="I272" t="str">
        <f>_xlfn.XLOOKUP(Table3[[#This Row],[rxn]],Table1[id],Table1[subsystem],"")</f>
        <v>Arginine and proline metabolism</v>
      </c>
      <c r="J272" t="str">
        <f>_xlfn.XLOOKUP(Table3[[#This Row],[enz]],'[1]scRBA (raw)'!$N:$N,'[1]scRBA (raw)'!$K:$K,"")</f>
        <v>YGL202W</v>
      </c>
      <c r="K272">
        <f>_xlfn.XLOOKUP(Table3[[#This Row],[SC enz]],Table2[id],Table2[Abundance in SC (g protein/g all proteins)],"")</f>
        <v>1.47985558522502E-6</v>
      </c>
      <c r="L272">
        <f>_xlfn.XLOOKUP(Table3[[#This Row],[SC enz]],Table2[id],Table2[Abundance in RT (g protein/g all proteins)],"")</f>
        <v>6.3700000000000003E-5</v>
      </c>
      <c r="M272">
        <f>Table3[[#This Row],[log(y)]]-Table3[[#This Row],[log(x)]]/SQRT(2)</f>
        <v>2.2348334822029585</v>
      </c>
      <c r="N272">
        <f>ABS(Table3[[#This Row],[dist from 45-degree (RT - SC)]])</f>
        <v>2.2348334822029585</v>
      </c>
    </row>
    <row r="273" spans="1:14" x14ac:dyDescent="0.2">
      <c r="A273" t="s">
        <v>3100</v>
      </c>
      <c r="B273">
        <v>19825.374884390629</v>
      </c>
      <c r="C273">
        <v>10317.17186237736</v>
      </c>
      <c r="D273">
        <f>LOG(Table3[[#This Row],[scRBA $k_{app}$ ($h^{-1}$)]])</f>
        <v>4.2972214082813371</v>
      </c>
      <c r="E273">
        <f>LOG(Table3[[#This Row],[rtRBA $k_{app}$ ($h^{-1}$)]])</f>
        <v>4.0135606650343059</v>
      </c>
      <c r="F273" t="str">
        <f>_xlfn.TEXTAFTER(Table3[[#This Row],[id]],"-",-1)</f>
        <v>rt8273</v>
      </c>
      <c r="G273" t="str">
        <f>_xlfn.TEXTAFTER(_xlfn.TEXTBEFORE(Table3[[#This Row],[id]],"-"&amp;Table3[[#This Row],[enz]]),"_",-1)</f>
        <v>FWD</v>
      </c>
      <c r="H273" t="str">
        <f>_xlfn.TEXTBEFORE(Table3[[#This Row],[id]],"_"&amp;Table3[[#This Row],[dir]])</f>
        <v>TYRTRS_c</v>
      </c>
      <c r="I273" t="str">
        <f>_xlfn.XLOOKUP(Table3[[#This Row],[rxn]],Table1[id],Table1[subsystem],"")</f>
        <v>Aminoacyl-tRNA biosynthesis</v>
      </c>
      <c r="J273" t="str">
        <f>_xlfn.XLOOKUP(Table3[[#This Row],[enz]],'[1]scRBA (raw)'!$N:$N,'[1]scRBA (raw)'!$K:$K,"")</f>
        <v>YGR185C</v>
      </c>
      <c r="K273">
        <f>_xlfn.XLOOKUP(Table3[[#This Row],[SC enz]],Table2[id],Table2[Abundance in SC (g protein/g all proteins)],"")</f>
        <v>4.22160501384383E-5</v>
      </c>
      <c r="L273">
        <f>_xlfn.XLOOKUP(Table3[[#This Row],[SC enz]],Table2[id],Table2[Abundance in RT (g protein/g all proteins)],"")</f>
        <v>2.7100000000000001E-5</v>
      </c>
      <c r="M273">
        <f>Table3[[#This Row],[log(y)]]-Table3[[#This Row],[log(x)]]/SQRT(2)</f>
        <v>0.97496626697856703</v>
      </c>
      <c r="N273">
        <f>ABS(Table3[[#This Row],[dist from 45-degree (RT - SC)]])</f>
        <v>0.97496626697856703</v>
      </c>
    </row>
    <row r="274" spans="1:14" x14ac:dyDescent="0.2">
      <c r="A274" t="s">
        <v>3101</v>
      </c>
      <c r="B274">
        <v>3645.3382549210978</v>
      </c>
      <c r="C274">
        <v>1707.657512128075</v>
      </c>
      <c r="D274">
        <f>LOG(Table3[[#This Row],[scRBA $k_{app}$ ($h^{-1}$)]])</f>
        <v>3.5617378331834555</v>
      </c>
      <c r="E274">
        <f>LOG(Table3[[#This Row],[rtRBA $k_{app}$ ($h^{-1}$)]])</f>
        <v>3.2324007729644566</v>
      </c>
      <c r="F274" t="str">
        <f>_xlfn.TEXTAFTER(Table3[[#This Row],[id]],"-",-1)</f>
        <v>rt0711</v>
      </c>
      <c r="G274" t="str">
        <f>_xlfn.TEXTAFTER(_xlfn.TEXTBEFORE(Table3[[#This Row],[id]],"-"&amp;Table3[[#This Row],[enz]]),"_",-1)</f>
        <v>FWD</v>
      </c>
      <c r="H274" t="str">
        <f>_xlfn.TEXTBEFORE(Table3[[#This Row],[id]],"_"&amp;Table3[[#This Row],[dir]])</f>
        <v>UAGDP_c</v>
      </c>
      <c r="I274" t="str">
        <f>_xlfn.XLOOKUP(Table3[[#This Row],[rxn]],Table1[id],Table1[subsystem],"")</f>
        <v>Amino sugar and nucleotide sugar metabolism</v>
      </c>
      <c r="J274" t="str">
        <f>_xlfn.XLOOKUP(Table3[[#This Row],[enz]],'[1]scRBA (raw)'!$N:$N,'[1]scRBA (raw)'!$K:$K,"")</f>
        <v>YDL103C</v>
      </c>
      <c r="K274">
        <f>_xlfn.XLOOKUP(Table3[[#This Row],[SC enz]],Table2[id],Table2[Abundance in SC (g protein/g all proteins)],"")</f>
        <v>3.1905097018898701E-6</v>
      </c>
      <c r="L274">
        <f>_xlfn.XLOOKUP(Table3[[#This Row],[SC enz]],Table2[id],Table2[Abundance in RT (g protein/g all proteins)],"")</f>
        <v>3.72E-6</v>
      </c>
      <c r="M274">
        <f>Table3[[#This Row],[log(y)]]-Table3[[#This Row],[log(x)]]/SQRT(2)</f>
        <v>0.71387179831175507</v>
      </c>
      <c r="N274">
        <f>ABS(Table3[[#This Row],[dist from 45-degree (RT - SC)]])</f>
        <v>0.71387179831175507</v>
      </c>
    </row>
    <row r="275" spans="1:14" x14ac:dyDescent="0.2">
      <c r="A275" t="s">
        <v>3102</v>
      </c>
      <c r="B275">
        <v>26876.92699492519</v>
      </c>
      <c r="C275">
        <v>30320.856802328151</v>
      </c>
      <c r="D275">
        <f>LOG(Table3[[#This Row],[scRBA $k_{app}$ ($h^{-1}$)]])</f>
        <v>4.42937961164965</v>
      </c>
      <c r="E275">
        <f>LOG(Table3[[#This Row],[rtRBA $k_{app}$ ($h^{-1}$)]])</f>
        <v>4.4817414693632385</v>
      </c>
      <c r="F275" t="str">
        <f>_xlfn.TEXTAFTER(Table3[[#This Row],[id]],"-",-1)</f>
        <v>rt4822_c</v>
      </c>
      <c r="G275" t="str">
        <f>_xlfn.TEXTAFTER(_xlfn.TEXTBEFORE(Table3[[#This Row],[id]],"-"&amp;Table3[[#This Row],[enz]]),"_",-1)</f>
        <v>FWD</v>
      </c>
      <c r="H275" t="str">
        <f>_xlfn.TEXTBEFORE(Table3[[#This Row],[id]],"_"&amp;Table3[[#This Row],[dir]])</f>
        <v>UMPK_c</v>
      </c>
      <c r="I275" t="str">
        <f>_xlfn.XLOOKUP(Table3[[#This Row],[rxn]],Table1[id],Table1[subsystem],"")</f>
        <v>Pyrimidine metabolism</v>
      </c>
      <c r="J275" t="str">
        <f>_xlfn.XLOOKUP(Table3[[#This Row],[enz]],'[1]scRBA (raw)'!$N:$N,'[1]scRBA (raw)'!$K:$K,"")</f>
        <v/>
      </c>
      <c r="K275" t="str">
        <f>_xlfn.XLOOKUP(Table3[[#This Row],[SC enz]],Table2[id],Table2[Abundance in SC (g protein/g all proteins)],"")</f>
        <v/>
      </c>
      <c r="L275" t="str">
        <f>_xlfn.XLOOKUP(Table3[[#This Row],[SC enz]],Table2[id],Table2[Abundance in RT (g protein/g all proteins)],"")</f>
        <v/>
      </c>
      <c r="M275">
        <f>Table3[[#This Row],[log(y)]]-Table3[[#This Row],[log(x)]]/SQRT(2)</f>
        <v>1.3496971095163346</v>
      </c>
      <c r="N275">
        <f>ABS(Table3[[#This Row],[dist from 45-degree (RT - SC)]])</f>
        <v>1.3496971095163346</v>
      </c>
    </row>
    <row r="276" spans="1:14" x14ac:dyDescent="0.2">
      <c r="A276" t="s">
        <v>3307</v>
      </c>
      <c r="B276">
        <v>3.0637057503483991</v>
      </c>
      <c r="C276">
        <v>7.0307886953385301</v>
      </c>
      <c r="D276">
        <f>LOG(Table3[[#This Row],[scRBA $k_{app}$ ($h^{-1}$)]])</f>
        <v>0.486247051712343</v>
      </c>
      <c r="E276">
        <f>LOG(Table3[[#This Row],[rtRBA $k_{app}$ ($h^{-1}$)]])</f>
        <v>0.84700404576248034</v>
      </c>
      <c r="F276" t="str">
        <f>_xlfn.TEXTAFTER(Table3[[#This Row],[id]],"-",-1)</f>
        <v>rt2682</v>
      </c>
      <c r="G276" t="str">
        <f>_xlfn.TEXTAFTER(_xlfn.TEXTBEFORE(Table3[[#This Row],[id]],"-"&amp;Table3[[#This Row],[enz]]),"_",-1)</f>
        <v>FWD</v>
      </c>
      <c r="H276" t="str">
        <f>_xlfn.TEXTBEFORE(Table3[[#This Row],[id]],"_"&amp;Table3[[#This Row],[dir]])</f>
        <v>UPP3MT_2_c</v>
      </c>
      <c r="I276" t="str">
        <f>_xlfn.XLOOKUP(Table3[[#This Row],[rxn]],Table1[id],Table1[subsystem],"")</f>
        <v>Heme metabolism</v>
      </c>
      <c r="J276" t="str">
        <f>_xlfn.XLOOKUP(Table3[[#This Row],[enz]],'[1]scRBA (raw)'!$N:$N,'[1]scRBA (raw)'!$K:$K,"")</f>
        <v>YKR069W</v>
      </c>
      <c r="K276">
        <f>_xlfn.XLOOKUP(Table3[[#This Row],[SC enz]],Table2[id],Table2[Abundance in SC (g protein/g all proteins)],"")</f>
        <v>4.33570403351687E-4</v>
      </c>
      <c r="L276">
        <f>_xlfn.XLOOKUP(Table3[[#This Row],[SC enz]],Table2[id],Table2[Abundance in RT (g protein/g all proteins)],"")</f>
        <v>8.0699999999999999E-4</v>
      </c>
      <c r="M276">
        <f>Table3[[#This Row],[log(y)]]-Table3[[#This Row],[log(x)]]/SQRT(2)</f>
        <v>0.50317545816471676</v>
      </c>
      <c r="N276">
        <f>ABS(Table3[[#This Row],[dist from 45-degree (RT - SC)]])</f>
        <v>0.50317545816471676</v>
      </c>
    </row>
    <row r="277" spans="1:14" x14ac:dyDescent="0.2">
      <c r="A277" t="s">
        <v>3103</v>
      </c>
      <c r="B277">
        <v>26.261986486163</v>
      </c>
      <c r="C277">
        <v>37095.089282946341</v>
      </c>
      <c r="D277">
        <f>LOG(Table3[[#This Row],[scRBA $k_{app}$ ($h^{-1}$)]])</f>
        <v>1.4193275735184869</v>
      </c>
      <c r="E277">
        <f>LOG(Table3[[#This Row],[rtRBA $k_{app}$ ($h^{-1}$)]])</f>
        <v>4.5693164207072945</v>
      </c>
      <c r="F277" t="str">
        <f>_xlfn.TEXTAFTER(Table3[[#This Row],[id]],"-",-1)</f>
        <v>rt2147</v>
      </c>
      <c r="G277" t="str">
        <f>_xlfn.TEXTAFTER(_xlfn.TEXTBEFORE(Table3[[#This Row],[id]],"-"&amp;Table3[[#This Row],[enz]]),"_",-1)</f>
        <v>FWD</v>
      </c>
      <c r="H277" t="str">
        <f>_xlfn.TEXTBEFORE(Table3[[#This Row],[id]],"_"&amp;Table3[[#This Row],[dir]])</f>
        <v>UPP3S_c</v>
      </c>
      <c r="I277" t="str">
        <f>_xlfn.XLOOKUP(Table3[[#This Row],[rxn]],Table1[id],Table1[subsystem],"")</f>
        <v>Heme metabolism</v>
      </c>
      <c r="J277" t="str">
        <f>_xlfn.XLOOKUP(Table3[[#This Row],[enz]],'[1]scRBA (raw)'!$N:$N,'[1]scRBA (raw)'!$K:$K,"")</f>
        <v>YOR278W</v>
      </c>
      <c r="K277">
        <f>_xlfn.XLOOKUP(Table3[[#This Row],[SC enz]],Table2[id],Table2[Abundance in SC (g protein/g all proteins)],"")</f>
        <v>2.17918439175566E-4</v>
      </c>
      <c r="L277">
        <f>_xlfn.XLOOKUP(Table3[[#This Row],[SC enz]],Table2[id],Table2[Abundance in RT (g protein/g all proteins)],"")</f>
        <v>4.46E-5</v>
      </c>
      <c r="M277">
        <f>Table3[[#This Row],[log(y)]]-Table3[[#This Row],[log(x)]]/SQRT(2)</f>
        <v>3.5657002687473245</v>
      </c>
      <c r="N277">
        <f>ABS(Table3[[#This Row],[dist from 45-degree (RT - SC)]])</f>
        <v>3.5657002687473245</v>
      </c>
    </row>
    <row r="278" spans="1:14" x14ac:dyDescent="0.2">
      <c r="A278" t="s">
        <v>3308</v>
      </c>
      <c r="B278">
        <v>16.854902263504041</v>
      </c>
      <c r="C278">
        <v>9.3574344688409461</v>
      </c>
      <c r="D278">
        <f>LOG(Table3[[#This Row],[scRBA $k_{app}$ ($h^{-1}$)]])</f>
        <v>1.2267262385215447</v>
      </c>
      <c r="E278">
        <f>LOG(Table3[[#This Row],[rtRBA $k_{app}$ ($h^{-1}$)]])</f>
        <v>0.97115679438433034</v>
      </c>
      <c r="F278" t="str">
        <f>_xlfn.TEXTAFTER(Table3[[#This Row],[id]],"-",-1)</f>
        <v>rt5811</v>
      </c>
      <c r="G278" t="str">
        <f>_xlfn.TEXTAFTER(_xlfn.TEXTBEFORE(Table3[[#This Row],[id]],"-"&amp;Table3[[#This Row],[enz]]),"_",-1)</f>
        <v>FWD</v>
      </c>
      <c r="H278" t="str">
        <f>_xlfn.TEXTBEFORE(Table3[[#This Row],[id]],"_"&amp;Table3[[#This Row],[dir]])</f>
        <v>UPPDC1_c</v>
      </c>
      <c r="I278" t="str">
        <f>_xlfn.XLOOKUP(Table3[[#This Row],[rxn]],Table1[id],Table1[subsystem],"")</f>
        <v>Heme metabolism</v>
      </c>
      <c r="J278" t="str">
        <f>_xlfn.XLOOKUP(Table3[[#This Row],[enz]],'[1]scRBA (raw)'!$N:$N,'[1]scRBA (raw)'!$K:$K,"")</f>
        <v>YDR047W</v>
      </c>
      <c r="K278">
        <f>_xlfn.XLOOKUP(Table3[[#This Row],[SC enz]],Table2[id],Table2[Abundance in SC (g protein/g all proteins)],"")</f>
        <v>6.6725508258806797E-6</v>
      </c>
      <c r="L278">
        <f>_xlfn.XLOOKUP(Table3[[#This Row],[SC enz]],Table2[id],Table2[Abundance in RT (g protein/g all proteins)],"")</f>
        <v>1.0200000000000001E-5</v>
      </c>
      <c r="M278">
        <f>Table3[[#This Row],[log(y)]]-Table3[[#This Row],[log(x)]]/SQRT(2)</f>
        <v>0.10373035246627993</v>
      </c>
      <c r="N278">
        <f>ABS(Table3[[#This Row],[dist from 45-degree (RT - SC)]])</f>
        <v>0.10373035246627993</v>
      </c>
    </row>
    <row r="279" spans="1:14" x14ac:dyDescent="0.2">
      <c r="A279" t="s">
        <v>3289</v>
      </c>
      <c r="B279">
        <v>3039403.4909217008</v>
      </c>
      <c r="C279">
        <v>715765.33657586167</v>
      </c>
      <c r="D279">
        <f>LOG(Table3[[#This Row],[scRBA $k_{app}$ ($h^{-1}$)]])</f>
        <v>6.4827883579439893</v>
      </c>
      <c r="E279">
        <f>LOG(Table3[[#This Row],[rtRBA $k_{app}$ ($h^{-1}$)]])</f>
        <v>5.8547706623435278</v>
      </c>
      <c r="F279" t="str">
        <f>_xlfn.TEXTAFTER(Table3[[#This Row],[id]],"-",-1)</f>
        <v>rt5646</v>
      </c>
      <c r="G279" t="str">
        <f>_xlfn.TEXTAFTER(_xlfn.TEXTBEFORE(Table3[[#This Row],[id]],"-"&amp;Table3[[#This Row],[enz]]),"_",-1)</f>
        <v>FWD</v>
      </c>
      <c r="H279" t="str">
        <f>_xlfn.TEXTBEFORE(Table3[[#This Row],[id]],"_"&amp;Table3[[#This Row],[dir]])</f>
        <v>VALTA_c</v>
      </c>
      <c r="I279" t="str">
        <f>_xlfn.XLOOKUP(Table3[[#This Row],[rxn]],Table1[id],Table1[subsystem],"")</f>
        <v>Valine, leucine and isoleucine metabolism</v>
      </c>
      <c r="J279" t="str">
        <f>_xlfn.XLOOKUP(Table3[[#This Row],[enz]],'[1]scRBA (raw)'!$N:$N,'[1]scRBA (raw)'!$K:$K,"")</f>
        <v>YJR148W</v>
      </c>
      <c r="K279">
        <f>_xlfn.XLOOKUP(Table3[[#This Row],[SC enz]],Table2[id],Table2[Abundance in SC (g protein/g all proteins)],"")</f>
        <v>1.6749442232668601E-4</v>
      </c>
      <c r="L279">
        <f>_xlfn.XLOOKUP(Table3[[#This Row],[SC enz]],Table2[id],Table2[Abundance in RT (g protein/g all proteins)],"")</f>
        <v>4.0200000000000001E-5</v>
      </c>
      <c r="M279">
        <f>Table3[[#This Row],[log(y)]]-Table3[[#This Row],[log(x)]]/SQRT(2)</f>
        <v>1.2707470534441301</v>
      </c>
      <c r="N279">
        <f>ABS(Table3[[#This Row],[dist from 45-degree (RT - SC)]])</f>
        <v>1.2707470534441301</v>
      </c>
    </row>
    <row r="280" spans="1:14" x14ac:dyDescent="0.2">
      <c r="A280" t="s">
        <v>3104</v>
      </c>
      <c r="B280">
        <v>47302.578883888717</v>
      </c>
      <c r="C280">
        <v>6344854678456.7969</v>
      </c>
      <c r="D280">
        <f>LOG(Table3[[#This Row],[scRBA $k_{app}$ ($h^{-1}$)]])</f>
        <v>4.6748848186344576</v>
      </c>
      <c r="E280">
        <f>LOG(Table3[[#This Row],[rtRBA $k_{app}$ ($h^{-1}$)]])</f>
        <v>12.802421679532841</v>
      </c>
      <c r="F280" t="str">
        <f>_xlfn.TEXTAFTER(Table3[[#This Row],[id]],"-",-1)</f>
        <v>rt6242_m</v>
      </c>
      <c r="G280" t="str">
        <f>_xlfn.TEXTAFTER(_xlfn.TEXTBEFORE(Table3[[#This Row],[id]],"-"&amp;Table3[[#This Row],[enz]]),"_",-1)</f>
        <v>REV</v>
      </c>
      <c r="H280" t="str">
        <f>_xlfn.TEXTBEFORE(Table3[[#This Row],[id]],"_"&amp;Table3[[#This Row],[dir]])</f>
        <v>VALTA_m</v>
      </c>
      <c r="I280" t="str">
        <f>_xlfn.XLOOKUP(Table3[[#This Row],[rxn]],Table1[id],Table1[subsystem],"")</f>
        <v>Valine, leucine and isoleucine metabolism</v>
      </c>
      <c r="J280" t="str">
        <f>_xlfn.XLOOKUP(Table3[[#This Row],[enz]],'[1]scRBA (raw)'!$N:$N,'[1]scRBA (raw)'!$K:$K,"")</f>
        <v/>
      </c>
      <c r="K280" t="str">
        <f>_xlfn.XLOOKUP(Table3[[#This Row],[SC enz]],Table2[id],Table2[Abundance in SC (g protein/g all proteins)],"")</f>
        <v/>
      </c>
      <c r="L280" t="str">
        <f>_xlfn.XLOOKUP(Table3[[#This Row],[SC enz]],Table2[id],Table2[Abundance in RT (g protein/g all proteins)],"")</f>
        <v/>
      </c>
      <c r="M280">
        <f>Table3[[#This Row],[log(y)]]-Table3[[#This Row],[log(x)]]/SQRT(2)</f>
        <v>9.496778923010373</v>
      </c>
      <c r="N280">
        <f>ABS(Table3[[#This Row],[dist from 45-degree (RT - SC)]])</f>
        <v>9.496778923010373</v>
      </c>
    </row>
    <row r="281" spans="1:14" x14ac:dyDescent="0.2">
      <c r="A281" t="s">
        <v>3105</v>
      </c>
      <c r="B281">
        <v>18299.229614837721</v>
      </c>
      <c r="C281">
        <v>27586.659930797559</v>
      </c>
      <c r="D281">
        <f>LOG(Table3[[#This Row],[scRBA $k_{app}$ ($h^{-1}$)]])</f>
        <v>4.2624328066119874</v>
      </c>
      <c r="E281">
        <f>LOG(Table3[[#This Row],[rtRBA $k_{app}$ ($h^{-1}$)]])</f>
        <v>4.4406991212318232</v>
      </c>
      <c r="F281" t="str">
        <f>_xlfn.TEXTAFTER(Table3[[#This Row],[id]],"-",-1)</f>
        <v>rt8160_c</v>
      </c>
      <c r="G281" t="str">
        <f>_xlfn.TEXTAFTER(_xlfn.TEXTBEFORE(Table3[[#This Row],[id]],"-"&amp;Table3[[#This Row],[enz]]),"_",-1)</f>
        <v>FWD</v>
      </c>
      <c r="H281" t="str">
        <f>_xlfn.TEXTBEFORE(Table3[[#This Row],[id]],"_"&amp;Table3[[#This Row],[dir]])</f>
        <v>VALTRS_c</v>
      </c>
      <c r="I281" t="str">
        <f>_xlfn.XLOOKUP(Table3[[#This Row],[rxn]],Table1[id],Table1[subsystem],"")</f>
        <v>Aminoacyl-tRNA biosynthesis</v>
      </c>
      <c r="J281" t="str">
        <f>_xlfn.XLOOKUP(Table3[[#This Row],[enz]],'[1]scRBA (raw)'!$N:$N,'[1]scRBA (raw)'!$K:$K,"")</f>
        <v/>
      </c>
      <c r="K281" t="str">
        <f>_xlfn.XLOOKUP(Table3[[#This Row],[SC enz]],Table2[id],Table2[Abundance in SC (g protein/g all proteins)],"")</f>
        <v/>
      </c>
      <c r="L281" t="str">
        <f>_xlfn.XLOOKUP(Table3[[#This Row],[SC enz]],Table2[id],Table2[Abundance in RT (g protein/g all proteins)],"")</f>
        <v/>
      </c>
      <c r="M281">
        <f>Table3[[#This Row],[log(y)]]-Table3[[#This Row],[log(x)]]/SQRT(2)</f>
        <v>1.4267039793244791</v>
      </c>
      <c r="N281">
        <f>ABS(Table3[[#This Row],[dist from 45-degree (RT - SC)]])</f>
        <v>1.4267039793244791</v>
      </c>
    </row>
    <row r="282" spans="1:14" x14ac:dyDescent="0.2">
      <c r="A282" t="s">
        <v>3309</v>
      </c>
      <c r="B282">
        <v>2.0054252591378048E-12</v>
      </c>
      <c r="C282">
        <v>1.332290889172484E-12</v>
      </c>
      <c r="D282">
        <f>LOG(Table3[[#This Row],[scRBA $k_{app}$ ($h^{-1}$)]])</f>
        <v>-11.697793519246478</v>
      </c>
      <c r="E282">
        <f>LOG(Table3[[#This Row],[rtRBA $k_{app}$ ($h^{-1}$)]])</f>
        <v>-11.875400942005067</v>
      </c>
      <c r="F282" t="str">
        <f>_xlfn.TEXTAFTER(Table3[[#This Row],[id]],"-",-1)</f>
        <v>rt6068</v>
      </c>
      <c r="G282" t="str">
        <f>_xlfn.TEXTAFTER(_xlfn.TEXTBEFORE(Table3[[#This Row],[id]],"-"&amp;Table3[[#This Row],[enz]]),"_",-1)</f>
        <v>FWD</v>
      </c>
      <c r="H282" t="str">
        <f>_xlfn.TEXTBEFORE(Table3[[#This Row],[id]],"_"&amp;Table3[[#This Row],[dir]])</f>
        <v>YUMPS_c</v>
      </c>
      <c r="I282" t="str">
        <f>_xlfn.XLOOKUP(Table3[[#This Row],[rxn]],Table1[id],Table1[subsystem],"")</f>
        <v>Pyrimidine metabolism</v>
      </c>
      <c r="J282" t="str">
        <f>_xlfn.XLOOKUP(Table3[[#This Row],[enz]],'[1]scRBA (raw)'!$N:$N,'[1]scRBA (raw)'!$K:$K,"")</f>
        <v>YFL001W</v>
      </c>
      <c r="K282">
        <f>_xlfn.XLOOKUP(Table3[[#This Row],[SC enz]],Table2[id],Table2[Abundance in SC (g protein/g all proteins)],"")</f>
        <v>4.48312909582193E-3</v>
      </c>
      <c r="L282">
        <f>_xlfn.XLOOKUP(Table3[[#This Row],[SC enz]],Table2[id],Table2[Abundance in RT (g protein/g all proteins)],"")</f>
        <v>1.7910000000000001E-3</v>
      </c>
      <c r="M282">
        <f>Table3[[#This Row],[log(y)]]-Table3[[#This Row],[log(x)]]/SQRT(2)</f>
        <v>-3.6038118196258342</v>
      </c>
      <c r="N282">
        <f>ABS(Table3[[#This Row],[dist from 45-degree (RT - SC)]])</f>
        <v>3.6038118196258342</v>
      </c>
    </row>
  </sheetData>
  <conditionalFormatting sqref="I2:I282">
    <cfRule type="cellIs" dxfId="1" priority="1" operator="equal">
      <formula>$I$2</formula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MFA-derived fluxes</vt:lpstr>
      <vt:lpstr>Relative Protein Abundances</vt:lpstr>
      <vt:lpstr>$k_{app}$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Mooney, Eric James</cp:lastModifiedBy>
  <dcterms:created xsi:type="dcterms:W3CDTF">2024-09-17T20:07:57Z</dcterms:created>
  <dcterms:modified xsi:type="dcterms:W3CDTF">2025-10-15T14:14:59Z</dcterms:modified>
</cp:coreProperties>
</file>